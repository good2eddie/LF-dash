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3" documentId="13_ncr:1_{38E5C085-8131-40F3-8E8E-B1ADC979640E}" xr6:coauthVersionLast="47" xr6:coauthVersionMax="47" xr10:uidLastSave="{9644FD3D-8145-4043-B416-44E07DBD2A66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0" i="7" l="1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264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090" i="3"/>
  <c r="N1090" i="3"/>
  <c r="K1118" i="3"/>
  <c r="N1118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N1231" i="3"/>
  <c r="K1231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14" i="3"/>
  <c r="K1215" i="3"/>
  <c r="K1216" i="3"/>
  <c r="K1217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I1264" i="3" l="1"/>
  <c r="H1264" i="3"/>
  <c r="G1264" i="3"/>
  <c r="F1264" i="3"/>
  <c r="E1264" i="3"/>
  <c r="D1264" i="3"/>
  <c r="I1263" i="3"/>
  <c r="H1263" i="3"/>
  <c r="G1263" i="3"/>
  <c r="F1263" i="3"/>
  <c r="E1263" i="3"/>
  <c r="D1263" i="3"/>
  <c r="I1262" i="3"/>
  <c r="H1262" i="3"/>
  <c r="G1262" i="3"/>
  <c r="F1262" i="3"/>
  <c r="E1262" i="3"/>
  <c r="D1262" i="3"/>
  <c r="I1261" i="3"/>
  <c r="H1261" i="3"/>
  <c r="G1261" i="3"/>
  <c r="F1261" i="3"/>
  <c r="E1261" i="3"/>
  <c r="D1261" i="3"/>
  <c r="I1260" i="3"/>
  <c r="H1260" i="3"/>
  <c r="G1260" i="3"/>
  <c r="F1260" i="3"/>
  <c r="E1260" i="3"/>
  <c r="D1260" i="3"/>
  <c r="I1259" i="3"/>
  <c r="H1259" i="3"/>
  <c r="G1259" i="3"/>
  <c r="F1259" i="3"/>
  <c r="E1259" i="3"/>
  <c r="D1259" i="3"/>
  <c r="I1258" i="3"/>
  <c r="H1258" i="3"/>
  <c r="G1258" i="3"/>
  <c r="F1258" i="3"/>
  <c r="E1258" i="3"/>
  <c r="D1258" i="3"/>
  <c r="I1257" i="3"/>
  <c r="H1257" i="3"/>
  <c r="G1257" i="3"/>
  <c r="F1257" i="3"/>
  <c r="E1257" i="3"/>
  <c r="D1257" i="3"/>
  <c r="I1256" i="3"/>
  <c r="H1256" i="3"/>
  <c r="G1256" i="3"/>
  <c r="F1256" i="3"/>
  <c r="E1256" i="3"/>
  <c r="D1256" i="3"/>
  <c r="I1255" i="3"/>
  <c r="H1255" i="3"/>
  <c r="G1255" i="3"/>
  <c r="F1255" i="3"/>
  <c r="E1255" i="3"/>
  <c r="D1255" i="3"/>
  <c r="I1254" i="3"/>
  <c r="H1254" i="3"/>
  <c r="G1254" i="3"/>
  <c r="F1254" i="3"/>
  <c r="E1254" i="3"/>
  <c r="D1254" i="3"/>
  <c r="I1253" i="3"/>
  <c r="H1253" i="3"/>
  <c r="G1253" i="3"/>
  <c r="F1253" i="3"/>
  <c r="E1253" i="3"/>
  <c r="D1253" i="3"/>
  <c r="I1252" i="3"/>
  <c r="H1252" i="3"/>
  <c r="G1252" i="3"/>
  <c r="F1252" i="3"/>
  <c r="E1252" i="3"/>
  <c r="D1252" i="3"/>
  <c r="I1251" i="3"/>
  <c r="H1251" i="3"/>
  <c r="G1251" i="3"/>
  <c r="F1251" i="3"/>
  <c r="E1251" i="3"/>
  <c r="D1251" i="3"/>
  <c r="I1250" i="3"/>
  <c r="H1250" i="3"/>
  <c r="G1250" i="3"/>
  <c r="F1250" i="3"/>
  <c r="E1250" i="3"/>
  <c r="D1250" i="3"/>
  <c r="I1249" i="3"/>
  <c r="H1249" i="3"/>
  <c r="G1249" i="3"/>
  <c r="F1249" i="3"/>
  <c r="E1249" i="3"/>
  <c r="D1249" i="3"/>
  <c r="I1248" i="3"/>
  <c r="H1248" i="3"/>
  <c r="G1248" i="3"/>
  <c r="F1248" i="3"/>
  <c r="E1248" i="3"/>
  <c r="D1248" i="3"/>
  <c r="I1247" i="3"/>
  <c r="H1247" i="3"/>
  <c r="G1247" i="3"/>
  <c r="F1247" i="3"/>
  <c r="E1247" i="3"/>
  <c r="D1247" i="3"/>
  <c r="I1246" i="3"/>
  <c r="H1246" i="3"/>
  <c r="G1246" i="3"/>
  <c r="F1246" i="3"/>
  <c r="E1246" i="3"/>
  <c r="D1246" i="3"/>
  <c r="I1245" i="3"/>
  <c r="H1245" i="3"/>
  <c r="G1245" i="3"/>
  <c r="F1245" i="3"/>
  <c r="E1245" i="3"/>
  <c r="D1245" i="3"/>
  <c r="I1244" i="3"/>
  <c r="H1244" i="3"/>
  <c r="G1244" i="3"/>
  <c r="F1244" i="3"/>
  <c r="E1244" i="3"/>
  <c r="D1244" i="3"/>
  <c r="I1243" i="3"/>
  <c r="H1243" i="3"/>
  <c r="G1243" i="3"/>
  <c r="F1243" i="3"/>
  <c r="E1243" i="3"/>
  <c r="D1243" i="3"/>
  <c r="I1242" i="3"/>
  <c r="H1242" i="3"/>
  <c r="G1242" i="3"/>
  <c r="F1242" i="3"/>
  <c r="E1242" i="3"/>
  <c r="D1242" i="3"/>
  <c r="I1241" i="3"/>
  <c r="H1241" i="3"/>
  <c r="G1241" i="3"/>
  <c r="F1241" i="3"/>
  <c r="E1241" i="3"/>
  <c r="D1241" i="3"/>
  <c r="I1240" i="3"/>
  <c r="H1240" i="3"/>
  <c r="G1240" i="3"/>
  <c r="F1240" i="3"/>
  <c r="E1240" i="3"/>
  <c r="D1240" i="3"/>
  <c r="I1239" i="3"/>
  <c r="H1239" i="3"/>
  <c r="G1239" i="3"/>
  <c r="F1239" i="3"/>
  <c r="E1239" i="3"/>
  <c r="D1239" i="3"/>
  <c r="I1238" i="3"/>
  <c r="H1238" i="3"/>
  <c r="G1238" i="3"/>
  <c r="F1238" i="3"/>
  <c r="E1238" i="3"/>
  <c r="D1238" i="3"/>
  <c r="I1237" i="3"/>
  <c r="H1237" i="3"/>
  <c r="G1237" i="3"/>
  <c r="F1237" i="3"/>
  <c r="E1237" i="3"/>
  <c r="D1237" i="3"/>
  <c r="I1236" i="3"/>
  <c r="H1236" i="3"/>
  <c r="G1236" i="3"/>
  <c r="F1236" i="3"/>
  <c r="E1236" i="3"/>
  <c r="D1236" i="3"/>
  <c r="I1235" i="3"/>
  <c r="H1235" i="3"/>
  <c r="G1235" i="3"/>
  <c r="F1235" i="3"/>
  <c r="E1235" i="3"/>
  <c r="D1235" i="3"/>
  <c r="I1234" i="3"/>
  <c r="H1234" i="3"/>
  <c r="G1234" i="3"/>
  <c r="F1234" i="3"/>
  <c r="E1234" i="3"/>
  <c r="D1234" i="3"/>
  <c r="I1233" i="3"/>
  <c r="H1233" i="3"/>
  <c r="G1233" i="3"/>
  <c r="F1233" i="3"/>
  <c r="E1233" i="3"/>
  <c r="D1233" i="3"/>
  <c r="I1232" i="3"/>
  <c r="H1232" i="3"/>
  <c r="G1232" i="3"/>
  <c r="F1232" i="3"/>
  <c r="E1232" i="3"/>
  <c r="D1232" i="3"/>
  <c r="I1231" i="3"/>
  <c r="H1231" i="3"/>
  <c r="G1231" i="3"/>
  <c r="F1231" i="3"/>
  <c r="E1231" i="3"/>
  <c r="D1231" i="3"/>
  <c r="I1230" i="3"/>
  <c r="H1230" i="3"/>
  <c r="G1230" i="3"/>
  <c r="F1230" i="3"/>
  <c r="E1230" i="3"/>
  <c r="D1230" i="3"/>
  <c r="I1229" i="3"/>
  <c r="H1229" i="3"/>
  <c r="G1229" i="3"/>
  <c r="F1229" i="3"/>
  <c r="E1229" i="3"/>
  <c r="D1229" i="3"/>
  <c r="I1228" i="3"/>
  <c r="H1228" i="3"/>
  <c r="G1228" i="3"/>
  <c r="F1228" i="3"/>
  <c r="E1228" i="3"/>
  <c r="D1228" i="3"/>
  <c r="I1227" i="3"/>
  <c r="H1227" i="3"/>
  <c r="G1227" i="3"/>
  <c r="F1227" i="3"/>
  <c r="E1227" i="3"/>
  <c r="D1227" i="3"/>
  <c r="I1226" i="3"/>
  <c r="H1226" i="3"/>
  <c r="G1226" i="3"/>
  <c r="F1226" i="3"/>
  <c r="E1226" i="3"/>
  <c r="D1226" i="3"/>
  <c r="I1225" i="3"/>
  <c r="H1225" i="3"/>
  <c r="G1225" i="3"/>
  <c r="F1225" i="3"/>
  <c r="E1225" i="3"/>
  <c r="D1225" i="3"/>
  <c r="I1224" i="3"/>
  <c r="H1224" i="3"/>
  <c r="G1224" i="3"/>
  <c r="F1224" i="3"/>
  <c r="E1224" i="3"/>
  <c r="D1224" i="3"/>
  <c r="N1111" i="3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223" i="3"/>
  <c r="H1223" i="3"/>
  <c r="G1223" i="3"/>
  <c r="F1223" i="3"/>
  <c r="E1223" i="3"/>
  <c r="D1223" i="3"/>
  <c r="I1222" i="3"/>
  <c r="H1222" i="3"/>
  <c r="G1222" i="3"/>
  <c r="F1222" i="3"/>
  <c r="E1222" i="3"/>
  <c r="D1222" i="3"/>
  <c r="I1221" i="3"/>
  <c r="H1221" i="3"/>
  <c r="G1221" i="3"/>
  <c r="F1221" i="3"/>
  <c r="E1221" i="3"/>
  <c r="D1221" i="3"/>
  <c r="I1220" i="3"/>
  <c r="H1220" i="3"/>
  <c r="G1220" i="3"/>
  <c r="F1220" i="3"/>
  <c r="E1220" i="3"/>
  <c r="D1220" i="3"/>
  <c r="I1219" i="3"/>
  <c r="H1219" i="3"/>
  <c r="G1219" i="3"/>
  <c r="F1219" i="3"/>
  <c r="E1219" i="3"/>
  <c r="D1219" i="3"/>
  <c r="I1218" i="3"/>
  <c r="H1218" i="3"/>
  <c r="G1218" i="3"/>
  <c r="F1218" i="3"/>
  <c r="E1218" i="3"/>
  <c r="D1218" i="3"/>
  <c r="I1217" i="3"/>
  <c r="H1217" i="3"/>
  <c r="G1217" i="3"/>
  <c r="F1217" i="3"/>
  <c r="E1217" i="3"/>
  <c r="D1217" i="3"/>
  <c r="I1216" i="3"/>
  <c r="H1216" i="3"/>
  <c r="G1216" i="3"/>
  <c r="F1216" i="3"/>
  <c r="E1216" i="3"/>
  <c r="D1216" i="3"/>
  <c r="I1215" i="3"/>
  <c r="H1215" i="3"/>
  <c r="G1215" i="3"/>
  <c r="F1215" i="3"/>
  <c r="E1215" i="3"/>
  <c r="D1215" i="3"/>
  <c r="I1214" i="3"/>
  <c r="H1214" i="3"/>
  <c r="G1214" i="3"/>
  <c r="F1214" i="3"/>
  <c r="E1214" i="3"/>
  <c r="D1214" i="3"/>
  <c r="I1213" i="3"/>
  <c r="H1213" i="3"/>
  <c r="G1213" i="3"/>
  <c r="F1213" i="3"/>
  <c r="E1213" i="3"/>
  <c r="D1213" i="3"/>
  <c r="I1212" i="3"/>
  <c r="H1212" i="3"/>
  <c r="G1212" i="3"/>
  <c r="F1212" i="3"/>
  <c r="E1212" i="3"/>
  <c r="D1212" i="3"/>
  <c r="I1211" i="3"/>
  <c r="H1211" i="3"/>
  <c r="G1211" i="3"/>
  <c r="F1211" i="3"/>
  <c r="E1211" i="3"/>
  <c r="D1211" i="3"/>
  <c r="I1210" i="3"/>
  <c r="H1210" i="3"/>
  <c r="G1210" i="3"/>
  <c r="F1210" i="3"/>
  <c r="E1210" i="3"/>
  <c r="D1210" i="3"/>
  <c r="I1209" i="3"/>
  <c r="H1209" i="3"/>
  <c r="G1209" i="3"/>
  <c r="F1209" i="3"/>
  <c r="E1209" i="3"/>
  <c r="D1209" i="3"/>
  <c r="I1208" i="3"/>
  <c r="H1208" i="3"/>
  <c r="G1208" i="3"/>
  <c r="F1208" i="3"/>
  <c r="E1208" i="3"/>
  <c r="D1208" i="3"/>
  <c r="I1207" i="3"/>
  <c r="H1207" i="3"/>
  <c r="G1207" i="3"/>
  <c r="F1207" i="3"/>
  <c r="E1207" i="3"/>
  <c r="D1207" i="3"/>
  <c r="I1206" i="3"/>
  <c r="H1206" i="3"/>
  <c r="G1206" i="3"/>
  <c r="F1206" i="3"/>
  <c r="E1206" i="3"/>
  <c r="D1206" i="3"/>
  <c r="I1205" i="3"/>
  <c r="H1205" i="3"/>
  <c r="G1205" i="3"/>
  <c r="F1205" i="3"/>
  <c r="E1205" i="3"/>
  <c r="D1205" i="3"/>
  <c r="I1204" i="3"/>
  <c r="H1204" i="3"/>
  <c r="G1204" i="3"/>
  <c r="F1204" i="3"/>
  <c r="E1204" i="3"/>
  <c r="D1204" i="3"/>
  <c r="I1203" i="3"/>
  <c r="H1203" i="3"/>
  <c r="G1203" i="3"/>
  <c r="F1203" i="3"/>
  <c r="E1203" i="3"/>
  <c r="D1203" i="3"/>
  <c r="I1202" i="3"/>
  <c r="H1202" i="3"/>
  <c r="G1202" i="3"/>
  <c r="F1202" i="3"/>
  <c r="E1202" i="3"/>
  <c r="D1202" i="3"/>
  <c r="I1201" i="3"/>
  <c r="H1201" i="3"/>
  <c r="G1201" i="3"/>
  <c r="F1201" i="3"/>
  <c r="E1201" i="3"/>
  <c r="D1201" i="3"/>
  <c r="I1200" i="3"/>
  <c r="H1200" i="3"/>
  <c r="G1200" i="3"/>
  <c r="F1200" i="3"/>
  <c r="E1200" i="3"/>
  <c r="D1200" i="3"/>
  <c r="I1199" i="3"/>
  <c r="H1199" i="3"/>
  <c r="G1199" i="3"/>
  <c r="F1199" i="3"/>
  <c r="E1199" i="3"/>
  <c r="D1199" i="3"/>
  <c r="I1198" i="3"/>
  <c r="H1198" i="3"/>
  <c r="G1198" i="3"/>
  <c r="F1198" i="3"/>
  <c r="E1198" i="3"/>
  <c r="D1198" i="3"/>
  <c r="I1197" i="3"/>
  <c r="H1197" i="3"/>
  <c r="G1197" i="3"/>
  <c r="F1197" i="3"/>
  <c r="E1197" i="3"/>
  <c r="D1197" i="3"/>
  <c r="I1196" i="3"/>
  <c r="H1196" i="3"/>
  <c r="G1196" i="3"/>
  <c r="F1196" i="3"/>
  <c r="E1196" i="3"/>
  <c r="D1196" i="3"/>
  <c r="I1195" i="3"/>
  <c r="H1195" i="3"/>
  <c r="G1195" i="3"/>
  <c r="F1195" i="3"/>
  <c r="E1195" i="3"/>
  <c r="D1195" i="3"/>
  <c r="I1194" i="3"/>
  <c r="H1194" i="3"/>
  <c r="G1194" i="3"/>
  <c r="F1194" i="3"/>
  <c r="E1194" i="3"/>
  <c r="D1194" i="3"/>
  <c r="I1193" i="3"/>
  <c r="H1193" i="3"/>
  <c r="G1193" i="3"/>
  <c r="F1193" i="3"/>
  <c r="E1193" i="3"/>
  <c r="D1193" i="3"/>
  <c r="I1192" i="3"/>
  <c r="H1192" i="3"/>
  <c r="G1192" i="3"/>
  <c r="F1192" i="3"/>
  <c r="E1192" i="3"/>
  <c r="D1192" i="3"/>
  <c r="I1191" i="3"/>
  <c r="H1191" i="3"/>
  <c r="G1191" i="3"/>
  <c r="F1191" i="3"/>
  <c r="E1191" i="3"/>
  <c r="D1191" i="3"/>
  <c r="I1190" i="3"/>
  <c r="H1190" i="3"/>
  <c r="G1190" i="3"/>
  <c r="F1190" i="3"/>
  <c r="E1190" i="3"/>
  <c r="D1190" i="3"/>
  <c r="I1189" i="3"/>
  <c r="H1189" i="3"/>
  <c r="G1189" i="3"/>
  <c r="F1189" i="3"/>
  <c r="E1189" i="3"/>
  <c r="D1189" i="3"/>
  <c r="I1188" i="3"/>
  <c r="H1188" i="3"/>
  <c r="G1188" i="3"/>
  <c r="F1188" i="3"/>
  <c r="E1188" i="3"/>
  <c r="D1188" i="3"/>
  <c r="I1187" i="3"/>
  <c r="H1187" i="3"/>
  <c r="G1187" i="3"/>
  <c r="F1187" i="3"/>
  <c r="E1187" i="3"/>
  <c r="D1187" i="3"/>
  <c r="I1186" i="3"/>
  <c r="H1186" i="3"/>
  <c r="G1186" i="3"/>
  <c r="F1186" i="3"/>
  <c r="E1186" i="3"/>
  <c r="D1186" i="3"/>
  <c r="I1185" i="3"/>
  <c r="H1185" i="3"/>
  <c r="G1185" i="3"/>
  <c r="F1185" i="3"/>
  <c r="E1185" i="3"/>
  <c r="D1185" i="3"/>
  <c r="I1184" i="3"/>
  <c r="H1184" i="3"/>
  <c r="G1184" i="3"/>
  <c r="F1184" i="3"/>
  <c r="E1184" i="3"/>
  <c r="D1184" i="3"/>
  <c r="I1183" i="3"/>
  <c r="H1183" i="3"/>
  <c r="G1183" i="3"/>
  <c r="F1183" i="3"/>
  <c r="E1183" i="3"/>
  <c r="D1183" i="3"/>
  <c r="I1182" i="3"/>
  <c r="H1182" i="3"/>
  <c r="G1182" i="3"/>
  <c r="F1182" i="3"/>
  <c r="E1182" i="3"/>
  <c r="D1182" i="3"/>
  <c r="I1181" i="3"/>
  <c r="H1181" i="3"/>
  <c r="G1181" i="3"/>
  <c r="F1181" i="3"/>
  <c r="E1181" i="3"/>
  <c r="D1181" i="3"/>
  <c r="I1180" i="3"/>
  <c r="H1180" i="3"/>
  <c r="G1180" i="3"/>
  <c r="F1180" i="3"/>
  <c r="E1180" i="3"/>
  <c r="D1180" i="3"/>
  <c r="I1179" i="3"/>
  <c r="H1179" i="3"/>
  <c r="G1179" i="3"/>
  <c r="F1179" i="3"/>
  <c r="E1179" i="3"/>
  <c r="D1179" i="3"/>
  <c r="I1178" i="3"/>
  <c r="H1178" i="3"/>
  <c r="G1178" i="3"/>
  <c r="F1178" i="3"/>
  <c r="E1178" i="3"/>
  <c r="D1178" i="3"/>
  <c r="I1177" i="3"/>
  <c r="H1177" i="3"/>
  <c r="G1177" i="3"/>
  <c r="F1177" i="3"/>
  <c r="E1177" i="3"/>
  <c r="D1177" i="3"/>
  <c r="I1176" i="3"/>
  <c r="H1176" i="3"/>
  <c r="G1176" i="3"/>
  <c r="F1176" i="3"/>
  <c r="E1176" i="3"/>
  <c r="D1176" i="3"/>
  <c r="I1175" i="3"/>
  <c r="H1175" i="3"/>
  <c r="G1175" i="3"/>
  <c r="F1175" i="3"/>
  <c r="E1175" i="3"/>
  <c r="D1175" i="3"/>
  <c r="I1174" i="3"/>
  <c r="H1174" i="3"/>
  <c r="G1174" i="3"/>
  <c r="F1174" i="3"/>
  <c r="E1174" i="3"/>
  <c r="D1174" i="3"/>
  <c r="I1173" i="3"/>
  <c r="H1173" i="3"/>
  <c r="G1173" i="3"/>
  <c r="F1173" i="3"/>
  <c r="E1173" i="3"/>
  <c r="D1173" i="3"/>
  <c r="I1172" i="3"/>
  <c r="H1172" i="3"/>
  <c r="G1172" i="3"/>
  <c r="F1172" i="3"/>
  <c r="E1172" i="3"/>
  <c r="D1172" i="3"/>
  <c r="I1171" i="3"/>
  <c r="H1171" i="3"/>
  <c r="G1171" i="3"/>
  <c r="F1171" i="3"/>
  <c r="E1171" i="3"/>
  <c r="D1171" i="3"/>
  <c r="I1170" i="3"/>
  <c r="H1170" i="3"/>
  <c r="G1170" i="3"/>
  <c r="F1170" i="3"/>
  <c r="E1170" i="3"/>
  <c r="D1170" i="3"/>
  <c r="I1169" i="3"/>
  <c r="H1169" i="3"/>
  <c r="G1169" i="3"/>
  <c r="F1169" i="3"/>
  <c r="E1169" i="3"/>
  <c r="D1169" i="3"/>
  <c r="I1168" i="3"/>
  <c r="H1168" i="3"/>
  <c r="G1168" i="3"/>
  <c r="F1168" i="3"/>
  <c r="E1168" i="3"/>
  <c r="D1168" i="3"/>
  <c r="I1167" i="3"/>
  <c r="H1167" i="3"/>
  <c r="G1167" i="3"/>
  <c r="F1167" i="3"/>
  <c r="E1167" i="3"/>
  <c r="D1167" i="3"/>
  <c r="I1166" i="3"/>
  <c r="H1166" i="3"/>
  <c r="G1166" i="3"/>
  <c r="F1166" i="3"/>
  <c r="E1166" i="3"/>
  <c r="D1166" i="3"/>
  <c r="I1165" i="3"/>
  <c r="H1165" i="3"/>
  <c r="G1165" i="3"/>
  <c r="F1165" i="3"/>
  <c r="E1165" i="3"/>
  <c r="D1165" i="3"/>
  <c r="I1164" i="3"/>
  <c r="H1164" i="3"/>
  <c r="G1164" i="3"/>
  <c r="F1164" i="3"/>
  <c r="E1164" i="3"/>
  <c r="D1164" i="3"/>
  <c r="I1163" i="3"/>
  <c r="H1163" i="3"/>
  <c r="G1163" i="3"/>
  <c r="F1163" i="3"/>
  <c r="E1163" i="3"/>
  <c r="D1163" i="3"/>
  <c r="I1162" i="3"/>
  <c r="H1162" i="3"/>
  <c r="G1162" i="3"/>
  <c r="F1162" i="3"/>
  <c r="E1162" i="3"/>
  <c r="D1162" i="3"/>
  <c r="I1161" i="3"/>
  <c r="H1161" i="3"/>
  <c r="G1161" i="3"/>
  <c r="F1161" i="3"/>
  <c r="E1161" i="3"/>
  <c r="D1161" i="3"/>
  <c r="I1160" i="3"/>
  <c r="H1160" i="3"/>
  <c r="G1160" i="3"/>
  <c r="F1160" i="3"/>
  <c r="E1160" i="3"/>
  <c r="D1160" i="3"/>
  <c r="I1159" i="3"/>
  <c r="H1159" i="3"/>
  <c r="G1159" i="3"/>
  <c r="F1159" i="3"/>
  <c r="E1159" i="3"/>
  <c r="D1159" i="3"/>
  <c r="I1158" i="3"/>
  <c r="H1158" i="3"/>
  <c r="G1158" i="3"/>
  <c r="F1158" i="3"/>
  <c r="E1158" i="3"/>
  <c r="D1158" i="3"/>
  <c r="I1157" i="3"/>
  <c r="H1157" i="3"/>
  <c r="G1157" i="3"/>
  <c r="F1157" i="3"/>
  <c r="E1157" i="3"/>
  <c r="D1157" i="3"/>
  <c r="I1156" i="3"/>
  <c r="H1156" i="3"/>
  <c r="G1156" i="3"/>
  <c r="F1156" i="3"/>
  <c r="E1156" i="3"/>
  <c r="D1156" i="3"/>
  <c r="I1155" i="3"/>
  <c r="H1155" i="3"/>
  <c r="G1155" i="3"/>
  <c r="F1155" i="3"/>
  <c r="E1155" i="3"/>
  <c r="D1155" i="3"/>
  <c r="I1154" i="3"/>
  <c r="H1154" i="3"/>
  <c r="G1154" i="3"/>
  <c r="F1154" i="3"/>
  <c r="E1154" i="3"/>
  <c r="D1154" i="3"/>
  <c r="I1153" i="3"/>
  <c r="H1153" i="3"/>
  <c r="G1153" i="3"/>
  <c r="F1153" i="3"/>
  <c r="E1153" i="3"/>
  <c r="D1153" i="3"/>
  <c r="I1152" i="3"/>
  <c r="H1152" i="3"/>
  <c r="G1152" i="3"/>
  <c r="F1152" i="3"/>
  <c r="E1152" i="3"/>
  <c r="D1152" i="3"/>
  <c r="I1151" i="3"/>
  <c r="H1151" i="3"/>
  <c r="G1151" i="3"/>
  <c r="F1151" i="3"/>
  <c r="E1151" i="3"/>
  <c r="D1151" i="3"/>
  <c r="I1150" i="3"/>
  <c r="H1150" i="3"/>
  <c r="G1150" i="3"/>
  <c r="F1150" i="3"/>
  <c r="E1150" i="3"/>
  <c r="D1150" i="3"/>
  <c r="I1149" i="3"/>
  <c r="H1149" i="3"/>
  <c r="G1149" i="3"/>
  <c r="F1149" i="3"/>
  <c r="E1149" i="3"/>
  <c r="D1149" i="3"/>
  <c r="I1148" i="3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<sst xmlns="http://schemas.openxmlformats.org/spreadsheetml/2006/main" count="4812" uniqueCount="1258">
  <si>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</si>
  <si>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</si>
  <si>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</si>
  <si>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</si>
  <si>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</si>
  <si>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</si>
  <si>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</si>
  <si>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</si>
  <si>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</si>
  <si>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</si>
  <si>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</si>
  <si>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</si>
  <si>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</si>
  <si>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</si>
  <si>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</si>
  <si>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</si>
  <si>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</si>
  <si>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</si>
  <si>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</si>
  <si>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</si>
  <si>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</si>
  <si>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</si>
  <si>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</si>
  <si>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</si>
  <si>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</si>
  <si>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</si>
  <si>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</si>
  <si>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</si>
  <si>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</si>
  <si>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</si>
  <si>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</si>
  <si>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</si>
  <si>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</si>
  <si>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</si>
  <si>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</si>
  <si>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</si>
  <si>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</si>
  <si>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</si>
  <si>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</si>
  <si>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</si>
  <si>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</si>
  <si>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</si>
  <si>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</si>
  <si>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</si>
  <si>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</si>
  <si>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</si>
  <si>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</si>
  <si>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</si>
  <si>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</si>
  <si>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</si>
  <si>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</si>
  <si>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</si>
  <si>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</si>
  <si>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</si>
  <si>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</si>
  <si>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</si>
  <si>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</si>
  <si>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</si>
  <si>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</si>
  <si>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</si>
  <si>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</si>
  <si>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</si>
  <si>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</si>
  <si>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</si>
  <si>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</si>
  <si>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</si>
  <si>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</si>
  <si>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</si>
  <si>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</si>
  <si>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</si>
  <si>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</si>
  <si>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</si>
  <si>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</si>
  <si>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</si>
  <si>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</si>
  <si>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</si>
  <si>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</si>
  <si>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</si>
  <si>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</si>
  <si>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</si>
  <si>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</si>
  <si>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</si>
  <si>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</si>
  <si>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</si>
  <si>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</si>
  <si>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</si>
  <si>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</si>
  <si>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</si>
  <si>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</si>
  <si>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</si>
  <si>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</si>
  <si>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</si>
  <si>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</si>
  <si>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</si>
  <si>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</si>
  <si>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</si>
  <si>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</si>
  <si>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</si>
  <si>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</si>
  <si>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</si>
  <si>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</si>
  <si>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</si>
  <si>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</si>
  <si>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</si>
  <si>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</si>
  <si>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</si>
  <si>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</si>
  <si>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</si>
  <si>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</si>
  <si>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</si>
  <si>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</si>
  <si>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</si>
  <si>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</si>
  <si>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</si>
  <si>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</si>
  <si>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</si>
  <si>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</si>
  <si>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</si>
  <si>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</si>
  <si>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</si>
  <si>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</si>
  <si>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</si>
  <si>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</si>
  <si>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</si>
  <si>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</si>
  <si>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</si>
  <si>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</si>
  <si>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</si>
  <si>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</si>
  <si>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</si>
  <si>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</si>
  <si>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</si>
  <si>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</si>
  <si>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</si>
  <si>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</si>
  <si>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</si>
  <si>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</si>
  <si>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</si>
  <si>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</si>
  <si>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</si>
  <si>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</si>
  <si>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</si>
  <si>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</si>
  <si>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</si>
  <si>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</si>
  <si>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</si>
  <si>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</si>
  <si>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</si>
  <si>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</si>
  <si>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</si>
  <si>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</si>
  <si>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</si>
  <si>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</si>
  <si>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</si>
  <si>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</si>
  <si>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</si>
  <si>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</si>
  <si>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</si>
  <si>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</si>
  <si>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</si>
  <si>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</si>
  <si>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</si>
  <si>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</si>
  <si>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</si>
  <si>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</si>
  <si>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</si>
  <si>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</si>
  <si>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</si>
  <si>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</si>
  <si>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</si>
  <si>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</si>
  <si>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</si>
  <si>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</si>
  <si>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</si>
  <si>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</si>
  <si>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</si>
  <si>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</si>
  <si>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</si>
  <si>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</si>
  <si>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</si>
  <si>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</si>
  <si>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</si>
  <si>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</si>
  <si>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</si>
  <si>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</si>
  <si>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</si>
  <si>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</si>
  <si>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</si>
  <si>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</si>
  <si>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</si>
  <si>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</si>
  <si>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</si>
  <si>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</si>
  <si>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</si>
  <si>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</si>
  <si>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</si>
  <si>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</si>
  <si>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</si>
  <si>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</si>
  <si>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</si>
  <si>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</si>
  <si>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</si>
  <si>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</si>
  <si>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</si>
  <si>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</si>
  <si>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</si>
  <si>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</si>
  <si>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</si>
  <si>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</si>
  <si>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</si>
  <si>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</si>
  <si>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</si>
  <si>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</si>
  <si>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</si>
  <si>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</si>
  <si>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</si>
  <si>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</si>
  <si>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</si>
  <si>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</si>
  <si>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</si>
  <si>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</si>
  <si>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</si>
  <si>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</si>
  <si>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</si>
  <si>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</si>
  <si>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</si>
  <si>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</si>
  <si>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</si>
  <si>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</si>
  <si>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</si>
  <si>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</si>
  <si>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</si>
  <si>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</si>
  <si>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</si>
  <si>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</si>
  <si>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</si>
  <si>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</si>
  <si>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</si>
  <si>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</si>
  <si>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</si>
  <si>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</si>
  <si>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</si>
  <si>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</si>
  <si>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</si>
  <si>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</si>
  <si>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</si>
  <si>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</si>
  <si>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</si>
  <si>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</si>
  <si>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</si>
  <si>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</si>
  <si>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</si>
  <si>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</si>
  <si>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</si>
  <si>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</si>
  <si>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</si>
  <si>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</si>
  <si>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</si>
  <si>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</si>
  <si>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</si>
  <si>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</si>
  <si>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</si>
  <si>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</si>
  <si>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</si>
  <si>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</si>
  <si>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</si>
  <si>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</si>
  <si>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</si>
  <si>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</si>
  <si>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</si>
  <si>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</si>
  <si>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</si>
  <si>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</si>
  <si>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</si>
  <si>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</si>
  <si>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</si>
  <si>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</si>
  <si>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</si>
  <si>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</si>
  <si>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</si>
  <si>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</si>
  <si>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</si>
  <si>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</si>
  <si>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</si>
  <si>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</si>
  <si>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</si>
  <si>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</si>
  <si>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</si>
  <si>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</si>
  <si>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</si>
  <si>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</si>
  <si>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</si>
  <si>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</si>
  <si>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</si>
  <si>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</si>
  <si>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</si>
  <si>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</si>
  <si>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</si>
  <si>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</si>
  <si>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</si>
  <si>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</si>
  <si>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</si>
  <si>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</si>
  <si>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</si>
  <si>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</si>
  <si>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</si>
  <si>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</si>
  <si>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</si>
  <si>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</si>
  <si>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</si>
  <si>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</si>
  <si>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</si>
  <si>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</si>
  <si>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</si>
  <si>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</si>
  <si>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</si>
  <si>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</si>
  <si>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</si>
  <si>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</si>
  <si>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</si>
  <si>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</si>
  <si>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</si>
  <si>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</si>
  <si>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</si>
  <si>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</si>
  <si>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</si>
  <si>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</si>
  <si>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</si>
  <si>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</si>
  <si>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</si>
  <si>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</si>
  <si>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</si>
  <si>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</si>
  <si>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</si>
  <si>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</si>
  <si>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</si>
  <si>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</si>
  <si>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</si>
  <si>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</si>
  <si>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</si>
  <si>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</si>
  <si>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</si>
  <si>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</si>
  <si>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</si>
  <si>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</si>
  <si>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</si>
  <si>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</si>
  <si>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</si>
  <si>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</si>
  <si>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</si>
  <si>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</si>
  <si>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</si>
  <si>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</si>
  <si>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</si>
  <si>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</si>
  <si>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</si>
  <si>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</si>
  <si>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</si>
  <si>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</si>
  <si>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</si>
  <si>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</si>
  <si>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</si>
  <si>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</si>
  <si>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</si>
  <si>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</si>
  <si>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</si>
  <si>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</si>
  <si>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</si>
  <si>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</si>
  <si>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</si>
  <si>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</si>
  <si>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</si>
  <si>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</si>
  <si>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</si>
  <si>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</si>
  <si>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</si>
  <si>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</si>
  <si>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</si>
  <si>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</si>
  <si>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</si>
  <si>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</si>
  <si>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</si>
  <si>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</si>
  <si>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</si>
  <si>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</si>
  <si>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</si>
  <si>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</si>
  <si>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</si>
  <si>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</si>
  <si>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</si>
  <si>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</si>
  <si>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</si>
  <si>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</si>
  <si>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</si>
  <si>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</si>
  <si>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</si>
  <si>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</si>
  <si>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</si>
  <si>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</si>
  <si>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</si>
  <si>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</si>
  <si>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</si>
  <si>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</si>
  <si>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</si>
  <si>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</si>
  <si>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</si>
  <si>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</si>
  <si>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</si>
  <si>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</si>
  <si>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</si>
  <si>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</si>
  <si>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</si>
  <si>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</si>
  <si>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</si>
  <si>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</si>
  <si>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</si>
  <si>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</si>
  <si>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</si>
  <si>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</si>
  <si>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</si>
  <si>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</si>
  <si>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</si>
  <si>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</si>
  <si>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</si>
  <si>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</si>
  <si>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</si>
  <si>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</si>
  <si>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</si>
  <si>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</si>
  <si>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</si>
  <si>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</si>
  <si>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</si>
  <si>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</si>
  <si>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</si>
  <si>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</si>
  <si>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</si>
  <si>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</si>
  <si>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</si>
  <si>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</si>
  <si>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</si>
  <si>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</si>
  <si>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</si>
  <si>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</si>
  <si>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</si>
  <si>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</si>
  <si>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</si>
  <si>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</si>
  <si>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</si>
  <si>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</si>
  <si>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</si>
  <si>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</si>
  <si>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</si>
  <si>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</si>
  <si>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</si>
  <si>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</si>
  <si>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</si>
  <si>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</si>
  <si>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</si>
  <si>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</si>
  <si>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</si>
  <si>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</si>
  <si>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</si>
  <si>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</si>
  <si>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</si>
  <si>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</si>
  <si>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</si>
  <si>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</si>
  <si>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</si>
  <si>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</si>
  <si>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</si>
  <si>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</si>
  <si>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</si>
  <si>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</si>
  <si>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</si>
  <si>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</si>
  <si>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</si>
  <si>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</si>
  <si>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</si>
  <si>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</si>
  <si>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</si>
  <si>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</si>
  <si>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</si>
  <si>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</si>
  <si>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</si>
  <si>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</si>
  <si>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</si>
  <si>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</si>
  <si>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</si>
  <si>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</si>
  <si>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</si>
  <si>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</si>
  <si>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</si>
  <si>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</si>
  <si>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</si>
  <si>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</si>
  <si>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</si>
  <si>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</si>
  <si>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</si>
  <si>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</si>
  <si>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</si>
  <si>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</si>
  <si>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</si>
  <si>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</si>
  <si>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</si>
  <si>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</si>
  <si>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</si>
  <si>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</si>
  <si>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</si>
  <si>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</si>
  <si>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</si>
  <si>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</si>
  <si>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</si>
  <si>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</si>
  <si>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</si>
  <si>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</si>
  <si>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</si>
  <si>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</si>
  <si>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</si>
  <si>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</si>
  <si>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</si>
  <si>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</si>
  <si>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</si>
  <si>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</si>
  <si>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</si>
  <si>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</si>
  <si>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</si>
  <si>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</si>
  <si>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</si>
  <si>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</si>
  <si>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</si>
  <si>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</si>
  <si>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</si>
  <si>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</si>
  <si>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</si>
  <si>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</si>
  <si>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</si>
  <si>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</si>
  <si>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</si>
  <si>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</si>
  <si>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</si>
  <si>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</si>
  <si>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</si>
  <si>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</si>
  <si>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</si>
  <si>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</si>
  <si>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</si>
  <si>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</si>
  <si>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</si>
  <si>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</si>
  <si>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</si>
  <si>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</si>
  <si>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</si>
  <si>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</si>
  <si>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</si>
  <si>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</si>
  <si>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</si>
  <si>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</si>
  <si>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</si>
  <si>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</si>
  <si>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</si>
  <si>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</si>
  <si>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</si>
  <si>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</si>
  <si>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</si>
  <si>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</si>
  <si>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</si>
  <si>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</si>
  <si>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</si>
  <si>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</si>
  <si>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</si>
  <si>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</si>
  <si>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</si>
  <si>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</si>
  <si>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</si>
  <si>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</si>
  <si>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</si>
  <si>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</si>
  <si>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</si>
  <si>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</si>
  <si>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</si>
  <si>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</si>
  <si>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</si>
  <si>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</si>
  <si>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</si>
  <si>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</si>
  <si>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</si>
  <si>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</si>
  <si>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</si>
  <si>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</si>
  <si>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</si>
  <si>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</si>
  <si>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</si>
  <si>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</si>
  <si>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</si>
  <si>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</si>
  <si>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</si>
  <si>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</si>
  <si>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</si>
  <si>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</si>
  <si>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</si>
  <si>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</si>
  <si>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</si>
  <si>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</si>
  <si>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</si>
  <si>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</si>
  <si>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</si>
  <si>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</si>
  <si>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</si>
  <si>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</si>
  <si>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</si>
  <si>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</si>
  <si>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</si>
  <si>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</si>
  <si>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</si>
  <si>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</si>
  <si>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</si>
  <si>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</si>
  <si>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</si>
  <si>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</si>
  <si>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</si>
  <si>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</si>
  <si>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</si>
  <si>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</si>
  <si>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</si>
  <si>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</si>
  <si>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</si>
  <si>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</si>
  <si>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</si>
  <si>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</si>
  <si>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</si>
  <si>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</si>
  <si>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</si>
  <si>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</si>
  <si>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</si>
  <si>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</si>
  <si>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</si>
  <si>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</si>
  <si>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</si>
  <si>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</si>
  <si>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</si>
  <si>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</si>
  <si>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</si>
  <si>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</si>
  <si>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</si>
  <si>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</si>
  <si>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</si>
  <si>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</si>
  <si>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</si>
  <si>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</si>
  <si>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</si>
  <si>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</si>
  <si>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</si>
  <si>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</si>
  <si>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</si>
  <si>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</si>
  <si>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</si>
  <si>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</si>
  <si>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</si>
  <si>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</si>
  <si>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</si>
  <si>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</si>
  <si>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</si>
  <si>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</si>
  <si>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</si>
  <si>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</si>
  <si>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</si>
  <si>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</si>
  <si>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</si>
  <si>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</si>
  <si>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</si>
  <si>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</si>
  <si>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</si>
  <si>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</si>
  <si>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</si>
  <si>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</si>
  <si>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</si>
  <si>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</si>
  <si>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</si>
  <si>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</si>
  <si>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</si>
  <si>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</si>
  <si>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</si>
  <si>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</si>
  <si>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</si>
  <si>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</si>
  <si>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</si>
  <si>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</si>
  <si>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</si>
  <si>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</si>
  <si>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</si>
  <si>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</si>
  <si>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</si>
  <si>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</si>
  <si>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</si>
  <si>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</si>
  <si>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</si>
  <si>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</si>
  <si>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</si>
  <si>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</si>
  <si>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</si>
  <si>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</si>
  <si>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</si>
  <si>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</si>
  <si>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</si>
  <si>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</si>
  <si>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</si>
  <si>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</si>
  <si>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</si>
  <si>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</si>
  <si>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</si>
  <si>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</si>
  <si>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</si>
  <si>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</si>
  <si>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</si>
  <si>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</si>
  <si>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</si>
  <si>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</si>
  <si>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</si>
  <si>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</si>
  <si>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</si>
  <si>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</si>
  <si>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</si>
  <si>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</si>
  <si>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</si>
  <si>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</si>
  <si>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</si>
  <si>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</si>
  <si>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</si>
  <si>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</si>
  <si>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</si>
  <si>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</si>
  <si>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</si>
  <si>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</si>
  <si>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</si>
  <si>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</si>
  <si>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</si>
  <si>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</si>
  <si>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</si>
  <si>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</si>
  <si>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</si>
  <si>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</si>
  <si>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</si>
  <si>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</si>
  <si>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</si>
  <si>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</si>
  <si>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</si>
  <si>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</si>
  <si>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</si>
  <si>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</si>
  <si>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</si>
  <si>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</si>
  <si>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</si>
  <si>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</si>
  <si>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</si>
  <si>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</si>
  <si>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</si>
  <si>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</si>
  <si>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</si>
  <si>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</si>
  <si>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</si>
  <si>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</si>
  <si>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</si>
  <si>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</si>
  <si>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</si>
  <si>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</si>
  <si>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</si>
  <si>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</si>
  <si>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</si>
  <si>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</si>
  <si>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</si>
  <si>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</si>
  <si>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</si>
  <si>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</si>
  <si>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</si>
  <si>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</si>
  <si>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</si>
  <si>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</si>
  <si>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</si>
  <si>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</si>
  <si>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</si>
  <si>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</si>
  <si>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</si>
  <si>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</si>
  <si>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</si>
  <si>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</si>
  <si>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</si>
  <si>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</si>
  <si>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</si>
  <si>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</si>
  <si>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</si>
  <si>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</si>
  <si>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</si>
  <si>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</si>
  <si>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</si>
  <si>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</si>
  <si>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</si>
  <si>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</si>
  <si>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</si>
  <si>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</si>
  <si>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</si>
  <si>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</si>
  <si>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</si>
  <si>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</si>
  <si>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</si>
  <si>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</si>
  <si>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</si>
  <si>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</si>
  <si>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</si>
  <si>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</si>
  <si>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</si>
  <si>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</si>
  <si>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</si>
  <si>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</si>
  <si>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</si>
  <si>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</si>
  <si>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</si>
  <si>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</si>
  <si>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</si>
  <si>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</si>
  <si>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</si>
  <si>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</si>
  <si>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</si>
  <si>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</si>
  <si>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</si>
  <si>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</si>
  <si>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</si>
  <si>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</si>
  <si>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</si>
  <si>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</si>
  <si>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</si>
  <si>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</si>
  <si>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</si>
  <si>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</si>
  <si>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</si>
  <si>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</si>
  <si>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</si>
  <si>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</si>
  <si>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</si>
  <si>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</si>
  <si>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</si>
  <si>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</si>
  <si>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</si>
  <si>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</si>
  <si>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</si>
  <si>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</si>
  <si>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</si>
  <si>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</si>
  <si>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</si>
  <si>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</si>
  <si>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</si>
  <si>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</si>
  <si>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</si>
  <si>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</si>
  <si>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</si>
  <si>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</si>
  <si>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</si>
  <si>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</si>
  <si>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</si>
  <si>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</si>
  <si>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</si>
  <si>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</si>
  <si>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</si>
  <si>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</si>
  <si>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</si>
  <si>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</si>
  <si>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</si>
  <si>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</si>
  <si>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</si>
  <si>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</si>
  <si>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</si>
  <si>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</si>
  <si>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</si>
  <si>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</si>
  <si>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</si>
  <si>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</si>
  <si>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</si>
  <si>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</si>
  <si>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</si>
  <si>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</si>
  <si>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</si>
  <si>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</si>
  <si>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</si>
  <si>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</si>
  <si>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</si>
  <si>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</si>
  <si>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</si>
  <si>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</si>
  <si>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</si>
  <si>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</si>
  <si>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</si>
  <si>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</si>
  <si>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</si>
  <si>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</si>
  <si>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</si>
  <si>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</si>
  <si>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</si>
  <si>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</si>
  <si>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</si>
  <si>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</si>
  <si>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</si>
  <si>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</si>
  <si>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</si>
  <si>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</si>
  <si>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</si>
  <si>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</si>
  <si>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</si>
  <si>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</si>
  <si>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</si>
  <si>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</si>
  <si>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</si>
  <si>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</si>
  <si>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</si>
  <si>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</si>
  <si>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</si>
  <si>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</si>
  <si>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</si>
  <si>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</si>
  <si>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</si>
  <si>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</si>
  <si>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</si>
  <si>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</si>
  <si>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</si>
  <si>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</si>
  <si>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</si>
  <si>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</si>
  <si>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</si>
  <si>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</si>
  <si>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</si>
  <si>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</si>
  <si>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</si>
  <si>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</si>
  <si>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</si>
  <si>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</si>
  <si>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</si>
  <si>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</si>
  <si>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</si>
  <si>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</si>
  <si>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</si>
  <si>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</si>
  <si>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</si>
  <si>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</si>
  <si>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</si>
  <si>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</si>
  <si>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</si>
  <si>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</si>
  <si>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</si>
  <si>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</si>
  <si>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</si>
  <si>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</si>
  <si>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</si>
  <si>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</si>
  <si>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</si>
  <si>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</si>
  <si>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</si>
  <si>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</si>
  <si>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</si>
  <si>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</si>
  <si>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</si>
  <si>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</si>
  <si>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</si>
  <si>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</si>
  <si>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</si>
  <si>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</si>
  <si>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</si>
  <si>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</si>
  <si>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</si>
  <si>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</si>
  <si>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</si>
  <si>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</si>
  <si>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</si>
  <si>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</si>
  <si>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</si>
  <si>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</si>
  <si>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</si>
  <si>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</si>
  <si>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</si>
  <si>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</si>
  <si>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</si>
  <si>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</si>
  <si>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</si>
  <si>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</si>
  <si>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</si>
  <si>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</si>
  <si>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</si>
  <si>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</si>
  <si>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</si>
  <si>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</si>
  <si>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</si>
  <si>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</si>
  <si>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</si>
  <si>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</si>
  <si>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</si>
  <si>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</si>
  <si>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</si>
  <si>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</si>
  <si>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</si>
  <si>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</si>
  <si>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</si>
  <si>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</si>
  <si>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</si>
  <si>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</si>
  <si>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</si>
  <si>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</si>
  <si>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</si>
  <si>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</si>
  <si>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</si>
  <si>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</si>
  <si>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</si>
  <si>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</si>
  <si>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</si>
  <si>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</si>
  <si>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</si>
  <si>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</si>
  <si>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</si>
  <si>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</si>
  <si>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</si>
  <si>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</si>
  <si>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</si>
  <si>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</si>
  <si>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</si>
  <si>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</si>
  <si>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</si>
  <si>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</si>
  <si>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</si>
  <si>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</si>
  <si>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</si>
  <si>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</si>
  <si>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</si>
  <si>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</si>
  <si>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</si>
  <si>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</si>
  <si>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</si>
  <si>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</si>
  <si>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</si>
  <si>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</si>
  <si>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</si>
  <si>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</si>
  <si>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</si>
  <si>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</si>
  <si>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</si>
  <si>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</si>
  <si>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</si>
  <si>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</si>
  <si>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</si>
  <si>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</si>
  <si>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</si>
  <si>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</si>
  <si>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</si>
  <si>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</si>
  <si>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</si>
  <si>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</si>
  <si>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</si>
  <si>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</si>
  <si>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</si>
  <si>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</si>
  <si>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</si>
  <si>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</si>
  <si>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</si>
  <si>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</si>
  <si>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</si>
  <si>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</si>
  <si>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</si>
  <si>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</si>
  <si>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</si>
  <si>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</si>
  <si>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</si>
  <si>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</si>
  <si>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</si>
  <si>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</si>
  <si>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</si>
  <si>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</si>
  <si>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</si>
  <si>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</si>
  <si>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</si>
  <si>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</si>
  <si>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</si>
  <si>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</si>
  <si>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</si>
  <si>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</si>
  <si>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</si>
  <si>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</si>
  <si>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</si>
  <si>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</si>
  <si>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</si>
  <si>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</si>
  <si>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</si>
  <si>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</si>
  <si>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</si>
  <si>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</si>
  <si>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</si>
  <si>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</si>
  <si>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</si>
  <si>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</si>
  <si>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</si>
  <si>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</si>
  <si>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</si>
  <si>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</si>
  <si>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</si>
  <si>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</si>
  <si>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</si>
  <si>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</si>
  <si>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</si>
  <si>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</si>
  <si>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</si>
  <si>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</si>
  <si>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</si>
  <si>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</si>
  <si>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</si>
  <si>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</si>
  <si>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</si>
  <si>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</si>
  <si>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</si>
  <si>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</si>
  <si>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</si>
  <si>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</si>
  <si>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</si>
  <si>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</si>
  <si>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</si>
  <si>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</si>
  <si>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</si>
  <si>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</si>
  <si>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</si>
  <si>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</si>
  <si>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</si>
  <si>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</si>
  <si>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</si>
  <si>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</si>
  <si>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</si>
  <si>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</si>
  <si>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</si>
  <si>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</si>
  <si>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</si>
  <si>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</si>
  <si>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</si>
  <si>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</si>
  <si>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</si>
  <si>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</si>
  <si>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</si>
  <si>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</si>
  <si>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</si>
  <si>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</si>
  <si>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</si>
  <si>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</si>
  <si>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</si>
  <si>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</si>
  <si>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</si>
  <si>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</si>
  <si>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</si>
  <si>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</si>
  <si>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</si>
  <si>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</si>
  <si>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</si>
  <si>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</si>
  <si>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</si>
  <si>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</si>
  <si>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</si>
  <si>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</si>
  <si>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</si>
  <si>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</si>
  <si>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</si>
  <si>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</si>
  <si>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</si>
  <si>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</si>
  <si>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</si>
  <si>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</si>
  <si>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</si>
  <si>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</si>
  <si>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</si>
  <si>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</si>
  <si>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</si>
  <si>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</si>
  <si>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</si>
  <si>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</si>
  <si>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</si>
  <si>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</si>
  <si>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</si>
  <si>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</si>
  <si>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</si>
  <si>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</si>
  <si>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</si>
  <si>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</si>
  <si>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</si>
  <si>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</si>
  <si>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</si>
  <si>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</si>
  <si>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</si>
  <si>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</si>
  <si>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</si>
  <si>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</si>
  <si>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</si>
  <si>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</si>
  <si>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</si>
  <si>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</si>
  <si>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</si>
  <si>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</si>
  <si>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</si>
  <si>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</si>
  <si>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</si>
  <si>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</si>
  <si>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</si>
  <si>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</si>
  <si>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</si>
  <si>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</si>
  <si>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</si>
  <si>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</si>
  <si>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</si>
  <si>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</si>
  <si>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</si>
  <si>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</si>
  <si>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</si>
  <si>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</si>
  <si>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</si>
  <si>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</si>
  <si>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</si>
  <si>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</si>
  <si>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</si>
  <si>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</si>
  <si>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</si>
  <si>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</si>
  <si>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</si>
  <si>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</si>
  <si>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</si>
  <si>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</si>
  <si>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</si>
  <si>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</si>
  <si>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</si>
  <si>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</si>
  <si>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</si>
  <si>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</si>
  <si>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</si>
  <si>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</si>
  <si>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</si>
  <si>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</si>
  <si>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</si>
  <si>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</si>
  <si>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</si>
  <si>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</si>
  <si>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</si>
  <si>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ST.H010</t>
  </si>
  <si>
    <t>ST.H011</t>
  </si>
  <si>
    <t>SV.F020</t>
  </si>
  <si>
    <t>SV.G020</t>
  </si>
  <si>
    <t>SA-AC04</t>
  </si>
  <si>
    <t>SV.H004</t>
  </si>
  <si>
    <t>SA-AC05</t>
  </si>
  <si>
    <t>SV.H005</t>
  </si>
  <si>
    <t>SA-AC06</t>
  </si>
  <si>
    <t>SV.H006</t>
  </si>
  <si>
    <t>SA-AC07</t>
  </si>
  <si>
    <t>SV.H007</t>
  </si>
  <si>
    <t>SA-AC08</t>
  </si>
  <si>
    <t>SV.H008</t>
  </si>
  <si>
    <t>SA-AC09</t>
  </si>
  <si>
    <t>SV.H009</t>
  </si>
  <si>
    <t>SA-AC02</t>
  </si>
  <si>
    <t>SV.H002</t>
  </si>
  <si>
    <t>SA-AC03</t>
  </si>
  <si>
    <t>SV.H003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</si>
</sst>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23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zoomScale="93" zoomScaleNormal="146" workbookViewId="0">
      <selection activeCell="R21" sqref="R21:S21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3">
        <f ca="1">TODAY()</f>
        <v>46178</v>
      </c>
      <c r="C1" s="73"/>
      <c r="D1" s="73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2</v>
      </c>
      <c r="E6" s="1">
        <f t="shared" ca="1" si="0"/>
        <v>2</v>
      </c>
      <c r="F6" s="1">
        <f t="shared" ca="1" si="0"/>
        <v>4</v>
      </c>
      <c r="G6" s="1">
        <f t="shared" ca="1" si="0"/>
        <v>4</v>
      </c>
      <c r="H6" s="1">
        <f t="shared" ca="1" si="0"/>
        <v>4</v>
      </c>
      <c r="J6" s="1">
        <f t="shared" ref="J6:P6" ca="1" si="1">IF(J7="","",$B$1-J7)</f>
        <v>4</v>
      </c>
      <c r="K6" s="1">
        <f t="shared" ca="1" si="1"/>
        <v>4</v>
      </c>
      <c r="L6" s="1">
        <f t="shared" ca="1" si="1"/>
        <v>4</v>
      </c>
      <c r="M6" s="1">
        <f t="shared" ca="1" si="1"/>
        <v>4</v>
      </c>
      <c r="N6" s="1">
        <f t="shared" ca="1" si="1"/>
        <v>5</v>
      </c>
      <c r="O6" s="1">
        <f t="shared" ca="1" si="1"/>
        <v>5</v>
      </c>
      <c r="P6" s="1">
        <f t="shared" ca="1" si="1"/>
        <v>5</v>
      </c>
      <c r="R6" s="1">
        <f t="shared" ref="R6:X6" ca="1" si="2">IF(R7="","",$B$1-R7)</f>
        <v>5</v>
      </c>
      <c r="S6" s="1">
        <f t="shared" ca="1" si="2"/>
        <v>5</v>
      </c>
      <c r="T6" s="1">
        <f t="shared" ca="1" si="2"/>
        <v>5</v>
      </c>
      <c r="U6" s="1">
        <f t="shared" ca="1" si="2"/>
        <v>5</v>
      </c>
      <c r="V6" s="1">
        <f t="shared" ca="1" si="2"/>
        <v>6</v>
      </c>
      <c r="W6" s="1">
        <f t="shared" ca="1" si="2"/>
        <v>6</v>
      </c>
      <c r="X6" s="1">
        <f t="shared" ca="1" si="2"/>
        <v>6</v>
      </c>
      <c r="Y6" s="9"/>
    </row>
    <row r="7" spans="1:25" ht="38.25" customHeight="1" x14ac:dyDescent="0.25">
      <c r="B7" s="70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1"/>
      <c r="Y8" s="9"/>
    </row>
    <row r="9" spans="1:25" x14ac:dyDescent="0.25">
      <c r="B9" s="71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2"/>
      <c r="C10" s="3">
        <f t="shared" ref="C10:H10" ca="1" si="3">IF(C11="","",$B$1-C11)</f>
        <v>11</v>
      </c>
      <c r="D10" s="1">
        <f t="shared" ca="1" si="3"/>
        <v>11</v>
      </c>
      <c r="E10" s="1">
        <f t="shared" ca="1" si="3"/>
        <v>11</v>
      </c>
      <c r="F10" s="1">
        <f t="shared" ca="1" si="3"/>
        <v>11</v>
      </c>
      <c r="G10" s="1">
        <f t="shared" ca="1" si="3"/>
        <v>11</v>
      </c>
      <c r="H10" s="1">
        <f t="shared" ca="1" si="3"/>
        <v>11</v>
      </c>
      <c r="J10" s="1">
        <f t="shared" ref="J10:P10" ca="1" si="4">IF(J11="","",$B$1-J11)</f>
        <v>11</v>
      </c>
      <c r="K10" s="1">
        <f t="shared" ca="1" si="4"/>
        <v>8</v>
      </c>
      <c r="L10" s="1">
        <f t="shared" ca="1" si="4"/>
        <v>8</v>
      </c>
      <c r="M10" s="1">
        <f t="shared" ca="1" si="4"/>
        <v>8</v>
      </c>
      <c r="N10" s="1">
        <f t="shared" ca="1" si="4"/>
        <v>8</v>
      </c>
      <c r="O10" s="1">
        <f t="shared" ca="1" si="4"/>
        <v>8</v>
      </c>
      <c r="P10" s="1">
        <f t="shared" ca="1" si="4"/>
        <v>8</v>
      </c>
      <c r="R10" s="1">
        <f t="shared" ref="R10:X10" ca="1" si="5">IF(R11="","",$B$1-R11)</f>
        <v>8</v>
      </c>
      <c r="S10" s="1">
        <f t="shared" ca="1" si="5"/>
        <v>7</v>
      </c>
      <c r="T10" s="1">
        <f t="shared" ca="1" si="5"/>
        <v>7</v>
      </c>
      <c r="U10" s="1">
        <f t="shared" ca="1" si="5"/>
        <v>6</v>
      </c>
      <c r="V10" s="1">
        <f t="shared" ca="1" si="5"/>
        <v>6</v>
      </c>
      <c r="W10" s="1">
        <f t="shared" ca="1" si="5"/>
        <v>6</v>
      </c>
      <c r="X10" s="1">
        <f t="shared" ca="1" si="5"/>
        <v>6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12</v>
      </c>
      <c r="D14" s="1">
        <f t="shared" ca="1" si="6"/>
        <v>12</v>
      </c>
      <c r="E14" s="1">
        <f t="shared" ca="1" si="6"/>
        <v>12</v>
      </c>
      <c r="F14" s="1">
        <f t="shared" ca="1" si="6"/>
        <v>12</v>
      </c>
      <c r="G14" s="1">
        <f t="shared" ca="1" si="6"/>
        <v>12</v>
      </c>
      <c r="H14" s="1">
        <f t="shared" ca="1" si="6"/>
        <v>12</v>
      </c>
      <c r="J14" s="1">
        <f t="shared" ref="J14:P14" ca="1" si="7">IF(J15="","",$B$1-J15)</f>
        <v>12</v>
      </c>
      <c r="K14" s="1">
        <f t="shared" ca="1" si="7"/>
        <v>9</v>
      </c>
      <c r="L14" s="1">
        <f t="shared" ca="1" si="7"/>
        <v>9</v>
      </c>
      <c r="M14" s="1">
        <f t="shared" ca="1" si="7"/>
        <v>9</v>
      </c>
      <c r="N14" s="1">
        <f t="shared" ca="1" si="7"/>
        <v>9</v>
      </c>
      <c r="O14" s="1">
        <f t="shared" ca="1" si="7"/>
        <v>9</v>
      </c>
      <c r="P14" s="1">
        <f t="shared" ca="1" si="7"/>
        <v>9</v>
      </c>
      <c r="R14" s="1">
        <f t="shared" ref="R14:X14" ca="1" si="8">IF(R15="","",$B$1-R15)</f>
        <v>9</v>
      </c>
      <c r="S14" s="1">
        <f t="shared" ca="1" si="8"/>
        <v>7</v>
      </c>
      <c r="T14" s="1">
        <f t="shared" ca="1" si="8"/>
        <v>7</v>
      </c>
      <c r="U14" s="1">
        <f t="shared" ca="1" si="8"/>
        <v>7</v>
      </c>
      <c r="V14" s="1">
        <f t="shared" ca="1" si="8"/>
        <v>7</v>
      </c>
      <c r="W14" s="1">
        <f t="shared" ca="1" si="8"/>
        <v>7</v>
      </c>
      <c r="X14" s="1">
        <f t="shared" ca="1" si="8"/>
        <v>7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24</v>
      </c>
      <c r="K20" s="1">
        <f ca="1">IF(K21="","",$B$1-K21)</f>
        <v>24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2</v>
      </c>
      <c r="D24" s="1">
        <f t="shared" ca="1" si="9"/>
        <v>2</v>
      </c>
      <c r="E24" s="1" t="str">
        <f t="shared" si="9"/>
        <v/>
      </c>
      <c r="F24" s="1" t="str">
        <f t="shared" si="9"/>
        <v/>
      </c>
      <c r="G24" s="1">
        <f t="shared" ca="1" si="9"/>
        <v>2</v>
      </c>
      <c r="H24" s="1">
        <f t="shared" ca="1" si="9"/>
        <v>2</v>
      </c>
      <c r="J24" s="1">
        <f ca="1">IF(J25="","",$B$1-J25)</f>
        <v>2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27</v>
      </c>
      <c r="T24" s="1">
        <f t="shared" ca="1" si="10"/>
        <v>27</v>
      </c>
      <c r="U24" s="1">
        <f t="shared" ca="1" si="10"/>
        <v>27</v>
      </c>
      <c r="V24" s="1">
        <f t="shared" ca="1" si="10"/>
        <v>27</v>
      </c>
      <c r="W24" s="1">
        <f t="shared" ca="1" si="10"/>
        <v>27</v>
      </c>
      <c r="X24" s="1">
        <f t="shared" ca="1" si="10"/>
        <v>27</v>
      </c>
      <c r="Z24" s="1">
        <f t="shared" ca="1" si="10"/>
        <v>27</v>
      </c>
      <c r="AA24" s="1">
        <f t="shared" ca="1" si="10"/>
        <v>25</v>
      </c>
      <c r="AB24" s="1">
        <f t="shared" ca="1" si="10"/>
        <v>25</v>
      </c>
      <c r="AC24" s="1">
        <f t="shared" ca="1" si="10"/>
        <v>25</v>
      </c>
      <c r="AD24" s="1">
        <f t="shared" ca="1" si="10"/>
        <v>25</v>
      </c>
      <c r="AE24" s="1">
        <f t="shared" ca="1" si="10"/>
        <v>25</v>
      </c>
      <c r="AF24" s="1">
        <f t="shared" ca="1" si="10"/>
        <v>25</v>
      </c>
      <c r="AG24" s="1">
        <f t="shared" ca="1" si="10"/>
        <v>25</v>
      </c>
      <c r="AH24" s="1">
        <f t="shared" ca="1" si="10"/>
        <v>24</v>
      </c>
      <c r="AI24" s="1">
        <f t="shared" ca="1" si="10"/>
        <v>24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3</v>
      </c>
      <c r="D28" s="1">
        <f t="shared" ca="1" si="11"/>
        <v>3</v>
      </c>
      <c r="E28" s="1">
        <f t="shared" ca="1" si="11"/>
        <v>3</v>
      </c>
      <c r="F28" s="1">
        <f t="shared" ca="1" si="11"/>
        <v>3</v>
      </c>
      <c r="G28" s="1">
        <f t="shared" ca="1" si="11"/>
        <v>3</v>
      </c>
      <c r="H28" s="1">
        <f t="shared" ca="1" si="11"/>
        <v>3</v>
      </c>
      <c r="J28" s="1">
        <f ca="1">IF(J29="","",$B$1-J29)</f>
        <v>3</v>
      </c>
      <c r="K28" s="1">
        <f t="shared" ref="K28:P28" ca="1" si="12">IF(K29="","",$B$1-K29)</f>
        <v>0</v>
      </c>
      <c r="L28" s="1">
        <f t="shared" ca="1" si="12"/>
        <v>0</v>
      </c>
      <c r="M28" s="1">
        <f t="shared" ca="1" si="12"/>
        <v>0</v>
      </c>
      <c r="N28" s="1">
        <f t="shared" ca="1" si="12"/>
        <v>0</v>
      </c>
      <c r="O28" s="1">
        <f t="shared" ca="1" si="12"/>
        <v>0</v>
      </c>
      <c r="P28" s="1">
        <f t="shared" ca="1" si="12"/>
        <v>0</v>
      </c>
      <c r="R28" s="1">
        <f t="shared" ref="R28:X28" ca="1" si="13">IF(R29="","",$B$1-R29)</f>
        <v>0</v>
      </c>
      <c r="S28" s="1">
        <f ca="1">IF(S29="","",$B$1-S29)</f>
        <v>28</v>
      </c>
      <c r="T28" s="1">
        <f ca="1">IF(T29="","",$B$1-T29)</f>
        <v>28</v>
      </c>
      <c r="U28" s="1">
        <f ca="1">IF(U29="","",$B$1-U29)</f>
        <v>28</v>
      </c>
      <c r="V28" s="1">
        <f ca="1">IF(V29="","",$B$1-V29)</f>
        <v>28</v>
      </c>
      <c r="W28" s="1">
        <f t="shared" ca="1" si="13"/>
        <v>28</v>
      </c>
      <c r="X28" s="1">
        <f t="shared" ca="1" si="13"/>
        <v>28</v>
      </c>
      <c r="Z28" s="1">
        <f t="shared" ref="Z28:AI28" ca="1" si="14">IF(Z29="","",$B$1-Z29)</f>
        <v>28</v>
      </c>
      <c r="AA28" s="1">
        <f t="shared" ca="1" si="14"/>
        <v>26</v>
      </c>
      <c r="AB28" s="1">
        <f t="shared" ca="1" si="14"/>
        <v>26</v>
      </c>
      <c r="AC28" s="1">
        <f t="shared" ca="1" si="14"/>
        <v>26</v>
      </c>
      <c r="AD28" s="1">
        <f t="shared" ca="1" si="14"/>
        <v>26</v>
      </c>
      <c r="AE28" s="1">
        <f t="shared" ca="1" si="14"/>
        <v>26</v>
      </c>
      <c r="AF28" s="1">
        <f t="shared" ca="1" si="14"/>
        <v>26</v>
      </c>
      <c r="AG28" s="1">
        <f t="shared" ca="1" si="14"/>
        <v>26</v>
      </c>
      <c r="AH28" s="1">
        <f t="shared" ca="1" si="14"/>
        <v>24</v>
      </c>
      <c r="AI28" s="1">
        <f t="shared" ca="1" si="14"/>
        <v>24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4" t="s">
        <v>135</v>
      </c>
      <c r="I30" s="75"/>
      <c r="J30" s="76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3">
        <v>45978</v>
      </c>
      <c r="C36" s="73"/>
      <c r="D36" s="73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20</v>
      </c>
      <c r="D41" s="1">
        <f t="shared" ca="1" si="15"/>
        <v>20</v>
      </c>
      <c r="E41" s="1">
        <f t="shared" ca="1" si="15"/>
        <v>20</v>
      </c>
      <c r="F41" s="1">
        <f t="shared" ca="1" si="15"/>
        <v>20</v>
      </c>
      <c r="G41" s="1">
        <f t="shared" ca="1" si="15"/>
        <v>19</v>
      </c>
      <c r="H41" s="1">
        <f t="shared" ca="1" si="15"/>
        <v>19</v>
      </c>
      <c r="J41" s="1">
        <f t="shared" ca="1" si="15"/>
        <v>19</v>
      </c>
      <c r="K41" s="1">
        <f t="shared" ca="1" si="15"/>
        <v>19</v>
      </c>
      <c r="L41" s="1">
        <f t="shared" ca="1" si="15"/>
        <v>19</v>
      </c>
      <c r="M41" s="1">
        <f t="shared" ca="1" si="15"/>
        <v>19</v>
      </c>
      <c r="N41" s="1">
        <f t="shared" ca="1" si="15"/>
        <v>19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22</v>
      </c>
      <c r="D45" s="1">
        <f ca="1">IF(D46="","",$B$1-D46)</f>
        <v>22</v>
      </c>
      <c r="E45" s="1">
        <f ca="1">IF(E46="","",$B$1-E46)</f>
        <v>21</v>
      </c>
      <c r="F45" s="1">
        <f ca="1">IF(F46="","",$B$1-F46)</f>
        <v>21</v>
      </c>
      <c r="H45" s="1">
        <f ca="1">IF(H46="","",$B$1-H46)</f>
        <v>21</v>
      </c>
      <c r="J45" s="1">
        <f t="shared" ref="J45:P45" ca="1" si="16">IF(J46="","",$B$1-J46)</f>
        <v>21</v>
      </c>
      <c r="K45" s="1">
        <f t="shared" ca="1" si="16"/>
        <v>21</v>
      </c>
      <c r="L45" s="1">
        <f t="shared" ca="1" si="16"/>
        <v>21</v>
      </c>
      <c r="M45" s="1">
        <f t="shared" ca="1" si="16"/>
        <v>21</v>
      </c>
      <c r="N45" s="1">
        <f t="shared" ca="1" si="16"/>
        <v>20</v>
      </c>
      <c r="O45" s="1">
        <f t="shared" ca="1" si="16"/>
        <v>20</v>
      </c>
      <c r="P45" s="1">
        <f t="shared" ca="1" si="16"/>
        <v>20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23</v>
      </c>
      <c r="D49" s="1">
        <f ca="1">IF(D50="","",$B$1-D50)</f>
        <v>23</v>
      </c>
      <c r="E49" s="1">
        <f ca="1">IF(E50="","",$B$1-E50)</f>
        <v>23</v>
      </c>
      <c r="F49" s="1">
        <f ca="1">IF(F50="","",$B$1-F50)</f>
        <v>23</v>
      </c>
      <c r="H49" s="1">
        <f ca="1">IF(H50="","",$B$1-H50)</f>
        <v>23</v>
      </c>
      <c r="J49" s="1">
        <f t="shared" ref="J49:P49" ca="1" si="17">IF(J50="","",$B$1-J50)</f>
        <v>23</v>
      </c>
      <c r="K49" s="1">
        <f t="shared" ca="1" si="17"/>
        <v>23</v>
      </c>
      <c r="L49" s="1">
        <f t="shared" ca="1" si="17"/>
        <v>22</v>
      </c>
      <c r="M49" s="1">
        <f t="shared" ca="1" si="17"/>
        <v>22</v>
      </c>
      <c r="N49" s="1">
        <f t="shared" ca="1" si="17"/>
        <v>22</v>
      </c>
      <c r="O49" s="1">
        <f t="shared" ca="1" si="17"/>
        <v>22</v>
      </c>
      <c r="P49" s="1">
        <f t="shared" ca="1" si="17"/>
        <v>22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4" t="s">
        <v>135</v>
      </c>
      <c r="G51" s="75"/>
      <c r="H51" s="76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15</v>
      </c>
      <c r="D58" s="1">
        <f t="shared" ca="1" si="18"/>
        <v>15</v>
      </c>
      <c r="E58" s="1">
        <f t="shared" ca="1" si="18"/>
        <v>15</v>
      </c>
      <c r="F58" s="1">
        <f t="shared" ca="1" si="18"/>
        <v>15</v>
      </c>
      <c r="G58" s="1">
        <f t="shared" ca="1" si="18"/>
        <v>15</v>
      </c>
      <c r="H58" s="1">
        <f t="shared" ca="1" si="18"/>
        <v>15</v>
      </c>
      <c r="J58" s="1">
        <f t="shared" ref="J58:P58" ca="1" si="19">IF(J59="","",$B$1-J59)</f>
        <v>15</v>
      </c>
      <c r="K58" s="1">
        <f t="shared" ca="1" si="19"/>
        <v>14</v>
      </c>
      <c r="L58" s="1">
        <f t="shared" ca="1" si="19"/>
        <v>14</v>
      </c>
      <c r="M58" s="1">
        <f t="shared" ca="1" si="19"/>
        <v>14</v>
      </c>
      <c r="N58" s="1">
        <f t="shared" ca="1" si="19"/>
        <v>14</v>
      </c>
      <c r="O58" s="1">
        <f t="shared" ca="1" si="19"/>
        <v>14</v>
      </c>
      <c r="P58" s="1">
        <f t="shared" ca="1" si="19"/>
        <v>14</v>
      </c>
      <c r="R58" s="1">
        <f t="shared" ref="R58:X58" ca="1" si="20">IF(R59="","",$B$1-R59)</f>
        <v>14</v>
      </c>
      <c r="S58" s="1">
        <f t="shared" ca="1" si="20"/>
        <v>13</v>
      </c>
      <c r="T58" s="1">
        <f t="shared" ca="1" si="20"/>
        <v>13</v>
      </c>
      <c r="U58" s="1">
        <f t="shared" ca="1" si="20"/>
        <v>13</v>
      </c>
      <c r="V58" s="1">
        <f t="shared" ca="1" si="20"/>
        <v>13</v>
      </c>
      <c r="W58" s="1">
        <f t="shared" ca="1" si="20"/>
        <v>13</v>
      </c>
      <c r="X58" s="1">
        <f t="shared" ca="1" si="20"/>
        <v>13</v>
      </c>
      <c r="Z58" s="1">
        <f ca="1">IF(Z59="","",$B$1-Z59)</f>
        <v>13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0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1"/>
      <c r="AC60" s="9"/>
    </row>
    <row r="61" spans="1:29" x14ac:dyDescent="0.25">
      <c r="B61" s="71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2"/>
      <c r="C62" s="43" t="str">
        <f t="shared" ref="C62:H62" si="21">IF(C63="","",$B$1-C63)</f>
        <v/>
      </c>
      <c r="D62" s="1">
        <f t="shared" ca="1" si="21"/>
        <v>16</v>
      </c>
      <c r="E62" s="1">
        <f t="shared" ca="1" si="21"/>
        <v>16</v>
      </c>
      <c r="F62" s="1">
        <f t="shared" ca="1" si="21"/>
        <v>16</v>
      </c>
      <c r="G62" s="1">
        <f t="shared" ca="1" si="21"/>
        <v>16</v>
      </c>
      <c r="H62" s="1">
        <f t="shared" ca="1" si="21"/>
        <v>16</v>
      </c>
      <c r="J62" s="1">
        <f t="shared" ref="J62:P62" ca="1" si="22">IF(J63="","",$B$1-J63)</f>
        <v>16</v>
      </c>
      <c r="K62" s="1">
        <f t="shared" ca="1" si="22"/>
        <v>16</v>
      </c>
      <c r="L62" s="1">
        <f t="shared" ca="1" si="22"/>
        <v>16</v>
      </c>
      <c r="M62" s="1">
        <f t="shared" ca="1" si="22"/>
        <v>17</v>
      </c>
      <c r="N62" s="1">
        <f t="shared" ca="1" si="22"/>
        <v>17</v>
      </c>
      <c r="O62" s="1">
        <f t="shared" ca="1" si="22"/>
        <v>17</v>
      </c>
      <c r="P62" s="1">
        <f t="shared" ca="1" si="22"/>
        <v>17</v>
      </c>
      <c r="R62" s="1">
        <f t="shared" ref="R62:X62" ca="1" si="23">IF(R63="","",$B$1-R63)</f>
        <v>17</v>
      </c>
      <c r="S62" s="1">
        <f t="shared" ca="1" si="23"/>
        <v>17</v>
      </c>
      <c r="T62" s="1">
        <f t="shared" ca="1" si="23"/>
        <v>17</v>
      </c>
      <c r="U62" s="1">
        <f t="shared" ca="1" si="23"/>
        <v>18</v>
      </c>
      <c r="V62" s="1">
        <f t="shared" ca="1" si="23"/>
        <v>18</v>
      </c>
      <c r="W62" s="1">
        <f t="shared" ca="1" si="23"/>
        <v>18</v>
      </c>
      <c r="X62" s="1">
        <f t="shared" ca="1" si="23"/>
        <v>18</v>
      </c>
      <c r="Z62" s="1">
        <f ca="1">IF(Z63="","",$B$1-Z63)</f>
        <v>18</v>
      </c>
      <c r="AA62" s="1">
        <f ca="1">IF(AA63="","",$B$1-AA63)</f>
        <v>18</v>
      </c>
      <c r="AB62" s="1">
        <f ca="1">IF(AB63="","",$B$1-AB63)</f>
        <v>18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232" priority="194">
      <formula>LEN(TRIM(C42))&gt;0</formula>
    </cfRule>
    <cfRule type="notContainsBlanks" dxfId="231" priority="192">
      <formula>LEN(TRIM(C42))&gt;0</formula>
    </cfRule>
    <cfRule type="containsBlanks" dxfId="230" priority="193">
      <formula>LEN(TRIM(C42))=0</formula>
    </cfRule>
    <cfRule type="containsBlanks" dxfId="229" priority="191">
      <formula>LEN(TRIM(C42))=0</formula>
    </cfRule>
  </conditionalFormatting>
  <conditionalFormatting sqref="C46:F46">
    <cfRule type="containsBlanks" dxfId="228" priority="29">
      <formula>LEN(TRIM(C46))=0</formula>
    </cfRule>
    <cfRule type="notContainsBlanks" dxfId="227" priority="30">
      <formula>LEN(TRIM(C46))&gt;0</formula>
    </cfRule>
  </conditionalFormatting>
  <conditionalFormatting sqref="C50:F50">
    <cfRule type="containsBlanks" dxfId="226" priority="21">
      <formula>LEN(TRIM(C50))=0</formula>
    </cfRule>
    <cfRule type="notContainsBlanks" dxfId="225" priority="22">
      <formula>LEN(TRIM(C50))&gt;0</formula>
    </cfRule>
  </conditionalFormatting>
  <conditionalFormatting sqref="C7:H7">
    <cfRule type="containsBlanks" dxfId="224" priority="1">
      <formula>LEN(TRIM(C7))=0</formula>
    </cfRule>
    <cfRule type="notContainsBlanks" dxfId="223" priority="2">
      <formula>LEN(TRIM(C7))&gt;0</formula>
    </cfRule>
  </conditionalFormatting>
  <conditionalFormatting sqref="C11:H11">
    <cfRule type="containsBlanks" dxfId="222" priority="338">
      <formula>LEN(TRIM(C11))=0</formula>
    </cfRule>
    <cfRule type="notContainsBlanks" dxfId="221" priority="339">
      <formula>LEN(TRIM(C11))&gt;0</formula>
    </cfRule>
  </conditionalFormatting>
  <conditionalFormatting sqref="C15:H15">
    <cfRule type="notContainsBlanks" dxfId="220" priority="158">
      <formula>LEN(TRIM(C15))&gt;0</formula>
    </cfRule>
    <cfRule type="containsBlanks" dxfId="219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218" priority="5">
      <formula>LEN(TRIM(C25))=0</formula>
    </cfRule>
    <cfRule type="notContainsBlanks" dxfId="217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216" priority="3">
      <formula>LEN(TRIM(C29))=0</formula>
    </cfRule>
    <cfRule type="notContainsBlanks" dxfId="215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214" priority="196">
      <formula>LEN(TRIM(C42))&gt;0</formula>
    </cfRule>
    <cfRule type="containsBlanks" dxfId="213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212" priority="60">
      <formula>LEN(TRIM(C59))&gt;0</formula>
    </cfRule>
    <cfRule type="containsBlanks" dxfId="211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210" priority="176">
      <formula>LEN(TRIM(C63))&gt;0</formula>
    </cfRule>
    <cfRule type="containsBlanks" dxfId="209" priority="175">
      <formula>LEN(TRIM(C63))=0</formula>
    </cfRule>
  </conditionalFormatting>
  <conditionalFormatting sqref="D63:H63">
    <cfRule type="notContainsBlanks" dxfId="208" priority="174">
      <formula>LEN(TRIM(D63))&gt;0</formula>
    </cfRule>
    <cfRule type="containsBlanks" dxfId="207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206" priority="28">
      <formula>LEN(TRIM(E46))&gt;0</formula>
    </cfRule>
    <cfRule type="containsBlanks" dxfId="205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204" priority="279">
      <formula>LEN(TRIM(G42))&gt;0</formula>
    </cfRule>
    <cfRule type="containsBlanks" dxfId="203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202" priority="33">
      <formula>LEN(TRIM(H46))=0</formula>
    </cfRule>
    <cfRule type="notContainsBlanks" dxfId="201" priority="32">
      <formula>LEN(TRIM(H46))&gt;0</formula>
    </cfRule>
    <cfRule type="containsBlanks" dxfId="200" priority="31">
      <formula>LEN(TRIM(H46))=0</formula>
    </cfRule>
    <cfRule type="notContainsBlanks" dxfId="199" priority="34">
      <formula>LEN(TRIM(H46))&gt;0</formula>
    </cfRule>
  </conditionalFormatting>
  <conditionalFormatting sqref="H50">
    <cfRule type="notContainsBlanks" dxfId="198" priority="24">
      <formula>LEN(TRIM(H50))&gt;0</formula>
    </cfRule>
    <cfRule type="containsBlanks" dxfId="197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96" priority="16">
      <formula>LEN(TRIM(J21))&gt;0</formula>
    </cfRule>
    <cfRule type="containsBlanks" dxfId="195" priority="15">
      <formula>LEN(TRIM(J21))=0</formula>
    </cfRule>
  </conditionalFormatting>
  <conditionalFormatting sqref="J63:L63">
    <cfRule type="containsBlanks" dxfId="194" priority="55">
      <formula>LEN(TRIM(J63))=0</formula>
    </cfRule>
    <cfRule type="notContainsBlanks" dxfId="193" priority="56">
      <formula>LEN(TRIM(J63))&gt;0</formula>
    </cfRule>
  </conditionalFormatting>
  <conditionalFormatting sqref="J46:M46">
    <cfRule type="notContainsBlanks" dxfId="192" priority="200">
      <formula>LEN(TRIM(J46))&gt;0</formula>
    </cfRule>
    <cfRule type="containsBlanks" dxfId="191" priority="199">
      <formula>LEN(TRIM(J46))=0</formula>
    </cfRule>
  </conditionalFormatting>
  <conditionalFormatting sqref="J42:N42">
    <cfRule type="containsBlanks" dxfId="190" priority="41">
      <formula>LEN(TRIM(J42))=0</formula>
    </cfRule>
    <cfRule type="notContainsBlanks" dxfId="189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88" priority="252">
      <formula>LEN(TRIM(J7))&gt;0</formula>
    </cfRule>
    <cfRule type="containsBlanks" dxfId="187" priority="251">
      <formula>LEN(TRIM(J7))=0</formula>
    </cfRule>
  </conditionalFormatting>
  <conditionalFormatting sqref="J11:P11">
    <cfRule type="containsBlanks" dxfId="186" priority="83">
      <formula>LEN(TRIM(J11))=0</formula>
    </cfRule>
    <cfRule type="notContainsBlanks" dxfId="185" priority="84">
      <formula>LEN(TRIM(J11))&gt;0</formula>
    </cfRule>
  </conditionalFormatting>
  <conditionalFormatting sqref="J15:P15">
    <cfRule type="notContainsBlanks" dxfId="184" priority="86">
      <formula>LEN(TRIM(J15))&gt;0</formula>
    </cfRule>
    <cfRule type="containsBlanks" dxfId="183" priority="85">
      <formula>LEN(TRIM(J15))=0</formula>
    </cfRule>
  </conditionalFormatting>
  <conditionalFormatting sqref="J25:P25">
    <cfRule type="containsBlanks" dxfId="182" priority="101">
      <formula>LEN(TRIM(J25))=0</formula>
    </cfRule>
    <cfRule type="notContainsBlanks" dxfId="181" priority="102">
      <formula>LEN(TRIM(J25))&gt;0</formula>
    </cfRule>
  </conditionalFormatting>
  <conditionalFormatting sqref="J29:P29">
    <cfRule type="notContainsBlanks" dxfId="180" priority="8">
      <formula>LEN(TRIM(J29))&gt;0</formula>
    </cfRule>
    <cfRule type="containsBlanks" dxfId="179" priority="7">
      <formula>LEN(TRIM(J29))=0</formula>
    </cfRule>
  </conditionalFormatting>
  <conditionalFormatting sqref="J42:P42">
    <cfRule type="notContainsBlanks" dxfId="178" priority="44">
      <formula>LEN(TRIM(J42))&gt;0</formula>
    </cfRule>
    <cfRule type="containsBlanks" dxfId="177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76" priority="39">
      <formula>LEN(TRIM(J46))=0</formula>
    </cfRule>
    <cfRule type="notContainsBlanks" dxfId="175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74" priority="26">
      <formula>LEN(TRIM(J50))&gt;0</formula>
    </cfRule>
    <cfRule type="containsBlanks" dxfId="173" priority="25">
      <formula>LEN(TRIM(J50))=0</formula>
    </cfRule>
  </conditionalFormatting>
  <conditionalFormatting sqref="J59:P59">
    <cfRule type="notContainsBlanks" dxfId="172" priority="66">
      <formula>LEN(TRIM(J59))&gt;0</formula>
    </cfRule>
    <cfRule type="containsBlanks" dxfId="171" priority="65">
      <formula>LEN(TRIM(J59))=0</formula>
    </cfRule>
  </conditionalFormatting>
  <conditionalFormatting sqref="J63:P63">
    <cfRule type="notContainsBlanks" dxfId="170" priority="58">
      <formula>LEN(TRIM(J63))&gt;0</formula>
    </cfRule>
    <cfRule type="containsBlanks" dxfId="169" priority="57">
      <formula>LEN(TRIM(J63))=0</formula>
    </cfRule>
  </conditionalFormatting>
  <conditionalFormatting sqref="K11:P11">
    <cfRule type="notContainsBlanks" dxfId="168" priority="256">
      <formula>LEN(TRIM(K11))&gt;0</formula>
    </cfRule>
    <cfRule type="containsBlanks" dxfId="167" priority="255">
      <formula>LEN(TRIM(K11))=0</formula>
    </cfRule>
  </conditionalFormatting>
  <conditionalFormatting sqref="K59:P59">
    <cfRule type="containsBlanks" dxfId="166" priority="63">
      <formula>LEN(TRIM(K59))=0</formula>
    </cfRule>
    <cfRule type="notContainsBlanks" dxfId="165" priority="62">
      <formula>LEN(TRIM(K59))&gt;0</formula>
    </cfRule>
    <cfRule type="containsBlanks" dxfId="164" priority="61">
      <formula>LEN(TRIM(K59))=0</formula>
    </cfRule>
    <cfRule type="notContainsBlanks" dxfId="163" priority="64">
      <formula>LEN(TRIM(K59))&gt;0</formula>
    </cfRule>
  </conditionalFormatting>
  <conditionalFormatting sqref="M63:P63">
    <cfRule type="notContainsBlanks" dxfId="162" priority="180">
      <formula>LEN(TRIM(M63))&gt;0</formula>
    </cfRule>
    <cfRule type="containsBlanks" dxfId="161" priority="179">
      <formula>LEN(TRIM(M63))=0</formula>
    </cfRule>
  </conditionalFormatting>
  <conditionalFormatting sqref="N46:P46">
    <cfRule type="notContainsBlanks" dxfId="160" priority="36">
      <formula>LEN(TRIM(N46))&gt;0</formula>
    </cfRule>
    <cfRule type="containsBlanks" dxfId="159" priority="35">
      <formula>LEN(TRIM(N46))=0</formula>
    </cfRule>
    <cfRule type="notContainsBlanks" dxfId="158" priority="38">
      <formula>LEN(TRIM(N46))&gt;0</formula>
    </cfRule>
    <cfRule type="containsBlanks" dxfId="157" priority="37">
      <formula>LEN(TRIM(N46))=0</formula>
    </cfRule>
  </conditionalFormatting>
  <conditionalFormatting sqref="P7">
    <cfRule type="containsBlanks" dxfId="156" priority="247">
      <formula>LEN(TRIM(P7))=0</formula>
    </cfRule>
    <cfRule type="notContainsBlanks" dxfId="155" priority="248">
      <formula>LEN(TRIM(P7))&gt;0</formula>
    </cfRule>
    <cfRule type="containsBlanks" dxfId="154" priority="249">
      <formula>LEN(TRIM(P7))=0</formula>
    </cfRule>
    <cfRule type="notContainsBlanks" dxfId="153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152" priority="79">
      <formula>LEN(TRIM(R11))=0</formula>
    </cfRule>
    <cfRule type="notContainsBlanks" dxfId="151" priority="80">
      <formula>LEN(TRIM(R11))&gt;0</formula>
    </cfRule>
  </conditionalFormatting>
  <conditionalFormatting sqref="R15">
    <cfRule type="containsBlanks" dxfId="150" priority="81">
      <formula>LEN(TRIM(R15))=0</formula>
    </cfRule>
    <cfRule type="notContainsBlanks" dxfId="149" priority="82">
      <formula>LEN(TRIM(R15))&gt;0</formula>
    </cfRule>
  </conditionalFormatting>
  <conditionalFormatting sqref="R59">
    <cfRule type="containsBlanks" dxfId="148" priority="167">
      <formula>LEN(TRIM(R59))=0</formula>
    </cfRule>
    <cfRule type="notContainsBlanks" dxfId="147" priority="168">
      <formula>LEN(TRIM(R59))&gt;0</formula>
    </cfRule>
    <cfRule type="notContainsBlanks" dxfId="146" priority="166">
      <formula>LEN(TRIM(R59))&gt;0</formula>
    </cfRule>
    <cfRule type="containsBlanks" dxfId="145" priority="165">
      <formula>LEN(TRIM(R59))=0</formula>
    </cfRule>
  </conditionalFormatting>
  <conditionalFormatting sqref="R11:T11">
    <cfRule type="containsBlanks" dxfId="144" priority="75">
      <formula>LEN(TRIM(R11))=0</formula>
    </cfRule>
    <cfRule type="notContainsBlanks" dxfId="143" priority="76">
      <formula>LEN(TRIM(R11))&gt;0</formula>
    </cfRule>
  </conditionalFormatting>
  <conditionalFormatting sqref="R63:T63">
    <cfRule type="notContainsBlanks" dxfId="142" priority="52">
      <formula>LEN(TRIM(R63))&gt;0</formula>
    </cfRule>
    <cfRule type="containsBlanks" dxfId="141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140" priority="71">
      <formula>LEN(TRIM(R7))=0</formula>
    </cfRule>
    <cfRule type="notContainsBlanks" dxfId="139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138" priority="14">
      <formula>LEN(TRIM(R25))&gt;0</formula>
    </cfRule>
    <cfRule type="containsBlanks" dxfId="137" priority="13">
      <formula>LEN(TRIM(R25))=0</formula>
    </cfRule>
  </conditionalFormatting>
  <conditionalFormatting sqref="R29:X29">
    <cfRule type="notContainsBlanks" dxfId="136" priority="12">
      <formula>LEN(TRIM(R29))&gt;0</formula>
    </cfRule>
    <cfRule type="containsBlanks" dxfId="135" priority="11">
      <formula>LEN(TRIM(R29))=0</formula>
    </cfRule>
  </conditionalFormatting>
  <conditionalFormatting sqref="R59:X59">
    <cfRule type="notContainsBlanks" dxfId="134" priority="170">
      <formula>LEN(TRIM(R59))&gt;0</formula>
    </cfRule>
    <cfRule type="containsBlanks" dxfId="133" priority="169">
      <formula>LEN(TRIM(R59))=0</formula>
    </cfRule>
  </conditionalFormatting>
  <conditionalFormatting sqref="R63:X63">
    <cfRule type="containsBlanks" dxfId="132" priority="53">
      <formula>LEN(TRIM(R63))=0</formula>
    </cfRule>
    <cfRule type="notContainsBlanks" dxfId="131" priority="54">
      <formula>LEN(TRIM(R63))&gt;0</formula>
    </cfRule>
  </conditionalFormatting>
  <conditionalFormatting sqref="S15:X15">
    <cfRule type="notContainsBlanks" dxfId="130" priority="308">
      <formula>LEN(TRIM(S15))&gt;0</formula>
    </cfRule>
    <cfRule type="containsBlanks" dxfId="129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28" priority="266">
      <formula>LEN(TRIM(S59))=0</formula>
    </cfRule>
    <cfRule type="notContainsBlanks" dxfId="127" priority="267">
      <formula>LEN(TRIM(S59))&gt;0</formula>
    </cfRule>
  </conditionalFormatting>
  <conditionalFormatting sqref="U11:X11">
    <cfRule type="notContainsBlanks" dxfId="126" priority="150">
      <formula>LEN(TRIM(U11))&gt;0</formula>
    </cfRule>
    <cfRule type="containsBlanks" dxfId="125" priority="149">
      <formula>LEN(TRIM(U11))=0</formula>
    </cfRule>
  </conditionalFormatting>
  <conditionalFormatting sqref="U63:X63">
    <cfRule type="notContainsBlanks" dxfId="124" priority="186">
      <formula>LEN(TRIM(U63))&gt;0</formula>
    </cfRule>
    <cfRule type="containsBlanks" dxfId="123" priority="185">
      <formula>LEN(TRIM(U63))=0</formula>
    </cfRule>
    <cfRule type="notContainsBlanks" dxfId="122" priority="184">
      <formula>LEN(TRIM(U63))&gt;0</formula>
    </cfRule>
    <cfRule type="containsBlanks" dxfId="121" priority="183">
      <formula>LEN(TRIM(U63))=0</formula>
    </cfRule>
  </conditionalFormatting>
  <conditionalFormatting sqref="V11:W11">
    <cfRule type="notContainsBlanks" dxfId="120" priority="146">
      <formula>LEN(TRIM(V11))&gt;0</formula>
    </cfRule>
    <cfRule type="containsBlanks" dxfId="119" priority="145">
      <formula>LEN(TRIM(V11))=0</formula>
    </cfRule>
  </conditionalFormatting>
  <conditionalFormatting sqref="W15:X15">
    <cfRule type="notContainsBlanks" dxfId="118" priority="298">
      <formula>LEN(TRIM(W15))&gt;0</formula>
    </cfRule>
    <cfRule type="containsBlanks" dxfId="117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16" priority="310">
      <formula>LEN(TRIM(W33))&gt;0</formula>
    </cfRule>
    <cfRule type="containsBlanks" dxfId="115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114" priority="387">
      <formula>LEN(TRIM(X21))&gt;0</formula>
    </cfRule>
    <cfRule type="containsBlanks" dxfId="113" priority="386">
      <formula>LEN(TRIM(X21))=0</formula>
    </cfRule>
    <cfRule type="notContainsBlanks" dxfId="112" priority="385">
      <formula>LEN(TRIM(X21))&gt;0</formula>
    </cfRule>
    <cfRule type="containsBlanks" dxfId="111" priority="378">
      <formula>LEN(TRIM(X21))=0</formula>
    </cfRule>
    <cfRule type="notContainsBlanks" dxfId="110" priority="379">
      <formula>LEN(TRIM(X21))&gt;0</formula>
    </cfRule>
    <cfRule type="containsBlanks" dxfId="109" priority="380">
      <formula>LEN(TRIM(X21))=0</formula>
    </cfRule>
    <cfRule type="notContainsBlanks" dxfId="108" priority="381">
      <formula>LEN(TRIM(X21))&gt;0</formula>
    </cfRule>
    <cfRule type="containsBlanks" dxfId="107" priority="382">
      <formula>LEN(TRIM(X21))=0</formula>
    </cfRule>
    <cfRule type="notContainsBlanks" dxfId="106" priority="383">
      <formula>LEN(TRIM(X21))&gt;0</formula>
    </cfRule>
    <cfRule type="containsBlanks" dxfId="105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104" priority="68">
      <formula>LEN(TRIM(Z59))&gt;0</formula>
    </cfRule>
    <cfRule type="containsBlanks" dxfId="103" priority="67">
      <formula>LEN(TRIM(Z59))=0</formula>
    </cfRule>
  </conditionalFormatting>
  <conditionalFormatting sqref="Z59:AB59">
    <cfRule type="notContainsBlanks" dxfId="102" priority="70">
      <formula>LEN(TRIM(Z59))&gt;0</formula>
    </cfRule>
    <cfRule type="containsBlanks" dxfId="101" priority="69">
      <formula>LEN(TRIM(Z59))=0</formula>
    </cfRule>
  </conditionalFormatting>
  <conditionalFormatting sqref="Z63:AB63">
    <cfRule type="containsBlanks" dxfId="100" priority="47">
      <formula>LEN(TRIM(Z63))=0</formula>
    </cfRule>
    <cfRule type="containsBlanks" dxfId="99" priority="45">
      <formula>LEN(TRIM(Z63))=0</formula>
    </cfRule>
    <cfRule type="notContainsBlanks" dxfId="98" priority="46">
      <formula>LEN(TRIM(Z63))&gt;0</formula>
    </cfRule>
    <cfRule type="notContainsBlanks" dxfId="97" priority="50">
      <formula>LEN(TRIM(Z63))&gt;0</formula>
    </cfRule>
    <cfRule type="containsBlanks" dxfId="96" priority="49">
      <formula>LEN(TRIM(Z63))=0</formula>
    </cfRule>
    <cfRule type="notContainsBlanks" dxfId="95" priority="48">
      <formula>LEN(TRIM(Z63))&gt;0</formula>
    </cfRule>
  </conditionalFormatting>
  <conditionalFormatting sqref="Z25:AI25">
    <cfRule type="notContainsBlanks" dxfId="94" priority="218">
      <formula>LEN(TRIM(Z25))&gt;0</formula>
    </cfRule>
    <cfRule type="containsBlanks" dxfId="93" priority="217">
      <formula>LEN(TRIM(Z25))=0</formula>
    </cfRule>
  </conditionalFormatting>
  <conditionalFormatting sqref="Z29:AI29">
    <cfRule type="containsBlanks" dxfId="92" priority="19">
      <formula>LEN(TRIM(Z29))=0</formula>
    </cfRule>
    <cfRule type="notContainsBlanks" dxfId="91" priority="20">
      <formula>LEN(TRIM(Z29))&gt;0</formula>
    </cfRule>
  </conditionalFormatting>
  <conditionalFormatting sqref="AA59:AB59">
    <cfRule type="containsBlanks" dxfId="90" priority="243">
      <formula>LEN(TRIM(AA59))=0</formula>
    </cfRule>
    <cfRule type="notContainsBlanks" dxfId="89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88" priority="17">
      <formula>LEN(TRIM(AF21))=0</formula>
    </cfRule>
    <cfRule type="notContainsBlanks" dxfId="87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86" priority="397">
      <formula>LEN(TRIM(AG33))&gt;0</formula>
    </cfRule>
    <cfRule type="containsBlanks" dxfId="85" priority="388">
      <formula>LEN(TRIM(AG33))=0</formula>
    </cfRule>
    <cfRule type="notContainsBlanks" dxfId="84" priority="389">
      <formula>LEN(TRIM(AG33))&gt;0</formula>
    </cfRule>
    <cfRule type="notContainsBlanks" dxfId="83" priority="391">
      <formula>LEN(TRIM(AG33))&gt;0</formula>
    </cfRule>
    <cfRule type="containsBlanks" dxfId="82" priority="392">
      <formula>LEN(TRIM(AG33))=0</formula>
    </cfRule>
    <cfRule type="notContainsBlanks" dxfId="81" priority="393">
      <formula>LEN(TRIM(AG33))&gt;0</formula>
    </cfRule>
    <cfRule type="containsBlanks" dxfId="80" priority="394">
      <formula>LEN(TRIM(AG33))=0</formula>
    </cfRule>
    <cfRule type="notContainsBlanks" dxfId="79" priority="395">
      <formula>LEN(TRIM(AG33))&gt;0</formula>
    </cfRule>
    <cfRule type="containsBlanks" dxfId="78" priority="396">
      <formula>LEN(TRIM(AG33))=0</formula>
    </cfRule>
    <cfRule type="containsBlanks" dxfId="77" priority="398">
      <formula>LEN(TRIM(AG33))=0</formula>
    </cfRule>
    <cfRule type="notContainsBlanks" dxfId="76" priority="399">
      <formula>LEN(TRIM(AG33))&gt;0</formula>
    </cfRule>
    <cfRule type="containsBlanks" dxfId="75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455"/>
  <sheetViews>
    <sheetView tabSelected="1" workbookViewId="0">
      <pane xSplit="2" ySplit="1" topLeftCell="C1432" activePane="bottomRight" state="frozen"/>
      <selection pane="topRight" activeCell="C1" sqref="C1"/>
      <selection pane="bottomLeft" activeCell="A2" sqref="A2"/>
      <selection pane="bottomRight" activeCell="R1446" sqref="R1446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6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">
        <v>484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f t="shared" si="367"/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">
        <v>441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f t="shared" si="367"/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">
        <v>442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f t="shared" si="367"/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">
        <v>443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f t="shared" si="367"/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">
        <v>444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f t="shared" si="367"/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">
        <v>445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f t="shared" si="367"/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">
        <v>496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f t="shared" si="367"/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">
        <v>497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f t="shared" si="367"/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">
        <v>498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f t="shared" si="367"/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">
        <v>499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f t="shared" si="367"/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">
        <v>500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f t="shared" ref="N1165:N1228" si="377">L1165-M1165</f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">
        <v>439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f t="shared" si="377"/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">
        <v>440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f t="shared" si="377"/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">
        <v>504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f t="shared" si="377"/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">
        <v>505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f t="shared" si="377"/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">
        <v>506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f t="shared" si="377"/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">
        <v>507</v>
      </c>
      <c r="D1171" s="28">
        <f t="shared" ref="D1171:D1198" si="378">A1171+23</f>
        <v>46151</v>
      </c>
      <c r="E1171" s="28">
        <f t="shared" ref="E1171:E1198" si="379">A1171+7</f>
        <v>46135</v>
      </c>
      <c r="F1171" s="28">
        <f t="shared" ref="F1171:F1198" si="380">A1171+14</f>
        <v>46142</v>
      </c>
      <c r="G1171" s="28">
        <f t="shared" ref="G1171:G1198" si="381">A1171+20</f>
        <v>46148</v>
      </c>
      <c r="H1171" s="28">
        <f t="shared" ref="H1171:H1198" si="382">A1171+8</f>
        <v>46136</v>
      </c>
      <c r="I1171" s="28">
        <f t="shared" ref="I1171:I1198" si="383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f t="shared" si="377"/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">
        <v>508</v>
      </c>
      <c r="D1172" s="28">
        <f t="shared" si="378"/>
        <v>46151</v>
      </c>
      <c r="E1172" s="28">
        <f t="shared" si="379"/>
        <v>46135</v>
      </c>
      <c r="F1172" s="28">
        <f t="shared" si="380"/>
        <v>46142</v>
      </c>
      <c r="G1172" s="28">
        <f t="shared" si="381"/>
        <v>46148</v>
      </c>
      <c r="H1172" s="28">
        <f t="shared" si="382"/>
        <v>46136</v>
      </c>
      <c r="I1172" s="28">
        <f t="shared" si="383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f t="shared" si="377"/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">
        <v>494</v>
      </c>
      <c r="D1173" s="28">
        <f t="shared" si="378"/>
        <v>46151</v>
      </c>
      <c r="E1173" s="28">
        <f t="shared" si="379"/>
        <v>46135</v>
      </c>
      <c r="F1173" s="28">
        <f t="shared" si="380"/>
        <v>46142</v>
      </c>
      <c r="G1173" s="28">
        <f t="shared" si="381"/>
        <v>46148</v>
      </c>
      <c r="H1173" s="28">
        <f t="shared" si="382"/>
        <v>46136</v>
      </c>
      <c r="I1173" s="28">
        <f t="shared" si="383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f t="shared" si="377"/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">
        <v>495</v>
      </c>
      <c r="D1174" s="28">
        <f t="shared" si="378"/>
        <v>46151</v>
      </c>
      <c r="E1174" s="28">
        <f t="shared" si="379"/>
        <v>46135</v>
      </c>
      <c r="F1174" s="28">
        <f t="shared" si="380"/>
        <v>46142</v>
      </c>
      <c r="G1174" s="28">
        <f t="shared" si="381"/>
        <v>46148</v>
      </c>
      <c r="H1174" s="28">
        <f t="shared" si="382"/>
        <v>46136</v>
      </c>
      <c r="I1174" s="28">
        <f t="shared" si="383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f t="shared" si="377"/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">
        <v>501</v>
      </c>
      <c r="D1175" s="28">
        <f t="shared" si="378"/>
        <v>46152</v>
      </c>
      <c r="E1175" s="28">
        <f t="shared" si="379"/>
        <v>46136</v>
      </c>
      <c r="F1175" s="28">
        <f t="shared" si="380"/>
        <v>46143</v>
      </c>
      <c r="G1175" s="28">
        <f t="shared" si="381"/>
        <v>46149</v>
      </c>
      <c r="H1175" s="28">
        <f t="shared" si="382"/>
        <v>46137</v>
      </c>
      <c r="I1175" s="28">
        <f t="shared" si="383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f t="shared" si="377"/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">
        <v>502</v>
      </c>
      <c r="D1176" s="28">
        <f t="shared" si="378"/>
        <v>46152</v>
      </c>
      <c r="E1176" s="28">
        <f t="shared" si="379"/>
        <v>46136</v>
      </c>
      <c r="F1176" s="28">
        <f t="shared" si="380"/>
        <v>46143</v>
      </c>
      <c r="G1176" s="28">
        <f t="shared" si="381"/>
        <v>46149</v>
      </c>
      <c r="H1176" s="28">
        <f t="shared" si="382"/>
        <v>46137</v>
      </c>
      <c r="I1176" s="28">
        <f t="shared" si="383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f t="shared" si="377"/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">
        <v>503</v>
      </c>
      <c r="D1177" s="28">
        <f t="shared" si="378"/>
        <v>46152</v>
      </c>
      <c r="E1177" s="28">
        <f t="shared" si="379"/>
        <v>46136</v>
      </c>
      <c r="F1177" s="28">
        <f t="shared" si="380"/>
        <v>46143</v>
      </c>
      <c r="G1177" s="28">
        <f t="shared" si="381"/>
        <v>46149</v>
      </c>
      <c r="H1177" s="28">
        <f t="shared" si="382"/>
        <v>46137</v>
      </c>
      <c r="I1177" s="28">
        <f t="shared" si="383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f t="shared" si="377"/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">
        <v>509</v>
      </c>
      <c r="D1178" s="28">
        <f t="shared" si="378"/>
        <v>46152</v>
      </c>
      <c r="E1178" s="28">
        <f t="shared" si="379"/>
        <v>46136</v>
      </c>
      <c r="F1178" s="28">
        <f t="shared" si="380"/>
        <v>46143</v>
      </c>
      <c r="G1178" s="28">
        <f t="shared" si="381"/>
        <v>46149</v>
      </c>
      <c r="H1178" s="28">
        <f t="shared" si="382"/>
        <v>46137</v>
      </c>
      <c r="I1178" s="28">
        <f t="shared" si="383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f t="shared" si="377"/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">
        <v>510</v>
      </c>
      <c r="D1179" s="28">
        <f t="shared" si="378"/>
        <v>46152</v>
      </c>
      <c r="E1179" s="28">
        <f t="shared" si="379"/>
        <v>46136</v>
      </c>
      <c r="F1179" s="28">
        <f t="shared" si="380"/>
        <v>46143</v>
      </c>
      <c r="G1179" s="28">
        <f t="shared" si="381"/>
        <v>46149</v>
      </c>
      <c r="H1179" s="28">
        <f t="shared" si="382"/>
        <v>46137</v>
      </c>
      <c r="I1179" s="28">
        <f t="shared" si="383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f t="shared" si="377"/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">
        <v>511</v>
      </c>
      <c r="D1180" s="28">
        <f t="shared" si="378"/>
        <v>46152</v>
      </c>
      <c r="E1180" s="28">
        <f t="shared" si="379"/>
        <v>46136</v>
      </c>
      <c r="F1180" s="28">
        <f t="shared" si="380"/>
        <v>46143</v>
      </c>
      <c r="G1180" s="28">
        <f t="shared" si="381"/>
        <v>46149</v>
      </c>
      <c r="H1180" s="28">
        <f t="shared" si="382"/>
        <v>46137</v>
      </c>
      <c r="I1180" s="28">
        <f t="shared" si="383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f t="shared" si="377"/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">
        <v>512</v>
      </c>
      <c r="D1181" s="28">
        <f t="shared" si="378"/>
        <v>46152</v>
      </c>
      <c r="E1181" s="28">
        <f t="shared" si="379"/>
        <v>46136</v>
      </c>
      <c r="F1181" s="28">
        <f t="shared" si="380"/>
        <v>46143</v>
      </c>
      <c r="G1181" s="28">
        <f t="shared" si="381"/>
        <v>46149</v>
      </c>
      <c r="H1181" s="28">
        <f t="shared" si="382"/>
        <v>46137</v>
      </c>
      <c r="I1181" s="28">
        <f t="shared" si="383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f t="shared" si="377"/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">
        <v>513</v>
      </c>
      <c r="D1182" s="28">
        <f t="shared" si="378"/>
        <v>46153</v>
      </c>
      <c r="E1182" s="28">
        <f t="shared" si="379"/>
        <v>46137</v>
      </c>
      <c r="F1182" s="28">
        <f t="shared" si="380"/>
        <v>46144</v>
      </c>
      <c r="G1182" s="28">
        <f t="shared" si="381"/>
        <v>46150</v>
      </c>
      <c r="H1182" s="28">
        <f t="shared" si="382"/>
        <v>46138</v>
      </c>
      <c r="I1182" s="28">
        <f t="shared" si="383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f t="shared" si="377"/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">
        <v>514</v>
      </c>
      <c r="D1183" s="28">
        <f t="shared" si="378"/>
        <v>46153</v>
      </c>
      <c r="E1183" s="28">
        <f t="shared" si="379"/>
        <v>46137</v>
      </c>
      <c r="F1183" s="28">
        <f t="shared" si="380"/>
        <v>46144</v>
      </c>
      <c r="G1183" s="28">
        <f t="shared" si="381"/>
        <v>46150</v>
      </c>
      <c r="H1183" s="28">
        <f t="shared" si="382"/>
        <v>46138</v>
      </c>
      <c r="I1183" s="28">
        <f t="shared" si="383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f t="shared" si="377"/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">
        <v>515</v>
      </c>
      <c r="D1184" s="28">
        <f t="shared" si="378"/>
        <v>46153</v>
      </c>
      <c r="E1184" s="28">
        <f t="shared" si="379"/>
        <v>46137</v>
      </c>
      <c r="F1184" s="28">
        <f t="shared" si="380"/>
        <v>46144</v>
      </c>
      <c r="G1184" s="28">
        <f t="shared" si="381"/>
        <v>46150</v>
      </c>
      <c r="H1184" s="28">
        <f t="shared" si="382"/>
        <v>46138</v>
      </c>
      <c r="I1184" s="28">
        <f t="shared" si="383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f t="shared" si="377"/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">
        <v>516</v>
      </c>
      <c r="D1185" s="28">
        <f t="shared" si="378"/>
        <v>46153</v>
      </c>
      <c r="E1185" s="28">
        <f t="shared" si="379"/>
        <v>46137</v>
      </c>
      <c r="F1185" s="28">
        <f t="shared" si="380"/>
        <v>46144</v>
      </c>
      <c r="G1185" s="28">
        <f t="shared" si="381"/>
        <v>46150</v>
      </c>
      <c r="H1185" s="28">
        <f t="shared" si="382"/>
        <v>46138</v>
      </c>
      <c r="I1185" s="28">
        <f t="shared" si="383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f t="shared" si="377"/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">
        <v>517</v>
      </c>
      <c r="D1186" s="28">
        <f t="shared" si="378"/>
        <v>46153</v>
      </c>
      <c r="E1186" s="28">
        <f t="shared" si="379"/>
        <v>46137</v>
      </c>
      <c r="F1186" s="28">
        <f t="shared" si="380"/>
        <v>46144</v>
      </c>
      <c r="G1186" s="28">
        <f t="shared" si="381"/>
        <v>46150</v>
      </c>
      <c r="H1186" s="28">
        <f t="shared" si="382"/>
        <v>46138</v>
      </c>
      <c r="I1186" s="28">
        <f t="shared" si="383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f t="shared" si="377"/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">
        <v>518</v>
      </c>
      <c r="D1187" s="28">
        <f t="shared" si="378"/>
        <v>46153</v>
      </c>
      <c r="E1187" s="28">
        <f t="shared" si="379"/>
        <v>46137</v>
      </c>
      <c r="F1187" s="28">
        <f t="shared" si="380"/>
        <v>46144</v>
      </c>
      <c r="G1187" s="28">
        <f t="shared" si="381"/>
        <v>46150</v>
      </c>
      <c r="H1187" s="28">
        <f t="shared" si="382"/>
        <v>46138</v>
      </c>
      <c r="I1187" s="28">
        <f t="shared" si="383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f t="shared" si="377"/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">
        <v>519</v>
      </c>
      <c r="D1188" s="28">
        <f t="shared" si="378"/>
        <v>46153</v>
      </c>
      <c r="E1188" s="28">
        <f t="shared" si="379"/>
        <v>46137</v>
      </c>
      <c r="F1188" s="28">
        <f t="shared" si="380"/>
        <v>46144</v>
      </c>
      <c r="G1188" s="28">
        <f t="shared" si="381"/>
        <v>46150</v>
      </c>
      <c r="H1188" s="28">
        <f t="shared" si="382"/>
        <v>46138</v>
      </c>
      <c r="I1188" s="28">
        <f t="shared" si="383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f t="shared" si="377"/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">
        <v>520</v>
      </c>
      <c r="D1189" s="28">
        <f t="shared" si="378"/>
        <v>46154</v>
      </c>
      <c r="E1189" s="28">
        <f t="shared" si="379"/>
        <v>46138</v>
      </c>
      <c r="F1189" s="28">
        <f t="shared" si="380"/>
        <v>46145</v>
      </c>
      <c r="G1189" s="28">
        <f t="shared" si="381"/>
        <v>46151</v>
      </c>
      <c r="H1189" s="28">
        <f t="shared" si="382"/>
        <v>46139</v>
      </c>
      <c r="I1189" s="28">
        <f t="shared" si="383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f t="shared" si="377"/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">
        <v>521</v>
      </c>
      <c r="D1190" s="28">
        <f t="shared" si="378"/>
        <v>46154</v>
      </c>
      <c r="E1190" s="28">
        <f t="shared" si="379"/>
        <v>46138</v>
      </c>
      <c r="F1190" s="28">
        <f t="shared" si="380"/>
        <v>46145</v>
      </c>
      <c r="G1190" s="28">
        <f t="shared" si="381"/>
        <v>46151</v>
      </c>
      <c r="H1190" s="28">
        <f t="shared" si="382"/>
        <v>46139</v>
      </c>
      <c r="I1190" s="28">
        <f t="shared" si="383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f t="shared" si="377"/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">
        <v>522</v>
      </c>
      <c r="D1191" s="28">
        <f t="shared" si="378"/>
        <v>46154</v>
      </c>
      <c r="E1191" s="28">
        <f t="shared" si="379"/>
        <v>46138</v>
      </c>
      <c r="F1191" s="28">
        <f t="shared" si="380"/>
        <v>46145</v>
      </c>
      <c r="G1191" s="28">
        <f t="shared" si="381"/>
        <v>46151</v>
      </c>
      <c r="H1191" s="28">
        <f t="shared" si="382"/>
        <v>46139</v>
      </c>
      <c r="I1191" s="28">
        <f t="shared" si="383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f t="shared" si="377"/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">
        <v>523</v>
      </c>
      <c r="D1192" s="28">
        <f t="shared" si="378"/>
        <v>46154</v>
      </c>
      <c r="E1192" s="28">
        <f t="shared" si="379"/>
        <v>46138</v>
      </c>
      <c r="F1192" s="28">
        <f t="shared" si="380"/>
        <v>46145</v>
      </c>
      <c r="G1192" s="28">
        <f t="shared" si="381"/>
        <v>46151</v>
      </c>
      <c r="H1192" s="28">
        <f t="shared" si="382"/>
        <v>46139</v>
      </c>
      <c r="I1192" s="28">
        <f t="shared" si="383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f t="shared" si="377"/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">
        <v>524</v>
      </c>
      <c r="D1193" s="28">
        <f t="shared" si="378"/>
        <v>46154</v>
      </c>
      <c r="E1193" s="28">
        <f t="shared" si="379"/>
        <v>46138</v>
      </c>
      <c r="F1193" s="28">
        <f t="shared" si="380"/>
        <v>46145</v>
      </c>
      <c r="G1193" s="28">
        <f t="shared" si="381"/>
        <v>46151</v>
      </c>
      <c r="H1193" s="28">
        <f t="shared" si="382"/>
        <v>46139</v>
      </c>
      <c r="I1193" s="28">
        <f t="shared" si="383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f t="shared" si="377"/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">
        <v>525</v>
      </c>
      <c r="D1194" s="28">
        <f t="shared" si="378"/>
        <v>46154</v>
      </c>
      <c r="E1194" s="28">
        <f t="shared" si="379"/>
        <v>46138</v>
      </c>
      <c r="F1194" s="28">
        <f t="shared" si="380"/>
        <v>46145</v>
      </c>
      <c r="G1194" s="28">
        <f t="shared" si="381"/>
        <v>46151</v>
      </c>
      <c r="H1194" s="28">
        <f t="shared" si="382"/>
        <v>46139</v>
      </c>
      <c r="I1194" s="28">
        <f t="shared" si="383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f t="shared" si="377"/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">
        <v>526</v>
      </c>
      <c r="D1195" s="28">
        <f t="shared" si="378"/>
        <v>46154</v>
      </c>
      <c r="E1195" s="28">
        <f t="shared" si="379"/>
        <v>46138</v>
      </c>
      <c r="F1195" s="28">
        <f t="shared" si="380"/>
        <v>46145</v>
      </c>
      <c r="G1195" s="28">
        <f t="shared" si="381"/>
        <v>46151</v>
      </c>
      <c r="H1195" s="28">
        <f t="shared" si="382"/>
        <v>46139</v>
      </c>
      <c r="I1195" s="28">
        <f t="shared" si="383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f t="shared" si="377"/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">
        <v>527</v>
      </c>
      <c r="D1196" s="28">
        <f t="shared" si="378"/>
        <v>46154</v>
      </c>
      <c r="E1196" s="28">
        <f t="shared" si="379"/>
        <v>46138</v>
      </c>
      <c r="F1196" s="28">
        <f t="shared" si="380"/>
        <v>46145</v>
      </c>
      <c r="G1196" s="28">
        <f t="shared" si="381"/>
        <v>46151</v>
      </c>
      <c r="H1196" s="28">
        <f t="shared" si="382"/>
        <v>46139</v>
      </c>
      <c r="I1196" s="28">
        <f t="shared" si="383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f t="shared" si="377"/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">
        <v>528</v>
      </c>
      <c r="D1197" s="28">
        <f t="shared" si="378"/>
        <v>46154</v>
      </c>
      <c r="E1197" s="28">
        <f t="shared" si="379"/>
        <v>46138</v>
      </c>
      <c r="F1197" s="28">
        <f t="shared" si="380"/>
        <v>46145</v>
      </c>
      <c r="G1197" s="28">
        <f t="shared" si="381"/>
        <v>46151</v>
      </c>
      <c r="H1197" s="28">
        <f t="shared" si="382"/>
        <v>46139</v>
      </c>
      <c r="I1197" s="28">
        <f t="shared" si="383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f t="shared" si="377"/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">
        <v>529</v>
      </c>
      <c r="D1198" s="28">
        <f t="shared" si="378"/>
        <v>46154</v>
      </c>
      <c r="E1198" s="28">
        <f t="shared" si="379"/>
        <v>46138</v>
      </c>
      <c r="F1198" s="28">
        <f t="shared" si="380"/>
        <v>46145</v>
      </c>
      <c r="G1198" s="28">
        <f t="shared" si="381"/>
        <v>46151</v>
      </c>
      <c r="H1198" s="28">
        <f t="shared" si="382"/>
        <v>46139</v>
      </c>
      <c r="I1198" s="28">
        <f t="shared" si="383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f t="shared" si="377"/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">
        <v>529</v>
      </c>
      <c r="D1199" s="28">
        <f t="shared" ref="D1199" si="384">A1199+23</f>
        <v>46162</v>
      </c>
      <c r="E1199" s="28">
        <f t="shared" ref="E1199" si="385">A1199+7</f>
        <v>46146</v>
      </c>
      <c r="F1199" s="28">
        <f t="shared" ref="F1199" si="386">A1199+14</f>
        <v>46153</v>
      </c>
      <c r="G1199" s="28">
        <f t="shared" ref="G1199" si="387">A1199+20</f>
        <v>46159</v>
      </c>
      <c r="H1199" s="28">
        <f t="shared" ref="H1199" si="388">A1199+8</f>
        <v>46147</v>
      </c>
      <c r="I1199" s="28">
        <f t="shared" ref="I1199" si="389">A1199+15</f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f t="shared" si="377"/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">
        <v>529</v>
      </c>
      <c r="D1200" s="28">
        <f t="shared" ref="D1200:D1209" si="390">A1200+23</f>
        <v>46162</v>
      </c>
      <c r="E1200" s="28">
        <f t="shared" ref="E1200:E1209" si="391">A1200+7</f>
        <v>46146</v>
      </c>
      <c r="F1200" s="28">
        <f t="shared" ref="F1200:F1209" si="392">A1200+14</f>
        <v>46153</v>
      </c>
      <c r="G1200" s="28">
        <f t="shared" ref="G1200:G1209" si="393">A1200+20</f>
        <v>46159</v>
      </c>
      <c r="H1200" s="28">
        <f t="shared" ref="H1200:H1209" si="394">A1200+8</f>
        <v>46147</v>
      </c>
      <c r="I1200" s="28">
        <f t="shared" ref="I1200:I1209" si="395">A1200+15</f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f t="shared" si="377"/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">
        <v>529</v>
      </c>
      <c r="D1201" s="28">
        <f t="shared" si="390"/>
        <v>46162</v>
      </c>
      <c r="E1201" s="28">
        <f t="shared" si="391"/>
        <v>46146</v>
      </c>
      <c r="F1201" s="28">
        <f t="shared" si="392"/>
        <v>46153</v>
      </c>
      <c r="G1201" s="28">
        <f t="shared" si="393"/>
        <v>46159</v>
      </c>
      <c r="H1201" s="28">
        <f t="shared" si="394"/>
        <v>46147</v>
      </c>
      <c r="I1201" s="28">
        <f t="shared" si="395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f t="shared" si="377"/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">
        <v>529</v>
      </c>
      <c r="D1202" s="28">
        <f t="shared" si="390"/>
        <v>46162</v>
      </c>
      <c r="E1202" s="28">
        <f t="shared" si="391"/>
        <v>46146</v>
      </c>
      <c r="F1202" s="28">
        <f t="shared" si="392"/>
        <v>46153</v>
      </c>
      <c r="G1202" s="28">
        <f t="shared" si="393"/>
        <v>46159</v>
      </c>
      <c r="H1202" s="28">
        <f t="shared" si="394"/>
        <v>46147</v>
      </c>
      <c r="I1202" s="28">
        <f t="shared" si="395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f t="shared" si="377"/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">
        <v>529</v>
      </c>
      <c r="D1203" s="28">
        <f t="shared" si="390"/>
        <v>46162</v>
      </c>
      <c r="E1203" s="28">
        <f t="shared" si="391"/>
        <v>46146</v>
      </c>
      <c r="F1203" s="28">
        <f t="shared" si="392"/>
        <v>46153</v>
      </c>
      <c r="G1203" s="28">
        <f t="shared" si="393"/>
        <v>46159</v>
      </c>
      <c r="H1203" s="28">
        <f t="shared" si="394"/>
        <v>46147</v>
      </c>
      <c r="I1203" s="28">
        <f t="shared" si="395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f t="shared" si="377"/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">
        <v>529</v>
      </c>
      <c r="D1204" s="28">
        <f t="shared" si="390"/>
        <v>46162</v>
      </c>
      <c r="E1204" s="28">
        <f t="shared" si="391"/>
        <v>46146</v>
      </c>
      <c r="F1204" s="28">
        <f t="shared" si="392"/>
        <v>46153</v>
      </c>
      <c r="G1204" s="28">
        <f t="shared" si="393"/>
        <v>46159</v>
      </c>
      <c r="H1204" s="28">
        <f t="shared" si="394"/>
        <v>46147</v>
      </c>
      <c r="I1204" s="28">
        <f t="shared" si="395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f t="shared" si="377"/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">
        <v>529</v>
      </c>
      <c r="D1205" s="28">
        <f t="shared" si="390"/>
        <v>46162</v>
      </c>
      <c r="E1205" s="28">
        <f t="shared" si="391"/>
        <v>46146</v>
      </c>
      <c r="F1205" s="28">
        <f t="shared" si="392"/>
        <v>46153</v>
      </c>
      <c r="G1205" s="28">
        <f t="shared" si="393"/>
        <v>46159</v>
      </c>
      <c r="H1205" s="28">
        <f t="shared" si="394"/>
        <v>46147</v>
      </c>
      <c r="I1205" s="28">
        <f t="shared" si="395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f t="shared" si="377"/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">
        <v>529</v>
      </c>
      <c r="D1206" s="28">
        <f t="shared" si="390"/>
        <v>46162</v>
      </c>
      <c r="E1206" s="28">
        <f t="shared" si="391"/>
        <v>46146</v>
      </c>
      <c r="F1206" s="28">
        <f t="shared" si="392"/>
        <v>46153</v>
      </c>
      <c r="G1206" s="28">
        <f t="shared" si="393"/>
        <v>46159</v>
      </c>
      <c r="H1206" s="28">
        <f t="shared" si="394"/>
        <v>46147</v>
      </c>
      <c r="I1206" s="28">
        <f t="shared" si="395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f t="shared" si="377"/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">
        <v>529</v>
      </c>
      <c r="D1207" s="28">
        <f t="shared" si="390"/>
        <v>46162</v>
      </c>
      <c r="E1207" s="28">
        <f t="shared" si="391"/>
        <v>46146</v>
      </c>
      <c r="F1207" s="28">
        <f t="shared" si="392"/>
        <v>46153</v>
      </c>
      <c r="G1207" s="28">
        <f t="shared" si="393"/>
        <v>46159</v>
      </c>
      <c r="H1207" s="28">
        <f t="shared" si="394"/>
        <v>46147</v>
      </c>
      <c r="I1207" s="28">
        <f t="shared" si="395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f t="shared" si="377"/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">
        <v>529</v>
      </c>
      <c r="D1208" s="28">
        <f t="shared" si="390"/>
        <v>46162</v>
      </c>
      <c r="E1208" s="28">
        <f t="shared" si="391"/>
        <v>46146</v>
      </c>
      <c r="F1208" s="28">
        <f t="shared" si="392"/>
        <v>46153</v>
      </c>
      <c r="G1208" s="28">
        <f t="shared" si="393"/>
        <v>46159</v>
      </c>
      <c r="H1208" s="28">
        <f t="shared" si="394"/>
        <v>46147</v>
      </c>
      <c r="I1208" s="28">
        <f t="shared" si="395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f t="shared" si="377"/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">
        <v>529</v>
      </c>
      <c r="D1209" s="28">
        <f t="shared" si="390"/>
        <v>46162</v>
      </c>
      <c r="E1209" s="28">
        <f t="shared" si="391"/>
        <v>46146</v>
      </c>
      <c r="F1209" s="28">
        <f t="shared" si="392"/>
        <v>46153</v>
      </c>
      <c r="G1209" s="28">
        <f t="shared" si="393"/>
        <v>46159</v>
      </c>
      <c r="H1209" s="28">
        <f t="shared" si="394"/>
        <v>46147</v>
      </c>
      <c r="I1209" s="28">
        <f t="shared" si="395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f t="shared" si="377"/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">
        <v>529</v>
      </c>
      <c r="D1210" s="28">
        <f t="shared" ref="D1210:D1223" si="396">A1210+23</f>
        <v>46163</v>
      </c>
      <c r="E1210" s="28">
        <f t="shared" ref="E1210:E1223" si="397">A1210+7</f>
        <v>46147</v>
      </c>
      <c r="F1210" s="28">
        <f t="shared" ref="F1210:F1223" si="398">A1210+14</f>
        <v>46154</v>
      </c>
      <c r="G1210" s="28">
        <f t="shared" ref="G1210:G1223" si="399">A1210+20</f>
        <v>46160</v>
      </c>
      <c r="H1210" s="28">
        <f t="shared" ref="H1210:H1223" si="400">A1210+8</f>
        <v>46148</v>
      </c>
      <c r="I1210" s="28">
        <f t="shared" ref="I1210:I1223" si="401">A1210+15</f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f t="shared" si="377"/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">
        <v>529</v>
      </c>
      <c r="D1211" s="28">
        <f t="shared" si="396"/>
        <v>46163</v>
      </c>
      <c r="E1211" s="28">
        <f t="shared" si="397"/>
        <v>46147</v>
      </c>
      <c r="F1211" s="28">
        <f t="shared" si="398"/>
        <v>46154</v>
      </c>
      <c r="G1211" s="28">
        <f t="shared" si="399"/>
        <v>46160</v>
      </c>
      <c r="H1211" s="28">
        <f t="shared" si="400"/>
        <v>46148</v>
      </c>
      <c r="I1211" s="28">
        <f t="shared" si="401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f t="shared" si="377"/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">
        <v>529</v>
      </c>
      <c r="D1212" s="28">
        <f t="shared" si="396"/>
        <v>46163</v>
      </c>
      <c r="E1212" s="28">
        <f t="shared" si="397"/>
        <v>46147</v>
      </c>
      <c r="F1212" s="28">
        <f t="shared" si="398"/>
        <v>46154</v>
      </c>
      <c r="G1212" s="28">
        <f t="shared" si="399"/>
        <v>46160</v>
      </c>
      <c r="H1212" s="28">
        <f t="shared" si="400"/>
        <v>46148</v>
      </c>
      <c r="I1212" s="28">
        <f t="shared" si="401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f t="shared" si="377"/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">
        <v>529</v>
      </c>
      <c r="D1213" s="28">
        <f t="shared" si="396"/>
        <v>46163</v>
      </c>
      <c r="E1213" s="28">
        <f t="shared" si="397"/>
        <v>46147</v>
      </c>
      <c r="F1213" s="28">
        <f t="shared" si="398"/>
        <v>46154</v>
      </c>
      <c r="G1213" s="28">
        <f t="shared" si="399"/>
        <v>46160</v>
      </c>
      <c r="H1213" s="28">
        <f t="shared" si="400"/>
        <v>46148</v>
      </c>
      <c r="I1213" s="28">
        <f t="shared" si="401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f t="shared" si="377"/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">
        <v>529</v>
      </c>
      <c r="D1214" s="28">
        <f t="shared" si="396"/>
        <v>46163</v>
      </c>
      <c r="E1214" s="28">
        <f t="shared" si="397"/>
        <v>46147</v>
      </c>
      <c r="F1214" s="28">
        <f t="shared" si="398"/>
        <v>46154</v>
      </c>
      <c r="G1214" s="28">
        <f t="shared" si="399"/>
        <v>46160</v>
      </c>
      <c r="H1214" s="28">
        <f t="shared" si="400"/>
        <v>46148</v>
      </c>
      <c r="I1214" s="28">
        <f t="shared" si="401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f t="shared" si="377"/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">
        <v>529</v>
      </c>
      <c r="D1215" s="28">
        <f t="shared" si="396"/>
        <v>46163</v>
      </c>
      <c r="E1215" s="28">
        <f t="shared" si="397"/>
        <v>46147</v>
      </c>
      <c r="F1215" s="28">
        <f t="shared" si="398"/>
        <v>46154</v>
      </c>
      <c r="G1215" s="28">
        <f t="shared" si="399"/>
        <v>46160</v>
      </c>
      <c r="H1215" s="28">
        <f t="shared" si="400"/>
        <v>46148</v>
      </c>
      <c r="I1215" s="28">
        <f t="shared" si="401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f t="shared" si="377"/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">
        <v>529</v>
      </c>
      <c r="D1216" s="28">
        <f t="shared" si="396"/>
        <v>46163</v>
      </c>
      <c r="E1216" s="28">
        <f t="shared" si="397"/>
        <v>46147</v>
      </c>
      <c r="F1216" s="28">
        <f t="shared" si="398"/>
        <v>46154</v>
      </c>
      <c r="G1216" s="28">
        <f t="shared" si="399"/>
        <v>46160</v>
      </c>
      <c r="H1216" s="28">
        <f t="shared" si="400"/>
        <v>46148</v>
      </c>
      <c r="I1216" s="28">
        <f t="shared" si="401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f t="shared" si="377"/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">
        <v>529</v>
      </c>
      <c r="D1217" s="28">
        <f t="shared" si="396"/>
        <v>46164</v>
      </c>
      <c r="E1217" s="28">
        <f t="shared" si="397"/>
        <v>46148</v>
      </c>
      <c r="F1217" s="28">
        <f t="shared" si="398"/>
        <v>46155</v>
      </c>
      <c r="G1217" s="28">
        <f t="shared" si="399"/>
        <v>46161</v>
      </c>
      <c r="H1217" s="28">
        <f t="shared" si="400"/>
        <v>46149</v>
      </c>
      <c r="I1217" s="28">
        <f t="shared" si="401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f t="shared" si="377"/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">
        <v>529</v>
      </c>
      <c r="D1218" s="28">
        <f t="shared" si="396"/>
        <v>46164</v>
      </c>
      <c r="E1218" s="28">
        <f t="shared" si="397"/>
        <v>46148</v>
      </c>
      <c r="F1218" s="28">
        <f t="shared" si="398"/>
        <v>46155</v>
      </c>
      <c r="G1218" s="28">
        <f t="shared" si="399"/>
        <v>46161</v>
      </c>
      <c r="H1218" s="28">
        <f t="shared" si="400"/>
        <v>46149</v>
      </c>
      <c r="I1218" s="28">
        <f t="shared" si="401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f t="shared" si="377"/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">
        <v>529</v>
      </c>
      <c r="D1219" s="28">
        <f t="shared" si="396"/>
        <v>46164</v>
      </c>
      <c r="E1219" s="28">
        <f t="shared" si="397"/>
        <v>46148</v>
      </c>
      <c r="F1219" s="28">
        <f t="shared" si="398"/>
        <v>46155</v>
      </c>
      <c r="G1219" s="28">
        <f t="shared" si="399"/>
        <v>46161</v>
      </c>
      <c r="H1219" s="28">
        <f t="shared" si="400"/>
        <v>46149</v>
      </c>
      <c r="I1219" s="28">
        <f t="shared" si="401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f t="shared" si="377"/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">
        <v>529</v>
      </c>
      <c r="D1220" s="28">
        <f t="shared" si="396"/>
        <v>46164</v>
      </c>
      <c r="E1220" s="28">
        <f t="shared" si="397"/>
        <v>46148</v>
      </c>
      <c r="F1220" s="28">
        <f t="shared" si="398"/>
        <v>46155</v>
      </c>
      <c r="G1220" s="28">
        <f t="shared" si="399"/>
        <v>46161</v>
      </c>
      <c r="H1220" s="28">
        <f t="shared" si="400"/>
        <v>46149</v>
      </c>
      <c r="I1220" s="28">
        <f t="shared" si="401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f t="shared" si="377"/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">
        <v>529</v>
      </c>
      <c r="D1221" s="28">
        <f t="shared" si="396"/>
        <v>46164</v>
      </c>
      <c r="E1221" s="28">
        <f t="shared" si="397"/>
        <v>46148</v>
      </c>
      <c r="F1221" s="28">
        <f t="shared" si="398"/>
        <v>46155</v>
      </c>
      <c r="G1221" s="28">
        <f t="shared" si="399"/>
        <v>46161</v>
      </c>
      <c r="H1221" s="28">
        <f t="shared" si="400"/>
        <v>46149</v>
      </c>
      <c r="I1221" s="28">
        <f t="shared" si="401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f t="shared" si="377"/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">
        <v>529</v>
      </c>
      <c r="D1222" s="28">
        <f t="shared" si="396"/>
        <v>46164</v>
      </c>
      <c r="E1222" s="28">
        <f t="shared" si="397"/>
        <v>46148</v>
      </c>
      <c r="F1222" s="28">
        <f t="shared" si="398"/>
        <v>46155</v>
      </c>
      <c r="G1222" s="28">
        <f t="shared" si="399"/>
        <v>46161</v>
      </c>
      <c r="H1222" s="28">
        <f t="shared" si="400"/>
        <v>46149</v>
      </c>
      <c r="I1222" s="28">
        <f t="shared" si="401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f t="shared" si="377"/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">
        <v>529</v>
      </c>
      <c r="D1223" s="28">
        <f t="shared" si="396"/>
        <v>46164</v>
      </c>
      <c r="E1223" s="28">
        <f t="shared" si="397"/>
        <v>46148</v>
      </c>
      <c r="F1223" s="28">
        <f t="shared" si="398"/>
        <v>46155</v>
      </c>
      <c r="G1223" s="28">
        <f t="shared" si="399"/>
        <v>46161</v>
      </c>
      <c r="H1223" s="28">
        <f t="shared" si="400"/>
        <v>46149</v>
      </c>
      <c r="I1223" s="28">
        <f t="shared" si="401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f t="shared" si="377"/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">
        <v>529</v>
      </c>
      <c r="D1224" s="28">
        <f t="shared" ref="D1224" si="402">A1224+23</f>
        <v>46165</v>
      </c>
      <c r="E1224" s="28">
        <f t="shared" ref="E1224" si="403">A1224+7</f>
        <v>46149</v>
      </c>
      <c r="F1224" s="28">
        <f t="shared" ref="F1224" si="404">A1224+14</f>
        <v>46156</v>
      </c>
      <c r="G1224" s="28">
        <f t="shared" ref="G1224" si="405">A1224+20</f>
        <v>46162</v>
      </c>
      <c r="H1224" s="28">
        <f t="shared" ref="H1224" si="406">A1224+8</f>
        <v>46150</v>
      </c>
      <c r="I1224" s="28">
        <f t="shared" ref="I1224" si="407">A1224+15</f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f t="shared" si="377"/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">
        <v>529</v>
      </c>
      <c r="D1225" s="28">
        <f t="shared" ref="D1225:D1230" si="408">A1225+23</f>
        <v>46165</v>
      </c>
      <c r="E1225" s="28">
        <f t="shared" ref="E1225:E1230" si="409">A1225+7</f>
        <v>46149</v>
      </c>
      <c r="F1225" s="28">
        <f t="shared" ref="F1225:F1230" si="410">A1225+14</f>
        <v>46156</v>
      </c>
      <c r="G1225" s="28">
        <f t="shared" ref="G1225:G1230" si="411">A1225+20</f>
        <v>46162</v>
      </c>
      <c r="H1225" s="28">
        <f t="shared" ref="H1225:H1230" si="412">A1225+8</f>
        <v>46150</v>
      </c>
      <c r="I1225" s="28">
        <f t="shared" ref="I1225:I1230" si="413">A1225+15</f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f t="shared" si="377"/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">
        <v>529</v>
      </c>
      <c r="D1226" s="28">
        <f t="shared" si="408"/>
        <v>46165</v>
      </c>
      <c r="E1226" s="28">
        <f t="shared" si="409"/>
        <v>46149</v>
      </c>
      <c r="F1226" s="28">
        <f t="shared" si="410"/>
        <v>46156</v>
      </c>
      <c r="G1226" s="28">
        <f t="shared" si="411"/>
        <v>46162</v>
      </c>
      <c r="H1226" s="28">
        <f t="shared" si="412"/>
        <v>46150</v>
      </c>
      <c r="I1226" s="28">
        <f t="shared" si="413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f t="shared" si="377"/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">
        <v>529</v>
      </c>
      <c r="D1227" s="28">
        <f t="shared" si="408"/>
        <v>46165</v>
      </c>
      <c r="E1227" s="28">
        <f t="shared" si="409"/>
        <v>46149</v>
      </c>
      <c r="F1227" s="28">
        <f t="shared" si="410"/>
        <v>46156</v>
      </c>
      <c r="G1227" s="28">
        <f t="shared" si="411"/>
        <v>46162</v>
      </c>
      <c r="H1227" s="28">
        <f t="shared" si="412"/>
        <v>46150</v>
      </c>
      <c r="I1227" s="28">
        <f t="shared" si="413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f t="shared" si="377"/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">
        <v>529</v>
      </c>
      <c r="D1228" s="28">
        <f t="shared" si="408"/>
        <v>46165</v>
      </c>
      <c r="E1228" s="28">
        <f t="shared" si="409"/>
        <v>46149</v>
      </c>
      <c r="F1228" s="28">
        <f t="shared" si="410"/>
        <v>46156</v>
      </c>
      <c r="G1228" s="28">
        <f t="shared" si="411"/>
        <v>46162</v>
      </c>
      <c r="H1228" s="28">
        <f t="shared" si="412"/>
        <v>46150</v>
      </c>
      <c r="I1228" s="28">
        <f t="shared" si="413"/>
        <v>46157</v>
      </c>
      <c r="J1228" s="28">
        <v>46165</v>
      </c>
      <c r="K1228" s="1">
        <f t="shared" ref="K1228:K1270" si="414">J1228-A1228</f>
        <v>23</v>
      </c>
      <c r="L1228" s="1">
        <v>13.19</v>
      </c>
      <c r="M1228" s="1">
        <v>12.15</v>
      </c>
      <c r="N1228" s="1">
        <f t="shared" si="377"/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">
        <v>529</v>
      </c>
      <c r="D1229" s="28">
        <f t="shared" si="408"/>
        <v>46165</v>
      </c>
      <c r="E1229" s="28">
        <f t="shared" si="409"/>
        <v>46149</v>
      </c>
      <c r="F1229" s="28">
        <f t="shared" si="410"/>
        <v>46156</v>
      </c>
      <c r="G1229" s="28">
        <f t="shared" si="411"/>
        <v>46162</v>
      </c>
      <c r="H1229" s="28">
        <f t="shared" si="412"/>
        <v>46150</v>
      </c>
      <c r="I1229" s="28">
        <f t="shared" si="413"/>
        <v>46157</v>
      </c>
      <c r="J1229" s="28">
        <v>46165</v>
      </c>
      <c r="K1229" s="1">
        <f t="shared" si="414"/>
        <v>23</v>
      </c>
      <c r="L1229" s="1">
        <v>14.25</v>
      </c>
      <c r="M1229" s="1">
        <v>12.61</v>
      </c>
      <c r="N1229" s="1">
        <f t="shared" ref="N1229:N1292" si="415">L1229-M1229</f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">
        <v>529</v>
      </c>
      <c r="D1230" s="28">
        <f t="shared" si="408"/>
        <v>46165</v>
      </c>
      <c r="E1230" s="28">
        <f t="shared" si="409"/>
        <v>46149</v>
      </c>
      <c r="F1230" s="28">
        <f t="shared" si="410"/>
        <v>46156</v>
      </c>
      <c r="G1230" s="28">
        <f t="shared" si="411"/>
        <v>46162</v>
      </c>
      <c r="H1230" s="28">
        <f t="shared" si="412"/>
        <v>46150</v>
      </c>
      <c r="I1230" s="28">
        <f t="shared" si="413"/>
        <v>46157</v>
      </c>
      <c r="J1230" s="28">
        <v>46165</v>
      </c>
      <c r="K1230" s="1">
        <f t="shared" si="414"/>
        <v>23</v>
      </c>
      <c r="L1230" s="1">
        <v>13.16</v>
      </c>
      <c r="M1230" s="1">
        <v>11.75</v>
      </c>
      <c r="N1230" s="1">
        <f t="shared" si="415"/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">
        <v>529</v>
      </c>
      <c r="D1231" s="28">
        <f t="shared" ref="D1231:D1275" si="416">A1231+23</f>
        <v>46166</v>
      </c>
      <c r="E1231" s="28">
        <f t="shared" ref="E1231:E1275" si="417">A1231+7</f>
        <v>46150</v>
      </c>
      <c r="F1231" s="28">
        <f t="shared" ref="F1231:F1275" si="418">A1231+14</f>
        <v>46157</v>
      </c>
      <c r="G1231" s="28">
        <f t="shared" ref="G1231:G1275" si="419">A1231+20</f>
        <v>46163</v>
      </c>
      <c r="H1231" s="28">
        <f t="shared" ref="H1231:H1275" si="420">A1231+8</f>
        <v>46151</v>
      </c>
      <c r="I1231" s="28">
        <f t="shared" ref="I1231:I1275" si="421">A1231+15</f>
        <v>46158</v>
      </c>
      <c r="J1231" s="28">
        <v>46165</v>
      </c>
      <c r="K1231" s="1">
        <f t="shared" si="414"/>
        <v>22</v>
      </c>
      <c r="L1231" s="1">
        <v>13.28</v>
      </c>
      <c r="M1231" s="1">
        <v>11.4</v>
      </c>
      <c r="N1231" s="1">
        <f t="shared" si="415"/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">
        <v>529</v>
      </c>
      <c r="D1232" s="28">
        <f t="shared" si="416"/>
        <v>46166</v>
      </c>
      <c r="E1232" s="28">
        <f t="shared" si="417"/>
        <v>46150</v>
      </c>
      <c r="F1232" s="28">
        <f t="shared" si="418"/>
        <v>46157</v>
      </c>
      <c r="G1232" s="28">
        <f t="shared" si="419"/>
        <v>46163</v>
      </c>
      <c r="H1232" s="28">
        <f t="shared" si="420"/>
        <v>46151</v>
      </c>
      <c r="I1232" s="28">
        <f t="shared" si="421"/>
        <v>46158</v>
      </c>
      <c r="J1232" s="28">
        <v>46166</v>
      </c>
      <c r="K1232" s="1">
        <f t="shared" si="414"/>
        <v>23</v>
      </c>
      <c r="L1232" s="1">
        <v>13.1</v>
      </c>
      <c r="M1232" s="1">
        <v>11.36</v>
      </c>
      <c r="N1232" s="1">
        <f t="shared" si="415"/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">
        <v>529</v>
      </c>
      <c r="D1233" s="28">
        <f t="shared" si="416"/>
        <v>46166</v>
      </c>
      <c r="E1233" s="28">
        <f t="shared" si="417"/>
        <v>46150</v>
      </c>
      <c r="F1233" s="28">
        <f t="shared" si="418"/>
        <v>46157</v>
      </c>
      <c r="G1233" s="28">
        <f t="shared" si="419"/>
        <v>46163</v>
      </c>
      <c r="H1233" s="28">
        <f t="shared" si="420"/>
        <v>46151</v>
      </c>
      <c r="I1233" s="28">
        <f t="shared" si="421"/>
        <v>46158</v>
      </c>
      <c r="J1233" s="28">
        <v>46166</v>
      </c>
      <c r="K1233" s="1">
        <f t="shared" si="414"/>
        <v>23</v>
      </c>
      <c r="L1233" s="1">
        <v>13.98</v>
      </c>
      <c r="M1233" s="1">
        <v>12.11</v>
      </c>
      <c r="N1233" s="1">
        <f t="shared" si="415"/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">
        <v>529</v>
      </c>
      <c r="D1234" s="28">
        <f t="shared" si="416"/>
        <v>46166</v>
      </c>
      <c r="E1234" s="28">
        <f t="shared" si="417"/>
        <v>46150</v>
      </c>
      <c r="F1234" s="28">
        <f t="shared" si="418"/>
        <v>46157</v>
      </c>
      <c r="G1234" s="28">
        <f t="shared" si="419"/>
        <v>46163</v>
      </c>
      <c r="H1234" s="28">
        <f t="shared" si="420"/>
        <v>46151</v>
      </c>
      <c r="I1234" s="28">
        <f t="shared" si="421"/>
        <v>46158</v>
      </c>
      <c r="J1234" s="28">
        <v>46169</v>
      </c>
      <c r="K1234" s="1">
        <f t="shared" si="414"/>
        <v>26</v>
      </c>
      <c r="L1234" s="1">
        <v>12.35</v>
      </c>
      <c r="M1234" s="1">
        <v>10.29</v>
      </c>
      <c r="N1234" s="1">
        <f t="shared" si="415"/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">
        <v>529</v>
      </c>
      <c r="D1235" s="28">
        <f t="shared" si="416"/>
        <v>46166</v>
      </c>
      <c r="E1235" s="28">
        <f t="shared" si="417"/>
        <v>46150</v>
      </c>
      <c r="F1235" s="28">
        <f t="shared" si="418"/>
        <v>46157</v>
      </c>
      <c r="G1235" s="28">
        <f t="shared" si="419"/>
        <v>46163</v>
      </c>
      <c r="H1235" s="28">
        <f t="shared" si="420"/>
        <v>46151</v>
      </c>
      <c r="I1235" s="28">
        <f t="shared" si="421"/>
        <v>46158</v>
      </c>
      <c r="J1235" s="28">
        <v>46169</v>
      </c>
      <c r="K1235" s="1">
        <f t="shared" si="414"/>
        <v>26</v>
      </c>
      <c r="L1235" s="1">
        <v>11.19</v>
      </c>
      <c r="M1235" s="1">
        <v>9.27</v>
      </c>
      <c r="N1235" s="1">
        <f t="shared" si="415"/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">
        <v>529</v>
      </c>
      <c r="D1236" s="28">
        <f t="shared" si="416"/>
        <v>46166</v>
      </c>
      <c r="E1236" s="28">
        <f t="shared" si="417"/>
        <v>46150</v>
      </c>
      <c r="F1236" s="28">
        <f t="shared" si="418"/>
        <v>46157</v>
      </c>
      <c r="G1236" s="28">
        <f t="shared" si="419"/>
        <v>46163</v>
      </c>
      <c r="H1236" s="28">
        <f t="shared" si="420"/>
        <v>46151</v>
      </c>
      <c r="I1236" s="28">
        <f t="shared" si="421"/>
        <v>46158</v>
      </c>
      <c r="J1236" s="28">
        <v>46169</v>
      </c>
      <c r="K1236" s="1">
        <f t="shared" si="414"/>
        <v>26</v>
      </c>
      <c r="L1236" s="1">
        <v>13.1</v>
      </c>
      <c r="M1236" s="1">
        <v>11.12</v>
      </c>
      <c r="N1236" s="1">
        <f t="shared" si="415"/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">
        <v>529</v>
      </c>
      <c r="D1237" s="28">
        <f t="shared" si="416"/>
        <v>46166</v>
      </c>
      <c r="E1237" s="28">
        <f t="shared" si="417"/>
        <v>46150</v>
      </c>
      <c r="F1237" s="28">
        <f t="shared" si="418"/>
        <v>46157</v>
      </c>
      <c r="G1237" s="28">
        <f t="shared" si="419"/>
        <v>46163</v>
      </c>
      <c r="H1237" s="28">
        <f t="shared" si="420"/>
        <v>46151</v>
      </c>
      <c r="I1237" s="28">
        <f t="shared" si="421"/>
        <v>46158</v>
      </c>
      <c r="J1237" s="28">
        <v>46169</v>
      </c>
      <c r="K1237" s="1">
        <f t="shared" si="414"/>
        <v>26</v>
      </c>
      <c r="L1237" s="1">
        <v>11.86</v>
      </c>
      <c r="M1237" s="1">
        <v>10.54</v>
      </c>
      <c r="N1237" s="1">
        <f t="shared" si="415"/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">
        <v>529</v>
      </c>
      <c r="D1238" s="28">
        <f t="shared" si="416"/>
        <v>46167</v>
      </c>
      <c r="E1238" s="28">
        <f t="shared" si="417"/>
        <v>46151</v>
      </c>
      <c r="F1238" s="28">
        <f t="shared" si="418"/>
        <v>46158</v>
      </c>
      <c r="G1238" s="28">
        <f t="shared" si="419"/>
        <v>46164</v>
      </c>
      <c r="H1238" s="28">
        <f t="shared" si="420"/>
        <v>46152</v>
      </c>
      <c r="I1238" s="28">
        <f t="shared" si="421"/>
        <v>46159</v>
      </c>
      <c r="J1238" s="28">
        <v>46169</v>
      </c>
      <c r="K1238" s="1">
        <f t="shared" si="414"/>
        <v>25</v>
      </c>
      <c r="L1238" s="1">
        <v>12.97</v>
      </c>
      <c r="M1238" s="1">
        <v>11.08</v>
      </c>
      <c r="N1238" s="1">
        <f t="shared" si="415"/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">
        <v>529</v>
      </c>
      <c r="D1239" s="28">
        <f t="shared" si="416"/>
        <v>46167</v>
      </c>
      <c r="E1239" s="28">
        <f t="shared" si="417"/>
        <v>46151</v>
      </c>
      <c r="F1239" s="28">
        <f t="shared" si="418"/>
        <v>46158</v>
      </c>
      <c r="G1239" s="28">
        <f t="shared" si="419"/>
        <v>46164</v>
      </c>
      <c r="H1239" s="28">
        <f t="shared" si="420"/>
        <v>46152</v>
      </c>
      <c r="I1239" s="28">
        <f t="shared" si="421"/>
        <v>46159</v>
      </c>
      <c r="J1239" s="28">
        <v>46169</v>
      </c>
      <c r="K1239" s="1">
        <f t="shared" si="414"/>
        <v>25</v>
      </c>
      <c r="L1239" s="1">
        <v>12.81</v>
      </c>
      <c r="M1239" s="1">
        <v>10.73</v>
      </c>
      <c r="N1239" s="1">
        <f t="shared" si="415"/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">
        <v>529</v>
      </c>
      <c r="D1240" s="28">
        <f t="shared" si="416"/>
        <v>46167</v>
      </c>
      <c r="E1240" s="28">
        <f t="shared" si="417"/>
        <v>46151</v>
      </c>
      <c r="F1240" s="28">
        <f t="shared" si="418"/>
        <v>46158</v>
      </c>
      <c r="G1240" s="28">
        <f t="shared" si="419"/>
        <v>46164</v>
      </c>
      <c r="H1240" s="28">
        <f t="shared" si="420"/>
        <v>46152</v>
      </c>
      <c r="I1240" s="28">
        <f t="shared" si="421"/>
        <v>46159</v>
      </c>
      <c r="J1240" s="28">
        <v>46169</v>
      </c>
      <c r="K1240" s="1">
        <f t="shared" si="414"/>
        <v>25</v>
      </c>
      <c r="L1240" s="1">
        <v>11.63</v>
      </c>
      <c r="M1240" s="1">
        <v>9.5500000000000007</v>
      </c>
      <c r="N1240" s="1">
        <f t="shared" si="415"/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">
        <v>529</v>
      </c>
      <c r="D1241" s="28">
        <f t="shared" si="416"/>
        <v>46167</v>
      </c>
      <c r="E1241" s="28">
        <f t="shared" si="417"/>
        <v>46151</v>
      </c>
      <c r="F1241" s="28">
        <f t="shared" si="418"/>
        <v>46158</v>
      </c>
      <c r="G1241" s="28">
        <f t="shared" si="419"/>
        <v>46164</v>
      </c>
      <c r="H1241" s="28">
        <f t="shared" si="420"/>
        <v>46152</v>
      </c>
      <c r="I1241" s="28">
        <f t="shared" si="421"/>
        <v>46159</v>
      </c>
      <c r="J1241" s="28">
        <v>46168</v>
      </c>
      <c r="K1241" s="1">
        <f t="shared" si="414"/>
        <v>24</v>
      </c>
      <c r="L1241" s="1">
        <v>14.26</v>
      </c>
      <c r="M1241" s="1">
        <v>12.56</v>
      </c>
      <c r="N1241" s="1">
        <f t="shared" si="415"/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">
        <v>529</v>
      </c>
      <c r="D1242" s="28">
        <f t="shared" si="416"/>
        <v>46167</v>
      </c>
      <c r="E1242" s="28">
        <f t="shared" si="417"/>
        <v>46151</v>
      </c>
      <c r="F1242" s="28">
        <f t="shared" si="418"/>
        <v>46158</v>
      </c>
      <c r="G1242" s="28">
        <f t="shared" si="419"/>
        <v>46164</v>
      </c>
      <c r="H1242" s="28">
        <f t="shared" si="420"/>
        <v>46152</v>
      </c>
      <c r="I1242" s="28">
        <f t="shared" si="421"/>
        <v>46159</v>
      </c>
      <c r="J1242" s="28">
        <v>46168</v>
      </c>
      <c r="K1242" s="1">
        <f t="shared" si="414"/>
        <v>24</v>
      </c>
      <c r="L1242" s="1">
        <v>14.15</v>
      </c>
      <c r="M1242" s="1">
        <v>12.31</v>
      </c>
      <c r="N1242" s="1">
        <f t="shared" si="415"/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">
        <v>529</v>
      </c>
      <c r="D1243" s="28">
        <f t="shared" si="416"/>
        <v>46167</v>
      </c>
      <c r="E1243" s="28">
        <f t="shared" si="417"/>
        <v>46151</v>
      </c>
      <c r="F1243" s="28">
        <f t="shared" si="418"/>
        <v>46158</v>
      </c>
      <c r="G1243" s="28">
        <f t="shared" si="419"/>
        <v>46164</v>
      </c>
      <c r="H1243" s="28">
        <f t="shared" si="420"/>
        <v>46152</v>
      </c>
      <c r="I1243" s="28">
        <f t="shared" si="421"/>
        <v>46159</v>
      </c>
      <c r="J1243" s="28">
        <v>46167</v>
      </c>
      <c r="K1243" s="1">
        <f t="shared" si="414"/>
        <v>23</v>
      </c>
      <c r="L1243" s="1">
        <v>13.18</v>
      </c>
      <c r="M1243" s="1">
        <v>11.32</v>
      </c>
      <c r="N1243" s="1">
        <f t="shared" si="415"/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">
        <v>529</v>
      </c>
      <c r="D1244" s="28">
        <f t="shared" si="416"/>
        <v>46168</v>
      </c>
      <c r="E1244" s="28">
        <f t="shared" si="417"/>
        <v>46152</v>
      </c>
      <c r="F1244" s="28">
        <f t="shared" si="418"/>
        <v>46159</v>
      </c>
      <c r="G1244" s="28">
        <f t="shared" si="419"/>
        <v>46165</v>
      </c>
      <c r="H1244" s="28">
        <f t="shared" si="420"/>
        <v>46153</v>
      </c>
      <c r="I1244" s="28">
        <f t="shared" si="421"/>
        <v>46160</v>
      </c>
      <c r="J1244" s="28">
        <v>46170</v>
      </c>
      <c r="K1244" s="1">
        <f t="shared" si="414"/>
        <v>25</v>
      </c>
      <c r="L1244" s="1">
        <v>13.1</v>
      </c>
      <c r="M1244" s="1">
        <v>11.35</v>
      </c>
      <c r="N1244" s="1">
        <f t="shared" si="415"/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">
        <v>529</v>
      </c>
      <c r="D1245" s="28">
        <f t="shared" si="416"/>
        <v>46168</v>
      </c>
      <c r="E1245" s="28">
        <f t="shared" si="417"/>
        <v>46152</v>
      </c>
      <c r="F1245" s="28">
        <f t="shared" si="418"/>
        <v>46159</v>
      </c>
      <c r="G1245" s="28">
        <f t="shared" si="419"/>
        <v>46165</v>
      </c>
      <c r="H1245" s="28">
        <f t="shared" si="420"/>
        <v>46153</v>
      </c>
      <c r="I1245" s="28">
        <f t="shared" si="421"/>
        <v>46160</v>
      </c>
      <c r="J1245" s="28">
        <v>46170</v>
      </c>
      <c r="K1245" s="1">
        <f t="shared" si="414"/>
        <v>25</v>
      </c>
      <c r="L1245" s="1">
        <v>13.52</v>
      </c>
      <c r="M1245" s="1">
        <v>11.73</v>
      </c>
      <c r="N1245" s="1">
        <f t="shared" si="415"/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">
        <v>529</v>
      </c>
      <c r="D1246" s="28">
        <f t="shared" si="416"/>
        <v>46168</v>
      </c>
      <c r="E1246" s="28">
        <f t="shared" si="417"/>
        <v>46152</v>
      </c>
      <c r="F1246" s="28">
        <f t="shared" si="418"/>
        <v>46159</v>
      </c>
      <c r="G1246" s="28">
        <f t="shared" si="419"/>
        <v>46165</v>
      </c>
      <c r="H1246" s="28">
        <f t="shared" si="420"/>
        <v>46153</v>
      </c>
      <c r="I1246" s="28">
        <f t="shared" si="421"/>
        <v>46160</v>
      </c>
      <c r="J1246" s="28">
        <v>46170</v>
      </c>
      <c r="K1246" s="1">
        <f t="shared" si="414"/>
        <v>25</v>
      </c>
      <c r="L1246" s="1">
        <v>13.98</v>
      </c>
      <c r="M1246" s="1">
        <v>12.1</v>
      </c>
      <c r="N1246" s="1">
        <f t="shared" si="415"/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">
        <v>529</v>
      </c>
      <c r="D1247" s="28">
        <f t="shared" si="416"/>
        <v>46168</v>
      </c>
      <c r="E1247" s="28">
        <f t="shared" si="417"/>
        <v>46152</v>
      </c>
      <c r="F1247" s="28">
        <f t="shared" si="418"/>
        <v>46159</v>
      </c>
      <c r="G1247" s="28">
        <f t="shared" si="419"/>
        <v>46165</v>
      </c>
      <c r="H1247" s="28">
        <f t="shared" si="420"/>
        <v>46153</v>
      </c>
      <c r="I1247" s="28">
        <f t="shared" si="421"/>
        <v>46160</v>
      </c>
      <c r="J1247" s="28">
        <v>46170</v>
      </c>
      <c r="K1247" s="1">
        <f t="shared" si="414"/>
        <v>25</v>
      </c>
      <c r="L1247" s="1">
        <v>12.37</v>
      </c>
      <c r="M1247" s="1">
        <v>10.54</v>
      </c>
      <c r="N1247" s="1">
        <f t="shared" si="415"/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">
        <v>529</v>
      </c>
      <c r="D1248" s="28">
        <f t="shared" si="416"/>
        <v>46168</v>
      </c>
      <c r="E1248" s="28">
        <f t="shared" si="417"/>
        <v>46152</v>
      </c>
      <c r="F1248" s="28">
        <f t="shared" si="418"/>
        <v>46159</v>
      </c>
      <c r="G1248" s="28">
        <f t="shared" si="419"/>
        <v>46165</v>
      </c>
      <c r="H1248" s="28">
        <f t="shared" si="420"/>
        <v>46153</v>
      </c>
      <c r="I1248" s="28">
        <f t="shared" si="421"/>
        <v>46160</v>
      </c>
      <c r="J1248" s="28">
        <v>46170</v>
      </c>
      <c r="K1248" s="1">
        <f t="shared" si="414"/>
        <v>25</v>
      </c>
      <c r="L1248" s="1">
        <v>12.16</v>
      </c>
      <c r="M1248" s="1">
        <v>10.58</v>
      </c>
      <c r="N1248" s="1">
        <f t="shared" si="415"/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">
        <v>529</v>
      </c>
      <c r="D1249" s="28">
        <f t="shared" si="416"/>
        <v>46168</v>
      </c>
      <c r="E1249" s="28">
        <f t="shared" si="417"/>
        <v>46152</v>
      </c>
      <c r="F1249" s="28">
        <f t="shared" si="418"/>
        <v>46159</v>
      </c>
      <c r="G1249" s="28">
        <f t="shared" si="419"/>
        <v>46165</v>
      </c>
      <c r="H1249" s="28">
        <f t="shared" si="420"/>
        <v>46153</v>
      </c>
      <c r="I1249" s="28">
        <f t="shared" si="421"/>
        <v>46160</v>
      </c>
      <c r="J1249" s="28">
        <v>46170</v>
      </c>
      <c r="K1249" s="1">
        <f t="shared" si="414"/>
        <v>25</v>
      </c>
      <c r="L1249" s="1">
        <v>14.08</v>
      </c>
      <c r="M1249" s="1">
        <v>12.33</v>
      </c>
      <c r="N1249" s="1">
        <f t="shared" si="415"/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">
        <v>529</v>
      </c>
      <c r="D1250" s="28">
        <f t="shared" si="416"/>
        <v>46168</v>
      </c>
      <c r="E1250" s="28">
        <f t="shared" si="417"/>
        <v>46152</v>
      </c>
      <c r="F1250" s="28">
        <f t="shared" si="418"/>
        <v>46159</v>
      </c>
      <c r="G1250" s="28">
        <f t="shared" si="419"/>
        <v>46165</v>
      </c>
      <c r="H1250" s="28">
        <f t="shared" si="420"/>
        <v>46153</v>
      </c>
      <c r="I1250" s="28">
        <f t="shared" si="421"/>
        <v>46160</v>
      </c>
      <c r="J1250" s="28">
        <v>46171</v>
      </c>
      <c r="K1250" s="1">
        <f t="shared" si="414"/>
        <v>26</v>
      </c>
      <c r="L1250" s="1">
        <v>14.2</v>
      </c>
      <c r="M1250" s="1">
        <v>12.31</v>
      </c>
      <c r="N1250" s="1">
        <f t="shared" si="415"/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">
        <v>529</v>
      </c>
      <c r="D1251" s="28">
        <f t="shared" si="416"/>
        <v>46169</v>
      </c>
      <c r="E1251" s="28">
        <f t="shared" si="417"/>
        <v>46153</v>
      </c>
      <c r="F1251" s="28">
        <f t="shared" si="418"/>
        <v>46160</v>
      </c>
      <c r="G1251" s="28">
        <f t="shared" si="419"/>
        <v>46166</v>
      </c>
      <c r="H1251" s="28">
        <f t="shared" si="420"/>
        <v>46154</v>
      </c>
      <c r="I1251" s="28">
        <f t="shared" si="421"/>
        <v>46161</v>
      </c>
      <c r="J1251" s="28">
        <v>46171</v>
      </c>
      <c r="K1251" s="1">
        <f t="shared" si="414"/>
        <v>25</v>
      </c>
      <c r="L1251" s="1">
        <v>12.16</v>
      </c>
      <c r="M1251" s="1">
        <v>10.33</v>
      </c>
      <c r="N1251" s="1">
        <f t="shared" si="415"/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">
        <v>529</v>
      </c>
      <c r="D1252" s="28">
        <f t="shared" si="416"/>
        <v>46169</v>
      </c>
      <c r="E1252" s="28">
        <f t="shared" si="417"/>
        <v>46153</v>
      </c>
      <c r="F1252" s="28">
        <f t="shared" si="418"/>
        <v>46160</v>
      </c>
      <c r="G1252" s="28">
        <f t="shared" si="419"/>
        <v>46166</v>
      </c>
      <c r="H1252" s="28">
        <f t="shared" si="420"/>
        <v>46154</v>
      </c>
      <c r="I1252" s="28">
        <f t="shared" si="421"/>
        <v>46161</v>
      </c>
      <c r="J1252" s="28">
        <v>46171</v>
      </c>
      <c r="K1252" s="1">
        <f t="shared" si="414"/>
        <v>25</v>
      </c>
      <c r="L1252" s="1">
        <v>13.08</v>
      </c>
      <c r="M1252" s="1">
        <v>11.15</v>
      </c>
      <c r="N1252" s="1">
        <f t="shared" si="415"/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">
        <v>529</v>
      </c>
      <c r="D1253" s="28">
        <f t="shared" si="416"/>
        <v>46169</v>
      </c>
      <c r="E1253" s="28">
        <f t="shared" si="417"/>
        <v>46153</v>
      </c>
      <c r="F1253" s="28">
        <f t="shared" si="418"/>
        <v>46160</v>
      </c>
      <c r="G1253" s="28">
        <f t="shared" si="419"/>
        <v>46166</v>
      </c>
      <c r="H1253" s="28">
        <f t="shared" si="420"/>
        <v>46154</v>
      </c>
      <c r="I1253" s="28">
        <f t="shared" si="421"/>
        <v>46161</v>
      </c>
      <c r="J1253" s="28">
        <v>46171</v>
      </c>
      <c r="K1253" s="1">
        <f t="shared" si="414"/>
        <v>25</v>
      </c>
      <c r="L1253" s="1">
        <v>14.41</v>
      </c>
      <c r="M1253" s="1">
        <v>12.74</v>
      </c>
      <c r="N1253" s="1">
        <f t="shared" si="415"/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">
        <v>529</v>
      </c>
      <c r="D1254" s="28">
        <f t="shared" si="416"/>
        <v>46169</v>
      </c>
      <c r="E1254" s="28">
        <f t="shared" si="417"/>
        <v>46153</v>
      </c>
      <c r="F1254" s="28">
        <f t="shared" si="418"/>
        <v>46160</v>
      </c>
      <c r="G1254" s="28">
        <f t="shared" si="419"/>
        <v>46166</v>
      </c>
      <c r="H1254" s="28">
        <f t="shared" si="420"/>
        <v>46154</v>
      </c>
      <c r="I1254" s="28">
        <f t="shared" si="421"/>
        <v>46161</v>
      </c>
      <c r="J1254" s="28">
        <v>46171</v>
      </c>
      <c r="K1254" s="1">
        <f t="shared" si="414"/>
        <v>25</v>
      </c>
      <c r="L1254" s="1">
        <v>14.35</v>
      </c>
      <c r="M1254" s="1">
        <v>12.58</v>
      </c>
      <c r="N1254" s="1">
        <f t="shared" si="415"/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">
        <v>529</v>
      </c>
      <c r="D1255" s="28">
        <f t="shared" si="416"/>
        <v>46169</v>
      </c>
      <c r="E1255" s="28">
        <f t="shared" si="417"/>
        <v>46153</v>
      </c>
      <c r="F1255" s="28">
        <f t="shared" si="418"/>
        <v>46160</v>
      </c>
      <c r="G1255" s="28">
        <f t="shared" si="419"/>
        <v>46166</v>
      </c>
      <c r="H1255" s="28">
        <f t="shared" si="420"/>
        <v>46154</v>
      </c>
      <c r="I1255" s="28">
        <f t="shared" si="421"/>
        <v>46161</v>
      </c>
      <c r="J1255" s="28">
        <v>46171</v>
      </c>
      <c r="K1255" s="1">
        <f t="shared" si="414"/>
        <v>25</v>
      </c>
      <c r="L1255" s="1">
        <v>15.38</v>
      </c>
      <c r="M1255" s="1">
        <v>13.41</v>
      </c>
      <c r="N1255" s="1">
        <f t="shared" si="415"/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">
        <v>529</v>
      </c>
      <c r="D1256" s="28">
        <f t="shared" si="416"/>
        <v>46169</v>
      </c>
      <c r="E1256" s="28">
        <f t="shared" si="417"/>
        <v>46153</v>
      </c>
      <c r="F1256" s="28">
        <f t="shared" si="418"/>
        <v>46160</v>
      </c>
      <c r="G1256" s="28">
        <f t="shared" si="419"/>
        <v>46166</v>
      </c>
      <c r="H1256" s="28">
        <f t="shared" si="420"/>
        <v>46154</v>
      </c>
      <c r="I1256" s="28">
        <f t="shared" si="421"/>
        <v>46161</v>
      </c>
      <c r="J1256" s="28">
        <v>46171</v>
      </c>
      <c r="K1256" s="1">
        <f t="shared" si="414"/>
        <v>25</v>
      </c>
      <c r="L1256" s="1">
        <v>15.06</v>
      </c>
      <c r="M1256" s="1">
        <v>13.1</v>
      </c>
      <c r="N1256" s="1">
        <f t="shared" si="415"/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">
        <v>529</v>
      </c>
      <c r="D1257" s="28">
        <f t="shared" si="416"/>
        <v>46169</v>
      </c>
      <c r="E1257" s="28">
        <f t="shared" si="417"/>
        <v>46153</v>
      </c>
      <c r="F1257" s="28">
        <f t="shared" si="418"/>
        <v>46160</v>
      </c>
      <c r="G1257" s="28">
        <f t="shared" si="419"/>
        <v>46166</v>
      </c>
      <c r="H1257" s="28">
        <f t="shared" si="420"/>
        <v>46154</v>
      </c>
      <c r="I1257" s="28">
        <f t="shared" si="421"/>
        <v>46161</v>
      </c>
      <c r="J1257" s="28">
        <v>46171</v>
      </c>
      <c r="K1257" s="1">
        <f t="shared" si="414"/>
        <v>25</v>
      </c>
      <c r="L1257" s="1">
        <v>13.37</v>
      </c>
      <c r="M1257" s="1">
        <v>11.58</v>
      </c>
      <c r="N1257" s="1">
        <f t="shared" si="415"/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">
        <v>529</v>
      </c>
      <c r="D1258" s="28">
        <f t="shared" si="416"/>
        <v>46170</v>
      </c>
      <c r="E1258" s="28">
        <f t="shared" si="417"/>
        <v>46154</v>
      </c>
      <c r="F1258" s="28">
        <f t="shared" si="418"/>
        <v>46161</v>
      </c>
      <c r="G1258" s="28">
        <f t="shared" si="419"/>
        <v>46167</v>
      </c>
      <c r="H1258" s="28">
        <f t="shared" si="420"/>
        <v>46155</v>
      </c>
      <c r="I1258" s="28">
        <f t="shared" si="421"/>
        <v>46162</v>
      </c>
      <c r="J1258" s="28">
        <v>46171</v>
      </c>
      <c r="K1258" s="1">
        <f t="shared" si="414"/>
        <v>24</v>
      </c>
      <c r="L1258" s="1">
        <v>14.43</v>
      </c>
      <c r="M1258" s="1">
        <v>12.64</v>
      </c>
      <c r="N1258" s="1">
        <f t="shared" si="415"/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">
        <v>529</v>
      </c>
      <c r="D1259" s="28">
        <f t="shared" si="416"/>
        <v>46170</v>
      </c>
      <c r="E1259" s="28">
        <f t="shared" si="417"/>
        <v>46154</v>
      </c>
      <c r="F1259" s="28">
        <f t="shared" si="418"/>
        <v>46161</v>
      </c>
      <c r="G1259" s="28">
        <f t="shared" si="419"/>
        <v>46167</v>
      </c>
      <c r="H1259" s="28">
        <f t="shared" si="420"/>
        <v>46155</v>
      </c>
      <c r="I1259" s="28">
        <f t="shared" si="421"/>
        <v>46162</v>
      </c>
      <c r="J1259" s="28">
        <v>46171</v>
      </c>
      <c r="K1259" s="1">
        <f t="shared" si="414"/>
        <v>24</v>
      </c>
      <c r="L1259" s="1">
        <v>15.24</v>
      </c>
      <c r="M1259" s="1">
        <v>13.55</v>
      </c>
      <c r="N1259" s="1">
        <f t="shared" si="415"/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">
        <v>529</v>
      </c>
      <c r="D1260" s="28">
        <f t="shared" si="416"/>
        <v>46170</v>
      </c>
      <c r="E1260" s="28">
        <f t="shared" si="417"/>
        <v>46154</v>
      </c>
      <c r="F1260" s="28">
        <f t="shared" si="418"/>
        <v>46161</v>
      </c>
      <c r="G1260" s="28">
        <f t="shared" si="419"/>
        <v>46167</v>
      </c>
      <c r="H1260" s="28">
        <f t="shared" si="420"/>
        <v>46155</v>
      </c>
      <c r="I1260" s="28">
        <f t="shared" si="421"/>
        <v>46162</v>
      </c>
      <c r="J1260" s="28">
        <v>46172</v>
      </c>
      <c r="K1260" s="1">
        <f t="shared" si="414"/>
        <v>25</v>
      </c>
      <c r="L1260" s="1">
        <v>14.36</v>
      </c>
      <c r="M1260" s="1">
        <v>12.53</v>
      </c>
      <c r="N1260" s="1">
        <f t="shared" si="415"/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">
        <v>529</v>
      </c>
      <c r="D1261" s="28">
        <f t="shared" si="416"/>
        <v>46170</v>
      </c>
      <c r="E1261" s="28">
        <f t="shared" si="417"/>
        <v>46154</v>
      </c>
      <c r="F1261" s="28">
        <f t="shared" si="418"/>
        <v>46161</v>
      </c>
      <c r="G1261" s="28">
        <f t="shared" si="419"/>
        <v>46167</v>
      </c>
      <c r="H1261" s="28">
        <f t="shared" si="420"/>
        <v>46155</v>
      </c>
      <c r="I1261" s="28">
        <f t="shared" si="421"/>
        <v>46162</v>
      </c>
      <c r="J1261" s="28">
        <v>46172</v>
      </c>
      <c r="K1261" s="1">
        <f t="shared" si="414"/>
        <v>25</v>
      </c>
      <c r="L1261" s="1">
        <v>15.21</v>
      </c>
      <c r="M1261" s="1">
        <v>13.58</v>
      </c>
      <c r="N1261" s="1">
        <f t="shared" si="415"/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">
        <v>529</v>
      </c>
      <c r="D1262" s="28">
        <f t="shared" si="416"/>
        <v>46170</v>
      </c>
      <c r="E1262" s="28">
        <f t="shared" si="417"/>
        <v>46154</v>
      </c>
      <c r="F1262" s="28">
        <f t="shared" si="418"/>
        <v>46161</v>
      </c>
      <c r="G1262" s="28">
        <f t="shared" si="419"/>
        <v>46167</v>
      </c>
      <c r="H1262" s="28">
        <f t="shared" si="420"/>
        <v>46155</v>
      </c>
      <c r="I1262" s="28">
        <f t="shared" si="421"/>
        <v>46162</v>
      </c>
      <c r="J1262" s="28">
        <v>46172</v>
      </c>
      <c r="K1262" s="1">
        <f t="shared" si="414"/>
        <v>25</v>
      </c>
      <c r="L1262" s="1">
        <v>14.93</v>
      </c>
      <c r="M1262" s="1">
        <v>13.1</v>
      </c>
      <c r="N1262" s="1">
        <f t="shared" si="415"/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">
        <v>529</v>
      </c>
      <c r="D1263" s="28">
        <f t="shared" si="416"/>
        <v>46170</v>
      </c>
      <c r="E1263" s="28">
        <f t="shared" si="417"/>
        <v>46154</v>
      </c>
      <c r="F1263" s="28">
        <f t="shared" si="418"/>
        <v>46161</v>
      </c>
      <c r="G1263" s="28">
        <f t="shared" si="419"/>
        <v>46167</v>
      </c>
      <c r="H1263" s="28">
        <f t="shared" si="420"/>
        <v>46155</v>
      </c>
      <c r="I1263" s="28">
        <f t="shared" si="421"/>
        <v>46162</v>
      </c>
      <c r="J1263" s="28">
        <v>46172</v>
      </c>
      <c r="K1263" s="1">
        <f t="shared" si="414"/>
        <v>25</v>
      </c>
      <c r="L1263" s="1">
        <v>13.88</v>
      </c>
      <c r="M1263" s="1">
        <v>12.05</v>
      </c>
      <c r="N1263" s="1">
        <f t="shared" si="415"/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">
        <v>529</v>
      </c>
      <c r="D1264" s="28">
        <f t="shared" si="416"/>
        <v>46170</v>
      </c>
      <c r="E1264" s="28">
        <f t="shared" si="417"/>
        <v>46154</v>
      </c>
      <c r="F1264" s="28">
        <f t="shared" si="418"/>
        <v>46161</v>
      </c>
      <c r="G1264" s="28">
        <f t="shared" si="419"/>
        <v>46167</v>
      </c>
      <c r="H1264" s="28">
        <f t="shared" si="420"/>
        <v>46155</v>
      </c>
      <c r="I1264" s="28">
        <f t="shared" si="421"/>
        <v>46162</v>
      </c>
      <c r="J1264" s="28">
        <v>46170</v>
      </c>
      <c r="K1264" s="1">
        <f t="shared" si="414"/>
        <v>23</v>
      </c>
      <c r="L1264" s="1">
        <v>12.98</v>
      </c>
      <c r="M1264" s="1">
        <v>11.28</v>
      </c>
      <c r="N1264" s="1">
        <f t="shared" si="415"/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">
        <v>610</v>
      </c>
      <c r="D1265" s="28">
        <v>46171</v>
      </c>
      <c r="E1265" s="28">
        <v>46155</v>
      </c>
      <c r="F1265" s="28">
        <v>46162</v>
      </c>
      <c r="G1265" s="28">
        <v>46168</v>
      </c>
      <c r="H1265" s="28">
        <v>46156</v>
      </c>
      <c r="I1265" s="28">
        <v>46163</v>
      </c>
      <c r="J1265" s="28"/>
      <c r="K1265" s="1"/>
      <c r="L1265" s="1"/>
      <c r="M1265" s="1"/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">
        <v>611</v>
      </c>
      <c r="D1266" s="28">
        <v>46171</v>
      </c>
      <c r="E1266" s="28">
        <v>46155</v>
      </c>
      <c r="F1266" s="28">
        <v>46162</v>
      </c>
      <c r="G1266" s="28">
        <v>46168</v>
      </c>
      <c r="H1266" s="28">
        <v>46156</v>
      </c>
      <c r="I1266" s="28">
        <v>46163</v>
      </c>
      <c r="J1266" s="28"/>
      <c r="K1266" s="1"/>
      <c r="L1266" s="1"/>
      <c r="M1266" s="1"/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">
        <v>612</v>
      </c>
      <c r="D1267" s="28">
        <v>46171</v>
      </c>
      <c r="E1267" s="28">
        <v>46155</v>
      </c>
      <c r="F1267" s="28">
        <v>46162</v>
      </c>
      <c r="G1267" s="28">
        <v>46168</v>
      </c>
      <c r="H1267" s="28">
        <v>46156</v>
      </c>
      <c r="I1267" s="28">
        <v>46163</v>
      </c>
      <c r="J1267" s="28">
        <v>46173</v>
      </c>
      <c r="K1267" s="1"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">
        <v>613</v>
      </c>
      <c r="D1268" s="28">
        <v>46171</v>
      </c>
      <c r="E1268" s="28">
        <v>46155</v>
      </c>
      <c r="F1268" s="28">
        <v>46162</v>
      </c>
      <c r="G1268" s="28">
        <v>46168</v>
      </c>
      <c r="H1268" s="28">
        <v>46156</v>
      </c>
      <c r="I1268" s="28">
        <v>46163</v>
      </c>
      <c r="J1268" s="28">
        <v>46173</v>
      </c>
      <c r="K1268" s="1"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">
        <v>416</v>
      </c>
      <c r="D1269" s="28">
        <v>46173</v>
      </c>
      <c r="E1269" s="28">
        <v>46157</v>
      </c>
      <c r="F1269" s="28">
        <v>46164</v>
      </c>
      <c r="G1269" s="28">
        <v>46170</v>
      </c>
      <c r="H1269" s="28">
        <v>46158</v>
      </c>
      <c r="I1269" s="28">
        <v>46165</v>
      </c>
      <c r="J1269" s="28"/>
      <c r="K1269" s="1"/>
      <c r="L1269" s="1"/>
      <c r="M1269" s="1"/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">
        <v>417</v>
      </c>
      <c r="D1270" s="28">
        <v>46173</v>
      </c>
      <c r="E1270" s="28">
        <v>46157</v>
      </c>
      <c r="F1270" s="28">
        <v>46164</v>
      </c>
      <c r="G1270" s="28">
        <v>46170</v>
      </c>
      <c r="H1270" s="28">
        <v>46158</v>
      </c>
      <c r="I1270" s="28">
        <v>46165</v>
      </c>
      <c r="J1270" s="28"/>
      <c r="K1270" s="1"/>
      <c r="L1270" s="1"/>
      <c r="M1270" s="1"/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">
        <v>418</v>
      </c>
      <c r="D1271" s="28">
        <v>46173</v>
      </c>
      <c r="E1271" s="28">
        <v>46157</v>
      </c>
      <c r="F1271" s="28">
        <v>46164</v>
      </c>
      <c r="G1271" s="28">
        <v>46170</v>
      </c>
      <c r="H1271" s="28">
        <v>46158</v>
      </c>
      <c r="I1271" s="28">
        <v>46165</v>
      </c>
      <c r="J1271" s="28"/>
      <c r="K1271" s="1"/>
      <c r="L1271" s="1"/>
      <c r="M1271" s="1"/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">
        <v>419</v>
      </c>
      <c r="D1272" s="28">
        <v>46173</v>
      </c>
      <c r="E1272" s="28">
        <v>46157</v>
      </c>
      <c r="F1272" s="28">
        <v>46164</v>
      </c>
      <c r="G1272" s="28">
        <v>46170</v>
      </c>
      <c r="H1272" s="28">
        <v>46158</v>
      </c>
      <c r="I1272" s="28">
        <v>46165</v>
      </c>
      <c r="J1272" s="28"/>
      <c r="K1272" s="1"/>
      <c r="L1272" s="1"/>
      <c r="M1272" s="1"/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">
        <v>420</v>
      </c>
      <c r="D1273" s="28">
        <v>46173</v>
      </c>
      <c r="E1273" s="28">
        <v>46157</v>
      </c>
      <c r="F1273" s="28">
        <v>46164</v>
      </c>
      <c r="G1273" s="28">
        <v>46170</v>
      </c>
      <c r="H1273" s="28">
        <v>46158</v>
      </c>
      <c r="I1273" s="28">
        <v>46165</v>
      </c>
      <c r="J1273" s="28"/>
      <c r="K1273" s="1"/>
      <c r="L1273" s="1"/>
      <c r="M1273" s="1"/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">
        <v>421</v>
      </c>
      <c r="D1274" s="28">
        <v>46173</v>
      </c>
      <c r="E1274" s="28">
        <v>46157</v>
      </c>
      <c r="F1274" s="28">
        <v>46164</v>
      </c>
      <c r="G1274" s="28">
        <v>46170</v>
      </c>
      <c r="H1274" s="28">
        <v>46158</v>
      </c>
      <c r="I1274" s="28">
        <v>46165</v>
      </c>
      <c r="J1274" s="28"/>
      <c r="K1274" s="1"/>
      <c r="L1274" s="1"/>
      <c r="M1274" s="1"/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">
        <v>422</v>
      </c>
      <c r="D1275" s="28">
        <v>46173</v>
      </c>
      <c r="E1275" s="28">
        <v>46157</v>
      </c>
      <c r="F1275" s="28">
        <v>46164</v>
      </c>
      <c r="G1275" s="28">
        <v>46170</v>
      </c>
      <c r="H1275" s="28">
        <v>46158</v>
      </c>
      <c r="I1275" s="28">
        <v>46165</v>
      </c>
      <c r="J1275" s="28"/>
      <c r="K1275" s="1"/>
      <c r="L1275" s="1"/>
      <c r="M1275" s="1"/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">
        <v>423</v>
      </c>
      <c r="D1276" s="28">
        <v>46174</v>
      </c>
      <c r="E1276" s="28">
        <v>46158</v>
      </c>
      <c r="F1276" s="28">
        <v>46165</v>
      </c>
      <c r="G1276" s="28">
        <v>46171</v>
      </c>
      <c r="H1276" s="28">
        <v>46159</v>
      </c>
      <c r="I1276" s="28">
        <v>46166</v>
      </c>
      <c r="J1276" s="28"/>
      <c r="K1276" s="1"/>
      <c r="L1276" s="1"/>
      <c r="M1276" s="1"/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">
        <v>424</v>
      </c>
      <c r="D1277" s="28">
        <v>46174</v>
      </c>
      <c r="E1277" s="28">
        <v>46158</v>
      </c>
      <c r="F1277" s="28">
        <v>46165</v>
      </c>
      <c r="G1277" s="28">
        <v>46171</v>
      </c>
      <c r="H1277" s="28">
        <v>46159</v>
      </c>
      <c r="I1277" s="28">
        <v>46166</v>
      </c>
      <c r="J1277" s="28"/>
      <c r="K1277" s="1"/>
      <c r="L1277" s="1"/>
      <c r="M1277" s="1"/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">
        <v>425</v>
      </c>
      <c r="D1278" s="28">
        <v>46174</v>
      </c>
      <c r="E1278" s="28">
        <v>46158</v>
      </c>
      <c r="F1278" s="28">
        <v>46165</v>
      </c>
      <c r="G1278" s="28">
        <v>46171</v>
      </c>
      <c r="H1278" s="28">
        <v>46159</v>
      </c>
      <c r="I1278" s="28">
        <v>46166</v>
      </c>
      <c r="J1278" s="28"/>
      <c r="K1278" s="1"/>
      <c r="L1278" s="1"/>
      <c r="M1278" s="1"/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">
        <v>426</v>
      </c>
      <c r="D1279" s="28">
        <v>46174</v>
      </c>
      <c r="E1279" s="28">
        <v>46158</v>
      </c>
      <c r="F1279" s="28">
        <v>46165</v>
      </c>
      <c r="G1279" s="28">
        <v>46171</v>
      </c>
      <c r="H1279" s="28">
        <v>46159</v>
      </c>
      <c r="I1279" s="28">
        <v>46166</v>
      </c>
      <c r="J1279" s="28"/>
      <c r="K1279" s="1"/>
      <c r="L1279" s="1"/>
      <c r="M1279" s="1"/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">
        <v>427</v>
      </c>
      <c r="D1280" s="28">
        <v>46174</v>
      </c>
      <c r="E1280" s="28">
        <v>46158</v>
      </c>
      <c r="F1280" s="28">
        <v>46165</v>
      </c>
      <c r="G1280" s="28">
        <v>46171</v>
      </c>
      <c r="H1280" s="28">
        <v>46159</v>
      </c>
      <c r="I1280" s="28">
        <v>46166</v>
      </c>
      <c r="J1280" s="28"/>
      <c r="K1280" s="1"/>
      <c r="L1280" s="1"/>
      <c r="M1280" s="1"/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">
        <v>428</v>
      </c>
      <c r="D1281" s="28">
        <v>46174</v>
      </c>
      <c r="E1281" s="28">
        <v>46158</v>
      </c>
      <c r="F1281" s="28">
        <v>46165</v>
      </c>
      <c r="G1281" s="28">
        <v>46171</v>
      </c>
      <c r="H1281" s="28">
        <v>46159</v>
      </c>
      <c r="I1281" s="28">
        <v>46166</v>
      </c>
      <c r="J1281" s="28"/>
      <c r="K1281" s="1"/>
      <c r="L1281" s="1"/>
      <c r="M1281" s="1"/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">
        <v>429</v>
      </c>
      <c r="D1282" s="28">
        <v>46174</v>
      </c>
      <c r="E1282" s="28">
        <v>46158</v>
      </c>
      <c r="F1282" s="28">
        <v>46165</v>
      </c>
      <c r="G1282" s="28">
        <v>46171</v>
      </c>
      <c r="H1282" s="28">
        <v>46159</v>
      </c>
      <c r="I1282" s="28">
        <v>46166</v>
      </c>
      <c r="J1282" s="28"/>
      <c r="K1282" s="1"/>
      <c r="L1282" s="1"/>
      <c r="M1282" s="1"/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">
        <v>430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/>
      <c r="K1283" s="1"/>
      <c r="L1283" s="1"/>
      <c r="M1283" s="1"/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">
        <v>431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/>
      <c r="K1284" s="1"/>
      <c r="L1284" s="1"/>
      <c r="M1284" s="1"/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">
        <v>432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/>
      <c r="K1285" s="1"/>
      <c r="L1285" s="1"/>
      <c r="M1285" s="1"/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">
        <v>433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/>
      <c r="K1286" s="1"/>
      <c r="L1286" s="1"/>
      <c r="M1286" s="1"/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">
        <v>434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/>
      <c r="K1287" s="1"/>
      <c r="L1287" s="1"/>
      <c r="M1287" s="1"/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">
        <v>435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/>
      <c r="K1288" s="1"/>
      <c r="L1288" s="1"/>
      <c r="M1288" s="1"/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">
        <v>436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/>
      <c r="K1289" s="1"/>
      <c r="L1289" s="1"/>
      <c r="M1289" s="1"/>
      <c r="N1289" s="1">
        <v>0</v>
      </c>
      <c r="O1289" s="1" t="s">
        <v>379</v>
      </c>
    </row>
    <row r="1290" spans="1:15" x14ac:dyDescent="0.25">
      <c r="A1290" s="28">
        <v>46152</v>
      </c>
      <c r="B1290" s="1" t="s">
        <v>213</v>
      </c>
      <c r="C1290" s="1" t="s">
        <v>416</v>
      </c>
      <c r="D1290" s="28">
        <v>46175</v>
      </c>
      <c r="E1290" s="28">
        <v>46159</v>
      </c>
      <c r="F1290" s="28">
        <v>46166</v>
      </c>
      <c r="G1290" s="28">
        <v>46172</v>
      </c>
      <c r="H1290" s="28">
        <v>46160</v>
      </c>
      <c r="I1290" s="28">
        <v>46167</v>
      </c>
      <c r="J1290" s="28"/>
      <c r="K1290" s="1"/>
      <c r="L1290" s="1"/>
      <c r="M1290" s="1"/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236</v>
      </c>
      <c r="C1291" s="1" t="s">
        <v>446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/>
      <c r="K1291" s="1"/>
      <c r="L1291" s="1"/>
      <c r="M1291" s="1"/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237</v>
      </c>
      <c r="C1292" s="1" t="s">
        <v>447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/>
      <c r="K1292" s="1"/>
      <c r="L1292" s="1"/>
      <c r="M1292" s="1"/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238</v>
      </c>
      <c r="C1293" s="1" t="s">
        <v>448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/>
      <c r="K1293" s="1"/>
      <c r="L1293" s="1"/>
      <c r="M1293" s="1"/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239</v>
      </c>
      <c r="C1294" s="1" t="s">
        <v>449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/>
      <c r="K1294" s="1"/>
      <c r="L1294" s="1"/>
      <c r="M1294" s="1"/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240</v>
      </c>
      <c r="C1295" s="1" t="s">
        <v>450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/>
      <c r="K1295" s="1"/>
      <c r="L1295" s="1"/>
      <c r="M1295" s="1"/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241</v>
      </c>
      <c r="C1296" s="1" t="s">
        <v>451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/>
      <c r="K1296" s="1"/>
      <c r="L1296" s="1"/>
      <c r="M1296" s="1"/>
      <c r="N1296" s="1">
        <v>0</v>
      </c>
      <c r="O1296" s="1" t="s">
        <v>379</v>
      </c>
    </row>
    <row r="1297" spans="1:15" x14ac:dyDescent="0.25">
      <c r="A1297" s="28">
        <v>46153</v>
      </c>
      <c r="B1297" s="1" t="s">
        <v>242</v>
      </c>
      <c r="C1297" s="1" t="s">
        <v>452</v>
      </c>
      <c r="D1297" s="28">
        <v>46176</v>
      </c>
      <c r="E1297" s="28">
        <v>46160</v>
      </c>
      <c r="F1297" s="28">
        <v>46167</v>
      </c>
      <c r="G1297" s="28">
        <v>46173</v>
      </c>
      <c r="H1297" s="28">
        <v>46161</v>
      </c>
      <c r="I1297" s="28">
        <v>46168</v>
      </c>
      <c r="J1297" s="28"/>
      <c r="K1297" s="1"/>
      <c r="L1297" s="1"/>
      <c r="M1297" s="1"/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204</v>
      </c>
      <c r="C1298" s="1" t="s">
        <v>453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/>
      <c r="K1298" s="1"/>
      <c r="L1298" s="1"/>
      <c r="M1298" s="1"/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205</v>
      </c>
      <c r="C1299" s="1" t="s">
        <v>454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/>
      <c r="K1299" s="1"/>
      <c r="L1299" s="1"/>
      <c r="M1299" s="1"/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234</v>
      </c>
      <c r="C1300" s="1" t="s">
        <v>455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/>
      <c r="K1300" s="1"/>
      <c r="L1300" s="1"/>
      <c r="M1300" s="1"/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235</v>
      </c>
      <c r="C1301" s="1" t="s">
        <v>456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/>
      <c r="K1301" s="1"/>
      <c r="L1301" s="1"/>
      <c r="M1301" s="1"/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391</v>
      </c>
      <c r="C1302" s="1" t="s">
        <v>457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/>
      <c r="K1302" s="1"/>
      <c r="L1302" s="1"/>
      <c r="M1302" s="1"/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392</v>
      </c>
      <c r="C1303" s="1" t="s">
        <v>458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/>
      <c r="K1303" s="1"/>
      <c r="L1303" s="1"/>
      <c r="M1303" s="1"/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266</v>
      </c>
      <c r="C1304" s="1" t="s">
        <v>459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/>
      <c r="K1304" s="1"/>
      <c r="L1304" s="1"/>
      <c r="M1304" s="1"/>
      <c r="N1304" s="1">
        <v>0</v>
      </c>
      <c r="O1304" s="1" t="s">
        <v>379</v>
      </c>
    </row>
    <row r="1305" spans="1:15" x14ac:dyDescent="0.25">
      <c r="A1305" s="28">
        <v>46154</v>
      </c>
      <c r="B1305" s="1" t="s">
        <v>267</v>
      </c>
      <c r="C1305" s="1" t="s">
        <v>460</v>
      </c>
      <c r="D1305" s="28">
        <v>46177</v>
      </c>
      <c r="E1305" s="28">
        <v>46161</v>
      </c>
      <c r="F1305" s="28">
        <v>46168</v>
      </c>
      <c r="G1305" s="28">
        <v>46174</v>
      </c>
      <c r="H1305" s="28">
        <v>46162</v>
      </c>
      <c r="I1305" s="28">
        <v>46169</v>
      </c>
      <c r="J1305" s="28"/>
      <c r="K1305" s="1"/>
      <c r="L1305" s="1"/>
      <c r="M1305" s="1"/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268</v>
      </c>
      <c r="C1306" s="1" t="s">
        <v>461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/>
      <c r="K1306" s="1"/>
      <c r="L1306" s="1"/>
      <c r="M1306" s="1"/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269</v>
      </c>
      <c r="C1307" s="1" t="s">
        <v>462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/>
      <c r="K1307" s="1"/>
      <c r="L1307" s="1"/>
      <c r="M1307" s="1"/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270</v>
      </c>
      <c r="C1308" s="1" t="s">
        <v>463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/>
      <c r="K1308" s="1"/>
      <c r="L1308" s="1"/>
      <c r="M1308" s="1"/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271</v>
      </c>
      <c r="C1309" s="1" t="s">
        <v>464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/>
      <c r="K1309" s="1"/>
      <c r="L1309" s="1"/>
      <c r="M1309" s="1"/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272</v>
      </c>
      <c r="C1310" s="1" t="s">
        <v>465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/>
      <c r="K1310" s="1"/>
      <c r="L1310" s="1"/>
      <c r="M1310" s="1"/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273</v>
      </c>
      <c r="C1311" s="1" t="s">
        <v>466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/>
      <c r="K1311" s="1"/>
      <c r="L1311" s="1"/>
      <c r="M1311" s="1"/>
      <c r="N1311" s="1">
        <v>0</v>
      </c>
      <c r="O1311" s="1" t="s">
        <v>379</v>
      </c>
    </row>
    <row r="1312" spans="1:15" x14ac:dyDescent="0.25">
      <c r="A1312" s="28">
        <v>46155</v>
      </c>
      <c r="B1312" s="1" t="s">
        <v>274</v>
      </c>
      <c r="C1312" s="1" t="s">
        <v>467</v>
      </c>
      <c r="D1312" s="28">
        <v>46178</v>
      </c>
      <c r="E1312" s="28">
        <v>46162</v>
      </c>
      <c r="F1312" s="28">
        <v>46169</v>
      </c>
      <c r="G1312" s="28">
        <v>46175</v>
      </c>
      <c r="H1312" s="28">
        <v>46163</v>
      </c>
      <c r="I1312" s="28">
        <v>46170</v>
      </c>
      <c r="J1312" s="28"/>
      <c r="K1312" s="1"/>
      <c r="L1312" s="1"/>
      <c r="M1312" s="1"/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275</v>
      </c>
      <c r="C1313" s="1" t="s">
        <v>468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/>
      <c r="K1313" s="1"/>
      <c r="L1313" s="1"/>
      <c r="M1313" s="1"/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276</v>
      </c>
      <c r="C1314" s="1" t="s">
        <v>469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/>
      <c r="K1314" s="1"/>
      <c r="L1314" s="1"/>
      <c r="M1314" s="1"/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277</v>
      </c>
      <c r="C1315" s="1" t="s">
        <v>470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/>
      <c r="K1315" s="1"/>
      <c r="L1315" s="1"/>
      <c r="M1315" s="1"/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278</v>
      </c>
      <c r="C1316" s="1" t="s">
        <v>471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/>
      <c r="K1316" s="1"/>
      <c r="L1316" s="1"/>
      <c r="M1316" s="1"/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279</v>
      </c>
      <c r="C1317" s="1" t="s">
        <v>472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/>
      <c r="K1317" s="1"/>
      <c r="L1317" s="1"/>
      <c r="M1317" s="1"/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280</v>
      </c>
      <c r="C1318" s="1" t="s">
        <v>473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/>
      <c r="K1318" s="1"/>
      <c r="L1318" s="1"/>
      <c r="M1318" s="1"/>
      <c r="N1318" s="1">
        <v>0</v>
      </c>
      <c r="O1318" s="1" t="s">
        <v>379</v>
      </c>
    </row>
    <row r="1319" spans="1:15" x14ac:dyDescent="0.25">
      <c r="A1319" s="28">
        <v>46156</v>
      </c>
      <c r="B1319" s="1" t="s">
        <v>281</v>
      </c>
      <c r="C1319" s="1" t="s">
        <v>474</v>
      </c>
      <c r="D1319" s="28">
        <v>46179</v>
      </c>
      <c r="E1319" s="28">
        <v>46163</v>
      </c>
      <c r="F1319" s="28">
        <v>46170</v>
      </c>
      <c r="G1319" s="28">
        <v>46176</v>
      </c>
      <c r="H1319" s="28">
        <v>46164</v>
      </c>
      <c r="I1319" s="28">
        <v>46171</v>
      </c>
      <c r="J1319" s="28"/>
      <c r="K1319" s="1"/>
      <c r="L1319" s="1"/>
      <c r="M1319" s="1"/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282</v>
      </c>
      <c r="C1320" s="1" t="s">
        <v>491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/>
      <c r="K1320" s="1"/>
      <c r="L1320" s="1"/>
      <c r="M1320" s="1"/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283</v>
      </c>
      <c r="C1321" s="1" t="s">
        <v>492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/>
      <c r="K1321" s="1"/>
      <c r="L1321" s="1"/>
      <c r="M1321" s="1"/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284</v>
      </c>
      <c r="C1322" s="1" t="s">
        <v>493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/>
      <c r="K1322" s="1"/>
      <c r="L1322" s="1"/>
      <c r="M1322" s="1"/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285</v>
      </c>
      <c r="C1323" s="1" t="s">
        <v>437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/>
      <c r="K1323" s="1"/>
      <c r="L1323" s="1"/>
      <c r="M1323" s="1"/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286</v>
      </c>
      <c r="C1324" s="1" t="s">
        <v>438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/>
      <c r="K1324" s="1"/>
      <c r="L1324" s="1"/>
      <c r="M1324" s="1"/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287</v>
      </c>
      <c r="C1325" s="1" t="s">
        <v>593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/>
      <c r="K1325" s="1"/>
      <c r="L1325" s="1"/>
      <c r="M1325" s="1"/>
      <c r="N1325" s="1">
        <v>0</v>
      </c>
      <c r="O1325" s="1" t="s">
        <v>379</v>
      </c>
    </row>
    <row r="1326" spans="1:15" x14ac:dyDescent="0.25">
      <c r="A1326" s="28">
        <v>46157</v>
      </c>
      <c r="B1326" s="1" t="s">
        <v>288</v>
      </c>
      <c r="C1326" s="1" t="s">
        <v>594</v>
      </c>
      <c r="D1326" s="28">
        <v>46180</v>
      </c>
      <c r="E1326" s="28">
        <v>46164</v>
      </c>
      <c r="F1326" s="28">
        <v>46171</v>
      </c>
      <c r="G1326" s="28">
        <v>46177</v>
      </c>
      <c r="H1326" s="28">
        <v>46165</v>
      </c>
      <c r="I1326" s="28">
        <v>46172</v>
      </c>
      <c r="J1326" s="28"/>
      <c r="K1326" s="1"/>
      <c r="L1326" s="1"/>
      <c r="M1326" s="1"/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289</v>
      </c>
      <c r="C1327" s="1" t="s">
        <v>595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/>
      <c r="K1327" s="1"/>
      <c r="L1327" s="1"/>
      <c r="M1327" s="1"/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290</v>
      </c>
      <c r="C1328" s="1" t="s">
        <v>596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/>
      <c r="K1328" s="1"/>
      <c r="L1328" s="1"/>
      <c r="M1328" s="1"/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291</v>
      </c>
      <c r="C1329" s="1" t="s">
        <v>597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/>
      <c r="K1329" s="1"/>
      <c r="L1329" s="1"/>
      <c r="M1329" s="1"/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292</v>
      </c>
      <c r="C1330" s="1" t="s">
        <v>598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/>
      <c r="K1330" s="1"/>
      <c r="L1330" s="1"/>
      <c r="M1330" s="1"/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293</v>
      </c>
      <c r="C1331" s="1" t="s">
        <v>599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/>
      <c r="K1331" s="1"/>
      <c r="L1331" s="1"/>
      <c r="M1331" s="1"/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294</v>
      </c>
      <c r="C1332" s="1" t="s">
        <v>600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/>
      <c r="K1332" s="1"/>
      <c r="L1332" s="1"/>
      <c r="M1332" s="1"/>
      <c r="N1332" s="1">
        <v>0</v>
      </c>
      <c r="O1332" s="1" t="s">
        <v>379</v>
      </c>
    </row>
    <row r="1333" spans="1:15" x14ac:dyDescent="0.25">
      <c r="A1333" s="28">
        <v>46158</v>
      </c>
      <c r="B1333" s="1" t="s">
        <v>295</v>
      </c>
      <c r="C1333" s="1" t="s">
        <v>601</v>
      </c>
      <c r="D1333" s="28">
        <v>46181</v>
      </c>
      <c r="E1333" s="28">
        <v>46165</v>
      </c>
      <c r="F1333" s="28">
        <v>46172</v>
      </c>
      <c r="G1333" s="28">
        <v>46178</v>
      </c>
      <c r="H1333" s="28">
        <v>46166</v>
      </c>
      <c r="I1333" s="28">
        <v>46173</v>
      </c>
      <c r="J1333" s="28"/>
      <c r="K1333" s="1"/>
      <c r="L1333" s="1"/>
      <c r="M1333" s="1"/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296</v>
      </c>
      <c r="C1334" s="1" t="s">
        <v>602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/>
      <c r="K1334" s="1"/>
      <c r="L1334" s="1"/>
      <c r="M1334" s="1"/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297</v>
      </c>
      <c r="C1335" s="1" t="s">
        <v>603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/>
      <c r="K1335" s="1"/>
      <c r="L1335" s="1"/>
      <c r="M1335" s="1"/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298</v>
      </c>
      <c r="C1336" s="1" t="s">
        <v>604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/>
      <c r="K1336" s="1"/>
      <c r="L1336" s="1"/>
      <c r="M1336" s="1"/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299</v>
      </c>
      <c r="C1337" s="1" t="s">
        <v>605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/>
      <c r="K1337" s="1"/>
      <c r="L1337" s="1"/>
      <c r="M1337" s="1"/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300</v>
      </c>
      <c r="C1338" s="1" t="s">
        <v>606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/>
      <c r="K1338" s="1"/>
      <c r="L1338" s="1"/>
      <c r="M1338" s="1"/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301</v>
      </c>
      <c r="C1339" s="1" t="s">
        <v>1238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/>
      <c r="K1339" s="1"/>
      <c r="L1339" s="1"/>
      <c r="M1339" s="1"/>
      <c r="N1339" s="1">
        <v>0</v>
      </c>
      <c r="O1339" s="1" t="s">
        <v>379</v>
      </c>
    </row>
    <row r="1340" spans="1:15" x14ac:dyDescent="0.25">
      <c r="A1340" s="28">
        <v>46159</v>
      </c>
      <c r="B1340" s="1" t="s">
        <v>302</v>
      </c>
      <c r="C1340" s="1" t="s">
        <v>1239</v>
      </c>
      <c r="D1340" s="28">
        <v>46182</v>
      </c>
      <c r="E1340" s="28">
        <v>46166</v>
      </c>
      <c r="F1340" s="28">
        <v>46173</v>
      </c>
      <c r="G1340" s="28">
        <v>46179</v>
      </c>
      <c r="H1340" s="28">
        <v>46167</v>
      </c>
      <c r="I1340" s="28">
        <v>46174</v>
      </c>
      <c r="J1340" s="28"/>
      <c r="K1340" s="1"/>
      <c r="L1340" s="1"/>
      <c r="M1340" s="1"/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339</v>
      </c>
      <c r="C1341" s="1" t="s">
        <v>439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/>
      <c r="K1341" s="1"/>
      <c r="L1341" s="1"/>
      <c r="M1341" s="1"/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340</v>
      </c>
      <c r="C1342" s="1" t="s">
        <v>440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/>
      <c r="K1342" s="1"/>
      <c r="L1342" s="1"/>
      <c r="M1342" s="1"/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341</v>
      </c>
      <c r="C1343" s="1" t="s">
        <v>441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/>
      <c r="K1343" s="1"/>
      <c r="L1343" s="1"/>
      <c r="M1343" s="1"/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342</v>
      </c>
      <c r="C1344" s="1" t="s">
        <v>442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/>
      <c r="K1344" s="1"/>
      <c r="L1344" s="1"/>
      <c r="M1344" s="1"/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343</v>
      </c>
      <c r="C1345" s="1" t="s">
        <v>443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/>
      <c r="K1345" s="1"/>
      <c r="L1345" s="1"/>
      <c r="M1345" s="1"/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344</v>
      </c>
      <c r="C1346" s="1" t="s">
        <v>444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/>
      <c r="K1346" s="1"/>
      <c r="L1346" s="1"/>
      <c r="M1346" s="1"/>
      <c r="N1346" s="1">
        <v>0</v>
      </c>
      <c r="O1346" s="1" t="s">
        <v>379</v>
      </c>
    </row>
    <row r="1347" spans="1:15" x14ac:dyDescent="0.25">
      <c r="A1347" s="28">
        <v>46160</v>
      </c>
      <c r="B1347" s="1" t="s">
        <v>345</v>
      </c>
      <c r="C1347" s="1" t="s">
        <v>445</v>
      </c>
      <c r="D1347" s="28">
        <v>46183</v>
      </c>
      <c r="E1347" s="28">
        <v>46167</v>
      </c>
      <c r="F1347" s="28">
        <v>46174</v>
      </c>
      <c r="G1347" s="28">
        <v>46180</v>
      </c>
      <c r="H1347" s="28">
        <v>46168</v>
      </c>
      <c r="I1347" s="28">
        <v>46175</v>
      </c>
      <c r="J1347" s="28"/>
      <c r="K1347" s="1"/>
      <c r="L1347" s="1"/>
      <c r="M1347" s="1"/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332</v>
      </c>
      <c r="C1348" s="1" t="s">
        <v>494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/>
      <c r="K1348" s="1"/>
      <c r="L1348" s="1"/>
      <c r="M1348" s="1"/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333</v>
      </c>
      <c r="C1349" s="1" t="s">
        <v>495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/>
      <c r="K1349" s="1"/>
      <c r="L1349" s="1"/>
      <c r="M1349" s="1"/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334</v>
      </c>
      <c r="C1350" s="1" t="s">
        <v>496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/>
      <c r="K1350" s="1"/>
      <c r="L1350" s="1"/>
      <c r="M1350" s="1"/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335</v>
      </c>
      <c r="C1351" s="1" t="s">
        <v>497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/>
      <c r="K1351" s="1"/>
      <c r="L1351" s="1"/>
      <c r="M1351" s="1"/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336</v>
      </c>
      <c r="C1352" s="1" t="s">
        <v>498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/>
      <c r="K1352" s="1"/>
      <c r="L1352" s="1"/>
      <c r="M1352" s="1"/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337</v>
      </c>
      <c r="C1353" s="1" t="s">
        <v>499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/>
      <c r="K1353" s="1"/>
      <c r="L1353" s="1"/>
      <c r="M1353" s="1"/>
      <c r="N1353" s="1">
        <v>0</v>
      </c>
      <c r="O1353" s="1" t="s">
        <v>379</v>
      </c>
    </row>
    <row r="1354" spans="1:15" x14ac:dyDescent="0.25">
      <c r="A1354" s="28">
        <v>46161</v>
      </c>
      <c r="B1354" s="1" t="s">
        <v>338</v>
      </c>
      <c r="C1354" s="1" t="s">
        <v>500</v>
      </c>
      <c r="D1354" s="28">
        <v>46184</v>
      </c>
      <c r="E1354" s="28">
        <v>46168</v>
      </c>
      <c r="F1354" s="28">
        <v>46175</v>
      </c>
      <c r="G1354" s="28">
        <v>46181</v>
      </c>
      <c r="H1354" s="28">
        <v>46169</v>
      </c>
      <c r="I1354" s="28">
        <v>46176</v>
      </c>
      <c r="J1354" s="28"/>
      <c r="K1354" s="1"/>
      <c r="L1354" s="1"/>
      <c r="M1354" s="1"/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324</v>
      </c>
      <c r="C1355" s="1" t="s">
        <v>501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/>
      <c r="K1355" s="1"/>
      <c r="L1355" s="1"/>
      <c r="M1355" s="1"/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325</v>
      </c>
      <c r="C1356" s="1" t="s">
        <v>502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/>
      <c r="K1356" s="1"/>
      <c r="L1356" s="1"/>
      <c r="M1356" s="1"/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326</v>
      </c>
      <c r="C1357" s="1" t="s">
        <v>503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/>
      <c r="K1357" s="1"/>
      <c r="L1357" s="1"/>
      <c r="M1357" s="1"/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327</v>
      </c>
      <c r="C1358" s="1" t="s">
        <v>504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/>
      <c r="K1358" s="1"/>
      <c r="L1358" s="1"/>
      <c r="M1358" s="1"/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328</v>
      </c>
      <c r="C1359" s="1" t="s">
        <v>505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/>
      <c r="K1359" s="1"/>
      <c r="L1359" s="1"/>
      <c r="M1359" s="1"/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329</v>
      </c>
      <c r="C1360" s="1" t="s">
        <v>506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/>
      <c r="K1360" s="1"/>
      <c r="L1360" s="1"/>
      <c r="M1360" s="1"/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330</v>
      </c>
      <c r="C1361" s="1" t="s">
        <v>507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/>
      <c r="K1361" s="1"/>
      <c r="L1361" s="1"/>
      <c r="M1361" s="1"/>
      <c r="N1361" s="1">
        <v>0</v>
      </c>
      <c r="O1361" s="1" t="s">
        <v>379</v>
      </c>
    </row>
    <row r="1362" spans="1:15" x14ac:dyDescent="0.25">
      <c r="A1362" s="28">
        <v>46162</v>
      </c>
      <c r="B1362" s="1" t="s">
        <v>331</v>
      </c>
      <c r="C1362" s="1" t="s">
        <v>508</v>
      </c>
      <c r="D1362" s="28">
        <v>46185</v>
      </c>
      <c r="E1362" s="28">
        <v>46169</v>
      </c>
      <c r="F1362" s="28">
        <v>46176</v>
      </c>
      <c r="G1362" s="28">
        <v>46182</v>
      </c>
      <c r="H1362" s="28">
        <v>46170</v>
      </c>
      <c r="I1362" s="28">
        <v>46177</v>
      </c>
      <c r="J1362" s="28"/>
      <c r="K1362" s="1"/>
      <c r="L1362" s="1"/>
      <c r="M1362" s="1"/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303</v>
      </c>
      <c r="C1363" s="1" t="s">
        <v>509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/>
      <c r="K1363" s="1"/>
      <c r="L1363" s="1"/>
      <c r="M1363" s="1"/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304</v>
      </c>
      <c r="C1364" s="1" t="s">
        <v>510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/>
      <c r="K1364" s="1"/>
      <c r="L1364" s="1"/>
      <c r="M1364" s="1"/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305</v>
      </c>
      <c r="C1365" s="1" t="s">
        <v>511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/>
      <c r="K1365" s="1"/>
      <c r="L1365" s="1"/>
      <c r="M1365" s="1"/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306</v>
      </c>
      <c r="C1366" s="1" t="s">
        <v>512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/>
      <c r="K1366" s="1"/>
      <c r="L1366" s="1"/>
      <c r="M1366" s="1"/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307</v>
      </c>
      <c r="C1367" s="1" t="s">
        <v>513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/>
      <c r="K1367" s="1"/>
      <c r="L1367" s="1"/>
      <c r="M1367" s="1"/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308</v>
      </c>
      <c r="C1368" s="1" t="s">
        <v>514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/>
      <c r="K1368" s="1"/>
      <c r="L1368" s="1"/>
      <c r="M1368" s="1"/>
      <c r="N1368" s="1">
        <v>0</v>
      </c>
      <c r="O1368" s="1" t="s">
        <v>379</v>
      </c>
    </row>
    <row r="1369" spans="1:15" x14ac:dyDescent="0.25">
      <c r="A1369" s="28">
        <v>46163</v>
      </c>
      <c r="B1369" s="1" t="s">
        <v>309</v>
      </c>
      <c r="C1369" s="1" t="s">
        <v>515</v>
      </c>
      <c r="D1369" s="28">
        <v>46186</v>
      </c>
      <c r="E1369" s="28">
        <v>46170</v>
      </c>
      <c r="F1369" s="28">
        <v>46177</v>
      </c>
      <c r="G1369" s="28">
        <v>46183</v>
      </c>
      <c r="H1369" s="28">
        <v>46171</v>
      </c>
      <c r="I1369" s="28">
        <v>46178</v>
      </c>
      <c r="J1369" s="28"/>
      <c r="K1369" s="1"/>
      <c r="L1369" s="1"/>
      <c r="M1369" s="1"/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310</v>
      </c>
      <c r="C1370" s="1" t="s">
        <v>516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/>
      <c r="K1370" s="1"/>
      <c r="L1370" s="1"/>
      <c r="M1370" s="1"/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311</v>
      </c>
      <c r="C1371" s="1" t="s">
        <v>517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/>
      <c r="K1371" s="1"/>
      <c r="L1371" s="1"/>
      <c r="M1371" s="1"/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312</v>
      </c>
      <c r="C1372" s="1" t="s">
        <v>518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/>
      <c r="K1372" s="1"/>
      <c r="L1372" s="1"/>
      <c r="M1372" s="1"/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313</v>
      </c>
      <c r="C1373" s="1" t="s">
        <v>519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/>
      <c r="K1373" s="1"/>
      <c r="L1373" s="1"/>
      <c r="M1373" s="1"/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314</v>
      </c>
      <c r="C1374" s="1" t="s">
        <v>520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/>
      <c r="K1374" s="1"/>
      <c r="L1374" s="1"/>
      <c r="M1374" s="1"/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315</v>
      </c>
      <c r="C1375" s="1" t="s">
        <v>521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/>
      <c r="K1375" s="1"/>
      <c r="L1375" s="1"/>
      <c r="M1375" s="1"/>
      <c r="N1375" s="1">
        <v>0</v>
      </c>
      <c r="O1375" s="1" t="s">
        <v>379</v>
      </c>
    </row>
    <row r="1376" spans="1:15" x14ac:dyDescent="0.25">
      <c r="A1376" s="28">
        <v>46164</v>
      </c>
      <c r="B1376" s="1" t="s">
        <v>316</v>
      </c>
      <c r="C1376" s="1" t="s">
        <v>522</v>
      </c>
      <c r="D1376" s="28">
        <v>46187</v>
      </c>
      <c r="E1376" s="28">
        <v>46171</v>
      </c>
      <c r="F1376" s="28">
        <v>46178</v>
      </c>
      <c r="G1376" s="28">
        <v>46184</v>
      </c>
      <c r="H1376" s="28">
        <v>46172</v>
      </c>
      <c r="I1376" s="28">
        <v>46179</v>
      </c>
      <c r="J1376" s="28"/>
      <c r="K1376" s="1"/>
      <c r="L1376" s="1"/>
      <c r="M1376" s="1"/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317</v>
      </c>
      <c r="C1377" s="1" t="s">
        <v>523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/>
      <c r="K1377" s="1"/>
      <c r="L1377" s="1"/>
      <c r="M1377" s="1"/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318</v>
      </c>
      <c r="C1378" s="1" t="s">
        <v>524</v>
      </c>
      <c r="D1378" s="28">
        <v>46188</v>
      </c>
      <c r="E1378" s="28">
        <v>46172</v>
      </c>
      <c r="F1378" s="28">
        <v>46179</v>
      </c>
      <c r="G1378" s="28">
        <v>46185</v>
      </c>
      <c r="H1378" s="28">
        <v>46173</v>
      </c>
      <c r="I1378" s="28">
        <v>46180</v>
      </c>
      <c r="J1378" s="28"/>
      <c r="K1378" s="1"/>
      <c r="L1378" s="1"/>
      <c r="M1378" s="1"/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319</v>
      </c>
      <c r="C1379" s="1" t="s">
        <v>525</v>
      </c>
      <c r="D1379" s="28">
        <v>46188</v>
      </c>
      <c r="E1379" s="28">
        <v>46172</v>
      </c>
      <c r="F1379" s="28">
        <v>46179</v>
      </c>
      <c r="G1379" s="28">
        <v>46185</v>
      </c>
      <c r="H1379" s="28">
        <v>46173</v>
      </c>
      <c r="I1379" s="28">
        <v>46180</v>
      </c>
      <c r="J1379" s="28"/>
      <c r="K1379" s="1"/>
      <c r="L1379" s="1"/>
      <c r="M1379" s="1"/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320</v>
      </c>
      <c r="C1380" s="1" t="s">
        <v>526</v>
      </c>
      <c r="D1380" s="28">
        <v>46188</v>
      </c>
      <c r="E1380" s="28">
        <v>46172</v>
      </c>
      <c r="F1380" s="28">
        <v>46179</v>
      </c>
      <c r="G1380" s="28">
        <v>46185</v>
      </c>
      <c r="H1380" s="28">
        <v>46173</v>
      </c>
      <c r="I1380" s="28">
        <v>46180</v>
      </c>
      <c r="J1380" s="28"/>
      <c r="K1380" s="1"/>
      <c r="L1380" s="1"/>
      <c r="M1380" s="1"/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321</v>
      </c>
      <c r="C1381" s="1" t="s">
        <v>527</v>
      </c>
      <c r="D1381" s="28">
        <v>46188</v>
      </c>
      <c r="E1381" s="28">
        <v>46172</v>
      </c>
      <c r="F1381" s="28">
        <v>46179</v>
      </c>
      <c r="G1381" s="28">
        <v>46185</v>
      </c>
      <c r="H1381" s="28">
        <v>46173</v>
      </c>
      <c r="I1381" s="28">
        <v>46180</v>
      </c>
      <c r="J1381" s="28"/>
      <c r="K1381" s="1"/>
      <c r="L1381" s="1"/>
      <c r="M1381" s="1"/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322</v>
      </c>
      <c r="C1382" s="1" t="s">
        <v>528</v>
      </c>
      <c r="D1382" s="28">
        <v>46188</v>
      </c>
      <c r="E1382" s="28">
        <v>46172</v>
      </c>
      <c r="F1382" s="28">
        <v>46179</v>
      </c>
      <c r="G1382" s="28">
        <v>46185</v>
      </c>
      <c r="H1382" s="28">
        <v>46173</v>
      </c>
      <c r="I1382" s="28">
        <v>46180</v>
      </c>
      <c r="J1382" s="28"/>
      <c r="K1382" s="1"/>
      <c r="L1382" s="1"/>
      <c r="M1382" s="1"/>
      <c r="N1382" s="1">
        <v>0</v>
      </c>
      <c r="O1382" s="1" t="s">
        <v>379</v>
      </c>
    </row>
    <row r="1383" spans="1:15" x14ac:dyDescent="0.25">
      <c r="A1383" s="28">
        <v>46165</v>
      </c>
      <c r="B1383" s="1" t="s">
        <v>323</v>
      </c>
      <c r="C1383" s="1" t="s">
        <v>529</v>
      </c>
      <c r="D1383" s="28">
        <v>46188</v>
      </c>
      <c r="E1383" s="28">
        <v>46172</v>
      </c>
      <c r="F1383" s="28">
        <v>46179</v>
      </c>
      <c r="G1383" s="28">
        <v>46185</v>
      </c>
      <c r="H1383" s="28">
        <v>46173</v>
      </c>
      <c r="I1383" s="28">
        <v>46180</v>
      </c>
      <c r="J1383" s="28"/>
      <c r="K1383" s="1"/>
      <c r="L1383" s="1"/>
      <c r="M1383" s="1"/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153</v>
      </c>
      <c r="C1384" s="1" t="s">
        <v>530</v>
      </c>
      <c r="D1384" s="28">
        <v>46189</v>
      </c>
      <c r="E1384" s="28">
        <v>46173</v>
      </c>
      <c r="F1384" s="28">
        <v>46180</v>
      </c>
      <c r="G1384" s="28">
        <v>46186</v>
      </c>
      <c r="H1384" s="28">
        <v>46174</v>
      </c>
      <c r="I1384" s="28">
        <v>46181</v>
      </c>
      <c r="J1384" s="28"/>
      <c r="K1384" s="1"/>
      <c r="L1384" s="1"/>
      <c r="M1384" s="1"/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154</v>
      </c>
      <c r="C1385" s="1" t="s">
        <v>531</v>
      </c>
      <c r="D1385" s="28">
        <v>46189</v>
      </c>
      <c r="E1385" s="28">
        <v>46173</v>
      </c>
      <c r="F1385" s="28">
        <v>46180</v>
      </c>
      <c r="G1385" s="28">
        <v>46186</v>
      </c>
      <c r="H1385" s="28">
        <v>46174</v>
      </c>
      <c r="I1385" s="28">
        <v>46181</v>
      </c>
      <c r="J1385" s="28"/>
      <c r="K1385" s="1"/>
      <c r="L1385" s="1"/>
      <c r="M1385" s="1"/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155</v>
      </c>
      <c r="C1386" s="1" t="s">
        <v>532</v>
      </c>
      <c r="D1386" s="28">
        <v>46189</v>
      </c>
      <c r="E1386" s="28">
        <v>46173</v>
      </c>
      <c r="F1386" s="28">
        <v>46180</v>
      </c>
      <c r="G1386" s="28">
        <v>46186</v>
      </c>
      <c r="H1386" s="28">
        <v>46174</v>
      </c>
      <c r="I1386" s="28">
        <v>46181</v>
      </c>
      <c r="J1386" s="28"/>
      <c r="K1386" s="1"/>
      <c r="L1386" s="1"/>
      <c r="M1386" s="1"/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156</v>
      </c>
      <c r="C1387" s="1" t="s">
        <v>533</v>
      </c>
      <c r="D1387" s="28">
        <v>46189</v>
      </c>
      <c r="E1387" s="28">
        <v>46173</v>
      </c>
      <c r="F1387" s="28">
        <v>46180</v>
      </c>
      <c r="G1387" s="28">
        <v>46186</v>
      </c>
      <c r="H1387" s="28">
        <v>46174</v>
      </c>
      <c r="I1387" s="28">
        <v>46181</v>
      </c>
      <c r="J1387" s="28"/>
      <c r="K1387" s="1"/>
      <c r="L1387" s="1"/>
      <c r="M1387" s="1"/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157</v>
      </c>
      <c r="C1388" s="1" t="s">
        <v>534</v>
      </c>
      <c r="D1388" s="28">
        <v>46189</v>
      </c>
      <c r="E1388" s="28">
        <v>46173</v>
      </c>
      <c r="F1388" s="28">
        <v>46180</v>
      </c>
      <c r="G1388" s="28">
        <v>46186</v>
      </c>
      <c r="H1388" s="28">
        <v>46174</v>
      </c>
      <c r="I1388" s="28">
        <v>46181</v>
      </c>
      <c r="J1388" s="28"/>
      <c r="K1388" s="1"/>
      <c r="L1388" s="1"/>
      <c r="M1388" s="1"/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158</v>
      </c>
      <c r="C1389" s="1" t="s">
        <v>535</v>
      </c>
      <c r="D1389" s="28">
        <v>46189</v>
      </c>
      <c r="E1389" s="28">
        <v>46173</v>
      </c>
      <c r="F1389" s="28">
        <v>46180</v>
      </c>
      <c r="G1389" s="28">
        <v>46186</v>
      </c>
      <c r="H1389" s="28">
        <v>46174</v>
      </c>
      <c r="I1389" s="28">
        <v>46181</v>
      </c>
      <c r="J1389" s="28"/>
      <c r="K1389" s="1"/>
      <c r="L1389" s="1"/>
      <c r="M1389" s="1"/>
      <c r="N1389" s="1">
        <v>0</v>
      </c>
      <c r="O1389" s="1" t="s">
        <v>379</v>
      </c>
    </row>
    <row r="1390" spans="1:15" x14ac:dyDescent="0.25">
      <c r="A1390" s="28">
        <v>46166</v>
      </c>
      <c r="B1390" s="1" t="s">
        <v>159</v>
      </c>
      <c r="C1390" s="1" t="s">
        <v>536</v>
      </c>
      <c r="D1390" s="28">
        <v>46189</v>
      </c>
      <c r="E1390" s="28">
        <v>46173</v>
      </c>
      <c r="F1390" s="28">
        <v>46180</v>
      </c>
      <c r="G1390" s="28">
        <v>46186</v>
      </c>
      <c r="H1390" s="28">
        <v>46174</v>
      </c>
      <c r="I1390" s="28">
        <v>46181</v>
      </c>
      <c r="J1390" s="28"/>
      <c r="K1390" s="1"/>
      <c r="L1390" s="1"/>
      <c r="M1390" s="1"/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173</v>
      </c>
      <c r="C1391" s="1" t="s">
        <v>537</v>
      </c>
      <c r="D1391" s="28">
        <v>46190</v>
      </c>
      <c r="E1391" s="28">
        <v>46174</v>
      </c>
      <c r="F1391" s="28">
        <v>46181</v>
      </c>
      <c r="G1391" s="28">
        <v>46187</v>
      </c>
      <c r="H1391" s="28">
        <v>46175</v>
      </c>
      <c r="I1391" s="28">
        <v>46182</v>
      </c>
      <c r="J1391" s="28"/>
      <c r="K1391" s="1"/>
      <c r="L1391" s="1"/>
      <c r="M1391" s="1"/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174</v>
      </c>
      <c r="C1392" s="1" t="s">
        <v>538</v>
      </c>
      <c r="D1392" s="28">
        <v>46190</v>
      </c>
      <c r="E1392" s="28">
        <v>46174</v>
      </c>
      <c r="F1392" s="28">
        <v>46181</v>
      </c>
      <c r="G1392" s="28">
        <v>46187</v>
      </c>
      <c r="H1392" s="28">
        <v>46175</v>
      </c>
      <c r="I1392" s="28">
        <v>46182</v>
      </c>
      <c r="J1392" s="28"/>
      <c r="K1392" s="1"/>
      <c r="L1392" s="1"/>
      <c r="M1392" s="1"/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175</v>
      </c>
      <c r="C1393" s="1" t="s">
        <v>539</v>
      </c>
      <c r="D1393" s="28">
        <v>46190</v>
      </c>
      <c r="E1393" s="28">
        <v>46174</v>
      </c>
      <c r="F1393" s="28">
        <v>46181</v>
      </c>
      <c r="G1393" s="28">
        <v>46187</v>
      </c>
      <c r="H1393" s="28">
        <v>46175</v>
      </c>
      <c r="I1393" s="28">
        <v>46182</v>
      </c>
      <c r="J1393" s="28"/>
      <c r="K1393" s="1"/>
      <c r="L1393" s="1"/>
      <c r="M1393" s="1"/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176</v>
      </c>
      <c r="C1394" s="1" t="s">
        <v>540</v>
      </c>
      <c r="D1394" s="28">
        <v>46190</v>
      </c>
      <c r="E1394" s="28">
        <v>46174</v>
      </c>
      <c r="F1394" s="28">
        <v>46181</v>
      </c>
      <c r="G1394" s="28">
        <v>46187</v>
      </c>
      <c r="H1394" s="28">
        <v>46175</v>
      </c>
      <c r="I1394" s="28">
        <v>46182</v>
      </c>
      <c r="J1394" s="28"/>
      <c r="K1394" s="1"/>
      <c r="L1394" s="1"/>
      <c r="M1394" s="1"/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177</v>
      </c>
      <c r="C1395" s="1" t="s">
        <v>541</v>
      </c>
      <c r="D1395" s="28">
        <v>46190</v>
      </c>
      <c r="E1395" s="28">
        <v>46174</v>
      </c>
      <c r="F1395" s="28">
        <v>46181</v>
      </c>
      <c r="G1395" s="28">
        <v>46187</v>
      </c>
      <c r="H1395" s="28">
        <v>46175</v>
      </c>
      <c r="I1395" s="28">
        <v>46182</v>
      </c>
      <c r="J1395" s="28"/>
      <c r="K1395" s="1"/>
      <c r="L1395" s="1"/>
      <c r="M1395" s="1"/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178</v>
      </c>
      <c r="C1396" s="1" t="s">
        <v>542</v>
      </c>
      <c r="D1396" s="28">
        <v>46190</v>
      </c>
      <c r="E1396" s="28">
        <v>46174</v>
      </c>
      <c r="F1396" s="28">
        <v>46181</v>
      </c>
      <c r="G1396" s="28">
        <v>46187</v>
      </c>
      <c r="H1396" s="28">
        <v>46175</v>
      </c>
      <c r="I1396" s="28">
        <v>46182</v>
      </c>
      <c r="J1396" s="28"/>
      <c r="K1396" s="1"/>
      <c r="L1396" s="1"/>
      <c r="M1396" s="1"/>
      <c r="N1396" s="1">
        <v>0</v>
      </c>
      <c r="O1396" s="1" t="s">
        <v>379</v>
      </c>
    </row>
    <row r="1397" spans="1:15" x14ac:dyDescent="0.25">
      <c r="A1397" s="28">
        <v>46167</v>
      </c>
      <c r="B1397" s="1" t="s">
        <v>179</v>
      </c>
      <c r="C1397" s="1" t="s">
        <v>543</v>
      </c>
      <c r="D1397" s="28">
        <v>46190</v>
      </c>
      <c r="E1397" s="28">
        <v>46174</v>
      </c>
      <c r="F1397" s="28">
        <v>46181</v>
      </c>
      <c r="G1397" s="28">
        <v>46187</v>
      </c>
      <c r="H1397" s="28">
        <v>46175</v>
      </c>
      <c r="I1397" s="28">
        <v>46182</v>
      </c>
      <c r="J1397" s="28"/>
      <c r="K1397" s="1"/>
      <c r="L1397" s="1"/>
      <c r="M1397" s="1"/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160</v>
      </c>
      <c r="C1398" s="1" t="s">
        <v>544</v>
      </c>
      <c r="D1398" s="28">
        <v>46192</v>
      </c>
      <c r="E1398" s="28">
        <v>46176</v>
      </c>
      <c r="F1398" s="28">
        <v>46183</v>
      </c>
      <c r="G1398" s="28">
        <v>46189</v>
      </c>
      <c r="H1398" s="28">
        <v>46177</v>
      </c>
      <c r="I1398" s="28">
        <v>46184</v>
      </c>
      <c r="J1398" s="28"/>
      <c r="K1398" s="1"/>
      <c r="L1398" s="1"/>
      <c r="M1398" s="1"/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161</v>
      </c>
      <c r="C1399" s="1" t="s">
        <v>545</v>
      </c>
      <c r="D1399" s="28">
        <v>46192</v>
      </c>
      <c r="E1399" s="28">
        <v>46176</v>
      </c>
      <c r="F1399" s="28">
        <v>46183</v>
      </c>
      <c r="G1399" s="28">
        <v>46189</v>
      </c>
      <c r="H1399" s="28">
        <v>46177</v>
      </c>
      <c r="I1399" s="28">
        <v>46184</v>
      </c>
      <c r="J1399" s="28"/>
      <c r="K1399" s="1"/>
      <c r="L1399" s="1"/>
      <c r="M1399" s="1"/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162</v>
      </c>
      <c r="C1400" s="1" t="s">
        <v>546</v>
      </c>
      <c r="D1400" s="28">
        <v>46192</v>
      </c>
      <c r="E1400" s="28">
        <v>46176</v>
      </c>
      <c r="F1400" s="28">
        <v>46183</v>
      </c>
      <c r="G1400" s="28">
        <v>46189</v>
      </c>
      <c r="H1400" s="28">
        <v>46177</v>
      </c>
      <c r="I1400" s="28">
        <v>46184</v>
      </c>
      <c r="J1400" s="28"/>
      <c r="K1400" s="1"/>
      <c r="L1400" s="1"/>
      <c r="M1400" s="1"/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163</v>
      </c>
      <c r="C1401" s="1" t="s">
        <v>547</v>
      </c>
      <c r="D1401" s="28">
        <v>46192</v>
      </c>
      <c r="E1401" s="28">
        <v>46176</v>
      </c>
      <c r="F1401" s="28">
        <v>46183</v>
      </c>
      <c r="G1401" s="28">
        <v>46189</v>
      </c>
      <c r="H1401" s="28">
        <v>46177</v>
      </c>
      <c r="I1401" s="28">
        <v>46184</v>
      </c>
      <c r="J1401" s="28"/>
      <c r="K1401" s="1"/>
      <c r="L1401" s="1"/>
      <c r="M1401" s="1"/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164</v>
      </c>
      <c r="C1402" s="1" t="s">
        <v>548</v>
      </c>
      <c r="D1402" s="28">
        <v>46192</v>
      </c>
      <c r="E1402" s="28">
        <v>46176</v>
      </c>
      <c r="F1402" s="28">
        <v>46183</v>
      </c>
      <c r="G1402" s="28">
        <v>46189</v>
      </c>
      <c r="H1402" s="28">
        <v>46177</v>
      </c>
      <c r="I1402" s="28">
        <v>46184</v>
      </c>
      <c r="J1402" s="28"/>
      <c r="K1402" s="1"/>
      <c r="L1402" s="1"/>
      <c r="M1402" s="1"/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165</v>
      </c>
      <c r="C1403" s="1" t="s">
        <v>549</v>
      </c>
      <c r="D1403" s="28">
        <v>46192</v>
      </c>
      <c r="E1403" s="28">
        <v>46176</v>
      </c>
      <c r="F1403" s="28">
        <v>46183</v>
      </c>
      <c r="G1403" s="28">
        <v>46189</v>
      </c>
      <c r="H1403" s="28">
        <v>46177</v>
      </c>
      <c r="I1403" s="28">
        <v>46184</v>
      </c>
      <c r="J1403" s="28"/>
      <c r="K1403" s="1"/>
      <c r="L1403" s="1"/>
      <c r="M1403" s="1"/>
      <c r="N1403" s="1">
        <v>0</v>
      </c>
      <c r="O1403" s="1" t="s">
        <v>379</v>
      </c>
    </row>
    <row r="1404" spans="1:15" x14ac:dyDescent="0.25">
      <c r="A1404" s="28">
        <v>46169</v>
      </c>
      <c r="B1404" s="1" t="s">
        <v>166</v>
      </c>
      <c r="C1404" s="1" t="s">
        <v>550</v>
      </c>
      <c r="D1404" s="28">
        <v>46192</v>
      </c>
      <c r="E1404" s="28">
        <v>46176</v>
      </c>
      <c r="F1404" s="28">
        <v>46183</v>
      </c>
      <c r="G1404" s="28">
        <v>46189</v>
      </c>
      <c r="H1404" s="28">
        <v>46177</v>
      </c>
      <c r="I1404" s="28">
        <v>46184</v>
      </c>
      <c r="J1404" s="28"/>
      <c r="K1404" s="1"/>
      <c r="L1404" s="1"/>
      <c r="M1404" s="1"/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180</v>
      </c>
      <c r="C1405" s="1" t="s">
        <v>551</v>
      </c>
      <c r="D1405" s="28">
        <v>46193</v>
      </c>
      <c r="E1405" s="28">
        <v>46177</v>
      </c>
      <c r="F1405" s="28">
        <v>46184</v>
      </c>
      <c r="G1405" s="28">
        <v>46190</v>
      </c>
      <c r="H1405" s="28">
        <v>46178</v>
      </c>
      <c r="I1405" s="28">
        <v>46185</v>
      </c>
      <c r="J1405" s="28"/>
      <c r="K1405" s="1"/>
      <c r="L1405" s="1"/>
      <c r="M1405" s="1"/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181</v>
      </c>
      <c r="C1406" s="1" t="s">
        <v>552</v>
      </c>
      <c r="D1406" s="28">
        <v>46193</v>
      </c>
      <c r="E1406" s="28">
        <v>46177</v>
      </c>
      <c r="F1406" s="28">
        <v>46184</v>
      </c>
      <c r="G1406" s="28">
        <v>46190</v>
      </c>
      <c r="H1406" s="28">
        <v>46178</v>
      </c>
      <c r="I1406" s="28">
        <v>46185</v>
      </c>
      <c r="J1406" s="28"/>
      <c r="K1406" s="1"/>
      <c r="L1406" s="1"/>
      <c r="M1406" s="1"/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182</v>
      </c>
      <c r="C1407" s="1" t="s">
        <v>553</v>
      </c>
      <c r="D1407" s="28">
        <v>46193</v>
      </c>
      <c r="E1407" s="28">
        <v>46177</v>
      </c>
      <c r="F1407" s="28">
        <v>46184</v>
      </c>
      <c r="G1407" s="28">
        <v>46190</v>
      </c>
      <c r="H1407" s="28">
        <v>46178</v>
      </c>
      <c r="I1407" s="28">
        <v>46185</v>
      </c>
      <c r="J1407" s="28"/>
      <c r="K1407" s="1"/>
      <c r="L1407" s="1"/>
      <c r="M1407" s="1"/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183</v>
      </c>
      <c r="C1408" s="1" t="s">
        <v>554</v>
      </c>
      <c r="D1408" s="28">
        <v>46193</v>
      </c>
      <c r="E1408" s="28">
        <v>46177</v>
      </c>
      <c r="F1408" s="28">
        <v>46184</v>
      </c>
      <c r="G1408" s="28">
        <v>46190</v>
      </c>
      <c r="H1408" s="28">
        <v>46178</v>
      </c>
      <c r="I1408" s="28">
        <v>46185</v>
      </c>
      <c r="J1408" s="28"/>
      <c r="K1408" s="1"/>
      <c r="L1408" s="1"/>
      <c r="M1408" s="1"/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184</v>
      </c>
      <c r="C1409" s="1" t="s">
        <v>555</v>
      </c>
      <c r="D1409" s="28">
        <v>46193</v>
      </c>
      <c r="E1409" s="28">
        <v>46177</v>
      </c>
      <c r="F1409" s="28">
        <v>46184</v>
      </c>
      <c r="G1409" s="28">
        <v>46190</v>
      </c>
      <c r="H1409" s="28">
        <v>46178</v>
      </c>
      <c r="I1409" s="28">
        <v>46185</v>
      </c>
      <c r="J1409" s="28"/>
      <c r="K1409" s="1"/>
      <c r="L1409" s="1"/>
      <c r="M1409" s="1"/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185</v>
      </c>
      <c r="C1410" s="1" t="s">
        <v>556</v>
      </c>
      <c r="D1410" s="28">
        <v>46193</v>
      </c>
      <c r="E1410" s="28">
        <v>46177</v>
      </c>
      <c r="F1410" s="28">
        <v>46184</v>
      </c>
      <c r="G1410" s="28">
        <v>46190</v>
      </c>
      <c r="H1410" s="28">
        <v>46178</v>
      </c>
      <c r="I1410" s="28">
        <v>46185</v>
      </c>
      <c r="J1410" s="28"/>
      <c r="K1410" s="1"/>
      <c r="L1410" s="1"/>
      <c r="M1410" s="1"/>
      <c r="N1410" s="1">
        <v>0</v>
      </c>
      <c r="O1410" s="1" t="s">
        <v>379</v>
      </c>
    </row>
    <row r="1411" spans="1:15" x14ac:dyDescent="0.25">
      <c r="A1411" s="28">
        <v>46170</v>
      </c>
      <c r="B1411" s="1" t="s">
        <v>186</v>
      </c>
      <c r="C1411" s="1" t="s">
        <v>557</v>
      </c>
      <c r="D1411" s="28">
        <v>46193</v>
      </c>
      <c r="E1411" s="28">
        <v>46177</v>
      </c>
      <c r="F1411" s="28">
        <v>46184</v>
      </c>
      <c r="G1411" s="28">
        <v>46190</v>
      </c>
      <c r="H1411" s="28">
        <v>46178</v>
      </c>
      <c r="I1411" s="28">
        <v>46185</v>
      </c>
      <c r="J1411" s="28"/>
      <c r="K1411" s="1"/>
      <c r="L1411" s="1"/>
      <c r="M1411" s="1"/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167</v>
      </c>
      <c r="C1412" s="1" t="s">
        <v>558</v>
      </c>
      <c r="D1412" s="28">
        <v>46194</v>
      </c>
      <c r="E1412" s="28">
        <v>46178</v>
      </c>
      <c r="F1412" s="28">
        <v>46185</v>
      </c>
      <c r="G1412" s="28">
        <v>46191</v>
      </c>
      <c r="H1412" s="28">
        <v>46179</v>
      </c>
      <c r="I1412" s="28">
        <v>46186</v>
      </c>
      <c r="J1412" s="28"/>
      <c r="K1412" s="1"/>
      <c r="L1412" s="1"/>
      <c r="M1412" s="1"/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168</v>
      </c>
      <c r="C1413" s="1" t="s">
        <v>559</v>
      </c>
      <c r="D1413" s="28">
        <v>46194</v>
      </c>
      <c r="E1413" s="28">
        <v>46178</v>
      </c>
      <c r="F1413" s="28">
        <v>46185</v>
      </c>
      <c r="G1413" s="28">
        <v>46191</v>
      </c>
      <c r="H1413" s="28">
        <v>46179</v>
      </c>
      <c r="I1413" s="28">
        <v>46186</v>
      </c>
      <c r="J1413" s="28"/>
      <c r="K1413" s="1"/>
      <c r="L1413" s="1"/>
      <c r="M1413" s="1"/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169</v>
      </c>
      <c r="C1414" s="1" t="s">
        <v>560</v>
      </c>
      <c r="D1414" s="28">
        <v>46194</v>
      </c>
      <c r="E1414" s="28">
        <v>46178</v>
      </c>
      <c r="F1414" s="28">
        <v>46185</v>
      </c>
      <c r="G1414" s="28">
        <v>46191</v>
      </c>
      <c r="H1414" s="28">
        <v>46179</v>
      </c>
      <c r="I1414" s="28">
        <v>46186</v>
      </c>
      <c r="J1414" s="28"/>
      <c r="K1414" s="1"/>
      <c r="L1414" s="1"/>
      <c r="M1414" s="1"/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170</v>
      </c>
      <c r="C1415" s="1" t="s">
        <v>561</v>
      </c>
      <c r="D1415" s="28">
        <v>46194</v>
      </c>
      <c r="E1415" s="28">
        <v>46178</v>
      </c>
      <c r="F1415" s="28">
        <v>46185</v>
      </c>
      <c r="G1415" s="28">
        <v>46191</v>
      </c>
      <c r="H1415" s="28">
        <v>46179</v>
      </c>
      <c r="I1415" s="28">
        <v>46186</v>
      </c>
      <c r="J1415" s="28"/>
      <c r="K1415" s="1"/>
      <c r="L1415" s="1"/>
      <c r="M1415" s="1"/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171</v>
      </c>
      <c r="C1416" s="1" t="s">
        <v>562</v>
      </c>
      <c r="D1416" s="28">
        <v>46194</v>
      </c>
      <c r="E1416" s="28">
        <v>46178</v>
      </c>
      <c r="F1416" s="28">
        <v>46185</v>
      </c>
      <c r="G1416" s="28">
        <v>46191</v>
      </c>
      <c r="H1416" s="28">
        <v>46179</v>
      </c>
      <c r="I1416" s="28">
        <v>46186</v>
      </c>
      <c r="J1416" s="28"/>
      <c r="K1416" s="1"/>
      <c r="L1416" s="1"/>
      <c r="M1416" s="1"/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172</v>
      </c>
      <c r="C1417" s="1" t="s">
        <v>1240</v>
      </c>
      <c r="D1417" s="28">
        <v>46194</v>
      </c>
      <c r="E1417" s="28">
        <v>46178</v>
      </c>
      <c r="F1417" s="28">
        <v>46185</v>
      </c>
      <c r="G1417" s="28">
        <v>46191</v>
      </c>
      <c r="H1417" s="28">
        <v>46179</v>
      </c>
      <c r="I1417" s="28">
        <v>46186</v>
      </c>
      <c r="J1417" s="28"/>
      <c r="K1417" s="1"/>
      <c r="L1417" s="1"/>
      <c r="M1417" s="1"/>
      <c r="N1417" s="1">
        <v>0</v>
      </c>
      <c r="O1417" s="1" t="s">
        <v>379</v>
      </c>
    </row>
    <row r="1418" spans="1:15" x14ac:dyDescent="0.25">
      <c r="A1418" s="28">
        <v>46171</v>
      </c>
      <c r="B1418" s="1" t="s">
        <v>186</v>
      </c>
      <c r="C1418" s="1" t="s">
        <v>557</v>
      </c>
      <c r="D1418" s="28">
        <v>46194</v>
      </c>
      <c r="E1418" s="28">
        <v>46178</v>
      </c>
      <c r="F1418" s="28">
        <v>46185</v>
      </c>
      <c r="G1418" s="28">
        <v>46191</v>
      </c>
      <c r="H1418" s="28">
        <v>46179</v>
      </c>
      <c r="I1418" s="28">
        <v>46186</v>
      </c>
      <c r="J1418" s="28"/>
      <c r="K1418" s="1"/>
      <c r="L1418" s="1"/>
      <c r="M1418" s="1"/>
      <c r="N1418" s="1">
        <v>0</v>
      </c>
      <c r="O1418" s="1" t="s">
        <v>379</v>
      </c>
    </row>
    <row r="1419" spans="1:15" x14ac:dyDescent="0.25">
      <c r="A1419" s="28">
        <v>46171</v>
      </c>
      <c r="B1419" s="1" t="s">
        <v>187</v>
      </c>
      <c r="C1419" s="1" t="s">
        <v>563</v>
      </c>
      <c r="D1419" s="28">
        <v>46194</v>
      </c>
      <c r="E1419" s="28">
        <v>46178</v>
      </c>
      <c r="F1419" s="28">
        <v>46185</v>
      </c>
      <c r="G1419" s="28">
        <v>46191</v>
      </c>
      <c r="H1419" s="28">
        <v>46179</v>
      </c>
      <c r="I1419" s="28">
        <v>46186</v>
      </c>
      <c r="J1419" s="28"/>
      <c r="K1419" s="1"/>
      <c r="L1419" s="1"/>
      <c r="M1419" s="1"/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188</v>
      </c>
      <c r="C1420" s="1" t="s">
        <v>564</v>
      </c>
      <c r="D1420" s="28">
        <v>46195</v>
      </c>
      <c r="E1420" s="28">
        <v>46179</v>
      </c>
      <c r="F1420" s="28">
        <v>46186</v>
      </c>
      <c r="G1420" s="28">
        <v>46192</v>
      </c>
      <c r="H1420" s="28">
        <v>46180</v>
      </c>
      <c r="I1420" s="28">
        <v>46187</v>
      </c>
      <c r="J1420" s="28"/>
      <c r="K1420" s="1"/>
      <c r="L1420" s="1"/>
      <c r="M1420" s="1"/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189</v>
      </c>
      <c r="C1421" s="1" t="s">
        <v>573</v>
      </c>
      <c r="D1421" s="28">
        <v>46195</v>
      </c>
      <c r="E1421" s="28">
        <v>46179</v>
      </c>
      <c r="F1421" s="28">
        <v>46186</v>
      </c>
      <c r="G1421" s="28">
        <v>46192</v>
      </c>
      <c r="H1421" s="28">
        <v>46180</v>
      </c>
      <c r="I1421" s="28">
        <v>46187</v>
      </c>
      <c r="J1421" s="28"/>
      <c r="K1421" s="1"/>
      <c r="L1421" s="1"/>
      <c r="M1421" s="1"/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190</v>
      </c>
      <c r="C1422" s="1" t="s">
        <v>574</v>
      </c>
      <c r="D1422" s="28">
        <v>46195</v>
      </c>
      <c r="E1422" s="28">
        <v>46179</v>
      </c>
      <c r="F1422" s="28">
        <v>46186</v>
      </c>
      <c r="G1422" s="28">
        <v>46192</v>
      </c>
      <c r="H1422" s="28">
        <v>46180</v>
      </c>
      <c r="I1422" s="28">
        <v>46187</v>
      </c>
      <c r="J1422" s="28"/>
      <c r="K1422" s="1"/>
      <c r="L1422" s="1"/>
      <c r="M1422" s="1"/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191</v>
      </c>
      <c r="C1423" s="1" t="s">
        <v>575</v>
      </c>
      <c r="D1423" s="28">
        <v>46195</v>
      </c>
      <c r="E1423" s="28">
        <v>46179</v>
      </c>
      <c r="F1423" s="28">
        <v>46186</v>
      </c>
      <c r="G1423" s="28">
        <v>46192</v>
      </c>
      <c r="H1423" s="28">
        <v>46180</v>
      </c>
      <c r="I1423" s="28">
        <v>46187</v>
      </c>
      <c r="J1423" s="28"/>
      <c r="K1423" s="1"/>
      <c r="L1423" s="1"/>
      <c r="M1423" s="1"/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192</v>
      </c>
      <c r="C1424" s="1" t="s">
        <v>1241</v>
      </c>
      <c r="D1424" s="28">
        <v>46195</v>
      </c>
      <c r="E1424" s="28">
        <v>46179</v>
      </c>
      <c r="F1424" s="28">
        <v>46186</v>
      </c>
      <c r="G1424" s="28">
        <v>46192</v>
      </c>
      <c r="H1424" s="28">
        <v>46180</v>
      </c>
      <c r="I1424" s="28">
        <v>46187</v>
      </c>
      <c r="J1424" s="28"/>
      <c r="K1424" s="1"/>
      <c r="L1424" s="1"/>
      <c r="M1424" s="1"/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201</v>
      </c>
      <c r="C1425" s="1" t="s">
        <v>570</v>
      </c>
      <c r="D1425" s="28">
        <v>46195</v>
      </c>
      <c r="E1425" s="28">
        <v>46179</v>
      </c>
      <c r="F1425" s="28">
        <v>46186</v>
      </c>
      <c r="G1425" s="28">
        <v>46192</v>
      </c>
      <c r="H1425" s="28">
        <v>46180</v>
      </c>
      <c r="I1425" s="28">
        <v>46187</v>
      </c>
      <c r="J1425" s="28"/>
      <c r="K1425" s="1"/>
      <c r="L1425" s="1"/>
      <c r="M1425" s="1"/>
      <c r="N1425" s="1">
        <v>0</v>
      </c>
      <c r="O1425" s="1" t="s">
        <v>379</v>
      </c>
    </row>
    <row r="1426" spans="1:15" x14ac:dyDescent="0.25">
      <c r="A1426" s="28">
        <v>46172</v>
      </c>
      <c r="B1426" s="1" t="s">
        <v>202</v>
      </c>
      <c r="C1426" s="1" t="s">
        <v>571</v>
      </c>
      <c r="D1426" s="28">
        <v>46195</v>
      </c>
      <c r="E1426" s="28">
        <v>46179</v>
      </c>
      <c r="F1426" s="28">
        <v>46186</v>
      </c>
      <c r="G1426" s="28">
        <v>46192</v>
      </c>
      <c r="H1426" s="28">
        <v>46180</v>
      </c>
      <c r="I1426" s="28">
        <v>46187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46172</v>
      </c>
      <c r="B1427" s="1" t="s">
        <v>203</v>
      </c>
      <c r="C1427" s="1" t="s">
        <v>572</v>
      </c>
      <c r="D1427" s="28">
        <v>46195</v>
      </c>
      <c r="E1427" s="28">
        <v>46179</v>
      </c>
      <c r="F1427" s="28">
        <v>46186</v>
      </c>
      <c r="G1427" s="28">
        <v>46192</v>
      </c>
      <c r="H1427" s="28">
        <v>46180</v>
      </c>
      <c r="I1427" s="28">
        <v>46187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194</v>
      </c>
      <c r="C1428" s="1" t="s">
        <v>577</v>
      </c>
      <c r="D1428" s="28">
        <v>46196</v>
      </c>
      <c r="E1428" s="28">
        <v>46180</v>
      </c>
      <c r="F1428" s="28">
        <v>46187</v>
      </c>
      <c r="G1428" s="28">
        <v>46193</v>
      </c>
      <c r="H1428" s="28">
        <v>46181</v>
      </c>
      <c r="I1428" s="28"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195</v>
      </c>
      <c r="C1429" s="1" t="s">
        <v>578</v>
      </c>
      <c r="D1429" s="28">
        <v>46196</v>
      </c>
      <c r="E1429" s="28">
        <v>46180</v>
      </c>
      <c r="F1429" s="28">
        <v>46187</v>
      </c>
      <c r="G1429" s="28">
        <v>46193</v>
      </c>
      <c r="H1429" s="28">
        <v>46181</v>
      </c>
      <c r="I1429" s="28"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196</v>
      </c>
      <c r="C1430" s="1" t="s">
        <v>565</v>
      </c>
      <c r="D1430" s="28">
        <v>46196</v>
      </c>
      <c r="E1430" s="28">
        <v>46180</v>
      </c>
      <c r="F1430" s="28">
        <v>46187</v>
      </c>
      <c r="G1430" s="28">
        <v>46193</v>
      </c>
      <c r="H1430" s="28">
        <v>46181</v>
      </c>
      <c r="I1430" s="28"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197</v>
      </c>
      <c r="C1431" s="1" t="s">
        <v>566</v>
      </c>
      <c r="D1431" s="28">
        <v>46196</v>
      </c>
      <c r="E1431" s="28">
        <v>46180</v>
      </c>
      <c r="F1431" s="28">
        <v>46187</v>
      </c>
      <c r="G1431" s="28">
        <v>46193</v>
      </c>
      <c r="H1431" s="28">
        <v>46181</v>
      </c>
      <c r="I1431" s="28">
        <v>46188</v>
      </c>
      <c r="J1431" s="28"/>
      <c r="K1431" s="1"/>
      <c r="L1431" s="1"/>
      <c r="M1431" s="1"/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198</v>
      </c>
      <c r="C1432" s="1" t="s">
        <v>567</v>
      </c>
      <c r="D1432" s="28">
        <v>46196</v>
      </c>
      <c r="E1432" s="28">
        <v>46180</v>
      </c>
      <c r="F1432" s="28">
        <v>46187</v>
      </c>
      <c r="G1432" s="28">
        <v>46193</v>
      </c>
      <c r="H1432" s="28">
        <v>46181</v>
      </c>
      <c r="I1432" s="28">
        <v>46188</v>
      </c>
      <c r="J1432" s="28"/>
      <c r="K1432" s="1"/>
      <c r="L1432" s="1"/>
      <c r="M1432" s="1"/>
      <c r="N1432" s="1">
        <v>0</v>
      </c>
      <c r="O1432" s="1" t="s">
        <v>379</v>
      </c>
    </row>
    <row r="1433" spans="1:15" x14ac:dyDescent="0.25">
      <c r="A1433" s="28">
        <v>46173</v>
      </c>
      <c r="B1433" s="1" t="s">
        <v>199</v>
      </c>
      <c r="C1433" s="1" t="s">
        <v>568</v>
      </c>
      <c r="D1433" s="28">
        <v>46196</v>
      </c>
      <c r="E1433" s="28">
        <v>46180</v>
      </c>
      <c r="F1433" s="28">
        <v>46187</v>
      </c>
      <c r="G1433" s="28">
        <v>46193</v>
      </c>
      <c r="H1433" s="28">
        <v>46181</v>
      </c>
      <c r="I1433" s="28">
        <v>46188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46173</v>
      </c>
      <c r="B1434" s="1" t="s">
        <v>200</v>
      </c>
      <c r="C1434" s="1" t="s">
        <v>569</v>
      </c>
      <c r="D1434" s="28">
        <v>46196</v>
      </c>
      <c r="E1434" s="28">
        <v>46180</v>
      </c>
      <c r="F1434" s="28">
        <v>46187</v>
      </c>
      <c r="G1434" s="28">
        <v>46193</v>
      </c>
      <c r="H1434" s="28">
        <v>46181</v>
      </c>
      <c r="I1434" s="28">
        <v>46188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1242</v>
      </c>
      <c r="C1435" s="1" t="s">
        <v>1243</v>
      </c>
      <c r="D1435" s="28">
        <v>46196</v>
      </c>
      <c r="E1435" s="28">
        <v>46180</v>
      </c>
      <c r="F1435" s="28">
        <v>46187</v>
      </c>
      <c r="G1435" s="28">
        <v>46193</v>
      </c>
      <c r="H1435" s="28">
        <v>46181</v>
      </c>
      <c r="I1435" s="28">
        <v>46188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1244</v>
      </c>
      <c r="C1436" s="1" t="s">
        <v>1245</v>
      </c>
      <c r="D1436" s="28">
        <v>46196</v>
      </c>
      <c r="E1436" s="28">
        <v>46180</v>
      </c>
      <c r="F1436" s="28">
        <v>46187</v>
      </c>
      <c r="G1436" s="28">
        <v>46193</v>
      </c>
      <c r="H1436" s="28">
        <v>46181</v>
      </c>
      <c r="I1436" s="28">
        <v>46188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1246</v>
      </c>
      <c r="C1437" s="1" t="s">
        <v>1247</v>
      </c>
      <c r="D1437" s="28">
        <v>46196</v>
      </c>
      <c r="E1437" s="28">
        <v>46180</v>
      </c>
      <c r="F1437" s="28">
        <v>46187</v>
      </c>
      <c r="G1437" s="28">
        <v>46193</v>
      </c>
      <c r="H1437" s="28">
        <v>46181</v>
      </c>
      <c r="I1437" s="28">
        <v>46188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1248</v>
      </c>
      <c r="C1438" s="1" t="s">
        <v>1249</v>
      </c>
      <c r="D1438" s="28">
        <v>46196</v>
      </c>
      <c r="E1438" s="28">
        <v>46180</v>
      </c>
      <c r="F1438" s="28">
        <v>46187</v>
      </c>
      <c r="G1438" s="28">
        <v>46193</v>
      </c>
      <c r="H1438" s="28">
        <v>46181</v>
      </c>
      <c r="I1438" s="28">
        <v>46188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1250</v>
      </c>
      <c r="C1439" s="1" t="s">
        <v>1251</v>
      </c>
      <c r="D1439" s="28">
        <v>46196</v>
      </c>
      <c r="E1439" s="28">
        <v>46180</v>
      </c>
      <c r="F1439" s="28">
        <v>46187</v>
      </c>
      <c r="G1439" s="28">
        <v>46193</v>
      </c>
      <c r="H1439" s="28">
        <v>46181</v>
      </c>
      <c r="I1439" s="28">
        <v>46188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46174</v>
      </c>
      <c r="B1440" s="1" t="s">
        <v>1252</v>
      </c>
      <c r="C1440" s="1" t="s">
        <v>1253</v>
      </c>
      <c r="D1440" s="28">
        <v>46196</v>
      </c>
      <c r="E1440" s="28">
        <v>46180</v>
      </c>
      <c r="F1440" s="28">
        <v>46187</v>
      </c>
      <c r="G1440" s="28">
        <v>46193</v>
      </c>
      <c r="H1440" s="28">
        <v>46181</v>
      </c>
      <c r="I1440" s="28">
        <v>46188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46174</v>
      </c>
      <c r="B1441" s="1" t="s">
        <v>193</v>
      </c>
      <c r="C1441" s="1" t="s">
        <v>576</v>
      </c>
      <c r="D1441" s="28">
        <v>46196</v>
      </c>
      <c r="E1441" s="28">
        <v>46180</v>
      </c>
      <c r="F1441" s="28">
        <v>46187</v>
      </c>
      <c r="G1441" s="28">
        <v>46193</v>
      </c>
      <c r="H1441" s="28">
        <v>46181</v>
      </c>
      <c r="I1441" s="28">
        <v>46188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227</v>
      </c>
      <c r="C1442" s="1" t="s">
        <v>579</v>
      </c>
      <c r="D1442" s="28">
        <v>46196</v>
      </c>
      <c r="E1442" s="28">
        <v>46180</v>
      </c>
      <c r="F1442" s="28">
        <v>46187</v>
      </c>
      <c r="G1442" s="28">
        <v>46193</v>
      </c>
      <c r="H1442" s="28">
        <v>46181</v>
      </c>
      <c r="I1442" s="28">
        <v>46188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228</v>
      </c>
      <c r="C1443" s="1" t="s">
        <v>580</v>
      </c>
      <c r="D1443" s="28">
        <v>46196</v>
      </c>
      <c r="E1443" s="28">
        <v>46180</v>
      </c>
      <c r="F1443" s="28">
        <v>46187</v>
      </c>
      <c r="G1443" s="28">
        <v>46193</v>
      </c>
      <c r="H1443" s="28">
        <v>46181</v>
      </c>
      <c r="I1443" s="28">
        <v>46188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229</v>
      </c>
      <c r="C1444" s="1" t="s">
        <v>581</v>
      </c>
      <c r="D1444" s="28">
        <v>46196</v>
      </c>
      <c r="E1444" s="28">
        <v>46180</v>
      </c>
      <c r="F1444" s="28">
        <v>46187</v>
      </c>
      <c r="G1444" s="28">
        <v>46193</v>
      </c>
      <c r="H1444" s="28">
        <v>46181</v>
      </c>
      <c r="I1444" s="28">
        <v>46188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230</v>
      </c>
      <c r="C1445" s="1" t="s">
        <v>582</v>
      </c>
      <c r="D1445" s="28">
        <v>46196</v>
      </c>
      <c r="E1445" s="28">
        <v>46180</v>
      </c>
      <c r="F1445" s="28">
        <v>46187</v>
      </c>
      <c r="G1445" s="28">
        <v>46193</v>
      </c>
      <c r="H1445" s="28">
        <v>46181</v>
      </c>
      <c r="I1445" s="28">
        <v>46188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231</v>
      </c>
      <c r="C1446" s="1" t="s">
        <v>583</v>
      </c>
      <c r="D1446" s="28">
        <v>46196</v>
      </c>
      <c r="E1446" s="28">
        <v>46180</v>
      </c>
      <c r="F1446" s="28">
        <v>46187</v>
      </c>
      <c r="G1446" s="28">
        <v>46193</v>
      </c>
      <c r="H1446" s="28">
        <v>46181</v>
      </c>
      <c r="I1446" s="28">
        <v>46188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46175</v>
      </c>
      <c r="B1447" s="1" t="s">
        <v>232</v>
      </c>
      <c r="C1447" s="1" t="s">
        <v>584</v>
      </c>
      <c r="D1447" s="28">
        <v>46196</v>
      </c>
      <c r="E1447" s="28">
        <v>46180</v>
      </c>
      <c r="F1447" s="28">
        <v>46187</v>
      </c>
      <c r="G1447" s="28">
        <v>46193</v>
      </c>
      <c r="H1447" s="28">
        <v>46181</v>
      </c>
      <c r="I1447" s="28">
        <v>46188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46175</v>
      </c>
      <c r="B1448" s="1" t="s">
        <v>233</v>
      </c>
      <c r="C1448" s="1" t="s">
        <v>585</v>
      </c>
      <c r="D1448" s="28">
        <v>46196</v>
      </c>
      <c r="E1448" s="28">
        <v>46180</v>
      </c>
      <c r="F1448" s="28">
        <v>46187</v>
      </c>
      <c r="G1448" s="28">
        <v>46193</v>
      </c>
      <c r="H1448" s="28">
        <v>46181</v>
      </c>
      <c r="I1448" s="28">
        <v>46188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1254</v>
      </c>
      <c r="C1449" s="1" t="s">
        <v>1255</v>
      </c>
      <c r="D1449" s="28">
        <v>46196</v>
      </c>
      <c r="E1449" s="28">
        <v>46180</v>
      </c>
      <c r="F1449" s="28">
        <v>46187</v>
      </c>
      <c r="G1449" s="28">
        <v>46193</v>
      </c>
      <c r="H1449" s="28">
        <v>46181</v>
      </c>
      <c r="I1449" s="28">
        <v>46188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1256</v>
      </c>
      <c r="C1450" s="1" t="s">
        <v>1257</v>
      </c>
      <c r="D1450" s="28">
        <v>46196</v>
      </c>
      <c r="E1450" s="28">
        <v>46180</v>
      </c>
      <c r="F1450" s="28">
        <v>46187</v>
      </c>
      <c r="G1450" s="28">
        <v>46193</v>
      </c>
      <c r="H1450" s="28">
        <v>46181</v>
      </c>
      <c r="I1450" s="28">
        <v>46188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257</v>
      </c>
      <c r="C1451" s="1" t="s">
        <v>607</v>
      </c>
      <c r="D1451" s="28">
        <v>46196</v>
      </c>
      <c r="E1451" s="28">
        <v>46180</v>
      </c>
      <c r="F1451" s="28">
        <v>46187</v>
      </c>
      <c r="G1451" s="28">
        <v>46193</v>
      </c>
      <c r="H1451" s="28">
        <v>46181</v>
      </c>
      <c r="I1451" s="28">
        <v>46188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258</v>
      </c>
      <c r="C1452" s="1" t="s">
        <v>608</v>
      </c>
      <c r="D1452" s="28">
        <v>46196</v>
      </c>
      <c r="E1452" s="28">
        <v>46180</v>
      </c>
      <c r="F1452" s="28">
        <v>46187</v>
      </c>
      <c r="G1452" s="28">
        <v>46193</v>
      </c>
      <c r="H1452" s="28">
        <v>46181</v>
      </c>
      <c r="I1452" s="28">
        <v>46188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259</v>
      </c>
      <c r="C1453" s="1" t="s">
        <v>609</v>
      </c>
      <c r="D1453" s="28">
        <v>46196</v>
      </c>
      <c r="E1453" s="28">
        <v>46180</v>
      </c>
      <c r="F1453" s="28">
        <v>46187</v>
      </c>
      <c r="G1453" s="28">
        <v>46193</v>
      </c>
      <c r="H1453" s="28">
        <v>46181</v>
      </c>
      <c r="I1453" s="28">
        <v>46188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46176</v>
      </c>
      <c r="B1454" s="1" t="s">
        <v>262</v>
      </c>
      <c r="C1454" s="1" t="s">
        <v>612</v>
      </c>
      <c r="D1454" s="28">
        <v>46196</v>
      </c>
      <c r="E1454" s="28">
        <v>46180</v>
      </c>
      <c r="F1454" s="28">
        <v>46187</v>
      </c>
      <c r="G1454" s="28">
        <v>46193</v>
      </c>
      <c r="H1454" s="28">
        <v>46181</v>
      </c>
      <c r="I1454" s="28">
        <v>46188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46176</v>
      </c>
      <c r="B1455" s="1" t="s">
        <v>263</v>
      </c>
      <c r="C1455" s="1" t="s">
        <v>613</v>
      </c>
      <c r="D1455" s="28">
        <v>46196</v>
      </c>
      <c r="E1455" s="28">
        <v>46180</v>
      </c>
      <c r="F1455" s="28">
        <v>46187</v>
      </c>
      <c r="G1455" s="28">
        <v>46193</v>
      </c>
      <c r="H1455" s="28">
        <v>46181</v>
      </c>
      <c r="I1455" s="28">
        <v>46188</v>
      </c>
      <c r="J1455" s="28"/>
      <c r="K1455" s="1"/>
      <c r="L1455" s="1"/>
      <c r="M1455" s="1"/>
      <c r="N1455" s="1">
        <v>0</v>
      </c>
      <c r="O1455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456:C1048576 C1225:C1434 A802:A1434 J1232:J1434 J1091:J1230 J1042:J1063 J1456:J1048576">
    <cfRule type="expression" dxfId="74" priority="44">
      <formula>$L716&gt;0</formula>
    </cfRule>
  </conditionalFormatting>
  <conditionalFormatting sqref="A579:B710 J610:J713 C1200:C1434 A1200:A1434">
    <cfRule type="expression" dxfId="73" priority="142">
      <formula>$L579&gt;0</formula>
    </cfRule>
  </conditionalFormatting>
  <conditionalFormatting sqref="A711:B715 J712:J715 J1042:J1051">
    <cfRule type="expression" dxfId="72" priority="146">
      <formula>$N715&gt;0</formula>
    </cfRule>
  </conditionalFormatting>
  <conditionalFormatting sqref="A716:B801">
    <cfRule type="expression" dxfId="71" priority="103">
      <formula>$L716&gt;0</formula>
    </cfRule>
  </conditionalFormatting>
  <conditionalFormatting sqref="A1035:I1040 J1034:J1041 A885:J1033 D1456:I1048576 C1231:I1231 C1232:J1434 C1064:J1230 A1042:J1063">
    <cfRule type="expression" dxfId="70" priority="43">
      <formula>$K885&gt;0</formula>
    </cfRule>
  </conditionalFormatting>
  <conditionalFormatting sqref="A1:C169 D349:I369 D370:J370 D373:K373 A373:C376 D374:I376 K374:K376 A381:K414 A416:I422 A463:I463 D483:I483 A483:C578">
    <cfRule type="expression" dxfId="69" priority="206">
      <formula>$L1&gt;0</formula>
    </cfRule>
  </conditionalFormatting>
  <conditionalFormatting sqref="A189:C370">
    <cfRule type="expression" dxfId="68" priority="194">
      <formula>$L189&gt;0</formula>
    </cfRule>
  </conditionalFormatting>
  <conditionalFormatting sqref="A415:I415 A423:I429 B430:I430 A430:A434 A431:K434 A435:I437 A438:K462 A464:K482">
    <cfRule type="expression" dxfId="67" priority="9029">
      <formula>#REF!&gt;0</formula>
    </cfRule>
  </conditionalFormatting>
  <conditionalFormatting sqref="A814:J884">
    <cfRule type="expression" dxfId="66" priority="94">
      <formula>$K814&gt;0</formula>
    </cfRule>
  </conditionalFormatting>
  <conditionalFormatting sqref="A371:K372 K372:K376 A377:K380">
    <cfRule type="expression" dxfId="65" priority="9027">
      <formula>#REF!&gt;0</formula>
    </cfRule>
  </conditionalFormatting>
  <conditionalFormatting sqref="B1123:B1434">
    <cfRule type="expression" dxfId="64" priority="42">
      <formula>$L1123&gt;0</formula>
    </cfRule>
  </conditionalFormatting>
  <conditionalFormatting sqref="B802:I802">
    <cfRule type="expression" dxfId="63" priority="106">
      <formula>$K802&gt;0</formula>
    </cfRule>
  </conditionalFormatting>
  <conditionalFormatting sqref="C1181:C1434">
    <cfRule type="expression" dxfId="62" priority="48">
      <formula>$K1181&gt;0</formula>
    </cfRule>
  </conditionalFormatting>
  <conditionalFormatting sqref="C579:I813 A803:B813">
    <cfRule type="expression" dxfId="61" priority="105">
      <formula>$K579&gt;0</formula>
    </cfRule>
  </conditionalFormatting>
  <conditionalFormatting sqref="A1063:A1118 B1064:B1118 A1119:B1119 B1120:B1122 A1120:A1434">
    <cfRule type="expression" dxfId="60" priority="45">
      <formula>$K1063&gt;0</formula>
    </cfRule>
  </conditionalFormatting>
  <conditionalFormatting sqref="D1:I169 A170:J188 D189:I348 D363:I578">
    <cfRule type="expression" dxfId="59" priority="209">
      <formula>$K1&gt;0</formula>
    </cfRule>
  </conditionalFormatting>
  <conditionalFormatting sqref="D1182:J1198">
    <cfRule type="expression" dxfId="58" priority="40">
      <formula>$K1182&gt;0</formula>
    </cfRule>
  </conditionalFormatting>
  <conditionalFormatting sqref="D484:K609">
    <cfRule type="expression" dxfId="57" priority="168">
      <formula>$L484&gt;0</formula>
    </cfRule>
  </conditionalFormatting>
  <conditionalFormatting sqref="J1:J247">
    <cfRule type="expression" dxfId="56" priority="198">
      <formula>$L1&gt;0</formula>
    </cfRule>
  </conditionalFormatting>
  <conditionalFormatting sqref="J248:J249">
    <cfRule type="expression" dxfId="55" priority="8992">
      <formula>$L247&gt;0</formula>
    </cfRule>
  </conditionalFormatting>
  <conditionalFormatting sqref="J250:J380">
    <cfRule type="expression" dxfId="54" priority="193">
      <formula>$L250&gt;0</formula>
    </cfRule>
  </conditionalFormatting>
  <conditionalFormatting sqref="J450:J578">
    <cfRule type="expression" dxfId="53" priority="169">
      <formula>$L450&gt;0</formula>
    </cfRule>
  </conditionalFormatting>
  <conditionalFormatting sqref="J723:J959">
    <cfRule type="expression" dxfId="52" priority="54">
      <formula>$N727&gt;0</formula>
    </cfRule>
  </conditionalFormatting>
  <conditionalFormatting sqref="J885:J1020">
    <cfRule type="expression" dxfId="51" priority="36">
      <formula>$K885&gt;0</formula>
    </cfRule>
  </conditionalFormatting>
  <conditionalFormatting sqref="J960">
    <cfRule type="expression" dxfId="50" priority="64">
      <formula>$N972&gt;0</formula>
    </cfRule>
  </conditionalFormatting>
  <conditionalFormatting sqref="J961:J1020">
    <cfRule type="expression" dxfId="49" priority="37">
      <formula>$N965&gt;0</formula>
    </cfRule>
  </conditionalFormatting>
  <conditionalFormatting sqref="J415:K450">
    <cfRule type="expression" dxfId="48" priority="186">
      <formula>$L415&gt;0</formula>
    </cfRule>
  </conditionalFormatting>
  <conditionalFormatting sqref="J456:K457">
    <cfRule type="expression" dxfId="47" priority="185">
      <formula>$L456&gt;0</formula>
    </cfRule>
  </conditionalFormatting>
  <conditionalFormatting sqref="J463:K463">
    <cfRule type="expression" dxfId="46" priority="174">
      <formula>#REF!&gt;0</formula>
    </cfRule>
  </conditionalFormatting>
  <conditionalFormatting sqref="J483:K489">
    <cfRule type="expression" dxfId="45" priority="173">
      <formula>#REF!&gt;0</formula>
    </cfRule>
  </conditionalFormatting>
  <conditionalFormatting sqref="J501:K501 J501:J504">
    <cfRule type="expression" dxfId="44" priority="172">
      <formula>#REF!&gt;0</formula>
    </cfRule>
  </conditionalFormatting>
  <conditionalFormatting sqref="K450:K456">
    <cfRule type="expression" dxfId="43" priority="188">
      <formula>$L450&gt;0</formula>
    </cfRule>
  </conditionalFormatting>
  <conditionalFormatting sqref="K458:K489">
    <cfRule type="expression" dxfId="42" priority="178">
      <formula>$L458&gt;0</formula>
    </cfRule>
  </conditionalFormatting>
  <conditionalFormatting sqref="K501">
    <cfRule type="expression" dxfId="41" priority="171">
      <formula>$L501&gt;0</formula>
    </cfRule>
  </conditionalFormatting>
  <conditionalFormatting sqref="K609:K628">
    <cfRule type="expression" dxfId="40" priority="157">
      <formula>$L609&gt;0</formula>
    </cfRule>
  </conditionalFormatting>
  <conditionalFormatting sqref="K636:K642">
    <cfRule type="expression" dxfId="39" priority="158">
      <formula>$L636&gt;0</formula>
    </cfRule>
  </conditionalFormatting>
  <conditionalFormatting sqref="D1199:J1223">
    <cfRule type="expression" dxfId="38" priority="35">
      <formula>$K1199&gt;0</formula>
    </cfRule>
  </conditionalFormatting>
  <conditionalFormatting sqref="J1021:J1027">
    <cfRule type="expression" dxfId="37" priority="33">
      <formula>$K1021&gt;0</formula>
    </cfRule>
  </conditionalFormatting>
  <conditionalFormatting sqref="J1021:J1027">
    <cfRule type="expression" dxfId="36" priority="34">
      <formula>$N1025&gt;0</formula>
    </cfRule>
  </conditionalFormatting>
  <conditionalFormatting sqref="J1063">
    <cfRule type="expression" dxfId="35" priority="29">
      <formula>$K1063&gt;0</formula>
    </cfRule>
  </conditionalFormatting>
  <conditionalFormatting sqref="J1063">
    <cfRule type="expression" dxfId="34" priority="30">
      <formula>$N1067&gt;0</formula>
    </cfRule>
  </conditionalFormatting>
  <conditionalFormatting sqref="A1041:I1041">
    <cfRule type="expression" dxfId="33" priority="9032">
      <formula>$K1034&gt;0</formula>
    </cfRule>
  </conditionalFormatting>
  <conditionalFormatting sqref="A1034:I1034">
    <cfRule type="expression" dxfId="32" priority="9033">
      <formula>#REF!&gt;0</formula>
    </cfRule>
  </conditionalFormatting>
  <conditionalFormatting sqref="J1028:J1041">
    <cfRule type="expression" dxfId="31" priority="9040">
      <formula>$L1035&gt;0</formula>
    </cfRule>
  </conditionalFormatting>
  <conditionalFormatting sqref="J1028:J1041">
    <cfRule type="expression" dxfId="30" priority="9044">
      <formula>$N1039&gt;0</formula>
    </cfRule>
  </conditionalFormatting>
  <conditionalFormatting sqref="J1064:J1065">
    <cfRule type="expression" dxfId="29" priority="27">
      <formula>$L1071&gt;0</formula>
    </cfRule>
  </conditionalFormatting>
  <conditionalFormatting sqref="J1064:J1065">
    <cfRule type="expression" dxfId="28" priority="28">
      <formula>$N1075&gt;0</formula>
    </cfRule>
  </conditionalFormatting>
  <conditionalFormatting sqref="J1082:J1086">
    <cfRule type="expression" dxfId="27" priority="25">
      <formula>$L1089&gt;0</formula>
    </cfRule>
  </conditionalFormatting>
  <conditionalFormatting sqref="J1082:J1086">
    <cfRule type="expression" dxfId="26" priority="26">
      <formula>$N1093&gt;0</formula>
    </cfRule>
  </conditionalFormatting>
  <conditionalFormatting sqref="J1070:J1078">
    <cfRule type="expression" dxfId="25" priority="23">
      <formula>$L1077&gt;0</formula>
    </cfRule>
  </conditionalFormatting>
  <conditionalFormatting sqref="J1070:J1078">
    <cfRule type="expression" dxfId="24" priority="24">
      <formula>$N1081&gt;0</formula>
    </cfRule>
  </conditionalFormatting>
  <conditionalFormatting sqref="J1079:J1086">
    <cfRule type="expression" dxfId="23" priority="21">
      <formula>$L1086&gt;0</formula>
    </cfRule>
  </conditionalFormatting>
  <conditionalFormatting sqref="J1079:J1086">
    <cfRule type="expression" dxfId="22" priority="22">
      <formula>$N1090&gt;0</formula>
    </cfRule>
  </conditionalFormatting>
  <conditionalFormatting sqref="J1066:J1069">
    <cfRule type="expression" dxfId="21" priority="19">
      <formula>$L1073&gt;0</formula>
    </cfRule>
  </conditionalFormatting>
  <conditionalFormatting sqref="J1066:J1069">
    <cfRule type="expression" dxfId="20" priority="20">
      <formula>$N1077&gt;0</formula>
    </cfRule>
  </conditionalFormatting>
  <conditionalFormatting sqref="J1087:J1090">
    <cfRule type="expression" dxfId="19" priority="17">
      <formula>$L1094&gt;0</formula>
    </cfRule>
  </conditionalFormatting>
  <conditionalFormatting sqref="J1087:J1090">
    <cfRule type="expression" dxfId="18" priority="18">
      <formula>$N1098&gt;0</formula>
    </cfRule>
  </conditionalFormatting>
  <conditionalFormatting sqref="J1052:J1062">
    <cfRule type="expression" dxfId="17" priority="16">
      <formula>$N1056&gt;0</formula>
    </cfRule>
  </conditionalFormatting>
  <conditionalFormatting sqref="J1091:J1111">
    <cfRule type="expression" dxfId="16" priority="15">
      <formula>$N1095&gt;0</formula>
    </cfRule>
  </conditionalFormatting>
  <conditionalFormatting sqref="D1231:I1231 D1232:J1434 D1224:J1230">
    <cfRule type="expression" dxfId="15" priority="14">
      <formula>$K1224&gt;0</formula>
    </cfRule>
  </conditionalFormatting>
  <conditionalFormatting sqref="J1232:J1434 J1112:J1230">
    <cfRule type="expression" dxfId="14" priority="13">
      <formula>$N1116&gt;0</formula>
    </cfRule>
  </conditionalFormatting>
  <conditionalFormatting sqref="J1231">
    <cfRule type="expression" dxfId="13" priority="12">
      <formula>$L1231&gt;0</formula>
    </cfRule>
  </conditionalFormatting>
  <conditionalFormatting sqref="J1231">
    <cfRule type="expression" dxfId="12" priority="11">
      <formula>$K1231&gt;0</formula>
    </cfRule>
  </conditionalFormatting>
  <conditionalFormatting sqref="J1231">
    <cfRule type="expression" dxfId="11" priority="10">
      <formula>$K1231&gt;0</formula>
    </cfRule>
  </conditionalFormatting>
  <conditionalFormatting sqref="J1231">
    <cfRule type="expression" dxfId="10" priority="9">
      <formula>$N1235&gt;0</formula>
    </cfRule>
  </conditionalFormatting>
  <conditionalFormatting sqref="C1435:C1455 A1435:A1455 J1435:J1455">
    <cfRule type="expression" dxfId="7" priority="5">
      <formula>$L1435&gt;0</formula>
    </cfRule>
  </conditionalFormatting>
  <conditionalFormatting sqref="C1435:C1455 A1435:A1455">
    <cfRule type="expression" dxfId="6" priority="8">
      <formula>$L1435&gt;0</formula>
    </cfRule>
  </conditionalFormatting>
  <conditionalFormatting sqref="C1435:J1455">
    <cfRule type="expression" dxfId="5" priority="4">
      <formula>$K1435&gt;0</formula>
    </cfRule>
  </conditionalFormatting>
  <conditionalFormatting sqref="B1435:B1455">
    <cfRule type="expression" dxfId="4" priority="3">
      <formula>$L1435&gt;0</formula>
    </cfRule>
  </conditionalFormatting>
  <conditionalFormatting sqref="C1435:C1455">
    <cfRule type="expression" dxfId="3" priority="7">
      <formula>$K1435&gt;0</formula>
    </cfRule>
  </conditionalFormatting>
  <conditionalFormatting sqref="A1435:A1455">
    <cfRule type="expression" dxfId="2" priority="6">
      <formula>$K1435&gt;0</formula>
    </cfRule>
  </conditionalFormatting>
  <conditionalFormatting sqref="D1435:J1455">
    <cfRule type="expression" dxfId="1" priority="2">
      <formula>$K1435&gt;0</formula>
    </cfRule>
  </conditionalFormatting>
  <conditionalFormatting sqref="J1435:J1455">
    <cfRule type="expression" dxfId="0" priority="1">
      <formula>$N1439&gt;0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H50" activePane="bottomRight" state="frozen"/>
      <selection pane="topRight" activeCell="G1" sqref="G1"/>
      <selection pane="bottomLeft" activeCell="A5" sqref="A5"/>
      <selection pane="bottomRight" activeCell="F66" sqref="F66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7" t="s">
        <v>631</v>
      </c>
      <c r="C2" s="77"/>
      <c r="D2" s="77"/>
      <c r="E2" s="77"/>
      <c r="F2" s="30">
        <f ca="1">TODAY()</f>
        <v>46178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78" t="s">
        <v>1234</v>
      </c>
      <c r="J3" s="78"/>
      <c r="K3" s="78"/>
      <c r="L3" s="78"/>
      <c r="N3" s="78" t="s">
        <v>1234</v>
      </c>
      <c r="O3" s="78"/>
      <c r="P3" s="78"/>
      <c r="Q3" s="78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295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295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314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8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314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314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314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314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311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311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311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311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311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276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3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276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276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276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276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276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3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276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276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203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203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203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203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190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190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190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375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375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375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375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375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375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375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372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372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372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372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372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372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372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189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189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188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188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187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187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186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186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185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185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183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183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182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182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182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181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181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181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180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180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179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179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178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170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169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169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168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167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166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164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164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163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162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161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160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160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158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157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178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178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177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177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177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175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175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175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152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152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150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150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147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147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146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146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146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146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146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146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146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146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146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330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330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330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330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330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330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330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330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322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322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322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322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322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322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322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322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322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322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322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337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337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337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337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337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337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337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334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334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334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334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334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334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334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330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330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330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330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330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343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343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343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343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343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343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343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343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343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343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343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343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343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343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343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343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343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306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306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274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274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274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274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274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274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274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274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274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274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307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307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307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307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307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307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307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307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307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307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54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54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54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53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53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53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53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53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53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53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33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33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33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33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33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33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33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32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32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32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32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32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32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32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31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31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31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31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31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31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31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240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240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240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257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257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257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257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273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273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273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273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273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291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291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291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291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328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328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328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355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227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227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142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142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380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380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380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380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380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378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378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378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378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378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378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378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382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382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386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386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386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386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295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35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35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35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35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34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34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34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34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34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34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43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48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48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48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43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43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43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40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40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40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52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52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52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115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115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117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117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117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117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120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120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120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46178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46178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46178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46178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46178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46178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46178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46178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46178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113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113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9" priority="2">
      <formula>LEN(TRIM(D6))=0</formula>
    </cfRule>
  </conditionalFormatting>
  <conditionalFormatting sqref="E292:E293">
    <cfRule type="containsBlanks" dxfId="8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2026-06-05T08:21:20Z</dcterms:modified>
</cp:coreProperties>
</file>