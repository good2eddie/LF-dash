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F\NOV25\"/>
    </mc:Choice>
  </mc:AlternateContent>
  <xr:revisionPtr revIDLastSave="0" documentId="13_ncr:1_{A08840AD-F7CD-4521-ADE6-A7C17C83A5F4}" xr6:coauthVersionLast="47" xr6:coauthVersionMax="47" xr10:uidLastSave="{00000000-0000-0000-0000-000000000000}"/>
  <bookViews>
    <workbookView xWindow="-120" yWindow="-120" windowWidth="29040" windowHeight="15720" firstSheet="1" activeTab="2" xr2:uid="{65D86592-8B1C-4B59-9172-662E88479B0D}"/>
  </bookViews>
  <sheets>
    <sheet name="Plan Maps. AUG" sheetId="2" r:id="rId1"/>
    <sheet name="Tanam Kangkung- 7 Bedeng" sheetId="1" r:id="rId2"/>
    <sheet name="dash" sheetId="3" r:id="rId3"/>
    <sheet name="sales" sheetId="6" r:id="rId4"/>
    <sheet name="bojongsari" sheetId="4" r:id="rId5"/>
    <sheet name="bojongsari_dt" sheetId="5" r:id="rId6"/>
  </sheets>
  <definedNames>
    <definedName name="_xlnm._FilterDatabase" localSheetId="2" hidden="1">dash!$A$2:$N$429</definedName>
    <definedName name="_xlnm._FilterDatabase" localSheetId="1" hidden="1">'Tanam Kangkung- 7 Bedeng'!$A$13:$BS$234</definedName>
    <definedName name="_xlnm.Print_Area" localSheetId="0">'Plan Maps. AUG'!$B$66:$AC$87</definedName>
    <definedName name="_xlnm.Print_Area" localSheetId="1">'Tanam Kangkung- 7 Bedeng'!$A$1:$I$217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70" i="3" l="1"/>
  <c r="M370" i="3"/>
  <c r="J366" i="3"/>
  <c r="J365" i="3"/>
  <c r="M366" i="3"/>
  <c r="M365" i="3"/>
  <c r="J369" i="3"/>
  <c r="J368" i="3"/>
  <c r="J367" i="3"/>
  <c r="M369" i="3"/>
  <c r="M368" i="3"/>
  <c r="M367" i="3"/>
  <c r="J364" i="3"/>
  <c r="J363" i="3"/>
  <c r="J362" i="3"/>
  <c r="J361" i="3"/>
  <c r="J360" i="3"/>
  <c r="J359" i="3"/>
  <c r="J358" i="3"/>
  <c r="J357" i="3"/>
  <c r="J356" i="3"/>
  <c r="J355" i="3"/>
  <c r="M364" i="3"/>
  <c r="M363" i="3"/>
  <c r="M362" i="3"/>
  <c r="M361" i="3"/>
  <c r="M360" i="3"/>
  <c r="M359" i="3"/>
  <c r="M358" i="3"/>
  <c r="M357" i="3"/>
  <c r="M356" i="3"/>
  <c r="M355" i="3"/>
  <c r="J354" i="3"/>
  <c r="J353" i="3"/>
  <c r="J352" i="3"/>
  <c r="J351" i="3"/>
  <c r="J350" i="3"/>
  <c r="J349" i="3"/>
  <c r="M354" i="3"/>
  <c r="M353" i="3"/>
  <c r="M352" i="3"/>
  <c r="M351" i="3"/>
  <c r="M350" i="3"/>
  <c r="M349" i="3"/>
  <c r="J348" i="3"/>
  <c r="J347" i="3"/>
  <c r="J346" i="3"/>
  <c r="J345" i="3"/>
  <c r="J344" i="3"/>
  <c r="J343" i="3"/>
  <c r="J342" i="3"/>
  <c r="J341" i="3"/>
  <c r="M348" i="3"/>
  <c r="M347" i="3"/>
  <c r="M346" i="3"/>
  <c r="M345" i="3"/>
  <c r="M344" i="3"/>
  <c r="M343" i="3"/>
  <c r="M342" i="3"/>
  <c r="M341" i="3"/>
  <c r="J340" i="3"/>
  <c r="J339" i="3"/>
  <c r="J338" i="3"/>
  <c r="J337" i="3"/>
  <c r="J336" i="3"/>
  <c r="M340" i="3"/>
  <c r="M339" i="3"/>
  <c r="M338" i="3"/>
  <c r="M337" i="3"/>
  <c r="M336" i="3"/>
  <c r="J335" i="3"/>
  <c r="J334" i="3"/>
  <c r="J333" i="3"/>
  <c r="J332" i="3"/>
  <c r="J331" i="3"/>
  <c r="J330" i="3"/>
  <c r="J329" i="3"/>
  <c r="J328" i="3"/>
  <c r="J327" i="3"/>
  <c r="J326" i="3"/>
  <c r="M335" i="3"/>
  <c r="M334" i="3"/>
  <c r="M333" i="3"/>
  <c r="M332" i="3"/>
  <c r="M331" i="3"/>
  <c r="M330" i="3"/>
  <c r="M329" i="3"/>
  <c r="M328" i="3"/>
  <c r="M327" i="3"/>
  <c r="M326" i="3"/>
  <c r="J325" i="3"/>
  <c r="J324" i="3"/>
  <c r="J323" i="3"/>
  <c r="J322" i="3"/>
  <c r="M325" i="3"/>
  <c r="M324" i="3"/>
  <c r="M323" i="3"/>
  <c r="M322" i="3"/>
  <c r="J314" i="3"/>
  <c r="J315" i="3"/>
  <c r="J316" i="3"/>
  <c r="J317" i="3"/>
  <c r="J318" i="3"/>
  <c r="J319" i="3"/>
  <c r="J320" i="3"/>
  <c r="J321" i="3"/>
  <c r="M314" i="3"/>
  <c r="M315" i="3"/>
  <c r="M316" i="3"/>
  <c r="M317" i="3"/>
  <c r="M318" i="3"/>
  <c r="M319" i="3"/>
  <c r="M320" i="3"/>
  <c r="M321" i="3"/>
  <c r="H584" i="3"/>
  <c r="G584" i="3"/>
  <c r="F584" i="3"/>
  <c r="E584" i="3"/>
  <c r="D584" i="3"/>
  <c r="C584" i="3"/>
  <c r="H583" i="3"/>
  <c r="G583" i="3"/>
  <c r="F583" i="3"/>
  <c r="E583" i="3"/>
  <c r="D583" i="3"/>
  <c r="C583" i="3"/>
  <c r="H582" i="3"/>
  <c r="G582" i="3"/>
  <c r="F582" i="3"/>
  <c r="E582" i="3"/>
  <c r="D582" i="3"/>
  <c r="C582" i="3"/>
  <c r="H581" i="3"/>
  <c r="G581" i="3"/>
  <c r="F581" i="3"/>
  <c r="E581" i="3"/>
  <c r="D581" i="3"/>
  <c r="C581" i="3"/>
  <c r="H580" i="3"/>
  <c r="G580" i="3"/>
  <c r="F580" i="3"/>
  <c r="E580" i="3"/>
  <c r="D580" i="3"/>
  <c r="C580" i="3"/>
  <c r="H579" i="3"/>
  <c r="G579" i="3"/>
  <c r="F579" i="3"/>
  <c r="E579" i="3"/>
  <c r="D579" i="3"/>
  <c r="C579" i="3"/>
  <c r="H578" i="3"/>
  <c r="G578" i="3"/>
  <c r="F578" i="3"/>
  <c r="E578" i="3"/>
  <c r="D578" i="3"/>
  <c r="C578" i="3"/>
  <c r="H577" i="3"/>
  <c r="G577" i="3"/>
  <c r="F577" i="3"/>
  <c r="E577" i="3"/>
  <c r="D577" i="3"/>
  <c r="C577" i="3"/>
  <c r="H576" i="3"/>
  <c r="G576" i="3"/>
  <c r="F576" i="3"/>
  <c r="E576" i="3"/>
  <c r="D576" i="3"/>
  <c r="C576" i="3"/>
  <c r="H575" i="3"/>
  <c r="G575" i="3"/>
  <c r="F575" i="3"/>
  <c r="E575" i="3"/>
  <c r="D575" i="3"/>
  <c r="C575" i="3"/>
  <c r="H574" i="3"/>
  <c r="G574" i="3"/>
  <c r="F574" i="3"/>
  <c r="E574" i="3"/>
  <c r="D574" i="3"/>
  <c r="C574" i="3"/>
  <c r="H573" i="3"/>
  <c r="G573" i="3"/>
  <c r="F573" i="3"/>
  <c r="E573" i="3"/>
  <c r="D573" i="3"/>
  <c r="C573" i="3"/>
  <c r="H572" i="3"/>
  <c r="G572" i="3"/>
  <c r="F572" i="3"/>
  <c r="E572" i="3"/>
  <c r="D572" i="3"/>
  <c r="C572" i="3"/>
  <c r="H571" i="3"/>
  <c r="G571" i="3"/>
  <c r="F571" i="3"/>
  <c r="E571" i="3"/>
  <c r="D571" i="3"/>
  <c r="C571" i="3"/>
  <c r="H570" i="3"/>
  <c r="G570" i="3"/>
  <c r="F570" i="3"/>
  <c r="E570" i="3"/>
  <c r="D570" i="3"/>
  <c r="C570" i="3"/>
  <c r="H569" i="3"/>
  <c r="G569" i="3"/>
  <c r="F569" i="3"/>
  <c r="E569" i="3"/>
  <c r="D569" i="3"/>
  <c r="C569" i="3"/>
  <c r="H568" i="3"/>
  <c r="G568" i="3"/>
  <c r="F568" i="3"/>
  <c r="E568" i="3"/>
  <c r="D568" i="3"/>
  <c r="C568" i="3"/>
  <c r="H567" i="3"/>
  <c r="G567" i="3"/>
  <c r="F567" i="3"/>
  <c r="E567" i="3"/>
  <c r="D567" i="3"/>
  <c r="C567" i="3"/>
  <c r="H566" i="3"/>
  <c r="G566" i="3"/>
  <c r="F566" i="3"/>
  <c r="E566" i="3"/>
  <c r="D566" i="3"/>
  <c r="C566" i="3"/>
  <c r="H565" i="3"/>
  <c r="G565" i="3"/>
  <c r="F565" i="3"/>
  <c r="E565" i="3"/>
  <c r="D565" i="3"/>
  <c r="C565" i="3"/>
  <c r="H564" i="3"/>
  <c r="G564" i="3"/>
  <c r="F564" i="3"/>
  <c r="E564" i="3"/>
  <c r="D564" i="3"/>
  <c r="C564" i="3"/>
  <c r="H563" i="3"/>
  <c r="G563" i="3"/>
  <c r="F563" i="3"/>
  <c r="E563" i="3"/>
  <c r="D563" i="3"/>
  <c r="C563" i="3"/>
  <c r="H562" i="3"/>
  <c r="G562" i="3"/>
  <c r="F562" i="3"/>
  <c r="E562" i="3"/>
  <c r="D562" i="3"/>
  <c r="C562" i="3"/>
  <c r="H561" i="3"/>
  <c r="G561" i="3"/>
  <c r="F561" i="3"/>
  <c r="E561" i="3"/>
  <c r="D561" i="3"/>
  <c r="C561" i="3"/>
  <c r="H560" i="3"/>
  <c r="G560" i="3"/>
  <c r="F560" i="3"/>
  <c r="E560" i="3"/>
  <c r="D560" i="3"/>
  <c r="C560" i="3"/>
  <c r="H559" i="3"/>
  <c r="G559" i="3"/>
  <c r="F559" i="3"/>
  <c r="E559" i="3"/>
  <c r="D559" i="3"/>
  <c r="C559" i="3"/>
  <c r="H558" i="3"/>
  <c r="G558" i="3"/>
  <c r="F558" i="3"/>
  <c r="E558" i="3"/>
  <c r="D558" i="3"/>
  <c r="C558" i="3"/>
  <c r="H557" i="3"/>
  <c r="G557" i="3"/>
  <c r="F557" i="3"/>
  <c r="E557" i="3"/>
  <c r="D557" i="3"/>
  <c r="C557" i="3"/>
  <c r="H556" i="3"/>
  <c r="G556" i="3"/>
  <c r="F556" i="3"/>
  <c r="E556" i="3"/>
  <c r="D556" i="3"/>
  <c r="C556" i="3"/>
  <c r="H555" i="3"/>
  <c r="G555" i="3"/>
  <c r="F555" i="3"/>
  <c r="E555" i="3"/>
  <c r="D555" i="3"/>
  <c r="C555" i="3"/>
  <c r="H554" i="3"/>
  <c r="G554" i="3"/>
  <c r="F554" i="3"/>
  <c r="E554" i="3"/>
  <c r="D554" i="3"/>
  <c r="C554" i="3"/>
  <c r="H553" i="3"/>
  <c r="G553" i="3"/>
  <c r="F553" i="3"/>
  <c r="E553" i="3"/>
  <c r="D553" i="3"/>
  <c r="C553" i="3"/>
  <c r="H552" i="3"/>
  <c r="G552" i="3"/>
  <c r="F552" i="3"/>
  <c r="E552" i="3"/>
  <c r="D552" i="3"/>
  <c r="C552" i="3"/>
  <c r="H551" i="3"/>
  <c r="G551" i="3"/>
  <c r="F551" i="3"/>
  <c r="E551" i="3"/>
  <c r="D551" i="3"/>
  <c r="C551" i="3"/>
  <c r="H550" i="3"/>
  <c r="G550" i="3"/>
  <c r="F550" i="3"/>
  <c r="E550" i="3"/>
  <c r="D550" i="3"/>
  <c r="C550" i="3"/>
  <c r="H549" i="3"/>
  <c r="G549" i="3"/>
  <c r="F549" i="3"/>
  <c r="E549" i="3"/>
  <c r="D549" i="3"/>
  <c r="C549" i="3"/>
  <c r="H548" i="3"/>
  <c r="G548" i="3"/>
  <c r="F548" i="3"/>
  <c r="E548" i="3"/>
  <c r="D548" i="3"/>
  <c r="C548" i="3"/>
  <c r="H547" i="3"/>
  <c r="G547" i="3"/>
  <c r="F547" i="3"/>
  <c r="E547" i="3"/>
  <c r="D547" i="3"/>
  <c r="C547" i="3"/>
  <c r="H546" i="3"/>
  <c r="G546" i="3"/>
  <c r="F546" i="3"/>
  <c r="E546" i="3"/>
  <c r="D546" i="3"/>
  <c r="C546" i="3"/>
  <c r="H545" i="3"/>
  <c r="G545" i="3"/>
  <c r="F545" i="3"/>
  <c r="E545" i="3"/>
  <c r="D545" i="3"/>
  <c r="C545" i="3"/>
  <c r="H544" i="3"/>
  <c r="G544" i="3"/>
  <c r="F544" i="3"/>
  <c r="E544" i="3"/>
  <c r="D544" i="3"/>
  <c r="C544" i="3"/>
  <c r="H543" i="3"/>
  <c r="G543" i="3"/>
  <c r="F543" i="3"/>
  <c r="E543" i="3"/>
  <c r="D543" i="3"/>
  <c r="C543" i="3"/>
  <c r="H542" i="3"/>
  <c r="G542" i="3"/>
  <c r="F542" i="3"/>
  <c r="E542" i="3"/>
  <c r="D542" i="3"/>
  <c r="C542" i="3"/>
  <c r="H541" i="3"/>
  <c r="G541" i="3"/>
  <c r="F541" i="3"/>
  <c r="E541" i="3"/>
  <c r="D541" i="3"/>
  <c r="C541" i="3"/>
  <c r="H540" i="3"/>
  <c r="G540" i="3"/>
  <c r="F540" i="3"/>
  <c r="E540" i="3"/>
  <c r="D540" i="3"/>
  <c r="C540" i="3"/>
  <c r="H539" i="3"/>
  <c r="G539" i="3"/>
  <c r="F539" i="3"/>
  <c r="E539" i="3"/>
  <c r="D539" i="3"/>
  <c r="C539" i="3"/>
  <c r="H538" i="3"/>
  <c r="G538" i="3"/>
  <c r="F538" i="3"/>
  <c r="E538" i="3"/>
  <c r="D538" i="3"/>
  <c r="C538" i="3"/>
  <c r="H537" i="3"/>
  <c r="G537" i="3"/>
  <c r="F537" i="3"/>
  <c r="E537" i="3"/>
  <c r="D537" i="3"/>
  <c r="C537" i="3"/>
  <c r="H536" i="3"/>
  <c r="G536" i="3"/>
  <c r="F536" i="3"/>
  <c r="E536" i="3"/>
  <c r="D536" i="3"/>
  <c r="C536" i="3"/>
  <c r="H535" i="3"/>
  <c r="G535" i="3"/>
  <c r="F535" i="3"/>
  <c r="E535" i="3"/>
  <c r="D535" i="3"/>
  <c r="C535" i="3"/>
  <c r="H534" i="3"/>
  <c r="G534" i="3"/>
  <c r="F534" i="3"/>
  <c r="E534" i="3"/>
  <c r="D534" i="3"/>
  <c r="C534" i="3"/>
  <c r="H533" i="3"/>
  <c r="G533" i="3"/>
  <c r="F533" i="3"/>
  <c r="E533" i="3"/>
  <c r="D533" i="3"/>
  <c r="C533" i="3"/>
  <c r="H532" i="3"/>
  <c r="G532" i="3"/>
  <c r="F532" i="3"/>
  <c r="E532" i="3"/>
  <c r="D532" i="3"/>
  <c r="C532" i="3"/>
  <c r="H531" i="3"/>
  <c r="G531" i="3"/>
  <c r="F531" i="3"/>
  <c r="E531" i="3"/>
  <c r="D531" i="3"/>
  <c r="C531" i="3"/>
  <c r="H530" i="3"/>
  <c r="G530" i="3"/>
  <c r="F530" i="3"/>
  <c r="E530" i="3"/>
  <c r="D530" i="3"/>
  <c r="C530" i="3"/>
  <c r="H529" i="3"/>
  <c r="G529" i="3"/>
  <c r="F529" i="3"/>
  <c r="E529" i="3"/>
  <c r="D529" i="3"/>
  <c r="C529" i="3"/>
  <c r="H528" i="3"/>
  <c r="G528" i="3"/>
  <c r="F528" i="3"/>
  <c r="E528" i="3"/>
  <c r="D528" i="3"/>
  <c r="C528" i="3"/>
  <c r="H527" i="3"/>
  <c r="G527" i="3"/>
  <c r="F527" i="3"/>
  <c r="E527" i="3"/>
  <c r="D527" i="3"/>
  <c r="C527" i="3"/>
  <c r="H526" i="3"/>
  <c r="G526" i="3"/>
  <c r="F526" i="3"/>
  <c r="E526" i="3"/>
  <c r="D526" i="3"/>
  <c r="C526" i="3"/>
  <c r="H525" i="3"/>
  <c r="G525" i="3"/>
  <c r="F525" i="3"/>
  <c r="E525" i="3"/>
  <c r="D525" i="3"/>
  <c r="C525" i="3"/>
  <c r="H524" i="3"/>
  <c r="G524" i="3"/>
  <c r="F524" i="3"/>
  <c r="E524" i="3"/>
  <c r="D524" i="3"/>
  <c r="C524" i="3"/>
  <c r="H523" i="3"/>
  <c r="G523" i="3"/>
  <c r="F523" i="3"/>
  <c r="E523" i="3"/>
  <c r="D523" i="3"/>
  <c r="C523" i="3"/>
  <c r="H522" i="3"/>
  <c r="G522" i="3"/>
  <c r="F522" i="3"/>
  <c r="E522" i="3"/>
  <c r="D522" i="3"/>
  <c r="C522" i="3"/>
  <c r="H521" i="3"/>
  <c r="G521" i="3"/>
  <c r="F521" i="3"/>
  <c r="E521" i="3"/>
  <c r="D521" i="3"/>
  <c r="C521" i="3"/>
  <c r="H520" i="3"/>
  <c r="G520" i="3"/>
  <c r="F520" i="3"/>
  <c r="E520" i="3"/>
  <c r="D520" i="3"/>
  <c r="C520" i="3"/>
  <c r="H519" i="3"/>
  <c r="G519" i="3"/>
  <c r="F519" i="3"/>
  <c r="E519" i="3"/>
  <c r="D519" i="3"/>
  <c r="C519" i="3"/>
  <c r="H518" i="3"/>
  <c r="G518" i="3"/>
  <c r="F518" i="3"/>
  <c r="E518" i="3"/>
  <c r="D518" i="3"/>
  <c r="C518" i="3"/>
  <c r="H517" i="3"/>
  <c r="G517" i="3"/>
  <c r="F517" i="3"/>
  <c r="E517" i="3"/>
  <c r="D517" i="3"/>
  <c r="C517" i="3"/>
  <c r="H516" i="3"/>
  <c r="G516" i="3"/>
  <c r="F516" i="3"/>
  <c r="E516" i="3"/>
  <c r="D516" i="3"/>
  <c r="C516" i="3"/>
  <c r="H515" i="3"/>
  <c r="G515" i="3"/>
  <c r="F515" i="3"/>
  <c r="E515" i="3"/>
  <c r="D515" i="3"/>
  <c r="C515" i="3"/>
  <c r="M313" i="3"/>
  <c r="M312" i="3"/>
  <c r="M311" i="3"/>
  <c r="M310" i="3"/>
  <c r="M309" i="3"/>
  <c r="M308" i="3"/>
  <c r="M307" i="3"/>
  <c r="M306" i="3"/>
  <c r="J313" i="3"/>
  <c r="J312" i="3"/>
  <c r="J311" i="3"/>
  <c r="J310" i="3"/>
  <c r="J309" i="3"/>
  <c r="J308" i="3"/>
  <c r="J307" i="3"/>
  <c r="J306" i="3"/>
  <c r="M305" i="3"/>
  <c r="M304" i="3"/>
  <c r="M303" i="3"/>
  <c r="M302" i="3"/>
  <c r="M301" i="3"/>
  <c r="M300" i="3"/>
  <c r="M299" i="3"/>
  <c r="J305" i="3"/>
  <c r="J304" i="3"/>
  <c r="J303" i="3"/>
  <c r="J302" i="3"/>
  <c r="J301" i="3"/>
  <c r="J300" i="3"/>
  <c r="J299" i="3"/>
  <c r="M292" i="3"/>
  <c r="J292" i="3"/>
  <c r="H514" i="3"/>
  <c r="G514" i="3"/>
  <c r="F514" i="3"/>
  <c r="E514" i="3"/>
  <c r="D514" i="3"/>
  <c r="C514" i="3"/>
  <c r="H513" i="3"/>
  <c r="G513" i="3"/>
  <c r="F513" i="3"/>
  <c r="E513" i="3"/>
  <c r="D513" i="3"/>
  <c r="C513" i="3"/>
  <c r="H512" i="3"/>
  <c r="G512" i="3"/>
  <c r="F512" i="3"/>
  <c r="E512" i="3"/>
  <c r="D512" i="3"/>
  <c r="C512" i="3"/>
  <c r="H511" i="3"/>
  <c r="G511" i="3"/>
  <c r="F511" i="3"/>
  <c r="E511" i="3"/>
  <c r="D511" i="3"/>
  <c r="C511" i="3"/>
  <c r="H510" i="3"/>
  <c r="G510" i="3"/>
  <c r="F510" i="3"/>
  <c r="E510" i="3"/>
  <c r="D510" i="3"/>
  <c r="C510" i="3"/>
  <c r="H509" i="3"/>
  <c r="G509" i="3"/>
  <c r="F509" i="3"/>
  <c r="E509" i="3"/>
  <c r="D509" i="3"/>
  <c r="C509" i="3"/>
  <c r="H508" i="3"/>
  <c r="G508" i="3"/>
  <c r="F508" i="3"/>
  <c r="E508" i="3"/>
  <c r="D508" i="3"/>
  <c r="C508" i="3"/>
  <c r="H507" i="3"/>
  <c r="G507" i="3"/>
  <c r="F507" i="3"/>
  <c r="E507" i="3"/>
  <c r="D507" i="3"/>
  <c r="C507" i="3"/>
  <c r="H506" i="3"/>
  <c r="G506" i="3"/>
  <c r="F506" i="3"/>
  <c r="E506" i="3"/>
  <c r="D506" i="3"/>
  <c r="C506" i="3"/>
  <c r="H505" i="3"/>
  <c r="G505" i="3"/>
  <c r="F505" i="3"/>
  <c r="E505" i="3"/>
  <c r="D505" i="3"/>
  <c r="C505" i="3"/>
  <c r="H504" i="3"/>
  <c r="G504" i="3"/>
  <c r="F504" i="3"/>
  <c r="E504" i="3"/>
  <c r="D504" i="3"/>
  <c r="C504" i="3"/>
  <c r="H503" i="3"/>
  <c r="G503" i="3"/>
  <c r="F503" i="3"/>
  <c r="E503" i="3"/>
  <c r="D503" i="3"/>
  <c r="C503" i="3"/>
  <c r="H502" i="3"/>
  <c r="G502" i="3"/>
  <c r="F502" i="3"/>
  <c r="E502" i="3"/>
  <c r="D502" i="3"/>
  <c r="C502" i="3"/>
  <c r="H501" i="3"/>
  <c r="G501" i="3"/>
  <c r="F501" i="3"/>
  <c r="E501" i="3"/>
  <c r="D501" i="3"/>
  <c r="C501" i="3"/>
  <c r="H500" i="3"/>
  <c r="G500" i="3"/>
  <c r="F500" i="3"/>
  <c r="E500" i="3"/>
  <c r="D500" i="3"/>
  <c r="C500" i="3"/>
  <c r="H499" i="3"/>
  <c r="G499" i="3"/>
  <c r="F499" i="3"/>
  <c r="E499" i="3"/>
  <c r="D499" i="3"/>
  <c r="C499" i="3"/>
  <c r="H498" i="3"/>
  <c r="G498" i="3"/>
  <c r="F498" i="3"/>
  <c r="E498" i="3"/>
  <c r="D498" i="3"/>
  <c r="C498" i="3"/>
  <c r="H497" i="3"/>
  <c r="G497" i="3"/>
  <c r="F497" i="3"/>
  <c r="E497" i="3"/>
  <c r="D497" i="3"/>
  <c r="C497" i="3"/>
  <c r="H496" i="3"/>
  <c r="G496" i="3"/>
  <c r="F496" i="3"/>
  <c r="E496" i="3"/>
  <c r="D496" i="3"/>
  <c r="C496" i="3"/>
  <c r="H495" i="3"/>
  <c r="G495" i="3"/>
  <c r="F495" i="3"/>
  <c r="E495" i="3"/>
  <c r="D495" i="3"/>
  <c r="C495" i="3"/>
  <c r="H494" i="3"/>
  <c r="G494" i="3"/>
  <c r="F494" i="3"/>
  <c r="E494" i="3"/>
  <c r="D494" i="3"/>
  <c r="C494" i="3"/>
  <c r="H493" i="3"/>
  <c r="G493" i="3"/>
  <c r="F493" i="3"/>
  <c r="E493" i="3"/>
  <c r="D493" i="3"/>
  <c r="C493" i="3"/>
  <c r="H492" i="3"/>
  <c r="G492" i="3"/>
  <c r="F492" i="3"/>
  <c r="E492" i="3"/>
  <c r="D492" i="3"/>
  <c r="C492" i="3"/>
  <c r="H491" i="3"/>
  <c r="G491" i="3"/>
  <c r="F491" i="3"/>
  <c r="E491" i="3"/>
  <c r="D491" i="3"/>
  <c r="C491" i="3"/>
  <c r="H490" i="3"/>
  <c r="G490" i="3"/>
  <c r="F490" i="3"/>
  <c r="E490" i="3"/>
  <c r="D490" i="3"/>
  <c r="C490" i="3"/>
  <c r="H489" i="3"/>
  <c r="G489" i="3"/>
  <c r="F489" i="3"/>
  <c r="E489" i="3"/>
  <c r="D489" i="3"/>
  <c r="C489" i="3"/>
  <c r="H488" i="3"/>
  <c r="G488" i="3"/>
  <c r="F488" i="3"/>
  <c r="E488" i="3"/>
  <c r="D488" i="3"/>
  <c r="C488" i="3"/>
  <c r="H487" i="3"/>
  <c r="G487" i="3"/>
  <c r="F487" i="3"/>
  <c r="E487" i="3"/>
  <c r="D487" i="3"/>
  <c r="C487" i="3"/>
  <c r="M298" i="3"/>
  <c r="M297" i="3"/>
  <c r="M296" i="3"/>
  <c r="M295" i="3"/>
  <c r="M294" i="3"/>
  <c r="M293" i="3"/>
  <c r="M291" i="3"/>
  <c r="M290" i="3"/>
  <c r="M289" i="3"/>
  <c r="J298" i="3"/>
  <c r="J297" i="3"/>
  <c r="J296" i="3"/>
  <c r="J295" i="3"/>
  <c r="J294" i="3"/>
  <c r="J293" i="3"/>
  <c r="J291" i="3"/>
  <c r="J290" i="3"/>
  <c r="J289" i="3"/>
  <c r="M281" i="3"/>
  <c r="M282" i="3"/>
  <c r="M283" i="3"/>
  <c r="M284" i="3"/>
  <c r="M285" i="3"/>
  <c r="M286" i="3"/>
  <c r="M287" i="3"/>
  <c r="M288" i="3"/>
  <c r="J281" i="3"/>
  <c r="J282" i="3"/>
  <c r="J283" i="3"/>
  <c r="J284" i="3"/>
  <c r="J285" i="3"/>
  <c r="J286" i="3"/>
  <c r="J287" i="3"/>
  <c r="J288" i="3"/>
  <c r="M280" i="3"/>
  <c r="M279" i="3"/>
  <c r="M278" i="3"/>
  <c r="M277" i="3"/>
  <c r="M276" i="3"/>
  <c r="M275" i="3"/>
  <c r="M274" i="3"/>
  <c r="M273" i="3"/>
  <c r="J280" i="3"/>
  <c r="J279" i="3"/>
  <c r="J278" i="3"/>
  <c r="J277" i="3"/>
  <c r="J276" i="3"/>
  <c r="J275" i="3"/>
  <c r="J274" i="3"/>
  <c r="J273" i="3"/>
  <c r="H486" i="3"/>
  <c r="G486" i="3"/>
  <c r="F486" i="3"/>
  <c r="E486" i="3"/>
  <c r="D486" i="3"/>
  <c r="C486" i="3"/>
  <c r="H485" i="3"/>
  <c r="G485" i="3"/>
  <c r="F485" i="3"/>
  <c r="E485" i="3"/>
  <c r="D485" i="3"/>
  <c r="C485" i="3"/>
  <c r="H484" i="3"/>
  <c r="G484" i="3"/>
  <c r="F484" i="3"/>
  <c r="E484" i="3"/>
  <c r="D484" i="3"/>
  <c r="C484" i="3"/>
  <c r="H483" i="3"/>
  <c r="G483" i="3"/>
  <c r="F483" i="3"/>
  <c r="E483" i="3"/>
  <c r="D483" i="3"/>
  <c r="C483" i="3"/>
  <c r="H482" i="3"/>
  <c r="G482" i="3"/>
  <c r="F482" i="3"/>
  <c r="E482" i="3"/>
  <c r="D482" i="3"/>
  <c r="C482" i="3"/>
  <c r="H481" i="3"/>
  <c r="G481" i="3"/>
  <c r="F481" i="3"/>
  <c r="E481" i="3"/>
  <c r="D481" i="3"/>
  <c r="C481" i="3"/>
  <c r="H480" i="3"/>
  <c r="G480" i="3"/>
  <c r="F480" i="3"/>
  <c r="E480" i="3"/>
  <c r="D480" i="3"/>
  <c r="C480" i="3"/>
  <c r="H479" i="3"/>
  <c r="G479" i="3"/>
  <c r="F479" i="3"/>
  <c r="E479" i="3"/>
  <c r="D479" i="3"/>
  <c r="C479" i="3"/>
  <c r="H478" i="3"/>
  <c r="G478" i="3"/>
  <c r="F478" i="3"/>
  <c r="E478" i="3"/>
  <c r="D478" i="3"/>
  <c r="C478" i="3"/>
  <c r="H477" i="3"/>
  <c r="G477" i="3"/>
  <c r="F477" i="3"/>
  <c r="E477" i="3"/>
  <c r="D477" i="3"/>
  <c r="C477" i="3"/>
  <c r="H476" i="3"/>
  <c r="G476" i="3"/>
  <c r="F476" i="3"/>
  <c r="E476" i="3"/>
  <c r="D476" i="3"/>
  <c r="C476" i="3"/>
  <c r="H475" i="3"/>
  <c r="G475" i="3"/>
  <c r="F475" i="3"/>
  <c r="E475" i="3"/>
  <c r="D475" i="3"/>
  <c r="C475" i="3"/>
  <c r="H474" i="3"/>
  <c r="G474" i="3"/>
  <c r="F474" i="3"/>
  <c r="E474" i="3"/>
  <c r="D474" i="3"/>
  <c r="C474" i="3"/>
  <c r="H473" i="3"/>
  <c r="G473" i="3"/>
  <c r="F473" i="3"/>
  <c r="E473" i="3"/>
  <c r="D473" i="3"/>
  <c r="C473" i="3"/>
  <c r="H472" i="3"/>
  <c r="G472" i="3"/>
  <c r="F472" i="3"/>
  <c r="E472" i="3"/>
  <c r="D472" i="3"/>
  <c r="C472" i="3"/>
  <c r="H471" i="3"/>
  <c r="G471" i="3"/>
  <c r="F471" i="3"/>
  <c r="E471" i="3"/>
  <c r="D471" i="3"/>
  <c r="C471" i="3"/>
  <c r="H470" i="3"/>
  <c r="G470" i="3"/>
  <c r="F470" i="3"/>
  <c r="E470" i="3"/>
  <c r="D470" i="3"/>
  <c r="C470" i="3"/>
  <c r="H469" i="3"/>
  <c r="G469" i="3"/>
  <c r="F469" i="3"/>
  <c r="E469" i="3"/>
  <c r="D469" i="3"/>
  <c r="C469" i="3"/>
  <c r="H468" i="3"/>
  <c r="G468" i="3"/>
  <c r="F468" i="3"/>
  <c r="E468" i="3"/>
  <c r="D468" i="3"/>
  <c r="C468" i="3"/>
  <c r="H467" i="3"/>
  <c r="G467" i="3"/>
  <c r="F467" i="3"/>
  <c r="E467" i="3"/>
  <c r="D467" i="3"/>
  <c r="C467" i="3"/>
  <c r="C466" i="3"/>
  <c r="D466" i="3"/>
  <c r="E466" i="3"/>
  <c r="F466" i="3"/>
  <c r="G466" i="3"/>
  <c r="H466" i="3"/>
  <c r="M272" i="3"/>
  <c r="M271" i="3"/>
  <c r="J272" i="3"/>
  <c r="J271" i="3"/>
  <c r="C459" i="3"/>
  <c r="D459" i="3"/>
  <c r="E459" i="3"/>
  <c r="C460" i="3"/>
  <c r="D460" i="3"/>
  <c r="E460" i="3"/>
  <c r="C461" i="3"/>
  <c r="D461" i="3"/>
  <c r="E461" i="3"/>
  <c r="C462" i="3"/>
  <c r="D462" i="3"/>
  <c r="E462" i="3"/>
  <c r="C463" i="3"/>
  <c r="D463" i="3"/>
  <c r="E463" i="3"/>
  <c r="C464" i="3"/>
  <c r="D464" i="3"/>
  <c r="E464" i="3"/>
  <c r="C465" i="3"/>
  <c r="D465" i="3"/>
  <c r="E465" i="3"/>
  <c r="C430" i="3"/>
  <c r="D430" i="3"/>
  <c r="E430" i="3"/>
  <c r="C431" i="3"/>
  <c r="D431" i="3"/>
  <c r="E431" i="3"/>
  <c r="C432" i="3"/>
  <c r="D432" i="3"/>
  <c r="E432" i="3"/>
  <c r="C433" i="3"/>
  <c r="D433" i="3"/>
  <c r="E433" i="3"/>
  <c r="C434" i="3"/>
  <c r="D434" i="3"/>
  <c r="E434" i="3"/>
  <c r="C435" i="3"/>
  <c r="D435" i="3"/>
  <c r="E435" i="3"/>
  <c r="C436" i="3"/>
  <c r="D436" i="3"/>
  <c r="E436" i="3"/>
  <c r="C437" i="3"/>
  <c r="D437" i="3"/>
  <c r="E437" i="3"/>
  <c r="C438" i="3"/>
  <c r="D438" i="3"/>
  <c r="E438" i="3"/>
  <c r="C439" i="3"/>
  <c r="D439" i="3"/>
  <c r="E439" i="3"/>
  <c r="C440" i="3"/>
  <c r="D440" i="3"/>
  <c r="E440" i="3"/>
  <c r="C441" i="3"/>
  <c r="D441" i="3"/>
  <c r="E441" i="3"/>
  <c r="C442" i="3"/>
  <c r="D442" i="3"/>
  <c r="E442" i="3"/>
  <c r="C443" i="3"/>
  <c r="D443" i="3"/>
  <c r="E443" i="3"/>
  <c r="C444" i="3"/>
  <c r="D444" i="3"/>
  <c r="E444" i="3"/>
  <c r="C445" i="3"/>
  <c r="D445" i="3"/>
  <c r="E445" i="3"/>
  <c r="C446" i="3"/>
  <c r="D446" i="3"/>
  <c r="E446" i="3"/>
  <c r="C447" i="3"/>
  <c r="D447" i="3"/>
  <c r="E447" i="3"/>
  <c r="C448" i="3"/>
  <c r="D448" i="3"/>
  <c r="E448" i="3"/>
  <c r="C449" i="3"/>
  <c r="D449" i="3"/>
  <c r="E449" i="3"/>
  <c r="C450" i="3"/>
  <c r="D450" i="3"/>
  <c r="E450" i="3"/>
  <c r="C451" i="3"/>
  <c r="D451" i="3"/>
  <c r="E451" i="3"/>
  <c r="C452" i="3"/>
  <c r="D452" i="3"/>
  <c r="E452" i="3"/>
  <c r="C453" i="3"/>
  <c r="D453" i="3"/>
  <c r="E453" i="3"/>
  <c r="C454" i="3"/>
  <c r="D454" i="3"/>
  <c r="E454" i="3"/>
  <c r="C455" i="3"/>
  <c r="D455" i="3"/>
  <c r="E455" i="3"/>
  <c r="C456" i="3"/>
  <c r="D456" i="3"/>
  <c r="E456" i="3"/>
  <c r="C457" i="3"/>
  <c r="D457" i="3"/>
  <c r="E457" i="3"/>
  <c r="C458" i="3"/>
  <c r="D458" i="3"/>
  <c r="E458" i="3"/>
  <c r="F453" i="3"/>
  <c r="G453" i="3"/>
  <c r="H453" i="3"/>
  <c r="F454" i="3"/>
  <c r="G454" i="3"/>
  <c r="H454" i="3"/>
  <c r="F455" i="3"/>
  <c r="G455" i="3"/>
  <c r="H455" i="3"/>
  <c r="F456" i="3"/>
  <c r="G456" i="3"/>
  <c r="H456" i="3"/>
  <c r="F457" i="3"/>
  <c r="G457" i="3"/>
  <c r="H457" i="3"/>
  <c r="F458" i="3"/>
  <c r="G458" i="3"/>
  <c r="H458" i="3"/>
  <c r="F459" i="3"/>
  <c r="G459" i="3"/>
  <c r="H459" i="3"/>
  <c r="F460" i="3"/>
  <c r="G460" i="3"/>
  <c r="H460" i="3"/>
  <c r="F461" i="3"/>
  <c r="G461" i="3"/>
  <c r="H461" i="3"/>
  <c r="F462" i="3"/>
  <c r="G462" i="3"/>
  <c r="H462" i="3"/>
  <c r="F463" i="3"/>
  <c r="G463" i="3"/>
  <c r="H463" i="3"/>
  <c r="F464" i="3"/>
  <c r="G464" i="3"/>
  <c r="H464" i="3"/>
  <c r="F465" i="3"/>
  <c r="G465" i="3"/>
  <c r="H465" i="3"/>
  <c r="F430" i="3"/>
  <c r="G430" i="3"/>
  <c r="H430" i="3"/>
  <c r="F431" i="3"/>
  <c r="G431" i="3"/>
  <c r="H431" i="3"/>
  <c r="F432" i="3"/>
  <c r="G432" i="3"/>
  <c r="H432" i="3"/>
  <c r="F433" i="3"/>
  <c r="G433" i="3"/>
  <c r="H433" i="3"/>
  <c r="F434" i="3"/>
  <c r="G434" i="3"/>
  <c r="H434" i="3"/>
  <c r="F435" i="3"/>
  <c r="G435" i="3"/>
  <c r="H435" i="3"/>
  <c r="F436" i="3"/>
  <c r="G436" i="3"/>
  <c r="H436" i="3"/>
  <c r="F437" i="3"/>
  <c r="G437" i="3"/>
  <c r="H437" i="3"/>
  <c r="F438" i="3"/>
  <c r="G438" i="3"/>
  <c r="H438" i="3"/>
  <c r="F439" i="3"/>
  <c r="G439" i="3"/>
  <c r="H439" i="3"/>
  <c r="F440" i="3"/>
  <c r="G440" i="3"/>
  <c r="H440" i="3"/>
  <c r="F441" i="3"/>
  <c r="G441" i="3"/>
  <c r="H441" i="3"/>
  <c r="F442" i="3"/>
  <c r="G442" i="3"/>
  <c r="H442" i="3"/>
  <c r="F443" i="3"/>
  <c r="G443" i="3"/>
  <c r="H443" i="3"/>
  <c r="F444" i="3"/>
  <c r="G444" i="3"/>
  <c r="H444" i="3"/>
  <c r="F445" i="3"/>
  <c r="G445" i="3"/>
  <c r="H445" i="3"/>
  <c r="F446" i="3"/>
  <c r="G446" i="3"/>
  <c r="H446" i="3"/>
  <c r="F447" i="3"/>
  <c r="G447" i="3"/>
  <c r="H447" i="3"/>
  <c r="F448" i="3"/>
  <c r="G448" i="3"/>
  <c r="H448" i="3"/>
  <c r="F449" i="3"/>
  <c r="G449" i="3"/>
  <c r="H449" i="3"/>
  <c r="F450" i="3"/>
  <c r="G450" i="3"/>
  <c r="H450" i="3"/>
  <c r="F451" i="3"/>
  <c r="G451" i="3"/>
  <c r="H451" i="3"/>
  <c r="F452" i="3"/>
  <c r="G452" i="3"/>
  <c r="H452" i="3"/>
  <c r="J261" i="3"/>
  <c r="J262" i="3"/>
  <c r="J263" i="3"/>
  <c r="J264" i="3"/>
  <c r="J265" i="3"/>
  <c r="J266" i="3"/>
  <c r="J267" i="3"/>
  <c r="J268" i="3"/>
  <c r="J269" i="3"/>
  <c r="J270" i="3"/>
  <c r="M270" i="3"/>
  <c r="M269" i="3"/>
  <c r="M268" i="3"/>
  <c r="M267" i="3"/>
  <c r="M266" i="3"/>
  <c r="M265" i="3"/>
  <c r="M264" i="3"/>
  <c r="M263" i="3"/>
  <c r="M262" i="3"/>
  <c r="M261" i="3"/>
  <c r="H429" i="3" l="1"/>
  <c r="G429" i="3"/>
  <c r="F429" i="3"/>
  <c r="E429" i="3"/>
  <c r="D429" i="3"/>
  <c r="C429" i="3"/>
  <c r="H428" i="3"/>
  <c r="G428" i="3"/>
  <c r="F428" i="3"/>
  <c r="E428" i="3"/>
  <c r="D428" i="3"/>
  <c r="C428" i="3"/>
  <c r="H427" i="3"/>
  <c r="G427" i="3"/>
  <c r="F427" i="3"/>
  <c r="E427" i="3"/>
  <c r="D427" i="3"/>
  <c r="C427" i="3"/>
  <c r="H426" i="3"/>
  <c r="G426" i="3"/>
  <c r="F426" i="3"/>
  <c r="E426" i="3"/>
  <c r="D426" i="3"/>
  <c r="C426" i="3"/>
  <c r="H425" i="3"/>
  <c r="G425" i="3"/>
  <c r="F425" i="3"/>
  <c r="E425" i="3"/>
  <c r="D425" i="3"/>
  <c r="C425" i="3"/>
  <c r="H424" i="3"/>
  <c r="G424" i="3"/>
  <c r="F424" i="3"/>
  <c r="E424" i="3"/>
  <c r="D424" i="3"/>
  <c r="C424" i="3"/>
  <c r="H423" i="3"/>
  <c r="G423" i="3"/>
  <c r="F423" i="3"/>
  <c r="E423" i="3"/>
  <c r="D423" i="3"/>
  <c r="C423" i="3"/>
  <c r="M260" i="3"/>
  <c r="M259" i="3"/>
  <c r="M258" i="3"/>
  <c r="M257" i="3"/>
  <c r="J260" i="3"/>
  <c r="J259" i="3"/>
  <c r="J258" i="3"/>
  <c r="J257" i="3"/>
  <c r="M256" i="3"/>
  <c r="M255" i="3"/>
  <c r="J256" i="3"/>
  <c r="J255" i="3"/>
  <c r="M249" i="3"/>
  <c r="M248" i="3"/>
  <c r="J249" i="3"/>
  <c r="J248" i="3"/>
  <c r="H422" i="3"/>
  <c r="G422" i="3"/>
  <c r="F422" i="3"/>
  <c r="E422" i="3"/>
  <c r="D422" i="3"/>
  <c r="C422" i="3"/>
  <c r="H421" i="3"/>
  <c r="G421" i="3"/>
  <c r="F421" i="3"/>
  <c r="E421" i="3"/>
  <c r="D421" i="3"/>
  <c r="C421" i="3"/>
  <c r="H420" i="3"/>
  <c r="G420" i="3"/>
  <c r="F420" i="3"/>
  <c r="E420" i="3"/>
  <c r="D420" i="3"/>
  <c r="C420" i="3"/>
  <c r="H419" i="3"/>
  <c r="G419" i="3"/>
  <c r="F419" i="3"/>
  <c r="E419" i="3"/>
  <c r="D419" i="3"/>
  <c r="C419" i="3"/>
  <c r="H418" i="3"/>
  <c r="G418" i="3"/>
  <c r="F418" i="3"/>
  <c r="E418" i="3"/>
  <c r="D418" i="3"/>
  <c r="C418" i="3"/>
  <c r="H417" i="3"/>
  <c r="G417" i="3"/>
  <c r="F417" i="3"/>
  <c r="E417" i="3"/>
  <c r="D417" i="3"/>
  <c r="C417" i="3"/>
  <c r="H416" i="3"/>
  <c r="G416" i="3"/>
  <c r="F416" i="3"/>
  <c r="E416" i="3"/>
  <c r="D416" i="3"/>
  <c r="C416" i="3"/>
  <c r="M251" i="3" l="1"/>
  <c r="M250" i="3"/>
  <c r="J251" i="3"/>
  <c r="J250" i="3"/>
  <c r="M247" i="3"/>
  <c r="M246" i="3"/>
  <c r="M238" i="3"/>
  <c r="J247" i="3"/>
  <c r="J246" i="3"/>
  <c r="J238" i="3"/>
  <c r="J240" i="3"/>
  <c r="M240" i="3"/>
  <c r="J237" i="3"/>
  <c r="M237" i="3"/>
  <c r="M239" i="3"/>
  <c r="J239" i="3"/>
  <c r="M236" i="3"/>
  <c r="J236" i="3"/>
  <c r="H415" i="3"/>
  <c r="G415" i="3"/>
  <c r="F415" i="3"/>
  <c r="E415" i="3"/>
  <c r="D415" i="3"/>
  <c r="C415" i="3"/>
  <c r="H414" i="3"/>
  <c r="G414" i="3"/>
  <c r="F414" i="3"/>
  <c r="E414" i="3"/>
  <c r="D414" i="3"/>
  <c r="C414" i="3"/>
  <c r="H413" i="3"/>
  <c r="G413" i="3"/>
  <c r="F413" i="3"/>
  <c r="E413" i="3"/>
  <c r="D413" i="3"/>
  <c r="C413" i="3"/>
  <c r="H412" i="3"/>
  <c r="G412" i="3"/>
  <c r="F412" i="3"/>
  <c r="E412" i="3"/>
  <c r="D412" i="3"/>
  <c r="C412" i="3"/>
  <c r="H411" i="3"/>
  <c r="G411" i="3"/>
  <c r="F411" i="3"/>
  <c r="E411" i="3"/>
  <c r="D411" i="3"/>
  <c r="C411" i="3"/>
  <c r="H410" i="3"/>
  <c r="G410" i="3"/>
  <c r="F410" i="3"/>
  <c r="E410" i="3"/>
  <c r="D410" i="3"/>
  <c r="C410" i="3"/>
  <c r="H409" i="3"/>
  <c r="G409" i="3"/>
  <c r="F409" i="3"/>
  <c r="E409" i="3"/>
  <c r="D409" i="3"/>
  <c r="C409" i="3"/>
  <c r="M254" i="3"/>
  <c r="M253" i="3"/>
  <c r="M252" i="3"/>
  <c r="M245" i="3"/>
  <c r="M244" i="3"/>
  <c r="M243" i="3"/>
  <c r="M242" i="3"/>
  <c r="M241" i="3"/>
  <c r="M235" i="3"/>
  <c r="M234" i="3"/>
  <c r="M233" i="3"/>
  <c r="M232" i="3"/>
  <c r="M231" i="3"/>
  <c r="J254" i="3"/>
  <c r="J253" i="3"/>
  <c r="J252" i="3"/>
  <c r="J245" i="3"/>
  <c r="J244" i="3"/>
  <c r="J243" i="3"/>
  <c r="J242" i="3"/>
  <c r="J241" i="3"/>
  <c r="J235" i="3"/>
  <c r="J234" i="3"/>
  <c r="J233" i="3"/>
  <c r="J232" i="3"/>
  <c r="J231" i="3"/>
  <c r="BQ8" i="1"/>
  <c r="BR8" i="1"/>
  <c r="BS8" i="1"/>
  <c r="BT8" i="1"/>
  <c r="BU8" i="1"/>
  <c r="BV8" i="1"/>
  <c r="BW8" i="1"/>
  <c r="BX8" i="1"/>
  <c r="BY8" i="1"/>
  <c r="BZ8" i="1"/>
  <c r="CA8" i="1"/>
  <c r="CB8" i="1"/>
  <c r="CC8" i="1"/>
  <c r="CD8" i="1"/>
  <c r="CE8" i="1"/>
  <c r="CF8" i="1"/>
  <c r="CG8" i="1"/>
  <c r="CH8" i="1"/>
  <c r="CI8" i="1"/>
  <c r="CJ8" i="1"/>
  <c r="CK8" i="1"/>
  <c r="CL8" i="1"/>
  <c r="CM8" i="1"/>
  <c r="CN8" i="1"/>
  <c r="CO8" i="1"/>
  <c r="CP8" i="1"/>
  <c r="CQ8" i="1"/>
  <c r="CR8" i="1"/>
  <c r="CS8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BQ11" i="1"/>
  <c r="BR11" i="1"/>
  <c r="BS11" i="1"/>
  <c r="BT11" i="1"/>
  <c r="BU11" i="1"/>
  <c r="BV11" i="1"/>
  <c r="BW11" i="1"/>
  <c r="BX11" i="1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CM11" i="1"/>
  <c r="CN11" i="1"/>
  <c r="CO11" i="1"/>
  <c r="CP11" i="1"/>
  <c r="CQ11" i="1"/>
  <c r="CR11" i="1"/>
  <c r="CS11" i="1"/>
  <c r="H408" i="3"/>
  <c r="G408" i="3"/>
  <c r="F408" i="3"/>
  <c r="E408" i="3"/>
  <c r="D408" i="3"/>
  <c r="C408" i="3"/>
  <c r="H407" i="3"/>
  <c r="G407" i="3"/>
  <c r="F407" i="3"/>
  <c r="E407" i="3"/>
  <c r="D407" i="3"/>
  <c r="C407" i="3"/>
  <c r="H406" i="3"/>
  <c r="G406" i="3"/>
  <c r="F406" i="3"/>
  <c r="E406" i="3"/>
  <c r="D406" i="3"/>
  <c r="C406" i="3"/>
  <c r="H405" i="3"/>
  <c r="G405" i="3"/>
  <c r="F405" i="3"/>
  <c r="E405" i="3"/>
  <c r="D405" i="3"/>
  <c r="C405" i="3"/>
  <c r="H404" i="3"/>
  <c r="G404" i="3"/>
  <c r="F404" i="3"/>
  <c r="E404" i="3"/>
  <c r="D404" i="3"/>
  <c r="C404" i="3"/>
  <c r="H403" i="3"/>
  <c r="G403" i="3"/>
  <c r="F403" i="3"/>
  <c r="E403" i="3"/>
  <c r="D403" i="3"/>
  <c r="C403" i="3"/>
  <c r="H402" i="3"/>
  <c r="G402" i="3"/>
  <c r="F402" i="3"/>
  <c r="E402" i="3"/>
  <c r="D402" i="3"/>
  <c r="C402" i="3"/>
  <c r="M230" i="3"/>
  <c r="M229" i="3"/>
  <c r="M228" i="3"/>
  <c r="M227" i="3"/>
  <c r="M226" i="3"/>
  <c r="M225" i="3"/>
  <c r="J230" i="3"/>
  <c r="J229" i="3"/>
  <c r="J228" i="3"/>
  <c r="J227" i="3"/>
  <c r="J226" i="3"/>
  <c r="J225" i="3"/>
  <c r="J224" i="3"/>
  <c r="J223" i="3"/>
  <c r="M224" i="3"/>
  <c r="M223" i="3"/>
  <c r="M222" i="3"/>
  <c r="J222" i="3"/>
  <c r="M218" i="3"/>
  <c r="J218" i="3"/>
  <c r="H401" i="3" l="1"/>
  <c r="G401" i="3"/>
  <c r="F401" i="3"/>
  <c r="E401" i="3"/>
  <c r="D401" i="3"/>
  <c r="C401" i="3"/>
  <c r="H400" i="3"/>
  <c r="G400" i="3"/>
  <c r="F400" i="3"/>
  <c r="E400" i="3"/>
  <c r="D400" i="3"/>
  <c r="C400" i="3"/>
  <c r="H399" i="3"/>
  <c r="G399" i="3"/>
  <c r="F399" i="3"/>
  <c r="E399" i="3"/>
  <c r="D399" i="3"/>
  <c r="C399" i="3"/>
  <c r="H398" i="3"/>
  <c r="G398" i="3"/>
  <c r="F398" i="3"/>
  <c r="E398" i="3"/>
  <c r="D398" i="3"/>
  <c r="C398" i="3"/>
  <c r="H397" i="3"/>
  <c r="G397" i="3"/>
  <c r="F397" i="3"/>
  <c r="E397" i="3"/>
  <c r="D397" i="3"/>
  <c r="C397" i="3"/>
  <c r="H396" i="3"/>
  <c r="G396" i="3"/>
  <c r="F396" i="3"/>
  <c r="E396" i="3"/>
  <c r="D396" i="3"/>
  <c r="C396" i="3"/>
  <c r="H395" i="3"/>
  <c r="G395" i="3"/>
  <c r="F395" i="3"/>
  <c r="E395" i="3"/>
  <c r="D395" i="3"/>
  <c r="C395" i="3"/>
  <c r="E394" i="3"/>
  <c r="D394" i="3"/>
  <c r="C394" i="3"/>
  <c r="E393" i="3"/>
  <c r="D393" i="3"/>
  <c r="C393" i="3"/>
  <c r="E392" i="3"/>
  <c r="D392" i="3"/>
  <c r="C392" i="3"/>
  <c r="E391" i="3"/>
  <c r="D391" i="3"/>
  <c r="C391" i="3"/>
  <c r="E390" i="3"/>
  <c r="D390" i="3"/>
  <c r="C390" i="3"/>
  <c r="E389" i="3"/>
  <c r="D389" i="3"/>
  <c r="C389" i="3"/>
  <c r="E388" i="3"/>
  <c r="D388" i="3"/>
  <c r="C388" i="3"/>
  <c r="E387" i="3"/>
  <c r="D387" i="3"/>
  <c r="C387" i="3"/>
  <c r="E386" i="3"/>
  <c r="D386" i="3"/>
  <c r="C386" i="3"/>
  <c r="E385" i="3"/>
  <c r="D385" i="3"/>
  <c r="C385" i="3"/>
  <c r="E384" i="3"/>
  <c r="D384" i="3"/>
  <c r="C384" i="3"/>
  <c r="E383" i="3"/>
  <c r="D383" i="3"/>
  <c r="C383" i="3"/>
  <c r="E382" i="3"/>
  <c r="D382" i="3"/>
  <c r="C382" i="3"/>
  <c r="E381" i="3"/>
  <c r="D381" i="3"/>
  <c r="C381" i="3"/>
  <c r="H394" i="3"/>
  <c r="G394" i="3"/>
  <c r="F394" i="3"/>
  <c r="H393" i="3"/>
  <c r="G393" i="3"/>
  <c r="F393" i="3"/>
  <c r="H392" i="3"/>
  <c r="G392" i="3"/>
  <c r="F392" i="3"/>
  <c r="H391" i="3"/>
  <c r="G391" i="3"/>
  <c r="F391" i="3"/>
  <c r="H390" i="3"/>
  <c r="G390" i="3"/>
  <c r="F390" i="3"/>
  <c r="H389" i="3"/>
  <c r="G389" i="3"/>
  <c r="F389" i="3"/>
  <c r="H388" i="3"/>
  <c r="G388" i="3"/>
  <c r="F388" i="3"/>
  <c r="H387" i="3"/>
  <c r="G387" i="3"/>
  <c r="F387" i="3"/>
  <c r="H386" i="3"/>
  <c r="G386" i="3"/>
  <c r="F386" i="3"/>
  <c r="H385" i="3"/>
  <c r="G385" i="3"/>
  <c r="F385" i="3"/>
  <c r="H384" i="3"/>
  <c r="G384" i="3"/>
  <c r="F384" i="3"/>
  <c r="H383" i="3"/>
  <c r="G383" i="3"/>
  <c r="F383" i="3"/>
  <c r="H382" i="3"/>
  <c r="G382" i="3"/>
  <c r="F382" i="3"/>
  <c r="H381" i="3"/>
  <c r="G381" i="3"/>
  <c r="F381" i="3"/>
  <c r="M221" i="3"/>
  <c r="M220" i="3"/>
  <c r="M219" i="3"/>
  <c r="J221" i="3"/>
  <c r="J220" i="3"/>
  <c r="J219" i="3"/>
  <c r="M217" i="3"/>
  <c r="M216" i="3"/>
  <c r="M215" i="3"/>
  <c r="J217" i="3"/>
  <c r="J216" i="3"/>
  <c r="J215" i="3"/>
  <c r="M211" i="3"/>
  <c r="M210" i="3"/>
  <c r="M209" i="3"/>
  <c r="J211" i="3"/>
  <c r="J210" i="3"/>
  <c r="J209" i="3"/>
  <c r="M214" i="3"/>
  <c r="M213" i="3"/>
  <c r="M212" i="3"/>
  <c r="M208" i="3"/>
  <c r="J208" i="3"/>
  <c r="M207" i="3"/>
  <c r="M206" i="3"/>
  <c r="M205" i="3"/>
  <c r="M204" i="3"/>
  <c r="M203" i="3"/>
  <c r="J214" i="3"/>
  <c r="J213" i="3"/>
  <c r="J212" i="3"/>
  <c r="J207" i="3"/>
  <c r="J206" i="3"/>
  <c r="J205" i="3"/>
  <c r="J204" i="3"/>
  <c r="J203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J202" i="3"/>
  <c r="J201" i="3"/>
  <c r="J200" i="3"/>
  <c r="J199" i="3"/>
  <c r="J198" i="3"/>
  <c r="J197" i="3"/>
  <c r="J196" i="3"/>
  <c r="J195" i="3"/>
  <c r="J194" i="3"/>
  <c r="J193" i="3"/>
  <c r="J192" i="3"/>
  <c r="J191" i="3"/>
  <c r="J190" i="3"/>
  <c r="M190" i="3"/>
  <c r="M186" i="3"/>
  <c r="M185" i="3"/>
  <c r="M184" i="3"/>
  <c r="M183" i="3"/>
  <c r="J186" i="3"/>
  <c r="J185" i="3"/>
  <c r="J184" i="3"/>
  <c r="J183" i="3"/>
  <c r="M189" i="3"/>
  <c r="J189" i="3"/>
  <c r="H372" i="3"/>
  <c r="G372" i="3"/>
  <c r="F372" i="3"/>
  <c r="E372" i="3"/>
  <c r="D372" i="3"/>
  <c r="C372" i="3"/>
  <c r="H371" i="3"/>
  <c r="G371" i="3"/>
  <c r="F371" i="3"/>
  <c r="E371" i="3"/>
  <c r="D371" i="3"/>
  <c r="C371" i="3"/>
  <c r="H370" i="3"/>
  <c r="G370" i="3"/>
  <c r="F370" i="3"/>
  <c r="E370" i="3"/>
  <c r="D370" i="3"/>
  <c r="C370" i="3"/>
  <c r="H373" i="3"/>
  <c r="G373" i="3"/>
  <c r="F373" i="3"/>
  <c r="E373" i="3"/>
  <c r="D373" i="3"/>
  <c r="C373" i="3"/>
  <c r="H369" i="3"/>
  <c r="G369" i="3"/>
  <c r="F369" i="3"/>
  <c r="E369" i="3"/>
  <c r="D369" i="3"/>
  <c r="C369" i="3"/>
  <c r="H380" i="3"/>
  <c r="G380" i="3"/>
  <c r="F380" i="3"/>
  <c r="E380" i="3"/>
  <c r="D380" i="3"/>
  <c r="C380" i="3"/>
  <c r="H379" i="3"/>
  <c r="G379" i="3"/>
  <c r="F379" i="3"/>
  <c r="E379" i="3"/>
  <c r="D379" i="3"/>
  <c r="C379" i="3"/>
  <c r="H378" i="3"/>
  <c r="G378" i="3"/>
  <c r="F378" i="3"/>
  <c r="E378" i="3"/>
  <c r="D378" i="3"/>
  <c r="C378" i="3"/>
  <c r="H377" i="3"/>
  <c r="G377" i="3"/>
  <c r="F377" i="3"/>
  <c r="E377" i="3"/>
  <c r="D377" i="3"/>
  <c r="C377" i="3"/>
  <c r="H376" i="3"/>
  <c r="G376" i="3"/>
  <c r="F376" i="3"/>
  <c r="E376" i="3"/>
  <c r="D376" i="3"/>
  <c r="C376" i="3"/>
  <c r="H375" i="3"/>
  <c r="G375" i="3"/>
  <c r="F375" i="3"/>
  <c r="E375" i="3"/>
  <c r="D375" i="3"/>
  <c r="C375" i="3"/>
  <c r="H374" i="3"/>
  <c r="G374" i="3"/>
  <c r="F374" i="3"/>
  <c r="E374" i="3"/>
  <c r="D374" i="3"/>
  <c r="C374" i="3"/>
  <c r="H368" i="3"/>
  <c r="G368" i="3"/>
  <c r="F368" i="3"/>
  <c r="E368" i="3"/>
  <c r="D368" i="3"/>
  <c r="C368" i="3"/>
  <c r="H367" i="3"/>
  <c r="G367" i="3"/>
  <c r="F367" i="3"/>
  <c r="E367" i="3"/>
  <c r="D367" i="3"/>
  <c r="C367" i="3"/>
  <c r="H366" i="3"/>
  <c r="G366" i="3"/>
  <c r="F366" i="3"/>
  <c r="E366" i="3"/>
  <c r="D366" i="3"/>
  <c r="C366" i="3"/>
  <c r="H365" i="3"/>
  <c r="G365" i="3"/>
  <c r="F365" i="3"/>
  <c r="E365" i="3"/>
  <c r="D365" i="3"/>
  <c r="C365" i="3"/>
  <c r="H364" i="3"/>
  <c r="G364" i="3"/>
  <c r="F364" i="3"/>
  <c r="E364" i="3"/>
  <c r="D364" i="3"/>
  <c r="C364" i="3"/>
  <c r="H363" i="3"/>
  <c r="G363" i="3"/>
  <c r="F363" i="3"/>
  <c r="E363" i="3"/>
  <c r="D363" i="3"/>
  <c r="C363" i="3"/>
  <c r="M188" i="3"/>
  <c r="J188" i="3"/>
  <c r="H188" i="3"/>
  <c r="G188" i="3"/>
  <c r="F188" i="3"/>
  <c r="E188" i="3"/>
  <c r="D188" i="3"/>
  <c r="C188" i="3"/>
  <c r="M187" i="3"/>
  <c r="J187" i="3"/>
  <c r="H187" i="3"/>
  <c r="G187" i="3"/>
  <c r="F187" i="3"/>
  <c r="E187" i="3"/>
  <c r="D187" i="3"/>
  <c r="C187" i="3"/>
  <c r="H186" i="3"/>
  <c r="G186" i="3"/>
  <c r="F186" i="3"/>
  <c r="E186" i="3"/>
  <c r="D186" i="3"/>
  <c r="C186" i="3"/>
  <c r="H185" i="3"/>
  <c r="G185" i="3"/>
  <c r="F185" i="3"/>
  <c r="E185" i="3"/>
  <c r="D185" i="3"/>
  <c r="C185" i="3"/>
  <c r="H184" i="3"/>
  <c r="G184" i="3"/>
  <c r="F184" i="3"/>
  <c r="E184" i="3"/>
  <c r="D184" i="3"/>
  <c r="C184" i="3"/>
  <c r="H183" i="3"/>
  <c r="G183" i="3"/>
  <c r="F183" i="3"/>
  <c r="E183" i="3"/>
  <c r="D183" i="3"/>
  <c r="C183" i="3"/>
  <c r="M182" i="3"/>
  <c r="J182" i="3"/>
  <c r="H182" i="3"/>
  <c r="G182" i="3"/>
  <c r="F182" i="3"/>
  <c r="E182" i="3"/>
  <c r="D182" i="3"/>
  <c r="C182" i="3"/>
  <c r="M181" i="3"/>
  <c r="J181" i="3"/>
  <c r="H181" i="3"/>
  <c r="G181" i="3"/>
  <c r="F181" i="3"/>
  <c r="E181" i="3"/>
  <c r="D181" i="3"/>
  <c r="C181" i="3"/>
  <c r="M180" i="3"/>
  <c r="J180" i="3"/>
  <c r="H180" i="3"/>
  <c r="G180" i="3"/>
  <c r="F180" i="3"/>
  <c r="E180" i="3"/>
  <c r="D180" i="3"/>
  <c r="C180" i="3"/>
  <c r="M179" i="3"/>
  <c r="J179" i="3"/>
  <c r="H179" i="3"/>
  <c r="G179" i="3"/>
  <c r="F179" i="3"/>
  <c r="E179" i="3"/>
  <c r="D179" i="3"/>
  <c r="C179" i="3"/>
  <c r="M178" i="3"/>
  <c r="J178" i="3"/>
  <c r="H178" i="3"/>
  <c r="G178" i="3"/>
  <c r="F178" i="3"/>
  <c r="E178" i="3"/>
  <c r="D178" i="3"/>
  <c r="C178" i="3"/>
  <c r="M177" i="3"/>
  <c r="J177" i="3"/>
  <c r="H177" i="3"/>
  <c r="G177" i="3"/>
  <c r="F177" i="3"/>
  <c r="E177" i="3"/>
  <c r="D177" i="3"/>
  <c r="C177" i="3"/>
  <c r="M176" i="3"/>
  <c r="J176" i="3"/>
  <c r="H176" i="3"/>
  <c r="G176" i="3"/>
  <c r="F176" i="3"/>
  <c r="E176" i="3"/>
  <c r="D176" i="3"/>
  <c r="C176" i="3"/>
  <c r="M175" i="3"/>
  <c r="J175" i="3"/>
  <c r="H175" i="3"/>
  <c r="G175" i="3"/>
  <c r="F175" i="3"/>
  <c r="E175" i="3"/>
  <c r="D175" i="3"/>
  <c r="C175" i="3"/>
  <c r="M174" i="3"/>
  <c r="J174" i="3"/>
  <c r="H174" i="3"/>
  <c r="G174" i="3"/>
  <c r="F174" i="3"/>
  <c r="E174" i="3"/>
  <c r="D174" i="3"/>
  <c r="C174" i="3"/>
  <c r="M173" i="3"/>
  <c r="J173" i="3"/>
  <c r="H173" i="3"/>
  <c r="G173" i="3"/>
  <c r="F173" i="3"/>
  <c r="E173" i="3"/>
  <c r="D173" i="3"/>
  <c r="C173" i="3"/>
  <c r="M172" i="3"/>
  <c r="J172" i="3"/>
  <c r="H172" i="3"/>
  <c r="G172" i="3"/>
  <c r="F172" i="3"/>
  <c r="E172" i="3"/>
  <c r="D172" i="3"/>
  <c r="C172" i="3"/>
  <c r="M171" i="3"/>
  <c r="J171" i="3"/>
  <c r="H171" i="3"/>
  <c r="G171" i="3"/>
  <c r="F171" i="3"/>
  <c r="E171" i="3"/>
  <c r="D171" i="3"/>
  <c r="C171" i="3"/>
  <c r="M170" i="3"/>
  <c r="J170" i="3"/>
  <c r="H170" i="3"/>
  <c r="G170" i="3"/>
  <c r="F170" i="3"/>
  <c r="E170" i="3"/>
  <c r="D170" i="3"/>
  <c r="C170" i="3"/>
  <c r="H362" i="3"/>
  <c r="G362" i="3"/>
  <c r="F362" i="3"/>
  <c r="E362" i="3"/>
  <c r="D362" i="3"/>
  <c r="C362" i="3"/>
  <c r="H361" i="3"/>
  <c r="G361" i="3"/>
  <c r="F361" i="3"/>
  <c r="E361" i="3"/>
  <c r="D361" i="3"/>
  <c r="C361" i="3"/>
  <c r="H360" i="3"/>
  <c r="G360" i="3"/>
  <c r="F360" i="3"/>
  <c r="E360" i="3"/>
  <c r="D360" i="3"/>
  <c r="C360" i="3"/>
  <c r="H359" i="3"/>
  <c r="G359" i="3"/>
  <c r="F359" i="3"/>
  <c r="E359" i="3"/>
  <c r="D359" i="3"/>
  <c r="C359" i="3"/>
  <c r="H358" i="3"/>
  <c r="G358" i="3"/>
  <c r="F358" i="3"/>
  <c r="E358" i="3"/>
  <c r="D358" i="3"/>
  <c r="C358" i="3"/>
  <c r="H357" i="3"/>
  <c r="G357" i="3"/>
  <c r="F357" i="3"/>
  <c r="E357" i="3"/>
  <c r="D357" i="3"/>
  <c r="C357" i="3"/>
  <c r="H356" i="3"/>
  <c r="G356" i="3"/>
  <c r="F356" i="3"/>
  <c r="E356" i="3"/>
  <c r="D356" i="3"/>
  <c r="C356" i="3"/>
  <c r="H355" i="3"/>
  <c r="G355" i="3"/>
  <c r="F355" i="3"/>
  <c r="E355" i="3"/>
  <c r="D355" i="3"/>
  <c r="C355" i="3"/>
  <c r="H354" i="3"/>
  <c r="G354" i="3"/>
  <c r="F354" i="3"/>
  <c r="E354" i="3"/>
  <c r="D354" i="3"/>
  <c r="C354" i="3"/>
  <c r="H353" i="3"/>
  <c r="G353" i="3"/>
  <c r="F353" i="3"/>
  <c r="E353" i="3"/>
  <c r="D353" i="3"/>
  <c r="C353" i="3"/>
  <c r="H352" i="3"/>
  <c r="G352" i="3"/>
  <c r="F352" i="3"/>
  <c r="E352" i="3"/>
  <c r="D352" i="3"/>
  <c r="C352" i="3"/>
  <c r="H351" i="3"/>
  <c r="G351" i="3"/>
  <c r="F351" i="3"/>
  <c r="E351" i="3"/>
  <c r="D351" i="3"/>
  <c r="C351" i="3"/>
  <c r="H350" i="3"/>
  <c r="G350" i="3"/>
  <c r="F350" i="3"/>
  <c r="E350" i="3"/>
  <c r="D350" i="3"/>
  <c r="C350" i="3"/>
  <c r="H349" i="3"/>
  <c r="G349" i="3"/>
  <c r="F349" i="3"/>
  <c r="E349" i="3"/>
  <c r="D349" i="3"/>
  <c r="C349" i="3"/>
  <c r="H348" i="3"/>
  <c r="G348" i="3"/>
  <c r="F348" i="3"/>
  <c r="E348" i="3"/>
  <c r="D348" i="3"/>
  <c r="C348" i="3"/>
  <c r="H347" i="3"/>
  <c r="G347" i="3"/>
  <c r="F347" i="3"/>
  <c r="E347" i="3"/>
  <c r="D347" i="3"/>
  <c r="C347" i="3"/>
  <c r="H346" i="3"/>
  <c r="G346" i="3"/>
  <c r="F346" i="3"/>
  <c r="E346" i="3"/>
  <c r="D346" i="3"/>
  <c r="C346" i="3"/>
  <c r="H345" i="3"/>
  <c r="G345" i="3"/>
  <c r="F345" i="3"/>
  <c r="E345" i="3"/>
  <c r="D345" i="3"/>
  <c r="C345" i="3"/>
  <c r="H344" i="3"/>
  <c r="G344" i="3"/>
  <c r="F344" i="3"/>
  <c r="E344" i="3"/>
  <c r="D344" i="3"/>
  <c r="C344" i="3"/>
  <c r="H343" i="3"/>
  <c r="G343" i="3"/>
  <c r="F343" i="3"/>
  <c r="E343" i="3"/>
  <c r="D343" i="3"/>
  <c r="C343" i="3"/>
  <c r="H342" i="3"/>
  <c r="G342" i="3"/>
  <c r="F342" i="3"/>
  <c r="E342" i="3"/>
  <c r="D342" i="3"/>
  <c r="C342" i="3"/>
  <c r="H341" i="3"/>
  <c r="G341" i="3"/>
  <c r="F341" i="3"/>
  <c r="E341" i="3"/>
  <c r="D341" i="3"/>
  <c r="C341" i="3"/>
  <c r="H340" i="3"/>
  <c r="G340" i="3"/>
  <c r="F340" i="3"/>
  <c r="E340" i="3"/>
  <c r="D340" i="3"/>
  <c r="C340" i="3"/>
  <c r="H339" i="3"/>
  <c r="G339" i="3"/>
  <c r="F339" i="3"/>
  <c r="E339" i="3"/>
  <c r="D339" i="3"/>
  <c r="C339" i="3"/>
  <c r="H338" i="3"/>
  <c r="G338" i="3"/>
  <c r="F338" i="3"/>
  <c r="E338" i="3"/>
  <c r="D338" i="3"/>
  <c r="C338" i="3"/>
  <c r="H337" i="3"/>
  <c r="G337" i="3"/>
  <c r="F337" i="3"/>
  <c r="E337" i="3"/>
  <c r="D337" i="3"/>
  <c r="C337" i="3"/>
  <c r="H336" i="3"/>
  <c r="G336" i="3"/>
  <c r="F336" i="3"/>
  <c r="E336" i="3"/>
  <c r="D336" i="3"/>
  <c r="C336" i="3"/>
  <c r="H335" i="3"/>
  <c r="G335" i="3"/>
  <c r="F335" i="3"/>
  <c r="E335" i="3"/>
  <c r="D335" i="3"/>
  <c r="C335" i="3"/>
  <c r="J169" i="3"/>
  <c r="J168" i="3"/>
  <c r="J167" i="3"/>
  <c r="J166" i="3"/>
  <c r="J165" i="3"/>
  <c r="J164" i="3"/>
  <c r="J163" i="3"/>
  <c r="J162" i="3"/>
  <c r="M169" i="3"/>
  <c r="M168" i="3"/>
  <c r="M167" i="3"/>
  <c r="M166" i="3"/>
  <c r="M165" i="3"/>
  <c r="M164" i="3"/>
  <c r="M163" i="3"/>
  <c r="M162" i="3"/>
  <c r="J144" i="3" l="1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34" i="3"/>
  <c r="J135" i="3"/>
  <c r="J136" i="3"/>
  <c r="J137" i="3"/>
  <c r="J138" i="3"/>
  <c r="J139" i="3"/>
  <c r="J140" i="3"/>
  <c r="J141" i="3"/>
  <c r="J142" i="3"/>
  <c r="J143" i="3"/>
  <c r="J130" i="3"/>
  <c r="J131" i="3"/>
  <c r="J132" i="3"/>
  <c r="J133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C3" i="3"/>
  <c r="D3" i="3"/>
  <c r="E3" i="3"/>
  <c r="F3" i="3"/>
  <c r="G3" i="3"/>
  <c r="H3" i="3"/>
  <c r="C4" i="3"/>
  <c r="D4" i="3"/>
  <c r="E4" i="3"/>
  <c r="F4" i="3"/>
  <c r="G4" i="3"/>
  <c r="H4" i="3"/>
  <c r="C5" i="3"/>
  <c r="D5" i="3"/>
  <c r="E5" i="3"/>
  <c r="F5" i="3"/>
  <c r="G5" i="3"/>
  <c r="H5" i="3"/>
  <c r="C6" i="3"/>
  <c r="D6" i="3"/>
  <c r="E6" i="3"/>
  <c r="F6" i="3"/>
  <c r="G6" i="3"/>
  <c r="H6" i="3"/>
  <c r="C7" i="3"/>
  <c r="D7" i="3"/>
  <c r="E7" i="3"/>
  <c r="F7" i="3"/>
  <c r="G7" i="3"/>
  <c r="H7" i="3"/>
  <c r="C8" i="3"/>
  <c r="D8" i="3"/>
  <c r="E8" i="3"/>
  <c r="F8" i="3"/>
  <c r="G8" i="3"/>
  <c r="H8" i="3"/>
  <c r="C9" i="3"/>
  <c r="D9" i="3"/>
  <c r="E9" i="3"/>
  <c r="F9" i="3"/>
  <c r="G9" i="3"/>
  <c r="H9" i="3"/>
  <c r="C10" i="3"/>
  <c r="D10" i="3"/>
  <c r="E10" i="3"/>
  <c r="F10" i="3"/>
  <c r="G10" i="3"/>
  <c r="H10" i="3"/>
  <c r="C11" i="3"/>
  <c r="D11" i="3"/>
  <c r="E11" i="3"/>
  <c r="F11" i="3"/>
  <c r="G11" i="3"/>
  <c r="H11" i="3"/>
  <c r="C12" i="3"/>
  <c r="D12" i="3"/>
  <c r="E12" i="3"/>
  <c r="F12" i="3"/>
  <c r="G12" i="3"/>
  <c r="H12" i="3"/>
  <c r="C13" i="3"/>
  <c r="D13" i="3"/>
  <c r="E13" i="3"/>
  <c r="F13" i="3"/>
  <c r="G13" i="3"/>
  <c r="H13" i="3"/>
  <c r="C14" i="3"/>
  <c r="D14" i="3"/>
  <c r="E14" i="3"/>
  <c r="F14" i="3"/>
  <c r="G14" i="3"/>
  <c r="H14" i="3"/>
  <c r="C15" i="3"/>
  <c r="D15" i="3"/>
  <c r="E15" i="3"/>
  <c r="F15" i="3"/>
  <c r="G15" i="3"/>
  <c r="H15" i="3"/>
  <c r="C16" i="3"/>
  <c r="D16" i="3"/>
  <c r="E16" i="3"/>
  <c r="F16" i="3"/>
  <c r="G16" i="3"/>
  <c r="H16" i="3"/>
  <c r="C17" i="3"/>
  <c r="D17" i="3"/>
  <c r="E17" i="3"/>
  <c r="F17" i="3"/>
  <c r="G17" i="3"/>
  <c r="H17" i="3"/>
  <c r="C18" i="3"/>
  <c r="D18" i="3"/>
  <c r="E18" i="3"/>
  <c r="F18" i="3"/>
  <c r="G18" i="3"/>
  <c r="H18" i="3"/>
  <c r="C19" i="3"/>
  <c r="D19" i="3"/>
  <c r="E19" i="3"/>
  <c r="F19" i="3"/>
  <c r="G19" i="3"/>
  <c r="H19" i="3"/>
  <c r="C20" i="3"/>
  <c r="D20" i="3"/>
  <c r="E20" i="3"/>
  <c r="F20" i="3"/>
  <c r="G20" i="3"/>
  <c r="H20" i="3"/>
  <c r="C21" i="3"/>
  <c r="D21" i="3"/>
  <c r="E21" i="3"/>
  <c r="F21" i="3"/>
  <c r="G21" i="3"/>
  <c r="H21" i="3"/>
  <c r="C22" i="3"/>
  <c r="D22" i="3"/>
  <c r="E22" i="3"/>
  <c r="F22" i="3"/>
  <c r="G22" i="3"/>
  <c r="H22" i="3"/>
  <c r="C23" i="3"/>
  <c r="D23" i="3"/>
  <c r="E23" i="3"/>
  <c r="F23" i="3"/>
  <c r="G23" i="3"/>
  <c r="H23" i="3"/>
  <c r="C24" i="3"/>
  <c r="D24" i="3"/>
  <c r="E24" i="3"/>
  <c r="F24" i="3"/>
  <c r="G24" i="3"/>
  <c r="H24" i="3"/>
  <c r="C25" i="3"/>
  <c r="D25" i="3"/>
  <c r="E25" i="3"/>
  <c r="F25" i="3"/>
  <c r="G25" i="3"/>
  <c r="H25" i="3"/>
  <c r="C26" i="3"/>
  <c r="D26" i="3"/>
  <c r="E26" i="3"/>
  <c r="F26" i="3"/>
  <c r="G26" i="3"/>
  <c r="H26" i="3"/>
  <c r="C27" i="3"/>
  <c r="D27" i="3"/>
  <c r="E27" i="3"/>
  <c r="F27" i="3"/>
  <c r="G27" i="3"/>
  <c r="H27" i="3"/>
  <c r="C28" i="3"/>
  <c r="D28" i="3"/>
  <c r="E28" i="3"/>
  <c r="F28" i="3"/>
  <c r="G28" i="3"/>
  <c r="H28" i="3"/>
  <c r="C29" i="3"/>
  <c r="D29" i="3"/>
  <c r="E29" i="3"/>
  <c r="F29" i="3"/>
  <c r="G29" i="3"/>
  <c r="H29" i="3"/>
  <c r="C30" i="3"/>
  <c r="D30" i="3"/>
  <c r="E30" i="3"/>
  <c r="F30" i="3"/>
  <c r="G30" i="3"/>
  <c r="H30" i="3"/>
  <c r="C31" i="3"/>
  <c r="D31" i="3"/>
  <c r="E31" i="3"/>
  <c r="F31" i="3"/>
  <c r="G31" i="3"/>
  <c r="H31" i="3"/>
  <c r="C32" i="3"/>
  <c r="D32" i="3"/>
  <c r="E32" i="3"/>
  <c r="F32" i="3"/>
  <c r="G32" i="3"/>
  <c r="H32" i="3"/>
  <c r="C33" i="3"/>
  <c r="D33" i="3"/>
  <c r="E33" i="3"/>
  <c r="F33" i="3"/>
  <c r="G33" i="3"/>
  <c r="H33" i="3"/>
  <c r="C34" i="3"/>
  <c r="D34" i="3"/>
  <c r="E34" i="3"/>
  <c r="F34" i="3"/>
  <c r="G34" i="3"/>
  <c r="H34" i="3"/>
  <c r="C35" i="3"/>
  <c r="D35" i="3"/>
  <c r="E35" i="3"/>
  <c r="F35" i="3"/>
  <c r="G35" i="3"/>
  <c r="H35" i="3"/>
  <c r="C36" i="3"/>
  <c r="D36" i="3"/>
  <c r="E36" i="3"/>
  <c r="F36" i="3"/>
  <c r="G36" i="3"/>
  <c r="H36" i="3"/>
  <c r="C37" i="3"/>
  <c r="D37" i="3"/>
  <c r="E37" i="3"/>
  <c r="F37" i="3"/>
  <c r="G37" i="3"/>
  <c r="H37" i="3"/>
  <c r="C38" i="3"/>
  <c r="D38" i="3"/>
  <c r="E38" i="3"/>
  <c r="F38" i="3"/>
  <c r="G38" i="3"/>
  <c r="H38" i="3"/>
  <c r="C39" i="3"/>
  <c r="D39" i="3"/>
  <c r="E39" i="3"/>
  <c r="F39" i="3"/>
  <c r="G39" i="3"/>
  <c r="H39" i="3"/>
  <c r="C40" i="3"/>
  <c r="D40" i="3"/>
  <c r="E40" i="3"/>
  <c r="F40" i="3"/>
  <c r="G40" i="3"/>
  <c r="H40" i="3"/>
  <c r="C41" i="3"/>
  <c r="D41" i="3"/>
  <c r="E41" i="3"/>
  <c r="F41" i="3"/>
  <c r="G41" i="3"/>
  <c r="H41" i="3"/>
  <c r="C42" i="3"/>
  <c r="D42" i="3"/>
  <c r="E42" i="3"/>
  <c r="F42" i="3"/>
  <c r="G42" i="3"/>
  <c r="H42" i="3"/>
  <c r="C43" i="3"/>
  <c r="D43" i="3"/>
  <c r="E43" i="3"/>
  <c r="F43" i="3"/>
  <c r="G43" i="3"/>
  <c r="H43" i="3"/>
  <c r="C44" i="3"/>
  <c r="D44" i="3"/>
  <c r="E44" i="3"/>
  <c r="F44" i="3"/>
  <c r="G44" i="3"/>
  <c r="H44" i="3"/>
  <c r="C45" i="3"/>
  <c r="D45" i="3"/>
  <c r="E45" i="3"/>
  <c r="F45" i="3"/>
  <c r="G45" i="3"/>
  <c r="H45" i="3"/>
  <c r="C46" i="3"/>
  <c r="D46" i="3"/>
  <c r="E46" i="3"/>
  <c r="F46" i="3"/>
  <c r="G46" i="3"/>
  <c r="H46" i="3"/>
  <c r="C47" i="3"/>
  <c r="D47" i="3"/>
  <c r="E47" i="3"/>
  <c r="F47" i="3"/>
  <c r="G47" i="3"/>
  <c r="H47" i="3"/>
  <c r="C48" i="3"/>
  <c r="D48" i="3"/>
  <c r="E48" i="3"/>
  <c r="F48" i="3"/>
  <c r="G48" i="3"/>
  <c r="H48" i="3"/>
  <c r="C49" i="3"/>
  <c r="D49" i="3"/>
  <c r="E49" i="3"/>
  <c r="F49" i="3"/>
  <c r="G49" i="3"/>
  <c r="H49" i="3"/>
  <c r="C50" i="3"/>
  <c r="D50" i="3"/>
  <c r="E50" i="3"/>
  <c r="F50" i="3"/>
  <c r="G50" i="3"/>
  <c r="H50" i="3"/>
  <c r="C51" i="3"/>
  <c r="D51" i="3"/>
  <c r="E51" i="3"/>
  <c r="F51" i="3"/>
  <c r="G51" i="3"/>
  <c r="H51" i="3"/>
  <c r="C52" i="3"/>
  <c r="D52" i="3"/>
  <c r="E52" i="3"/>
  <c r="F52" i="3"/>
  <c r="G52" i="3"/>
  <c r="H52" i="3"/>
  <c r="C53" i="3"/>
  <c r="D53" i="3"/>
  <c r="E53" i="3"/>
  <c r="F53" i="3"/>
  <c r="G53" i="3"/>
  <c r="H53" i="3"/>
  <c r="C54" i="3"/>
  <c r="D54" i="3"/>
  <c r="E54" i="3"/>
  <c r="F54" i="3"/>
  <c r="G54" i="3"/>
  <c r="H54" i="3"/>
  <c r="C55" i="3"/>
  <c r="D55" i="3"/>
  <c r="E55" i="3"/>
  <c r="F55" i="3"/>
  <c r="G55" i="3"/>
  <c r="H55" i="3"/>
  <c r="C56" i="3"/>
  <c r="D56" i="3"/>
  <c r="E56" i="3"/>
  <c r="F56" i="3"/>
  <c r="G56" i="3"/>
  <c r="H56" i="3"/>
  <c r="C57" i="3"/>
  <c r="D57" i="3"/>
  <c r="E57" i="3"/>
  <c r="F57" i="3"/>
  <c r="G57" i="3"/>
  <c r="H57" i="3"/>
  <c r="C58" i="3"/>
  <c r="D58" i="3"/>
  <c r="E58" i="3"/>
  <c r="F58" i="3"/>
  <c r="G58" i="3"/>
  <c r="H58" i="3"/>
  <c r="C59" i="3"/>
  <c r="D59" i="3"/>
  <c r="E59" i="3"/>
  <c r="F59" i="3"/>
  <c r="G59" i="3"/>
  <c r="H59" i="3"/>
  <c r="C60" i="3"/>
  <c r="D60" i="3"/>
  <c r="E60" i="3"/>
  <c r="F60" i="3"/>
  <c r="G60" i="3"/>
  <c r="H60" i="3"/>
  <c r="C61" i="3"/>
  <c r="D61" i="3"/>
  <c r="E61" i="3"/>
  <c r="F61" i="3"/>
  <c r="G61" i="3"/>
  <c r="H61" i="3"/>
  <c r="C62" i="3"/>
  <c r="D62" i="3"/>
  <c r="E62" i="3"/>
  <c r="F62" i="3"/>
  <c r="G62" i="3"/>
  <c r="H62" i="3"/>
  <c r="C63" i="3"/>
  <c r="D63" i="3"/>
  <c r="E63" i="3"/>
  <c r="F63" i="3"/>
  <c r="G63" i="3"/>
  <c r="H63" i="3"/>
  <c r="C64" i="3"/>
  <c r="D64" i="3"/>
  <c r="E64" i="3"/>
  <c r="F64" i="3"/>
  <c r="G64" i="3"/>
  <c r="H64" i="3"/>
  <c r="C65" i="3"/>
  <c r="D65" i="3"/>
  <c r="E65" i="3"/>
  <c r="F65" i="3"/>
  <c r="G65" i="3"/>
  <c r="H65" i="3"/>
  <c r="C66" i="3"/>
  <c r="D66" i="3"/>
  <c r="E66" i="3"/>
  <c r="F66" i="3"/>
  <c r="G66" i="3"/>
  <c r="H66" i="3"/>
  <c r="C67" i="3"/>
  <c r="D67" i="3"/>
  <c r="E67" i="3"/>
  <c r="F67" i="3"/>
  <c r="G67" i="3"/>
  <c r="H67" i="3"/>
  <c r="C68" i="3"/>
  <c r="D68" i="3"/>
  <c r="E68" i="3"/>
  <c r="F68" i="3"/>
  <c r="G68" i="3"/>
  <c r="H68" i="3"/>
  <c r="C69" i="3"/>
  <c r="D69" i="3"/>
  <c r="E69" i="3"/>
  <c r="F69" i="3"/>
  <c r="G69" i="3"/>
  <c r="H69" i="3"/>
  <c r="C70" i="3"/>
  <c r="D70" i="3"/>
  <c r="E70" i="3"/>
  <c r="F70" i="3"/>
  <c r="G70" i="3"/>
  <c r="H70" i="3"/>
  <c r="C71" i="3"/>
  <c r="D71" i="3"/>
  <c r="E71" i="3"/>
  <c r="F71" i="3"/>
  <c r="G71" i="3"/>
  <c r="H71" i="3"/>
  <c r="C72" i="3"/>
  <c r="D72" i="3"/>
  <c r="E72" i="3"/>
  <c r="F72" i="3"/>
  <c r="G72" i="3"/>
  <c r="H72" i="3"/>
  <c r="C73" i="3"/>
  <c r="D73" i="3"/>
  <c r="E73" i="3"/>
  <c r="F73" i="3"/>
  <c r="G73" i="3"/>
  <c r="H73" i="3"/>
  <c r="C74" i="3"/>
  <c r="D74" i="3"/>
  <c r="E74" i="3"/>
  <c r="F74" i="3"/>
  <c r="G74" i="3"/>
  <c r="H74" i="3"/>
  <c r="C75" i="3"/>
  <c r="D75" i="3"/>
  <c r="E75" i="3"/>
  <c r="F75" i="3"/>
  <c r="G75" i="3"/>
  <c r="H75" i="3"/>
  <c r="C76" i="3"/>
  <c r="D76" i="3"/>
  <c r="E76" i="3"/>
  <c r="F76" i="3"/>
  <c r="G76" i="3"/>
  <c r="H76" i="3"/>
  <c r="C77" i="3"/>
  <c r="D77" i="3"/>
  <c r="E77" i="3"/>
  <c r="F77" i="3"/>
  <c r="G77" i="3"/>
  <c r="H77" i="3"/>
  <c r="C78" i="3"/>
  <c r="D78" i="3"/>
  <c r="E78" i="3"/>
  <c r="F78" i="3"/>
  <c r="G78" i="3"/>
  <c r="H78" i="3"/>
  <c r="C79" i="3"/>
  <c r="D79" i="3"/>
  <c r="E79" i="3"/>
  <c r="F79" i="3"/>
  <c r="G79" i="3"/>
  <c r="H79" i="3"/>
  <c r="C80" i="3"/>
  <c r="D80" i="3"/>
  <c r="E80" i="3"/>
  <c r="F80" i="3"/>
  <c r="G80" i="3"/>
  <c r="H80" i="3"/>
  <c r="C81" i="3"/>
  <c r="D81" i="3"/>
  <c r="E81" i="3"/>
  <c r="F81" i="3"/>
  <c r="G81" i="3"/>
  <c r="H81" i="3"/>
  <c r="C82" i="3"/>
  <c r="D82" i="3"/>
  <c r="E82" i="3"/>
  <c r="F82" i="3"/>
  <c r="G82" i="3"/>
  <c r="H82" i="3"/>
  <c r="C83" i="3"/>
  <c r="D83" i="3"/>
  <c r="E83" i="3"/>
  <c r="F83" i="3"/>
  <c r="G83" i="3"/>
  <c r="H83" i="3"/>
  <c r="C84" i="3"/>
  <c r="D84" i="3"/>
  <c r="E84" i="3"/>
  <c r="F84" i="3"/>
  <c r="G84" i="3"/>
  <c r="H84" i="3"/>
  <c r="C85" i="3"/>
  <c r="D85" i="3"/>
  <c r="E85" i="3"/>
  <c r="F85" i="3"/>
  <c r="G85" i="3"/>
  <c r="H85" i="3"/>
  <c r="C86" i="3"/>
  <c r="D86" i="3"/>
  <c r="E86" i="3"/>
  <c r="F86" i="3"/>
  <c r="G86" i="3"/>
  <c r="H86" i="3"/>
  <c r="C87" i="3"/>
  <c r="D87" i="3"/>
  <c r="E87" i="3"/>
  <c r="F87" i="3"/>
  <c r="G87" i="3"/>
  <c r="H87" i="3"/>
  <c r="C88" i="3"/>
  <c r="D88" i="3"/>
  <c r="E88" i="3"/>
  <c r="F88" i="3"/>
  <c r="G88" i="3"/>
  <c r="H88" i="3"/>
  <c r="C89" i="3"/>
  <c r="D89" i="3"/>
  <c r="E89" i="3"/>
  <c r="F89" i="3"/>
  <c r="G89" i="3"/>
  <c r="H89" i="3"/>
  <c r="C90" i="3"/>
  <c r="D90" i="3"/>
  <c r="E90" i="3"/>
  <c r="F90" i="3"/>
  <c r="G90" i="3"/>
  <c r="H90" i="3"/>
  <c r="C91" i="3"/>
  <c r="D91" i="3"/>
  <c r="E91" i="3"/>
  <c r="F91" i="3"/>
  <c r="G91" i="3"/>
  <c r="H91" i="3"/>
  <c r="C92" i="3"/>
  <c r="D92" i="3"/>
  <c r="E92" i="3"/>
  <c r="F92" i="3"/>
  <c r="G92" i="3"/>
  <c r="H92" i="3"/>
  <c r="C93" i="3"/>
  <c r="D93" i="3"/>
  <c r="E93" i="3"/>
  <c r="F93" i="3"/>
  <c r="G93" i="3"/>
  <c r="H93" i="3"/>
  <c r="C94" i="3"/>
  <c r="D94" i="3"/>
  <c r="E94" i="3"/>
  <c r="F94" i="3"/>
  <c r="G94" i="3"/>
  <c r="H94" i="3"/>
  <c r="C95" i="3"/>
  <c r="D95" i="3"/>
  <c r="E95" i="3"/>
  <c r="F95" i="3"/>
  <c r="G95" i="3"/>
  <c r="H95" i="3"/>
  <c r="C96" i="3"/>
  <c r="D96" i="3"/>
  <c r="E96" i="3"/>
  <c r="F96" i="3"/>
  <c r="G96" i="3"/>
  <c r="H96" i="3"/>
  <c r="C97" i="3"/>
  <c r="D97" i="3"/>
  <c r="E97" i="3"/>
  <c r="F97" i="3"/>
  <c r="G97" i="3"/>
  <c r="H97" i="3"/>
  <c r="C98" i="3"/>
  <c r="D98" i="3"/>
  <c r="E98" i="3"/>
  <c r="F98" i="3"/>
  <c r="G98" i="3"/>
  <c r="H98" i="3"/>
  <c r="C99" i="3"/>
  <c r="D99" i="3"/>
  <c r="E99" i="3"/>
  <c r="F99" i="3"/>
  <c r="G99" i="3"/>
  <c r="H99" i="3"/>
  <c r="C100" i="3"/>
  <c r="D100" i="3"/>
  <c r="E100" i="3"/>
  <c r="F100" i="3"/>
  <c r="G100" i="3"/>
  <c r="H100" i="3"/>
  <c r="C101" i="3"/>
  <c r="D101" i="3"/>
  <c r="E101" i="3"/>
  <c r="F101" i="3"/>
  <c r="G101" i="3"/>
  <c r="H101" i="3"/>
  <c r="C102" i="3"/>
  <c r="D102" i="3"/>
  <c r="E102" i="3"/>
  <c r="F102" i="3"/>
  <c r="G102" i="3"/>
  <c r="H102" i="3"/>
  <c r="C103" i="3"/>
  <c r="D103" i="3"/>
  <c r="E103" i="3"/>
  <c r="F103" i="3"/>
  <c r="G103" i="3"/>
  <c r="H103" i="3"/>
  <c r="C104" i="3"/>
  <c r="D104" i="3"/>
  <c r="E104" i="3"/>
  <c r="F104" i="3"/>
  <c r="G104" i="3"/>
  <c r="H104" i="3"/>
  <c r="C105" i="3"/>
  <c r="D105" i="3"/>
  <c r="E105" i="3"/>
  <c r="F105" i="3"/>
  <c r="G105" i="3"/>
  <c r="H105" i="3"/>
  <c r="C106" i="3"/>
  <c r="D106" i="3"/>
  <c r="E106" i="3"/>
  <c r="F106" i="3"/>
  <c r="G106" i="3"/>
  <c r="H106" i="3"/>
  <c r="C107" i="3"/>
  <c r="D107" i="3"/>
  <c r="E107" i="3"/>
  <c r="F107" i="3"/>
  <c r="G107" i="3"/>
  <c r="H107" i="3"/>
  <c r="C108" i="3"/>
  <c r="D108" i="3"/>
  <c r="E108" i="3"/>
  <c r="F108" i="3"/>
  <c r="G108" i="3"/>
  <c r="H108" i="3"/>
  <c r="C109" i="3"/>
  <c r="D109" i="3"/>
  <c r="E109" i="3"/>
  <c r="F109" i="3"/>
  <c r="G109" i="3"/>
  <c r="H109" i="3"/>
  <c r="C110" i="3"/>
  <c r="D110" i="3"/>
  <c r="E110" i="3"/>
  <c r="F110" i="3"/>
  <c r="G110" i="3"/>
  <c r="H110" i="3"/>
  <c r="C111" i="3"/>
  <c r="D111" i="3"/>
  <c r="E111" i="3"/>
  <c r="F111" i="3"/>
  <c r="G111" i="3"/>
  <c r="H111" i="3"/>
  <c r="C112" i="3"/>
  <c r="D112" i="3"/>
  <c r="E112" i="3"/>
  <c r="F112" i="3"/>
  <c r="G112" i="3"/>
  <c r="H112" i="3"/>
  <c r="C113" i="3"/>
  <c r="D113" i="3"/>
  <c r="E113" i="3"/>
  <c r="F113" i="3"/>
  <c r="G113" i="3"/>
  <c r="H113" i="3"/>
  <c r="C114" i="3"/>
  <c r="D114" i="3"/>
  <c r="E114" i="3"/>
  <c r="F114" i="3"/>
  <c r="G114" i="3"/>
  <c r="H114" i="3"/>
  <c r="C115" i="3"/>
  <c r="D115" i="3"/>
  <c r="E115" i="3"/>
  <c r="F115" i="3"/>
  <c r="G115" i="3"/>
  <c r="H115" i="3"/>
  <c r="C116" i="3"/>
  <c r="D116" i="3"/>
  <c r="E116" i="3"/>
  <c r="F116" i="3"/>
  <c r="G116" i="3"/>
  <c r="H116" i="3"/>
  <c r="C117" i="3"/>
  <c r="D117" i="3"/>
  <c r="E117" i="3"/>
  <c r="F117" i="3"/>
  <c r="G117" i="3"/>
  <c r="H117" i="3"/>
  <c r="C118" i="3"/>
  <c r="D118" i="3"/>
  <c r="E118" i="3"/>
  <c r="F118" i="3"/>
  <c r="G118" i="3"/>
  <c r="H118" i="3"/>
  <c r="C119" i="3"/>
  <c r="D119" i="3"/>
  <c r="E119" i="3"/>
  <c r="F119" i="3"/>
  <c r="G119" i="3"/>
  <c r="H119" i="3"/>
  <c r="C120" i="3"/>
  <c r="D120" i="3"/>
  <c r="E120" i="3"/>
  <c r="F120" i="3"/>
  <c r="G120" i="3"/>
  <c r="H120" i="3"/>
  <c r="C121" i="3"/>
  <c r="D121" i="3"/>
  <c r="E121" i="3"/>
  <c r="F121" i="3"/>
  <c r="G121" i="3"/>
  <c r="H121" i="3"/>
  <c r="C122" i="3"/>
  <c r="D122" i="3"/>
  <c r="E122" i="3"/>
  <c r="F122" i="3"/>
  <c r="G122" i="3"/>
  <c r="H122" i="3"/>
  <c r="C123" i="3"/>
  <c r="D123" i="3"/>
  <c r="E123" i="3"/>
  <c r="F123" i="3"/>
  <c r="G123" i="3"/>
  <c r="H123" i="3"/>
  <c r="C124" i="3"/>
  <c r="D124" i="3"/>
  <c r="E124" i="3"/>
  <c r="F124" i="3"/>
  <c r="G124" i="3"/>
  <c r="H124" i="3"/>
  <c r="C125" i="3"/>
  <c r="D125" i="3"/>
  <c r="E125" i="3"/>
  <c r="F125" i="3"/>
  <c r="G125" i="3"/>
  <c r="H125" i="3"/>
  <c r="C126" i="3"/>
  <c r="D126" i="3"/>
  <c r="E126" i="3"/>
  <c r="F126" i="3"/>
  <c r="G126" i="3"/>
  <c r="H126" i="3"/>
  <c r="C127" i="3"/>
  <c r="D127" i="3"/>
  <c r="E127" i="3"/>
  <c r="F127" i="3"/>
  <c r="G127" i="3"/>
  <c r="H127" i="3"/>
  <c r="C128" i="3"/>
  <c r="D128" i="3"/>
  <c r="E128" i="3"/>
  <c r="F128" i="3"/>
  <c r="G128" i="3"/>
  <c r="H128" i="3"/>
  <c r="C129" i="3"/>
  <c r="D129" i="3"/>
  <c r="E129" i="3"/>
  <c r="F129" i="3"/>
  <c r="G129" i="3"/>
  <c r="H129" i="3"/>
  <c r="C130" i="3"/>
  <c r="D130" i="3"/>
  <c r="E130" i="3"/>
  <c r="F130" i="3"/>
  <c r="G130" i="3"/>
  <c r="H130" i="3"/>
  <c r="C131" i="3"/>
  <c r="D131" i="3"/>
  <c r="E131" i="3"/>
  <c r="F131" i="3"/>
  <c r="G131" i="3"/>
  <c r="H131" i="3"/>
  <c r="C132" i="3"/>
  <c r="D132" i="3"/>
  <c r="E132" i="3"/>
  <c r="F132" i="3"/>
  <c r="G132" i="3"/>
  <c r="H132" i="3"/>
  <c r="C133" i="3"/>
  <c r="D133" i="3"/>
  <c r="E133" i="3"/>
  <c r="F133" i="3"/>
  <c r="G133" i="3"/>
  <c r="H133" i="3"/>
  <c r="C134" i="3"/>
  <c r="D134" i="3"/>
  <c r="E134" i="3"/>
  <c r="F134" i="3"/>
  <c r="G134" i="3"/>
  <c r="H134" i="3"/>
  <c r="C135" i="3"/>
  <c r="D135" i="3"/>
  <c r="E135" i="3"/>
  <c r="F135" i="3"/>
  <c r="G135" i="3"/>
  <c r="H135" i="3"/>
  <c r="C136" i="3"/>
  <c r="D136" i="3"/>
  <c r="E136" i="3"/>
  <c r="F136" i="3"/>
  <c r="G136" i="3"/>
  <c r="H136" i="3"/>
  <c r="C137" i="3"/>
  <c r="D137" i="3"/>
  <c r="E137" i="3"/>
  <c r="F137" i="3"/>
  <c r="G137" i="3"/>
  <c r="H137" i="3"/>
  <c r="C138" i="3"/>
  <c r="D138" i="3"/>
  <c r="E138" i="3"/>
  <c r="F138" i="3"/>
  <c r="G138" i="3"/>
  <c r="H138" i="3"/>
  <c r="C139" i="3"/>
  <c r="D139" i="3"/>
  <c r="E139" i="3"/>
  <c r="F139" i="3"/>
  <c r="G139" i="3"/>
  <c r="H139" i="3"/>
  <c r="C140" i="3"/>
  <c r="D140" i="3"/>
  <c r="E140" i="3"/>
  <c r="F140" i="3"/>
  <c r="G140" i="3"/>
  <c r="H140" i="3"/>
  <c r="C141" i="3"/>
  <c r="D141" i="3"/>
  <c r="E141" i="3"/>
  <c r="F141" i="3"/>
  <c r="G141" i="3"/>
  <c r="H141" i="3"/>
  <c r="C142" i="3"/>
  <c r="D142" i="3"/>
  <c r="E142" i="3"/>
  <c r="F142" i="3"/>
  <c r="G142" i="3"/>
  <c r="H142" i="3"/>
  <c r="C143" i="3"/>
  <c r="D143" i="3"/>
  <c r="E143" i="3"/>
  <c r="F143" i="3"/>
  <c r="G143" i="3"/>
  <c r="H143" i="3"/>
  <c r="C144" i="3"/>
  <c r="D144" i="3"/>
  <c r="E144" i="3"/>
  <c r="F144" i="3"/>
  <c r="G144" i="3"/>
  <c r="H144" i="3"/>
  <c r="C145" i="3"/>
  <c r="D145" i="3"/>
  <c r="E145" i="3"/>
  <c r="F145" i="3"/>
  <c r="G145" i="3"/>
  <c r="H145" i="3"/>
  <c r="C146" i="3"/>
  <c r="D146" i="3"/>
  <c r="E146" i="3"/>
  <c r="F146" i="3"/>
  <c r="G146" i="3"/>
  <c r="H146" i="3"/>
  <c r="C147" i="3"/>
  <c r="D147" i="3"/>
  <c r="E147" i="3"/>
  <c r="F147" i="3"/>
  <c r="G147" i="3"/>
  <c r="H147" i="3"/>
  <c r="C148" i="3"/>
  <c r="D148" i="3"/>
  <c r="E148" i="3"/>
  <c r="F148" i="3"/>
  <c r="G148" i="3"/>
  <c r="H148" i="3"/>
  <c r="C149" i="3"/>
  <c r="D149" i="3"/>
  <c r="E149" i="3"/>
  <c r="F149" i="3"/>
  <c r="G149" i="3"/>
  <c r="H149" i="3"/>
  <c r="C150" i="3"/>
  <c r="D150" i="3"/>
  <c r="E150" i="3"/>
  <c r="F150" i="3"/>
  <c r="G150" i="3"/>
  <c r="H150" i="3"/>
  <c r="C151" i="3"/>
  <c r="D151" i="3"/>
  <c r="E151" i="3"/>
  <c r="F151" i="3"/>
  <c r="G151" i="3"/>
  <c r="H151" i="3"/>
  <c r="C152" i="3"/>
  <c r="D152" i="3"/>
  <c r="E152" i="3"/>
  <c r="F152" i="3"/>
  <c r="G152" i="3"/>
  <c r="H152" i="3"/>
  <c r="C153" i="3"/>
  <c r="D153" i="3"/>
  <c r="E153" i="3"/>
  <c r="F153" i="3"/>
  <c r="G153" i="3"/>
  <c r="H153" i="3"/>
  <c r="C154" i="3"/>
  <c r="D154" i="3"/>
  <c r="E154" i="3"/>
  <c r="F154" i="3"/>
  <c r="G154" i="3"/>
  <c r="H154" i="3"/>
  <c r="C155" i="3"/>
  <c r="D155" i="3"/>
  <c r="E155" i="3"/>
  <c r="F155" i="3"/>
  <c r="G155" i="3"/>
  <c r="H155" i="3"/>
  <c r="C156" i="3"/>
  <c r="D156" i="3"/>
  <c r="E156" i="3"/>
  <c r="F156" i="3"/>
  <c r="G156" i="3"/>
  <c r="H156" i="3"/>
  <c r="C157" i="3"/>
  <c r="D157" i="3"/>
  <c r="E157" i="3"/>
  <c r="F157" i="3"/>
  <c r="G157" i="3"/>
  <c r="H157" i="3"/>
  <c r="C158" i="3"/>
  <c r="D158" i="3"/>
  <c r="E158" i="3"/>
  <c r="F158" i="3"/>
  <c r="G158" i="3"/>
  <c r="H158" i="3"/>
  <c r="C159" i="3"/>
  <c r="D159" i="3"/>
  <c r="E159" i="3"/>
  <c r="F159" i="3"/>
  <c r="G159" i="3"/>
  <c r="H159" i="3"/>
  <c r="C160" i="3"/>
  <c r="D160" i="3"/>
  <c r="E160" i="3"/>
  <c r="F160" i="3"/>
  <c r="G160" i="3"/>
  <c r="H160" i="3"/>
  <c r="C161" i="3"/>
  <c r="D161" i="3"/>
  <c r="E161" i="3"/>
  <c r="F161" i="3"/>
  <c r="G161" i="3"/>
  <c r="H161" i="3"/>
  <c r="C162" i="3"/>
  <c r="D162" i="3"/>
  <c r="E162" i="3"/>
  <c r="F162" i="3"/>
  <c r="G162" i="3"/>
  <c r="H162" i="3"/>
  <c r="C163" i="3"/>
  <c r="D163" i="3"/>
  <c r="E163" i="3"/>
  <c r="F163" i="3"/>
  <c r="G163" i="3"/>
  <c r="H163" i="3"/>
  <c r="C164" i="3"/>
  <c r="D164" i="3"/>
  <c r="E164" i="3"/>
  <c r="F164" i="3"/>
  <c r="G164" i="3"/>
  <c r="H164" i="3"/>
  <c r="C165" i="3"/>
  <c r="D165" i="3"/>
  <c r="E165" i="3"/>
  <c r="F165" i="3"/>
  <c r="G165" i="3"/>
  <c r="H165" i="3"/>
  <c r="C166" i="3"/>
  <c r="D166" i="3"/>
  <c r="E166" i="3"/>
  <c r="F166" i="3"/>
  <c r="G166" i="3"/>
  <c r="H166" i="3"/>
  <c r="C167" i="3"/>
  <c r="D167" i="3"/>
  <c r="E167" i="3"/>
  <c r="F167" i="3"/>
  <c r="G167" i="3"/>
  <c r="H167" i="3"/>
  <c r="C168" i="3"/>
  <c r="D168" i="3"/>
  <c r="E168" i="3"/>
  <c r="F168" i="3"/>
  <c r="G168" i="3"/>
  <c r="H168" i="3"/>
  <c r="C169" i="3"/>
  <c r="D169" i="3"/>
  <c r="E169" i="3"/>
  <c r="F169" i="3"/>
  <c r="G169" i="3"/>
  <c r="H169" i="3"/>
  <c r="C189" i="3"/>
  <c r="D189" i="3"/>
  <c r="E189" i="3"/>
  <c r="F189" i="3"/>
  <c r="G189" i="3"/>
  <c r="H189" i="3"/>
  <c r="C190" i="3"/>
  <c r="D190" i="3"/>
  <c r="E190" i="3"/>
  <c r="F190" i="3"/>
  <c r="G190" i="3"/>
  <c r="H190" i="3"/>
  <c r="C191" i="3"/>
  <c r="D191" i="3"/>
  <c r="E191" i="3"/>
  <c r="F191" i="3"/>
  <c r="G191" i="3"/>
  <c r="H191" i="3"/>
  <c r="C192" i="3"/>
  <c r="D192" i="3"/>
  <c r="E192" i="3"/>
  <c r="F192" i="3"/>
  <c r="G192" i="3"/>
  <c r="H192" i="3"/>
  <c r="C193" i="3"/>
  <c r="D193" i="3"/>
  <c r="E193" i="3"/>
  <c r="F193" i="3"/>
  <c r="G193" i="3"/>
  <c r="H193" i="3"/>
  <c r="C194" i="3"/>
  <c r="D194" i="3"/>
  <c r="E194" i="3"/>
  <c r="F194" i="3"/>
  <c r="G194" i="3"/>
  <c r="H194" i="3"/>
  <c r="C195" i="3"/>
  <c r="D195" i="3"/>
  <c r="E195" i="3"/>
  <c r="F195" i="3"/>
  <c r="G195" i="3"/>
  <c r="H195" i="3"/>
  <c r="C196" i="3"/>
  <c r="D196" i="3"/>
  <c r="E196" i="3"/>
  <c r="F196" i="3"/>
  <c r="G196" i="3"/>
  <c r="H196" i="3"/>
  <c r="C197" i="3"/>
  <c r="D197" i="3"/>
  <c r="E197" i="3"/>
  <c r="F197" i="3"/>
  <c r="G197" i="3"/>
  <c r="H197" i="3"/>
  <c r="C198" i="3"/>
  <c r="D198" i="3"/>
  <c r="E198" i="3"/>
  <c r="F198" i="3"/>
  <c r="G198" i="3"/>
  <c r="H198" i="3"/>
  <c r="C199" i="3"/>
  <c r="D199" i="3"/>
  <c r="E199" i="3"/>
  <c r="F199" i="3"/>
  <c r="G199" i="3"/>
  <c r="H199" i="3"/>
  <c r="C200" i="3"/>
  <c r="D200" i="3"/>
  <c r="E200" i="3"/>
  <c r="F200" i="3"/>
  <c r="G200" i="3"/>
  <c r="H200" i="3"/>
  <c r="C201" i="3"/>
  <c r="D201" i="3"/>
  <c r="E201" i="3"/>
  <c r="F201" i="3"/>
  <c r="G201" i="3"/>
  <c r="H201" i="3"/>
  <c r="C202" i="3"/>
  <c r="D202" i="3"/>
  <c r="E202" i="3"/>
  <c r="F202" i="3"/>
  <c r="G202" i="3"/>
  <c r="H202" i="3"/>
  <c r="C203" i="3"/>
  <c r="D203" i="3"/>
  <c r="E203" i="3"/>
  <c r="F203" i="3"/>
  <c r="G203" i="3"/>
  <c r="H203" i="3"/>
  <c r="C204" i="3"/>
  <c r="D204" i="3"/>
  <c r="E204" i="3"/>
  <c r="F204" i="3"/>
  <c r="G204" i="3"/>
  <c r="H204" i="3"/>
  <c r="C205" i="3"/>
  <c r="D205" i="3"/>
  <c r="E205" i="3"/>
  <c r="F205" i="3"/>
  <c r="G205" i="3"/>
  <c r="H205" i="3"/>
  <c r="C206" i="3"/>
  <c r="D206" i="3"/>
  <c r="E206" i="3"/>
  <c r="F206" i="3"/>
  <c r="G206" i="3"/>
  <c r="H206" i="3"/>
  <c r="C207" i="3"/>
  <c r="D207" i="3"/>
  <c r="E207" i="3"/>
  <c r="F207" i="3"/>
  <c r="G207" i="3"/>
  <c r="H207" i="3"/>
  <c r="C208" i="3"/>
  <c r="D208" i="3"/>
  <c r="E208" i="3"/>
  <c r="F208" i="3"/>
  <c r="G208" i="3"/>
  <c r="H208" i="3"/>
  <c r="C209" i="3"/>
  <c r="D209" i="3"/>
  <c r="E209" i="3"/>
  <c r="F209" i="3"/>
  <c r="G209" i="3"/>
  <c r="H209" i="3"/>
  <c r="C210" i="3"/>
  <c r="D210" i="3"/>
  <c r="E210" i="3"/>
  <c r="F210" i="3"/>
  <c r="G210" i="3"/>
  <c r="H210" i="3"/>
  <c r="C211" i="3"/>
  <c r="D211" i="3"/>
  <c r="E211" i="3"/>
  <c r="F211" i="3"/>
  <c r="G211" i="3"/>
  <c r="H211" i="3"/>
  <c r="C212" i="3"/>
  <c r="D212" i="3"/>
  <c r="E212" i="3"/>
  <c r="F212" i="3"/>
  <c r="G212" i="3"/>
  <c r="H212" i="3"/>
  <c r="C213" i="3"/>
  <c r="D213" i="3"/>
  <c r="E213" i="3"/>
  <c r="F213" i="3"/>
  <c r="G213" i="3"/>
  <c r="H213" i="3"/>
  <c r="C214" i="3"/>
  <c r="D214" i="3"/>
  <c r="E214" i="3"/>
  <c r="F214" i="3"/>
  <c r="G214" i="3"/>
  <c r="H214" i="3"/>
  <c r="C215" i="3"/>
  <c r="D215" i="3"/>
  <c r="E215" i="3"/>
  <c r="F215" i="3"/>
  <c r="G215" i="3"/>
  <c r="H215" i="3"/>
  <c r="C216" i="3"/>
  <c r="D216" i="3"/>
  <c r="E216" i="3"/>
  <c r="F216" i="3"/>
  <c r="G216" i="3"/>
  <c r="H216" i="3"/>
  <c r="C217" i="3"/>
  <c r="D217" i="3"/>
  <c r="E217" i="3"/>
  <c r="F217" i="3"/>
  <c r="G217" i="3"/>
  <c r="H217" i="3"/>
  <c r="C218" i="3"/>
  <c r="D218" i="3"/>
  <c r="E218" i="3"/>
  <c r="F218" i="3"/>
  <c r="G218" i="3"/>
  <c r="H218" i="3"/>
  <c r="C219" i="3"/>
  <c r="D219" i="3"/>
  <c r="E219" i="3"/>
  <c r="F219" i="3"/>
  <c r="G219" i="3"/>
  <c r="H219" i="3"/>
  <c r="C220" i="3"/>
  <c r="D220" i="3"/>
  <c r="E220" i="3"/>
  <c r="F220" i="3"/>
  <c r="G220" i="3"/>
  <c r="H220" i="3"/>
  <c r="C221" i="3"/>
  <c r="D221" i="3"/>
  <c r="E221" i="3"/>
  <c r="F221" i="3"/>
  <c r="G221" i="3"/>
  <c r="H221" i="3"/>
  <c r="C222" i="3"/>
  <c r="D222" i="3"/>
  <c r="E222" i="3"/>
  <c r="F222" i="3"/>
  <c r="G222" i="3"/>
  <c r="H222" i="3"/>
  <c r="C223" i="3"/>
  <c r="D223" i="3"/>
  <c r="E223" i="3"/>
  <c r="F223" i="3"/>
  <c r="G223" i="3"/>
  <c r="H223" i="3"/>
  <c r="C224" i="3"/>
  <c r="D224" i="3"/>
  <c r="E224" i="3"/>
  <c r="F224" i="3"/>
  <c r="G224" i="3"/>
  <c r="H224" i="3"/>
  <c r="C225" i="3"/>
  <c r="D225" i="3"/>
  <c r="E225" i="3"/>
  <c r="F225" i="3"/>
  <c r="G225" i="3"/>
  <c r="H225" i="3"/>
  <c r="C226" i="3"/>
  <c r="D226" i="3"/>
  <c r="E226" i="3"/>
  <c r="F226" i="3"/>
  <c r="G226" i="3"/>
  <c r="H226" i="3"/>
  <c r="C227" i="3"/>
  <c r="D227" i="3"/>
  <c r="E227" i="3"/>
  <c r="F227" i="3"/>
  <c r="G227" i="3"/>
  <c r="H227" i="3"/>
  <c r="C228" i="3"/>
  <c r="D228" i="3"/>
  <c r="E228" i="3"/>
  <c r="F228" i="3"/>
  <c r="G228" i="3"/>
  <c r="H228" i="3"/>
  <c r="C229" i="3"/>
  <c r="D229" i="3"/>
  <c r="E229" i="3"/>
  <c r="F229" i="3"/>
  <c r="G229" i="3"/>
  <c r="H229" i="3"/>
  <c r="C230" i="3"/>
  <c r="D230" i="3"/>
  <c r="E230" i="3"/>
  <c r="F230" i="3"/>
  <c r="G230" i="3"/>
  <c r="H230" i="3"/>
  <c r="C231" i="3"/>
  <c r="D231" i="3"/>
  <c r="E231" i="3"/>
  <c r="F231" i="3"/>
  <c r="G231" i="3"/>
  <c r="H231" i="3"/>
  <c r="C232" i="3"/>
  <c r="D232" i="3"/>
  <c r="E232" i="3"/>
  <c r="F232" i="3"/>
  <c r="G232" i="3"/>
  <c r="H232" i="3"/>
  <c r="C233" i="3"/>
  <c r="D233" i="3"/>
  <c r="E233" i="3"/>
  <c r="F233" i="3"/>
  <c r="G233" i="3"/>
  <c r="H233" i="3"/>
  <c r="C234" i="3"/>
  <c r="D234" i="3"/>
  <c r="E234" i="3"/>
  <c r="F234" i="3"/>
  <c r="G234" i="3"/>
  <c r="H234" i="3"/>
  <c r="C235" i="3"/>
  <c r="D235" i="3"/>
  <c r="E235" i="3"/>
  <c r="F235" i="3"/>
  <c r="G235" i="3"/>
  <c r="H235" i="3"/>
  <c r="C236" i="3"/>
  <c r="D236" i="3"/>
  <c r="E236" i="3"/>
  <c r="F236" i="3"/>
  <c r="G236" i="3"/>
  <c r="H236" i="3"/>
  <c r="C237" i="3"/>
  <c r="D237" i="3"/>
  <c r="E237" i="3"/>
  <c r="F237" i="3"/>
  <c r="G237" i="3"/>
  <c r="H237" i="3"/>
  <c r="C238" i="3"/>
  <c r="D238" i="3"/>
  <c r="E238" i="3"/>
  <c r="F238" i="3"/>
  <c r="G238" i="3"/>
  <c r="H238" i="3"/>
  <c r="C246" i="3"/>
  <c r="D246" i="3"/>
  <c r="E246" i="3"/>
  <c r="F246" i="3"/>
  <c r="G246" i="3"/>
  <c r="H246" i="3"/>
  <c r="C247" i="3"/>
  <c r="D247" i="3"/>
  <c r="E247" i="3"/>
  <c r="F247" i="3"/>
  <c r="G247" i="3"/>
  <c r="H247" i="3"/>
  <c r="C241" i="3"/>
  <c r="D241" i="3"/>
  <c r="E241" i="3"/>
  <c r="F241" i="3"/>
  <c r="G241" i="3"/>
  <c r="H241" i="3"/>
  <c r="C242" i="3"/>
  <c r="D242" i="3"/>
  <c r="E242" i="3"/>
  <c r="F242" i="3"/>
  <c r="G242" i="3"/>
  <c r="H242" i="3"/>
  <c r="C243" i="3"/>
  <c r="D243" i="3"/>
  <c r="E243" i="3"/>
  <c r="F243" i="3"/>
  <c r="G243" i="3"/>
  <c r="H243" i="3"/>
  <c r="C244" i="3"/>
  <c r="D244" i="3"/>
  <c r="E244" i="3"/>
  <c r="F244" i="3"/>
  <c r="G244" i="3"/>
  <c r="H244" i="3"/>
  <c r="C245" i="3"/>
  <c r="D245" i="3"/>
  <c r="E245" i="3"/>
  <c r="F245" i="3"/>
  <c r="G245" i="3"/>
  <c r="H245" i="3"/>
  <c r="C239" i="3"/>
  <c r="D239" i="3"/>
  <c r="E239" i="3"/>
  <c r="F239" i="3"/>
  <c r="G239" i="3"/>
  <c r="H239" i="3"/>
  <c r="C240" i="3"/>
  <c r="D240" i="3"/>
  <c r="E240" i="3"/>
  <c r="F240" i="3"/>
  <c r="G240" i="3"/>
  <c r="H240" i="3"/>
  <c r="C248" i="3"/>
  <c r="D248" i="3"/>
  <c r="E248" i="3"/>
  <c r="F248" i="3"/>
  <c r="G248" i="3"/>
  <c r="H248" i="3"/>
  <c r="C249" i="3"/>
  <c r="D249" i="3"/>
  <c r="E249" i="3"/>
  <c r="F249" i="3"/>
  <c r="G249" i="3"/>
  <c r="H249" i="3"/>
  <c r="C250" i="3"/>
  <c r="D250" i="3"/>
  <c r="E250" i="3"/>
  <c r="F250" i="3"/>
  <c r="G250" i="3"/>
  <c r="H250" i="3"/>
  <c r="C251" i="3"/>
  <c r="D251" i="3"/>
  <c r="E251" i="3"/>
  <c r="F251" i="3"/>
  <c r="G251" i="3"/>
  <c r="H251" i="3"/>
  <c r="C252" i="3"/>
  <c r="D252" i="3"/>
  <c r="E252" i="3"/>
  <c r="F252" i="3"/>
  <c r="G252" i="3"/>
  <c r="H252" i="3"/>
  <c r="C253" i="3"/>
  <c r="D253" i="3"/>
  <c r="E253" i="3"/>
  <c r="F253" i="3"/>
  <c r="G253" i="3"/>
  <c r="H253" i="3"/>
  <c r="C254" i="3"/>
  <c r="D254" i="3"/>
  <c r="E254" i="3"/>
  <c r="F254" i="3"/>
  <c r="G254" i="3"/>
  <c r="H254" i="3"/>
  <c r="C255" i="3"/>
  <c r="D255" i="3"/>
  <c r="E255" i="3"/>
  <c r="F255" i="3"/>
  <c r="G255" i="3"/>
  <c r="H255" i="3"/>
  <c r="C256" i="3"/>
  <c r="D256" i="3"/>
  <c r="E256" i="3"/>
  <c r="F256" i="3"/>
  <c r="G256" i="3"/>
  <c r="H256" i="3"/>
  <c r="C257" i="3"/>
  <c r="D257" i="3"/>
  <c r="E257" i="3"/>
  <c r="F257" i="3"/>
  <c r="G257" i="3"/>
  <c r="H257" i="3"/>
  <c r="C258" i="3"/>
  <c r="D258" i="3"/>
  <c r="E258" i="3"/>
  <c r="F258" i="3"/>
  <c r="G258" i="3"/>
  <c r="H258" i="3"/>
  <c r="C259" i="3"/>
  <c r="D259" i="3"/>
  <c r="E259" i="3"/>
  <c r="F259" i="3"/>
  <c r="G259" i="3"/>
  <c r="H259" i="3"/>
  <c r="C260" i="3"/>
  <c r="D260" i="3"/>
  <c r="E260" i="3"/>
  <c r="F260" i="3"/>
  <c r="G260" i="3"/>
  <c r="H260" i="3"/>
  <c r="C261" i="3"/>
  <c r="D261" i="3"/>
  <c r="E261" i="3"/>
  <c r="F261" i="3"/>
  <c r="G261" i="3"/>
  <c r="H261" i="3"/>
  <c r="C262" i="3"/>
  <c r="D262" i="3"/>
  <c r="E262" i="3"/>
  <c r="F262" i="3"/>
  <c r="G262" i="3"/>
  <c r="H262" i="3"/>
  <c r="C263" i="3"/>
  <c r="D263" i="3"/>
  <c r="E263" i="3"/>
  <c r="F263" i="3"/>
  <c r="G263" i="3"/>
  <c r="H263" i="3"/>
  <c r="C264" i="3"/>
  <c r="D264" i="3"/>
  <c r="E264" i="3"/>
  <c r="F264" i="3"/>
  <c r="G264" i="3"/>
  <c r="H264" i="3"/>
  <c r="C265" i="3"/>
  <c r="D265" i="3"/>
  <c r="E265" i="3"/>
  <c r="F265" i="3"/>
  <c r="G265" i="3"/>
  <c r="H265" i="3"/>
  <c r="C266" i="3"/>
  <c r="D266" i="3"/>
  <c r="E266" i="3"/>
  <c r="F266" i="3"/>
  <c r="G266" i="3"/>
  <c r="H266" i="3"/>
  <c r="C267" i="3"/>
  <c r="D267" i="3"/>
  <c r="E267" i="3"/>
  <c r="F267" i="3"/>
  <c r="G267" i="3"/>
  <c r="H267" i="3"/>
  <c r="C268" i="3"/>
  <c r="D268" i="3"/>
  <c r="E268" i="3"/>
  <c r="F268" i="3"/>
  <c r="G268" i="3"/>
  <c r="H268" i="3"/>
  <c r="C269" i="3"/>
  <c r="D269" i="3"/>
  <c r="E269" i="3"/>
  <c r="F269" i="3"/>
  <c r="G269" i="3"/>
  <c r="H269" i="3"/>
  <c r="C270" i="3"/>
  <c r="D270" i="3"/>
  <c r="E270" i="3"/>
  <c r="F270" i="3"/>
  <c r="G270" i="3"/>
  <c r="H270" i="3"/>
  <c r="C271" i="3"/>
  <c r="D271" i="3"/>
  <c r="E271" i="3"/>
  <c r="F271" i="3"/>
  <c r="G271" i="3"/>
  <c r="H271" i="3"/>
  <c r="C272" i="3"/>
  <c r="D272" i="3"/>
  <c r="E272" i="3"/>
  <c r="F272" i="3"/>
  <c r="G272" i="3"/>
  <c r="H272" i="3"/>
  <c r="C273" i="3"/>
  <c r="D273" i="3"/>
  <c r="E273" i="3"/>
  <c r="F273" i="3"/>
  <c r="G273" i="3"/>
  <c r="H273" i="3"/>
  <c r="C274" i="3"/>
  <c r="D274" i="3"/>
  <c r="E274" i="3"/>
  <c r="F274" i="3"/>
  <c r="G274" i="3"/>
  <c r="H274" i="3"/>
  <c r="C275" i="3"/>
  <c r="D275" i="3"/>
  <c r="E275" i="3"/>
  <c r="F275" i="3"/>
  <c r="G275" i="3"/>
  <c r="H275" i="3"/>
  <c r="C276" i="3"/>
  <c r="D276" i="3"/>
  <c r="E276" i="3"/>
  <c r="F276" i="3"/>
  <c r="G276" i="3"/>
  <c r="H276" i="3"/>
  <c r="C277" i="3"/>
  <c r="D277" i="3"/>
  <c r="E277" i="3"/>
  <c r="F277" i="3"/>
  <c r="G277" i="3"/>
  <c r="H277" i="3"/>
  <c r="C278" i="3"/>
  <c r="D278" i="3"/>
  <c r="E278" i="3"/>
  <c r="F278" i="3"/>
  <c r="G278" i="3"/>
  <c r="H278" i="3"/>
  <c r="C279" i="3"/>
  <c r="D279" i="3"/>
  <c r="E279" i="3"/>
  <c r="F279" i="3"/>
  <c r="G279" i="3"/>
  <c r="H279" i="3"/>
  <c r="C280" i="3"/>
  <c r="D280" i="3"/>
  <c r="E280" i="3"/>
  <c r="F280" i="3"/>
  <c r="G280" i="3"/>
  <c r="H280" i="3"/>
  <c r="C281" i="3"/>
  <c r="D281" i="3"/>
  <c r="E281" i="3"/>
  <c r="F281" i="3"/>
  <c r="G281" i="3"/>
  <c r="H281" i="3"/>
  <c r="C282" i="3"/>
  <c r="D282" i="3"/>
  <c r="E282" i="3"/>
  <c r="F282" i="3"/>
  <c r="G282" i="3"/>
  <c r="H282" i="3"/>
  <c r="C283" i="3"/>
  <c r="D283" i="3"/>
  <c r="E283" i="3"/>
  <c r="F283" i="3"/>
  <c r="G283" i="3"/>
  <c r="H283" i="3"/>
  <c r="C284" i="3"/>
  <c r="D284" i="3"/>
  <c r="E284" i="3"/>
  <c r="F284" i="3"/>
  <c r="G284" i="3"/>
  <c r="H284" i="3"/>
  <c r="C285" i="3"/>
  <c r="D285" i="3"/>
  <c r="E285" i="3"/>
  <c r="F285" i="3"/>
  <c r="G285" i="3"/>
  <c r="H285" i="3"/>
  <c r="C286" i="3"/>
  <c r="D286" i="3"/>
  <c r="E286" i="3"/>
  <c r="F286" i="3"/>
  <c r="G286" i="3"/>
  <c r="H286" i="3"/>
  <c r="C287" i="3"/>
  <c r="D287" i="3"/>
  <c r="E287" i="3"/>
  <c r="F287" i="3"/>
  <c r="G287" i="3"/>
  <c r="H287" i="3"/>
  <c r="C288" i="3"/>
  <c r="D288" i="3"/>
  <c r="E288" i="3"/>
  <c r="F288" i="3"/>
  <c r="G288" i="3"/>
  <c r="H288" i="3"/>
  <c r="C289" i="3"/>
  <c r="D289" i="3"/>
  <c r="E289" i="3"/>
  <c r="F289" i="3"/>
  <c r="G289" i="3"/>
  <c r="H289" i="3"/>
  <c r="C290" i="3"/>
  <c r="D290" i="3"/>
  <c r="E290" i="3"/>
  <c r="F290" i="3"/>
  <c r="G290" i="3"/>
  <c r="H290" i="3"/>
  <c r="C291" i="3"/>
  <c r="D291" i="3"/>
  <c r="E291" i="3"/>
  <c r="F291" i="3"/>
  <c r="G291" i="3"/>
  <c r="H291" i="3"/>
  <c r="C292" i="3"/>
  <c r="D292" i="3"/>
  <c r="E292" i="3"/>
  <c r="F292" i="3"/>
  <c r="G292" i="3"/>
  <c r="H292" i="3"/>
  <c r="C293" i="3"/>
  <c r="D293" i="3"/>
  <c r="E293" i="3"/>
  <c r="F293" i="3"/>
  <c r="G293" i="3"/>
  <c r="H293" i="3"/>
  <c r="C294" i="3"/>
  <c r="D294" i="3"/>
  <c r="E294" i="3"/>
  <c r="F294" i="3"/>
  <c r="G294" i="3"/>
  <c r="H294" i="3"/>
  <c r="C295" i="3"/>
  <c r="D295" i="3"/>
  <c r="E295" i="3"/>
  <c r="F295" i="3"/>
  <c r="G295" i="3"/>
  <c r="H295" i="3"/>
  <c r="C296" i="3"/>
  <c r="D296" i="3"/>
  <c r="E296" i="3"/>
  <c r="F296" i="3"/>
  <c r="G296" i="3"/>
  <c r="H296" i="3"/>
  <c r="C297" i="3"/>
  <c r="D297" i="3"/>
  <c r="E297" i="3"/>
  <c r="F297" i="3"/>
  <c r="G297" i="3"/>
  <c r="H297" i="3"/>
  <c r="C298" i="3"/>
  <c r="D298" i="3"/>
  <c r="E298" i="3"/>
  <c r="F298" i="3"/>
  <c r="G298" i="3"/>
  <c r="H298" i="3"/>
  <c r="C299" i="3"/>
  <c r="D299" i="3"/>
  <c r="E299" i="3"/>
  <c r="F299" i="3"/>
  <c r="G299" i="3"/>
  <c r="H299" i="3"/>
  <c r="C300" i="3"/>
  <c r="D300" i="3"/>
  <c r="E300" i="3"/>
  <c r="F300" i="3"/>
  <c r="G300" i="3"/>
  <c r="H300" i="3"/>
  <c r="C301" i="3"/>
  <c r="D301" i="3"/>
  <c r="E301" i="3"/>
  <c r="F301" i="3"/>
  <c r="G301" i="3"/>
  <c r="H301" i="3"/>
  <c r="C302" i="3"/>
  <c r="D302" i="3"/>
  <c r="E302" i="3"/>
  <c r="F302" i="3"/>
  <c r="G302" i="3"/>
  <c r="H302" i="3"/>
  <c r="C303" i="3"/>
  <c r="D303" i="3"/>
  <c r="E303" i="3"/>
  <c r="F303" i="3"/>
  <c r="G303" i="3"/>
  <c r="H303" i="3"/>
  <c r="C304" i="3"/>
  <c r="D304" i="3"/>
  <c r="E304" i="3"/>
  <c r="F304" i="3"/>
  <c r="G304" i="3"/>
  <c r="H304" i="3"/>
  <c r="C305" i="3"/>
  <c r="D305" i="3"/>
  <c r="E305" i="3"/>
  <c r="F305" i="3"/>
  <c r="G305" i="3"/>
  <c r="H305" i="3"/>
  <c r="C306" i="3"/>
  <c r="D306" i="3"/>
  <c r="E306" i="3"/>
  <c r="F306" i="3"/>
  <c r="G306" i="3"/>
  <c r="H306" i="3"/>
  <c r="C307" i="3"/>
  <c r="D307" i="3"/>
  <c r="E307" i="3"/>
  <c r="F307" i="3"/>
  <c r="G307" i="3"/>
  <c r="H307" i="3"/>
  <c r="C308" i="3"/>
  <c r="D308" i="3"/>
  <c r="E308" i="3"/>
  <c r="F308" i="3"/>
  <c r="G308" i="3"/>
  <c r="H308" i="3"/>
  <c r="C309" i="3"/>
  <c r="D309" i="3"/>
  <c r="E309" i="3"/>
  <c r="F309" i="3"/>
  <c r="G309" i="3"/>
  <c r="H309" i="3"/>
  <c r="C310" i="3"/>
  <c r="D310" i="3"/>
  <c r="E310" i="3"/>
  <c r="F310" i="3"/>
  <c r="G310" i="3"/>
  <c r="H310" i="3"/>
  <c r="C311" i="3"/>
  <c r="D311" i="3"/>
  <c r="E311" i="3"/>
  <c r="F311" i="3"/>
  <c r="G311" i="3"/>
  <c r="H311" i="3"/>
  <c r="C312" i="3"/>
  <c r="D312" i="3"/>
  <c r="E312" i="3"/>
  <c r="F312" i="3"/>
  <c r="G312" i="3"/>
  <c r="H312" i="3"/>
  <c r="C313" i="3"/>
  <c r="D313" i="3"/>
  <c r="E313" i="3"/>
  <c r="F313" i="3"/>
  <c r="G313" i="3"/>
  <c r="H313" i="3"/>
  <c r="C314" i="3"/>
  <c r="D314" i="3"/>
  <c r="E314" i="3"/>
  <c r="F314" i="3"/>
  <c r="G314" i="3"/>
  <c r="H314" i="3"/>
  <c r="C315" i="3"/>
  <c r="D315" i="3"/>
  <c r="E315" i="3"/>
  <c r="F315" i="3"/>
  <c r="G315" i="3"/>
  <c r="H315" i="3"/>
  <c r="C316" i="3"/>
  <c r="D316" i="3"/>
  <c r="E316" i="3"/>
  <c r="F316" i="3"/>
  <c r="G316" i="3"/>
  <c r="H316" i="3"/>
  <c r="C317" i="3"/>
  <c r="D317" i="3"/>
  <c r="E317" i="3"/>
  <c r="F317" i="3"/>
  <c r="G317" i="3"/>
  <c r="H317" i="3"/>
  <c r="C318" i="3"/>
  <c r="D318" i="3"/>
  <c r="E318" i="3"/>
  <c r="F318" i="3"/>
  <c r="G318" i="3"/>
  <c r="H318" i="3"/>
  <c r="C319" i="3"/>
  <c r="D319" i="3"/>
  <c r="E319" i="3"/>
  <c r="F319" i="3"/>
  <c r="G319" i="3"/>
  <c r="H319" i="3"/>
  <c r="C320" i="3"/>
  <c r="D320" i="3"/>
  <c r="E320" i="3"/>
  <c r="F320" i="3"/>
  <c r="G320" i="3"/>
  <c r="H320" i="3"/>
  <c r="C321" i="3"/>
  <c r="D321" i="3"/>
  <c r="E321" i="3"/>
  <c r="F321" i="3"/>
  <c r="G321" i="3"/>
  <c r="H321" i="3"/>
  <c r="C322" i="3"/>
  <c r="D322" i="3"/>
  <c r="E322" i="3"/>
  <c r="F322" i="3"/>
  <c r="G322" i="3"/>
  <c r="H322" i="3"/>
  <c r="C323" i="3"/>
  <c r="D323" i="3"/>
  <c r="E323" i="3"/>
  <c r="F323" i="3"/>
  <c r="G323" i="3"/>
  <c r="H323" i="3"/>
  <c r="C324" i="3"/>
  <c r="D324" i="3"/>
  <c r="E324" i="3"/>
  <c r="F324" i="3"/>
  <c r="G324" i="3"/>
  <c r="H324" i="3"/>
  <c r="C325" i="3"/>
  <c r="D325" i="3"/>
  <c r="E325" i="3"/>
  <c r="F325" i="3"/>
  <c r="G325" i="3"/>
  <c r="H325" i="3"/>
  <c r="C326" i="3"/>
  <c r="D326" i="3"/>
  <c r="E326" i="3"/>
  <c r="F326" i="3"/>
  <c r="G326" i="3"/>
  <c r="H326" i="3"/>
  <c r="C327" i="3"/>
  <c r="D327" i="3"/>
  <c r="E327" i="3"/>
  <c r="F327" i="3"/>
  <c r="G327" i="3"/>
  <c r="H327" i="3"/>
  <c r="C328" i="3"/>
  <c r="D328" i="3"/>
  <c r="E328" i="3"/>
  <c r="F328" i="3"/>
  <c r="G328" i="3"/>
  <c r="H328" i="3"/>
  <c r="C329" i="3"/>
  <c r="D329" i="3"/>
  <c r="E329" i="3"/>
  <c r="F329" i="3"/>
  <c r="G329" i="3"/>
  <c r="H329" i="3"/>
  <c r="C330" i="3"/>
  <c r="D330" i="3"/>
  <c r="E330" i="3"/>
  <c r="F330" i="3"/>
  <c r="G330" i="3"/>
  <c r="H330" i="3"/>
  <c r="C331" i="3"/>
  <c r="D331" i="3"/>
  <c r="E331" i="3"/>
  <c r="F331" i="3"/>
  <c r="G331" i="3"/>
  <c r="H331" i="3"/>
  <c r="C332" i="3"/>
  <c r="D332" i="3"/>
  <c r="E332" i="3"/>
  <c r="F332" i="3"/>
  <c r="G332" i="3"/>
  <c r="H332" i="3"/>
  <c r="C333" i="3"/>
  <c r="D333" i="3"/>
  <c r="E333" i="3"/>
  <c r="F333" i="3"/>
  <c r="G333" i="3"/>
  <c r="H333" i="3"/>
  <c r="C334" i="3"/>
  <c r="D334" i="3"/>
  <c r="E334" i="3"/>
  <c r="F334" i="3"/>
  <c r="G334" i="3"/>
  <c r="H334" i="3"/>
  <c r="D6" i="4" l="1"/>
  <c r="D7" i="4"/>
  <c r="D8" i="4"/>
  <c r="D9" i="4"/>
  <c r="D10" i="4"/>
  <c r="D14" i="4"/>
  <c r="D15" i="4"/>
  <c r="D16" i="4"/>
  <c r="D17" i="4"/>
  <c r="D18" i="4"/>
  <c r="D22" i="4"/>
  <c r="D23" i="4"/>
  <c r="D26" i="4"/>
  <c r="D34" i="4"/>
  <c r="D42" i="4"/>
  <c r="D50" i="4"/>
  <c r="D58" i="4"/>
  <c r="D66" i="4"/>
  <c r="D74" i="4"/>
  <c r="D82" i="4"/>
  <c r="D90" i="4"/>
  <c r="D98" i="4"/>
  <c r="D106" i="4"/>
  <c r="D114" i="4"/>
  <c r="D2" i="4"/>
  <c r="A24" i="4"/>
  <c r="D24" i="4" s="1"/>
  <c r="A25" i="4"/>
  <c r="D25" i="4" s="1"/>
  <c r="A26" i="4"/>
  <c r="A27" i="4"/>
  <c r="D27" i="4" s="1"/>
  <c r="A28" i="4"/>
  <c r="D28" i="4" s="1"/>
  <c r="A29" i="4"/>
  <c r="D29" i="4" s="1"/>
  <c r="A30" i="4"/>
  <c r="D30" i="4" s="1"/>
  <c r="A31" i="4"/>
  <c r="D31" i="4" s="1"/>
  <c r="A32" i="4"/>
  <c r="D32" i="4" s="1"/>
  <c r="A33" i="4"/>
  <c r="D33" i="4" s="1"/>
  <c r="A34" i="4"/>
  <c r="A35" i="4"/>
  <c r="D35" i="4" s="1"/>
  <c r="A36" i="4"/>
  <c r="D36" i="4" s="1"/>
  <c r="A37" i="4"/>
  <c r="D37" i="4" s="1"/>
  <c r="A38" i="4"/>
  <c r="D38" i="4" s="1"/>
  <c r="A39" i="4"/>
  <c r="D39" i="4" s="1"/>
  <c r="A40" i="4"/>
  <c r="D40" i="4" s="1"/>
  <c r="A41" i="4"/>
  <c r="D41" i="4" s="1"/>
  <c r="A42" i="4"/>
  <c r="A43" i="4"/>
  <c r="D43" i="4" s="1"/>
  <c r="A44" i="4"/>
  <c r="D44" i="4" s="1"/>
  <c r="A45" i="4"/>
  <c r="D45" i="4" s="1"/>
  <c r="A46" i="4"/>
  <c r="D46" i="4" s="1"/>
  <c r="A47" i="4"/>
  <c r="D47" i="4" s="1"/>
  <c r="A48" i="4"/>
  <c r="D48" i="4" s="1"/>
  <c r="A49" i="4"/>
  <c r="D49" i="4" s="1"/>
  <c r="A50" i="4"/>
  <c r="A51" i="4"/>
  <c r="D51" i="4" s="1"/>
  <c r="A52" i="4"/>
  <c r="D52" i="4" s="1"/>
  <c r="A53" i="4"/>
  <c r="D53" i="4" s="1"/>
  <c r="A54" i="4"/>
  <c r="D54" i="4" s="1"/>
  <c r="A55" i="4"/>
  <c r="D55" i="4" s="1"/>
  <c r="A56" i="4"/>
  <c r="D56" i="4" s="1"/>
  <c r="A57" i="4"/>
  <c r="D57" i="4" s="1"/>
  <c r="A58" i="4"/>
  <c r="A59" i="4"/>
  <c r="D59" i="4" s="1"/>
  <c r="A60" i="4"/>
  <c r="D60" i="4" s="1"/>
  <c r="A61" i="4"/>
  <c r="D61" i="4" s="1"/>
  <c r="A62" i="4"/>
  <c r="D62" i="4" s="1"/>
  <c r="A63" i="4"/>
  <c r="D63" i="4" s="1"/>
  <c r="A64" i="4"/>
  <c r="D64" i="4" s="1"/>
  <c r="A65" i="4"/>
  <c r="D65" i="4" s="1"/>
  <c r="A66" i="4"/>
  <c r="A67" i="4"/>
  <c r="D67" i="4" s="1"/>
  <c r="A68" i="4"/>
  <c r="D68" i="4" s="1"/>
  <c r="A69" i="4"/>
  <c r="D69" i="4" s="1"/>
  <c r="A70" i="4"/>
  <c r="D70" i="4" s="1"/>
  <c r="A71" i="4"/>
  <c r="D71" i="4" s="1"/>
  <c r="A72" i="4"/>
  <c r="D72" i="4" s="1"/>
  <c r="A73" i="4"/>
  <c r="D73" i="4" s="1"/>
  <c r="A74" i="4"/>
  <c r="A75" i="4"/>
  <c r="D75" i="4" s="1"/>
  <c r="A76" i="4"/>
  <c r="D76" i="4" s="1"/>
  <c r="A77" i="4"/>
  <c r="D77" i="4" s="1"/>
  <c r="A78" i="4"/>
  <c r="D78" i="4" s="1"/>
  <c r="A79" i="4"/>
  <c r="D79" i="4" s="1"/>
  <c r="A80" i="4"/>
  <c r="D80" i="4" s="1"/>
  <c r="A81" i="4"/>
  <c r="D81" i="4" s="1"/>
  <c r="A82" i="4"/>
  <c r="A83" i="4"/>
  <c r="D83" i="4" s="1"/>
  <c r="A84" i="4"/>
  <c r="D84" i="4" s="1"/>
  <c r="A85" i="4"/>
  <c r="D85" i="4" s="1"/>
  <c r="A86" i="4"/>
  <c r="D86" i="4" s="1"/>
  <c r="A87" i="4"/>
  <c r="D87" i="4" s="1"/>
  <c r="A88" i="4"/>
  <c r="D88" i="4" s="1"/>
  <c r="A89" i="4"/>
  <c r="D89" i="4" s="1"/>
  <c r="A90" i="4"/>
  <c r="A91" i="4"/>
  <c r="D91" i="4" s="1"/>
  <c r="A92" i="4"/>
  <c r="D92" i="4" s="1"/>
  <c r="A93" i="4"/>
  <c r="D93" i="4" s="1"/>
  <c r="A94" i="4"/>
  <c r="D94" i="4" s="1"/>
  <c r="A95" i="4"/>
  <c r="D95" i="4" s="1"/>
  <c r="A96" i="4"/>
  <c r="D96" i="4" s="1"/>
  <c r="A97" i="4"/>
  <c r="D97" i="4" s="1"/>
  <c r="A98" i="4"/>
  <c r="A99" i="4"/>
  <c r="D99" i="4" s="1"/>
  <c r="A100" i="4"/>
  <c r="D100" i="4" s="1"/>
  <c r="A101" i="4"/>
  <c r="D101" i="4" s="1"/>
  <c r="A102" i="4"/>
  <c r="D102" i="4" s="1"/>
  <c r="A103" i="4"/>
  <c r="D103" i="4" s="1"/>
  <c r="A104" i="4"/>
  <c r="D104" i="4" s="1"/>
  <c r="A105" i="4"/>
  <c r="D105" i="4" s="1"/>
  <c r="A106" i="4"/>
  <c r="A107" i="4"/>
  <c r="D107" i="4" s="1"/>
  <c r="A108" i="4"/>
  <c r="D108" i="4" s="1"/>
  <c r="A109" i="4"/>
  <c r="D109" i="4" s="1"/>
  <c r="A110" i="4"/>
  <c r="D110" i="4" s="1"/>
  <c r="A111" i="4"/>
  <c r="D111" i="4" s="1"/>
  <c r="A112" i="4"/>
  <c r="D112" i="4" s="1"/>
  <c r="A113" i="4"/>
  <c r="D113" i="4" s="1"/>
  <c r="A114" i="4"/>
  <c r="A115" i="4"/>
  <c r="D115" i="4" s="1"/>
  <c r="A116" i="4"/>
  <c r="D116" i="4" s="1"/>
  <c r="A117" i="4"/>
  <c r="D117" i="4" s="1"/>
  <c r="A118" i="4"/>
  <c r="D118" i="4" s="1"/>
  <c r="A119" i="4"/>
  <c r="D119" i="4" s="1"/>
  <c r="A3" i="4"/>
  <c r="D3" i="4" s="1"/>
  <c r="A4" i="4"/>
  <c r="D4" i="4" s="1"/>
  <c r="A5" i="4"/>
  <c r="D5" i="4" s="1"/>
  <c r="A6" i="4"/>
  <c r="A7" i="4"/>
  <c r="A8" i="4"/>
  <c r="A9" i="4"/>
  <c r="A10" i="4"/>
  <c r="A11" i="4"/>
  <c r="D11" i="4" s="1"/>
  <c r="A12" i="4"/>
  <c r="D12" i="4" s="1"/>
  <c r="A13" i="4"/>
  <c r="D13" i="4" s="1"/>
  <c r="A14" i="4"/>
  <c r="A15" i="4"/>
  <c r="A16" i="4"/>
  <c r="A17" i="4"/>
  <c r="A18" i="4"/>
  <c r="A19" i="4"/>
  <c r="D19" i="4" s="1"/>
  <c r="A20" i="4"/>
  <c r="D20" i="4" s="1"/>
  <c r="A21" i="4"/>
  <c r="D21" i="4" s="1"/>
  <c r="A22" i="4"/>
  <c r="A23" i="4"/>
  <c r="A2" i="4"/>
  <c r="G114" i="1" l="1" a="1"/>
  <c r="G114" i="1" s="1"/>
  <c r="G115" i="1" a="1"/>
  <c r="G115" i="1" s="1"/>
  <c r="G116" i="1" a="1"/>
  <c r="G116" i="1" s="1"/>
  <c r="G117" i="1" a="1"/>
  <c r="G117" i="1" s="1"/>
  <c r="G118" i="1" a="1"/>
  <c r="G118" i="1" s="1"/>
  <c r="G119" i="1" a="1"/>
  <c r="G119" i="1" s="1"/>
  <c r="G76" i="1" a="1"/>
  <c r="G76" i="1" s="1"/>
  <c r="G77" i="1" a="1"/>
  <c r="G77" i="1" s="1"/>
  <c r="G78" i="1" a="1"/>
  <c r="G78" i="1" s="1"/>
  <c r="G79" i="1" a="1"/>
  <c r="G79" i="1" s="1"/>
  <c r="G80" i="1" a="1"/>
  <c r="G80" i="1" s="1"/>
  <c r="G81" i="1" a="1"/>
  <c r="G81" i="1" s="1"/>
  <c r="G82" i="1" a="1"/>
  <c r="G82" i="1" s="1"/>
  <c r="G106" i="1" a="1"/>
  <c r="G106" i="1" s="1"/>
  <c r="G107" i="1" a="1"/>
  <c r="G107" i="1" s="1"/>
  <c r="G108" i="1" a="1"/>
  <c r="G108" i="1" s="1"/>
  <c r="G109" i="1" a="1"/>
  <c r="G109" i="1" s="1"/>
  <c r="G110" i="1" a="1"/>
  <c r="G110" i="1" s="1"/>
  <c r="G111" i="1" a="1"/>
  <c r="G111" i="1" s="1"/>
  <c r="G112" i="1" a="1"/>
  <c r="G112" i="1" s="1"/>
  <c r="G120" i="1" a="1"/>
  <c r="G120" i="1" s="1"/>
  <c r="G121" i="1" a="1"/>
  <c r="G121" i="1" s="1"/>
  <c r="G122" i="1" a="1"/>
  <c r="G122" i="1" s="1"/>
  <c r="G123" i="1" a="1"/>
  <c r="G123" i="1" s="1"/>
  <c r="G124" i="1" a="1"/>
  <c r="G124" i="1" s="1"/>
  <c r="G125" i="1" a="1"/>
  <c r="G125" i="1" s="1"/>
  <c r="G126" i="1" a="1"/>
  <c r="G126" i="1" s="1"/>
  <c r="G69" i="1" a="1"/>
  <c r="G69" i="1" s="1"/>
  <c r="G70" i="1" a="1"/>
  <c r="G70" i="1" s="1"/>
  <c r="G71" i="1" a="1"/>
  <c r="G71" i="1" s="1"/>
  <c r="G72" i="1" a="1"/>
  <c r="G72" i="1" s="1"/>
  <c r="G73" i="1" a="1"/>
  <c r="G73" i="1" s="1"/>
  <c r="G74" i="1" a="1"/>
  <c r="G74" i="1" s="1"/>
  <c r="G75" i="1" a="1"/>
  <c r="G75" i="1" s="1"/>
  <c r="G99" i="1" a="1"/>
  <c r="G99" i="1" s="1"/>
  <c r="G100" i="1" a="1"/>
  <c r="G100" i="1" s="1"/>
  <c r="G101" i="1" a="1"/>
  <c r="G101" i="1" s="1"/>
  <c r="G102" i="1" a="1"/>
  <c r="G102" i="1" s="1"/>
  <c r="G103" i="1" a="1"/>
  <c r="G103" i="1" s="1"/>
  <c r="G104" i="1" a="1"/>
  <c r="G104" i="1" s="1"/>
  <c r="G105" i="1" a="1"/>
  <c r="G105" i="1" s="1"/>
  <c r="G67" i="1" a="1"/>
  <c r="G67" i="1" s="1"/>
  <c r="G68" i="1" a="1"/>
  <c r="G68" i="1" s="1"/>
  <c r="G97" i="1" a="1"/>
  <c r="G97" i="1" s="1"/>
  <c r="G98" i="1" a="1"/>
  <c r="G98" i="1" s="1"/>
  <c r="G127" i="1" a="1"/>
  <c r="G127" i="1" s="1"/>
  <c r="G128" i="1" a="1"/>
  <c r="G128" i="1" s="1"/>
  <c r="G129" i="1" a="1"/>
  <c r="G129" i="1" s="1"/>
  <c r="G131" i="1" a="1"/>
  <c r="G131" i="1" s="1"/>
  <c r="G132" i="1" a="1"/>
  <c r="G132" i="1" s="1"/>
  <c r="G133" i="1" a="1"/>
  <c r="G133" i="1" s="1"/>
  <c r="G134" i="1" a="1"/>
  <c r="G134" i="1" s="1"/>
  <c r="G135" i="1" a="1"/>
  <c r="G135" i="1" s="1"/>
  <c r="G136" i="1" a="1"/>
  <c r="G136" i="1" s="1"/>
  <c r="G137" i="1" a="1"/>
  <c r="G137" i="1" s="1"/>
  <c r="G138" i="1" a="1"/>
  <c r="G138" i="1" s="1"/>
  <c r="G139" i="1" a="1"/>
  <c r="G139" i="1" s="1"/>
  <c r="G140" i="1" a="1"/>
  <c r="G140" i="1" s="1"/>
  <c r="G141" i="1" a="1"/>
  <c r="G141" i="1" s="1"/>
  <c r="G142" i="1" a="1"/>
  <c r="G142" i="1" s="1"/>
  <c r="G143" i="1" a="1"/>
  <c r="G143" i="1" s="1"/>
  <c r="G144" i="1" a="1"/>
  <c r="G144" i="1" s="1"/>
  <c r="G145" i="1" a="1"/>
  <c r="G145" i="1" s="1"/>
  <c r="G146" i="1" a="1"/>
  <c r="G146" i="1" s="1"/>
  <c r="G147" i="1" a="1"/>
  <c r="G147" i="1" s="1"/>
  <c r="G148" i="1" a="1"/>
  <c r="G148" i="1" s="1"/>
  <c r="G149" i="1" a="1"/>
  <c r="G149" i="1" s="1"/>
  <c r="G150" i="1" a="1"/>
  <c r="G150" i="1" s="1"/>
  <c r="G151" i="1" a="1"/>
  <c r="G151" i="1" s="1"/>
  <c r="G152" i="1" a="1"/>
  <c r="G152" i="1" s="1"/>
  <c r="G153" i="1" a="1"/>
  <c r="G153" i="1" s="1"/>
  <c r="G154" i="1" a="1"/>
  <c r="G154" i="1" s="1"/>
  <c r="G155" i="1" a="1"/>
  <c r="G155" i="1" s="1"/>
  <c r="G156" i="1" a="1"/>
  <c r="G156" i="1" s="1"/>
  <c r="G157" i="1" a="1"/>
  <c r="G157" i="1" s="1"/>
  <c r="G158" i="1" a="1"/>
  <c r="G158" i="1" s="1"/>
  <c r="G159" i="1" a="1"/>
  <c r="G159" i="1" s="1"/>
  <c r="G160" i="1" a="1"/>
  <c r="G160" i="1" s="1"/>
  <c r="G161" i="1" a="1"/>
  <c r="G161" i="1" s="1"/>
  <c r="G162" i="1" a="1"/>
  <c r="G162" i="1" s="1"/>
  <c r="G163" i="1" a="1"/>
  <c r="G163" i="1" s="1"/>
  <c r="G164" i="1" a="1"/>
  <c r="G164" i="1" s="1"/>
  <c r="G165" i="1" a="1"/>
  <c r="G165" i="1" s="1"/>
  <c r="G207" i="1" a="1"/>
  <c r="G207" i="1" s="1"/>
  <c r="G208" i="1" a="1"/>
  <c r="G208" i="1" s="1"/>
  <c r="G209" i="1" a="1"/>
  <c r="G209" i="1" s="1"/>
  <c r="G210" i="1" a="1"/>
  <c r="G210" i="1" s="1"/>
  <c r="G211" i="1" a="1"/>
  <c r="G211" i="1" s="1"/>
  <c r="G212" i="1" a="1"/>
  <c r="G212" i="1" s="1"/>
  <c r="G213" i="1" a="1"/>
  <c r="G213" i="1" s="1"/>
  <c r="G200" i="1" a="1"/>
  <c r="G200" i="1" s="1"/>
  <c r="G201" i="1" a="1"/>
  <c r="G201" i="1" s="1"/>
  <c r="G202" i="1" a="1"/>
  <c r="G202" i="1" s="1"/>
  <c r="G203" i="1" a="1"/>
  <c r="G203" i="1" s="1"/>
  <c r="G204" i="1" a="1"/>
  <c r="G204" i="1" s="1"/>
  <c r="G205" i="1" a="1"/>
  <c r="G205" i="1" s="1"/>
  <c r="G206" i="1" a="1"/>
  <c r="G206" i="1" s="1"/>
  <c r="G192" i="1" a="1"/>
  <c r="G192" i="1" s="1"/>
  <c r="G193" i="1" a="1"/>
  <c r="G193" i="1" s="1"/>
  <c r="G194" i="1" a="1"/>
  <c r="G194" i="1" s="1"/>
  <c r="G195" i="1" a="1"/>
  <c r="G195" i="1" s="1"/>
  <c r="G196" i="1" a="1"/>
  <c r="G196" i="1" s="1"/>
  <c r="G197" i="1" a="1"/>
  <c r="G197" i="1" s="1"/>
  <c r="G198" i="1" a="1"/>
  <c r="G198" i="1" s="1"/>
  <c r="G199" i="1" a="1"/>
  <c r="G199" i="1" s="1"/>
  <c r="G168" i="1" a="1"/>
  <c r="G168" i="1" s="1"/>
  <c r="G169" i="1" a="1"/>
  <c r="G169" i="1" s="1"/>
  <c r="G170" i="1" a="1"/>
  <c r="G170" i="1" s="1"/>
  <c r="G171" i="1" a="1"/>
  <c r="G171" i="1" s="1"/>
  <c r="G172" i="1" a="1"/>
  <c r="G172" i="1" s="1"/>
  <c r="G173" i="1" a="1"/>
  <c r="G173" i="1" s="1"/>
  <c r="G174" i="1" a="1"/>
  <c r="G174" i="1" s="1"/>
  <c r="G175" i="1" a="1"/>
  <c r="G175" i="1" s="1"/>
  <c r="G176" i="1" a="1"/>
  <c r="G176" i="1" s="1"/>
  <c r="G177" i="1" a="1"/>
  <c r="G177" i="1" s="1"/>
  <c r="G178" i="1" a="1"/>
  <c r="G178" i="1" s="1"/>
  <c r="G179" i="1" a="1"/>
  <c r="G179" i="1" s="1"/>
  <c r="G180" i="1" a="1"/>
  <c r="G180" i="1" s="1"/>
  <c r="G181" i="1" a="1"/>
  <c r="G181" i="1" s="1"/>
  <c r="G182" i="1" a="1"/>
  <c r="G182" i="1" s="1"/>
  <c r="G183" i="1" a="1"/>
  <c r="G183" i="1" s="1"/>
  <c r="G184" i="1" a="1"/>
  <c r="G184" i="1" s="1"/>
  <c r="G185" i="1" a="1"/>
  <c r="G185" i="1" s="1"/>
  <c r="G186" i="1" a="1"/>
  <c r="G186" i="1" s="1"/>
  <c r="G187" i="1" a="1"/>
  <c r="G187" i="1" s="1"/>
  <c r="G188" i="1" a="1"/>
  <c r="G188" i="1" s="1"/>
  <c r="G189" i="1" a="1"/>
  <c r="G189" i="1" s="1"/>
  <c r="G190" i="1" a="1"/>
  <c r="G190" i="1" s="1"/>
  <c r="G90" i="1" a="1"/>
  <c r="G90" i="1" s="1"/>
  <c r="G91" i="1" a="1"/>
  <c r="G91" i="1" s="1"/>
  <c r="G92" i="1" a="1"/>
  <c r="G92" i="1" s="1"/>
  <c r="G93" i="1" a="1"/>
  <c r="G93" i="1" s="1"/>
  <c r="G94" i="1" a="1"/>
  <c r="G94" i="1" s="1"/>
  <c r="G95" i="1" a="1"/>
  <c r="G95" i="1" s="1"/>
  <c r="G96" i="1" a="1"/>
  <c r="G96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21" i="1" a="1"/>
  <c r="G21" i="1" s="1"/>
  <c r="G22" i="1" a="1"/>
  <c r="G22" i="1" s="1"/>
  <c r="G23" i="1" a="1"/>
  <c r="G23" i="1" s="1"/>
  <c r="G24" i="1" a="1"/>
  <c r="G24" i="1" s="1"/>
  <c r="G25" i="1" a="1"/>
  <c r="G25" i="1" s="1"/>
  <c r="G26" i="1" a="1"/>
  <c r="G26" i="1" s="1"/>
  <c r="G27" i="1" a="1"/>
  <c r="G27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48" i="1" a="1"/>
  <c r="G48" i="1" s="1"/>
  <c r="G49" i="1" a="1"/>
  <c r="G49" i="1" s="1"/>
  <c r="G50" i="1" a="1"/>
  <c r="G50" i="1" s="1"/>
  <c r="G51" i="1" a="1"/>
  <c r="G51" i="1" s="1"/>
  <c r="G52" i="1" a="1"/>
  <c r="G52" i="1" s="1"/>
  <c r="G63" i="1" a="1"/>
  <c r="G63" i="1" s="1"/>
  <c r="G64" i="1" a="1"/>
  <c r="G64" i="1" s="1"/>
  <c r="G65" i="1" a="1"/>
  <c r="G65" i="1" s="1"/>
  <c r="G66" i="1" a="1"/>
  <c r="G66" i="1" s="1"/>
  <c r="G59" i="1" a="1"/>
  <c r="G59" i="1" s="1"/>
  <c r="G60" i="1" a="1"/>
  <c r="G60" i="1" s="1"/>
  <c r="G61" i="1" a="1"/>
  <c r="G61" i="1" s="1"/>
  <c r="G62" i="1" a="1"/>
  <c r="G62" i="1" s="1"/>
  <c r="G86" i="1" a="1"/>
  <c r="G86" i="1" s="1"/>
  <c r="G87" i="1" a="1"/>
  <c r="G87" i="1" s="1"/>
  <c r="G88" i="1" a="1"/>
  <c r="G88" i="1" s="1"/>
  <c r="G89" i="1" a="1"/>
  <c r="G89" i="1" s="1"/>
  <c r="G83" i="1" a="1"/>
  <c r="G83" i="1" s="1"/>
  <c r="G84" i="1" a="1"/>
  <c r="G84" i="1" s="1"/>
  <c r="G85" i="1" a="1"/>
  <c r="G85" i="1" s="1"/>
  <c r="G214" i="1" a="1"/>
  <c r="G214" i="1" s="1"/>
  <c r="G215" i="1" a="1"/>
  <c r="G215" i="1" s="1"/>
  <c r="G216" i="1" a="1"/>
  <c r="G216" i="1" s="1"/>
  <c r="G217" i="1" a="1"/>
  <c r="G217" i="1" s="1"/>
  <c r="G218" i="1" a="1"/>
  <c r="G218" i="1" s="1"/>
  <c r="G219" i="1" a="1"/>
  <c r="G219" i="1" s="1"/>
  <c r="G220" i="1" a="1"/>
  <c r="G220" i="1" s="1"/>
  <c r="G221" i="1" a="1"/>
  <c r="G221" i="1" s="1"/>
  <c r="G222" i="1" a="1"/>
  <c r="G222" i="1" s="1"/>
  <c r="G223" i="1" a="1"/>
  <c r="G223" i="1" s="1"/>
  <c r="G224" i="1" a="1"/>
  <c r="G224" i="1" s="1"/>
  <c r="G225" i="1" a="1"/>
  <c r="G225" i="1" s="1"/>
  <c r="G226" i="1" a="1"/>
  <c r="G226" i="1" s="1"/>
  <c r="G227" i="1" a="1"/>
  <c r="G227" i="1" s="1"/>
  <c r="G228" i="1" a="1"/>
  <c r="G228" i="1" s="1"/>
  <c r="G229" i="1" a="1"/>
  <c r="G229" i="1" s="1"/>
  <c r="G230" i="1" a="1"/>
  <c r="G230" i="1" s="1"/>
  <c r="G231" i="1" a="1"/>
  <c r="G231" i="1" s="1"/>
  <c r="G232" i="1" a="1"/>
  <c r="G232" i="1" s="1"/>
  <c r="G233" i="1" a="1"/>
  <c r="G233" i="1" s="1"/>
  <c r="G234" i="1" a="1"/>
  <c r="G234" i="1" s="1"/>
  <c r="G33" i="1" a="1"/>
  <c r="G33" i="1" s="1"/>
  <c r="G53" i="1" a="1"/>
  <c r="G53" i="1" s="1"/>
  <c r="G54" i="1" a="1"/>
  <c r="G54" i="1" s="1"/>
  <c r="G55" i="1" a="1"/>
  <c r="G55" i="1" s="1"/>
  <c r="G56" i="1" a="1"/>
  <c r="G56" i="1" s="1"/>
  <c r="G57" i="1" a="1"/>
  <c r="G57" i="1" s="1"/>
  <c r="G58" i="1" a="1"/>
  <c r="G58" i="1" s="1"/>
  <c r="G130" i="1" a="1"/>
  <c r="G130" i="1" s="1"/>
  <c r="G166" i="1" a="1"/>
  <c r="G166" i="1" s="1"/>
  <c r="G167" i="1" a="1"/>
  <c r="G167" i="1" s="1"/>
  <c r="G191" i="1" a="1"/>
  <c r="G191" i="1" s="1"/>
  <c r="G113" i="1" a="1"/>
  <c r="G113" i="1" s="1"/>
  <c r="H114" i="1"/>
  <c r="H115" i="1"/>
  <c r="H116" i="1"/>
  <c r="H117" i="1"/>
  <c r="H118" i="1"/>
  <c r="H119" i="1"/>
  <c r="H76" i="1"/>
  <c r="H77" i="1"/>
  <c r="H78" i="1"/>
  <c r="H79" i="1"/>
  <c r="H80" i="1"/>
  <c r="H81" i="1"/>
  <c r="H82" i="1"/>
  <c r="H106" i="1"/>
  <c r="H107" i="1"/>
  <c r="H108" i="1"/>
  <c r="H109" i="1"/>
  <c r="H110" i="1"/>
  <c r="H111" i="1"/>
  <c r="H112" i="1"/>
  <c r="H120" i="1"/>
  <c r="H121" i="1"/>
  <c r="H122" i="1"/>
  <c r="H123" i="1"/>
  <c r="H124" i="1"/>
  <c r="H125" i="1"/>
  <c r="H126" i="1"/>
  <c r="H69" i="1"/>
  <c r="H70" i="1"/>
  <c r="H71" i="1"/>
  <c r="H72" i="1"/>
  <c r="H73" i="1"/>
  <c r="H74" i="1"/>
  <c r="H75" i="1"/>
  <c r="H99" i="1"/>
  <c r="H100" i="1"/>
  <c r="H101" i="1"/>
  <c r="H102" i="1"/>
  <c r="H103" i="1"/>
  <c r="H104" i="1"/>
  <c r="H105" i="1"/>
  <c r="H67" i="1"/>
  <c r="H68" i="1"/>
  <c r="H97" i="1"/>
  <c r="H98" i="1"/>
  <c r="H127" i="1"/>
  <c r="H128" i="1"/>
  <c r="H129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207" i="1"/>
  <c r="H208" i="1"/>
  <c r="H209" i="1"/>
  <c r="H210" i="1"/>
  <c r="H211" i="1"/>
  <c r="H212" i="1"/>
  <c r="H213" i="1"/>
  <c r="H200" i="1"/>
  <c r="H201" i="1"/>
  <c r="H202" i="1"/>
  <c r="H203" i="1"/>
  <c r="H204" i="1"/>
  <c r="H205" i="1"/>
  <c r="H206" i="1"/>
  <c r="H192" i="1"/>
  <c r="H193" i="1"/>
  <c r="H194" i="1"/>
  <c r="H195" i="1"/>
  <c r="H196" i="1"/>
  <c r="H197" i="1"/>
  <c r="H198" i="1"/>
  <c r="H199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90" i="1"/>
  <c r="H91" i="1"/>
  <c r="H92" i="1"/>
  <c r="H93" i="1"/>
  <c r="H94" i="1"/>
  <c r="H95" i="1"/>
  <c r="H96" i="1"/>
  <c r="H14" i="1"/>
  <c r="H15" i="1"/>
  <c r="H16" i="1"/>
  <c r="H17" i="1"/>
  <c r="H18" i="1"/>
  <c r="H19" i="1"/>
  <c r="H20" i="1"/>
  <c r="H34" i="1"/>
  <c r="H35" i="1"/>
  <c r="H36" i="1"/>
  <c r="H37" i="1"/>
  <c r="H38" i="1"/>
  <c r="H39" i="1"/>
  <c r="H40" i="1"/>
  <c r="H21" i="1"/>
  <c r="H22" i="1"/>
  <c r="H23" i="1"/>
  <c r="H24" i="1"/>
  <c r="H25" i="1"/>
  <c r="H26" i="1"/>
  <c r="H27" i="1"/>
  <c r="H41" i="1"/>
  <c r="H42" i="1"/>
  <c r="H43" i="1"/>
  <c r="H44" i="1"/>
  <c r="H45" i="1"/>
  <c r="H46" i="1"/>
  <c r="H47" i="1"/>
  <c r="H28" i="1"/>
  <c r="H29" i="1"/>
  <c r="H30" i="1"/>
  <c r="H31" i="1"/>
  <c r="H32" i="1"/>
  <c r="H48" i="1"/>
  <c r="H49" i="1"/>
  <c r="H50" i="1"/>
  <c r="H51" i="1"/>
  <c r="H52" i="1"/>
  <c r="H63" i="1"/>
  <c r="H64" i="1"/>
  <c r="H65" i="1"/>
  <c r="H66" i="1"/>
  <c r="H59" i="1"/>
  <c r="H60" i="1"/>
  <c r="H61" i="1"/>
  <c r="H62" i="1"/>
  <c r="H86" i="1"/>
  <c r="H87" i="1"/>
  <c r="H88" i="1"/>
  <c r="H89" i="1"/>
  <c r="H83" i="1"/>
  <c r="H84" i="1"/>
  <c r="H85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33" i="1"/>
  <c r="H53" i="1"/>
  <c r="H54" i="1"/>
  <c r="H55" i="1"/>
  <c r="H56" i="1"/>
  <c r="H57" i="1"/>
  <c r="H58" i="1"/>
  <c r="H130" i="1"/>
  <c r="H166" i="1"/>
  <c r="H167" i="1"/>
  <c r="H191" i="1"/>
  <c r="H113" i="1"/>
  <c r="E35" i="1" a="1"/>
  <c r="E35" i="1" s="1"/>
  <c r="E190" i="1" a="1"/>
  <c r="E190" i="1" s="1"/>
  <c r="E198" i="1" a="1"/>
  <c r="E198" i="1" s="1"/>
  <c r="F191" i="1"/>
  <c r="E191" i="1" s="1" a="1"/>
  <c r="E191" i="1" s="1"/>
  <c r="F167" i="1"/>
  <c r="E167" i="1" s="1" a="1"/>
  <c r="E167" i="1" s="1"/>
  <c r="F166" i="1"/>
  <c r="E166" i="1" s="1" a="1"/>
  <c r="E166" i="1" s="1"/>
  <c r="F130" i="1"/>
  <c r="E130" i="1" s="1" a="1"/>
  <c r="E130" i="1" s="1"/>
  <c r="F58" i="1"/>
  <c r="E58" i="1" s="1" a="1"/>
  <c r="E58" i="1" s="1"/>
  <c r="F57" i="1"/>
  <c r="E57" i="1" s="1" a="1"/>
  <c r="E57" i="1" s="1"/>
  <c r="F56" i="1"/>
  <c r="E56" i="1" s="1" a="1"/>
  <c r="E56" i="1" s="1"/>
  <c r="F55" i="1"/>
  <c r="E55" i="1" s="1" a="1"/>
  <c r="E55" i="1" s="1"/>
  <c r="F54" i="1"/>
  <c r="E54" i="1" s="1" a="1"/>
  <c r="E54" i="1" s="1"/>
  <c r="F53" i="1"/>
  <c r="E53" i="1" s="1" a="1"/>
  <c r="E53" i="1" s="1"/>
  <c r="F33" i="1"/>
  <c r="E33" i="1" s="1" a="1"/>
  <c r="E33" i="1" s="1"/>
  <c r="F234" i="1"/>
  <c r="E234" i="1" s="1" a="1"/>
  <c r="E234" i="1" s="1"/>
  <c r="F233" i="1"/>
  <c r="E233" i="1" s="1" a="1"/>
  <c r="E233" i="1" s="1"/>
  <c r="F232" i="1"/>
  <c r="E232" i="1" s="1" a="1"/>
  <c r="E232" i="1" s="1"/>
  <c r="F231" i="1"/>
  <c r="E231" i="1" s="1" a="1"/>
  <c r="E231" i="1" s="1"/>
  <c r="F230" i="1"/>
  <c r="E230" i="1" s="1" a="1"/>
  <c r="E230" i="1" s="1"/>
  <c r="F229" i="1"/>
  <c r="E229" i="1" s="1" a="1"/>
  <c r="E229" i="1" s="1"/>
  <c r="F228" i="1"/>
  <c r="E228" i="1" s="1" a="1"/>
  <c r="E228" i="1" s="1"/>
  <c r="F227" i="1"/>
  <c r="E227" i="1" s="1" a="1"/>
  <c r="E227" i="1" s="1"/>
  <c r="F226" i="1"/>
  <c r="E226" i="1" s="1" a="1"/>
  <c r="E226" i="1" s="1"/>
  <c r="F225" i="1"/>
  <c r="E225" i="1" s="1" a="1"/>
  <c r="E225" i="1" s="1"/>
  <c r="F224" i="1"/>
  <c r="E224" i="1" s="1" a="1"/>
  <c r="E224" i="1" s="1"/>
  <c r="F223" i="1"/>
  <c r="E223" i="1" s="1" a="1"/>
  <c r="E223" i="1" s="1"/>
  <c r="F222" i="1"/>
  <c r="E222" i="1" s="1" a="1"/>
  <c r="E222" i="1" s="1"/>
  <c r="F221" i="1"/>
  <c r="E221" i="1" s="1" a="1"/>
  <c r="E221" i="1" s="1"/>
  <c r="F220" i="1"/>
  <c r="E220" i="1" s="1" a="1"/>
  <c r="E220" i="1" s="1"/>
  <c r="F219" i="1"/>
  <c r="E219" i="1" s="1" a="1"/>
  <c r="E219" i="1" s="1"/>
  <c r="F218" i="1"/>
  <c r="E218" i="1" s="1" a="1"/>
  <c r="E218" i="1" s="1"/>
  <c r="F217" i="1"/>
  <c r="E217" i="1" s="1" a="1"/>
  <c r="E217" i="1" s="1"/>
  <c r="F216" i="1"/>
  <c r="E216" i="1" s="1" a="1"/>
  <c r="E216" i="1" s="1"/>
  <c r="F215" i="1"/>
  <c r="E215" i="1" s="1" a="1"/>
  <c r="E215" i="1" s="1"/>
  <c r="F214" i="1"/>
  <c r="E214" i="1" s="1" a="1"/>
  <c r="E214" i="1" s="1"/>
  <c r="F85" i="1"/>
  <c r="E85" i="1" s="1" a="1"/>
  <c r="E85" i="1" s="1"/>
  <c r="F84" i="1"/>
  <c r="E84" i="1" s="1" a="1"/>
  <c r="E84" i="1" s="1"/>
  <c r="F83" i="1"/>
  <c r="E83" i="1" s="1" a="1"/>
  <c r="E83" i="1" s="1"/>
  <c r="F89" i="1"/>
  <c r="E89" i="1" s="1" a="1"/>
  <c r="E89" i="1" s="1"/>
  <c r="F88" i="1"/>
  <c r="E88" i="1" s="1" a="1"/>
  <c r="E88" i="1" s="1"/>
  <c r="F87" i="1"/>
  <c r="E87" i="1" s="1" a="1"/>
  <c r="E87" i="1" s="1"/>
  <c r="F86" i="1"/>
  <c r="E86" i="1" s="1" a="1"/>
  <c r="E86" i="1" s="1"/>
  <c r="F62" i="1"/>
  <c r="E62" i="1" s="1" a="1"/>
  <c r="E62" i="1" s="1"/>
  <c r="F61" i="1"/>
  <c r="E61" i="1" s="1" a="1"/>
  <c r="E61" i="1" s="1"/>
  <c r="F60" i="1"/>
  <c r="E60" i="1" s="1" a="1"/>
  <c r="E60" i="1" s="1"/>
  <c r="F59" i="1"/>
  <c r="E59" i="1" s="1" a="1"/>
  <c r="E59" i="1" s="1"/>
  <c r="F66" i="1"/>
  <c r="E66" i="1" s="1" a="1"/>
  <c r="E66" i="1" s="1"/>
  <c r="F65" i="1"/>
  <c r="E65" i="1" s="1" a="1"/>
  <c r="E65" i="1" s="1"/>
  <c r="F64" i="1"/>
  <c r="E64" i="1" s="1" a="1"/>
  <c r="E64" i="1" s="1"/>
  <c r="F63" i="1"/>
  <c r="E63" i="1" s="1" a="1"/>
  <c r="E63" i="1" s="1"/>
  <c r="F52" i="1"/>
  <c r="E52" i="1" s="1" a="1"/>
  <c r="E52" i="1" s="1"/>
  <c r="F51" i="1"/>
  <c r="E51" i="1" s="1" a="1"/>
  <c r="E51" i="1" s="1"/>
  <c r="F50" i="1"/>
  <c r="E50" i="1" s="1" a="1"/>
  <c r="E50" i="1" s="1"/>
  <c r="F49" i="1"/>
  <c r="E49" i="1" s="1" a="1"/>
  <c r="E49" i="1" s="1"/>
  <c r="F48" i="1"/>
  <c r="E48" i="1" s="1" a="1"/>
  <c r="E48" i="1" s="1"/>
  <c r="F32" i="1"/>
  <c r="E32" i="1" s="1" a="1"/>
  <c r="E32" i="1" s="1"/>
  <c r="F31" i="1"/>
  <c r="E31" i="1" s="1" a="1"/>
  <c r="E31" i="1" s="1"/>
  <c r="F30" i="1"/>
  <c r="E30" i="1" s="1" a="1"/>
  <c r="E30" i="1" s="1"/>
  <c r="F29" i="1"/>
  <c r="E29" i="1" s="1" a="1"/>
  <c r="E29" i="1" s="1"/>
  <c r="F28" i="1"/>
  <c r="E28" i="1" s="1" a="1"/>
  <c r="E28" i="1" s="1"/>
  <c r="F47" i="1"/>
  <c r="E47" i="1" s="1" a="1"/>
  <c r="E47" i="1" s="1"/>
  <c r="F46" i="1"/>
  <c r="E46" i="1" s="1" a="1"/>
  <c r="E46" i="1" s="1"/>
  <c r="F45" i="1"/>
  <c r="E45" i="1" s="1" a="1"/>
  <c r="E45" i="1" s="1"/>
  <c r="F44" i="1"/>
  <c r="E44" i="1" s="1" a="1"/>
  <c r="E44" i="1" s="1"/>
  <c r="F43" i="1"/>
  <c r="E43" i="1" s="1" a="1"/>
  <c r="E43" i="1" s="1"/>
  <c r="F42" i="1"/>
  <c r="E42" i="1" s="1" a="1"/>
  <c r="E42" i="1" s="1"/>
  <c r="F41" i="1"/>
  <c r="E41" i="1" s="1" a="1"/>
  <c r="E41" i="1" s="1"/>
  <c r="F27" i="1"/>
  <c r="E27" i="1" s="1" a="1"/>
  <c r="E27" i="1" s="1"/>
  <c r="F26" i="1"/>
  <c r="E26" i="1" s="1" a="1"/>
  <c r="E26" i="1" s="1"/>
  <c r="F25" i="1"/>
  <c r="E25" i="1" s="1" a="1"/>
  <c r="E25" i="1" s="1"/>
  <c r="F24" i="1"/>
  <c r="E24" i="1" s="1" a="1"/>
  <c r="E24" i="1" s="1"/>
  <c r="F23" i="1"/>
  <c r="E23" i="1" s="1" a="1"/>
  <c r="E23" i="1" s="1"/>
  <c r="F22" i="1"/>
  <c r="E22" i="1" s="1" a="1"/>
  <c r="E22" i="1" s="1"/>
  <c r="F21" i="1"/>
  <c r="E21" i="1" s="1" a="1"/>
  <c r="E21" i="1" s="1"/>
  <c r="F40" i="1"/>
  <c r="E40" i="1" s="1" a="1"/>
  <c r="E40" i="1" s="1"/>
  <c r="F39" i="1"/>
  <c r="E39" i="1" s="1" a="1"/>
  <c r="E39" i="1" s="1"/>
  <c r="F38" i="1"/>
  <c r="E38" i="1" s="1" a="1"/>
  <c r="E38" i="1" s="1"/>
  <c r="F37" i="1"/>
  <c r="E37" i="1" s="1" a="1"/>
  <c r="E37" i="1" s="1"/>
  <c r="F36" i="1"/>
  <c r="E36" i="1" s="1" a="1"/>
  <c r="E36" i="1" s="1"/>
  <c r="F35" i="1"/>
  <c r="F34" i="1"/>
  <c r="E34" i="1" s="1" a="1"/>
  <c r="E34" i="1" s="1"/>
  <c r="F20" i="1"/>
  <c r="E20" i="1" s="1" a="1"/>
  <c r="E20" i="1" s="1"/>
  <c r="F19" i="1"/>
  <c r="E19" i="1" s="1" a="1"/>
  <c r="E19" i="1" s="1"/>
  <c r="F18" i="1"/>
  <c r="E18" i="1" s="1" a="1"/>
  <c r="E18" i="1" s="1"/>
  <c r="F17" i="1"/>
  <c r="E17" i="1" s="1" a="1"/>
  <c r="E17" i="1" s="1"/>
  <c r="F16" i="1"/>
  <c r="E16" i="1" s="1" a="1"/>
  <c r="E16" i="1" s="1"/>
  <c r="F15" i="1"/>
  <c r="E15" i="1" s="1" a="1"/>
  <c r="E15" i="1" s="1"/>
  <c r="F14" i="1"/>
  <c r="E14" i="1" s="1" a="1"/>
  <c r="E14" i="1" s="1"/>
  <c r="F96" i="1"/>
  <c r="E96" i="1" s="1" a="1"/>
  <c r="E96" i="1" s="1"/>
  <c r="F95" i="1"/>
  <c r="E95" i="1" s="1" a="1"/>
  <c r="E95" i="1" s="1"/>
  <c r="F94" i="1"/>
  <c r="E94" i="1" s="1" a="1"/>
  <c r="E94" i="1" s="1"/>
  <c r="F93" i="1"/>
  <c r="E93" i="1" s="1" a="1"/>
  <c r="E93" i="1" s="1"/>
  <c r="F92" i="1"/>
  <c r="E92" i="1" s="1" a="1"/>
  <c r="E92" i="1" s="1"/>
  <c r="F91" i="1"/>
  <c r="E91" i="1" s="1" a="1"/>
  <c r="E91" i="1" s="1"/>
  <c r="F90" i="1"/>
  <c r="E90" i="1" s="1" a="1"/>
  <c r="E90" i="1" s="1"/>
  <c r="F190" i="1"/>
  <c r="F189" i="1"/>
  <c r="E189" i="1" s="1" a="1"/>
  <c r="E189" i="1" s="1"/>
  <c r="F188" i="1"/>
  <c r="E188" i="1" s="1" a="1"/>
  <c r="E188" i="1" s="1"/>
  <c r="F187" i="1"/>
  <c r="E187" i="1" s="1" a="1"/>
  <c r="E187" i="1" s="1"/>
  <c r="F186" i="1"/>
  <c r="E186" i="1" s="1" a="1"/>
  <c r="E186" i="1" s="1"/>
  <c r="F185" i="1"/>
  <c r="E185" i="1" s="1" a="1"/>
  <c r="E185" i="1" s="1"/>
  <c r="F184" i="1"/>
  <c r="E184" i="1" s="1" a="1"/>
  <c r="E184" i="1" s="1"/>
  <c r="F183" i="1"/>
  <c r="E183" i="1" s="1" a="1"/>
  <c r="E183" i="1" s="1"/>
  <c r="F182" i="1"/>
  <c r="E182" i="1" s="1" a="1"/>
  <c r="E182" i="1" s="1"/>
  <c r="F181" i="1"/>
  <c r="E181" i="1" s="1" a="1"/>
  <c r="E181" i="1" s="1"/>
  <c r="F180" i="1"/>
  <c r="E180" i="1" s="1" a="1"/>
  <c r="E180" i="1" s="1"/>
  <c r="F179" i="1"/>
  <c r="E179" i="1" s="1" a="1"/>
  <c r="E179" i="1" s="1"/>
  <c r="F178" i="1"/>
  <c r="E178" i="1" s="1" a="1"/>
  <c r="E178" i="1" s="1"/>
  <c r="F177" i="1"/>
  <c r="E177" i="1" s="1" a="1"/>
  <c r="E177" i="1" s="1"/>
  <c r="F176" i="1"/>
  <c r="E176" i="1" s="1" a="1"/>
  <c r="E176" i="1" s="1"/>
  <c r="F175" i="1"/>
  <c r="E175" i="1" s="1" a="1"/>
  <c r="E175" i="1" s="1"/>
  <c r="F174" i="1"/>
  <c r="E174" i="1" s="1" a="1"/>
  <c r="E174" i="1" s="1"/>
  <c r="F173" i="1"/>
  <c r="E173" i="1" s="1" a="1"/>
  <c r="E173" i="1" s="1"/>
  <c r="F172" i="1"/>
  <c r="E172" i="1" s="1" a="1"/>
  <c r="E172" i="1" s="1"/>
  <c r="F171" i="1"/>
  <c r="E171" i="1" s="1" a="1"/>
  <c r="E171" i="1" s="1"/>
  <c r="F170" i="1"/>
  <c r="E170" i="1" s="1" a="1"/>
  <c r="E170" i="1" s="1"/>
  <c r="F169" i="1"/>
  <c r="E169" i="1" s="1" a="1"/>
  <c r="E169" i="1" s="1"/>
  <c r="F168" i="1"/>
  <c r="E168" i="1" s="1" a="1"/>
  <c r="E168" i="1" s="1"/>
  <c r="F199" i="1"/>
  <c r="E199" i="1" s="1" a="1"/>
  <c r="E199" i="1" s="1"/>
  <c r="F198" i="1"/>
  <c r="F197" i="1"/>
  <c r="E197" i="1" s="1" a="1"/>
  <c r="E197" i="1" s="1"/>
  <c r="F196" i="1"/>
  <c r="E196" i="1" s="1" a="1"/>
  <c r="E196" i="1" s="1"/>
  <c r="F195" i="1"/>
  <c r="E195" i="1" s="1" a="1"/>
  <c r="E195" i="1" s="1"/>
  <c r="F194" i="1"/>
  <c r="E194" i="1" s="1" a="1"/>
  <c r="E194" i="1" s="1"/>
  <c r="F193" i="1"/>
  <c r="E193" i="1" s="1" a="1"/>
  <c r="E193" i="1" s="1"/>
  <c r="F192" i="1"/>
  <c r="E192" i="1" s="1" a="1"/>
  <c r="E192" i="1" s="1"/>
  <c r="F206" i="1"/>
  <c r="E206" i="1" s="1" a="1"/>
  <c r="E206" i="1" s="1"/>
  <c r="F205" i="1"/>
  <c r="E205" i="1" s="1" a="1"/>
  <c r="E205" i="1" s="1"/>
  <c r="F204" i="1"/>
  <c r="E204" i="1" s="1" a="1"/>
  <c r="E204" i="1" s="1"/>
  <c r="F203" i="1"/>
  <c r="E203" i="1" s="1" a="1"/>
  <c r="E203" i="1" s="1"/>
  <c r="F202" i="1"/>
  <c r="E202" i="1" s="1" a="1"/>
  <c r="E202" i="1" s="1"/>
  <c r="F201" i="1"/>
  <c r="E201" i="1" s="1" a="1"/>
  <c r="E201" i="1" s="1"/>
  <c r="F200" i="1"/>
  <c r="E200" i="1" s="1" a="1"/>
  <c r="E200" i="1" s="1"/>
  <c r="F213" i="1"/>
  <c r="E213" i="1" s="1" a="1"/>
  <c r="E213" i="1" s="1"/>
  <c r="F212" i="1"/>
  <c r="E212" i="1" s="1" a="1"/>
  <c r="E212" i="1" s="1"/>
  <c r="F211" i="1"/>
  <c r="E211" i="1" s="1" a="1"/>
  <c r="E211" i="1" s="1"/>
  <c r="F210" i="1"/>
  <c r="E210" i="1" s="1" a="1"/>
  <c r="E210" i="1" s="1"/>
  <c r="F209" i="1"/>
  <c r="E209" i="1" s="1" a="1"/>
  <c r="E209" i="1" s="1"/>
  <c r="F208" i="1"/>
  <c r="E208" i="1" s="1" a="1"/>
  <c r="E208" i="1" s="1"/>
  <c r="F207" i="1"/>
  <c r="E207" i="1" s="1" a="1"/>
  <c r="E207" i="1" s="1"/>
  <c r="F165" i="1"/>
  <c r="E165" i="1" s="1" a="1"/>
  <c r="E165" i="1" s="1"/>
  <c r="F164" i="1"/>
  <c r="E164" i="1" s="1" a="1"/>
  <c r="E164" i="1" s="1"/>
  <c r="F163" i="1"/>
  <c r="E163" i="1" s="1" a="1"/>
  <c r="E163" i="1" s="1"/>
  <c r="F162" i="1"/>
  <c r="E162" i="1" s="1" a="1"/>
  <c r="E162" i="1" s="1"/>
  <c r="F161" i="1"/>
  <c r="E161" i="1" s="1" a="1"/>
  <c r="E161" i="1" s="1"/>
  <c r="F160" i="1"/>
  <c r="E160" i="1" s="1" a="1"/>
  <c r="E160" i="1" s="1"/>
  <c r="F159" i="1"/>
  <c r="E159" i="1" s="1" a="1"/>
  <c r="E159" i="1" s="1"/>
  <c r="F158" i="1"/>
  <c r="E158" i="1" s="1" a="1"/>
  <c r="E158" i="1" s="1"/>
  <c r="F157" i="1"/>
  <c r="E157" i="1" s="1" a="1"/>
  <c r="E157" i="1" s="1"/>
  <c r="F156" i="1"/>
  <c r="E156" i="1" s="1" a="1"/>
  <c r="E156" i="1" s="1"/>
  <c r="F155" i="1"/>
  <c r="E155" i="1" s="1" a="1"/>
  <c r="E155" i="1" s="1"/>
  <c r="F154" i="1"/>
  <c r="E154" i="1" s="1" a="1"/>
  <c r="E154" i="1" s="1"/>
  <c r="F153" i="1"/>
  <c r="E153" i="1" s="1" a="1"/>
  <c r="E153" i="1" s="1"/>
  <c r="F152" i="1"/>
  <c r="E152" i="1" s="1" a="1"/>
  <c r="E152" i="1" s="1"/>
  <c r="F151" i="1"/>
  <c r="E151" i="1" s="1" a="1"/>
  <c r="E151" i="1" s="1"/>
  <c r="F150" i="1"/>
  <c r="E150" i="1" s="1" a="1"/>
  <c r="E150" i="1" s="1"/>
  <c r="F149" i="1"/>
  <c r="E149" i="1" s="1" a="1"/>
  <c r="E149" i="1" s="1"/>
  <c r="F148" i="1"/>
  <c r="E148" i="1" s="1" a="1"/>
  <c r="E148" i="1" s="1"/>
  <c r="F147" i="1"/>
  <c r="E147" i="1" s="1" a="1"/>
  <c r="E147" i="1" s="1"/>
  <c r="F146" i="1"/>
  <c r="E146" i="1" s="1" a="1"/>
  <c r="E146" i="1" s="1"/>
  <c r="F145" i="1"/>
  <c r="E145" i="1" s="1" a="1"/>
  <c r="E145" i="1" s="1"/>
  <c r="F144" i="1"/>
  <c r="E144" i="1" s="1" a="1"/>
  <c r="E144" i="1" s="1"/>
  <c r="F143" i="1"/>
  <c r="E143" i="1" s="1" a="1"/>
  <c r="E143" i="1" s="1"/>
  <c r="F142" i="1"/>
  <c r="E142" i="1" s="1" a="1"/>
  <c r="E142" i="1" s="1"/>
  <c r="F141" i="1"/>
  <c r="E141" i="1" s="1" a="1"/>
  <c r="E141" i="1" s="1"/>
  <c r="F140" i="1"/>
  <c r="E140" i="1" s="1" a="1"/>
  <c r="E140" i="1" s="1"/>
  <c r="F139" i="1"/>
  <c r="E139" i="1" s="1" a="1"/>
  <c r="E139" i="1" s="1"/>
  <c r="F138" i="1"/>
  <c r="E138" i="1" s="1" a="1"/>
  <c r="E138" i="1" s="1"/>
  <c r="F137" i="1"/>
  <c r="E137" i="1" s="1" a="1"/>
  <c r="E137" i="1" s="1"/>
  <c r="F136" i="1"/>
  <c r="E136" i="1" s="1" a="1"/>
  <c r="E136" i="1" s="1"/>
  <c r="F135" i="1"/>
  <c r="E135" i="1" s="1" a="1"/>
  <c r="E135" i="1" s="1"/>
  <c r="F134" i="1"/>
  <c r="E134" i="1" s="1" a="1"/>
  <c r="E134" i="1" s="1"/>
  <c r="F133" i="1"/>
  <c r="E133" i="1" s="1" a="1"/>
  <c r="E133" i="1" s="1"/>
  <c r="F132" i="1"/>
  <c r="E132" i="1" s="1" a="1"/>
  <c r="E132" i="1" s="1"/>
  <c r="F131" i="1"/>
  <c r="E131" i="1" s="1" a="1"/>
  <c r="E131" i="1" s="1"/>
  <c r="F129" i="1"/>
  <c r="E129" i="1" s="1" a="1"/>
  <c r="E129" i="1" s="1"/>
  <c r="F128" i="1"/>
  <c r="E128" i="1" s="1" a="1"/>
  <c r="E128" i="1" s="1"/>
  <c r="F127" i="1"/>
  <c r="E127" i="1" s="1" a="1"/>
  <c r="E127" i="1" s="1"/>
  <c r="F98" i="1"/>
  <c r="E98" i="1" s="1" a="1"/>
  <c r="E98" i="1" s="1"/>
  <c r="F97" i="1"/>
  <c r="E97" i="1" s="1" a="1"/>
  <c r="E97" i="1" s="1"/>
  <c r="F68" i="1"/>
  <c r="E68" i="1" s="1" a="1"/>
  <c r="E68" i="1" s="1"/>
  <c r="F67" i="1"/>
  <c r="E67" i="1" s="1" a="1"/>
  <c r="E67" i="1" s="1"/>
  <c r="F105" i="1"/>
  <c r="E105" i="1" s="1" a="1"/>
  <c r="E105" i="1" s="1"/>
  <c r="F104" i="1"/>
  <c r="E104" i="1" s="1" a="1"/>
  <c r="E104" i="1" s="1"/>
  <c r="F103" i="1"/>
  <c r="E103" i="1" s="1" a="1"/>
  <c r="E103" i="1" s="1"/>
  <c r="F102" i="1"/>
  <c r="E102" i="1" s="1" a="1"/>
  <c r="E102" i="1" s="1"/>
  <c r="F101" i="1"/>
  <c r="E101" i="1" s="1" a="1"/>
  <c r="E101" i="1" s="1"/>
  <c r="F100" i="1"/>
  <c r="E100" i="1" s="1" a="1"/>
  <c r="E100" i="1" s="1"/>
  <c r="F99" i="1"/>
  <c r="E99" i="1" s="1" a="1"/>
  <c r="E99" i="1" s="1"/>
  <c r="F75" i="1"/>
  <c r="E75" i="1" s="1" a="1"/>
  <c r="E75" i="1" s="1"/>
  <c r="F74" i="1"/>
  <c r="E74" i="1" s="1" a="1"/>
  <c r="E74" i="1" s="1"/>
  <c r="F73" i="1"/>
  <c r="E73" i="1" s="1" a="1"/>
  <c r="E73" i="1" s="1"/>
  <c r="F72" i="1"/>
  <c r="E72" i="1" s="1" a="1"/>
  <c r="E72" i="1" s="1"/>
  <c r="F71" i="1"/>
  <c r="E71" i="1" s="1" a="1"/>
  <c r="E71" i="1" s="1"/>
  <c r="F70" i="1"/>
  <c r="E70" i="1" s="1" a="1"/>
  <c r="E70" i="1" s="1"/>
  <c r="F69" i="1"/>
  <c r="E69" i="1" s="1" a="1"/>
  <c r="E69" i="1" s="1"/>
  <c r="F126" i="1"/>
  <c r="E126" i="1" s="1" a="1"/>
  <c r="E126" i="1" s="1"/>
  <c r="F125" i="1"/>
  <c r="E125" i="1" s="1" a="1"/>
  <c r="E125" i="1" s="1"/>
  <c r="F124" i="1"/>
  <c r="E124" i="1" s="1" a="1"/>
  <c r="E124" i="1" s="1"/>
  <c r="F123" i="1"/>
  <c r="E123" i="1" s="1" a="1"/>
  <c r="E123" i="1" s="1"/>
  <c r="F122" i="1"/>
  <c r="E122" i="1" s="1" a="1"/>
  <c r="E122" i="1" s="1"/>
  <c r="F121" i="1"/>
  <c r="E121" i="1" s="1" a="1"/>
  <c r="E121" i="1" s="1"/>
  <c r="F120" i="1"/>
  <c r="E120" i="1" s="1" a="1"/>
  <c r="E120" i="1" s="1"/>
  <c r="F112" i="1"/>
  <c r="E112" i="1" s="1" a="1"/>
  <c r="E112" i="1" s="1"/>
  <c r="F111" i="1"/>
  <c r="E111" i="1" s="1" a="1"/>
  <c r="E111" i="1" s="1"/>
  <c r="F110" i="1"/>
  <c r="E110" i="1" s="1" a="1"/>
  <c r="E110" i="1" s="1"/>
  <c r="F109" i="1"/>
  <c r="E109" i="1" s="1" a="1"/>
  <c r="E109" i="1" s="1"/>
  <c r="F108" i="1"/>
  <c r="E108" i="1" s="1" a="1"/>
  <c r="E108" i="1" s="1"/>
  <c r="F107" i="1"/>
  <c r="E107" i="1" s="1" a="1"/>
  <c r="E107" i="1" s="1"/>
  <c r="F106" i="1"/>
  <c r="E106" i="1" s="1" a="1"/>
  <c r="E106" i="1" s="1"/>
  <c r="F82" i="1"/>
  <c r="F81" i="1"/>
  <c r="F80" i="1"/>
  <c r="F79" i="1"/>
  <c r="F78" i="1"/>
  <c r="E78" i="1" s="1" a="1"/>
  <c r="E78" i="1" s="1"/>
  <c r="F77" i="1"/>
  <c r="E77" i="1" s="1" a="1"/>
  <c r="E77" i="1" s="1"/>
  <c r="F76" i="1"/>
  <c r="E76" i="1" s="1" a="1"/>
  <c r="E76" i="1" s="1"/>
  <c r="F119" i="1"/>
  <c r="F118" i="1"/>
  <c r="F117" i="1"/>
  <c r="F116" i="1"/>
  <c r="F115" i="1"/>
  <c r="F114" i="1"/>
  <c r="F113" i="1"/>
  <c r="A79" i="2" l="1"/>
  <c r="B1" i="2"/>
  <c r="H6" i="2" s="1"/>
  <c r="Z71" i="2" l="1"/>
  <c r="X71" i="2"/>
  <c r="W71" i="2"/>
  <c r="V71" i="2"/>
  <c r="U71" i="2"/>
  <c r="T71" i="2"/>
  <c r="S71" i="2"/>
  <c r="R71" i="2"/>
  <c r="P71" i="2"/>
  <c r="O71" i="2"/>
  <c r="N71" i="2"/>
  <c r="M71" i="2"/>
  <c r="L71" i="2"/>
  <c r="K71" i="2"/>
  <c r="J71" i="2"/>
  <c r="H71" i="2"/>
  <c r="G71" i="2"/>
  <c r="F71" i="2"/>
  <c r="E71" i="2"/>
  <c r="D71" i="2"/>
  <c r="C71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4" i="2"/>
  <c r="V14" i="2"/>
  <c r="U14" i="2"/>
  <c r="T14" i="2"/>
  <c r="S14" i="2"/>
  <c r="R14" i="2"/>
  <c r="P14" i="2"/>
  <c r="O14" i="2"/>
  <c r="N14" i="2"/>
  <c r="M14" i="2"/>
  <c r="L14" i="2"/>
  <c r="K14" i="2"/>
  <c r="J14" i="2"/>
  <c r="H14" i="2"/>
  <c r="G14" i="2"/>
  <c r="F14" i="2"/>
  <c r="E14" i="2"/>
  <c r="D14" i="2"/>
  <c r="C14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  <c r="X6" i="2"/>
  <c r="W6" i="2"/>
  <c r="V6" i="2"/>
  <c r="U6" i="2"/>
  <c r="T6" i="2"/>
  <c r="S6" i="2"/>
  <c r="R6" i="2"/>
  <c r="P6" i="2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K6" i="1"/>
  <c r="L6" i="1" s="1"/>
  <c r="M6" i="1" s="1"/>
  <c r="N6" i="1" s="1"/>
  <c r="O6" i="1" s="1"/>
  <c r="P6" i="1" s="1"/>
  <c r="Q6" i="1" s="1"/>
  <c r="R6" i="1" s="1"/>
  <c r="S6" i="1" s="1"/>
  <c r="T6" i="1" s="1"/>
  <c r="U6" i="1" s="1"/>
  <c r="V6" i="1" s="1"/>
  <c r="W6" i="1" s="1"/>
  <c r="X6" i="1" s="1"/>
  <c r="Y6" i="1" s="1"/>
  <c r="Z6" i="1" s="1"/>
  <c r="AA6" i="1" s="1"/>
  <c r="AB6" i="1" s="1"/>
  <c r="AC6" i="1" s="1"/>
  <c r="AD6" i="1" s="1"/>
  <c r="AE6" i="1" s="1"/>
  <c r="AF6" i="1" s="1"/>
  <c r="AG6" i="1" s="1"/>
  <c r="AH6" i="1" s="1"/>
  <c r="AI6" i="1" s="1"/>
  <c r="AJ6" i="1" s="1"/>
  <c r="AK6" i="1" s="1"/>
  <c r="AL6" i="1" s="1"/>
  <c r="AM6" i="1" s="1"/>
  <c r="AN6" i="1" s="1"/>
  <c r="AO6" i="1" s="1"/>
  <c r="AP6" i="1" s="1"/>
  <c r="AQ6" i="1" s="1"/>
  <c r="AR6" i="1" s="1"/>
  <c r="AS6" i="1" s="1"/>
  <c r="AT6" i="1" s="1"/>
  <c r="AU6" i="1" s="1"/>
  <c r="AV6" i="1" s="1"/>
  <c r="AW6" i="1" s="1"/>
  <c r="AX6" i="1" s="1"/>
  <c r="AY6" i="1" s="1"/>
  <c r="AZ6" i="1" s="1"/>
  <c r="BA6" i="1" s="1"/>
  <c r="BB6" i="1" s="1"/>
  <c r="BC6" i="1" s="1"/>
  <c r="BD6" i="1" s="1"/>
  <c r="BE6" i="1" s="1"/>
  <c r="BF6" i="1" s="1"/>
  <c r="BG6" i="1" s="1"/>
  <c r="BH6" i="1" s="1"/>
  <c r="BI6" i="1" s="1"/>
  <c r="BJ6" i="1" s="1"/>
  <c r="BK6" i="1" s="1"/>
  <c r="BL6" i="1" s="1"/>
  <c r="BM6" i="1" s="1"/>
  <c r="BN6" i="1" s="1"/>
  <c r="BO6" i="1" s="1"/>
  <c r="BP6" i="1" s="1"/>
  <c r="BQ6" i="1" s="1"/>
  <c r="BR6" i="1" s="1"/>
  <c r="BS6" i="1" s="1"/>
  <c r="BT6" i="1" s="1"/>
  <c r="BU6" i="1" s="1"/>
  <c r="BV6" i="1" s="1"/>
  <c r="BW6" i="1" s="1"/>
  <c r="BX6" i="1" s="1"/>
  <c r="BY6" i="1" s="1"/>
  <c r="BZ6" i="1" s="1"/>
  <c r="CA6" i="1" s="1"/>
  <c r="CB6" i="1" s="1"/>
  <c r="CC6" i="1" s="1"/>
  <c r="CD6" i="1" s="1"/>
  <c r="CE6" i="1" s="1"/>
  <c r="CF6" i="1" s="1"/>
  <c r="CG6" i="1" s="1"/>
  <c r="CH6" i="1" s="1"/>
  <c r="CI6" i="1" s="1"/>
  <c r="CJ6" i="1" s="1"/>
  <c r="CK6" i="1" s="1"/>
  <c r="CL6" i="1" s="1"/>
  <c r="CM6" i="1" s="1"/>
  <c r="CN6" i="1" s="1"/>
  <c r="CO6" i="1" s="1"/>
  <c r="CP6" i="1" s="1"/>
  <c r="CQ6" i="1" s="1"/>
  <c r="CR6" i="1" s="1"/>
  <c r="CS6" i="1" s="1"/>
  <c r="CT6" i="1" s="1"/>
  <c r="CU6" i="1" s="1"/>
  <c r="CV6" i="1" s="1"/>
  <c r="CW6" i="1" s="1"/>
  <c r="CX6" i="1" s="1"/>
  <c r="CY6" i="1" s="1"/>
  <c r="K5" i="1"/>
  <c r="K4" i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Q4" i="1" s="1"/>
  <c r="BR4" i="1" s="1"/>
  <c r="BS4" i="1" s="1"/>
  <c r="BT4" i="1" s="1"/>
  <c r="BU4" i="1" s="1"/>
  <c r="BV4" i="1" s="1"/>
  <c r="BW4" i="1" s="1"/>
  <c r="BX4" i="1" s="1"/>
  <c r="BY4" i="1" s="1"/>
  <c r="BZ4" i="1" s="1"/>
  <c r="CA4" i="1" s="1"/>
  <c r="CB4" i="1" s="1"/>
  <c r="CC4" i="1" s="1"/>
  <c r="CD4" i="1" s="1"/>
  <c r="CE4" i="1" s="1"/>
  <c r="CF4" i="1" s="1"/>
  <c r="CG4" i="1" s="1"/>
  <c r="CH4" i="1" s="1"/>
  <c r="CI4" i="1" s="1"/>
  <c r="CJ4" i="1" s="1"/>
  <c r="CK4" i="1" s="1"/>
  <c r="CL4" i="1" s="1"/>
  <c r="CM4" i="1" s="1"/>
  <c r="CN4" i="1" s="1"/>
  <c r="CO4" i="1" s="1"/>
  <c r="CP4" i="1" s="1"/>
  <c r="CQ4" i="1" s="1"/>
  <c r="CR4" i="1" s="1"/>
  <c r="CS4" i="1" s="1"/>
  <c r="CT4" i="1" s="1"/>
  <c r="CU4" i="1" s="1"/>
  <c r="CV4" i="1" s="1"/>
  <c r="CW4" i="1" s="1"/>
  <c r="CX4" i="1" s="1"/>
  <c r="CY4" i="1" s="1"/>
  <c r="L5" i="1" l="1"/>
  <c r="M5" i="1" l="1"/>
  <c r="N5" i="1" l="1"/>
  <c r="O5" i="1"/>
  <c r="P5" i="1" l="1"/>
  <c r="Q5" i="1" l="1"/>
  <c r="R5" i="1" l="1"/>
  <c r="S5" i="1" l="1"/>
  <c r="T5" i="1" l="1"/>
  <c r="U5" i="1" l="1"/>
  <c r="V5" i="1" l="1"/>
  <c r="W5" i="1" l="1"/>
  <c r="X5" i="1" l="1"/>
  <c r="Y5" i="1" l="1"/>
  <c r="Z5" i="1" l="1"/>
  <c r="AA5" i="1" l="1"/>
  <c r="AB5" i="1" l="1"/>
  <c r="AC5" i="1" l="1"/>
  <c r="AD5" i="1" l="1"/>
  <c r="AE5" i="1" l="1"/>
  <c r="AF5" i="1" l="1"/>
  <c r="AG5" i="1" l="1"/>
  <c r="AH5" i="1" l="1"/>
  <c r="AI5" i="1" l="1"/>
  <c r="AJ5" i="1" l="1"/>
  <c r="AK5" i="1" l="1"/>
  <c r="AL5" i="1" l="1"/>
  <c r="AM5" i="1" l="1"/>
  <c r="E113" i="1" l="1" a="1"/>
  <c r="E113" i="1" s="1"/>
  <c r="E116" i="1" a="1"/>
  <c r="E116" i="1" s="1"/>
  <c r="E114" i="1" a="1"/>
  <c r="E114" i="1" s="1"/>
  <c r="E115" i="1" a="1"/>
  <c r="E115" i="1" s="1"/>
  <c r="AN5" i="1"/>
  <c r="AO5" i="1" l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E82" i="1" a="1"/>
  <c r="E82" i="1" s="1"/>
  <c r="E80" i="1" a="1"/>
  <c r="E80" i="1" s="1"/>
  <c r="E79" i="1" a="1"/>
  <c r="E79" i="1" s="1"/>
  <c r="E117" i="1" a="1"/>
  <c r="E117" i="1" s="1"/>
  <c r="E81" i="1" a="1"/>
  <c r="E81" i="1" s="1"/>
  <c r="E119" i="1" a="1"/>
  <c r="E119" i="1" s="1"/>
  <c r="E118" i="1" a="1"/>
  <c r="E1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eddy</author>
  </authors>
  <commentList>
    <comment ref="C29" authorId="0" shapeId="0" xr:uid="{0FAC3AB0-D7D8-4012-8119-E4719549DADB}">
      <text>
        <r>
          <rPr>
            <b/>
            <sz val="9"/>
            <color indexed="81"/>
            <rFont val="Tahoma"/>
            <family val="2"/>
          </rPr>
          <t>eddy: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<sst xmlns="http://schemas.openxmlformats.org/spreadsheetml/2006/main" count="6705" uniqueCount="1147">
  <si>
    <t>Block No</t>
  </si>
  <si>
    <t>Tanggal Tanam</t>
  </si>
  <si>
    <t>Tanaman</t>
  </si>
  <si>
    <t>Total Panen per Hari (kg)</t>
  </si>
  <si>
    <t>Total Tanam kangkung per Hari (bedeng)</t>
  </si>
  <si>
    <t>Total volume penyemprotan Pupuk Daun  per hari</t>
  </si>
  <si>
    <t>Total volume Pupuk Cor  per hari (Bedeng)</t>
  </si>
  <si>
    <t>Total volume penyemprotan Insect per hari (Bedeng)</t>
  </si>
  <si>
    <t>T.SWG-A</t>
  </si>
  <si>
    <t>AA001</t>
  </si>
  <si>
    <t>Kangkung</t>
  </si>
  <si>
    <t>C2</t>
  </si>
  <si>
    <t>T</t>
  </si>
  <si>
    <t>C1</t>
  </si>
  <si>
    <t>P2</t>
  </si>
  <si>
    <t>P3</t>
  </si>
  <si>
    <t>P1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</si>
  <si>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</si>
  <si>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</si>
  <si>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</si>
  <si>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</si>
  <si>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</si>
  <si>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</si>
  <si>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</si>
  <si>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</si>
  <si>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</si>
  <si>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</si>
  <si>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</si>
  <si>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</si>
  <si>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</si>
  <si>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</si>
  <si>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</si>
  <si>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</si>
  <si>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</si>
  <si>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</si>
  <si>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</si>
  <si>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</si>
  <si>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</si>
  <si>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</si>
  <si>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</si>
  <si>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</si>
  <si>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</si>
  <si>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</si>
  <si>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</si>
  <si>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</si>
  <si>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</si>
  <si>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</si>
  <si>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</si>
  <si>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</si>
  <si>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</si>
  <si>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</si>
  <si>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</si>
  <si>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</si>
  <si>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</si>
  <si>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</si>
  <si>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</si>
  <si>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T.SWG-B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</si>
  <si>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</si>
  <si>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</si>
  <si>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</si>
  <si>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</si>
  <si>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</si>
  <si>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</si>
  <si>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</si>
  <si>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</si>
  <si>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</si>
  <si>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</si>
  <si>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</si>
  <si>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</si>
  <si>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</si>
  <si>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</si>
  <si>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</si>
  <si>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</si>
  <si>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</si>
  <si>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</si>
  <si>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</si>
  <si>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</si>
  <si>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</si>
  <si>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</si>
  <si>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</si>
  <si>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</si>
  <si>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</si>
  <si>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</si>
  <si>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</si>
  <si>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</si>
  <si>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</si>
  <si>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</si>
  <si>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</si>
  <si>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</si>
  <si>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</si>
  <si>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</si>
  <si>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</si>
  <si>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</si>
  <si>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</si>
  <si>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</si>
  <si>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</si>
  <si>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</si>
  <si>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</si>
  <si>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</si>
  <si>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</si>
  <si>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</si>
  <si>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</si>
  <si>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</si>
  <si>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</si>
  <si>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</si>
  <si>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</si>
  <si>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</si>
  <si>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</si>
  <si>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</si>
  <si>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</si>
  <si>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</si>
  <si>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</si>
  <si>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</si>
  <si>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</si>
  <si>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</si>
  <si>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</si>
  <si>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</si>
  <si>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Ngogai</t>
  </si>
  <si>
    <t>BC001</t>
  </si>
  <si>
    <t>BC002</t>
  </si>
  <si>
    <t>BC003</t>
  </si>
  <si>
    <t>Kucai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</si>
  <si>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</si>
  <si>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</si>
  <si>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</si>
  <si>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</si>
  <si>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</si>
  <si>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</si>
  <si>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</si>
  <si>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</si>
  <si>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</si>
  <si>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</si>
  <si>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T.TA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</si>
  <si>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</si>
  <si>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</si>
  <si>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</si>
  <si>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</si>
  <si>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</si>
  <si>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</si>
  <si>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</si>
  <si>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</si>
  <si>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</si>
  <si>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</si>
  <si>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</si>
  <si>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</si>
  <si>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</si>
  <si>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T.TB</t>
  </si>
  <si>
    <t>T.BS</t>
  </si>
  <si>
    <t>CA001</t>
  </si>
  <si>
    <t>CA002</t>
  </si>
  <si>
    <t>CA003</t>
  </si>
  <si>
    <t>CA004</t>
  </si>
  <si>
    <t>CA005</t>
  </si>
  <si>
    <t>CA006</t>
  </si>
  <si>
    <t>CA007</t>
  </si>
  <si>
    <t>CA008</t>
  </si>
  <si>
    <t>CA009</t>
  </si>
  <si>
    <t>CA010</t>
  </si>
  <si>
    <t>CA011</t>
  </si>
  <si>
    <t>CA012</t>
  </si>
  <si>
    <t>CA013</t>
  </si>
  <si>
    <t>CA014</t>
  </si>
  <si>
    <t>CA015</t>
  </si>
  <si>
    <t>CA016</t>
  </si>
  <si>
    <t>CA017</t>
  </si>
  <si>
    <t>CA018</t>
  </si>
  <si>
    <t>CA019</t>
  </si>
  <si>
    <t>CA020</t>
  </si>
  <si>
    <t>CA021</t>
  </si>
  <si>
    <t>CC014</t>
  </si>
  <si>
    <t>CC015</t>
  </si>
  <si>
    <t>CC016</t>
  </si>
  <si>
    <t>CC017</t>
  </si>
  <si>
    <t>CC018</t>
  </si>
  <si>
    <t>CC019</t>
  </si>
  <si>
    <t>CC020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</si>
  <si>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</si>
  <si>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</si>
  <si>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</si>
  <si>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</si>
  <si>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</si>
  <si>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</si>
  <si>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</si>
  <si>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</si>
  <si>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</si>
  <si>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</si>
  <si>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</si>
  <si>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Kunyit</t>
  </si>
  <si>
    <t>Cabe</t>
  </si>
  <si>
    <t>Terong</t>
  </si>
  <si>
    <t>Legend</t>
  </si>
  <si>
    <t>No Bedeng</t>
  </si>
  <si>
    <t>Umur Tanaman</t>
  </si>
  <si>
    <t>Bedeng Kosong</t>
  </si>
  <si>
    <t/>
  </si>
  <si>
    <t>Ngo Gai</t>
  </si>
  <si>
    <t>TANGGA</t>
  </si>
  <si>
    <t>CC021</t>
  </si>
  <si>
    <t>CC013</t>
  </si>
  <si>
    <t>CC012</t>
  </si>
  <si>
    <t>CC011</t>
  </si>
  <si>
    <t>CC010</t>
  </si>
  <si>
    <t>CC009</t>
  </si>
  <si>
    <t>CC008</t>
  </si>
  <si>
    <t>CC007</t>
  </si>
  <si>
    <t>CC006</t>
  </si>
  <si>
    <t>CC005</t>
  </si>
  <si>
    <t>CC004</t>
  </si>
  <si>
    <t>CC003</t>
  </si>
  <si>
    <t>CC002</t>
  </si>
  <si>
    <t>CC001</t>
  </si>
  <si>
    <t>Rau Que</t>
  </si>
  <si>
    <t>tanggal</t>
  </si>
  <si>
    <t>bedeng</t>
  </si>
  <si>
    <t>AA01</t>
  </si>
  <si>
    <t>AA02</t>
  </si>
  <si>
    <t>AA03</t>
  </si>
  <si>
    <t>AA04</t>
  </si>
  <si>
    <t>AA05</t>
  </si>
  <si>
    <t>AA06</t>
  </si>
  <si>
    <t>AA07</t>
  </si>
  <si>
    <t>AA08</t>
  </si>
  <si>
    <t>AA09</t>
  </si>
  <si>
    <t>AA10</t>
  </si>
  <si>
    <t>AA11</t>
  </si>
  <si>
    <t>AA12</t>
  </si>
  <si>
    <t>AA13</t>
  </si>
  <si>
    <t>AA14</t>
  </si>
  <si>
    <t>AA15</t>
  </si>
  <si>
    <t>AA16</t>
  </si>
  <si>
    <t>AA17</t>
  </si>
  <si>
    <t>AA18</t>
  </si>
  <si>
    <t>AA19</t>
  </si>
  <si>
    <t>AA20</t>
  </si>
  <si>
    <t>AB01</t>
  </si>
  <si>
    <t>AB02</t>
  </si>
  <si>
    <t>AB03</t>
  </si>
  <si>
    <t>AB04</t>
  </si>
  <si>
    <t>AB05</t>
  </si>
  <si>
    <t>AB06</t>
  </si>
  <si>
    <t>AB07</t>
  </si>
  <si>
    <t>AB08</t>
  </si>
  <si>
    <t>AB09</t>
  </si>
  <si>
    <t>AB10</t>
  </si>
  <si>
    <t>AB11</t>
  </si>
  <si>
    <t>AB12</t>
  </si>
  <si>
    <t>AB13</t>
  </si>
  <si>
    <t>AB14</t>
  </si>
  <si>
    <t>AB15</t>
  </si>
  <si>
    <t>AB16</t>
  </si>
  <si>
    <t>AB17</t>
  </si>
  <si>
    <t>AB18</t>
  </si>
  <si>
    <t>AB19</t>
  </si>
  <si>
    <t>AB20</t>
  </si>
  <si>
    <t>AC06</t>
  </si>
  <si>
    <t>AC07</t>
  </si>
  <si>
    <t>AC10</t>
  </si>
  <si>
    <t>AC11</t>
  </si>
  <si>
    <t>AC12</t>
  </si>
  <si>
    <t>AC13</t>
  </si>
  <si>
    <t>AC14</t>
  </si>
  <si>
    <t>AC15</t>
  </si>
  <si>
    <t>AC16</t>
  </si>
  <si>
    <t>AC17</t>
  </si>
  <si>
    <t>AC18</t>
  </si>
  <si>
    <t>AC19</t>
  </si>
  <si>
    <t>AC20</t>
  </si>
  <si>
    <t>BA01</t>
  </si>
  <si>
    <t>BA02</t>
  </si>
  <si>
    <t>BA03</t>
  </si>
  <si>
    <t>BA04</t>
  </si>
  <si>
    <t>BA05</t>
  </si>
  <si>
    <t>BA06</t>
  </si>
  <si>
    <t>BA07</t>
  </si>
  <si>
    <t>BA08</t>
  </si>
  <si>
    <t>BA09</t>
  </si>
  <si>
    <t>BA10</t>
  </si>
  <si>
    <t>BA11</t>
  </si>
  <si>
    <t>BA12</t>
  </si>
  <si>
    <t>BA13</t>
  </si>
  <si>
    <t>BA14</t>
  </si>
  <si>
    <t>BA15</t>
  </si>
  <si>
    <t>BA16</t>
  </si>
  <si>
    <t>BA17</t>
  </si>
  <si>
    <t>BA18</t>
  </si>
  <si>
    <t>BA19</t>
  </si>
  <si>
    <t>BA20</t>
  </si>
  <si>
    <t>BA21</t>
  </si>
  <si>
    <t>BA22</t>
  </si>
  <si>
    <t>BA23</t>
  </si>
  <si>
    <t>BA24</t>
  </si>
  <si>
    <t>BA25</t>
  </si>
  <si>
    <t>BA26</t>
  </si>
  <si>
    <t>BA27</t>
  </si>
  <si>
    <t>BA28</t>
  </si>
  <si>
    <t>BA29</t>
  </si>
  <si>
    <t>BA30</t>
  </si>
  <si>
    <t>BB01</t>
  </si>
  <si>
    <t>BB02</t>
  </si>
  <si>
    <t>BB03</t>
  </si>
  <si>
    <t>BB04</t>
  </si>
  <si>
    <t>BB05</t>
  </si>
  <si>
    <t>BB06</t>
  </si>
  <si>
    <t>BB07</t>
  </si>
  <si>
    <t>BB08</t>
  </si>
  <si>
    <t>BB09</t>
  </si>
  <si>
    <t>BB10</t>
  </si>
  <si>
    <t>BB11</t>
  </si>
  <si>
    <t>BB12</t>
  </si>
  <si>
    <t>BB13</t>
  </si>
  <si>
    <t>BB14</t>
  </si>
  <si>
    <t>BB15</t>
  </si>
  <si>
    <t>BB16</t>
  </si>
  <si>
    <t>BB17</t>
  </si>
  <si>
    <t>BB18</t>
  </si>
  <si>
    <t>BB19</t>
  </si>
  <si>
    <t>BB20</t>
  </si>
  <si>
    <t>BB21</t>
  </si>
  <si>
    <t>BB22</t>
  </si>
  <si>
    <t>BB23</t>
  </si>
  <si>
    <t>BB24</t>
  </si>
  <si>
    <t>BB25</t>
  </si>
  <si>
    <t>BB26</t>
  </si>
  <si>
    <t>BB27</t>
  </si>
  <si>
    <t>BB28</t>
  </si>
  <si>
    <t>BB29</t>
  </si>
  <si>
    <t>BB30</t>
  </si>
  <si>
    <t>BC01</t>
  </si>
  <si>
    <t>BC02</t>
  </si>
  <si>
    <t>BC06</t>
  </si>
  <si>
    <t>BC07</t>
  </si>
  <si>
    <t>AC01</t>
  </si>
  <si>
    <t>AC02</t>
  </si>
  <si>
    <t>AC03</t>
  </si>
  <si>
    <t>AC04</t>
  </si>
  <si>
    <t>AC05</t>
  </si>
  <si>
    <t>AC08</t>
  </si>
  <si>
    <t>AC09</t>
  </si>
  <si>
    <t>CA01</t>
  </si>
  <si>
    <t>CA02</t>
  </si>
  <si>
    <t>CA03</t>
  </si>
  <si>
    <t>CA04</t>
  </si>
  <si>
    <t>CA05</t>
  </si>
  <si>
    <t>CA06</t>
  </si>
  <si>
    <t>CA07</t>
  </si>
  <si>
    <t>CA08</t>
  </si>
  <si>
    <t>CA09</t>
  </si>
  <si>
    <t>CA10</t>
  </si>
  <si>
    <t>CA11</t>
  </si>
  <si>
    <t>CA12</t>
  </si>
  <si>
    <t>CA13</t>
  </si>
  <si>
    <t>CA14</t>
  </si>
  <si>
    <t>CA15</t>
  </si>
  <si>
    <t>CA16</t>
  </si>
  <si>
    <t>CA17</t>
  </si>
  <si>
    <t>CA18</t>
  </si>
  <si>
    <t>CA19</t>
  </si>
  <si>
    <t>CA20</t>
  </si>
  <si>
    <t>CA21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</si>
  <si>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</si>
  <si>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</si>
  <si>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</si>
  <si>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</si>
  <si>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</si>
  <si>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</si>
  <si>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</si>
  <si>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</si>
  <si>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</si>
  <si>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</si>
  <si>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</si>
  <si>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</si>
  <si>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</si>
  <si>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</si>
  <si>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</si>
  <si>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</si>
  <si>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</si>
  <si>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</si>
  <si>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</si>
  <si>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</si>
  <si>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</si>
  <si>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</si>
  <si>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</si>
  <si>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</si>
  <si>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</si>
  <si>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</si>
  <si>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</si>
  <si>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</si>
  <si>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</si>
  <si>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</si>
  <si>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</si>
  <si>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</si>
  <si>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</si>
  <si>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</si>
  <si>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</si>
  <si>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</si>
  <si>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</si>
  <si>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</si>
  <si>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</si>
  <si>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</si>
  <si>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SA-AC06</t>
  </si>
  <si>
    <t>SA-AC07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</si>
  <si>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</si>
  <si>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</si>
  <si>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</si>
  <si>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</si>
  <si>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</si>
  <si>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</si>
  <si>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</si>
  <si>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</si>
  <si>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</si>
  <si>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</si>
  <si>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</si>
  <si>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</si>
  <si>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</si>
  <si>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</si>
  <si>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</si>
  <si>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</si>
  <si>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</si>
  <si>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</si>
  <si>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</si>
  <si>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</si>
  <si>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</si>
  <si>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</si>
  <si>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</si>
  <si>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</si>
  <si>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</si>
  <si>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</si>
  <si>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</si>
  <si>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</si>
  <si>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</si>
  <si>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</si>
  <si>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</si>
  <si>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</si>
  <si>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</si>
  <si>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</si>
  <si>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</si>
  <si>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</si>
  <si>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</si>
  <si>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</si>
  <si>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</si>
  <si>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</si>
  <si>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</si>
  <si>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</si>
  <si>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</si>
  <si>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</si>
  <si>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</si>
  <si>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</si>
  <si>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</si>
  <si>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</si>
  <si>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</si>
  <si>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</si>
  <si>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</si>
  <si>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</si>
  <si>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</si>
  <si>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</si>
  <si>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</si>
  <si>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</si>
  <si>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</si>
  <si>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</si>
  <si>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</si>
  <si>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</si>
  <si>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</si>
  <si>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</si>
  <si>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</si>
  <si>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</si>
  <si>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</si>
  <si>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</si>
  <si>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</si>
  <si>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</si>
  <si>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</si>
  <si>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</si>
  <si>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</si>
  <si>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</si>
  <si>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</si>
  <si>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</si>
  <si>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</si>
  <si>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</si>
  <si>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</si>
  <si>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</si>
  <si>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</si>
  <si>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</si>
  <si>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</si>
  <si>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</si>
  <si>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</si>
  <si>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</si>
  <si>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</si>
  <si>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</si>
  <si>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</si>
  <si>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</si>
  <si>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</si>
  <si>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</si>
  <si>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</si>
  <si>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</si>
  <si>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</si>
  <si>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</si>
  <si>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</si>
  <si>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</si>
  <si>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</si>
  <si>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</si>
  <si>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</si>
  <si>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</si>
  <si>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</si>
  <si>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</si>
  <si>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</si>
  <si>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</si>
  <si>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</si>
  <si>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</si>
  <si>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</si>
  <si>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</si>
  <si>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</si>
  <si>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</si>
  <si>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TA-AC12</t>
  </si>
  <si>
    <t>TA-AC13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</si>
  <si>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</si>
  <si>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</si>
  <si>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</si>
  <si>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</si>
  <si>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</si>
  <si>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</si>
  <si>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</si>
  <si>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</si>
  <si>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</si>
  <si>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</si>
  <si>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</si>
  <si>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</si>
  <si>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</si>
  <si>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</si>
  <si>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</si>
  <si>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</si>
  <si>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</si>
  <si>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</si>
  <si>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</si>
  <si>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</si>
  <si>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</si>
  <si>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TB-BA22</t>
  </si>
  <si>
    <t>TB-BA23</t>
  </si>
  <si>
    <t>TB-BB01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</si>
  <si>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</si>
  <si>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</si>
  <si>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</si>
  <si>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</si>
  <si>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</si>
  <si>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</si>
  <si>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</si>
  <si>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</si>
  <si>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</si>
  <si>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</si>
  <si>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</si>
  <si>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</si>
  <si>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</si>
  <si>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</si>
  <si>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</si>
  <si>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</si>
  <si>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</si>
  <si>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</si>
  <si>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</si>
  <si>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</si>
  <si>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</si>
  <si>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</si>
  <si>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</si>
  <si>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</si>
  <si>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</si>
  <si>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</si>
  <si>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</si>
  <si>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</si>
  <si>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</si>
  <si>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</si>
  <si>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</si>
  <si>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</si>
  <si>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</si>
  <si>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</si>
  <si>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</si>
  <si>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</si>
  <si>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</si>
  <si>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</si>
  <si>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</si>
  <si>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</si>
  <si>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</si>
  <si>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</si>
  <si>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BS-CA21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</si>
  <si>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</si>
  <si>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</si>
  <si>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</si>
  <si>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</si>
  <si>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</si>
  <si>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</si>
  <si>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</si>
  <si>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</si>
  <si>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</si>
  <si>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</si>
  <si>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</si>
  <si>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</si>
  <si>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</si>
  <si>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</si>
  <si>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Tanam</t>
  </si>
  <si>
    <t>Ke -</t>
  </si>
  <si>
    <t>tanggal_tanam</t>
  </si>
  <si>
    <t>tanggal_panen</t>
  </si>
  <si>
    <t>BS-AB27</t>
  </si>
  <si>
    <t>BS-AB28</t>
  </si>
  <si>
    <t>BS-AB29</t>
  </si>
  <si>
    <t>BS-AB05</t>
  </si>
  <si>
    <t>BS-AB06</t>
  </si>
  <si>
    <t>BS-AB07</t>
  </si>
  <si>
    <t>BS-AB08</t>
  </si>
  <si>
    <t>BS-AB09</t>
  </si>
  <si>
    <t>BS-AA01</t>
  </si>
  <si>
    <t>BS-AA02</t>
  </si>
  <si>
    <t>BS-AA03</t>
  </si>
  <si>
    <t>BS-AA04</t>
  </si>
  <si>
    <t>BS-AA05</t>
  </si>
  <si>
    <t>BS-AA06</t>
  </si>
  <si>
    <t>BS-AA07</t>
  </si>
  <si>
    <t>BS-AA08</t>
  </si>
  <si>
    <t>BS-AA09</t>
  </si>
  <si>
    <t>BS-AA10</t>
  </si>
  <si>
    <t>BS-AA11</t>
  </si>
  <si>
    <t>BS-AA12</t>
  </si>
  <si>
    <t>BS-AA13</t>
  </si>
  <si>
    <t>BS-AA14</t>
  </si>
  <si>
    <t>BS-AA15</t>
  </si>
  <si>
    <t>BS-AA16</t>
  </si>
  <si>
    <t>BS-AA17</t>
  </si>
  <si>
    <t>BS-AA18</t>
  </si>
  <si>
    <t>BS-AA19</t>
  </si>
  <si>
    <t>BS-AA20</t>
  </si>
  <si>
    <t>BS-AA21</t>
  </si>
  <si>
    <t>BS-AA22</t>
  </si>
  <si>
    <t>BS-AA23</t>
  </si>
  <si>
    <t>BS-AA24</t>
  </si>
  <si>
    <t>BS-AA25</t>
  </si>
  <si>
    <t>BS-AA26</t>
  </si>
  <si>
    <t>BS-AA27</t>
  </si>
  <si>
    <t>BS-AB01</t>
  </si>
  <si>
    <t>BS-AB02</t>
  </si>
  <si>
    <t>BS-AB03</t>
  </si>
  <si>
    <t>BS-AB04</t>
  </si>
  <si>
    <t>BS-AB10</t>
  </si>
  <si>
    <t>BS-AB11</t>
  </si>
  <si>
    <t>BS-AB12</t>
  </si>
  <si>
    <t>BS-AB13</t>
  </si>
  <si>
    <t>BS-AB14</t>
  </si>
  <si>
    <t>BS-AB15</t>
  </si>
  <si>
    <t>BS-AB16</t>
  </si>
  <si>
    <t>BS-AB17</t>
  </si>
  <si>
    <t>BS-AB18</t>
  </si>
  <si>
    <t>BS-AB19</t>
  </si>
  <si>
    <t>BS-AB20</t>
  </si>
  <si>
    <t>BS-AB21</t>
  </si>
  <si>
    <t>BS-AB22</t>
  </si>
  <si>
    <t>BS-AB23</t>
  </si>
  <si>
    <t>BS-AB24</t>
  </si>
  <si>
    <t>BS-AB25</t>
  </si>
  <si>
    <t>BS-AB26</t>
  </si>
  <si>
    <t>BS-AC01</t>
  </si>
  <si>
    <t>BS-AC02</t>
  </si>
  <si>
    <t>BS-AC03</t>
  </si>
  <si>
    <t>BS-AC04</t>
  </si>
  <si>
    <t>BS-AC05</t>
  </si>
  <si>
    <t>BS-AC06</t>
  </si>
  <si>
    <t>BS-AC07</t>
  </si>
  <si>
    <t>BS-AC08</t>
  </si>
  <si>
    <t>BS-AC09</t>
  </si>
  <si>
    <t>BS-AC10</t>
  </si>
  <si>
    <t>BS-AC11</t>
  </si>
  <si>
    <t>BS-AC12</t>
  </si>
  <si>
    <t>BS-AC13</t>
  </si>
  <si>
    <t>BS-AC14</t>
  </si>
  <si>
    <t>BS-AC15</t>
  </si>
  <si>
    <t>BS-AC16</t>
  </si>
  <si>
    <t>BS-AC17</t>
  </si>
  <si>
    <t>BS-AC18</t>
  </si>
  <si>
    <t>BS-AC19</t>
  </si>
  <si>
    <t>BS-AC20</t>
  </si>
  <si>
    <t>BS-AC21</t>
  </si>
  <si>
    <t>BS-AC22</t>
  </si>
  <si>
    <t>BS-AC23</t>
  </si>
  <si>
    <t>BS-AD01</t>
  </si>
  <si>
    <t>BS-AD02</t>
  </si>
  <si>
    <t>BS-AD03</t>
  </si>
  <si>
    <t>BS-AD04</t>
  </si>
  <si>
    <t>BS-AD05</t>
  </si>
  <si>
    <t>BS-AD06</t>
  </si>
  <si>
    <t>BS-AD07</t>
  </si>
  <si>
    <t>BS-AD08</t>
  </si>
  <si>
    <t>BS-AD09</t>
  </si>
  <si>
    <t>BS-AD10</t>
  </si>
  <si>
    <t>BS-AD11</t>
  </si>
  <si>
    <t>BS-AD12</t>
  </si>
  <si>
    <t>BS-AD13</t>
  </si>
  <si>
    <t>BS-AD14</t>
  </si>
  <si>
    <t>BS-AD15</t>
  </si>
  <si>
    <t>BS-AD16</t>
  </si>
  <si>
    <t>BS-AD17</t>
  </si>
  <si>
    <t>BS-AD18</t>
  </si>
  <si>
    <t>BS-AD19</t>
  </si>
  <si>
    <t>BS-AD20</t>
  </si>
  <si>
    <t>BS-AD21</t>
  </si>
  <si>
    <t>BS-AD22</t>
  </si>
  <si>
    <t>BS-AD23</t>
  </si>
  <si>
    <t>BS-BA01</t>
  </si>
  <si>
    <t>BS-BA02</t>
  </si>
  <si>
    <t>BS-BA03</t>
  </si>
  <si>
    <t>BS-BA04</t>
  </si>
  <si>
    <t>BS-BA05</t>
  </si>
  <si>
    <t>BS-BA06</t>
  </si>
  <si>
    <t>BS-BA07</t>
  </si>
  <si>
    <t>BS-BA08</t>
  </si>
  <si>
    <t>BS-BA09</t>
  </si>
  <si>
    <t>BS-BA10</t>
  </si>
  <si>
    <t>BS-BA11</t>
  </si>
  <si>
    <t>BS-BA12</t>
  </si>
  <si>
    <t>BS-BA13</t>
  </si>
  <si>
    <t>BS-BA14</t>
  </si>
  <si>
    <t>BS-BA15</t>
  </si>
  <si>
    <t>BS-BA16</t>
  </si>
  <si>
    <t>BS-BA17</t>
  </si>
  <si>
    <t>BS-BA18</t>
  </si>
  <si>
    <t>BS-BA19</t>
  </si>
  <si>
    <t>BS-BB01</t>
  </si>
  <si>
    <t>BS-BB02</t>
  </si>
  <si>
    <t>BS-BB03</t>
  </si>
  <si>
    <t>BS-BB04</t>
  </si>
  <si>
    <t>BS-BB05</t>
  </si>
  <si>
    <t>BS-BB06</t>
  </si>
  <si>
    <t>BS-BB07</t>
  </si>
  <si>
    <t>BS-BB08</t>
  </si>
  <si>
    <t>BS-BB09</t>
  </si>
  <si>
    <t>BS-BB10</t>
  </si>
  <si>
    <t>BS-BB11</t>
  </si>
  <si>
    <t>BS-BB12</t>
  </si>
  <si>
    <t>BS-BB13</t>
  </si>
  <si>
    <t>BS-BB14</t>
  </si>
  <si>
    <t>BS-BB15</t>
  </si>
  <si>
    <t>BS-BB16</t>
  </si>
  <si>
    <t>BS-BB17</t>
  </si>
  <si>
    <t>BS-BB18</t>
  </si>
  <si>
    <t>BS-BB19</t>
  </si>
  <si>
    <t>BS-BC01</t>
  </si>
  <si>
    <t>BS-BC02</t>
  </si>
  <si>
    <t>BS-BC03</t>
  </si>
  <si>
    <t>BS-BC04</t>
  </si>
  <si>
    <t>BS-BC05</t>
  </si>
  <si>
    <t>BS-BC06</t>
  </si>
  <si>
    <t>BS-BC07</t>
  </si>
  <si>
    <t>BS-BC08</t>
  </si>
  <si>
    <t>BS-BC09</t>
  </si>
  <si>
    <t>BS-BC10</t>
  </si>
  <si>
    <t>BS-BC11</t>
  </si>
  <si>
    <t>BS-BC12</t>
  </si>
  <si>
    <t>BS-BC13</t>
  </si>
  <si>
    <t>BS-BC14</t>
  </si>
  <si>
    <t>BS-BC15</t>
  </si>
  <si>
    <t>BS-BC16</t>
  </si>
  <si>
    <t>BS-BC17</t>
  </si>
  <si>
    <t>BS-BC18</t>
  </si>
  <si>
    <t>BS-BC19</t>
  </si>
  <si>
    <t>BS-BD01</t>
  </si>
  <si>
    <t>BS-BD02</t>
  </si>
  <si>
    <t>BS-BD03</t>
  </si>
  <si>
    <t>BS-BD04</t>
  </si>
  <si>
    <t>BS-BD05</t>
  </si>
  <si>
    <t>BS-BD06</t>
  </si>
  <si>
    <t>BS-BD07</t>
  </si>
  <si>
    <t>BS-BD08</t>
  </si>
  <si>
    <t>BS-BD09</t>
  </si>
  <si>
    <t>BS-BD10</t>
  </si>
  <si>
    <t>BS-BD11</t>
  </si>
  <si>
    <t>BS-BD12</t>
  </si>
  <si>
    <t>BS-BD13</t>
  </si>
  <si>
    <t>BS-BD14</t>
  </si>
  <si>
    <t>BS-BD15</t>
  </si>
  <si>
    <t>BS-BD16</t>
  </si>
  <si>
    <t>BS-BD17</t>
  </si>
  <si>
    <t>BS-BD18</t>
  </si>
  <si>
    <t>BS-BD19</t>
  </si>
  <si>
    <t>BS-BD20</t>
  </si>
  <si>
    <t>BS-BD21</t>
  </si>
  <si>
    <t>BS-BD22</t>
  </si>
  <si>
    <t>BS-BD23</t>
  </si>
  <si>
    <t>BS-BD24</t>
  </si>
  <si>
    <t>BS-BD25</t>
  </si>
  <si>
    <t>BS-BD26</t>
  </si>
  <si>
    <t>BS-BD27</t>
  </si>
  <si>
    <t>BS-BD28</t>
  </si>
  <si>
    <t>BS-BD29</t>
  </si>
  <si>
    <t>BS-BD30</t>
  </si>
  <si>
    <t>BS-CC01</t>
  </si>
  <si>
    <t>BS-CC02</t>
  </si>
  <si>
    <t>BS-CC03</t>
  </si>
  <si>
    <t>BS-CC04</t>
  </si>
  <si>
    <t>BS-CC05</t>
  </si>
  <si>
    <t>BS-CC06</t>
  </si>
  <si>
    <t>BS-CC07</t>
  </si>
  <si>
    <t>BS-CC08</t>
  </si>
  <si>
    <t>BS-CC09</t>
  </si>
  <si>
    <t>BS-CC10</t>
  </si>
  <si>
    <t>BS-CC11</t>
  </si>
  <si>
    <t>BS-CC12</t>
  </si>
  <si>
    <t>BS-CC13</t>
  </si>
  <si>
    <t>BS-CC14</t>
  </si>
  <si>
    <t>BS-CC15</t>
  </si>
  <si>
    <t>BS-CC16</t>
  </si>
  <si>
    <t>BS-CC17</t>
  </si>
  <si>
    <t>BS-CC18</t>
  </si>
  <si>
    <t>BS-CC19</t>
  </si>
  <si>
    <t>BS-CC20</t>
  </si>
  <si>
    <t>BS-CC21</t>
  </si>
  <si>
    <t>BS-DA01</t>
  </si>
  <si>
    <t>BS-DA02</t>
  </si>
  <si>
    <t>BS-DA03</t>
  </si>
  <si>
    <t>BS-DA04</t>
  </si>
  <si>
    <t>BS-DA05</t>
  </si>
  <si>
    <t>BS-DA06</t>
  </si>
  <si>
    <t>BS-DA07</t>
  </si>
  <si>
    <t>BS-DA08</t>
  </si>
  <si>
    <t>BS-DA09</t>
  </si>
  <si>
    <t>BS-DA10</t>
  </si>
  <si>
    <t>BS-DA11</t>
  </si>
  <si>
    <t>BS-DA12</t>
  </si>
  <si>
    <t>BS-DA13</t>
  </si>
  <si>
    <t>BS-DA14</t>
  </si>
  <si>
    <t>BS-DA15</t>
  </si>
  <si>
    <t>BS-DA16</t>
  </si>
  <si>
    <t>BS-DA17</t>
  </si>
  <si>
    <t>BS-DA18</t>
  </si>
  <si>
    <t>BS-DA19</t>
  </si>
  <si>
    <t>BS-DA20</t>
  </si>
  <si>
    <t>hasil_panen</t>
  </si>
  <si>
    <t>Omah Badok</t>
  </si>
  <si>
    <t>Kangkung Full</t>
  </si>
  <si>
    <t>10.00</t>
  </si>
  <si>
    <t>Rp. 18.000</t>
  </si>
  <si>
    <t>Kilogram</t>
  </si>
  <si>
    <t>DN.LF-005312</t>
  </si>
  <si>
    <t>Rp. 180.000</t>
  </si>
  <si>
    <t>-</t>
  </si>
  <si>
    <t>The Waterfall Resto</t>
  </si>
  <si>
    <t>Selada Keriting</t>
  </si>
  <si>
    <t>3.00</t>
  </si>
  <si>
    <t>Rp. 20.000</t>
  </si>
  <si>
    <t>DN.LF-005311</t>
  </si>
  <si>
    <t>Rp. 60.000</t>
  </si>
  <si>
    <t>Sambal Dadakan</t>
  </si>
  <si>
    <t>Kangkung Cut Medium</t>
  </si>
  <si>
    <t>Rp. 16.000</t>
  </si>
  <si>
    <t>DN.LF-005310</t>
  </si>
  <si>
    <t>Rp. 160.000</t>
  </si>
  <si>
    <t>5.00</t>
  </si>
  <si>
    <t>Rp. 17.000</t>
  </si>
  <si>
    <t>Rp. 85.000</t>
  </si>
  <si>
    <t>Restoran Aroy'a Thai Dining</t>
  </si>
  <si>
    <t>Sweet basil</t>
  </si>
  <si>
    <t>0.50</t>
  </si>
  <si>
    <t>Rp. 75.000</t>
  </si>
  <si>
    <t>DN.LF-005309</t>
  </si>
  <si>
    <t>Rp. 37.500</t>
  </si>
  <si>
    <t>Rp. 25.000</t>
  </si>
  <si>
    <t>Rp. 125.000</t>
  </si>
  <si>
    <t>Turnip/Cu cai - Lobak</t>
  </si>
  <si>
    <t>6.00</t>
  </si>
  <si>
    <t>Rp. 96.000</t>
  </si>
  <si>
    <t>Rau Ram - Daun Laksa / Kesum</t>
  </si>
  <si>
    <t>Rp. 70.000</t>
  </si>
  <si>
    <t>Rp. 35.000</t>
  </si>
  <si>
    <t>PT. Bastian Group Indonesia</t>
  </si>
  <si>
    <t>17 pack / 162 ikt</t>
  </si>
  <si>
    <t>48.60</t>
  </si>
  <si>
    <t>Rp. 15.000</t>
  </si>
  <si>
    <t>DN.LF-005308</t>
  </si>
  <si>
    <t>Rp. 729.000</t>
  </si>
  <si>
    <t>17 pack</t>
  </si>
  <si>
    <t>35.50</t>
  </si>
  <si>
    <t>Rp. 22.000</t>
  </si>
  <si>
    <t>Rp. 781.000</t>
  </si>
  <si>
    <t>Sweet Basil</t>
  </si>
  <si>
    <t>15 pack</t>
  </si>
  <si>
    <t>5.10</t>
  </si>
  <si>
    <t>Rp. 43.000</t>
  </si>
  <si>
    <t>Rp. 219.300</t>
  </si>
  <si>
    <t>10 pack</t>
  </si>
  <si>
    <t>2.20</t>
  </si>
  <si>
    <t>Rp. 132.000</t>
  </si>
  <si>
    <t>Yeu Saigon group</t>
  </si>
  <si>
    <t>Daun Bawang cung</t>
  </si>
  <si>
    <t>30.00</t>
  </si>
  <si>
    <t>Rp. 23.000</t>
  </si>
  <si>
    <t>DN.LF-005307</t>
  </si>
  <si>
    <t>Rp. 690.000</t>
  </si>
  <si>
    <t>PO.2025.12.00941</t>
  </si>
  <si>
    <t>Daun Ketumbar - Corriander</t>
  </si>
  <si>
    <t>20.00</t>
  </si>
  <si>
    <t>Rp. 48.000</t>
  </si>
  <si>
    <t>Rp. 960.000</t>
  </si>
  <si>
    <t>60.00</t>
  </si>
  <si>
    <t>Rp. 7.000</t>
  </si>
  <si>
    <t>Rp. 420.000</t>
  </si>
  <si>
    <t>Kangkung Big Steam</t>
  </si>
  <si>
    <t>Rp. 100.000</t>
  </si>
  <si>
    <t>Rau Que - Basil Vietnam</t>
  </si>
  <si>
    <t>40.00</t>
  </si>
  <si>
    <t>Rp. 40.000</t>
  </si>
  <si>
    <t>Rp. 1.600.000</t>
  </si>
  <si>
    <t>100.00</t>
  </si>
  <si>
    <t>Rp. 2.200.000</t>
  </si>
  <si>
    <t>Ny. Lily Tamin</t>
  </si>
  <si>
    <t>Turnip / Cu cai - Lobak</t>
  </si>
  <si>
    <t>kirim ke COP</t>
  </si>
  <si>
    <t>8.50</t>
  </si>
  <si>
    <t>Rp. 0</t>
  </si>
  <si>
    <t>DN.LF-005306</t>
  </si>
  <si>
    <t>Gubug Makan Mang Engking Pd.Cabe</t>
  </si>
  <si>
    <t>Kangkung Cut short</t>
  </si>
  <si>
    <t>DN.LF-005305</t>
  </si>
  <si>
    <t>Goeboek Bamboe Cinangka</t>
  </si>
  <si>
    <t>1.00</t>
  </si>
  <si>
    <t>DN.LF-005304</t>
  </si>
  <si>
    <t>DN.LF-005303</t>
  </si>
  <si>
    <t>DN.LF-005302</t>
  </si>
  <si>
    <t>8.00</t>
  </si>
  <si>
    <t>Rp. 120.000</t>
  </si>
  <si>
    <t>16.00</t>
  </si>
  <si>
    <t>DN.LF-005301</t>
  </si>
  <si>
    <t>Rp. 256.000</t>
  </si>
  <si>
    <t>DN.LF-005300</t>
  </si>
  <si>
    <t>PO.2025.12.00858</t>
  </si>
  <si>
    <t>50.00</t>
  </si>
  <si>
    <t>Rp. 350.000</t>
  </si>
  <si>
    <t>80.00</t>
  </si>
  <si>
    <t>Rp. 1.760.000</t>
  </si>
  <si>
    <t>65.00</t>
  </si>
  <si>
    <t>Rp. 2.600.000</t>
  </si>
  <si>
    <t>Warung Sunda Bumi Sadayana Sawangan</t>
  </si>
  <si>
    <t>2.00</t>
  </si>
  <si>
    <t>DN.LF-005299</t>
  </si>
  <si>
    <t>Rp. 30.000</t>
  </si>
  <si>
    <t>Internal</t>
  </si>
  <si>
    <t>Sample selada Keriting</t>
  </si>
  <si>
    <t>DN.LF-005298</t>
  </si>
  <si>
    <t>Pho Minh alam sutera</t>
  </si>
  <si>
    <t>DN.LF-005297</t>
  </si>
  <si>
    <t>Rp. 80.000</t>
  </si>
  <si>
    <t>Pho Minh gading serpong</t>
  </si>
  <si>
    <t>DN.LF-005296</t>
  </si>
  <si>
    <t>DN.LF-005295</t>
  </si>
  <si>
    <t>7.00</t>
  </si>
  <si>
    <t>DN.LF-005294</t>
  </si>
  <si>
    <t>Rp. 126.000</t>
  </si>
  <si>
    <t>DN.LF-005293</t>
  </si>
  <si>
    <t>Rp. 320.000</t>
  </si>
  <si>
    <t>Toko Sayur Akang (Trader)</t>
  </si>
  <si>
    <t>kiriman tanggal 15 sore</t>
  </si>
  <si>
    <t>Rp. 10.000</t>
  </si>
  <si>
    <t>DN.LF-005292</t>
  </si>
  <si>
    <t>4.00</t>
  </si>
  <si>
    <t>DN.LF-005291</t>
  </si>
  <si>
    <t>12 pack / 155 ikt</t>
  </si>
  <si>
    <t>46.50</t>
  </si>
  <si>
    <t>DN.LF-005290</t>
  </si>
  <si>
    <t>Rp. 697.500</t>
  </si>
  <si>
    <t>12 pack</t>
  </si>
  <si>
    <t>32.00</t>
  </si>
  <si>
    <t>Rp. 704.000</t>
  </si>
  <si>
    <t>3.40</t>
  </si>
  <si>
    <t>Rp. 146.200</t>
  </si>
  <si>
    <t>7 pack</t>
  </si>
  <si>
    <t>DN.LF-005289</t>
  </si>
  <si>
    <t>PO.2025.12.00838</t>
  </si>
  <si>
    <t>34.50</t>
  </si>
  <si>
    <t>Rp. 241.500</t>
  </si>
  <si>
    <t>Rp. 1.200.000</t>
  </si>
  <si>
    <t>55.00</t>
  </si>
  <si>
    <t>Rp. 1.210.000</t>
  </si>
  <si>
    <t>DN.LF-005288</t>
  </si>
  <si>
    <t>DN.LF-005287</t>
  </si>
  <si>
    <t>DN.LF-005286</t>
  </si>
  <si>
    <t>Rp. 140.000</t>
  </si>
  <si>
    <t>DN.LF-005285</t>
  </si>
  <si>
    <t>Rp. 110.000</t>
  </si>
  <si>
    <t>DN.LF-005284</t>
  </si>
  <si>
    <t>Rp. 280.000</t>
  </si>
  <si>
    <t>9.00</t>
  </si>
  <si>
    <t>DN.LF-005283</t>
  </si>
  <si>
    <t>Rp. 225.000</t>
  </si>
  <si>
    <t>Rp. 50.000</t>
  </si>
  <si>
    <t>Ngo Gai - Daun walang Sangit</t>
  </si>
  <si>
    <t>16 pack / 157 ikt</t>
  </si>
  <si>
    <t>47.10</t>
  </si>
  <si>
    <t>DN.LF-005282</t>
  </si>
  <si>
    <t>Rp. 706.500</t>
  </si>
  <si>
    <t>Rp. 215.000</t>
  </si>
  <si>
    <t>8 pack</t>
  </si>
  <si>
    <t>DN.LF-005281</t>
  </si>
  <si>
    <t>Rp. 880.000</t>
  </si>
  <si>
    <t>PO.2025.12.00818</t>
  </si>
  <si>
    <t>47.00</t>
  </si>
  <si>
    <t>Rp. 329.000</t>
  </si>
  <si>
    <t>DN.LF-005280</t>
  </si>
  <si>
    <t>Rp. 119.000</t>
  </si>
  <si>
    <t>DN.LF-005279</t>
  </si>
  <si>
    <t>DN.LF-005278</t>
  </si>
  <si>
    <t>Rp. 45.000</t>
  </si>
  <si>
    <t>DN.LF-005277</t>
  </si>
  <si>
    <t>Rp. 150.000</t>
  </si>
  <si>
    <t>DN.LF-005276</t>
  </si>
  <si>
    <t>DN.LF-005275</t>
  </si>
  <si>
    <t>DN.LF-005274</t>
  </si>
  <si>
    <t>Rp. 175.000</t>
  </si>
  <si>
    <t>11 pack</t>
  </si>
  <si>
    <t>20.50</t>
  </si>
  <si>
    <t>DN.LF-005273</t>
  </si>
  <si>
    <t>Rp. 451.000</t>
  </si>
  <si>
    <t>12 pack / 98 ikt</t>
  </si>
  <si>
    <t>29.40</t>
  </si>
  <si>
    <t>Rp. 441.000</t>
  </si>
  <si>
    <t>2.90</t>
  </si>
  <si>
    <t>Rp. 124.700</t>
  </si>
  <si>
    <t>5 pack</t>
  </si>
  <si>
    <t>1.20</t>
  </si>
  <si>
    <t>Rp. 72.000</t>
  </si>
  <si>
    <t>DN.LF-005272</t>
  </si>
  <si>
    <t>Rp. 1.100.000</t>
  </si>
  <si>
    <t>PO.2025.12.00735</t>
  </si>
  <si>
    <t>15.00</t>
  </si>
  <si>
    <t>Rp. 720.000</t>
  </si>
  <si>
    <t>DN.LF-005271</t>
  </si>
  <si>
    <t>Segondas</t>
  </si>
  <si>
    <t>DN.LF-005270</t>
  </si>
  <si>
    <t>DN.LF-005269</t>
  </si>
  <si>
    <t>DN.LF-005268</t>
  </si>
  <si>
    <t>5.50</t>
  </si>
  <si>
    <t>DN.LF-005267</t>
  </si>
  <si>
    <t>Rp. 137.500</t>
  </si>
  <si>
    <t>16 pack / 183 ikt</t>
  </si>
  <si>
    <t>54.90</t>
  </si>
  <si>
    <t>DN.LF-005266</t>
  </si>
  <si>
    <t>Rp. 823.500</t>
  </si>
  <si>
    <t>16 pack</t>
  </si>
  <si>
    <t>33.50</t>
  </si>
  <si>
    <t>Rp. 737.000</t>
  </si>
  <si>
    <t>6 pack</t>
  </si>
  <si>
    <t>5.60</t>
  </si>
  <si>
    <t>Rp. 240.800</t>
  </si>
  <si>
    <t>DN.LF-005265</t>
  </si>
  <si>
    <t>Rp. 1.320.000</t>
  </si>
  <si>
    <t>PO.2025.12.00661</t>
  </si>
  <si>
    <t>12.00</t>
  </si>
  <si>
    <t>Rp. 576.000</t>
  </si>
  <si>
    <t>Sample Turnip / Cu cai - Lobak</t>
  </si>
  <si>
    <t>DN.LF-005264</t>
  </si>
  <si>
    <t>Sample Rau Que / Thai Basil</t>
  </si>
  <si>
    <t>DN.LF-005263</t>
  </si>
  <si>
    <t>DN.LF-005262</t>
  </si>
  <si>
    <t>DN.LF-005261</t>
  </si>
  <si>
    <t>Warung Sunda Bumi Sadayana BSD</t>
  </si>
  <si>
    <t>DN.LF-005260</t>
  </si>
  <si>
    <t>DN.LF-005259</t>
  </si>
  <si>
    <t>DN.LF-005258</t>
  </si>
  <si>
    <t>Free Kangkung</t>
  </si>
  <si>
    <t>DN.LF-005257</t>
  </si>
  <si>
    <t>11 pack / 110 ikt</t>
  </si>
  <si>
    <t>33.00</t>
  </si>
  <si>
    <t>DN.LF-005256</t>
  </si>
  <si>
    <t>Rp. 495.000</t>
  </si>
  <si>
    <t>23.50</t>
  </si>
  <si>
    <t>Rp. 517.000</t>
  </si>
  <si>
    <t>DN.LF-005255</t>
  </si>
  <si>
    <t>PO.2025.12.00611</t>
  </si>
  <si>
    <t>16.50</t>
  </si>
  <si>
    <t>Rp. 792.000</t>
  </si>
  <si>
    <t>42.00</t>
  </si>
  <si>
    <t>Rp. 294.000</t>
  </si>
  <si>
    <t>DN.LF-005254</t>
  </si>
  <si>
    <t>DN.LF-005253</t>
  </si>
  <si>
    <t>DN.LF-005252</t>
  </si>
  <si>
    <t>DN.LF-005251</t>
  </si>
  <si>
    <t>DN.LF-005250</t>
  </si>
  <si>
    <t>Rp. 51.000</t>
  </si>
  <si>
    <t>DN.LF-005249</t>
  </si>
  <si>
    <t>16 pack / 185 ikt</t>
  </si>
  <si>
    <t>55.50</t>
  </si>
  <si>
    <t>DN.LF-005248</t>
  </si>
  <si>
    <t>Rp. 832.500</t>
  </si>
  <si>
    <t>14 pack</t>
  </si>
  <si>
    <t>36.50</t>
  </si>
  <si>
    <t>Rp. 803.000</t>
  </si>
  <si>
    <t>5.30</t>
  </si>
  <si>
    <t>Rp. 227.900</t>
  </si>
  <si>
    <t>DN.LF-005247</t>
  </si>
  <si>
    <t>PO.2025.12.00567</t>
  </si>
  <si>
    <t>49.00</t>
  </si>
  <si>
    <t>Rp. 343.000</t>
  </si>
  <si>
    <t>17.00</t>
  </si>
  <si>
    <t>Rp. 816.000</t>
  </si>
  <si>
    <t>Rp. 600.000</t>
  </si>
  <si>
    <t>DN.LF-005246</t>
  </si>
  <si>
    <t>DN.LF-005245</t>
  </si>
  <si>
    <t>DN.LF-005244</t>
  </si>
  <si>
    <t>DN.LF-005243</t>
  </si>
  <si>
    <t>DN.LF-005242</t>
  </si>
  <si>
    <t>DN.LF-005241</t>
  </si>
  <si>
    <t>DN.LF-005240</t>
  </si>
  <si>
    <t>Rp. 144.000</t>
  </si>
  <si>
    <t>Pasar Induk - H.Udi</t>
  </si>
  <si>
    <t>DN.LF-005238</t>
  </si>
  <si>
    <t>Rp. 400.000</t>
  </si>
  <si>
    <t>DN.LF-005239</t>
  </si>
  <si>
    <t>PO.2025.12.00527</t>
  </si>
  <si>
    <t>39.00</t>
  </si>
  <si>
    <t>Rp. 273.000</t>
  </si>
  <si>
    <t>DN.LF-005237</t>
  </si>
  <si>
    <t>2.50</t>
  </si>
  <si>
    <t>DN.LF-005236</t>
  </si>
  <si>
    <t>3.50</t>
  </si>
  <si>
    <t>DN.LF-005235</t>
  </si>
  <si>
    <t>DN.LF-005234</t>
  </si>
  <si>
    <t>DN.LF-005233</t>
  </si>
  <si>
    <t>Daun Bawang Lokal Besar</t>
  </si>
  <si>
    <t>DN.LF-005232</t>
  </si>
  <si>
    <t>DN.LF-005231</t>
  </si>
  <si>
    <t>11 pack / 115 ikt</t>
  </si>
  <si>
    <t>DN.LF-005230</t>
  </si>
  <si>
    <t>Rp. 517.500</t>
  </si>
  <si>
    <t>27.00</t>
  </si>
  <si>
    <t>Rp. 594.000</t>
  </si>
  <si>
    <t>Rp. 150.500</t>
  </si>
  <si>
    <t>1.80</t>
  </si>
  <si>
    <t>Rp. 108.000</t>
  </si>
  <si>
    <t>DN.LF-005229</t>
  </si>
  <si>
    <t>PO.2025.12.00467</t>
  </si>
  <si>
    <t>50 pack</t>
  </si>
  <si>
    <t>Rp. 800.000</t>
  </si>
  <si>
    <t>tgl_kirim</t>
  </si>
  <si>
    <t>Customers</t>
  </si>
  <si>
    <t>item</t>
  </si>
  <si>
    <t>ket</t>
  </si>
  <si>
    <t>qty</t>
  </si>
  <si>
    <t>harga_satuan</t>
  </si>
  <si>
    <t>kg</t>
  </si>
  <si>
    <t>surat_jalan</t>
  </si>
  <si>
    <t>total</t>
  </si>
  <si>
    <t>po</t>
  </si>
  <si>
    <t>kode_cus</t>
  </si>
  <si>
    <t>tgl_dn</t>
  </si>
  <si>
    <t>BS-CB01</t>
  </si>
  <si>
    <t>SB-BC03</t>
  </si>
  <si>
    <t>SB-BC04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</si>
</sst>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64" formatCode="dd"/>
    <numFmt numFmtId="165" formatCode="mm"/>
    <numFmt numFmtId="166" formatCode="[$-21]ddd"/>
    <numFmt numFmtId="167" formatCode="[$-21]dddd\ dd/mm/yy"/>
    <numFmt numFmtId="168" formatCode="mm/yy"/>
    <numFmt numFmtId="169" formatCode="mm\-dd"/>
    <numFmt numFmtId="170" formatCode="dd\-mm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41" fontId="1" fillId="0" borderId="0" applyFont="0" applyFill="0" applyBorder="0" applyAlignment="0" applyProtection="0"/>
    <xf numFmtId="0" fontId="2" fillId="2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09">
    <xf numFmtId="0" fontId="0" fillId="0" borderId="0" xfId="0"/>
    <xf numFmtId="14" fontId="7" fillId="0" borderId="0" xfId="0" applyNumberFormat="1" applyFont="1" applyAlignment="1">
      <alignment horizontal="center"/>
    </xf>
    <xf numFmtId="14" fontId="7" fillId="0" borderId="0" xfId="0" applyNumberFormat="1" applyFont="1"/>
    <xf numFmtId="164" fontId="0" fillId="0" borderId="0" xfId="0" applyNumberFormat="1"/>
    <xf numFmtId="0" fontId="0" fillId="3" borderId="0" xfId="0" applyFill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4" fillId="0" borderId="0" xfId="0" applyNumberFormat="1" applyFont="1" applyAlignment="1">
      <alignment horizont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164" fontId="4" fillId="0" borderId="0" xfId="0" applyNumberFormat="1" applyFont="1"/>
    <xf numFmtId="0" fontId="0" fillId="0" borderId="0" xfId="0" applyAlignment="1">
      <alignment vertical="center"/>
    </xf>
    <xf numFmtId="166" fontId="0" fillId="0" borderId="0" xfId="0" applyNumberForma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vertical="center"/>
    </xf>
    <xf numFmtId="1" fontId="6" fillId="4" borderId="0" xfId="0" applyNumberFormat="1" applyFont="1" applyFill="1" applyAlignment="1">
      <alignment horizontal="center" vertical="center"/>
    </xf>
    <xf numFmtId="1" fontId="6" fillId="4" borderId="0" xfId="0" applyNumberFormat="1" applyFont="1" applyFill="1" applyAlignment="1">
      <alignment vertical="center"/>
    </xf>
    <xf numFmtId="1" fontId="6" fillId="5" borderId="0" xfId="0" applyNumberFormat="1" applyFont="1" applyFill="1" applyAlignment="1">
      <alignment horizontal="center" vertical="center"/>
    </xf>
    <xf numFmtId="1" fontId="6" fillId="5" borderId="0" xfId="0" applyNumberFormat="1" applyFont="1" applyFill="1" applyAlignment="1">
      <alignment vertical="center"/>
    </xf>
    <xf numFmtId="1" fontId="0" fillId="6" borderId="0" xfId="0" applyNumberFormat="1" applyFill="1" applyAlignment="1">
      <alignment horizontal="center" vertical="center"/>
    </xf>
    <xf numFmtId="1" fontId="0" fillId="6" borderId="0" xfId="0" applyNumberFormat="1" applyFill="1" applyAlignment="1">
      <alignment vertical="center"/>
    </xf>
    <xf numFmtId="1" fontId="0" fillId="4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vertical="center"/>
    </xf>
    <xf numFmtId="0" fontId="0" fillId="0" borderId="1" xfId="0" applyBorder="1"/>
    <xf numFmtId="167" fontId="0" fillId="0" borderId="1" xfId="0" applyNumberFormat="1" applyBorder="1"/>
    <xf numFmtId="0" fontId="0" fillId="4" borderId="1" xfId="0" applyFill="1" applyBorder="1"/>
    <xf numFmtId="0" fontId="5" fillId="4" borderId="1" xfId="0" applyFont="1" applyFill="1" applyBorder="1"/>
    <xf numFmtId="0" fontId="3" fillId="9" borderId="1" xfId="0" applyFont="1" applyFill="1" applyBorder="1"/>
    <xf numFmtId="0" fontId="5" fillId="8" borderId="1" xfId="0" applyFont="1" applyFill="1" applyBorder="1"/>
    <xf numFmtId="0" fontId="0" fillId="0" borderId="9" xfId="0" applyBorder="1"/>
    <xf numFmtId="0" fontId="3" fillId="9" borderId="9" xfId="0" applyFont="1" applyFill="1" applyBorder="1"/>
    <xf numFmtId="0" fontId="0" fillId="0" borderId="10" xfId="0" applyBorder="1"/>
    <xf numFmtId="1" fontId="0" fillId="7" borderId="1" xfId="0" applyNumberFormat="1" applyFill="1" applyBorder="1" applyAlignment="1">
      <alignment vertical="center"/>
    </xf>
    <xf numFmtId="167" fontId="0" fillId="0" borderId="10" xfId="0" applyNumberFormat="1" applyBorder="1"/>
    <xf numFmtId="167" fontId="0" fillId="0" borderId="11" xfId="0" applyNumberFormat="1" applyBorder="1"/>
    <xf numFmtId="0" fontId="0" fillId="4" borderId="9" xfId="0" applyFill="1" applyBorder="1"/>
    <xf numFmtId="167" fontId="0" fillId="0" borderId="2" xfId="0" applyNumberFormat="1" applyBorder="1"/>
    <xf numFmtId="0" fontId="0" fillId="10" borderId="1" xfId="0" applyFill="1" applyBorder="1"/>
    <xf numFmtId="0" fontId="0" fillId="10" borderId="0" xfId="0" applyFill="1"/>
    <xf numFmtId="0" fontId="0" fillId="11" borderId="1" xfId="0" applyFill="1" applyBorder="1"/>
    <xf numFmtId="167" fontId="0" fillId="11" borderId="2" xfId="0" applyNumberFormat="1" applyFill="1" applyBorder="1"/>
    <xf numFmtId="0" fontId="0" fillId="11" borderId="0" xfId="0" applyFill="1"/>
    <xf numFmtId="167" fontId="0" fillId="10" borderId="2" xfId="0" applyNumberFormat="1" applyFill="1" applyBorder="1"/>
    <xf numFmtId="0" fontId="0" fillId="7" borderId="1" xfId="0" applyFill="1" applyBorder="1"/>
    <xf numFmtId="167" fontId="0" fillId="7" borderId="2" xfId="0" applyNumberFormat="1" applyFill="1" applyBorder="1"/>
    <xf numFmtId="0" fontId="6" fillId="11" borderId="1" xfId="0" applyFont="1" applyFill="1" applyBorder="1"/>
    <xf numFmtId="0" fontId="6" fillId="11" borderId="0" xfId="0" applyFont="1" applyFill="1"/>
    <xf numFmtId="0" fontId="6" fillId="10" borderId="1" xfId="0" applyFont="1" applyFill="1" applyBorder="1"/>
    <xf numFmtId="167" fontId="6" fillId="10" borderId="2" xfId="0" applyNumberFormat="1" applyFont="1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2" xfId="0" applyBorder="1"/>
    <xf numFmtId="0" fontId="0" fillId="0" borderId="13" xfId="0" applyBorder="1"/>
    <xf numFmtId="168" fontId="9" fillId="7" borderId="1" xfId="0" applyNumberFormat="1" applyFont="1" applyFill="1" applyBorder="1"/>
    <xf numFmtId="168" fontId="9" fillId="12" borderId="1" xfId="0" applyNumberFormat="1" applyFont="1" applyFill="1" applyBorder="1"/>
    <xf numFmtId="169" fontId="0" fillId="0" borderId="9" xfId="0" applyNumberFormat="1" applyBorder="1"/>
    <xf numFmtId="169" fontId="0" fillId="0" borderId="1" xfId="0" applyNumberFormat="1" applyBorder="1" applyAlignment="1">
      <alignment wrapText="1"/>
    </xf>
    <xf numFmtId="169" fontId="0" fillId="0" borderId="1" xfId="0" applyNumberFormat="1" applyBorder="1"/>
    <xf numFmtId="170" fontId="0" fillId="0" borderId="1" xfId="0" applyNumberFormat="1" applyBorder="1" applyAlignment="1">
      <alignment wrapText="1"/>
    </xf>
    <xf numFmtId="170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7" xfId="0" applyBorder="1"/>
    <xf numFmtId="16" fontId="0" fillId="0" borderId="18" xfId="0" applyNumberFormat="1" applyBorder="1"/>
    <xf numFmtId="0" fontId="0" fillId="0" borderId="18" xfId="0" applyBorder="1"/>
    <xf numFmtId="0" fontId="0" fillId="0" borderId="19" xfId="0" applyBorder="1"/>
    <xf numFmtId="14" fontId="8" fillId="0" borderId="0" xfId="0" applyNumberFormat="1" applyFont="1"/>
    <xf numFmtId="0" fontId="0" fillId="0" borderId="5" xfId="0" applyBorder="1"/>
    <xf numFmtId="0" fontId="6" fillId="3" borderId="1" xfId="0" applyFont="1" applyFill="1" applyBorder="1"/>
    <xf numFmtId="0" fontId="0" fillId="13" borderId="1" xfId="0" applyFill="1" applyBorder="1"/>
    <xf numFmtId="0" fontId="2" fillId="2" borderId="1" xfId="2" applyBorder="1"/>
    <xf numFmtId="0" fontId="5" fillId="0" borderId="0" xfId="0" applyFont="1" applyAlignment="1">
      <alignment horizontal="center"/>
    </xf>
    <xf numFmtId="169" fontId="0" fillId="0" borderId="0" xfId="0" applyNumberFormat="1"/>
    <xf numFmtId="1" fontId="0" fillId="0" borderId="10" xfId="0" applyNumberFormat="1" applyBorder="1" applyAlignment="1">
      <alignment horizontal="center"/>
    </xf>
    <xf numFmtId="14" fontId="0" fillId="0" borderId="1" xfId="0" applyNumberFormat="1" applyBorder="1"/>
    <xf numFmtId="1" fontId="0" fillId="0" borderId="1" xfId="3" applyNumberFormat="1" applyFont="1" applyBorder="1"/>
    <xf numFmtId="1" fontId="0" fillId="0" borderId="10" xfId="3" applyNumberFormat="1" applyFont="1" applyBorder="1" applyAlignment="1">
      <alignment horizontal="center"/>
    </xf>
    <xf numFmtId="14" fontId="0" fillId="0" borderId="0" xfId="0" applyNumberFormat="1"/>
    <xf numFmtId="43" fontId="0" fillId="0" borderId="1" xfId="4" applyFont="1" applyBorder="1"/>
    <xf numFmtId="2" fontId="0" fillId="0" borderId="1" xfId="0" applyNumberFormat="1" applyBorder="1"/>
    <xf numFmtId="1" fontId="0" fillId="0" borderId="1" xfId="4" applyNumberFormat="1" applyFont="1" applyBorder="1"/>
    <xf numFmtId="43" fontId="0" fillId="0" borderId="1" xfId="3" applyFont="1" applyBorder="1"/>
    <xf numFmtId="0" fontId="5" fillId="0" borderId="14" xfId="0" applyFont="1" applyBorder="1" applyAlignment="1">
      <alignment horizontal="center" textRotation="90"/>
    </xf>
    <xf numFmtId="0" fontId="5" fillId="0" borderId="15" xfId="0" applyFont="1" applyBorder="1" applyAlignment="1">
      <alignment horizontal="center" textRotation="90"/>
    </xf>
    <xf numFmtId="0" fontId="5" fillId="0" borderId="16" xfId="0" applyFont="1" applyBorder="1" applyAlignment="1">
      <alignment horizontal="center" textRotation="90"/>
    </xf>
    <xf numFmtId="14" fontId="8" fillId="0" borderId="0" xfId="0" applyNumberFormat="1" applyFont="1" applyAlignment="1">
      <alignment horizontal="center"/>
    </xf>
    <xf numFmtId="0" fontId="5" fillId="0" borderId="14" xfId="0" applyFont="1" applyBorder="1" applyAlignment="1">
      <alignment horizontal="center" textRotation="255"/>
    </xf>
    <xf numFmtId="0" fontId="5" fillId="0" borderId="15" xfId="0" applyFont="1" applyBorder="1" applyAlignment="1">
      <alignment horizontal="center" textRotation="255"/>
    </xf>
    <xf numFmtId="0" fontId="5" fillId="0" borderId="16" xfId="0" applyFont="1" applyBorder="1" applyAlignment="1">
      <alignment horizontal="center" textRotation="255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1" fontId="5" fillId="7" borderId="5" xfId="1" applyNumberFormat="1" applyFont="1" applyFill="1" applyBorder="1" applyAlignment="1">
      <alignment horizontal="center" vertical="center" wrapText="1"/>
    </xf>
    <xf numFmtId="1" fontId="5" fillId="7" borderId="0" xfId="1" applyNumberFormat="1" applyFont="1" applyFill="1" applyBorder="1" applyAlignment="1">
      <alignment horizontal="center" vertical="center" wrapText="1"/>
    </xf>
    <xf numFmtId="14" fontId="7" fillId="0" borderId="0" xfId="0" applyNumberFormat="1" applyFont="1" applyAlignment="1">
      <alignment horizontal="center"/>
    </xf>
    <xf numFmtId="1" fontId="3" fillId="3" borderId="3" xfId="1" applyNumberFormat="1" applyFont="1" applyFill="1" applyBorder="1" applyAlignment="1">
      <alignment horizontal="center" vertical="center" wrapText="1"/>
    </xf>
    <xf numFmtId="1" fontId="3" fillId="3" borderId="4" xfId="1" applyNumberFormat="1" applyFont="1" applyFill="1" applyBorder="1" applyAlignment="1">
      <alignment horizontal="center" vertical="center" wrapText="1"/>
    </xf>
    <xf numFmtId="1" fontId="3" fillId="4" borderId="5" xfId="1" applyNumberFormat="1" applyFont="1" applyFill="1" applyBorder="1" applyAlignment="1">
      <alignment horizontal="center" vertical="center" wrapText="1"/>
    </xf>
    <xf numFmtId="1" fontId="3" fillId="4" borderId="0" xfId="1" applyNumberFormat="1" applyFont="1" applyFill="1" applyBorder="1" applyAlignment="1">
      <alignment horizontal="center" vertical="center" wrapText="1"/>
    </xf>
    <xf numFmtId="1" fontId="3" fillId="5" borderId="5" xfId="1" applyNumberFormat="1" applyFont="1" applyFill="1" applyBorder="1" applyAlignment="1">
      <alignment horizontal="center" vertical="center" wrapText="1"/>
    </xf>
    <xf numFmtId="1" fontId="3" fillId="5" borderId="0" xfId="1" applyNumberFormat="1" applyFont="1" applyFill="1" applyBorder="1" applyAlignment="1">
      <alignment horizontal="center" vertical="center" wrapText="1"/>
    </xf>
    <xf numFmtId="1" fontId="5" fillId="6" borderId="5" xfId="1" applyNumberFormat="1" applyFont="1" applyFill="1" applyBorder="1" applyAlignment="1">
      <alignment horizontal="center" vertical="center" wrapText="1"/>
    </xf>
    <xf numFmtId="1" fontId="5" fillId="6" borderId="0" xfId="1" applyNumberFormat="1" applyFont="1" applyFill="1" applyBorder="1" applyAlignment="1">
      <alignment horizontal="center" vertical="center" wrapText="1"/>
    </xf>
    <xf numFmtId="0" fontId="0" fillId="0" borderId="1" xfId="0" applyFill="1" applyBorder="1"/>
    <xf numFmtId="43" fontId="0" fillId="0" borderId="0" xfId="3" applyFont="1"/>
    <xf numFmtId="2" fontId="0" fillId="0" borderId="0" xfId="0" applyNumberFormat="1"/>
  </cellXfs>
  <cellStyles count="5">
    <cellStyle name="Comma" xfId="3" builtinId="3"/>
    <cellStyle name="Comma [0]" xfId="1" builtinId="6"/>
    <cellStyle name="Comma 2" xfId="4" xr:uid="{8FE10809-4242-4005-A0C6-6FEC3F0AC17B}"/>
    <cellStyle name="Neutral" xfId="2" builtinId="28"/>
    <cellStyle name="Normal" xfId="0" builtinId="0"/>
  </cellStyles>
  <dxfs count="1225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66</xdr:row>
      <xdr:rowOff>123297</xdr:rowOff>
    </xdr:from>
    <xdr:to>
      <xdr:col>6</xdr:col>
      <xdr:colOff>0</xdr:colOff>
      <xdr:row>68</xdr:row>
      <xdr:rowOff>57151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BC6D327-168B-43DA-B8F9-F7AF351D5732}"/>
            </a:ext>
          </a:extLst>
        </xdr:cNvPr>
        <xdr:cNvSpPr txBox="1"/>
      </xdr:nvSpPr>
      <xdr:spPr>
        <a:xfrm>
          <a:off x="818093" y="1639199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BojongSari</a:t>
          </a:r>
          <a:r>
            <a:rPr lang="en-ID" sz="1100" b="1" baseline="0"/>
            <a:t> Blok C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79</xdr:row>
      <xdr:rowOff>15459</xdr:rowOff>
    </xdr:from>
    <xdr:to>
      <xdr:col>4</xdr:col>
      <xdr:colOff>190843</xdr:colOff>
      <xdr:row>86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79"/>
  <sheetViews>
    <sheetView showGridLines="0" topLeftCell="A11" zoomScale="77" zoomScaleNormal="146" workbookViewId="0">
      <selection activeCell="N46" sqref="N46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183</v>
      </c>
      <c r="B1" s="88">
        <f ca="1">TODAY()</f>
        <v>46044</v>
      </c>
      <c r="C1" s="88"/>
      <c r="D1" s="88"/>
    </row>
    <row r="2" spans="1:25" x14ac:dyDescent="0.25">
      <c r="B2" s="51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3"/>
    </row>
    <row r="3" spans="1:25" x14ac:dyDescent="0.25">
      <c r="B3" s="54"/>
      <c r="Y3" s="55"/>
    </row>
    <row r="4" spans="1:25" x14ac:dyDescent="0.25">
      <c r="B4" s="54"/>
      <c r="Y4" s="55"/>
    </row>
    <row r="5" spans="1:25" x14ac:dyDescent="0.25">
      <c r="A5">
        <v>60</v>
      </c>
      <c r="B5" s="54"/>
      <c r="C5" s="25" t="s">
        <v>331</v>
      </c>
      <c r="D5" s="25" t="s">
        <v>332</v>
      </c>
      <c r="E5" s="25" t="s">
        <v>333</v>
      </c>
      <c r="F5" s="25" t="s">
        <v>334</v>
      </c>
      <c r="G5" s="25" t="s">
        <v>335</v>
      </c>
      <c r="H5" s="25" t="s">
        <v>254</v>
      </c>
      <c r="J5" s="25" t="s">
        <v>139</v>
      </c>
      <c r="K5" s="25" t="s">
        <v>140</v>
      </c>
      <c r="L5" s="25" t="s">
        <v>141</v>
      </c>
      <c r="M5" s="25" t="s">
        <v>142</v>
      </c>
      <c r="N5" s="25" t="s">
        <v>143</v>
      </c>
      <c r="O5" s="25" t="s">
        <v>144</v>
      </c>
      <c r="P5" s="25" t="s">
        <v>145</v>
      </c>
      <c r="R5" s="25" t="s">
        <v>179</v>
      </c>
      <c r="S5" s="25" t="s">
        <v>180</v>
      </c>
      <c r="T5" s="25" t="s">
        <v>181</v>
      </c>
      <c r="U5" s="25" t="s">
        <v>182</v>
      </c>
      <c r="V5" s="25" t="s">
        <v>176</v>
      </c>
      <c r="W5" s="25" t="s">
        <v>177</v>
      </c>
      <c r="X5" s="25" t="s">
        <v>178</v>
      </c>
      <c r="Y5" s="55"/>
    </row>
    <row r="6" spans="1:25" ht="15.75" thickBot="1" x14ac:dyDescent="0.3">
      <c r="B6" s="54"/>
      <c r="C6" s="56">
        <v>45566</v>
      </c>
      <c r="D6" s="56">
        <v>45957</v>
      </c>
      <c r="E6" s="56">
        <v>45957</v>
      </c>
      <c r="F6" s="56">
        <v>45957</v>
      </c>
      <c r="G6" s="56">
        <v>45957</v>
      </c>
      <c r="H6" s="25" t="str">
        <f t="shared" ref="H6" si="0">IF(H7="","",$B$1-H7)</f>
        <v/>
      </c>
      <c r="J6" s="57"/>
      <c r="K6" s="56">
        <v>45619</v>
      </c>
      <c r="L6" s="57"/>
      <c r="M6" s="57"/>
      <c r="N6" s="57"/>
      <c r="O6" s="57"/>
      <c r="P6" s="25">
        <f t="shared" ref="P6:U6" ca="1" si="1">IF(P7="","",$B$1-P7)</f>
        <v>57</v>
      </c>
      <c r="R6" s="25">
        <f t="shared" ca="1" si="1"/>
        <v>57</v>
      </c>
      <c r="S6" s="25">
        <f t="shared" ca="1" si="1"/>
        <v>57</v>
      </c>
      <c r="T6" s="25">
        <f t="shared" ca="1" si="1"/>
        <v>57</v>
      </c>
      <c r="U6" s="25">
        <f t="shared" ca="1" si="1"/>
        <v>58</v>
      </c>
      <c r="V6" s="25">
        <f ca="1">IF(V7="","",$B$1-V7)</f>
        <v>58</v>
      </c>
      <c r="W6" s="25">
        <f ca="1">IF(W7="","",$B$1-W7)</f>
        <v>58</v>
      </c>
      <c r="X6" s="25">
        <f ca="1">IF(X7="","",$B$1-X7)</f>
        <v>58</v>
      </c>
      <c r="Y6" s="55"/>
    </row>
    <row r="7" spans="1:25" ht="38.25" customHeight="1" x14ac:dyDescent="0.25">
      <c r="B7" s="89" t="s">
        <v>184</v>
      </c>
      <c r="C7" s="58" t="s">
        <v>121</v>
      </c>
      <c r="D7" s="59" t="s">
        <v>185</v>
      </c>
      <c r="E7" s="59" t="s">
        <v>185</v>
      </c>
      <c r="F7" s="59" t="s">
        <v>186</v>
      </c>
      <c r="G7" s="59" t="s">
        <v>186</v>
      </c>
      <c r="H7" s="59"/>
      <c r="J7" s="59"/>
      <c r="K7" s="59" t="s">
        <v>187</v>
      </c>
      <c r="L7" s="59"/>
      <c r="M7" s="59" t="s">
        <v>185</v>
      </c>
      <c r="N7" s="59" t="s">
        <v>185</v>
      </c>
      <c r="O7" s="59" t="s">
        <v>185</v>
      </c>
      <c r="P7" s="60">
        <v>45987</v>
      </c>
      <c r="R7" s="60">
        <v>45987</v>
      </c>
      <c r="S7" s="60">
        <v>45987</v>
      </c>
      <c r="T7" s="60">
        <v>45987</v>
      </c>
      <c r="U7" s="61">
        <v>45986</v>
      </c>
      <c r="V7" s="61">
        <v>45986</v>
      </c>
      <c r="W7" s="61">
        <v>45986</v>
      </c>
      <c r="X7" s="61">
        <v>45986</v>
      </c>
      <c r="Y7" s="55"/>
    </row>
    <row r="8" spans="1:25" x14ac:dyDescent="0.25">
      <c r="B8" s="90"/>
      <c r="Y8" s="55"/>
    </row>
    <row r="9" spans="1:25" x14ac:dyDescent="0.25">
      <c r="B9" s="90"/>
      <c r="C9" s="31" t="s">
        <v>36</v>
      </c>
      <c r="D9" s="25" t="s">
        <v>37</v>
      </c>
      <c r="E9" s="25" t="s">
        <v>38</v>
      </c>
      <c r="F9" s="25" t="s">
        <v>39</v>
      </c>
      <c r="G9" s="25" t="s">
        <v>40</v>
      </c>
      <c r="H9" s="25" t="s">
        <v>41</v>
      </c>
      <c r="J9" s="25" t="s">
        <v>42</v>
      </c>
      <c r="K9" s="25" t="s">
        <v>43</v>
      </c>
      <c r="L9" s="25" t="s">
        <v>44</v>
      </c>
      <c r="M9" s="25" t="s">
        <v>45</v>
      </c>
      <c r="N9" s="25" t="s">
        <v>46</v>
      </c>
      <c r="O9" s="25" t="s">
        <v>47</v>
      </c>
      <c r="P9" s="25" t="s">
        <v>48</v>
      </c>
      <c r="R9" s="25" t="s">
        <v>49</v>
      </c>
      <c r="S9" s="25" t="s">
        <v>50</v>
      </c>
      <c r="T9" s="25" t="s">
        <v>51</v>
      </c>
      <c r="U9" s="25" t="s">
        <v>52</v>
      </c>
      <c r="V9" s="25" t="s">
        <v>53</v>
      </c>
      <c r="W9" s="25" t="s">
        <v>54</v>
      </c>
      <c r="X9" s="25" t="s">
        <v>55</v>
      </c>
      <c r="Y9" s="55"/>
    </row>
    <row r="10" spans="1:25" ht="15.75" thickBot="1" x14ac:dyDescent="0.3">
      <c r="B10" s="91"/>
      <c r="C10" s="31">
        <f t="shared" ref="C10:H10" ca="1" si="2">IF(C11="","",$B$1-C11)</f>
        <v>62</v>
      </c>
      <c r="D10" s="25">
        <f t="shared" ca="1" si="2"/>
        <v>62</v>
      </c>
      <c r="E10" s="25">
        <f t="shared" ca="1" si="2"/>
        <v>62</v>
      </c>
      <c r="F10" s="25">
        <f t="shared" ca="1" si="2"/>
        <v>62</v>
      </c>
      <c r="G10" s="25">
        <f t="shared" ca="1" si="2"/>
        <v>62</v>
      </c>
      <c r="H10" s="25">
        <f t="shared" ca="1" si="2"/>
        <v>62</v>
      </c>
      <c r="J10" s="25">
        <f t="shared" ref="J10:P10" ca="1" si="3">IF(J11="","",$B$1-J11)</f>
        <v>62</v>
      </c>
      <c r="K10" s="25">
        <f t="shared" ca="1" si="3"/>
        <v>60</v>
      </c>
      <c r="L10" s="25">
        <f t="shared" ca="1" si="3"/>
        <v>60</v>
      </c>
      <c r="M10" s="25">
        <f t="shared" ca="1" si="3"/>
        <v>60</v>
      </c>
      <c r="N10" s="25">
        <f t="shared" ca="1" si="3"/>
        <v>60</v>
      </c>
      <c r="O10" s="25">
        <f t="shared" ca="1" si="3"/>
        <v>60</v>
      </c>
      <c r="P10" s="25">
        <f t="shared" ca="1" si="3"/>
        <v>60</v>
      </c>
      <c r="R10" s="25">
        <f t="shared" ref="R10:W10" ca="1" si="4">IF(R11="","",$B$1-R11)</f>
        <v>60</v>
      </c>
      <c r="S10" s="25">
        <f t="shared" ca="1" si="4"/>
        <v>59</v>
      </c>
      <c r="T10" s="25">
        <f t="shared" ca="1" si="4"/>
        <v>59</v>
      </c>
      <c r="U10" s="25">
        <f t="shared" ca="1" si="4"/>
        <v>58</v>
      </c>
      <c r="V10" s="25">
        <f t="shared" ca="1" si="4"/>
        <v>58</v>
      </c>
      <c r="W10" s="25">
        <f t="shared" ca="1" si="4"/>
        <v>58</v>
      </c>
      <c r="X10" s="56">
        <v>45717</v>
      </c>
      <c r="Y10" s="55"/>
    </row>
    <row r="11" spans="1:25" ht="38.25" customHeight="1" x14ac:dyDescent="0.25">
      <c r="B11" s="54"/>
      <c r="C11" s="60">
        <v>45982</v>
      </c>
      <c r="D11" s="60">
        <v>45982</v>
      </c>
      <c r="E11" s="60">
        <v>45982</v>
      </c>
      <c r="F11" s="60">
        <v>45982</v>
      </c>
      <c r="G11" s="60">
        <v>45982</v>
      </c>
      <c r="H11" s="60">
        <v>45982</v>
      </c>
      <c r="J11" s="60">
        <v>45982</v>
      </c>
      <c r="K11" s="60">
        <v>45984</v>
      </c>
      <c r="L11" s="60">
        <v>45984</v>
      </c>
      <c r="M11" s="60">
        <v>45984</v>
      </c>
      <c r="N11" s="60">
        <v>45984</v>
      </c>
      <c r="O11" s="60">
        <v>45984</v>
      </c>
      <c r="P11" s="60">
        <v>45984</v>
      </c>
      <c r="R11" s="60">
        <v>45984</v>
      </c>
      <c r="S11" s="60">
        <v>45985</v>
      </c>
      <c r="T11" s="60">
        <v>45985</v>
      </c>
      <c r="U11" s="61">
        <v>45986</v>
      </c>
      <c r="V11" s="61">
        <v>45986</v>
      </c>
      <c r="W11" s="61">
        <v>45986</v>
      </c>
      <c r="X11" s="62" t="s">
        <v>188</v>
      </c>
      <c r="Y11" s="55"/>
    </row>
    <row r="12" spans="1:25" x14ac:dyDescent="0.25">
      <c r="B12" s="54"/>
      <c r="C12" s="63"/>
      <c r="V12" s="64"/>
      <c r="Y12" s="55"/>
    </row>
    <row r="13" spans="1:25" x14ac:dyDescent="0.25">
      <c r="B13" s="54"/>
      <c r="C13" s="25" t="s">
        <v>9</v>
      </c>
      <c r="D13" s="25" t="s">
        <v>17</v>
      </c>
      <c r="E13" s="25" t="s">
        <v>18</v>
      </c>
      <c r="F13" s="25" t="s">
        <v>19</v>
      </c>
      <c r="G13" s="25" t="s">
        <v>20</v>
      </c>
      <c r="H13" s="25" t="s">
        <v>21</v>
      </c>
      <c r="J13" s="25" t="s">
        <v>22</v>
      </c>
      <c r="K13" s="25" t="s">
        <v>23</v>
      </c>
      <c r="L13" s="25" t="s">
        <v>24</v>
      </c>
      <c r="M13" s="25" t="s">
        <v>25</v>
      </c>
      <c r="N13" s="25" t="s">
        <v>26</v>
      </c>
      <c r="O13" s="25" t="s">
        <v>27</v>
      </c>
      <c r="P13" s="25" t="s">
        <v>28</v>
      </c>
      <c r="R13" s="25" t="s">
        <v>29</v>
      </c>
      <c r="S13" s="25" t="s">
        <v>30</v>
      </c>
      <c r="T13" s="25" t="s">
        <v>31</v>
      </c>
      <c r="U13" s="25" t="s">
        <v>32</v>
      </c>
      <c r="V13" s="25" t="s">
        <v>33</v>
      </c>
      <c r="W13" s="25" t="s">
        <v>34</v>
      </c>
      <c r="X13" s="25" t="s">
        <v>35</v>
      </c>
      <c r="Y13" s="55"/>
    </row>
    <row r="14" spans="1:25" x14ac:dyDescent="0.25">
      <c r="B14" s="54"/>
      <c r="C14" s="25">
        <f t="shared" ref="C14:H14" ca="1" si="5">IF(C15="","",$B$1-C15)</f>
        <v>63</v>
      </c>
      <c r="D14" s="25">
        <f t="shared" ca="1" si="5"/>
        <v>63</v>
      </c>
      <c r="E14" s="25">
        <f t="shared" ca="1" si="5"/>
        <v>63</v>
      </c>
      <c r="F14" s="25">
        <f t="shared" ca="1" si="5"/>
        <v>63</v>
      </c>
      <c r="G14" s="25">
        <f t="shared" ca="1" si="5"/>
        <v>63</v>
      </c>
      <c r="H14" s="25">
        <f t="shared" ca="1" si="5"/>
        <v>63</v>
      </c>
      <c r="J14" s="25">
        <f t="shared" ref="J14:P14" ca="1" si="6">IF(J15="","",$B$1-J15)</f>
        <v>63</v>
      </c>
      <c r="K14" s="25">
        <f t="shared" ca="1" si="6"/>
        <v>61</v>
      </c>
      <c r="L14" s="25">
        <f t="shared" ca="1" si="6"/>
        <v>61</v>
      </c>
      <c r="M14" s="25">
        <f t="shared" ca="1" si="6"/>
        <v>61</v>
      </c>
      <c r="N14" s="25">
        <f t="shared" ca="1" si="6"/>
        <v>61</v>
      </c>
      <c r="O14" s="25">
        <f t="shared" ca="1" si="6"/>
        <v>61</v>
      </c>
      <c r="P14" s="25">
        <f t="shared" ca="1" si="6"/>
        <v>61</v>
      </c>
      <c r="R14" s="25">
        <f t="shared" ref="R14:W14" ca="1" si="7">IF(R15="","",$B$1-R15)</f>
        <v>61</v>
      </c>
      <c r="S14" s="25">
        <f t="shared" ca="1" si="7"/>
        <v>59</v>
      </c>
      <c r="T14" s="25">
        <f t="shared" ca="1" si="7"/>
        <v>59</v>
      </c>
      <c r="U14" s="25">
        <f t="shared" ca="1" si="7"/>
        <v>59</v>
      </c>
      <c r="V14" s="25">
        <f t="shared" ca="1" si="7"/>
        <v>59</v>
      </c>
      <c r="W14" s="25">
        <f t="shared" ca="1" si="7"/>
        <v>59</v>
      </c>
      <c r="X14" s="56">
        <v>45717</v>
      </c>
      <c r="Y14" s="55"/>
    </row>
    <row r="15" spans="1:25" ht="38.25" customHeight="1" x14ac:dyDescent="0.25">
      <c r="B15" s="54"/>
      <c r="C15" s="60">
        <v>45981</v>
      </c>
      <c r="D15" s="60">
        <v>45981</v>
      </c>
      <c r="E15" s="60">
        <v>45981</v>
      </c>
      <c r="F15" s="60">
        <v>45981</v>
      </c>
      <c r="G15" s="60">
        <v>45981</v>
      </c>
      <c r="H15" s="60">
        <v>45981</v>
      </c>
      <c r="J15" s="60">
        <v>45981</v>
      </c>
      <c r="K15" s="60">
        <v>45983</v>
      </c>
      <c r="L15" s="60">
        <v>45983</v>
      </c>
      <c r="M15" s="60">
        <v>45983</v>
      </c>
      <c r="N15" s="60">
        <v>45983</v>
      </c>
      <c r="O15" s="60">
        <v>45983</v>
      </c>
      <c r="P15" s="60">
        <v>45983</v>
      </c>
      <c r="R15" s="60">
        <v>45983</v>
      </c>
      <c r="S15" s="60">
        <v>45985</v>
      </c>
      <c r="T15" s="60">
        <v>45985</v>
      </c>
      <c r="U15" s="60">
        <v>45985</v>
      </c>
      <c r="V15" s="60">
        <v>45985</v>
      </c>
      <c r="W15" s="60">
        <v>45985</v>
      </c>
      <c r="X15" s="62" t="s">
        <v>189</v>
      </c>
      <c r="Y15" s="55"/>
    </row>
    <row r="16" spans="1:25" ht="15.75" thickBot="1" x14ac:dyDescent="0.3">
      <c r="B16" s="65"/>
      <c r="C16" s="66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8"/>
    </row>
    <row r="17" spans="1:44" ht="16.5" thickBot="1" x14ac:dyDescent="0.3">
      <c r="B17" s="69"/>
    </row>
    <row r="18" spans="1:44" x14ac:dyDescent="0.25">
      <c r="B18" s="51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3"/>
    </row>
    <row r="19" spans="1:44" x14ac:dyDescent="0.25">
      <c r="B19" s="54"/>
      <c r="J19" s="25" t="s">
        <v>126</v>
      </c>
      <c r="K19" s="25" t="s">
        <v>125</v>
      </c>
      <c r="X19" s="25" t="s">
        <v>123</v>
      </c>
      <c r="Y19" s="70"/>
      <c r="AF19" s="25" t="s">
        <v>122</v>
      </c>
      <c r="AG19" s="25" t="s">
        <v>120</v>
      </c>
      <c r="AH19" s="25" t="s">
        <v>119</v>
      </c>
      <c r="AI19" s="25" t="s">
        <v>118</v>
      </c>
      <c r="AJ19" s="55"/>
    </row>
    <row r="20" spans="1:44" x14ac:dyDescent="0.25">
      <c r="B20" s="54"/>
      <c r="J20" s="25">
        <f ca="1">IF(J21="","",$B$1-J21)</f>
        <v>76</v>
      </c>
      <c r="K20" s="25">
        <f ca="1">IF(K21="","",$B$1-K21)</f>
        <v>76</v>
      </c>
      <c r="X20" s="25"/>
      <c r="AF20" s="25"/>
      <c r="AG20" s="25"/>
      <c r="AH20" s="25">
        <f ca="1">IF(AH21="","",$B$1-AH21)</f>
        <v>76</v>
      </c>
      <c r="AI20" s="25">
        <f ca="1">IF(AI21="","",$B$1-AI21)</f>
        <v>76</v>
      </c>
      <c r="AJ20" s="55"/>
    </row>
    <row r="21" spans="1:44" ht="30" x14ac:dyDescent="0.25">
      <c r="B21" s="54"/>
      <c r="J21" s="60">
        <v>45968</v>
      </c>
      <c r="K21" s="60">
        <v>45968</v>
      </c>
      <c r="X21" s="61" t="s">
        <v>124</v>
      </c>
      <c r="AF21" s="62" t="s">
        <v>121</v>
      </c>
      <c r="AG21" s="62" t="s">
        <v>121</v>
      </c>
      <c r="AH21" s="60">
        <v>45968</v>
      </c>
      <c r="AI21" s="60">
        <v>45968</v>
      </c>
      <c r="AJ21" s="55"/>
      <c r="AO21" s="63"/>
      <c r="AP21" s="63"/>
    </row>
    <row r="22" spans="1:44" x14ac:dyDescent="0.25">
      <c r="B22" s="54"/>
      <c r="AJ22" s="55"/>
      <c r="AL22" t="s">
        <v>190</v>
      </c>
    </row>
    <row r="23" spans="1:44" x14ac:dyDescent="0.25">
      <c r="A23">
        <v>60</v>
      </c>
      <c r="B23" s="54"/>
      <c r="C23" s="25" t="s">
        <v>116</v>
      </c>
      <c r="D23" s="25" t="s">
        <v>115</v>
      </c>
      <c r="E23" s="25" t="s">
        <v>114</v>
      </c>
      <c r="F23" s="25" t="s">
        <v>113</v>
      </c>
      <c r="G23" s="25" t="s">
        <v>112</v>
      </c>
      <c r="H23" s="25" t="s">
        <v>111</v>
      </c>
      <c r="J23" s="25" t="s">
        <v>110</v>
      </c>
      <c r="K23" s="25" t="s">
        <v>109</v>
      </c>
      <c r="L23" s="25" t="s">
        <v>108</v>
      </c>
      <c r="M23" s="25" t="s">
        <v>107</v>
      </c>
      <c r="N23" s="25" t="s">
        <v>106</v>
      </c>
      <c r="O23" s="25" t="s">
        <v>105</v>
      </c>
      <c r="P23" s="25" t="s">
        <v>104</v>
      </c>
      <c r="R23" s="25" t="s">
        <v>103</v>
      </c>
      <c r="S23" s="25" t="s">
        <v>102</v>
      </c>
      <c r="T23" s="25" t="s">
        <v>101</v>
      </c>
      <c r="U23" s="25" t="s">
        <v>100</v>
      </c>
      <c r="V23" s="25" t="s">
        <v>99</v>
      </c>
      <c r="W23" s="25" t="s">
        <v>98</v>
      </c>
      <c r="X23" s="25" t="s">
        <v>97</v>
      </c>
      <c r="Z23" s="25" t="s">
        <v>96</v>
      </c>
      <c r="AA23" s="25" t="s">
        <v>95</v>
      </c>
      <c r="AB23" s="25" t="s">
        <v>94</v>
      </c>
      <c r="AC23" s="25" t="s">
        <v>93</v>
      </c>
      <c r="AD23" s="25" t="s">
        <v>92</v>
      </c>
      <c r="AE23" s="25" t="s">
        <v>91</v>
      </c>
      <c r="AF23" s="25" t="s">
        <v>90</v>
      </c>
      <c r="AG23" s="25" t="s">
        <v>89</v>
      </c>
      <c r="AH23" s="25" t="s">
        <v>88</v>
      </c>
      <c r="AI23" s="25" t="s">
        <v>87</v>
      </c>
      <c r="AJ23" s="55"/>
      <c r="AL23" s="25" t="s">
        <v>191</v>
      </c>
    </row>
    <row r="24" spans="1:44" x14ac:dyDescent="0.25">
      <c r="B24" s="54"/>
      <c r="C24" s="25" t="str">
        <f t="shared" ref="C24:H24" si="8">IF(C25="","",$B$1-C25)</f>
        <v/>
      </c>
      <c r="D24" s="25" t="str">
        <f t="shared" si="8"/>
        <v/>
      </c>
      <c r="E24" s="25" t="str">
        <f t="shared" si="8"/>
        <v/>
      </c>
      <c r="F24" s="25">
        <f t="shared" ca="1" si="8"/>
        <v>79</v>
      </c>
      <c r="G24" s="25">
        <f t="shared" ca="1" si="8"/>
        <v>79</v>
      </c>
      <c r="H24" s="25">
        <f t="shared" ca="1" si="8"/>
        <v>79</v>
      </c>
      <c r="J24" s="25">
        <f ca="1">IF(J25="","",$B$1-J25)</f>
        <v>79</v>
      </c>
      <c r="K24" s="25">
        <f t="shared" ref="K24:AI24" ca="1" si="9">IF(K25="","",$B$1-K25)</f>
        <v>52</v>
      </c>
      <c r="L24" s="25">
        <f t="shared" ca="1" si="9"/>
        <v>52</v>
      </c>
      <c r="M24" s="25">
        <f t="shared" ca="1" si="9"/>
        <v>52</v>
      </c>
      <c r="N24" s="25">
        <f t="shared" ca="1" si="9"/>
        <v>53</v>
      </c>
      <c r="O24" s="25">
        <f t="shared" ca="1" si="9"/>
        <v>53</v>
      </c>
      <c r="P24" s="25">
        <f t="shared" ca="1" si="9"/>
        <v>53</v>
      </c>
      <c r="R24" s="25">
        <f t="shared" ca="1" si="9"/>
        <v>53</v>
      </c>
      <c r="S24" s="25">
        <f t="shared" ca="1" si="9"/>
        <v>50</v>
      </c>
      <c r="T24" s="25">
        <f t="shared" ca="1" si="9"/>
        <v>50</v>
      </c>
      <c r="U24" s="25">
        <f t="shared" ca="1" si="9"/>
        <v>50</v>
      </c>
      <c r="V24" s="25">
        <f t="shared" ca="1" si="9"/>
        <v>50</v>
      </c>
      <c r="W24" s="25">
        <f t="shared" ca="1" si="9"/>
        <v>50</v>
      </c>
      <c r="X24" s="25">
        <f t="shared" ca="1" si="9"/>
        <v>50</v>
      </c>
      <c r="Z24" s="25">
        <f t="shared" ca="1" si="9"/>
        <v>80</v>
      </c>
      <c r="AA24" s="25">
        <f t="shared" ca="1" si="9"/>
        <v>77</v>
      </c>
      <c r="AB24" s="25">
        <f t="shared" ca="1" si="9"/>
        <v>77</v>
      </c>
      <c r="AC24" s="25">
        <f t="shared" ca="1" si="9"/>
        <v>77</v>
      </c>
      <c r="AD24" s="25">
        <f t="shared" ca="1" si="9"/>
        <v>77</v>
      </c>
      <c r="AE24" s="25">
        <f t="shared" ca="1" si="9"/>
        <v>77</v>
      </c>
      <c r="AF24" s="25">
        <f t="shared" ca="1" si="9"/>
        <v>77</v>
      </c>
      <c r="AG24" s="25">
        <f t="shared" ca="1" si="9"/>
        <v>77</v>
      </c>
      <c r="AH24" s="25">
        <f t="shared" ca="1" si="9"/>
        <v>76</v>
      </c>
      <c r="AI24" s="25">
        <f t="shared" ca="1" si="9"/>
        <v>76</v>
      </c>
      <c r="AJ24" s="55"/>
      <c r="AL24" s="71" t="s">
        <v>192</v>
      </c>
      <c r="AN24" s="63"/>
      <c r="AO24" s="63"/>
      <c r="AP24" s="63"/>
      <c r="AQ24" s="63"/>
      <c r="AR24" s="63"/>
    </row>
    <row r="25" spans="1:44" ht="39.950000000000003" customHeight="1" x14ac:dyDescent="0.25">
      <c r="B25" s="54"/>
      <c r="C25" s="60"/>
      <c r="D25" s="60"/>
      <c r="E25" s="60"/>
      <c r="F25" s="60">
        <v>45965</v>
      </c>
      <c r="G25" s="60">
        <v>45965</v>
      </c>
      <c r="H25" s="60">
        <v>45965</v>
      </c>
      <c r="J25" s="60">
        <v>45965</v>
      </c>
      <c r="K25" s="60">
        <v>45992</v>
      </c>
      <c r="L25" s="60">
        <v>45992</v>
      </c>
      <c r="M25" s="60">
        <v>45992</v>
      </c>
      <c r="N25" s="60">
        <v>45991</v>
      </c>
      <c r="O25" s="60">
        <v>45991</v>
      </c>
      <c r="P25" s="60">
        <v>45991</v>
      </c>
      <c r="R25" s="60">
        <v>45991</v>
      </c>
      <c r="S25" s="60">
        <v>45994</v>
      </c>
      <c r="T25" s="60">
        <v>45994</v>
      </c>
      <c r="U25" s="60">
        <v>45994</v>
      </c>
      <c r="V25" s="60">
        <v>45994</v>
      </c>
      <c r="W25" s="60">
        <v>45994</v>
      </c>
      <c r="X25" s="60">
        <v>45994</v>
      </c>
      <c r="Z25" s="60">
        <v>45964</v>
      </c>
      <c r="AA25" s="60">
        <v>45967</v>
      </c>
      <c r="AB25" s="60">
        <v>45967</v>
      </c>
      <c r="AC25" s="60">
        <v>45967</v>
      </c>
      <c r="AD25" s="60">
        <v>45967</v>
      </c>
      <c r="AE25" s="60">
        <v>45967</v>
      </c>
      <c r="AF25" s="60">
        <v>45967</v>
      </c>
      <c r="AG25" s="60">
        <v>45967</v>
      </c>
      <c r="AH25" s="60">
        <v>45968</v>
      </c>
      <c r="AI25" s="60">
        <v>45968</v>
      </c>
      <c r="AJ25" s="55"/>
      <c r="AL25" s="72" t="s">
        <v>1</v>
      </c>
      <c r="AN25" s="63"/>
      <c r="AO25" s="63"/>
      <c r="AP25" s="63"/>
      <c r="AQ25" s="63"/>
      <c r="AR25" s="63"/>
    </row>
    <row r="26" spans="1:44" x14ac:dyDescent="0.25">
      <c r="B26" s="54"/>
      <c r="AJ26" s="55"/>
      <c r="AL26" s="47" t="s">
        <v>193</v>
      </c>
    </row>
    <row r="27" spans="1:44" x14ac:dyDescent="0.25">
      <c r="B27" s="54"/>
      <c r="C27" s="25" t="s">
        <v>86</v>
      </c>
      <c r="D27" s="25" t="s">
        <v>85</v>
      </c>
      <c r="E27" s="25" t="s">
        <v>84</v>
      </c>
      <c r="F27" s="25" t="s">
        <v>83</v>
      </c>
      <c r="G27" s="25" t="s">
        <v>82</v>
      </c>
      <c r="H27" s="25" t="s">
        <v>81</v>
      </c>
      <c r="J27" s="25" t="s">
        <v>80</v>
      </c>
      <c r="K27" s="25" t="s">
        <v>79</v>
      </c>
      <c r="L27" s="25" t="s">
        <v>78</v>
      </c>
      <c r="M27" s="25" t="s">
        <v>77</v>
      </c>
      <c r="N27" s="25" t="s">
        <v>76</v>
      </c>
      <c r="O27" s="25" t="s">
        <v>75</v>
      </c>
      <c r="P27" s="25" t="s">
        <v>74</v>
      </c>
      <c r="R27" s="25" t="s">
        <v>73</v>
      </c>
      <c r="S27" s="25" t="s">
        <v>72</v>
      </c>
      <c r="T27" s="25" t="s">
        <v>71</v>
      </c>
      <c r="U27" s="25" t="s">
        <v>70</v>
      </c>
      <c r="V27" s="25" t="s">
        <v>69</v>
      </c>
      <c r="W27" s="25" t="s">
        <v>68</v>
      </c>
      <c r="X27" s="25" t="s">
        <v>67</v>
      </c>
      <c r="Z27" s="25" t="s">
        <v>66</v>
      </c>
      <c r="AA27" s="25" t="s">
        <v>65</v>
      </c>
      <c r="AB27" s="25" t="s">
        <v>64</v>
      </c>
      <c r="AC27" s="25" t="s">
        <v>63</v>
      </c>
      <c r="AD27" s="25" t="s">
        <v>62</v>
      </c>
      <c r="AE27" s="25" t="s">
        <v>61</v>
      </c>
      <c r="AF27" s="25" t="s">
        <v>60</v>
      </c>
      <c r="AG27" s="25" t="s">
        <v>59</v>
      </c>
      <c r="AH27" s="25" t="s">
        <v>58</v>
      </c>
      <c r="AI27" s="25" t="s">
        <v>57</v>
      </c>
      <c r="AJ27" s="55"/>
    </row>
    <row r="28" spans="1:44" x14ac:dyDescent="0.25">
      <c r="B28" s="54"/>
      <c r="C28" s="25">
        <f t="shared" ref="C28:H28" ca="1" si="10">IF(C29="","",$B$1-C29)</f>
        <v>64</v>
      </c>
      <c r="D28" s="25">
        <f t="shared" ca="1" si="10"/>
        <v>64</v>
      </c>
      <c r="E28" s="25">
        <f t="shared" ca="1" si="10"/>
        <v>64</v>
      </c>
      <c r="F28" s="25">
        <f t="shared" ca="1" si="10"/>
        <v>64</v>
      </c>
      <c r="G28" s="25">
        <f t="shared" ca="1" si="10"/>
        <v>64</v>
      </c>
      <c r="H28" s="25">
        <f t="shared" ca="1" si="10"/>
        <v>64</v>
      </c>
      <c r="J28" s="25">
        <f ca="1">IF(J29="","",$B$1-J29)</f>
        <v>64</v>
      </c>
      <c r="K28" s="25">
        <f t="shared" ref="K28:P28" ca="1" si="11">IF(K29="","",$B$1-K29)</f>
        <v>57</v>
      </c>
      <c r="L28" s="25">
        <f t="shared" ca="1" si="11"/>
        <v>57</v>
      </c>
      <c r="M28" s="25">
        <f t="shared" ca="1" si="11"/>
        <v>57</v>
      </c>
      <c r="N28" s="25">
        <f t="shared" ca="1" si="11"/>
        <v>57</v>
      </c>
      <c r="O28" s="25">
        <f t="shared" ca="1" si="11"/>
        <v>56</v>
      </c>
      <c r="P28" s="25">
        <f t="shared" ca="1" si="11"/>
        <v>56</v>
      </c>
      <c r="R28" s="25">
        <f t="shared" ref="R28:X28" ca="1" si="12">IF(R29="","",$B$1-R29)</f>
        <v>56</v>
      </c>
      <c r="S28" s="25">
        <f ca="1">IF(S29="","",$B$1-S29)</f>
        <v>52</v>
      </c>
      <c r="T28" s="25">
        <f ca="1">IF(T29="","",$B$1-T29)</f>
        <v>52</v>
      </c>
      <c r="U28" s="25">
        <f ca="1">IF(U29="","",$B$1-U29)</f>
        <v>52</v>
      </c>
      <c r="V28" s="25">
        <f ca="1">IF(V29="","",$B$1-V29)</f>
        <v>52</v>
      </c>
      <c r="W28" s="25">
        <f t="shared" ca="1" si="12"/>
        <v>50</v>
      </c>
      <c r="X28" s="25">
        <f t="shared" ca="1" si="12"/>
        <v>50</v>
      </c>
      <c r="Z28" s="25">
        <f t="shared" ref="Z28:AI28" ca="1" si="13">IF(Z29="","",$B$1-Z29)</f>
        <v>50</v>
      </c>
      <c r="AA28" s="25">
        <f t="shared" ca="1" si="13"/>
        <v>78</v>
      </c>
      <c r="AB28" s="25">
        <f t="shared" ca="1" si="13"/>
        <v>78</v>
      </c>
      <c r="AC28" s="25">
        <f t="shared" ca="1" si="13"/>
        <v>78</v>
      </c>
      <c r="AD28" s="25">
        <f t="shared" ca="1" si="13"/>
        <v>78</v>
      </c>
      <c r="AE28" s="25">
        <f t="shared" ca="1" si="13"/>
        <v>78</v>
      </c>
      <c r="AF28" s="25">
        <f t="shared" ca="1" si="13"/>
        <v>78</v>
      </c>
      <c r="AG28" s="25">
        <f t="shared" ca="1" si="13"/>
        <v>78</v>
      </c>
      <c r="AH28" s="25">
        <f t="shared" ca="1" si="13"/>
        <v>76</v>
      </c>
      <c r="AI28" s="25">
        <f t="shared" ca="1" si="13"/>
        <v>76</v>
      </c>
      <c r="AJ28" s="55"/>
    </row>
    <row r="29" spans="1:44" ht="39.950000000000003" customHeight="1" thickBot="1" x14ac:dyDescent="0.3">
      <c r="B29" s="54"/>
      <c r="C29" s="60">
        <v>45980</v>
      </c>
      <c r="D29" s="60">
        <v>45980</v>
      </c>
      <c r="E29" s="60">
        <v>45980</v>
      </c>
      <c r="F29" s="60">
        <v>45980</v>
      </c>
      <c r="G29" s="60">
        <v>45980</v>
      </c>
      <c r="H29" s="60">
        <v>45980</v>
      </c>
      <c r="J29" s="60">
        <v>45980</v>
      </c>
      <c r="K29" s="60">
        <v>45987</v>
      </c>
      <c r="L29" s="60">
        <v>45987</v>
      </c>
      <c r="M29" s="60">
        <v>45987</v>
      </c>
      <c r="N29" s="60">
        <v>45987</v>
      </c>
      <c r="O29" s="60">
        <v>45988</v>
      </c>
      <c r="P29" s="60">
        <v>45988</v>
      </c>
      <c r="R29" s="60">
        <v>45988</v>
      </c>
      <c r="S29" s="60">
        <v>45992</v>
      </c>
      <c r="T29" s="60">
        <v>45992</v>
      </c>
      <c r="U29" s="60">
        <v>45992</v>
      </c>
      <c r="V29" s="60">
        <v>45992</v>
      </c>
      <c r="W29" s="60">
        <v>45994</v>
      </c>
      <c r="X29" s="60">
        <v>45994</v>
      </c>
      <c r="Z29" s="60">
        <v>45994</v>
      </c>
      <c r="AA29" s="60">
        <v>45966</v>
      </c>
      <c r="AB29" s="60">
        <v>45966</v>
      </c>
      <c r="AC29" s="60">
        <v>45966</v>
      </c>
      <c r="AD29" s="60">
        <v>45966</v>
      </c>
      <c r="AE29" s="60">
        <v>45966</v>
      </c>
      <c r="AF29" s="60">
        <v>45966</v>
      </c>
      <c r="AG29" s="60">
        <v>45966</v>
      </c>
      <c r="AH29" s="60">
        <v>45968</v>
      </c>
      <c r="AI29" s="60">
        <v>45968</v>
      </c>
      <c r="AJ29" s="55"/>
    </row>
    <row r="30" spans="1:44" ht="15.75" thickBot="1" x14ac:dyDescent="0.3">
      <c r="B30" s="54"/>
      <c r="H30" s="92" t="s">
        <v>184</v>
      </c>
      <c r="I30" s="93"/>
      <c r="J30" s="94"/>
      <c r="AJ30" s="55"/>
    </row>
    <row r="31" spans="1:44" x14ac:dyDescent="0.25">
      <c r="B31" s="54"/>
      <c r="W31" s="25" t="s">
        <v>131</v>
      </c>
      <c r="X31" s="25" t="s">
        <v>130</v>
      </c>
      <c r="AG31" s="25" t="s">
        <v>129</v>
      </c>
      <c r="AH31" s="25" t="s">
        <v>128</v>
      </c>
      <c r="AI31" s="25" t="s">
        <v>127</v>
      </c>
      <c r="AJ31" s="55"/>
    </row>
    <row r="32" spans="1:44" x14ac:dyDescent="0.25">
      <c r="B32" s="54"/>
      <c r="W32" s="25"/>
      <c r="X32" s="25"/>
      <c r="AG32" s="25" t="s">
        <v>194</v>
      </c>
      <c r="AH32" s="25" t="s">
        <v>194</v>
      </c>
      <c r="AI32" s="25" t="s">
        <v>194</v>
      </c>
      <c r="AJ32" s="55"/>
    </row>
    <row r="33" spans="1:36" ht="39.950000000000003" customHeight="1" x14ac:dyDescent="0.25">
      <c r="B33" s="54"/>
      <c r="W33" s="60" t="s">
        <v>195</v>
      </c>
      <c r="X33" s="60" t="s">
        <v>195</v>
      </c>
      <c r="AG33" s="61" t="s">
        <v>195</v>
      </c>
      <c r="AH33" s="61" t="s">
        <v>195</v>
      </c>
      <c r="AI33" s="61" t="s">
        <v>195</v>
      </c>
      <c r="AJ33" s="55"/>
    </row>
    <row r="34" spans="1:36" ht="15.75" thickBot="1" x14ac:dyDescent="0.3">
      <c r="B34" s="65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  <c r="AA34" s="67"/>
      <c r="AB34" s="67"/>
      <c r="AC34" s="67"/>
      <c r="AD34" s="67"/>
      <c r="AE34" s="67"/>
      <c r="AF34" s="67"/>
      <c r="AG34" s="67"/>
      <c r="AH34" s="67"/>
      <c r="AI34" s="67"/>
      <c r="AJ34" s="68"/>
    </row>
    <row r="36" spans="1:36" ht="16.5" thickBot="1" x14ac:dyDescent="0.3">
      <c r="B36" s="88">
        <v>45978</v>
      </c>
      <c r="C36" s="88"/>
      <c r="D36" s="88"/>
    </row>
    <row r="37" spans="1:36" x14ac:dyDescent="0.25">
      <c r="B37" s="51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3"/>
    </row>
    <row r="38" spans="1:36" x14ac:dyDescent="0.25">
      <c r="B38" s="54"/>
      <c r="R38" s="55"/>
    </row>
    <row r="39" spans="1:36" x14ac:dyDescent="0.25">
      <c r="B39" s="54"/>
      <c r="R39" s="55"/>
    </row>
    <row r="40" spans="1:36" x14ac:dyDescent="0.25">
      <c r="A40">
        <v>12</v>
      </c>
      <c r="B40" s="54"/>
      <c r="C40" s="25" t="s">
        <v>133</v>
      </c>
      <c r="D40" s="25" t="s">
        <v>134</v>
      </c>
      <c r="E40" s="25" t="s">
        <v>135</v>
      </c>
      <c r="F40" s="25" t="s">
        <v>136</v>
      </c>
      <c r="G40" s="25" t="s">
        <v>137</v>
      </c>
      <c r="H40" s="25" t="s">
        <v>138</v>
      </c>
      <c r="J40" s="25" t="s">
        <v>139</v>
      </c>
      <c r="K40" s="25" t="s">
        <v>140</v>
      </c>
      <c r="L40" s="25" t="s">
        <v>141</v>
      </c>
      <c r="M40" s="25" t="s">
        <v>142</v>
      </c>
      <c r="N40" s="25" t="s">
        <v>143</v>
      </c>
      <c r="O40" s="73" t="s">
        <v>144</v>
      </c>
      <c r="P40" s="25" t="s">
        <v>145</v>
      </c>
      <c r="R40" s="55"/>
    </row>
    <row r="41" spans="1:36" x14ac:dyDescent="0.25">
      <c r="A41">
        <v>12</v>
      </c>
      <c r="B41" s="54"/>
      <c r="C41" s="25">
        <f t="shared" ref="C41:O41" ca="1" si="14">IF(C42="","",$B$1-C42)</f>
        <v>72</v>
      </c>
      <c r="D41" s="25">
        <f t="shared" ca="1" si="14"/>
        <v>72</v>
      </c>
      <c r="E41" s="25">
        <f t="shared" ca="1" si="14"/>
        <v>72</v>
      </c>
      <c r="F41" s="25">
        <f t="shared" ca="1" si="14"/>
        <v>72</v>
      </c>
      <c r="G41" s="25">
        <f t="shared" ca="1" si="14"/>
        <v>71</v>
      </c>
      <c r="H41" s="25">
        <f t="shared" ca="1" si="14"/>
        <v>71</v>
      </c>
      <c r="J41" s="25">
        <f t="shared" ca="1" si="14"/>
        <v>71</v>
      </c>
      <c r="K41" s="25">
        <f t="shared" ca="1" si="14"/>
        <v>71</v>
      </c>
      <c r="L41" s="25">
        <f t="shared" ca="1" si="14"/>
        <v>71</v>
      </c>
      <c r="M41" s="25">
        <f t="shared" ca="1" si="14"/>
        <v>71</v>
      </c>
      <c r="N41" s="25">
        <f t="shared" ca="1" si="14"/>
        <v>71</v>
      </c>
      <c r="O41" s="25" t="str">
        <f t="shared" si="14"/>
        <v/>
      </c>
      <c r="P41" s="25"/>
      <c r="R41" s="55"/>
    </row>
    <row r="42" spans="1:36" ht="38.25" customHeight="1" x14ac:dyDescent="0.25">
      <c r="A42">
        <v>12</v>
      </c>
      <c r="B42" s="54"/>
      <c r="C42" s="60">
        <v>45972</v>
      </c>
      <c r="D42" s="60">
        <v>45972</v>
      </c>
      <c r="E42" s="60">
        <v>45972</v>
      </c>
      <c r="F42" s="60">
        <v>45972</v>
      </c>
      <c r="G42" s="60">
        <v>45973</v>
      </c>
      <c r="H42" s="60">
        <v>45973</v>
      </c>
      <c r="J42" s="60">
        <v>45973</v>
      </c>
      <c r="K42" s="60">
        <v>45973</v>
      </c>
      <c r="L42" s="60">
        <v>45973</v>
      </c>
      <c r="M42" s="60">
        <v>45973</v>
      </c>
      <c r="N42" s="60">
        <v>45973</v>
      </c>
      <c r="O42" s="60"/>
      <c r="P42" s="62" t="s">
        <v>117</v>
      </c>
      <c r="R42" s="55"/>
    </row>
    <row r="43" spans="1:36" x14ac:dyDescent="0.25">
      <c r="B43" s="54"/>
      <c r="R43" s="55"/>
    </row>
    <row r="44" spans="1:36" x14ac:dyDescent="0.25">
      <c r="B44" s="54"/>
      <c r="C44" s="25" t="s">
        <v>36</v>
      </c>
      <c r="D44" s="25" t="s">
        <v>37</v>
      </c>
      <c r="E44" s="25" t="s">
        <v>38</v>
      </c>
      <c r="F44" s="25" t="s">
        <v>39</v>
      </c>
      <c r="H44" s="25" t="s">
        <v>40</v>
      </c>
      <c r="J44" s="25" t="s">
        <v>41</v>
      </c>
      <c r="K44" s="25" t="s">
        <v>42</v>
      </c>
      <c r="L44" s="25" t="s">
        <v>43</v>
      </c>
      <c r="M44" s="25" t="s">
        <v>44</v>
      </c>
      <c r="N44" s="25" t="s">
        <v>45</v>
      </c>
      <c r="O44" s="25" t="s">
        <v>46</v>
      </c>
      <c r="P44" s="25" t="s">
        <v>47</v>
      </c>
      <c r="R44" s="55"/>
    </row>
    <row r="45" spans="1:36" x14ac:dyDescent="0.25">
      <c r="B45" s="54"/>
      <c r="C45" s="25">
        <f ca="1">IF(C46="","",$B$1-C46)</f>
        <v>74</v>
      </c>
      <c r="D45" s="25">
        <f ca="1">IF(D46="","",$B$1-D46)</f>
        <v>74</v>
      </c>
      <c r="E45" s="25">
        <f ca="1">IF(E46="","",$B$1-E46)</f>
        <v>73</v>
      </c>
      <c r="F45" s="25">
        <f ca="1">IF(F46="","",$B$1-F46)</f>
        <v>73</v>
      </c>
      <c r="H45" s="25">
        <f ca="1">IF(H46="","",$B$1-H46)</f>
        <v>73</v>
      </c>
      <c r="J45" s="25">
        <f t="shared" ref="J45:P45" ca="1" si="15">IF(J46="","",$B$1-J46)</f>
        <v>73</v>
      </c>
      <c r="K45" s="25">
        <f t="shared" ca="1" si="15"/>
        <v>73</v>
      </c>
      <c r="L45" s="25">
        <f t="shared" ca="1" si="15"/>
        <v>73</v>
      </c>
      <c r="M45" s="25">
        <f t="shared" ca="1" si="15"/>
        <v>73</v>
      </c>
      <c r="N45" s="25">
        <f t="shared" ca="1" si="15"/>
        <v>72</v>
      </c>
      <c r="O45" s="25">
        <f t="shared" ca="1" si="15"/>
        <v>72</v>
      </c>
      <c r="P45" s="25">
        <f t="shared" ca="1" si="15"/>
        <v>72</v>
      </c>
      <c r="R45" s="55"/>
    </row>
    <row r="46" spans="1:36" ht="38.25" customHeight="1" x14ac:dyDescent="0.25">
      <c r="B46" s="54"/>
      <c r="C46" s="60">
        <v>45970</v>
      </c>
      <c r="D46" s="60">
        <v>45970</v>
      </c>
      <c r="E46" s="60">
        <v>45971</v>
      </c>
      <c r="F46" s="60">
        <v>45971</v>
      </c>
      <c r="H46" s="60">
        <v>45971</v>
      </c>
      <c r="J46" s="60">
        <v>45971</v>
      </c>
      <c r="K46" s="60">
        <v>45971</v>
      </c>
      <c r="L46" s="60">
        <v>45971</v>
      </c>
      <c r="M46" s="60">
        <v>45971</v>
      </c>
      <c r="N46" s="60">
        <v>45972</v>
      </c>
      <c r="O46" s="60">
        <v>45972</v>
      </c>
      <c r="P46" s="60">
        <v>45972</v>
      </c>
      <c r="R46" s="55"/>
    </row>
    <row r="47" spans="1:36" x14ac:dyDescent="0.25">
      <c r="B47" s="54"/>
      <c r="R47" s="55"/>
    </row>
    <row r="48" spans="1:36" x14ac:dyDescent="0.25">
      <c r="B48" s="54"/>
      <c r="C48" s="25" t="s">
        <v>9</v>
      </c>
      <c r="D48" s="25" t="s">
        <v>17</v>
      </c>
      <c r="E48" s="25" t="s">
        <v>18</v>
      </c>
      <c r="F48" s="25" t="s">
        <v>19</v>
      </c>
      <c r="H48" s="25" t="s">
        <v>20</v>
      </c>
      <c r="J48" s="25" t="s">
        <v>21</v>
      </c>
      <c r="K48" s="25" t="s">
        <v>22</v>
      </c>
      <c r="L48" s="25" t="s">
        <v>23</v>
      </c>
      <c r="M48" s="25" t="s">
        <v>24</v>
      </c>
      <c r="N48" s="25" t="s">
        <v>25</v>
      </c>
      <c r="O48" s="25" t="s">
        <v>26</v>
      </c>
      <c r="P48" s="25" t="s">
        <v>27</v>
      </c>
      <c r="R48" s="55"/>
    </row>
    <row r="49" spans="1:29" x14ac:dyDescent="0.25">
      <c r="B49" s="54"/>
      <c r="C49" s="25">
        <f ca="1">IF(C50="","",$B$1-C50)</f>
        <v>75</v>
      </c>
      <c r="D49" s="25">
        <f ca="1">IF(D50="","",$B$1-D50)</f>
        <v>75</v>
      </c>
      <c r="E49" s="25">
        <f ca="1">IF(E50="","",$B$1-E50)</f>
        <v>75</v>
      </c>
      <c r="F49" s="25">
        <f ca="1">IF(F50="","",$B$1-F50)</f>
        <v>75</v>
      </c>
      <c r="H49" s="25">
        <f ca="1">IF(H50="","",$B$1-H50)</f>
        <v>75</v>
      </c>
      <c r="J49" s="25">
        <f t="shared" ref="J49:P49" ca="1" si="16">IF(J50="","",$B$1-J50)</f>
        <v>75</v>
      </c>
      <c r="K49" s="25">
        <f t="shared" ca="1" si="16"/>
        <v>75</v>
      </c>
      <c r="L49" s="25">
        <f t="shared" ca="1" si="16"/>
        <v>74</v>
      </c>
      <c r="M49" s="25">
        <f t="shared" ca="1" si="16"/>
        <v>74</v>
      </c>
      <c r="N49" s="25">
        <f t="shared" ca="1" si="16"/>
        <v>74</v>
      </c>
      <c r="O49" s="25">
        <f t="shared" ca="1" si="16"/>
        <v>74</v>
      </c>
      <c r="P49" s="25">
        <f t="shared" ca="1" si="16"/>
        <v>74</v>
      </c>
      <c r="R49" s="55"/>
    </row>
    <row r="50" spans="1:29" ht="38.25" customHeight="1" thickBot="1" x14ac:dyDescent="0.3">
      <c r="B50" s="54"/>
      <c r="C50" s="60">
        <v>45969</v>
      </c>
      <c r="D50" s="60">
        <v>45969</v>
      </c>
      <c r="E50" s="60">
        <v>45969</v>
      </c>
      <c r="F50" s="60">
        <v>45969</v>
      </c>
      <c r="H50" s="60">
        <v>45969</v>
      </c>
      <c r="J50" s="60">
        <v>45969</v>
      </c>
      <c r="K50" s="60">
        <v>45969</v>
      </c>
      <c r="L50" s="60">
        <v>45970</v>
      </c>
      <c r="M50" s="60">
        <v>45970</v>
      </c>
      <c r="N50" s="60">
        <v>45970</v>
      </c>
      <c r="O50" s="60">
        <v>45970</v>
      </c>
      <c r="P50" s="60">
        <v>45970</v>
      </c>
      <c r="R50" s="55"/>
    </row>
    <row r="51" spans="1:29" ht="15.75" thickBot="1" x14ac:dyDescent="0.3">
      <c r="B51" s="65"/>
      <c r="C51" s="67"/>
      <c r="D51" s="67"/>
      <c r="E51" s="67"/>
      <c r="F51" s="92" t="s">
        <v>184</v>
      </c>
      <c r="G51" s="93"/>
      <c r="H51" s="94"/>
      <c r="I51" s="67"/>
      <c r="J51" s="67"/>
      <c r="K51" s="67"/>
      <c r="L51" s="67"/>
      <c r="M51" s="67"/>
      <c r="N51" s="67"/>
      <c r="O51" s="67"/>
      <c r="P51" s="67"/>
      <c r="Q51" s="67"/>
      <c r="R51" s="68"/>
    </row>
    <row r="52" spans="1:29" x14ac:dyDescent="0.25">
      <c r="F52" s="74"/>
      <c r="G52" s="74"/>
      <c r="H52" s="74"/>
    </row>
    <row r="53" spans="1:29" ht="15.75" thickBot="1" x14ac:dyDescent="0.3"/>
    <row r="54" spans="1:29" x14ac:dyDescent="0.25">
      <c r="B54" s="51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3"/>
    </row>
    <row r="55" spans="1:29" x14ac:dyDescent="0.25">
      <c r="B55" s="54"/>
      <c r="AC55" s="55"/>
    </row>
    <row r="56" spans="1:29" x14ac:dyDescent="0.25">
      <c r="B56" s="54"/>
      <c r="AC56" s="55"/>
    </row>
    <row r="57" spans="1:29" x14ac:dyDescent="0.25">
      <c r="B57" s="54"/>
      <c r="C57" s="73" t="s">
        <v>57</v>
      </c>
      <c r="D57" s="25" t="s">
        <v>58</v>
      </c>
      <c r="E57" s="25" t="s">
        <v>59</v>
      </c>
      <c r="F57" s="25" t="s">
        <v>60</v>
      </c>
      <c r="G57" s="25" t="s">
        <v>61</v>
      </c>
      <c r="H57" s="25" t="s">
        <v>62</v>
      </c>
      <c r="J57" s="25" t="s">
        <v>63</v>
      </c>
      <c r="K57" s="25" t="s">
        <v>64</v>
      </c>
      <c r="L57" s="25" t="s">
        <v>65</v>
      </c>
      <c r="M57" s="25" t="s">
        <v>66</v>
      </c>
      <c r="N57" s="25" t="s">
        <v>67</v>
      </c>
      <c r="O57" s="25" t="s">
        <v>68</v>
      </c>
      <c r="P57" s="25" t="s">
        <v>69</v>
      </c>
      <c r="R57" s="25" t="s">
        <v>70</v>
      </c>
      <c r="S57" s="25" t="s">
        <v>71</v>
      </c>
      <c r="T57" s="25" t="s">
        <v>72</v>
      </c>
      <c r="U57" s="25" t="s">
        <v>73</v>
      </c>
      <c r="V57" s="25" t="s">
        <v>74</v>
      </c>
      <c r="W57" s="25" t="s">
        <v>75</v>
      </c>
      <c r="X57" s="25" t="s">
        <v>76</v>
      </c>
      <c r="Z57" s="25" t="s">
        <v>77</v>
      </c>
      <c r="AA57" s="73" t="s">
        <v>78</v>
      </c>
      <c r="AB57" s="73" t="s">
        <v>79</v>
      </c>
      <c r="AC57" s="55"/>
    </row>
    <row r="58" spans="1:29" ht="15.75" thickBot="1" x14ac:dyDescent="0.3">
      <c r="A58">
        <v>23</v>
      </c>
      <c r="B58" s="54"/>
      <c r="C58" s="25">
        <f t="shared" ref="C58:H58" ca="1" si="17">IF(C59="","",$B$1-C59)</f>
        <v>67</v>
      </c>
      <c r="D58" s="25">
        <f t="shared" ca="1" si="17"/>
        <v>67</v>
      </c>
      <c r="E58" s="25">
        <f t="shared" ca="1" si="17"/>
        <v>67</v>
      </c>
      <c r="F58" s="25">
        <f t="shared" ca="1" si="17"/>
        <v>67</v>
      </c>
      <c r="G58" s="25">
        <f t="shared" ca="1" si="17"/>
        <v>67</v>
      </c>
      <c r="H58" s="25">
        <f t="shared" ca="1" si="17"/>
        <v>67</v>
      </c>
      <c r="J58" s="25">
        <f t="shared" ref="J58:P58" ca="1" si="18">IF(J59="","",$B$1-J59)</f>
        <v>67</v>
      </c>
      <c r="K58" s="25">
        <f t="shared" ca="1" si="18"/>
        <v>66</v>
      </c>
      <c r="L58" s="25">
        <f t="shared" ca="1" si="18"/>
        <v>66</v>
      </c>
      <c r="M58" s="25">
        <f t="shared" ca="1" si="18"/>
        <v>66</v>
      </c>
      <c r="N58" s="25">
        <f t="shared" ca="1" si="18"/>
        <v>66</v>
      </c>
      <c r="O58" s="25">
        <f t="shared" ca="1" si="18"/>
        <v>66</v>
      </c>
      <c r="P58" s="25">
        <f t="shared" ca="1" si="18"/>
        <v>66</v>
      </c>
      <c r="R58" s="25">
        <f t="shared" ref="R58:X58" ca="1" si="19">IF(R59="","",$B$1-R59)</f>
        <v>66</v>
      </c>
      <c r="S58" s="25">
        <f t="shared" ca="1" si="19"/>
        <v>65</v>
      </c>
      <c r="T58" s="25">
        <f t="shared" ca="1" si="19"/>
        <v>65</v>
      </c>
      <c r="U58" s="25">
        <f t="shared" ca="1" si="19"/>
        <v>65</v>
      </c>
      <c r="V58" s="25">
        <f t="shared" ca="1" si="19"/>
        <v>65</v>
      </c>
      <c r="W58" s="25">
        <f t="shared" ca="1" si="19"/>
        <v>65</v>
      </c>
      <c r="X58" s="25">
        <f t="shared" ca="1" si="19"/>
        <v>65</v>
      </c>
      <c r="Z58" s="25">
        <f ca="1">IF(Z59="","",$B$1-Z59)</f>
        <v>65</v>
      </c>
      <c r="AA58" s="25" t="str">
        <f>IF(AA59="","",$B$1-AA59)</f>
        <v/>
      </c>
      <c r="AB58" s="25" t="str">
        <f>IF(AB59="","",$B$1-AB59)</f>
        <v/>
      </c>
      <c r="AC58" s="55"/>
    </row>
    <row r="59" spans="1:29" ht="39.950000000000003" customHeight="1" x14ac:dyDescent="0.25">
      <c r="A59">
        <v>23</v>
      </c>
      <c r="B59" s="89" t="s">
        <v>184</v>
      </c>
      <c r="C59" s="60">
        <v>45977</v>
      </c>
      <c r="D59" s="60">
        <v>45977</v>
      </c>
      <c r="E59" s="60">
        <v>45977</v>
      </c>
      <c r="F59" s="60">
        <v>45977</v>
      </c>
      <c r="G59" s="60">
        <v>45977</v>
      </c>
      <c r="H59" s="60">
        <v>45977</v>
      </c>
      <c r="I59" s="75"/>
      <c r="J59" s="60">
        <v>45977</v>
      </c>
      <c r="K59" s="60">
        <v>45978</v>
      </c>
      <c r="L59" s="60">
        <v>45978</v>
      </c>
      <c r="M59" s="60">
        <v>45978</v>
      </c>
      <c r="N59" s="60">
        <v>45978</v>
      </c>
      <c r="O59" s="60">
        <v>45978</v>
      </c>
      <c r="P59" s="60">
        <v>45978</v>
      </c>
      <c r="Q59" s="75"/>
      <c r="R59" s="60">
        <v>45978</v>
      </c>
      <c r="S59" s="60">
        <v>45979</v>
      </c>
      <c r="T59" s="60">
        <v>45979</v>
      </c>
      <c r="U59" s="60">
        <v>45979</v>
      </c>
      <c r="V59" s="60">
        <v>45979</v>
      </c>
      <c r="W59" s="60">
        <v>45979</v>
      </c>
      <c r="X59" s="60">
        <v>45979</v>
      </c>
      <c r="Y59" s="75"/>
      <c r="Z59" s="60">
        <v>45979</v>
      </c>
      <c r="AA59" s="60"/>
      <c r="AB59" s="60"/>
      <c r="AC59" s="55"/>
    </row>
    <row r="60" spans="1:29" x14ac:dyDescent="0.25">
      <c r="B60" s="90"/>
      <c r="AC60" s="55"/>
    </row>
    <row r="61" spans="1:29" x14ac:dyDescent="0.25">
      <c r="B61" s="90"/>
      <c r="C61" s="25" t="s">
        <v>87</v>
      </c>
      <c r="D61" s="25" t="s">
        <v>88</v>
      </c>
      <c r="E61" s="25" t="s">
        <v>89</v>
      </c>
      <c r="F61" s="25" t="s">
        <v>90</v>
      </c>
      <c r="G61" s="25" t="s">
        <v>91</v>
      </c>
      <c r="H61" s="25" t="s">
        <v>92</v>
      </c>
      <c r="J61" s="25" t="s">
        <v>93</v>
      </c>
      <c r="K61" s="25" t="s">
        <v>94</v>
      </c>
      <c r="L61" s="25" t="s">
        <v>95</v>
      </c>
      <c r="M61" s="25" t="s">
        <v>96</v>
      </c>
      <c r="N61" s="25" t="s">
        <v>97</v>
      </c>
      <c r="O61" s="25" t="s">
        <v>98</v>
      </c>
      <c r="P61" s="25" t="s">
        <v>99</v>
      </c>
      <c r="R61" s="25" t="s">
        <v>100</v>
      </c>
      <c r="S61" s="25" t="s">
        <v>101</v>
      </c>
      <c r="T61" s="25" t="s">
        <v>102</v>
      </c>
      <c r="U61" s="25" t="s">
        <v>103</v>
      </c>
      <c r="V61" s="25" t="s">
        <v>104</v>
      </c>
      <c r="W61" s="25" t="s">
        <v>105</v>
      </c>
      <c r="X61" s="25" t="s">
        <v>106</v>
      </c>
      <c r="Z61" s="25" t="s">
        <v>107</v>
      </c>
      <c r="AA61" s="25" t="s">
        <v>108</v>
      </c>
      <c r="AB61" s="25" t="s">
        <v>109</v>
      </c>
      <c r="AC61" s="55"/>
    </row>
    <row r="62" spans="1:29" ht="15.75" thickBot="1" x14ac:dyDescent="0.3">
      <c r="B62" s="91"/>
      <c r="C62" s="25" t="str">
        <f t="shared" ref="C62:H62" si="20">IF(C63="","",$B$1-C63)</f>
        <v/>
      </c>
      <c r="D62" s="25">
        <f t="shared" ca="1" si="20"/>
        <v>68</v>
      </c>
      <c r="E62" s="25">
        <f t="shared" ca="1" si="20"/>
        <v>68</v>
      </c>
      <c r="F62" s="25">
        <f t="shared" ca="1" si="20"/>
        <v>68</v>
      </c>
      <c r="G62" s="25">
        <f t="shared" ca="1" si="20"/>
        <v>68</v>
      </c>
      <c r="H62" s="25">
        <f t="shared" ca="1" si="20"/>
        <v>68</v>
      </c>
      <c r="J62" s="25">
        <f t="shared" ref="J62:P62" ca="1" si="21">IF(J63="","",$B$1-J63)</f>
        <v>68</v>
      </c>
      <c r="K62" s="25">
        <f t="shared" ca="1" si="21"/>
        <v>68</v>
      </c>
      <c r="L62" s="25">
        <f t="shared" ca="1" si="21"/>
        <v>68</v>
      </c>
      <c r="M62" s="25">
        <f t="shared" ca="1" si="21"/>
        <v>69</v>
      </c>
      <c r="N62" s="25">
        <f t="shared" ca="1" si="21"/>
        <v>69</v>
      </c>
      <c r="O62" s="25">
        <f t="shared" ca="1" si="21"/>
        <v>69</v>
      </c>
      <c r="P62" s="25">
        <f t="shared" ca="1" si="21"/>
        <v>69</v>
      </c>
      <c r="R62" s="25">
        <f t="shared" ref="R62:X62" ca="1" si="22">IF(R63="","",$B$1-R63)</f>
        <v>69</v>
      </c>
      <c r="S62" s="25">
        <f t="shared" ca="1" si="22"/>
        <v>69</v>
      </c>
      <c r="T62" s="25">
        <f t="shared" ca="1" si="22"/>
        <v>69</v>
      </c>
      <c r="U62" s="25">
        <f t="shared" ca="1" si="22"/>
        <v>70</v>
      </c>
      <c r="V62" s="25">
        <f t="shared" ca="1" si="22"/>
        <v>70</v>
      </c>
      <c r="W62" s="25">
        <f t="shared" ca="1" si="22"/>
        <v>70</v>
      </c>
      <c r="X62" s="25">
        <f t="shared" ca="1" si="22"/>
        <v>70</v>
      </c>
      <c r="Z62" s="25">
        <f ca="1">IF(Z63="","",$B$1-Z63)</f>
        <v>70</v>
      </c>
      <c r="AA62" s="25">
        <f ca="1">IF(AA63="","",$B$1-AA63)</f>
        <v>70</v>
      </c>
      <c r="AB62" s="25">
        <f ca="1">IF(AB63="","",$B$1-AB63)</f>
        <v>70</v>
      </c>
      <c r="AC62" s="55"/>
    </row>
    <row r="63" spans="1:29" ht="39.950000000000003" customHeight="1" x14ac:dyDescent="0.25">
      <c r="B63" s="54"/>
      <c r="C63" s="60"/>
      <c r="D63" s="60">
        <v>45976</v>
      </c>
      <c r="E63" s="60">
        <v>45976</v>
      </c>
      <c r="F63" s="60">
        <v>45976</v>
      </c>
      <c r="G63" s="60">
        <v>45976</v>
      </c>
      <c r="H63" s="60">
        <v>45976</v>
      </c>
      <c r="I63" s="75"/>
      <c r="J63" s="60">
        <v>45976</v>
      </c>
      <c r="K63" s="60">
        <v>45976</v>
      </c>
      <c r="L63" s="60">
        <v>45976</v>
      </c>
      <c r="M63" s="60">
        <v>45975</v>
      </c>
      <c r="N63" s="60">
        <v>45975</v>
      </c>
      <c r="O63" s="60">
        <v>45975</v>
      </c>
      <c r="P63" s="60">
        <v>45975</v>
      </c>
      <c r="Q63" s="75"/>
      <c r="R63" s="60">
        <v>45975</v>
      </c>
      <c r="S63" s="60">
        <v>45975</v>
      </c>
      <c r="T63" s="60">
        <v>45975</v>
      </c>
      <c r="U63" s="60">
        <v>45974</v>
      </c>
      <c r="V63" s="60">
        <v>45974</v>
      </c>
      <c r="W63" s="60">
        <v>45974</v>
      </c>
      <c r="X63" s="60">
        <v>45974</v>
      </c>
      <c r="Y63" s="75"/>
      <c r="Z63" s="60">
        <v>45974</v>
      </c>
      <c r="AA63" s="60">
        <v>45974</v>
      </c>
      <c r="AB63" s="60">
        <v>45974</v>
      </c>
      <c r="AC63" s="55"/>
    </row>
    <row r="64" spans="1:29" ht="15.75" thickBot="1" x14ac:dyDescent="0.3">
      <c r="B64" s="65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  <c r="AA64" s="67"/>
      <c r="AB64" s="67"/>
      <c r="AC64" s="68"/>
    </row>
    <row r="66" spans="1:28" ht="15.75" thickBot="1" x14ac:dyDescent="0.3"/>
    <row r="67" spans="1:28" x14ac:dyDescent="0.25">
      <c r="B67" s="51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3"/>
    </row>
    <row r="68" spans="1:28" x14ac:dyDescent="0.25">
      <c r="B68" s="54"/>
      <c r="AB68" s="55"/>
    </row>
    <row r="69" spans="1:28" x14ac:dyDescent="0.25">
      <c r="B69" s="54"/>
      <c r="AB69" s="55"/>
    </row>
    <row r="70" spans="1:28" x14ac:dyDescent="0.25">
      <c r="B70" s="54"/>
      <c r="C70" s="25" t="s">
        <v>168</v>
      </c>
      <c r="D70" s="25" t="s">
        <v>167</v>
      </c>
      <c r="E70" s="25" t="s">
        <v>166</v>
      </c>
      <c r="F70" s="25" t="s">
        <v>165</v>
      </c>
      <c r="G70" s="25" t="s">
        <v>164</v>
      </c>
      <c r="H70" s="25" t="s">
        <v>163</v>
      </c>
      <c r="J70" s="25" t="s">
        <v>162</v>
      </c>
      <c r="K70" s="25" t="s">
        <v>161</v>
      </c>
      <c r="L70" s="25" t="s">
        <v>160</v>
      </c>
      <c r="M70" s="25" t="s">
        <v>159</v>
      </c>
      <c r="N70" s="25" t="s">
        <v>158</v>
      </c>
      <c r="O70" s="25" t="s">
        <v>157</v>
      </c>
      <c r="P70" s="25" t="s">
        <v>156</v>
      </c>
      <c r="R70" s="25" t="s">
        <v>155</v>
      </c>
      <c r="S70" s="25" t="s">
        <v>154</v>
      </c>
      <c r="T70" s="25" t="s">
        <v>153</v>
      </c>
      <c r="U70" s="25" t="s">
        <v>152</v>
      </c>
      <c r="V70" s="25" t="s">
        <v>151</v>
      </c>
      <c r="W70" s="25" t="s">
        <v>150</v>
      </c>
      <c r="X70" s="25" t="s">
        <v>149</v>
      </c>
      <c r="Z70" s="25" t="s">
        <v>148</v>
      </c>
      <c r="AB70" s="55"/>
    </row>
    <row r="71" spans="1:28" ht="15.75" thickBot="1" x14ac:dyDescent="0.3">
      <c r="B71" s="54"/>
      <c r="C71" s="25">
        <f t="shared" ref="C71:H71" ca="1" si="23">IF(C72="","",$B$1-C72)</f>
        <v>53</v>
      </c>
      <c r="D71" s="25">
        <f t="shared" ca="1" si="23"/>
        <v>53</v>
      </c>
      <c r="E71" s="25">
        <f t="shared" ca="1" si="23"/>
        <v>53</v>
      </c>
      <c r="F71" s="25">
        <f t="shared" ca="1" si="23"/>
        <v>54</v>
      </c>
      <c r="G71" s="25">
        <f t="shared" ca="1" si="23"/>
        <v>54</v>
      </c>
      <c r="H71" s="25">
        <f t="shared" ca="1" si="23"/>
        <v>54</v>
      </c>
      <c r="J71" s="25">
        <f ca="1">IF(J72="","",$B$1-J72)</f>
        <v>54</v>
      </c>
      <c r="K71" s="25">
        <f t="shared" ref="K71:P71" ca="1" si="24">IF(K72="","",$B$1-K72)</f>
        <v>54</v>
      </c>
      <c r="L71" s="25">
        <f t="shared" ca="1" si="24"/>
        <v>54</v>
      </c>
      <c r="M71" s="25">
        <f t="shared" ca="1" si="24"/>
        <v>54</v>
      </c>
      <c r="N71" s="25">
        <f t="shared" ca="1" si="24"/>
        <v>55</v>
      </c>
      <c r="O71" s="25">
        <f t="shared" ca="1" si="24"/>
        <v>55</v>
      </c>
      <c r="P71" s="25">
        <f t="shared" ca="1" si="24"/>
        <v>55</v>
      </c>
      <c r="R71" s="25">
        <f t="shared" ref="R71:X71" ca="1" si="25">IF(R72="","",$B$1-R72)</f>
        <v>55</v>
      </c>
      <c r="S71" s="25">
        <f t="shared" ca="1" si="25"/>
        <v>55</v>
      </c>
      <c r="T71" s="25">
        <f t="shared" ca="1" si="25"/>
        <v>55</v>
      </c>
      <c r="U71" s="25">
        <f t="shared" ca="1" si="25"/>
        <v>55</v>
      </c>
      <c r="V71" s="25">
        <f t="shared" ca="1" si="25"/>
        <v>56</v>
      </c>
      <c r="W71" s="25">
        <f t="shared" ca="1" si="25"/>
        <v>56</v>
      </c>
      <c r="X71" s="25">
        <f t="shared" ca="1" si="25"/>
        <v>56</v>
      </c>
      <c r="Z71" s="25">
        <f ca="1">IF(Z72="","",$B$1-Z72)</f>
        <v>56</v>
      </c>
      <c r="AB71" s="55"/>
    </row>
    <row r="72" spans="1:28" ht="39.950000000000003" customHeight="1" x14ac:dyDescent="0.25">
      <c r="B72" s="54"/>
      <c r="C72" s="60">
        <v>45991</v>
      </c>
      <c r="D72" s="60">
        <v>45991</v>
      </c>
      <c r="E72" s="60">
        <v>45991</v>
      </c>
      <c r="F72" s="60">
        <v>45990</v>
      </c>
      <c r="G72" s="60">
        <v>45990</v>
      </c>
      <c r="H72" s="60">
        <v>45990</v>
      </c>
      <c r="I72" s="75"/>
      <c r="J72" s="60">
        <v>45990</v>
      </c>
      <c r="K72" s="60">
        <v>45990</v>
      </c>
      <c r="L72" s="60">
        <v>45990</v>
      </c>
      <c r="M72" s="60">
        <v>45990</v>
      </c>
      <c r="N72" s="60">
        <v>45989</v>
      </c>
      <c r="O72" s="60">
        <v>45989</v>
      </c>
      <c r="P72" s="60">
        <v>45989</v>
      </c>
      <c r="Q72" s="75"/>
      <c r="R72" s="60">
        <v>45989</v>
      </c>
      <c r="S72" s="60">
        <v>45989</v>
      </c>
      <c r="T72" s="60">
        <v>45989</v>
      </c>
      <c r="U72" s="60">
        <v>45989</v>
      </c>
      <c r="V72" s="60">
        <v>45988</v>
      </c>
      <c r="W72" s="60">
        <v>45988</v>
      </c>
      <c r="X72" s="60">
        <v>45988</v>
      </c>
      <c r="Y72" s="75"/>
      <c r="Z72" s="60">
        <v>45988</v>
      </c>
      <c r="AB72" s="85" t="s">
        <v>196</v>
      </c>
    </row>
    <row r="73" spans="1:28" x14ac:dyDescent="0.25">
      <c r="B73" s="54"/>
      <c r="AB73" s="86"/>
    </row>
    <row r="74" spans="1:28" x14ac:dyDescent="0.25">
      <c r="B74" s="54"/>
      <c r="C74" s="25" t="s">
        <v>197</v>
      </c>
      <c r="D74" s="73" t="s">
        <v>175</v>
      </c>
      <c r="E74" s="73" t="s">
        <v>174</v>
      </c>
      <c r="F74" s="73" t="s">
        <v>173</v>
      </c>
      <c r="G74" s="73" t="s">
        <v>172</v>
      </c>
      <c r="H74" s="73" t="s">
        <v>171</v>
      </c>
      <c r="J74" s="73" t="s">
        <v>170</v>
      </c>
      <c r="K74" s="73" t="s">
        <v>169</v>
      </c>
      <c r="L74" s="25" t="s">
        <v>198</v>
      </c>
      <c r="M74" s="25" t="s">
        <v>199</v>
      </c>
      <c r="N74" s="25" t="s">
        <v>200</v>
      </c>
      <c r="O74" s="25" t="s">
        <v>201</v>
      </c>
      <c r="P74" s="25" t="s">
        <v>202</v>
      </c>
      <c r="R74" s="25" t="s">
        <v>203</v>
      </c>
      <c r="S74" s="25" t="s">
        <v>204</v>
      </c>
      <c r="T74" s="25" t="s">
        <v>205</v>
      </c>
      <c r="U74" s="25" t="s">
        <v>206</v>
      </c>
      <c r="V74" s="25" t="s">
        <v>207</v>
      </c>
      <c r="W74" s="25" t="s">
        <v>208</v>
      </c>
      <c r="X74" s="25" t="s">
        <v>209</v>
      </c>
      <c r="Z74" s="25" t="s">
        <v>210</v>
      </c>
      <c r="AB74" s="86"/>
    </row>
    <row r="75" spans="1:28" ht="15.75" thickBot="1" x14ac:dyDescent="0.3">
      <c r="B75" s="54"/>
      <c r="C75" s="25"/>
      <c r="D75" s="25"/>
      <c r="E75" s="25"/>
      <c r="F75" s="25"/>
      <c r="G75" s="25"/>
      <c r="H75" s="25"/>
      <c r="J75" s="25"/>
      <c r="K75" s="25"/>
      <c r="L75" s="25"/>
      <c r="M75" s="25"/>
      <c r="N75" s="25"/>
      <c r="O75" s="25"/>
      <c r="P75" s="25"/>
      <c r="R75" s="25"/>
      <c r="S75" s="25"/>
      <c r="T75" s="25"/>
      <c r="U75" s="25"/>
      <c r="V75" s="25"/>
      <c r="W75" s="25"/>
      <c r="X75" s="25"/>
      <c r="Z75" s="25"/>
      <c r="AB75" s="87"/>
    </row>
    <row r="76" spans="1:28" ht="39.950000000000003" customHeight="1" x14ac:dyDescent="0.25">
      <c r="B76" s="54"/>
      <c r="C76" s="59"/>
      <c r="D76" s="59" t="s">
        <v>211</v>
      </c>
      <c r="E76" s="59" t="s">
        <v>211</v>
      </c>
      <c r="F76" s="59" t="s">
        <v>211</v>
      </c>
      <c r="G76" s="59" t="s">
        <v>211</v>
      </c>
      <c r="H76" s="59" t="s">
        <v>211</v>
      </c>
      <c r="I76" s="75"/>
      <c r="J76" s="59" t="s">
        <v>211</v>
      </c>
      <c r="K76" s="59" t="s">
        <v>211</v>
      </c>
      <c r="L76" s="59" t="s">
        <v>211</v>
      </c>
      <c r="M76" s="59" t="s">
        <v>211</v>
      </c>
      <c r="N76" s="59" t="s">
        <v>211</v>
      </c>
      <c r="O76" s="59" t="s">
        <v>211</v>
      </c>
      <c r="P76" s="59" t="s">
        <v>211</v>
      </c>
      <c r="Q76" s="75"/>
      <c r="R76" s="59" t="s">
        <v>211</v>
      </c>
      <c r="S76" s="59" t="s">
        <v>211</v>
      </c>
      <c r="T76" s="59" t="s">
        <v>211</v>
      </c>
      <c r="U76" s="59" t="s">
        <v>211</v>
      </c>
      <c r="V76" s="59" t="s">
        <v>211</v>
      </c>
      <c r="W76" s="59" t="s">
        <v>211</v>
      </c>
      <c r="X76" s="59"/>
      <c r="Y76" s="75"/>
      <c r="Z76" s="59"/>
      <c r="AB76" s="55"/>
    </row>
    <row r="77" spans="1:28" x14ac:dyDescent="0.25">
      <c r="B77" s="54"/>
      <c r="AB77" s="55"/>
    </row>
    <row r="78" spans="1:28" ht="15.75" thickBot="1" x14ac:dyDescent="0.3">
      <c r="B78" s="65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  <c r="AA78" s="67"/>
      <c r="AB78" s="68"/>
    </row>
    <row r="79" spans="1:28" x14ac:dyDescent="0.25">
      <c r="A79">
        <f>SUM(A2:A78)</f>
        <v>202</v>
      </c>
    </row>
  </sheetData>
  <mergeCells count="7">
    <mergeCell ref="AB72:AB75"/>
    <mergeCell ref="B1:D1"/>
    <mergeCell ref="B7:B10"/>
    <mergeCell ref="H30:J30"/>
    <mergeCell ref="B36:D36"/>
    <mergeCell ref="F51:H51"/>
    <mergeCell ref="B59:B62"/>
  </mergeCells>
  <phoneticPr fontId="12" type="noConversion"/>
  <conditionalFormatting sqref="C72:E72">
    <cfRule type="containsBlanks" dxfId="1224" priority="123">
      <formula>LEN(TRIM(C72))=0</formula>
    </cfRule>
    <cfRule type="notContainsBlanks" dxfId="1223" priority="124">
      <formula>LEN(TRIM(C72))&gt;0</formula>
    </cfRule>
  </conditionalFormatting>
  <conditionalFormatting sqref="C10:F10 C14:H14 J14:P14">
    <cfRule type="dataBar" priority="23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42:F42">
    <cfRule type="containsBlanks" dxfId="1222" priority="89">
      <formula>LEN(TRIM(C42))=0</formula>
    </cfRule>
    <cfRule type="notContainsBlanks" dxfId="1221" priority="90">
      <formula>LEN(TRIM(C42))&gt;0</formula>
    </cfRule>
    <cfRule type="containsBlanks" dxfId="1220" priority="91">
      <formula>LEN(TRIM(C42))=0</formula>
    </cfRule>
    <cfRule type="notContainsBlanks" dxfId="1219" priority="92">
      <formula>LEN(TRIM(C42))&gt;0</formula>
    </cfRule>
  </conditionalFormatting>
  <conditionalFormatting sqref="C46:F46">
    <cfRule type="containsBlanks" dxfId="1218" priority="103">
      <formula>LEN(TRIM(C46))=0</formula>
    </cfRule>
    <cfRule type="notContainsBlanks" dxfId="1217" priority="104">
      <formula>LEN(TRIM(C46))&gt;0</formula>
    </cfRule>
  </conditionalFormatting>
  <conditionalFormatting sqref="C50:F50">
    <cfRule type="containsBlanks" dxfId="1216" priority="243">
      <formula>LEN(TRIM(C50))=0</formula>
    </cfRule>
    <cfRule type="notContainsBlanks" dxfId="1215" priority="244">
      <formula>LEN(TRIM(C50))&gt;0</formula>
    </cfRule>
  </conditionalFormatting>
  <conditionalFormatting sqref="C6:G6">
    <cfRule type="dataBar" priority="22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{468835B4-8263-4FAA-9512-33EE8C100BCE}</x14:id>
        </ext>
      </extLst>
    </cfRule>
  </conditionalFormatting>
  <conditionalFormatting sqref="C7:H7">
    <cfRule type="containsBlanks" dxfId="1214" priority="190">
      <formula>LEN(TRIM(C7))=0</formula>
    </cfRule>
    <cfRule type="notContainsBlanks" dxfId="1213" priority="191">
      <formula>LEN(TRIM(C7))&gt;0</formula>
    </cfRule>
  </conditionalFormatting>
  <conditionalFormatting sqref="C11:H11">
    <cfRule type="containsBlanks" dxfId="1212" priority="236">
      <formula>LEN(TRIM(C11))=0</formula>
    </cfRule>
    <cfRule type="notContainsBlanks" dxfId="1211" priority="237">
      <formula>LEN(TRIM(C11))&gt;0</formula>
    </cfRule>
  </conditionalFormatting>
  <conditionalFormatting sqref="C15:H15">
    <cfRule type="containsBlanks" dxfId="1210" priority="55">
      <formula>LEN(TRIM(C15))=0</formula>
    </cfRule>
    <cfRule type="notContainsBlanks" dxfId="1209" priority="56">
      <formula>LEN(TRIM(C15))&gt;0</formula>
    </cfRule>
  </conditionalFormatting>
  <conditionalFormatting sqref="C24:H24 J24:P24 R24 AA24:AI24">
    <cfRule type="dataBar" priority="25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5:H25">
    <cfRule type="containsBlanks" dxfId="1208" priority="151">
      <formula>LEN(TRIM(C25))=0</formula>
    </cfRule>
    <cfRule type="notContainsBlanks" dxfId="1207" priority="152">
      <formula>LEN(TRIM(C25))&gt;0</formula>
    </cfRule>
  </conditionalFormatting>
  <conditionalFormatting sqref="C28:H28 J28:P28">
    <cfRule type="dataBar" priority="2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containsBlanks" dxfId="1206" priority="57">
      <formula>LEN(TRIM(C29))=0</formula>
    </cfRule>
    <cfRule type="notContainsBlanks" dxfId="1205" priority="58">
      <formula>LEN(TRIM(C29))&gt;0</formula>
    </cfRule>
  </conditionalFormatting>
  <conditionalFormatting sqref="C41:H41">
    <cfRule type="dataBar" priority="2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containsBlanks" dxfId="1204" priority="93">
      <formula>LEN(TRIM(C42))=0</formula>
    </cfRule>
    <cfRule type="notContainsBlanks" dxfId="1203" priority="94">
      <formula>LEN(TRIM(C42))&gt;0</formula>
    </cfRule>
  </conditionalFormatting>
  <conditionalFormatting sqref="C58:H58 R58:X58 Z58:AB58 J58:P58">
    <cfRule type="dataBar" priority="25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59:H59">
    <cfRule type="containsBlanks" dxfId="1202" priority="157">
      <formula>LEN(TRIM(C59))=0</formula>
    </cfRule>
    <cfRule type="notContainsBlanks" dxfId="1201" priority="158">
      <formula>LEN(TRIM(C59))&gt;0</formula>
    </cfRule>
  </conditionalFormatting>
  <conditionalFormatting sqref="C62:H62 R62:X62 Z62:AB62 J62:P62">
    <cfRule type="dataBar" priority="2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containsBlanks" dxfId="1200" priority="73">
      <formula>LEN(TRIM(C63))=0</formula>
    </cfRule>
    <cfRule type="notContainsBlanks" dxfId="1199" priority="74">
      <formula>LEN(TRIM(C63))&gt;0</formula>
    </cfRule>
  </conditionalFormatting>
  <conditionalFormatting sqref="C72:H72">
    <cfRule type="containsBlanks" dxfId="1198" priority="9">
      <formula>LEN(TRIM(C72))=0</formula>
    </cfRule>
    <cfRule type="notContainsBlanks" dxfId="1197" priority="10">
      <formula>LEN(TRIM(C72))&gt;0</formula>
    </cfRule>
  </conditionalFormatting>
  <conditionalFormatting sqref="C76:H76">
    <cfRule type="containsBlanks" dxfId="1196" priority="188">
      <formula>LEN(TRIM(C76))=0</formula>
    </cfRule>
    <cfRule type="notContainsBlanks" dxfId="1195" priority="189">
      <formula>LEN(TRIM(C76))&gt;0</formula>
    </cfRule>
  </conditionalFormatting>
  <conditionalFormatting sqref="D63:H63">
    <cfRule type="containsBlanks" dxfId="1194" priority="71">
      <formula>LEN(TRIM(D63))=0</formula>
    </cfRule>
    <cfRule type="notContainsBlanks" dxfId="1193" priority="72">
      <formula>LEN(TRIM(D63))&gt;0</formula>
    </cfRule>
  </conditionalFormatting>
  <conditionalFormatting sqref="E45:F45 H45 J45:P45">
    <cfRule type="dataBar" priority="26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46:F46">
    <cfRule type="containsBlanks" dxfId="1192" priority="222">
      <formula>LEN(TRIM(E46))=0</formula>
    </cfRule>
    <cfRule type="notContainsBlanks" dxfId="1191" priority="223">
      <formula>LEN(TRIM(E46))&gt;0</formula>
    </cfRule>
  </conditionalFormatting>
  <conditionalFormatting sqref="E10:H10 J10:P10">
    <cfRule type="dataBar" priority="2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F6:G6 J6:O6">
    <cfRule type="dataBar" priority="23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{F114D92C-ADF9-494A-8BBE-6A3BA9C3E7C9}</x14:id>
        </ext>
      </extLst>
    </cfRule>
  </conditionalFormatting>
  <conditionalFormatting sqref="F72:H72">
    <cfRule type="containsBlanks" dxfId="1190" priority="7">
      <formula>LEN(TRIM(F72))=0</formula>
    </cfRule>
    <cfRule type="notContainsBlanks" dxfId="1189" priority="8">
      <formula>LEN(TRIM(F72))&gt;0</formula>
    </cfRule>
  </conditionalFormatting>
  <conditionalFormatting sqref="G10:H10 J10:P10">
    <cfRule type="dataBar" priority="23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42:H42">
    <cfRule type="containsBlanks" dxfId="1188" priority="176">
      <formula>LEN(TRIM(G42))=0</formula>
    </cfRule>
    <cfRule type="notContainsBlanks" dxfId="1187" priority="177">
      <formula>LEN(TRIM(G42))&gt;0</formula>
    </cfRule>
  </conditionalFormatting>
  <conditionalFormatting sqref="H6">
    <cfRule type="dataBar" priority="2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{10FA45D2-C782-476F-888B-ED7C0CC90C52}</x14:id>
        </ext>
      </extLst>
    </cfRule>
    <cfRule type="dataBar" priority="2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{E8A2D387-ACD3-4B3F-B814-240C35965677}</x14:id>
        </ext>
      </extLst>
    </cfRule>
  </conditionalFormatting>
  <conditionalFormatting sqref="H45">
    <cfRule type="dataBar" priority="23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H46">
    <cfRule type="containsBlanks" dxfId="1186" priority="99">
      <formula>LEN(TRIM(H46))=0</formula>
    </cfRule>
    <cfRule type="notContainsBlanks" dxfId="1185" priority="100">
      <formula>LEN(TRIM(H46))&gt;0</formula>
    </cfRule>
    <cfRule type="containsBlanks" dxfId="1184" priority="101">
      <formula>LEN(TRIM(H46))=0</formula>
    </cfRule>
    <cfRule type="notContainsBlanks" dxfId="1183" priority="102">
      <formula>LEN(TRIM(H46))&gt;0</formula>
    </cfRule>
  </conditionalFormatting>
  <conditionalFormatting sqref="H50">
    <cfRule type="containsBlanks" dxfId="1182" priority="107">
      <formula>LEN(TRIM(H50))=0</formula>
    </cfRule>
    <cfRule type="notContainsBlanks" dxfId="1181" priority="108">
      <formula>LEN(TRIM(H50))&gt;0</formula>
    </cfRule>
  </conditionalFormatting>
  <conditionalFormatting sqref="I10">
    <cfRule type="dataBar" priority="23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14">
    <cfRule type="dataBar" priority="2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{B1105EE4-F47D-4ECE-B530-9A50C7F2CC24}</x14:id>
        </ext>
      </extLst>
    </cfRule>
  </conditionalFormatting>
  <conditionalFormatting sqref="I24">
    <cfRule type="dataBar" priority="25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26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26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26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2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25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I71">
    <cfRule type="dataBar" priority="21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{35883EF9-699F-4F1B-AB2E-3067F2905E08}</x14:id>
        </ext>
      </extLst>
    </cfRule>
  </conditionalFormatting>
  <conditionalFormatting sqref="I75">
    <cfRule type="dataBar" priority="20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{81CDCBE1-0F7F-4AC3-9C81-9C0219AAF322}</x14:id>
        </ext>
      </extLst>
    </cfRule>
  </conditionalFormatting>
  <conditionalFormatting sqref="J72">
    <cfRule type="containsBlanks" dxfId="1180" priority="214">
      <formula>LEN(TRIM(J72))=0</formula>
    </cfRule>
    <cfRule type="notContainsBlanks" dxfId="1179" priority="215">
      <formula>LEN(TRIM(J72))&gt;0</formula>
    </cfRule>
  </conditionalFormatting>
  <conditionalFormatting sqref="J20:K20">
    <cfRule type="dataBar" priority="2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21:K21">
    <cfRule type="containsBlanks" dxfId="1178" priority="109">
      <formula>LEN(TRIM(J21))=0</formula>
    </cfRule>
    <cfRule type="notContainsBlanks" dxfId="1177" priority="110">
      <formula>LEN(TRIM(J21))&gt;0</formula>
    </cfRule>
  </conditionalFormatting>
  <conditionalFormatting sqref="J63:L63">
    <cfRule type="containsBlanks" dxfId="1176" priority="155">
      <formula>LEN(TRIM(J63))=0</formula>
    </cfRule>
    <cfRule type="notContainsBlanks" dxfId="1175" priority="156">
      <formula>LEN(TRIM(J63))&gt;0</formula>
    </cfRule>
  </conditionalFormatting>
  <conditionalFormatting sqref="J46:M46">
    <cfRule type="containsBlanks" dxfId="1174" priority="95">
      <formula>LEN(TRIM(J46))=0</formula>
    </cfRule>
    <cfRule type="notContainsBlanks" dxfId="1173" priority="96">
      <formula>LEN(TRIM(J46))&gt;0</formula>
    </cfRule>
  </conditionalFormatting>
  <conditionalFormatting sqref="J72:M72">
    <cfRule type="containsBlanks" dxfId="1172" priority="127">
      <formula>LEN(TRIM(J72))=0</formula>
    </cfRule>
    <cfRule type="notContainsBlanks" dxfId="1171" priority="128">
      <formula>LEN(TRIM(J72))&gt;0</formula>
    </cfRule>
  </conditionalFormatting>
  <conditionalFormatting sqref="J42:N42">
    <cfRule type="containsBlanks" dxfId="1170" priority="85">
      <formula>LEN(TRIM(J42))=0</formula>
    </cfRule>
    <cfRule type="notContainsBlanks" dxfId="1169" priority="86">
      <formula>LEN(TRIM(J42))&gt;0</formula>
    </cfRule>
  </conditionalFormatting>
  <conditionalFormatting sqref="J41:O41">
    <cfRule type="dataBar" priority="24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containsBlanks" dxfId="1168" priority="149">
      <formula>LEN(TRIM(J7))=0</formula>
    </cfRule>
    <cfRule type="notContainsBlanks" dxfId="1167" priority="150">
      <formula>LEN(TRIM(J7))&gt;0</formula>
    </cfRule>
  </conditionalFormatting>
  <conditionalFormatting sqref="J11:P11">
    <cfRule type="containsBlanks" dxfId="1166" priority="51">
      <formula>LEN(TRIM(J11))=0</formula>
    </cfRule>
    <cfRule type="notContainsBlanks" dxfId="1165" priority="52">
      <formula>LEN(TRIM(J11))&gt;0</formula>
    </cfRule>
  </conditionalFormatting>
  <conditionalFormatting sqref="J15:P15">
    <cfRule type="containsBlanks" dxfId="1164" priority="53">
      <formula>LEN(TRIM(J15))=0</formula>
    </cfRule>
    <cfRule type="notContainsBlanks" dxfId="1163" priority="54">
      <formula>LEN(TRIM(J15))&gt;0</formula>
    </cfRule>
  </conditionalFormatting>
  <conditionalFormatting sqref="J25:P25">
    <cfRule type="containsBlanks" dxfId="1162" priority="5">
      <formula>LEN(TRIM(J25))=0</formula>
    </cfRule>
    <cfRule type="notContainsBlanks" dxfId="1161" priority="6">
      <formula>LEN(TRIM(J25))&gt;0</formula>
    </cfRule>
  </conditionalFormatting>
  <conditionalFormatting sqref="J29:P29">
    <cfRule type="containsBlanks" dxfId="1160" priority="15">
      <formula>LEN(TRIM(J29))=0</formula>
    </cfRule>
    <cfRule type="notContainsBlanks" dxfId="1159" priority="16">
      <formula>LEN(TRIM(J29))&gt;0</formula>
    </cfRule>
  </conditionalFormatting>
  <conditionalFormatting sqref="J42:P42">
    <cfRule type="containsBlanks" dxfId="1158" priority="87">
      <formula>LEN(TRIM(J42))=0</formula>
    </cfRule>
    <cfRule type="notContainsBlanks" dxfId="1157" priority="88">
      <formula>LEN(TRIM(J42))&gt;0</formula>
    </cfRule>
  </conditionalFormatting>
  <conditionalFormatting sqref="J45:P45">
    <cfRule type="dataBar" priority="23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P46">
    <cfRule type="containsBlanks" dxfId="1156" priority="97">
      <formula>LEN(TRIM(J46))=0</formula>
    </cfRule>
    <cfRule type="notContainsBlanks" dxfId="1155" priority="98">
      <formula>LEN(TRIM(J46))&gt;0</formula>
    </cfRule>
  </conditionalFormatting>
  <conditionalFormatting sqref="J49:P49 C49:F49 H49 C45:F45">
    <cfRule type="dataBar" priority="2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P50">
    <cfRule type="containsBlanks" dxfId="1154" priority="105">
      <formula>LEN(TRIM(J50))=0</formula>
    </cfRule>
    <cfRule type="notContainsBlanks" dxfId="1153" priority="106">
      <formula>LEN(TRIM(J50))&gt;0</formula>
    </cfRule>
  </conditionalFormatting>
  <conditionalFormatting sqref="J59:P59">
    <cfRule type="containsBlanks" dxfId="1152" priority="69">
      <formula>LEN(TRIM(J59))=0</formula>
    </cfRule>
    <cfRule type="notContainsBlanks" dxfId="1151" priority="70">
      <formula>LEN(TRIM(J59))&gt;0</formula>
    </cfRule>
  </conditionalFormatting>
  <conditionalFormatting sqref="J63:P63">
    <cfRule type="containsBlanks" dxfId="1150" priority="77">
      <formula>LEN(TRIM(J63))=0</formula>
    </cfRule>
    <cfRule type="notContainsBlanks" dxfId="1149" priority="78">
      <formula>LEN(TRIM(J63))&gt;0</formula>
    </cfRule>
  </conditionalFormatting>
  <conditionalFormatting sqref="J71:P71 R71:X71 Z71:AB71 C71:H71">
    <cfRule type="dataBar" priority="21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{12424CBD-1731-4061-ABB5-8540D883FF8F}</x14:id>
        </ext>
      </extLst>
    </cfRule>
  </conditionalFormatting>
  <conditionalFormatting sqref="J72:P72">
    <cfRule type="containsBlanks" dxfId="1148" priority="11">
      <formula>LEN(TRIM(J72))=0</formula>
    </cfRule>
    <cfRule type="notContainsBlanks" dxfId="1147" priority="12">
      <formula>LEN(TRIM(J72))&gt;0</formula>
    </cfRule>
  </conditionalFormatting>
  <conditionalFormatting sqref="J75:P75 R75:X75 Z75:AA75 C75:H75">
    <cfRule type="dataBar" priority="2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{6503DE1C-C1D5-480D-A27B-2B662088EB8A}</x14:id>
        </ext>
      </extLst>
    </cfRule>
  </conditionalFormatting>
  <conditionalFormatting sqref="J76:P76">
    <cfRule type="containsBlanks" dxfId="1146" priority="186">
      <formula>LEN(TRIM(J76))=0</formula>
    </cfRule>
    <cfRule type="notContainsBlanks" dxfId="1145" priority="187">
      <formula>LEN(TRIM(J76))&gt;0</formula>
    </cfRule>
  </conditionalFormatting>
  <conditionalFormatting sqref="K11:P11">
    <cfRule type="containsBlanks" dxfId="1144" priority="153">
      <formula>LEN(TRIM(K11))=0</formula>
    </cfRule>
    <cfRule type="notContainsBlanks" dxfId="1143" priority="154">
      <formula>LEN(TRIM(K11))&gt;0</formula>
    </cfRule>
  </conditionalFormatting>
  <conditionalFormatting sqref="K59:P59">
    <cfRule type="containsBlanks" dxfId="1142" priority="159">
      <formula>LEN(TRIM(K59))=0</formula>
    </cfRule>
    <cfRule type="notContainsBlanks" dxfId="1141" priority="160">
      <formula>LEN(TRIM(K59))&gt;0</formula>
    </cfRule>
    <cfRule type="containsBlanks" dxfId="1140" priority="161">
      <formula>LEN(TRIM(K59))=0</formula>
    </cfRule>
    <cfRule type="notContainsBlanks" dxfId="1139" priority="162">
      <formula>LEN(TRIM(K59))&gt;0</formula>
    </cfRule>
  </conditionalFormatting>
  <conditionalFormatting sqref="L76:P76">
    <cfRule type="containsBlanks" dxfId="1138" priority="199">
      <formula>LEN(TRIM(L76))=0</formula>
    </cfRule>
    <cfRule type="notContainsBlanks" dxfId="1137" priority="200">
      <formula>LEN(TRIM(L76))&gt;0</formula>
    </cfRule>
  </conditionalFormatting>
  <conditionalFormatting sqref="M50:P50">
    <cfRule type="containsBlanks" dxfId="1136" priority="226">
      <formula>LEN(TRIM(M50))=0</formula>
    </cfRule>
    <cfRule type="notContainsBlanks" dxfId="1135" priority="227">
      <formula>LEN(TRIM(M50))&gt;0</formula>
    </cfRule>
  </conditionalFormatting>
  <conditionalFormatting sqref="M63:P63">
    <cfRule type="containsBlanks" dxfId="1134" priority="75">
      <formula>LEN(TRIM(M63))=0</formula>
    </cfRule>
    <cfRule type="notContainsBlanks" dxfId="1133" priority="76">
      <formula>LEN(TRIM(M63))&gt;0</formula>
    </cfRule>
  </conditionalFormatting>
  <conditionalFormatting sqref="N46:P46">
    <cfRule type="containsBlanks" dxfId="1132" priority="178">
      <formula>LEN(TRIM(N46))=0</formula>
    </cfRule>
    <cfRule type="notContainsBlanks" dxfId="1131" priority="179">
      <formula>LEN(TRIM(N46))&gt;0</formula>
    </cfRule>
    <cfRule type="containsBlanks" dxfId="1130" priority="220">
      <formula>LEN(TRIM(N46))=0</formula>
    </cfRule>
    <cfRule type="notContainsBlanks" dxfId="1129" priority="221">
      <formula>LEN(TRIM(N46))&gt;0</formula>
    </cfRule>
  </conditionalFormatting>
  <conditionalFormatting sqref="O46:P46">
    <cfRule type="containsBlanks" dxfId="1128" priority="224">
      <formula>LEN(TRIM(O46))=0</formula>
    </cfRule>
    <cfRule type="notContainsBlanks" dxfId="1127" priority="225">
      <formula>LEN(TRIM(O46))&gt;0</formula>
    </cfRule>
  </conditionalFormatting>
  <conditionalFormatting sqref="P6">
    <cfRule type="dataBar" priority="1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{05681276-4CF8-41AC-A1D0-65FC35A4C92B}</x14:id>
        </ext>
      </extLst>
    </cfRule>
  </conditionalFormatting>
  <conditionalFormatting sqref="P7">
    <cfRule type="containsBlanks" dxfId="1126" priority="145">
      <formula>LEN(TRIM(P7))=0</formula>
    </cfRule>
    <cfRule type="notContainsBlanks" dxfId="1125" priority="146">
      <formula>LEN(TRIM(P7))&gt;0</formula>
    </cfRule>
    <cfRule type="containsBlanks" dxfId="1124" priority="147">
      <formula>LEN(TRIM(P7))=0</formula>
    </cfRule>
    <cfRule type="notContainsBlanks" dxfId="1123" priority="148">
      <formula>LEN(TRIM(P7))&gt;0</formula>
    </cfRule>
  </conditionalFormatting>
  <conditionalFormatting sqref="P14">
    <cfRule type="dataBar" priority="22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{C0F488D0-215A-4A43-8004-DDE15B2E7A8E}</x14:id>
        </ext>
      </extLst>
    </cfRule>
  </conditionalFormatting>
  <conditionalFormatting sqref="P41">
    <cfRule type="dataBar" priority="26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25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26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26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2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2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2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Q71">
    <cfRule type="dataBar" priority="21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{BDF59F54-A20B-46C3-A60F-38711962B024}</x14:id>
        </ext>
      </extLst>
    </cfRule>
  </conditionalFormatting>
  <conditionalFormatting sqref="Q75">
    <cfRule type="dataBar" priority="2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{AB6DA35B-BC8E-4A2B-ABA9-EEC503E03F6D}</x14:id>
        </ext>
      </extLst>
    </cfRule>
  </conditionalFormatting>
  <conditionalFormatting sqref="R11 U11:X11">
    <cfRule type="notContainsBlanks" dxfId="1122" priority="48">
      <formula>LEN(TRIM(R11))&gt;0</formula>
    </cfRule>
  </conditionalFormatting>
  <conditionalFormatting sqref="R15">
    <cfRule type="containsBlanks" dxfId="1121" priority="49">
      <formula>LEN(TRIM(R15))=0</formula>
    </cfRule>
    <cfRule type="notContainsBlanks" dxfId="1120" priority="50">
      <formula>LEN(TRIM(R15))&gt;0</formula>
    </cfRule>
  </conditionalFormatting>
  <conditionalFormatting sqref="R59">
    <cfRule type="containsBlanks" dxfId="1119" priority="63">
      <formula>LEN(TRIM(R59))=0</formula>
    </cfRule>
    <cfRule type="notContainsBlanks" dxfId="1118" priority="64">
      <formula>LEN(TRIM(R59))&gt;0</formula>
    </cfRule>
    <cfRule type="containsBlanks" dxfId="1117" priority="65">
      <formula>LEN(TRIM(R59))=0</formula>
    </cfRule>
    <cfRule type="notContainsBlanks" dxfId="1116" priority="66">
      <formula>LEN(TRIM(R59))&gt;0</formula>
    </cfRule>
  </conditionalFormatting>
  <conditionalFormatting sqref="R72">
    <cfRule type="containsBlanks" dxfId="1115" priority="212">
      <formula>LEN(TRIM(R72))=0</formula>
    </cfRule>
    <cfRule type="notContainsBlanks" dxfId="1114" priority="213">
      <formula>LEN(TRIM(R72))&gt;0</formula>
    </cfRule>
  </conditionalFormatting>
  <conditionalFormatting sqref="R63:S63">
    <cfRule type="containsBlanks" dxfId="1113" priority="166">
      <formula>LEN(TRIM(R63))=0</formula>
    </cfRule>
    <cfRule type="notContainsBlanks" dxfId="1112" priority="167">
      <formula>LEN(TRIM(R63))&gt;0</formula>
    </cfRule>
  </conditionalFormatting>
  <conditionalFormatting sqref="R76:S76">
    <cfRule type="containsBlanks" dxfId="1111" priority="182">
      <formula>LEN(TRIM(R76))=0</formula>
    </cfRule>
    <cfRule type="notContainsBlanks" dxfId="1110" priority="183">
      <formula>LEN(TRIM(R76))&gt;0</formula>
    </cfRule>
  </conditionalFormatting>
  <conditionalFormatting sqref="R7:T7">
    <cfRule type="containsBlanks" dxfId="1109" priority="17">
      <formula>LEN(TRIM(R7))=0</formula>
    </cfRule>
    <cfRule type="notContainsBlanks" dxfId="1108" priority="18">
      <formula>LEN(TRIM(R7))&gt;0</formula>
    </cfRule>
    <cfRule type="containsBlanks" dxfId="1107" priority="19">
      <formula>LEN(TRIM(R7))=0</formula>
    </cfRule>
    <cfRule type="notContainsBlanks" dxfId="1106" priority="20">
      <formula>LEN(TRIM(R7))&gt;0</formula>
    </cfRule>
  </conditionalFormatting>
  <conditionalFormatting sqref="R11:T11">
    <cfRule type="containsBlanks" dxfId="1105" priority="41">
      <formula>LEN(TRIM(R11))=0</formula>
    </cfRule>
    <cfRule type="notContainsBlanks" dxfId="1104" priority="42">
      <formula>LEN(TRIM(R11))&gt;0</formula>
    </cfRule>
  </conditionalFormatting>
  <conditionalFormatting sqref="R63:T63">
    <cfRule type="containsBlanks" dxfId="1103" priority="168">
      <formula>LEN(TRIM(R63))=0</formula>
    </cfRule>
    <cfRule type="notContainsBlanks" dxfId="1102" priority="169">
      <formula>LEN(TRIM(R63))&gt;0</formula>
    </cfRule>
    <cfRule type="containsBlanks" dxfId="1101" priority="174">
      <formula>LEN(TRIM(R63))=0</formula>
    </cfRule>
    <cfRule type="notContainsBlanks" dxfId="1100" priority="175">
      <formula>LEN(TRIM(R63))&gt;0</formula>
    </cfRule>
  </conditionalFormatting>
  <conditionalFormatting sqref="R14:W14 R6:X6 R10:W10">
    <cfRule type="dataBar" priority="24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7:X7">
    <cfRule type="containsBlanks" dxfId="1099" priority="21">
      <formula>LEN(TRIM(R7))=0</formula>
    </cfRule>
    <cfRule type="notContainsBlanks" dxfId="1098" priority="22">
      <formula>LEN(TRIM(R7))&gt;0</formula>
    </cfRule>
  </conditionalFormatting>
  <conditionalFormatting sqref="R25:X25">
    <cfRule type="containsBlanks" dxfId="1097" priority="33">
      <formula>LEN(TRIM(R25))=0</formula>
    </cfRule>
    <cfRule type="notContainsBlanks" dxfId="1096" priority="34">
      <formula>LEN(TRIM(R25))&gt;0</formula>
    </cfRule>
  </conditionalFormatting>
  <conditionalFormatting sqref="R29:X29">
    <cfRule type="containsBlanks" dxfId="1095" priority="3">
      <formula>LEN(TRIM(R29))=0</formula>
    </cfRule>
    <cfRule type="notContainsBlanks" dxfId="1094" priority="4">
      <formula>LEN(TRIM(R29))&gt;0</formula>
    </cfRule>
  </conditionalFormatting>
  <conditionalFormatting sqref="R59:X59">
    <cfRule type="containsBlanks" dxfId="1093" priority="67">
      <formula>LEN(TRIM(R59))=0</formula>
    </cfRule>
    <cfRule type="notContainsBlanks" dxfId="1092" priority="68">
      <formula>LEN(TRIM(R59))&gt;0</formula>
    </cfRule>
  </conditionalFormatting>
  <conditionalFormatting sqref="R72:X72">
    <cfRule type="containsBlanks" dxfId="1091" priority="13">
      <formula>LEN(TRIM(R72))=0</formula>
    </cfRule>
    <cfRule type="notContainsBlanks" dxfId="1090" priority="14">
      <formula>LEN(TRIM(R72))&gt;0</formula>
    </cfRule>
  </conditionalFormatting>
  <conditionalFormatting sqref="R76:X76">
    <cfRule type="containsBlanks" dxfId="1089" priority="184">
      <formula>LEN(TRIM(R76))=0</formula>
    </cfRule>
    <cfRule type="notContainsBlanks" dxfId="1088" priority="185">
      <formula>LEN(TRIM(R76))&gt;0</formula>
    </cfRule>
  </conditionalFormatting>
  <conditionalFormatting sqref="S15:W15">
    <cfRule type="containsBlanks" dxfId="1087" priority="205">
      <formula>LEN(TRIM(S15))=0</formula>
    </cfRule>
    <cfRule type="notContainsBlanks" dxfId="1086" priority="206">
      <formula>LEN(TRIM(S15))&gt;0</formula>
    </cfRule>
  </conditionalFormatting>
  <conditionalFormatting sqref="S24:X24 Z24">
    <cfRule type="dataBar" priority="19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19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containsBlanks" dxfId="1085" priority="164">
      <formula>LEN(TRIM(S59))=0</formula>
    </cfRule>
    <cfRule type="notContainsBlanks" dxfId="1084" priority="165">
      <formula>LEN(TRIM(S59))&gt;0</formula>
    </cfRule>
  </conditionalFormatting>
  <conditionalFormatting sqref="U11:X11 R11">
    <cfRule type="containsBlanks" dxfId="1083" priority="47">
      <formula>LEN(TRIM(R11))=0</formula>
    </cfRule>
  </conditionalFormatting>
  <conditionalFormatting sqref="U63:X63">
    <cfRule type="containsBlanks" dxfId="1082" priority="79">
      <formula>LEN(TRIM(U63))=0</formula>
    </cfRule>
    <cfRule type="notContainsBlanks" dxfId="1081" priority="80">
      <formula>LEN(TRIM(U63))&gt;0</formula>
    </cfRule>
    <cfRule type="containsBlanks" dxfId="1080" priority="81">
      <formula>LEN(TRIM(U63))=0</formula>
    </cfRule>
    <cfRule type="notContainsBlanks" dxfId="1079" priority="82">
      <formula>LEN(TRIM(U63))&gt;0</formula>
    </cfRule>
    <cfRule type="containsBlanks" dxfId="1078" priority="83">
      <formula>LEN(TRIM(U63))=0</formula>
    </cfRule>
    <cfRule type="notContainsBlanks" dxfId="1077" priority="84">
      <formula>LEN(TRIM(U63))&gt;0</formula>
    </cfRule>
  </conditionalFormatting>
  <conditionalFormatting sqref="V11:W11">
    <cfRule type="containsBlanks" dxfId="1076" priority="43">
      <formula>LEN(TRIM(V11))=0</formula>
    </cfRule>
    <cfRule type="notContainsBlanks" dxfId="1075" priority="44">
      <formula>LEN(TRIM(V11))&gt;0</formula>
    </cfRule>
  </conditionalFormatting>
  <conditionalFormatting sqref="W15:X15">
    <cfRule type="containsBlanks" dxfId="1074" priority="195">
      <formula>LEN(TRIM(W15))=0</formula>
    </cfRule>
    <cfRule type="notContainsBlanks" dxfId="1073" priority="196">
      <formula>LEN(TRIM(W15))&gt;0</formula>
    </cfRule>
  </conditionalFormatting>
  <conditionalFormatting sqref="W32:X32">
    <cfRule type="dataBar" priority="24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containsBlanks" dxfId="1072" priority="207">
      <formula>LEN(TRIM(W33))=0</formula>
    </cfRule>
    <cfRule type="notContainsBlanks" dxfId="1071" priority="208">
      <formula>LEN(TRIM(W33))&gt;0</formula>
    </cfRule>
  </conditionalFormatting>
  <conditionalFormatting sqref="X10">
    <cfRule type="dataBar" priority="1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{2EAC611B-8A3E-4ACF-AEDE-5E15D9DC0F81}</x14:id>
        </ext>
      </extLst>
    </cfRule>
  </conditionalFormatting>
  <conditionalFormatting sqref="X14">
    <cfRule type="dataBar" priority="19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{562996BE-D850-4F45-9720-07D61D38B39F}</x14:id>
        </ext>
      </extLst>
    </cfRule>
  </conditionalFormatting>
  <conditionalFormatting sqref="X20">
    <cfRule type="dataBar" priority="29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containsBlanks" dxfId="1070" priority="276">
      <formula>LEN(TRIM(X21))=0</formula>
    </cfRule>
    <cfRule type="notContainsBlanks" dxfId="1069" priority="277">
      <formula>LEN(TRIM(X21))&gt;0</formula>
    </cfRule>
    <cfRule type="containsBlanks" dxfId="1068" priority="278">
      <formula>LEN(TRIM(X21))=0</formula>
    </cfRule>
    <cfRule type="notContainsBlanks" dxfId="1067" priority="279">
      <formula>LEN(TRIM(X21))&gt;0</formula>
    </cfRule>
    <cfRule type="containsBlanks" dxfId="1066" priority="280">
      <formula>LEN(TRIM(X21))=0</formula>
    </cfRule>
    <cfRule type="notContainsBlanks" dxfId="1065" priority="281">
      <formula>LEN(TRIM(X21))&gt;0</formula>
    </cfRule>
    <cfRule type="containsBlanks" dxfId="1064" priority="282">
      <formula>LEN(TRIM(X21))=0</formula>
    </cfRule>
    <cfRule type="notContainsBlanks" dxfId="1063" priority="283">
      <formula>LEN(TRIM(X21))&gt;0</formula>
    </cfRule>
    <cfRule type="containsBlanks" dxfId="1062" priority="284">
      <formula>LEN(TRIM(X21))=0</formula>
    </cfRule>
    <cfRule type="notContainsBlanks" dxfId="1061" priority="285">
      <formula>LEN(TRIM(X21))&gt;0</formula>
    </cfRule>
  </conditionalFormatting>
  <conditionalFormatting sqref="Y24">
    <cfRule type="dataBar" priority="19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2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24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Y71">
    <cfRule type="dataBar" priority="21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{6A445020-6D19-4452-AEF8-18849A262A29}</x14:id>
        </ext>
      </extLst>
    </cfRule>
  </conditionalFormatting>
  <conditionalFormatting sqref="Y75">
    <cfRule type="dataBar" priority="20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{26D8922B-9801-4C55-88A8-6DACEAAB05AB}</x14:id>
        </ext>
      </extLst>
    </cfRule>
  </conditionalFormatting>
  <conditionalFormatting sqref="Z59">
    <cfRule type="containsBlanks" dxfId="1060" priority="59">
      <formula>LEN(TRIM(Z59))=0</formula>
    </cfRule>
    <cfRule type="notContainsBlanks" dxfId="1059" priority="60">
      <formula>LEN(TRIM(Z59))&gt;0</formula>
    </cfRule>
  </conditionalFormatting>
  <conditionalFormatting sqref="Z72">
    <cfRule type="containsBlanks" dxfId="1058" priority="129">
      <formula>LEN(TRIM(Z72))=0</formula>
    </cfRule>
    <cfRule type="notContainsBlanks" dxfId="1057" priority="130">
      <formula>LEN(TRIM(Z72))&gt;0</formula>
    </cfRule>
  </conditionalFormatting>
  <conditionalFormatting sqref="Z76">
    <cfRule type="containsBlanks" dxfId="1056" priority="210">
      <formula>LEN(TRIM(Z76))=0</formula>
    </cfRule>
    <cfRule type="notContainsBlanks" dxfId="1055" priority="211">
      <formula>LEN(TRIM(Z76))&gt;0</formula>
    </cfRule>
  </conditionalFormatting>
  <conditionalFormatting sqref="Z63:AA63">
    <cfRule type="containsBlanks" dxfId="1054" priority="170">
      <formula>LEN(TRIM(Z63))=0</formula>
    </cfRule>
    <cfRule type="notContainsBlanks" dxfId="1053" priority="171">
      <formula>LEN(TRIM(Z63))&gt;0</formula>
    </cfRule>
  </conditionalFormatting>
  <conditionalFormatting sqref="Z59:AB59">
    <cfRule type="containsBlanks" dxfId="1052" priority="61">
      <formula>LEN(TRIM(Z59))=0</formula>
    </cfRule>
    <cfRule type="notContainsBlanks" dxfId="1051" priority="62">
      <formula>LEN(TRIM(Z59))&gt;0</formula>
    </cfRule>
  </conditionalFormatting>
  <conditionalFormatting sqref="Z63:AB63">
    <cfRule type="containsBlanks" dxfId="1050" priority="172">
      <formula>LEN(TRIM(Z63))=0</formula>
    </cfRule>
    <cfRule type="notContainsBlanks" dxfId="1049" priority="173">
      <formula>LEN(TRIM(Z63))&gt;0</formula>
    </cfRule>
    <cfRule type="containsBlanks" dxfId="1048" priority="180">
      <formula>LEN(TRIM(Z63))=0</formula>
    </cfRule>
    <cfRule type="notContainsBlanks" dxfId="1047" priority="181">
      <formula>LEN(TRIM(Z63))&gt;0</formula>
    </cfRule>
  </conditionalFormatting>
  <conditionalFormatting sqref="Z25:AI25">
    <cfRule type="containsBlanks" dxfId="1046" priority="115">
      <formula>LEN(TRIM(Z25))=0</formula>
    </cfRule>
    <cfRule type="notContainsBlanks" dxfId="1045" priority="116">
      <formula>LEN(TRIM(Z25))&gt;0</formula>
    </cfRule>
  </conditionalFormatting>
  <conditionalFormatting sqref="Z29:AI29">
    <cfRule type="containsBlanks" dxfId="1044" priority="1">
      <formula>LEN(TRIM(Z29))=0</formula>
    </cfRule>
    <cfRule type="notContainsBlanks" dxfId="1043" priority="2">
      <formula>LEN(TRIM(Z29))&gt;0</formula>
    </cfRule>
  </conditionalFormatting>
  <conditionalFormatting sqref="AA59:AB59">
    <cfRule type="containsBlanks" dxfId="1042" priority="141">
      <formula>LEN(TRIM(AA59))=0</formula>
    </cfRule>
    <cfRule type="notContainsBlanks" dxfId="1041" priority="142">
      <formula>LEN(TRIM(AA59))&gt;0</formula>
    </cfRule>
  </conditionalFormatting>
  <conditionalFormatting sqref="AA28:AI28 R28">
    <cfRule type="dataBar" priority="23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B72 AB76">
    <cfRule type="dataBar" priority="20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{AF897626-30EB-45A5-AFBF-7D26EFC49BBC}</x14:id>
        </ext>
      </extLst>
    </cfRule>
  </conditionalFormatting>
  <conditionalFormatting sqref="AF21:AG21">
    <cfRule type="containsBlanks" dxfId="1040" priority="268">
      <formula>LEN(TRIM(AF21))=0</formula>
    </cfRule>
    <cfRule type="notContainsBlanks" dxfId="1039" priority="269">
      <formula>LEN(TRIM(AF21))&gt;0</formula>
    </cfRule>
    <cfRule type="containsBlanks" dxfId="1038" priority="270">
      <formula>LEN(TRIM(AF21))=0</formula>
    </cfRule>
    <cfRule type="notContainsBlanks" dxfId="1037" priority="271">
      <formula>LEN(TRIM(AF21))&gt;0</formula>
    </cfRule>
    <cfRule type="containsBlanks" dxfId="1036" priority="272">
      <formula>LEN(TRIM(AF21))=0</formula>
    </cfRule>
    <cfRule type="notContainsBlanks" dxfId="1035" priority="273">
      <formula>LEN(TRIM(AF21))&gt;0</formula>
    </cfRule>
    <cfRule type="containsBlanks" dxfId="1034" priority="274">
      <formula>LEN(TRIM(AF21))=0</formula>
    </cfRule>
    <cfRule type="notContainsBlanks" dxfId="1033" priority="275">
      <formula>LEN(TRIM(AF21))&gt;0</formula>
    </cfRule>
  </conditionalFormatting>
  <conditionalFormatting sqref="AF20:AI20">
    <cfRule type="dataBar" priority="30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F21:AI21">
    <cfRule type="containsBlanks" dxfId="1032" priority="111">
      <formula>LEN(TRIM(AF21))=0</formula>
    </cfRule>
    <cfRule type="notContainsBlanks" dxfId="1031" priority="112">
      <formula>LEN(TRIM(AF21))&gt;0</formula>
    </cfRule>
  </conditionalFormatting>
  <conditionalFormatting sqref="AG32:AI32">
    <cfRule type="dataBar" priority="3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containsBlanks" dxfId="1030" priority="286">
      <formula>LEN(TRIM(AG33))=0</formula>
    </cfRule>
    <cfRule type="notContainsBlanks" dxfId="1029" priority="287">
      <formula>LEN(TRIM(AG33))&gt;0</formula>
    </cfRule>
    <cfRule type="containsBlanks" dxfId="1028" priority="288">
      <formula>LEN(TRIM(AG33))=0</formula>
    </cfRule>
    <cfRule type="notContainsBlanks" dxfId="1027" priority="289">
      <formula>LEN(TRIM(AG33))&gt;0</formula>
    </cfRule>
    <cfRule type="containsBlanks" dxfId="1026" priority="290">
      <formula>LEN(TRIM(AG33))=0</formula>
    </cfRule>
    <cfRule type="notContainsBlanks" dxfId="1025" priority="291">
      <formula>LEN(TRIM(AG33))&gt;0</formula>
    </cfRule>
    <cfRule type="containsBlanks" dxfId="1024" priority="292">
      <formula>LEN(TRIM(AG33))=0</formula>
    </cfRule>
    <cfRule type="notContainsBlanks" dxfId="1023" priority="293">
      <formula>LEN(TRIM(AG33))&gt;0</formula>
    </cfRule>
    <cfRule type="containsBlanks" dxfId="1022" priority="294">
      <formula>LEN(TRIM(AG33))=0</formula>
    </cfRule>
    <cfRule type="notContainsBlanks" dxfId="1021" priority="295">
      <formula>LEN(TRIM(AG33))&gt;0</formula>
    </cfRule>
    <cfRule type="containsBlanks" dxfId="1020" priority="296">
      <formula>LEN(TRIM(AG33))=0</formula>
    </cfRule>
    <cfRule type="notContainsBlanks" dxfId="1019" priority="297">
      <formula>LEN(TRIM(AG33))&gt;0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 C14:H14 J14:P14</xm:sqref>
        </x14:conditionalFormatting>
        <x14:conditionalFormatting xmlns:xm="http://schemas.microsoft.com/office/excel/2006/main">
          <x14:cfRule type="dataBar" id="{468835B4-8263-4FAA-9512-33EE8C100BC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C6:G6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F114D92C-ADF9-494A-8BBE-6A3BA9C3E7C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F6:G6 J6:O6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10FA45D2-C782-476F-888B-ED7C0CC90C5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14:cfRule type="dataBar" id="{E8A2D387-ACD3-4B3F-B814-240C3596567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H6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B1105EE4-F47D-4ECE-B530-9A50C7F2CC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35883EF9-699F-4F1B-AB2E-3067F2905E0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I71</xm:sqref>
        </x14:conditionalFormatting>
        <x14:conditionalFormatting xmlns:xm="http://schemas.microsoft.com/office/excel/2006/main">
          <x14:cfRule type="dataBar" id="{81CDCBE1-0F7F-4AC3-9C81-9C0219AAF32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I75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2424CBD-1731-4061-ABB5-8540D883FF8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J71:P71 R71:X71 Z71:AB71 C71:H71</xm:sqref>
        </x14:conditionalFormatting>
        <x14:conditionalFormatting xmlns:xm="http://schemas.microsoft.com/office/excel/2006/main">
          <x14:cfRule type="dataBar" id="{6503DE1C-C1D5-480D-A27B-2B662088EB8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J75:P75 R75:X75 Z75:AA75 C75:H75</xm:sqref>
        </x14:conditionalFormatting>
        <x14:conditionalFormatting xmlns:xm="http://schemas.microsoft.com/office/excel/2006/main">
          <x14:cfRule type="dataBar" id="{05681276-4CF8-41AC-A1D0-65FC35A4C92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P6</xm:sqref>
        </x14:conditionalFormatting>
        <x14:conditionalFormatting xmlns:xm="http://schemas.microsoft.com/office/excel/2006/main">
          <x14:cfRule type="dataBar" id="{C0F488D0-215A-4A43-8004-DDE15B2E7A8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P14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BDF59F54-A20B-46C3-A60F-38711962B0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Q71</xm:sqref>
        </x14:conditionalFormatting>
        <x14:conditionalFormatting xmlns:xm="http://schemas.microsoft.com/office/excel/2006/main">
          <x14:cfRule type="dataBar" id="{AB6DA35B-BC8E-4A2B-ABA9-EEC503E03F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Q75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R14:W14 R6:X6 R10:W10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2EAC611B-8A3E-4ACF-AEDE-5E15D9DC0F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X10</xm:sqref>
        </x14:conditionalFormatting>
        <x14:conditionalFormatting xmlns:xm="http://schemas.microsoft.com/office/excel/2006/main">
          <x14:cfRule type="dataBar" id="{562996BE-D850-4F45-9720-07D61D38B3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X14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6A445020-6D19-4452-AEF8-18849A262A2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Y71</xm:sqref>
        </x14:conditionalFormatting>
        <x14:conditionalFormatting xmlns:xm="http://schemas.microsoft.com/office/excel/2006/main">
          <x14:cfRule type="dataBar" id="{26D8922B-9801-4C55-88A8-6DACEAAB05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Y75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AF897626-30EB-45A5-AFBF-7D26EFC49BBC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AB72 AB76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ADBCD-D864-4362-B60F-0D3B0E323A88}">
  <dimension ref="A1:CY234"/>
  <sheetViews>
    <sheetView zoomScale="75" zoomScaleNormal="92" workbookViewId="0">
      <pane xSplit="2" ySplit="13" topLeftCell="AX114" activePane="bottomRight" state="frozen"/>
      <selection pane="topRight" activeCell="C1" sqref="C1"/>
      <selection pane="bottomLeft" activeCell="A14" sqref="A14"/>
      <selection pane="bottomRight" activeCell="BW120" sqref="BW120"/>
    </sheetView>
  </sheetViews>
  <sheetFormatPr defaultRowHeight="15" x14ac:dyDescent="0.25"/>
  <cols>
    <col min="1" max="1" width="13.85546875" customWidth="1"/>
    <col min="5" max="5" width="19.7109375" customWidth="1"/>
    <col min="6" max="6" width="9.42578125" customWidth="1"/>
    <col min="7" max="7" width="16.7109375" bestFit="1" customWidth="1"/>
    <col min="8" max="8" width="8" customWidth="1"/>
    <col min="9" max="9" width="12.28515625" bestFit="1" customWidth="1"/>
    <col min="10" max="844" width="5.7109375" customWidth="1"/>
  </cols>
  <sheetData>
    <row r="1" spans="1:103" ht="18.75" x14ac:dyDescent="0.3">
      <c r="A1" s="97">
        <v>45695</v>
      </c>
      <c r="B1" s="97"/>
      <c r="C1" s="1"/>
      <c r="D1" s="1"/>
    </row>
    <row r="2" spans="1:103" ht="18.75" x14ac:dyDescent="0.3">
      <c r="A2">
        <v>2</v>
      </c>
      <c r="E2" s="2"/>
      <c r="F2" s="2"/>
      <c r="G2" s="2"/>
      <c r="H2" s="2"/>
      <c r="I2" s="2"/>
    </row>
    <row r="3" spans="1:103" ht="18.75" x14ac:dyDescent="0.3">
      <c r="E3" s="2"/>
      <c r="F3" s="2"/>
      <c r="G3" s="2"/>
      <c r="H3" s="2"/>
      <c r="I3" s="2"/>
      <c r="BP3" s="4"/>
      <c r="BQ3" s="4"/>
      <c r="BR3" s="4"/>
      <c r="BS3" s="4"/>
      <c r="BT3" s="4"/>
      <c r="BU3" s="4"/>
      <c r="BV3" s="4"/>
    </row>
    <row r="4" spans="1:103" x14ac:dyDescent="0.25">
      <c r="B4" s="5"/>
      <c r="C4" s="5"/>
      <c r="D4" s="5"/>
      <c r="E4" s="6"/>
      <c r="F4" s="6"/>
      <c r="G4" s="6"/>
      <c r="H4" s="6"/>
      <c r="I4" s="6"/>
      <c r="J4" s="8">
        <v>45962</v>
      </c>
      <c r="K4" s="8">
        <f t="shared" ref="K4:K6" si="0">J4+1</f>
        <v>45963</v>
      </c>
      <c r="L4" s="7">
        <f t="shared" ref="L4:BV6" si="1">K4+1</f>
        <v>45964</v>
      </c>
      <c r="M4" s="7">
        <f t="shared" si="1"/>
        <v>45965</v>
      </c>
      <c r="N4" s="7">
        <f t="shared" si="1"/>
        <v>45966</v>
      </c>
      <c r="O4" s="7">
        <f t="shared" si="1"/>
        <v>45967</v>
      </c>
      <c r="P4" s="7">
        <f t="shared" si="1"/>
        <v>45968</v>
      </c>
      <c r="Q4" s="8">
        <f t="shared" si="1"/>
        <v>45969</v>
      </c>
      <c r="R4" s="8">
        <f t="shared" si="1"/>
        <v>45970</v>
      </c>
      <c r="S4" s="7">
        <f t="shared" si="1"/>
        <v>45971</v>
      </c>
      <c r="T4" s="7">
        <f t="shared" si="1"/>
        <v>45972</v>
      </c>
      <c r="U4" s="7">
        <f t="shared" si="1"/>
        <v>45973</v>
      </c>
      <c r="V4" s="7">
        <f t="shared" si="1"/>
        <v>45974</v>
      </c>
      <c r="W4" s="7">
        <f t="shared" si="1"/>
        <v>45975</v>
      </c>
      <c r="X4" s="8">
        <f t="shared" si="1"/>
        <v>45976</v>
      </c>
      <c r="Y4" s="8">
        <f t="shared" si="1"/>
        <v>45977</v>
      </c>
      <c r="Z4" s="7">
        <f t="shared" si="1"/>
        <v>45978</v>
      </c>
      <c r="AA4" s="7">
        <f t="shared" si="1"/>
        <v>45979</v>
      </c>
      <c r="AB4" s="7">
        <f t="shared" si="1"/>
        <v>45980</v>
      </c>
      <c r="AC4" s="7">
        <f t="shared" si="1"/>
        <v>45981</v>
      </c>
      <c r="AD4" s="7">
        <f t="shared" si="1"/>
        <v>45982</v>
      </c>
      <c r="AE4" s="8">
        <f t="shared" si="1"/>
        <v>45983</v>
      </c>
      <c r="AF4" s="8">
        <f t="shared" si="1"/>
        <v>45984</v>
      </c>
      <c r="AG4" s="7">
        <f t="shared" si="1"/>
        <v>45985</v>
      </c>
      <c r="AH4" s="7">
        <f t="shared" si="1"/>
        <v>45986</v>
      </c>
      <c r="AI4" s="7">
        <f t="shared" si="1"/>
        <v>45987</v>
      </c>
      <c r="AJ4" s="7">
        <f t="shared" si="1"/>
        <v>45988</v>
      </c>
      <c r="AK4" s="7">
        <f t="shared" si="1"/>
        <v>45989</v>
      </c>
      <c r="AL4" s="8">
        <f t="shared" si="1"/>
        <v>45990</v>
      </c>
      <c r="AM4" s="8">
        <f t="shared" si="1"/>
        <v>45991</v>
      </c>
      <c r="AN4" s="7">
        <f t="shared" si="1"/>
        <v>45992</v>
      </c>
      <c r="AO4" s="7">
        <f t="shared" si="1"/>
        <v>45993</v>
      </c>
      <c r="AP4" s="7">
        <f t="shared" si="1"/>
        <v>45994</v>
      </c>
      <c r="AQ4" s="7">
        <f t="shared" si="1"/>
        <v>45995</v>
      </c>
      <c r="AR4" s="7">
        <f t="shared" si="1"/>
        <v>45996</v>
      </c>
      <c r="AS4" s="8">
        <f t="shared" si="1"/>
        <v>45997</v>
      </c>
      <c r="AT4" s="8">
        <f t="shared" si="1"/>
        <v>45998</v>
      </c>
      <c r="AU4" s="7">
        <f t="shared" si="1"/>
        <v>45999</v>
      </c>
      <c r="AV4" s="7">
        <f t="shared" si="1"/>
        <v>46000</v>
      </c>
      <c r="AW4" s="7">
        <f t="shared" si="1"/>
        <v>46001</v>
      </c>
      <c r="AX4" s="7">
        <f t="shared" si="1"/>
        <v>46002</v>
      </c>
      <c r="AY4" s="7">
        <f t="shared" si="1"/>
        <v>46003</v>
      </c>
      <c r="AZ4" s="8">
        <f t="shared" si="1"/>
        <v>46004</v>
      </c>
      <c r="BA4" s="8">
        <f t="shared" si="1"/>
        <v>46005</v>
      </c>
      <c r="BB4" s="7">
        <f t="shared" si="1"/>
        <v>46006</v>
      </c>
      <c r="BC4" s="7">
        <f t="shared" si="1"/>
        <v>46007</v>
      </c>
      <c r="BD4" s="7">
        <f t="shared" si="1"/>
        <v>46008</v>
      </c>
      <c r="BE4" s="7">
        <f t="shared" si="1"/>
        <v>46009</v>
      </c>
      <c r="BF4" s="7">
        <f t="shared" si="1"/>
        <v>46010</v>
      </c>
      <c r="BG4" s="8">
        <f t="shared" si="1"/>
        <v>46011</v>
      </c>
      <c r="BH4" s="8">
        <f t="shared" si="1"/>
        <v>46012</v>
      </c>
      <c r="BI4" s="7">
        <f t="shared" si="1"/>
        <v>46013</v>
      </c>
      <c r="BJ4" s="7">
        <f t="shared" si="1"/>
        <v>46014</v>
      </c>
      <c r="BK4" s="7">
        <f t="shared" si="1"/>
        <v>46015</v>
      </c>
      <c r="BL4" s="7">
        <f t="shared" si="1"/>
        <v>46016</v>
      </c>
      <c r="BM4" s="7">
        <f t="shared" si="1"/>
        <v>46017</v>
      </c>
      <c r="BN4" s="8">
        <f t="shared" si="1"/>
        <v>46018</v>
      </c>
      <c r="BO4" s="8">
        <f t="shared" si="1"/>
        <v>46019</v>
      </c>
      <c r="BP4" s="7">
        <f t="shared" si="1"/>
        <v>46020</v>
      </c>
      <c r="BQ4" s="7">
        <f t="shared" si="1"/>
        <v>46021</v>
      </c>
      <c r="BR4" s="7">
        <f t="shared" si="1"/>
        <v>46022</v>
      </c>
      <c r="BS4" s="7">
        <f t="shared" si="1"/>
        <v>46023</v>
      </c>
      <c r="BT4" s="7">
        <f t="shared" si="1"/>
        <v>46024</v>
      </c>
      <c r="BU4" s="8">
        <f t="shared" si="1"/>
        <v>46025</v>
      </c>
      <c r="BV4" s="8">
        <f t="shared" si="1"/>
        <v>46026</v>
      </c>
      <c r="BW4" s="7">
        <f t="shared" ref="BW4:CY4" si="2">BV4+1</f>
        <v>46027</v>
      </c>
      <c r="BX4" s="7">
        <f t="shared" si="2"/>
        <v>46028</v>
      </c>
      <c r="BY4" s="7">
        <f t="shared" si="2"/>
        <v>46029</v>
      </c>
      <c r="BZ4" s="7">
        <f t="shared" si="2"/>
        <v>46030</v>
      </c>
      <c r="CA4" s="7">
        <f t="shared" si="2"/>
        <v>46031</v>
      </c>
      <c r="CB4" s="8">
        <f t="shared" si="2"/>
        <v>46032</v>
      </c>
      <c r="CC4" s="8">
        <f t="shared" si="2"/>
        <v>46033</v>
      </c>
      <c r="CD4" s="7">
        <f t="shared" si="2"/>
        <v>46034</v>
      </c>
      <c r="CE4" s="7">
        <f t="shared" si="2"/>
        <v>46035</v>
      </c>
      <c r="CF4" s="7">
        <f t="shared" si="2"/>
        <v>46036</v>
      </c>
      <c r="CG4" s="7">
        <f t="shared" si="2"/>
        <v>46037</v>
      </c>
      <c r="CH4" s="7">
        <f t="shared" si="2"/>
        <v>46038</v>
      </c>
      <c r="CI4" s="8">
        <f t="shared" si="2"/>
        <v>46039</v>
      </c>
      <c r="CJ4" s="8">
        <f t="shared" si="2"/>
        <v>46040</v>
      </c>
      <c r="CK4" s="7">
        <f t="shared" si="2"/>
        <v>46041</v>
      </c>
      <c r="CL4" s="7">
        <f t="shared" si="2"/>
        <v>46042</v>
      </c>
      <c r="CM4" s="7">
        <f t="shared" si="2"/>
        <v>46043</v>
      </c>
      <c r="CN4" s="7">
        <f t="shared" si="2"/>
        <v>46044</v>
      </c>
      <c r="CO4" s="7">
        <f t="shared" si="2"/>
        <v>46045</v>
      </c>
      <c r="CP4" s="8">
        <f t="shared" si="2"/>
        <v>46046</v>
      </c>
      <c r="CQ4" s="8">
        <f t="shared" si="2"/>
        <v>46047</v>
      </c>
      <c r="CR4" s="7">
        <f t="shared" si="2"/>
        <v>46048</v>
      </c>
      <c r="CS4" s="7">
        <f t="shared" si="2"/>
        <v>46049</v>
      </c>
      <c r="CT4" s="7">
        <f t="shared" si="2"/>
        <v>46050</v>
      </c>
      <c r="CU4" s="7">
        <f t="shared" si="2"/>
        <v>46051</v>
      </c>
      <c r="CV4" s="7">
        <f t="shared" si="2"/>
        <v>46052</v>
      </c>
      <c r="CW4" s="8">
        <f t="shared" si="2"/>
        <v>46053</v>
      </c>
      <c r="CX4" s="8">
        <f t="shared" si="2"/>
        <v>46054</v>
      </c>
      <c r="CY4" s="7">
        <f t="shared" si="2"/>
        <v>46055</v>
      </c>
    </row>
    <row r="5" spans="1:103" x14ac:dyDescent="0.25">
      <c r="B5" s="9" t="s">
        <v>0</v>
      </c>
      <c r="C5" s="9" t="s">
        <v>0</v>
      </c>
      <c r="D5" s="9"/>
      <c r="E5" s="9" t="s">
        <v>1</v>
      </c>
      <c r="F5" s="9"/>
      <c r="G5" s="10"/>
      <c r="H5" s="10" t="s">
        <v>594</v>
      </c>
      <c r="I5" s="10" t="s">
        <v>2</v>
      </c>
      <c r="J5" s="11">
        <v>45962</v>
      </c>
      <c r="K5" s="11">
        <f t="shared" si="0"/>
        <v>45963</v>
      </c>
      <c r="L5" s="3">
        <f t="shared" si="1"/>
        <v>45964</v>
      </c>
      <c r="M5" s="3">
        <f t="shared" si="1"/>
        <v>45965</v>
      </c>
      <c r="N5" s="3">
        <f t="shared" si="1"/>
        <v>45966</v>
      </c>
      <c r="O5" s="3">
        <f t="shared" si="1"/>
        <v>45967</v>
      </c>
      <c r="P5" s="3">
        <f t="shared" si="1"/>
        <v>45968</v>
      </c>
      <c r="Q5" s="11">
        <f t="shared" si="1"/>
        <v>45969</v>
      </c>
      <c r="R5" s="11">
        <f t="shared" si="1"/>
        <v>45970</v>
      </c>
      <c r="S5" s="3">
        <f t="shared" si="1"/>
        <v>45971</v>
      </c>
      <c r="T5" s="3">
        <f t="shared" si="1"/>
        <v>45972</v>
      </c>
      <c r="U5" s="3">
        <f t="shared" si="1"/>
        <v>45973</v>
      </c>
      <c r="V5" s="3">
        <f t="shared" si="1"/>
        <v>45974</v>
      </c>
      <c r="W5" s="3">
        <f t="shared" si="1"/>
        <v>45975</v>
      </c>
      <c r="X5" s="11">
        <f t="shared" si="1"/>
        <v>45976</v>
      </c>
      <c r="Y5" s="11">
        <f t="shared" si="1"/>
        <v>45977</v>
      </c>
      <c r="Z5" s="3">
        <f t="shared" si="1"/>
        <v>45978</v>
      </c>
      <c r="AA5" s="3">
        <f t="shared" si="1"/>
        <v>45979</v>
      </c>
      <c r="AB5" s="3">
        <f t="shared" si="1"/>
        <v>45980</v>
      </c>
      <c r="AC5" s="3">
        <f t="shared" si="1"/>
        <v>45981</v>
      </c>
      <c r="AD5" s="3">
        <f t="shared" si="1"/>
        <v>45982</v>
      </c>
      <c r="AE5" s="11">
        <f t="shared" si="1"/>
        <v>45983</v>
      </c>
      <c r="AF5" s="11">
        <f t="shared" si="1"/>
        <v>45984</v>
      </c>
      <c r="AG5" s="3">
        <f t="shared" si="1"/>
        <v>45985</v>
      </c>
      <c r="AH5" s="3">
        <f t="shared" si="1"/>
        <v>45986</v>
      </c>
      <c r="AI5" s="3">
        <f t="shared" si="1"/>
        <v>45987</v>
      </c>
      <c r="AJ5" s="3">
        <f t="shared" si="1"/>
        <v>45988</v>
      </c>
      <c r="AK5" s="3">
        <f t="shared" si="1"/>
        <v>45989</v>
      </c>
      <c r="AL5" s="11">
        <f t="shared" si="1"/>
        <v>45990</v>
      </c>
      <c r="AM5" s="11">
        <f t="shared" si="1"/>
        <v>45991</v>
      </c>
      <c r="AN5" s="3">
        <f t="shared" si="1"/>
        <v>45992</v>
      </c>
      <c r="AO5" s="3">
        <f t="shared" si="1"/>
        <v>45993</v>
      </c>
      <c r="AP5" s="3">
        <f t="shared" si="1"/>
        <v>45994</v>
      </c>
      <c r="AQ5" s="3">
        <f t="shared" si="1"/>
        <v>45995</v>
      </c>
      <c r="AR5" s="3">
        <f t="shared" si="1"/>
        <v>45996</v>
      </c>
      <c r="AS5" s="11">
        <f t="shared" si="1"/>
        <v>45997</v>
      </c>
      <c r="AT5" s="11">
        <f t="shared" si="1"/>
        <v>45998</v>
      </c>
      <c r="AU5" s="3">
        <f t="shared" si="1"/>
        <v>45999</v>
      </c>
      <c r="AV5" s="3">
        <f t="shared" si="1"/>
        <v>46000</v>
      </c>
      <c r="AW5" s="3">
        <f t="shared" si="1"/>
        <v>46001</v>
      </c>
      <c r="AX5" s="3">
        <f t="shared" si="1"/>
        <v>46002</v>
      </c>
      <c r="AY5" s="3">
        <f t="shared" si="1"/>
        <v>46003</v>
      </c>
      <c r="AZ5" s="11">
        <f t="shared" si="1"/>
        <v>46004</v>
      </c>
      <c r="BA5" s="11">
        <f t="shared" si="1"/>
        <v>46005</v>
      </c>
      <c r="BB5" s="3">
        <f t="shared" si="1"/>
        <v>46006</v>
      </c>
      <c r="BC5" s="3">
        <f t="shared" si="1"/>
        <v>46007</v>
      </c>
      <c r="BD5" s="3">
        <f t="shared" si="1"/>
        <v>46008</v>
      </c>
      <c r="BE5" s="3">
        <f t="shared" si="1"/>
        <v>46009</v>
      </c>
      <c r="BF5" s="3">
        <f t="shared" si="1"/>
        <v>46010</v>
      </c>
      <c r="BG5" s="11">
        <f t="shared" si="1"/>
        <v>46011</v>
      </c>
      <c r="BH5" s="11">
        <f t="shared" si="1"/>
        <v>46012</v>
      </c>
      <c r="BI5" s="3">
        <f t="shared" si="1"/>
        <v>46013</v>
      </c>
      <c r="BJ5" s="3">
        <f t="shared" si="1"/>
        <v>46014</v>
      </c>
      <c r="BK5" s="3">
        <f t="shared" si="1"/>
        <v>46015</v>
      </c>
      <c r="BL5" s="3">
        <f t="shared" si="1"/>
        <v>46016</v>
      </c>
      <c r="BM5" s="3">
        <f t="shared" si="1"/>
        <v>46017</v>
      </c>
      <c r="BN5" s="11">
        <f t="shared" si="1"/>
        <v>46018</v>
      </c>
      <c r="BO5" s="11">
        <f t="shared" si="1"/>
        <v>46019</v>
      </c>
      <c r="BP5" s="3">
        <f t="shared" si="1"/>
        <v>46020</v>
      </c>
      <c r="BQ5" s="3">
        <f t="shared" si="1"/>
        <v>46021</v>
      </c>
      <c r="BR5" s="3">
        <f t="shared" si="1"/>
        <v>46022</v>
      </c>
      <c r="BS5" s="3">
        <f t="shared" si="1"/>
        <v>46023</v>
      </c>
      <c r="BT5" s="3">
        <f t="shared" si="1"/>
        <v>46024</v>
      </c>
      <c r="BU5" s="11">
        <f t="shared" ref="BU5:CY5" si="3">BT5+1</f>
        <v>46025</v>
      </c>
      <c r="BV5" s="11">
        <f t="shared" si="3"/>
        <v>46026</v>
      </c>
      <c r="BW5" s="3">
        <f t="shared" si="3"/>
        <v>46027</v>
      </c>
      <c r="BX5" s="3">
        <f t="shared" si="3"/>
        <v>46028</v>
      </c>
      <c r="BY5" s="3">
        <f t="shared" si="3"/>
        <v>46029</v>
      </c>
      <c r="BZ5" s="3">
        <f t="shared" si="3"/>
        <v>46030</v>
      </c>
      <c r="CA5" s="3">
        <f t="shared" si="3"/>
        <v>46031</v>
      </c>
      <c r="CB5" s="11">
        <f t="shared" si="3"/>
        <v>46032</v>
      </c>
      <c r="CC5" s="11">
        <f t="shared" si="3"/>
        <v>46033</v>
      </c>
      <c r="CD5" s="3">
        <f t="shared" si="3"/>
        <v>46034</v>
      </c>
      <c r="CE5" s="3">
        <f t="shared" si="3"/>
        <v>46035</v>
      </c>
      <c r="CF5" s="3">
        <f t="shared" si="3"/>
        <v>46036</v>
      </c>
      <c r="CG5" s="3">
        <f t="shared" si="3"/>
        <v>46037</v>
      </c>
      <c r="CH5" s="3">
        <f t="shared" si="3"/>
        <v>46038</v>
      </c>
      <c r="CI5" s="11">
        <f t="shared" si="3"/>
        <v>46039</v>
      </c>
      <c r="CJ5" s="11">
        <f t="shared" si="3"/>
        <v>46040</v>
      </c>
      <c r="CK5" s="3">
        <f t="shared" si="3"/>
        <v>46041</v>
      </c>
      <c r="CL5" s="3">
        <f t="shared" si="3"/>
        <v>46042</v>
      </c>
      <c r="CM5" s="3">
        <f t="shared" si="3"/>
        <v>46043</v>
      </c>
      <c r="CN5" s="3">
        <f t="shared" si="3"/>
        <v>46044</v>
      </c>
      <c r="CO5" s="3">
        <f t="shared" si="3"/>
        <v>46045</v>
      </c>
      <c r="CP5" s="11">
        <f t="shared" si="3"/>
        <v>46046</v>
      </c>
      <c r="CQ5" s="11">
        <f t="shared" si="3"/>
        <v>46047</v>
      </c>
      <c r="CR5" s="3">
        <f t="shared" si="3"/>
        <v>46048</v>
      </c>
      <c r="CS5" s="3">
        <f t="shared" si="3"/>
        <v>46049</v>
      </c>
      <c r="CT5" s="3">
        <f t="shared" si="3"/>
        <v>46050</v>
      </c>
      <c r="CU5" s="3">
        <f t="shared" si="3"/>
        <v>46051</v>
      </c>
      <c r="CV5" s="3">
        <f t="shared" si="3"/>
        <v>46052</v>
      </c>
      <c r="CW5" s="11">
        <f t="shared" si="3"/>
        <v>46053</v>
      </c>
      <c r="CX5" s="11">
        <f t="shared" si="3"/>
        <v>46054</v>
      </c>
      <c r="CY5" s="3">
        <f t="shared" si="3"/>
        <v>46055</v>
      </c>
    </row>
    <row r="6" spans="1:103" s="12" customFormat="1" x14ac:dyDescent="0.25">
      <c r="B6" s="9"/>
      <c r="C6" s="9"/>
      <c r="D6" s="9"/>
      <c r="E6" s="9"/>
      <c r="F6" s="9"/>
      <c r="G6" s="10"/>
      <c r="H6" s="10" t="s">
        <v>595</v>
      </c>
      <c r="I6" s="10"/>
      <c r="J6" s="14">
        <v>45962</v>
      </c>
      <c r="K6" s="14">
        <f t="shared" si="0"/>
        <v>45963</v>
      </c>
      <c r="L6" s="13">
        <f t="shared" si="1"/>
        <v>45964</v>
      </c>
      <c r="M6" s="13">
        <f t="shared" si="1"/>
        <v>45965</v>
      </c>
      <c r="N6" s="13">
        <f t="shared" si="1"/>
        <v>45966</v>
      </c>
      <c r="O6" s="13">
        <f t="shared" si="1"/>
        <v>45967</v>
      </c>
      <c r="P6" s="13">
        <f t="shared" si="1"/>
        <v>45968</v>
      </c>
      <c r="Q6" s="14">
        <f t="shared" si="1"/>
        <v>45969</v>
      </c>
      <c r="R6" s="14">
        <f t="shared" si="1"/>
        <v>45970</v>
      </c>
      <c r="S6" s="13">
        <f t="shared" si="1"/>
        <v>45971</v>
      </c>
      <c r="T6" s="13">
        <f t="shared" si="1"/>
        <v>45972</v>
      </c>
      <c r="U6" s="13">
        <f t="shared" si="1"/>
        <v>45973</v>
      </c>
      <c r="V6" s="13">
        <f t="shared" si="1"/>
        <v>45974</v>
      </c>
      <c r="W6" s="13">
        <f t="shared" si="1"/>
        <v>45975</v>
      </c>
      <c r="X6" s="14">
        <f t="shared" si="1"/>
        <v>45976</v>
      </c>
      <c r="Y6" s="14">
        <f t="shared" si="1"/>
        <v>45977</v>
      </c>
      <c r="Z6" s="13">
        <f t="shared" si="1"/>
        <v>45978</v>
      </c>
      <c r="AA6" s="13">
        <f t="shared" si="1"/>
        <v>45979</v>
      </c>
      <c r="AB6" s="13">
        <f t="shared" si="1"/>
        <v>45980</v>
      </c>
      <c r="AC6" s="13">
        <f t="shared" si="1"/>
        <v>45981</v>
      </c>
      <c r="AD6" s="13">
        <f t="shared" si="1"/>
        <v>45982</v>
      </c>
      <c r="AE6" s="14">
        <f t="shared" si="1"/>
        <v>45983</v>
      </c>
      <c r="AF6" s="14">
        <f t="shared" si="1"/>
        <v>45984</v>
      </c>
      <c r="AG6" s="13">
        <f t="shared" si="1"/>
        <v>45985</v>
      </c>
      <c r="AH6" s="13">
        <f t="shared" si="1"/>
        <v>45986</v>
      </c>
      <c r="AI6" s="13">
        <f t="shared" si="1"/>
        <v>45987</v>
      </c>
      <c r="AJ6" s="13">
        <f t="shared" si="1"/>
        <v>45988</v>
      </c>
      <c r="AK6" s="13">
        <f t="shared" si="1"/>
        <v>45989</v>
      </c>
      <c r="AL6" s="14">
        <f t="shared" si="1"/>
        <v>45990</v>
      </c>
      <c r="AM6" s="14">
        <f t="shared" si="1"/>
        <v>45991</v>
      </c>
      <c r="AN6" s="13">
        <f t="shared" si="1"/>
        <v>45992</v>
      </c>
      <c r="AO6" s="13">
        <f t="shared" si="1"/>
        <v>45993</v>
      </c>
      <c r="AP6" s="13">
        <f t="shared" si="1"/>
        <v>45994</v>
      </c>
      <c r="AQ6" s="13">
        <f t="shared" si="1"/>
        <v>45995</v>
      </c>
      <c r="AR6" s="13">
        <f t="shared" si="1"/>
        <v>45996</v>
      </c>
      <c r="AS6" s="14">
        <f t="shared" si="1"/>
        <v>45997</v>
      </c>
      <c r="AT6" s="14">
        <f t="shared" si="1"/>
        <v>45998</v>
      </c>
      <c r="AU6" s="13">
        <f t="shared" si="1"/>
        <v>45999</v>
      </c>
      <c r="AV6" s="13">
        <f t="shared" si="1"/>
        <v>46000</v>
      </c>
      <c r="AW6" s="13">
        <f t="shared" si="1"/>
        <v>46001</v>
      </c>
      <c r="AX6" s="13">
        <f t="shared" si="1"/>
        <v>46002</v>
      </c>
      <c r="AY6" s="13">
        <f t="shared" si="1"/>
        <v>46003</v>
      </c>
      <c r="AZ6" s="14">
        <f t="shared" si="1"/>
        <v>46004</v>
      </c>
      <c r="BA6" s="14">
        <f t="shared" si="1"/>
        <v>46005</v>
      </c>
      <c r="BB6" s="13">
        <f t="shared" si="1"/>
        <v>46006</v>
      </c>
      <c r="BC6" s="13">
        <f t="shared" si="1"/>
        <v>46007</v>
      </c>
      <c r="BD6" s="13">
        <f t="shared" si="1"/>
        <v>46008</v>
      </c>
      <c r="BE6" s="13">
        <f t="shared" si="1"/>
        <v>46009</v>
      </c>
      <c r="BF6" s="13">
        <f t="shared" si="1"/>
        <v>46010</v>
      </c>
      <c r="BG6" s="14">
        <f t="shared" si="1"/>
        <v>46011</v>
      </c>
      <c r="BH6" s="14">
        <f t="shared" si="1"/>
        <v>46012</v>
      </c>
      <c r="BI6" s="13">
        <f t="shared" si="1"/>
        <v>46013</v>
      </c>
      <c r="BJ6" s="13">
        <f t="shared" si="1"/>
        <v>46014</v>
      </c>
      <c r="BK6" s="13">
        <f t="shared" si="1"/>
        <v>46015</v>
      </c>
      <c r="BL6" s="13">
        <f t="shared" si="1"/>
        <v>46016</v>
      </c>
      <c r="BM6" s="13">
        <f t="shared" si="1"/>
        <v>46017</v>
      </c>
      <c r="BN6" s="14">
        <f t="shared" si="1"/>
        <v>46018</v>
      </c>
      <c r="BO6" s="14">
        <f t="shared" si="1"/>
        <v>46019</v>
      </c>
      <c r="BP6" s="13">
        <f t="shared" si="1"/>
        <v>46020</v>
      </c>
      <c r="BQ6" s="13">
        <f t="shared" si="1"/>
        <v>46021</v>
      </c>
      <c r="BR6" s="13">
        <f t="shared" si="1"/>
        <v>46022</v>
      </c>
      <c r="BS6" s="13">
        <f t="shared" si="1"/>
        <v>46023</v>
      </c>
      <c r="BT6" s="13">
        <f t="shared" si="1"/>
        <v>46024</v>
      </c>
      <c r="BU6" s="14">
        <f t="shared" ref="BU6:CY6" si="4">BT6+1</f>
        <v>46025</v>
      </c>
      <c r="BV6" s="14">
        <f t="shared" si="4"/>
        <v>46026</v>
      </c>
      <c r="BW6" s="13">
        <f t="shared" si="4"/>
        <v>46027</v>
      </c>
      <c r="BX6" s="13">
        <f t="shared" si="4"/>
        <v>46028</v>
      </c>
      <c r="BY6" s="13">
        <f t="shared" si="4"/>
        <v>46029</v>
      </c>
      <c r="BZ6" s="13">
        <f t="shared" si="4"/>
        <v>46030</v>
      </c>
      <c r="CA6" s="13">
        <f t="shared" si="4"/>
        <v>46031</v>
      </c>
      <c r="CB6" s="14">
        <f t="shared" si="4"/>
        <v>46032</v>
      </c>
      <c r="CC6" s="14">
        <f t="shared" si="4"/>
        <v>46033</v>
      </c>
      <c r="CD6" s="13">
        <f t="shared" si="4"/>
        <v>46034</v>
      </c>
      <c r="CE6" s="13">
        <f t="shared" si="4"/>
        <v>46035</v>
      </c>
      <c r="CF6" s="13">
        <f t="shared" si="4"/>
        <v>46036</v>
      </c>
      <c r="CG6" s="13">
        <f t="shared" si="4"/>
        <v>46037</v>
      </c>
      <c r="CH6" s="13">
        <f t="shared" si="4"/>
        <v>46038</v>
      </c>
      <c r="CI6" s="14">
        <f t="shared" si="4"/>
        <v>46039</v>
      </c>
      <c r="CJ6" s="14">
        <f t="shared" si="4"/>
        <v>46040</v>
      </c>
      <c r="CK6" s="13">
        <f t="shared" si="4"/>
        <v>46041</v>
      </c>
      <c r="CL6" s="13">
        <f t="shared" si="4"/>
        <v>46042</v>
      </c>
      <c r="CM6" s="13">
        <f t="shared" si="4"/>
        <v>46043</v>
      </c>
      <c r="CN6" s="13">
        <f t="shared" si="4"/>
        <v>46044</v>
      </c>
      <c r="CO6" s="13">
        <f t="shared" si="4"/>
        <v>46045</v>
      </c>
      <c r="CP6" s="14">
        <f t="shared" si="4"/>
        <v>46046</v>
      </c>
      <c r="CQ6" s="14">
        <f t="shared" si="4"/>
        <v>46047</v>
      </c>
      <c r="CR6" s="13">
        <f t="shared" si="4"/>
        <v>46048</v>
      </c>
      <c r="CS6" s="13">
        <f t="shared" si="4"/>
        <v>46049</v>
      </c>
      <c r="CT6" s="13">
        <f t="shared" si="4"/>
        <v>46050</v>
      </c>
      <c r="CU6" s="13">
        <f t="shared" si="4"/>
        <v>46051</v>
      </c>
      <c r="CV6" s="13">
        <f t="shared" si="4"/>
        <v>46052</v>
      </c>
      <c r="CW6" s="14">
        <f t="shared" si="4"/>
        <v>46053</v>
      </c>
      <c r="CX6" s="14">
        <f t="shared" si="4"/>
        <v>46054</v>
      </c>
      <c r="CY6" s="13">
        <f t="shared" si="4"/>
        <v>46055</v>
      </c>
    </row>
    <row r="7" spans="1:103" s="12" customFormat="1" ht="16.5" hidden="1" customHeight="1" x14ac:dyDescent="0.25">
      <c r="B7" s="9"/>
      <c r="C7" s="9"/>
      <c r="D7" s="9"/>
      <c r="E7" s="9"/>
      <c r="F7" s="9"/>
      <c r="G7" s="10"/>
      <c r="H7" s="10"/>
      <c r="I7" s="10"/>
    </row>
    <row r="8" spans="1:103" s="16" customFormat="1" ht="16.5" customHeight="1" x14ac:dyDescent="0.25">
      <c r="A8" s="12"/>
      <c r="B8" s="98" t="s">
        <v>3</v>
      </c>
      <c r="C8" s="99"/>
      <c r="D8" s="99"/>
      <c r="E8" s="99"/>
      <c r="F8" s="99"/>
      <c r="G8" s="99"/>
      <c r="H8" s="99"/>
      <c r="I8" s="99"/>
      <c r="J8" s="15">
        <f t="shared" ref="J8:AO8" si="5">SUM(J14:J1972)</f>
        <v>0</v>
      </c>
      <c r="K8" s="15">
        <f t="shared" si="5"/>
        <v>0</v>
      </c>
      <c r="L8" s="15">
        <f t="shared" si="5"/>
        <v>0</v>
      </c>
      <c r="M8" s="15">
        <f t="shared" si="5"/>
        <v>0</v>
      </c>
      <c r="N8" s="15">
        <f t="shared" si="5"/>
        <v>0</v>
      </c>
      <c r="O8" s="15">
        <f t="shared" si="5"/>
        <v>0</v>
      </c>
      <c r="P8" s="15">
        <f t="shared" si="5"/>
        <v>0</v>
      </c>
      <c r="Q8" s="15">
        <f t="shared" si="5"/>
        <v>0</v>
      </c>
      <c r="R8" s="15">
        <f t="shared" si="5"/>
        <v>0</v>
      </c>
      <c r="S8" s="15">
        <f t="shared" si="5"/>
        <v>0</v>
      </c>
      <c r="T8" s="15">
        <f t="shared" si="5"/>
        <v>0</v>
      </c>
      <c r="U8" s="15">
        <f t="shared" si="5"/>
        <v>0</v>
      </c>
      <c r="V8" s="15">
        <f t="shared" si="5"/>
        <v>0</v>
      </c>
      <c r="W8" s="15">
        <f t="shared" si="5"/>
        <v>0</v>
      </c>
      <c r="X8" s="15">
        <f t="shared" si="5"/>
        <v>0</v>
      </c>
      <c r="Y8" s="15">
        <f t="shared" si="5"/>
        <v>0</v>
      </c>
      <c r="Z8" s="15">
        <f t="shared" si="5"/>
        <v>0</v>
      </c>
      <c r="AA8" s="15">
        <f t="shared" si="5"/>
        <v>0</v>
      </c>
      <c r="AB8" s="15">
        <f t="shared" si="5"/>
        <v>0</v>
      </c>
      <c r="AC8" s="15">
        <f t="shared" si="5"/>
        <v>0</v>
      </c>
      <c r="AD8" s="15">
        <f t="shared" si="5"/>
        <v>0</v>
      </c>
      <c r="AE8" s="15">
        <f t="shared" si="5"/>
        <v>0</v>
      </c>
      <c r="AF8" s="15">
        <f t="shared" si="5"/>
        <v>0</v>
      </c>
      <c r="AG8" s="15">
        <f t="shared" si="5"/>
        <v>119</v>
      </c>
      <c r="AH8" s="15">
        <f t="shared" si="5"/>
        <v>119</v>
      </c>
      <c r="AI8" s="15">
        <f t="shared" si="5"/>
        <v>119</v>
      </c>
      <c r="AJ8" s="15">
        <f t="shared" si="5"/>
        <v>119</v>
      </c>
      <c r="AK8" s="15">
        <f t="shared" si="5"/>
        <v>119</v>
      </c>
      <c r="AL8" s="15">
        <f t="shared" si="5"/>
        <v>119</v>
      </c>
      <c r="AM8" s="15">
        <f t="shared" si="5"/>
        <v>119</v>
      </c>
      <c r="AN8" s="15">
        <f t="shared" si="5"/>
        <v>119</v>
      </c>
      <c r="AO8" s="15">
        <f t="shared" si="5"/>
        <v>119</v>
      </c>
      <c r="AP8" s="15">
        <f t="shared" ref="AP8:BP8" si="6">SUM(AP14:AP1972)</f>
        <v>119</v>
      </c>
      <c r="AQ8" s="15">
        <f t="shared" si="6"/>
        <v>119</v>
      </c>
      <c r="AR8" s="15">
        <f t="shared" si="6"/>
        <v>119</v>
      </c>
      <c r="AS8" s="15">
        <f t="shared" si="6"/>
        <v>119</v>
      </c>
      <c r="AT8" s="15">
        <f t="shared" si="6"/>
        <v>119</v>
      </c>
      <c r="AU8" s="15">
        <f t="shared" si="6"/>
        <v>136</v>
      </c>
      <c r="AV8" s="15">
        <f t="shared" si="6"/>
        <v>119</v>
      </c>
      <c r="AW8" s="15">
        <f t="shared" si="6"/>
        <v>119</v>
      </c>
      <c r="AX8" s="15">
        <f t="shared" si="6"/>
        <v>153</v>
      </c>
      <c r="AY8" s="15">
        <f t="shared" si="6"/>
        <v>119</v>
      </c>
      <c r="AZ8" s="15">
        <f t="shared" si="6"/>
        <v>119</v>
      </c>
      <c r="BA8" s="15">
        <f t="shared" si="6"/>
        <v>119</v>
      </c>
      <c r="BB8" s="15">
        <f t="shared" si="6"/>
        <v>119</v>
      </c>
      <c r="BC8" s="15">
        <f t="shared" si="6"/>
        <v>119</v>
      </c>
      <c r="BD8" s="15">
        <f t="shared" si="6"/>
        <v>119</v>
      </c>
      <c r="BE8" s="15">
        <f t="shared" si="6"/>
        <v>119</v>
      </c>
      <c r="BF8" s="15">
        <f t="shared" si="6"/>
        <v>136</v>
      </c>
      <c r="BG8" s="15">
        <f t="shared" si="6"/>
        <v>119</v>
      </c>
      <c r="BH8" s="15">
        <f t="shared" si="6"/>
        <v>119</v>
      </c>
      <c r="BI8" s="15">
        <f t="shared" si="6"/>
        <v>119</v>
      </c>
      <c r="BJ8" s="15">
        <f t="shared" si="6"/>
        <v>119</v>
      </c>
      <c r="BK8" s="15">
        <f t="shared" si="6"/>
        <v>119</v>
      </c>
      <c r="BL8" s="15">
        <f t="shared" si="6"/>
        <v>0</v>
      </c>
      <c r="BM8" s="15">
        <f t="shared" si="6"/>
        <v>153</v>
      </c>
      <c r="BN8" s="15">
        <f t="shared" si="6"/>
        <v>170</v>
      </c>
      <c r="BO8" s="15">
        <f t="shared" si="6"/>
        <v>119</v>
      </c>
      <c r="BP8" s="15">
        <f t="shared" si="6"/>
        <v>119</v>
      </c>
      <c r="BQ8" s="15">
        <f t="shared" ref="BQ8:CS8" si="7">SUM(BQ14:BQ1972)</f>
        <v>153</v>
      </c>
      <c r="BR8" s="15">
        <f t="shared" si="7"/>
        <v>119</v>
      </c>
      <c r="BS8" s="15">
        <f t="shared" si="7"/>
        <v>119</v>
      </c>
      <c r="BT8" s="15">
        <f t="shared" si="7"/>
        <v>119</v>
      </c>
      <c r="BU8" s="15">
        <f t="shared" si="7"/>
        <v>119</v>
      </c>
      <c r="BV8" s="15">
        <f t="shared" si="7"/>
        <v>119</v>
      </c>
      <c r="BW8" s="15">
        <f t="shared" si="7"/>
        <v>119</v>
      </c>
      <c r="BX8" s="15">
        <f t="shared" si="7"/>
        <v>136</v>
      </c>
      <c r="BY8" s="15">
        <f t="shared" si="7"/>
        <v>119</v>
      </c>
      <c r="BZ8" s="15">
        <f t="shared" si="7"/>
        <v>119</v>
      </c>
      <c r="CA8" s="15">
        <f t="shared" si="7"/>
        <v>119</v>
      </c>
      <c r="CB8" s="15">
        <f t="shared" si="7"/>
        <v>119</v>
      </c>
      <c r="CC8" s="15">
        <f t="shared" si="7"/>
        <v>119</v>
      </c>
      <c r="CD8" s="15">
        <f t="shared" si="7"/>
        <v>119</v>
      </c>
      <c r="CE8" s="15">
        <f t="shared" si="7"/>
        <v>119</v>
      </c>
      <c r="CF8" s="15">
        <f t="shared" si="7"/>
        <v>119</v>
      </c>
      <c r="CG8" s="15">
        <f t="shared" si="7"/>
        <v>119</v>
      </c>
      <c r="CH8" s="15">
        <f t="shared" si="7"/>
        <v>119</v>
      </c>
      <c r="CI8" s="15">
        <f t="shared" si="7"/>
        <v>119</v>
      </c>
      <c r="CJ8" s="15">
        <f t="shared" si="7"/>
        <v>119</v>
      </c>
      <c r="CK8" s="15">
        <f t="shared" si="7"/>
        <v>119</v>
      </c>
      <c r="CL8" s="15">
        <f t="shared" si="7"/>
        <v>119</v>
      </c>
      <c r="CM8" s="15">
        <f t="shared" si="7"/>
        <v>119</v>
      </c>
      <c r="CN8" s="15">
        <f t="shared" si="7"/>
        <v>119</v>
      </c>
      <c r="CO8" s="15">
        <f t="shared" si="7"/>
        <v>0</v>
      </c>
      <c r="CP8" s="15">
        <f t="shared" si="7"/>
        <v>0</v>
      </c>
      <c r="CQ8" s="15">
        <f t="shared" si="7"/>
        <v>0</v>
      </c>
      <c r="CR8" s="15">
        <f t="shared" si="7"/>
        <v>0</v>
      </c>
      <c r="CS8" s="15">
        <f t="shared" si="7"/>
        <v>0</v>
      </c>
    </row>
    <row r="9" spans="1:103" s="18" customFormat="1" ht="16.5" customHeight="1" x14ac:dyDescent="0.25">
      <c r="A9" s="12"/>
      <c r="B9" s="100" t="s">
        <v>4</v>
      </c>
      <c r="C9" s="101"/>
      <c r="D9" s="101"/>
      <c r="E9" s="101"/>
      <c r="F9" s="101"/>
      <c r="G9" s="101"/>
      <c r="H9" s="101"/>
      <c r="I9" s="101"/>
      <c r="J9" s="17">
        <f t="shared" ref="J9:AO9" si="8">COUNTIF(J14:J1972,"T")</f>
        <v>7</v>
      </c>
      <c r="K9" s="17">
        <f t="shared" si="8"/>
        <v>7</v>
      </c>
      <c r="L9" s="17">
        <f t="shared" si="8"/>
        <v>7</v>
      </c>
      <c r="M9" s="17">
        <f t="shared" si="8"/>
        <v>7</v>
      </c>
      <c r="N9" s="17">
        <f t="shared" si="8"/>
        <v>7</v>
      </c>
      <c r="O9" s="17">
        <f t="shared" si="8"/>
        <v>7</v>
      </c>
      <c r="P9" s="17">
        <f t="shared" si="8"/>
        <v>7</v>
      </c>
      <c r="Q9" s="17">
        <f t="shared" si="8"/>
        <v>7</v>
      </c>
      <c r="R9" s="17">
        <f t="shared" si="8"/>
        <v>7</v>
      </c>
      <c r="S9" s="17">
        <f t="shared" si="8"/>
        <v>7</v>
      </c>
      <c r="T9" s="17">
        <f t="shared" si="8"/>
        <v>7</v>
      </c>
      <c r="U9" s="17">
        <f t="shared" si="8"/>
        <v>7</v>
      </c>
      <c r="V9" s="17">
        <f t="shared" si="8"/>
        <v>7</v>
      </c>
      <c r="W9" s="17">
        <f t="shared" si="8"/>
        <v>7</v>
      </c>
      <c r="X9" s="17">
        <f t="shared" si="8"/>
        <v>8</v>
      </c>
      <c r="Y9" s="17">
        <f t="shared" si="8"/>
        <v>7</v>
      </c>
      <c r="Z9" s="17">
        <f t="shared" si="8"/>
        <v>7</v>
      </c>
      <c r="AA9" s="17">
        <f t="shared" si="8"/>
        <v>9</v>
      </c>
      <c r="AB9" s="17">
        <f t="shared" si="8"/>
        <v>7</v>
      </c>
      <c r="AC9" s="17">
        <f t="shared" si="8"/>
        <v>7</v>
      </c>
      <c r="AD9" s="17">
        <f t="shared" si="8"/>
        <v>7</v>
      </c>
      <c r="AE9" s="17">
        <f t="shared" si="8"/>
        <v>7</v>
      </c>
      <c r="AF9" s="17">
        <f t="shared" si="8"/>
        <v>7</v>
      </c>
      <c r="AG9" s="17">
        <f t="shared" si="8"/>
        <v>7</v>
      </c>
      <c r="AH9" s="17">
        <f t="shared" si="8"/>
        <v>7</v>
      </c>
      <c r="AI9" s="17">
        <f t="shared" si="8"/>
        <v>8</v>
      </c>
      <c r="AJ9" s="17">
        <f t="shared" si="8"/>
        <v>7</v>
      </c>
      <c r="AK9" s="17">
        <f t="shared" si="8"/>
        <v>7</v>
      </c>
      <c r="AL9" s="17">
        <f t="shared" si="8"/>
        <v>7</v>
      </c>
      <c r="AM9" s="17">
        <f t="shared" si="8"/>
        <v>7</v>
      </c>
      <c r="AN9" s="17">
        <f t="shared" si="8"/>
        <v>7</v>
      </c>
      <c r="AO9" s="17">
        <f t="shared" si="8"/>
        <v>0</v>
      </c>
      <c r="AP9" s="17">
        <f t="shared" ref="AP9:BP9" si="9">COUNTIF(AP14:AP1972,"T")</f>
        <v>9</v>
      </c>
      <c r="AQ9" s="17">
        <f t="shared" si="9"/>
        <v>10</v>
      </c>
      <c r="AR9" s="17">
        <f t="shared" si="9"/>
        <v>7</v>
      </c>
      <c r="AS9" s="17">
        <f t="shared" si="9"/>
        <v>7</v>
      </c>
      <c r="AT9" s="17">
        <f t="shared" si="9"/>
        <v>9</v>
      </c>
      <c r="AU9" s="17">
        <f t="shared" si="9"/>
        <v>7</v>
      </c>
      <c r="AV9" s="17">
        <f t="shared" si="9"/>
        <v>7</v>
      </c>
      <c r="AW9" s="17">
        <f t="shared" si="9"/>
        <v>7</v>
      </c>
      <c r="AX9" s="17">
        <f t="shared" si="9"/>
        <v>7</v>
      </c>
      <c r="AY9" s="17">
        <f t="shared" si="9"/>
        <v>7</v>
      </c>
      <c r="AZ9" s="17">
        <f t="shared" si="9"/>
        <v>7</v>
      </c>
      <c r="BA9" s="17">
        <f t="shared" si="9"/>
        <v>8</v>
      </c>
      <c r="BB9" s="17">
        <f t="shared" si="9"/>
        <v>7</v>
      </c>
      <c r="BC9" s="17">
        <f t="shared" si="9"/>
        <v>7</v>
      </c>
      <c r="BD9" s="17">
        <f t="shared" si="9"/>
        <v>7</v>
      </c>
      <c r="BE9" s="17">
        <f t="shared" si="9"/>
        <v>7</v>
      </c>
      <c r="BF9" s="17">
        <f t="shared" si="9"/>
        <v>7</v>
      </c>
      <c r="BG9" s="17">
        <f t="shared" si="9"/>
        <v>7</v>
      </c>
      <c r="BH9" s="17">
        <f t="shared" si="9"/>
        <v>7</v>
      </c>
      <c r="BI9" s="17">
        <f t="shared" si="9"/>
        <v>7</v>
      </c>
      <c r="BJ9" s="17">
        <f t="shared" si="9"/>
        <v>7</v>
      </c>
      <c r="BK9" s="17">
        <f t="shared" si="9"/>
        <v>7</v>
      </c>
      <c r="BL9" s="17">
        <f t="shared" si="9"/>
        <v>7</v>
      </c>
      <c r="BM9" s="17">
        <f t="shared" si="9"/>
        <v>7</v>
      </c>
      <c r="BN9" s="17">
        <f t="shared" si="9"/>
        <v>7</v>
      </c>
      <c r="BO9" s="17">
        <f t="shared" si="9"/>
        <v>7</v>
      </c>
      <c r="BP9" s="17">
        <f t="shared" si="9"/>
        <v>7</v>
      </c>
      <c r="BQ9" s="17">
        <f t="shared" ref="BQ9:CS9" si="10">COUNTIF(BQ14:BQ1972,"T")</f>
        <v>7</v>
      </c>
      <c r="BR9" s="17">
        <f t="shared" si="10"/>
        <v>0</v>
      </c>
      <c r="BS9" s="17">
        <f t="shared" si="10"/>
        <v>0</v>
      </c>
      <c r="BT9" s="17">
        <f t="shared" si="10"/>
        <v>0</v>
      </c>
      <c r="BU9" s="17">
        <f t="shared" si="10"/>
        <v>0</v>
      </c>
      <c r="BV9" s="17">
        <f t="shared" si="10"/>
        <v>0</v>
      </c>
      <c r="BW9" s="17">
        <f t="shared" si="10"/>
        <v>0</v>
      </c>
      <c r="BX9" s="17">
        <f t="shared" si="10"/>
        <v>0</v>
      </c>
      <c r="BY9" s="17">
        <f t="shared" si="10"/>
        <v>0</v>
      </c>
      <c r="BZ9" s="17">
        <f t="shared" si="10"/>
        <v>0</v>
      </c>
      <c r="CA9" s="17">
        <f t="shared" si="10"/>
        <v>0</v>
      </c>
      <c r="CB9" s="17">
        <f t="shared" si="10"/>
        <v>0</v>
      </c>
      <c r="CC9" s="17">
        <f t="shared" si="10"/>
        <v>0</v>
      </c>
      <c r="CD9" s="17">
        <f t="shared" si="10"/>
        <v>0</v>
      </c>
      <c r="CE9" s="17">
        <f t="shared" si="10"/>
        <v>0</v>
      </c>
      <c r="CF9" s="17">
        <f t="shared" si="10"/>
        <v>0</v>
      </c>
      <c r="CG9" s="17">
        <f t="shared" si="10"/>
        <v>0</v>
      </c>
      <c r="CH9" s="17">
        <f t="shared" si="10"/>
        <v>0</v>
      </c>
      <c r="CI9" s="17">
        <f t="shared" si="10"/>
        <v>0</v>
      </c>
      <c r="CJ9" s="17">
        <f t="shared" si="10"/>
        <v>0</v>
      </c>
      <c r="CK9" s="17">
        <f t="shared" si="10"/>
        <v>0</v>
      </c>
      <c r="CL9" s="17">
        <f t="shared" si="10"/>
        <v>0</v>
      </c>
      <c r="CM9" s="17">
        <f t="shared" si="10"/>
        <v>0</v>
      </c>
      <c r="CN9" s="17">
        <f t="shared" si="10"/>
        <v>0</v>
      </c>
      <c r="CO9" s="17">
        <f t="shared" si="10"/>
        <v>0</v>
      </c>
      <c r="CP9" s="17">
        <f t="shared" si="10"/>
        <v>0</v>
      </c>
      <c r="CQ9" s="17">
        <f t="shared" si="10"/>
        <v>0</v>
      </c>
      <c r="CR9" s="17">
        <f t="shared" si="10"/>
        <v>0</v>
      </c>
      <c r="CS9" s="17">
        <f t="shared" si="10"/>
        <v>0</v>
      </c>
    </row>
    <row r="10" spans="1:103" s="20" customFormat="1" ht="16.5" customHeight="1" x14ac:dyDescent="0.25">
      <c r="A10" s="12"/>
      <c r="B10" s="102" t="s">
        <v>5</v>
      </c>
      <c r="C10" s="103"/>
      <c r="D10" s="103"/>
      <c r="E10" s="103"/>
      <c r="F10" s="103"/>
      <c r="G10" s="103"/>
      <c r="H10" s="103"/>
      <c r="I10" s="103"/>
      <c r="J10" s="19">
        <f t="shared" ref="J10:AO10" si="11">COUNTIF(J14:J1972,"P1")+COUNTIF(J14:J1972,"P2")+COUNTIF(J14:J1972,"P3")</f>
        <v>0</v>
      </c>
      <c r="K10" s="19">
        <f t="shared" si="11"/>
        <v>0</v>
      </c>
      <c r="L10" s="19">
        <f t="shared" si="11"/>
        <v>0</v>
      </c>
      <c r="M10" s="19">
        <f t="shared" si="11"/>
        <v>0</v>
      </c>
      <c r="N10" s="19">
        <f t="shared" si="11"/>
        <v>0</v>
      </c>
      <c r="O10" s="19">
        <f t="shared" si="11"/>
        <v>0</v>
      </c>
      <c r="P10" s="19">
        <f t="shared" si="11"/>
        <v>0</v>
      </c>
      <c r="Q10" s="19">
        <f t="shared" si="11"/>
        <v>7</v>
      </c>
      <c r="R10" s="19">
        <f t="shared" si="11"/>
        <v>7</v>
      </c>
      <c r="S10" s="19">
        <f t="shared" si="11"/>
        <v>7</v>
      </c>
      <c r="T10" s="19">
        <f t="shared" si="11"/>
        <v>7</v>
      </c>
      <c r="U10" s="19">
        <f t="shared" si="11"/>
        <v>7</v>
      </c>
      <c r="V10" s="19">
        <f t="shared" si="11"/>
        <v>7</v>
      </c>
      <c r="W10" s="19">
        <f t="shared" si="11"/>
        <v>7</v>
      </c>
      <c r="X10" s="19">
        <f t="shared" si="11"/>
        <v>14</v>
      </c>
      <c r="Y10" s="19">
        <f t="shared" si="11"/>
        <v>14</v>
      </c>
      <c r="Z10" s="19">
        <f t="shared" si="11"/>
        <v>14</v>
      </c>
      <c r="AA10" s="19">
        <f t="shared" si="11"/>
        <v>14</v>
      </c>
      <c r="AB10" s="19">
        <f t="shared" si="11"/>
        <v>14</v>
      </c>
      <c r="AC10" s="19">
        <f t="shared" si="11"/>
        <v>14</v>
      </c>
      <c r="AD10" s="19">
        <f t="shared" si="11"/>
        <v>21</v>
      </c>
      <c r="AE10" s="19">
        <f t="shared" si="11"/>
        <v>22</v>
      </c>
      <c r="AF10" s="19">
        <f t="shared" si="11"/>
        <v>21</v>
      </c>
      <c r="AG10" s="19">
        <f t="shared" si="11"/>
        <v>21</v>
      </c>
      <c r="AH10" s="19">
        <f t="shared" si="11"/>
        <v>23</v>
      </c>
      <c r="AI10" s="19">
        <f t="shared" si="11"/>
        <v>21</v>
      </c>
      <c r="AJ10" s="19">
        <f t="shared" si="11"/>
        <v>21</v>
      </c>
      <c r="AK10" s="19">
        <f t="shared" si="11"/>
        <v>21</v>
      </c>
      <c r="AL10" s="19">
        <f t="shared" si="11"/>
        <v>22</v>
      </c>
      <c r="AM10" s="19">
        <f t="shared" si="11"/>
        <v>21</v>
      </c>
      <c r="AN10" s="19">
        <f t="shared" si="11"/>
        <v>21</v>
      </c>
      <c r="AO10" s="19">
        <f t="shared" si="11"/>
        <v>23</v>
      </c>
      <c r="AP10" s="19">
        <f t="shared" ref="AP10:BP10" si="12">COUNTIF(AP14:AP1972,"P1")+COUNTIF(AP14:AP1972,"P2")+COUNTIF(AP14:AP1972,"P3")</f>
        <v>22</v>
      </c>
      <c r="AQ10" s="19">
        <f t="shared" si="12"/>
        <v>21</v>
      </c>
      <c r="AR10" s="19">
        <f t="shared" si="12"/>
        <v>22</v>
      </c>
      <c r="AS10" s="19">
        <f t="shared" si="12"/>
        <v>21</v>
      </c>
      <c r="AT10" s="19">
        <f t="shared" si="12"/>
        <v>21</v>
      </c>
      <c r="AU10" s="19">
        <f t="shared" si="12"/>
        <v>23</v>
      </c>
      <c r="AV10" s="19">
        <f t="shared" si="12"/>
        <v>14</v>
      </c>
      <c r="AW10" s="19">
        <f t="shared" si="12"/>
        <v>24</v>
      </c>
      <c r="AX10" s="19">
        <f t="shared" si="12"/>
        <v>24</v>
      </c>
      <c r="AY10" s="19">
        <f t="shared" si="12"/>
        <v>21</v>
      </c>
      <c r="AZ10" s="19">
        <f t="shared" si="12"/>
        <v>21</v>
      </c>
      <c r="BA10" s="19">
        <f t="shared" si="12"/>
        <v>23</v>
      </c>
      <c r="BB10" s="19">
        <f t="shared" si="12"/>
        <v>21</v>
      </c>
      <c r="BC10" s="19">
        <f t="shared" si="12"/>
        <v>15</v>
      </c>
      <c r="BD10" s="19">
        <f t="shared" si="12"/>
        <v>23</v>
      </c>
      <c r="BE10" s="19">
        <f t="shared" si="12"/>
        <v>24</v>
      </c>
      <c r="BF10" s="19">
        <f t="shared" si="12"/>
        <v>21</v>
      </c>
      <c r="BG10" s="19">
        <f t="shared" si="12"/>
        <v>21</v>
      </c>
      <c r="BH10" s="19">
        <f t="shared" si="12"/>
        <v>24</v>
      </c>
      <c r="BI10" s="19">
        <f t="shared" si="12"/>
        <v>14</v>
      </c>
      <c r="BJ10" s="19">
        <f t="shared" si="12"/>
        <v>23</v>
      </c>
      <c r="BK10" s="19">
        <f t="shared" si="12"/>
        <v>24</v>
      </c>
      <c r="BL10" s="19">
        <f t="shared" si="12"/>
        <v>21</v>
      </c>
      <c r="BM10" s="19">
        <f t="shared" si="12"/>
        <v>21</v>
      </c>
      <c r="BN10" s="19">
        <f t="shared" si="12"/>
        <v>23</v>
      </c>
      <c r="BO10" s="19">
        <f t="shared" si="12"/>
        <v>22</v>
      </c>
      <c r="BP10" s="19">
        <f t="shared" si="12"/>
        <v>21</v>
      </c>
      <c r="BQ10" s="19">
        <f t="shared" ref="BQ10:CS10" si="13">COUNTIF(BQ14:BQ1972,"P1")+COUNTIF(BQ14:BQ1972,"P2")+COUNTIF(BQ14:BQ1972,"P3")</f>
        <v>21</v>
      </c>
      <c r="BR10" s="19">
        <f t="shared" si="13"/>
        <v>21</v>
      </c>
      <c r="BS10" s="19">
        <f t="shared" si="13"/>
        <v>21</v>
      </c>
      <c r="BT10" s="19">
        <f t="shared" si="13"/>
        <v>21</v>
      </c>
      <c r="BU10" s="19">
        <f t="shared" si="13"/>
        <v>22</v>
      </c>
      <c r="BV10" s="19">
        <f t="shared" si="13"/>
        <v>21</v>
      </c>
      <c r="BW10" s="19">
        <f t="shared" si="13"/>
        <v>21</v>
      </c>
      <c r="BX10" s="19">
        <f t="shared" si="13"/>
        <v>21</v>
      </c>
      <c r="BY10" s="19">
        <f t="shared" si="13"/>
        <v>14</v>
      </c>
      <c r="BZ10" s="19">
        <f t="shared" si="13"/>
        <v>14</v>
      </c>
      <c r="CA10" s="19">
        <f t="shared" si="13"/>
        <v>14</v>
      </c>
      <c r="CB10" s="19">
        <f t="shared" si="13"/>
        <v>14</v>
      </c>
      <c r="CC10" s="19">
        <f t="shared" si="13"/>
        <v>14</v>
      </c>
      <c r="CD10" s="19">
        <f t="shared" si="13"/>
        <v>14</v>
      </c>
      <c r="CE10" s="19">
        <f t="shared" si="13"/>
        <v>14</v>
      </c>
      <c r="CF10" s="19">
        <f t="shared" si="13"/>
        <v>7</v>
      </c>
      <c r="CG10" s="19">
        <f t="shared" si="13"/>
        <v>7</v>
      </c>
      <c r="CH10" s="19">
        <f t="shared" si="13"/>
        <v>7</v>
      </c>
      <c r="CI10" s="19">
        <f t="shared" si="13"/>
        <v>7</v>
      </c>
      <c r="CJ10" s="19">
        <f t="shared" si="13"/>
        <v>7</v>
      </c>
      <c r="CK10" s="19">
        <f t="shared" si="13"/>
        <v>7</v>
      </c>
      <c r="CL10" s="19">
        <f t="shared" si="13"/>
        <v>0</v>
      </c>
      <c r="CM10" s="19">
        <f t="shared" si="13"/>
        <v>0</v>
      </c>
      <c r="CN10" s="19">
        <f t="shared" si="13"/>
        <v>0</v>
      </c>
      <c r="CO10" s="19">
        <f t="shared" si="13"/>
        <v>0</v>
      </c>
      <c r="CP10" s="19">
        <f t="shared" si="13"/>
        <v>0</v>
      </c>
      <c r="CQ10" s="19">
        <f t="shared" si="13"/>
        <v>0</v>
      </c>
      <c r="CR10" s="19">
        <f t="shared" si="13"/>
        <v>0</v>
      </c>
      <c r="CS10" s="19">
        <f t="shared" si="13"/>
        <v>0</v>
      </c>
    </row>
    <row r="11" spans="1:103" s="22" customFormat="1" ht="16.5" customHeight="1" x14ac:dyDescent="0.25">
      <c r="A11" s="12"/>
      <c r="B11" s="104" t="s">
        <v>6</v>
      </c>
      <c r="C11" s="105"/>
      <c r="D11" s="105"/>
      <c r="E11" s="105"/>
      <c r="F11" s="105"/>
      <c r="G11" s="105"/>
      <c r="H11" s="105"/>
      <c r="I11" s="105"/>
      <c r="J11" s="21">
        <f t="shared" ref="J11:AO11" si="14">COUNTIF(J14:J1972,"C1")+COUNTIF(J14:J1972,"C2")</f>
        <v>0</v>
      </c>
      <c r="K11" s="21">
        <f t="shared" si="14"/>
        <v>0</v>
      </c>
      <c r="L11" s="21">
        <f t="shared" si="14"/>
        <v>0</v>
      </c>
      <c r="M11" s="21">
        <f t="shared" si="14"/>
        <v>0</v>
      </c>
      <c r="N11" s="21">
        <f t="shared" si="14"/>
        <v>0</v>
      </c>
      <c r="O11" s="21">
        <f t="shared" si="14"/>
        <v>0</v>
      </c>
      <c r="P11" s="21">
        <f t="shared" si="14"/>
        <v>0</v>
      </c>
      <c r="Q11" s="21">
        <f t="shared" si="14"/>
        <v>0</v>
      </c>
      <c r="R11" s="21">
        <f t="shared" si="14"/>
        <v>7</v>
      </c>
      <c r="S11" s="21">
        <f t="shared" si="14"/>
        <v>7</v>
      </c>
      <c r="T11" s="21">
        <f t="shared" si="14"/>
        <v>7</v>
      </c>
      <c r="U11" s="21">
        <f t="shared" si="14"/>
        <v>7</v>
      </c>
      <c r="V11" s="21">
        <f t="shared" si="14"/>
        <v>7</v>
      </c>
      <c r="W11" s="21">
        <f t="shared" si="14"/>
        <v>7</v>
      </c>
      <c r="X11" s="21">
        <f t="shared" si="14"/>
        <v>7</v>
      </c>
      <c r="Y11" s="21">
        <f t="shared" si="14"/>
        <v>14</v>
      </c>
      <c r="Z11" s="21">
        <f t="shared" si="14"/>
        <v>14</v>
      </c>
      <c r="AA11" s="21">
        <f t="shared" si="14"/>
        <v>14</v>
      </c>
      <c r="AB11" s="21">
        <f t="shared" si="14"/>
        <v>14</v>
      </c>
      <c r="AC11" s="21">
        <f t="shared" si="14"/>
        <v>14</v>
      </c>
      <c r="AD11" s="21">
        <f t="shared" si="14"/>
        <v>14</v>
      </c>
      <c r="AE11" s="21">
        <f t="shared" si="14"/>
        <v>14</v>
      </c>
      <c r="AF11" s="21">
        <f t="shared" si="14"/>
        <v>15</v>
      </c>
      <c r="AG11" s="21">
        <f t="shared" si="14"/>
        <v>14</v>
      </c>
      <c r="AH11" s="21">
        <f t="shared" si="14"/>
        <v>14</v>
      </c>
      <c r="AI11" s="21">
        <f t="shared" si="14"/>
        <v>16</v>
      </c>
      <c r="AJ11" s="21">
        <f t="shared" si="14"/>
        <v>14</v>
      </c>
      <c r="AK11" s="21">
        <f t="shared" si="14"/>
        <v>14</v>
      </c>
      <c r="AL11" s="21">
        <f t="shared" si="14"/>
        <v>14</v>
      </c>
      <c r="AM11" s="21">
        <f t="shared" si="14"/>
        <v>15</v>
      </c>
      <c r="AN11" s="21">
        <f t="shared" si="14"/>
        <v>14</v>
      </c>
      <c r="AO11" s="21">
        <f t="shared" si="14"/>
        <v>14</v>
      </c>
      <c r="AP11" s="21">
        <f t="shared" ref="AP11:BP11" si="15">COUNTIF(AP14:AP1972,"C1")+COUNTIF(AP14:AP1972,"C2")</f>
        <v>16</v>
      </c>
      <c r="AQ11" s="21">
        <f t="shared" si="15"/>
        <v>15</v>
      </c>
      <c r="AR11" s="21">
        <f t="shared" si="15"/>
        <v>14</v>
      </c>
      <c r="AS11" s="21">
        <f t="shared" si="15"/>
        <v>14</v>
      </c>
      <c r="AT11" s="21">
        <f t="shared" si="15"/>
        <v>14</v>
      </c>
      <c r="AU11" s="21">
        <f t="shared" si="15"/>
        <v>14</v>
      </c>
      <c r="AV11" s="21">
        <f t="shared" si="15"/>
        <v>14</v>
      </c>
      <c r="AW11" s="21">
        <f t="shared" si="15"/>
        <v>7</v>
      </c>
      <c r="AX11" s="21">
        <f t="shared" si="15"/>
        <v>17</v>
      </c>
      <c r="AY11" s="21">
        <f t="shared" si="15"/>
        <v>17</v>
      </c>
      <c r="AZ11" s="21">
        <f t="shared" si="15"/>
        <v>14</v>
      </c>
      <c r="BA11" s="21">
        <f t="shared" si="15"/>
        <v>14</v>
      </c>
      <c r="BB11" s="21">
        <f t="shared" si="15"/>
        <v>16</v>
      </c>
      <c r="BC11" s="21">
        <f t="shared" si="15"/>
        <v>14</v>
      </c>
      <c r="BD11" s="21">
        <f t="shared" si="15"/>
        <v>7</v>
      </c>
      <c r="BE11" s="21">
        <f t="shared" si="15"/>
        <v>16</v>
      </c>
      <c r="BF11" s="21">
        <f t="shared" si="15"/>
        <v>17</v>
      </c>
      <c r="BG11" s="21">
        <f t="shared" si="15"/>
        <v>14</v>
      </c>
      <c r="BH11" s="21">
        <f t="shared" si="15"/>
        <v>14</v>
      </c>
      <c r="BI11" s="21">
        <f t="shared" si="15"/>
        <v>17</v>
      </c>
      <c r="BJ11" s="21">
        <f t="shared" si="15"/>
        <v>14</v>
      </c>
      <c r="BK11" s="21">
        <f t="shared" si="15"/>
        <v>14</v>
      </c>
      <c r="BL11" s="21">
        <f t="shared" si="15"/>
        <v>14</v>
      </c>
      <c r="BM11" s="21">
        <f t="shared" si="15"/>
        <v>14</v>
      </c>
      <c r="BN11" s="21">
        <f t="shared" si="15"/>
        <v>14</v>
      </c>
      <c r="BO11" s="21">
        <f t="shared" si="15"/>
        <v>14</v>
      </c>
      <c r="BP11" s="21">
        <f t="shared" si="15"/>
        <v>15</v>
      </c>
      <c r="BQ11" s="21">
        <f t="shared" ref="BQ11:CS11" si="16">COUNTIF(BQ14:BQ1972,"C1")+COUNTIF(BQ14:BQ1972,"C2")</f>
        <v>14</v>
      </c>
      <c r="BR11" s="21">
        <f t="shared" si="16"/>
        <v>14</v>
      </c>
      <c r="BS11" s="21">
        <f t="shared" si="16"/>
        <v>14</v>
      </c>
      <c r="BT11" s="21">
        <f t="shared" si="16"/>
        <v>14</v>
      </c>
      <c r="BU11" s="21">
        <f t="shared" si="16"/>
        <v>14</v>
      </c>
      <c r="BV11" s="21">
        <f t="shared" si="16"/>
        <v>14</v>
      </c>
      <c r="BW11" s="21">
        <f t="shared" si="16"/>
        <v>14</v>
      </c>
      <c r="BX11" s="21">
        <f t="shared" si="16"/>
        <v>14</v>
      </c>
      <c r="BY11" s="21">
        <f t="shared" si="16"/>
        <v>14</v>
      </c>
      <c r="BZ11" s="21">
        <f t="shared" si="16"/>
        <v>7</v>
      </c>
      <c r="CA11" s="21">
        <f t="shared" si="16"/>
        <v>7</v>
      </c>
      <c r="CB11" s="21">
        <f t="shared" si="16"/>
        <v>7</v>
      </c>
      <c r="CC11" s="21">
        <f t="shared" si="16"/>
        <v>7</v>
      </c>
      <c r="CD11" s="21">
        <f t="shared" si="16"/>
        <v>7</v>
      </c>
      <c r="CE11" s="21">
        <f t="shared" si="16"/>
        <v>7</v>
      </c>
      <c r="CF11" s="21">
        <f t="shared" si="16"/>
        <v>7</v>
      </c>
      <c r="CG11" s="21">
        <f t="shared" si="16"/>
        <v>0</v>
      </c>
      <c r="CH11" s="21">
        <f t="shared" si="16"/>
        <v>0</v>
      </c>
      <c r="CI11" s="21">
        <f t="shared" si="16"/>
        <v>0</v>
      </c>
      <c r="CJ11" s="21">
        <f t="shared" si="16"/>
        <v>0</v>
      </c>
      <c r="CK11" s="21">
        <f t="shared" si="16"/>
        <v>0</v>
      </c>
      <c r="CL11" s="21">
        <f t="shared" si="16"/>
        <v>0</v>
      </c>
      <c r="CM11" s="21">
        <f t="shared" si="16"/>
        <v>0</v>
      </c>
      <c r="CN11" s="21">
        <f t="shared" si="16"/>
        <v>0</v>
      </c>
      <c r="CO11" s="21">
        <f t="shared" si="16"/>
        <v>0</v>
      </c>
      <c r="CP11" s="21">
        <f t="shared" si="16"/>
        <v>0</v>
      </c>
      <c r="CQ11" s="21">
        <f t="shared" si="16"/>
        <v>0</v>
      </c>
      <c r="CR11" s="21">
        <f t="shared" si="16"/>
        <v>0</v>
      </c>
      <c r="CS11" s="21">
        <f t="shared" si="16"/>
        <v>0</v>
      </c>
    </row>
    <row r="12" spans="1:103" s="24" customFormat="1" ht="16.5" hidden="1" customHeight="1" x14ac:dyDescent="0.25">
      <c r="A12" s="12"/>
      <c r="B12" s="95" t="s">
        <v>7</v>
      </c>
      <c r="C12" s="96"/>
      <c r="D12" s="96"/>
      <c r="E12" s="96"/>
      <c r="F12" s="96"/>
      <c r="G12" s="96"/>
      <c r="H12" s="96"/>
      <c r="I12" s="96"/>
      <c r="J12" s="23">
        <f t="shared" ref="J12:AO12" si="17">COUNTIF(J15:J1972,"")</f>
        <v>1951</v>
      </c>
      <c r="K12" s="23">
        <f t="shared" si="17"/>
        <v>1951</v>
      </c>
      <c r="L12" s="23">
        <f t="shared" si="17"/>
        <v>1951</v>
      </c>
      <c r="M12" s="23">
        <f t="shared" si="17"/>
        <v>1951</v>
      </c>
      <c r="N12" s="23">
        <f t="shared" si="17"/>
        <v>1951</v>
      </c>
      <c r="O12" s="23">
        <f t="shared" si="17"/>
        <v>1951</v>
      </c>
      <c r="P12" s="23">
        <f t="shared" si="17"/>
        <v>1951</v>
      </c>
      <c r="Q12" s="23">
        <f t="shared" si="17"/>
        <v>1944</v>
      </c>
      <c r="R12" s="23">
        <f t="shared" si="17"/>
        <v>1937</v>
      </c>
      <c r="S12" s="23">
        <f t="shared" si="17"/>
        <v>1937</v>
      </c>
      <c r="T12" s="23">
        <f t="shared" si="17"/>
        <v>1937</v>
      </c>
      <c r="U12" s="23">
        <f t="shared" si="17"/>
        <v>1937</v>
      </c>
      <c r="V12" s="23">
        <f t="shared" si="17"/>
        <v>1937</v>
      </c>
      <c r="W12" s="23">
        <f t="shared" si="17"/>
        <v>1937</v>
      </c>
      <c r="X12" s="23">
        <f t="shared" si="17"/>
        <v>1929</v>
      </c>
      <c r="Y12" s="23">
        <f t="shared" si="17"/>
        <v>1923</v>
      </c>
      <c r="Z12" s="23">
        <f t="shared" si="17"/>
        <v>1923</v>
      </c>
      <c r="AA12" s="23">
        <f t="shared" si="17"/>
        <v>1921</v>
      </c>
      <c r="AB12" s="23">
        <f t="shared" si="17"/>
        <v>1923</v>
      </c>
      <c r="AC12" s="23">
        <f t="shared" si="17"/>
        <v>1924</v>
      </c>
      <c r="AD12" s="23">
        <f t="shared" si="17"/>
        <v>1916</v>
      </c>
      <c r="AE12" s="23">
        <f t="shared" si="17"/>
        <v>1915</v>
      </c>
      <c r="AF12" s="23">
        <f t="shared" si="17"/>
        <v>1915</v>
      </c>
      <c r="AG12" s="23">
        <f t="shared" si="17"/>
        <v>1909</v>
      </c>
      <c r="AH12" s="23">
        <f t="shared" si="17"/>
        <v>1907</v>
      </c>
      <c r="AI12" s="23">
        <f t="shared" si="17"/>
        <v>1906</v>
      </c>
      <c r="AJ12" s="23">
        <f t="shared" si="17"/>
        <v>1910</v>
      </c>
      <c r="AK12" s="23">
        <f t="shared" si="17"/>
        <v>1910</v>
      </c>
      <c r="AL12" s="23">
        <f t="shared" si="17"/>
        <v>1908</v>
      </c>
      <c r="AM12" s="23">
        <f t="shared" si="17"/>
        <v>1908</v>
      </c>
      <c r="AN12" s="23">
        <f t="shared" si="17"/>
        <v>1909</v>
      </c>
      <c r="AO12" s="23">
        <f t="shared" si="17"/>
        <v>1914</v>
      </c>
      <c r="AP12" s="23">
        <f t="shared" ref="AP12:BQ12" si="18">COUNTIF(AP15:AP1972,"")</f>
        <v>1904</v>
      </c>
      <c r="AQ12" s="23">
        <f t="shared" si="18"/>
        <v>1906</v>
      </c>
      <c r="AR12" s="23">
        <f t="shared" si="18"/>
        <v>1909</v>
      </c>
      <c r="AS12" s="23">
        <f t="shared" si="18"/>
        <v>1909</v>
      </c>
      <c r="AT12" s="23">
        <f t="shared" si="18"/>
        <v>1907</v>
      </c>
      <c r="AU12" s="23">
        <f t="shared" si="18"/>
        <v>1906</v>
      </c>
      <c r="AV12" s="23">
        <f t="shared" si="18"/>
        <v>1916</v>
      </c>
      <c r="AW12" s="23">
        <f t="shared" si="18"/>
        <v>1914</v>
      </c>
      <c r="AX12" s="23">
        <f t="shared" si="18"/>
        <v>1901</v>
      </c>
      <c r="AY12" s="23">
        <f t="shared" si="18"/>
        <v>1906</v>
      </c>
      <c r="AZ12" s="23">
        <f t="shared" si="18"/>
        <v>1910</v>
      </c>
      <c r="BA12" s="23">
        <f t="shared" si="18"/>
        <v>1906</v>
      </c>
      <c r="BB12" s="23">
        <f t="shared" si="18"/>
        <v>1907</v>
      </c>
      <c r="BC12" s="23">
        <f t="shared" si="18"/>
        <v>1915</v>
      </c>
      <c r="BD12" s="23">
        <f t="shared" si="18"/>
        <v>1914</v>
      </c>
      <c r="BE12" s="23">
        <f t="shared" si="18"/>
        <v>1905</v>
      </c>
      <c r="BF12" s="23">
        <f t="shared" si="18"/>
        <v>1905</v>
      </c>
      <c r="BG12" s="23">
        <f t="shared" si="18"/>
        <v>1909</v>
      </c>
      <c r="BH12" s="23">
        <f t="shared" si="18"/>
        <v>1906</v>
      </c>
      <c r="BI12" s="23">
        <f t="shared" si="18"/>
        <v>1913</v>
      </c>
      <c r="BJ12" s="23">
        <f t="shared" si="18"/>
        <v>1907</v>
      </c>
      <c r="BK12" s="23">
        <f t="shared" si="18"/>
        <v>1906</v>
      </c>
      <c r="BL12" s="23">
        <f t="shared" si="18"/>
        <v>1917</v>
      </c>
      <c r="BM12" s="23">
        <f t="shared" si="18"/>
        <v>1908</v>
      </c>
      <c r="BN12" s="23">
        <f t="shared" si="18"/>
        <v>1904</v>
      </c>
      <c r="BO12" s="23">
        <f t="shared" si="18"/>
        <v>1908</v>
      </c>
      <c r="BP12" s="23">
        <f t="shared" si="18"/>
        <v>1908</v>
      </c>
      <c r="BQ12" s="23">
        <f t="shared" si="18"/>
        <v>1907</v>
      </c>
      <c r="BR12" s="23">
        <f>COUNTIF(BR33:BR1972,"")</f>
        <v>1898</v>
      </c>
      <c r="BS12" s="23">
        <f>COUNTIF(BS28:BS1972,"")</f>
        <v>1910</v>
      </c>
    </row>
    <row r="13" spans="1:103" s="24" customFormat="1" ht="16.5" customHeight="1" x14ac:dyDescent="0.25">
      <c r="A13" s="12"/>
      <c r="B13" s="12"/>
      <c r="C13" s="12"/>
      <c r="D13" s="12"/>
      <c r="E13" s="12"/>
      <c r="F13" s="12"/>
      <c r="G13" s="12"/>
      <c r="H13" s="12"/>
      <c r="I13" s="12"/>
    </row>
    <row r="14" spans="1:103" s="34" customFormat="1" ht="16.5" customHeight="1" x14ac:dyDescent="0.25">
      <c r="A14" s="25" t="s">
        <v>8</v>
      </c>
      <c r="B14" s="25" t="s">
        <v>214</v>
      </c>
      <c r="C14" s="25" t="s">
        <v>359</v>
      </c>
      <c r="D14" s="25">
        <v>1</v>
      </c>
      <c r="E14" s="35" cm="1">
        <f t="array" ref="E14">IFERROR(INDEX($J$5:$AVX$5, _xlfn.AGGREGATE(15,6, COLUMN(J14:AVX14)-COLUMN(J14)+1 / (J14:AVX14="T"), F14)), "")</f>
        <v>46009</v>
      </c>
      <c r="F14" s="76">
        <f t="shared" ref="F14:F77" si="19">$A$2</f>
        <v>2</v>
      </c>
      <c r="G14" s="35" cm="1">
        <f t="array" ref="G14">IFERROR(INDEX($J$5:$AVW$5,_xlfn.AGGREGATE(14,6,(COLUMN($J14:$AVW14)-COLUMN($J14)+1)/($J14:$AVW14="T"),1)),"")</f>
        <v>46009</v>
      </c>
      <c r="H14" s="79">
        <f t="shared" ref="H14:H77" si="20">COUNTIF($J14:$AVV14,"T")</f>
        <v>2</v>
      </c>
      <c r="I14" s="26" t="s">
        <v>10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25" t="s">
        <v>12</v>
      </c>
      <c r="AD14" s="27"/>
      <c r="AE14" s="27"/>
      <c r="AF14" s="27"/>
      <c r="AG14" s="28"/>
      <c r="AH14" s="27"/>
      <c r="AI14" s="27"/>
      <c r="AJ14" s="29" t="s">
        <v>16</v>
      </c>
      <c r="AK14" s="30" t="s">
        <v>13</v>
      </c>
      <c r="AL14" s="27"/>
      <c r="AM14" s="27"/>
      <c r="AN14" s="28"/>
      <c r="AO14" s="27"/>
      <c r="AP14" s="27"/>
      <c r="AQ14" s="32" t="s">
        <v>14</v>
      </c>
      <c r="AR14" s="30" t="s">
        <v>11</v>
      </c>
      <c r="AS14" s="27"/>
      <c r="AT14" s="27"/>
      <c r="AU14" s="28"/>
      <c r="AV14" s="27"/>
      <c r="AW14" s="29" t="s">
        <v>15</v>
      </c>
      <c r="AX14" s="27"/>
      <c r="AY14" s="27"/>
      <c r="AZ14" s="25">
        <v>17</v>
      </c>
      <c r="BA14" s="33"/>
      <c r="BB14" s="33"/>
      <c r="BC14" s="33"/>
      <c r="BD14" s="33"/>
      <c r="BE14" s="25" t="s">
        <v>12</v>
      </c>
      <c r="BF14" s="27"/>
      <c r="BG14" s="27"/>
      <c r="BH14" s="27"/>
      <c r="BI14" s="28"/>
      <c r="BJ14" s="27"/>
      <c r="BK14" s="27"/>
      <c r="BL14" s="29" t="s">
        <v>16</v>
      </c>
      <c r="BM14" s="30" t="s">
        <v>13</v>
      </c>
      <c r="BN14" s="27"/>
      <c r="BO14" s="27"/>
      <c r="BP14" s="28"/>
      <c r="BQ14" s="27"/>
      <c r="BR14" s="27"/>
      <c r="BS14" s="32" t="s">
        <v>14</v>
      </c>
      <c r="BT14" s="30" t="s">
        <v>11</v>
      </c>
      <c r="BU14" s="27"/>
      <c r="BV14" s="27"/>
      <c r="BW14" s="28"/>
      <c r="BX14" s="27"/>
      <c r="BY14" s="29" t="s">
        <v>15</v>
      </c>
      <c r="BZ14" s="27"/>
      <c r="CA14" s="27"/>
      <c r="CB14" s="25">
        <v>17</v>
      </c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</row>
    <row r="15" spans="1:103" x14ac:dyDescent="0.25">
      <c r="A15" s="33" t="s">
        <v>8</v>
      </c>
      <c r="B15" s="33" t="s">
        <v>215</v>
      </c>
      <c r="C15" s="25" t="s">
        <v>360</v>
      </c>
      <c r="D15" s="25">
        <v>2</v>
      </c>
      <c r="E15" s="35" cm="1">
        <f t="array" ref="E15">IFERROR(INDEX($J$5:$AVX$5, _xlfn.AGGREGATE(15,6, COLUMN(J15:AVX15)-COLUMN(J15)+1 / (J15:AVX15="T"), F15)), "")</f>
        <v>46009</v>
      </c>
      <c r="F15" s="76">
        <f t="shared" si="19"/>
        <v>2</v>
      </c>
      <c r="G15" s="35" cm="1">
        <f t="array" ref="G15">IFERROR(INDEX($J$5:$AVW$5,_xlfn.AGGREGATE(14,6,(COLUMN($J15:$AVW15)-COLUMN($J15)+1)/($J15:$AVW15="T"),1)),"")</f>
        <v>46009</v>
      </c>
      <c r="H15" s="79">
        <f t="shared" si="20"/>
        <v>2</v>
      </c>
      <c r="I15" s="36" t="s">
        <v>10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25" t="s">
        <v>12</v>
      </c>
      <c r="AD15" s="27"/>
      <c r="AE15" s="27"/>
      <c r="AF15" s="27"/>
      <c r="AG15" s="28"/>
      <c r="AH15" s="27"/>
      <c r="AI15" s="27"/>
      <c r="AJ15" s="29" t="s">
        <v>16</v>
      </c>
      <c r="AK15" s="30" t="s">
        <v>13</v>
      </c>
      <c r="AL15" s="27"/>
      <c r="AM15" s="27"/>
      <c r="AN15" s="28"/>
      <c r="AO15" s="27"/>
      <c r="AP15" s="27"/>
      <c r="AQ15" s="29" t="s">
        <v>14</v>
      </c>
      <c r="AR15" s="30" t="s">
        <v>11</v>
      </c>
      <c r="AS15" s="37"/>
      <c r="AT15" s="27"/>
      <c r="AU15" s="28"/>
      <c r="AV15" s="27"/>
      <c r="AW15" s="29" t="s">
        <v>15</v>
      </c>
      <c r="AX15" s="27"/>
      <c r="AY15" s="27"/>
      <c r="AZ15" s="25">
        <v>17</v>
      </c>
      <c r="BA15" s="33"/>
      <c r="BB15" s="33"/>
      <c r="BC15" s="33"/>
      <c r="BD15" s="33"/>
      <c r="BE15" s="25" t="s">
        <v>12</v>
      </c>
      <c r="BF15" s="27"/>
      <c r="BG15" s="27"/>
      <c r="BH15" s="27"/>
      <c r="BI15" s="28"/>
      <c r="BJ15" s="27"/>
      <c r="BK15" s="27"/>
      <c r="BL15" s="29" t="s">
        <v>16</v>
      </c>
      <c r="BM15" s="30" t="s">
        <v>13</v>
      </c>
      <c r="BN15" s="27"/>
      <c r="BO15" s="27"/>
      <c r="BP15" s="28"/>
      <c r="BQ15" s="27"/>
      <c r="BR15" s="27"/>
      <c r="BS15" s="29" t="s">
        <v>14</v>
      </c>
      <c r="BT15" s="30" t="s">
        <v>11</v>
      </c>
      <c r="BU15" s="37"/>
      <c r="BV15" s="27"/>
      <c r="BW15" s="28"/>
      <c r="BX15" s="27"/>
      <c r="BY15" s="29" t="s">
        <v>15</v>
      </c>
      <c r="BZ15" s="27"/>
      <c r="CA15" s="27"/>
      <c r="CB15" s="25">
        <v>17</v>
      </c>
      <c r="CC15" s="33"/>
      <c r="CD15" s="33"/>
      <c r="CE15" s="33"/>
      <c r="CF15" s="33"/>
      <c r="CG15" s="33"/>
      <c r="CH15" s="33"/>
      <c r="CI15" s="33"/>
      <c r="CJ15" s="33"/>
      <c r="CK15" s="33"/>
      <c r="CL15" s="33"/>
      <c r="CM15" s="33"/>
      <c r="CN15" s="33"/>
      <c r="CO15" s="33"/>
      <c r="CP15" s="33"/>
    </row>
    <row r="16" spans="1:103" x14ac:dyDescent="0.25">
      <c r="A16" s="25" t="s">
        <v>8</v>
      </c>
      <c r="B16" s="25" t="s">
        <v>216</v>
      </c>
      <c r="C16" s="25" t="s">
        <v>361</v>
      </c>
      <c r="D16" s="25">
        <v>3</v>
      </c>
      <c r="E16" s="35" cm="1">
        <f t="array" ref="E16">IFERROR(INDEX($J$5:$AVX$5, _xlfn.AGGREGATE(15,6, COLUMN(J16:AVX16)-COLUMN(J16)+1 / (J16:AVX16="T"), F16)), "")</f>
        <v>46009</v>
      </c>
      <c r="F16" s="76">
        <f t="shared" si="19"/>
        <v>2</v>
      </c>
      <c r="G16" s="35" cm="1">
        <f t="array" ref="G16">IFERROR(INDEX($J$5:$AVW$5,_xlfn.AGGREGATE(14,6,(COLUMN($J16:$AVW16)-COLUMN($J16)+1)/($J16:$AVW16="T"),1)),"")</f>
        <v>46009</v>
      </c>
      <c r="H16" s="79">
        <f t="shared" si="20"/>
        <v>2</v>
      </c>
      <c r="I16" s="38" t="s">
        <v>10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25" t="s">
        <v>12</v>
      </c>
      <c r="AD16" s="27"/>
      <c r="AE16" s="27"/>
      <c r="AF16" s="27"/>
      <c r="AG16" s="28"/>
      <c r="AH16" s="27"/>
      <c r="AI16" s="27"/>
      <c r="AJ16" s="29" t="s">
        <v>16</v>
      </c>
      <c r="AK16" s="30" t="s">
        <v>13</v>
      </c>
      <c r="AL16" s="27"/>
      <c r="AM16" s="27"/>
      <c r="AN16" s="28"/>
      <c r="AO16" s="27"/>
      <c r="AP16" s="27"/>
      <c r="AQ16" s="29" t="s">
        <v>14</v>
      </c>
      <c r="AR16" s="30" t="s">
        <v>11</v>
      </c>
      <c r="AS16" s="37"/>
      <c r="AT16" s="27"/>
      <c r="AU16" s="28"/>
      <c r="AV16" s="27"/>
      <c r="AW16" s="29" t="s">
        <v>15</v>
      </c>
      <c r="AX16" s="27"/>
      <c r="AY16" s="27"/>
      <c r="AZ16" s="25">
        <v>17</v>
      </c>
      <c r="BA16" s="33"/>
      <c r="BB16" s="33"/>
      <c r="BC16" s="33"/>
      <c r="BD16" s="33"/>
      <c r="BE16" s="25" t="s">
        <v>12</v>
      </c>
      <c r="BF16" s="27"/>
      <c r="BG16" s="27"/>
      <c r="BH16" s="27"/>
      <c r="BI16" s="28"/>
      <c r="BJ16" s="27"/>
      <c r="BK16" s="27"/>
      <c r="BL16" s="29" t="s">
        <v>16</v>
      </c>
      <c r="BM16" s="30" t="s">
        <v>13</v>
      </c>
      <c r="BN16" s="27"/>
      <c r="BO16" s="27"/>
      <c r="BP16" s="28"/>
      <c r="BQ16" s="27"/>
      <c r="BR16" s="27"/>
      <c r="BS16" s="29" t="s">
        <v>14</v>
      </c>
      <c r="BT16" s="30" t="s">
        <v>11</v>
      </c>
      <c r="BU16" s="37"/>
      <c r="BV16" s="27"/>
      <c r="BW16" s="28"/>
      <c r="BX16" s="27"/>
      <c r="BY16" s="29" t="s">
        <v>15</v>
      </c>
      <c r="BZ16" s="27"/>
      <c r="CA16" s="27"/>
      <c r="CB16" s="25">
        <v>17</v>
      </c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</row>
    <row r="17" spans="1:94" x14ac:dyDescent="0.25">
      <c r="A17" s="25" t="s">
        <v>8</v>
      </c>
      <c r="B17" s="25" t="s">
        <v>217</v>
      </c>
      <c r="C17" s="25" t="s">
        <v>362</v>
      </c>
      <c r="D17" s="25">
        <v>4</v>
      </c>
      <c r="E17" s="35" cm="1">
        <f t="array" ref="E17">IFERROR(INDEX($J$5:$AVX$5, _xlfn.AGGREGATE(15,6, COLUMN(J17:AVX17)-COLUMN(J17)+1 / (J17:AVX17="T"), F17)), "")</f>
        <v>46009</v>
      </c>
      <c r="F17" s="76">
        <f t="shared" si="19"/>
        <v>2</v>
      </c>
      <c r="G17" s="35" cm="1">
        <f t="array" ref="G17">IFERROR(INDEX($J$5:$AVW$5,_xlfn.AGGREGATE(14,6,(COLUMN($J17:$AVW17)-COLUMN($J17)+1)/($J17:$AVW17="T"),1)),"")</f>
        <v>46009</v>
      </c>
      <c r="H17" s="79">
        <f t="shared" si="20"/>
        <v>2</v>
      </c>
      <c r="I17" s="38" t="s">
        <v>10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25" t="s">
        <v>12</v>
      </c>
      <c r="AD17" s="27"/>
      <c r="AE17" s="27"/>
      <c r="AF17" s="27"/>
      <c r="AG17" s="28"/>
      <c r="AH17" s="27"/>
      <c r="AI17" s="27"/>
      <c r="AJ17" s="29" t="s">
        <v>16</v>
      </c>
      <c r="AK17" s="30" t="s">
        <v>13</v>
      </c>
      <c r="AL17" s="27"/>
      <c r="AM17" s="27"/>
      <c r="AN17" s="28"/>
      <c r="AO17" s="27"/>
      <c r="AP17" s="27"/>
      <c r="AQ17" s="29" t="s">
        <v>14</v>
      </c>
      <c r="AR17" s="30" t="s">
        <v>11</v>
      </c>
      <c r="AS17" s="37"/>
      <c r="AT17" s="27"/>
      <c r="AU17" s="28"/>
      <c r="AV17" s="27"/>
      <c r="AW17" s="29" t="s">
        <v>15</v>
      </c>
      <c r="AX17" s="27"/>
      <c r="AY17" s="27"/>
      <c r="AZ17" s="25">
        <v>17</v>
      </c>
      <c r="BA17" s="33"/>
      <c r="BB17" s="33"/>
      <c r="BC17" s="33"/>
      <c r="BD17" s="33"/>
      <c r="BE17" s="25" t="s">
        <v>12</v>
      </c>
      <c r="BF17" s="27"/>
      <c r="BG17" s="27"/>
      <c r="BH17" s="27"/>
      <c r="BI17" s="28"/>
      <c r="BJ17" s="27"/>
      <c r="BK17" s="27"/>
      <c r="BL17" s="29" t="s">
        <v>16</v>
      </c>
      <c r="BM17" s="30" t="s">
        <v>13</v>
      </c>
      <c r="BN17" s="27"/>
      <c r="BO17" s="27"/>
      <c r="BP17" s="28"/>
      <c r="BQ17" s="27"/>
      <c r="BR17" s="27"/>
      <c r="BS17" s="29" t="s">
        <v>14</v>
      </c>
      <c r="BT17" s="30" t="s">
        <v>11</v>
      </c>
      <c r="BU17" s="37"/>
      <c r="BV17" s="27"/>
      <c r="BW17" s="28"/>
      <c r="BX17" s="27"/>
      <c r="BY17" s="29" t="s">
        <v>15</v>
      </c>
      <c r="BZ17" s="27"/>
      <c r="CA17" s="27"/>
      <c r="CB17" s="25">
        <v>17</v>
      </c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</row>
    <row r="18" spans="1:94" x14ac:dyDescent="0.25">
      <c r="A18" s="25" t="s">
        <v>8</v>
      </c>
      <c r="B18" s="25" t="s">
        <v>218</v>
      </c>
      <c r="C18" s="25" t="s">
        <v>363</v>
      </c>
      <c r="D18" s="25">
        <v>5</v>
      </c>
      <c r="E18" s="35" cm="1">
        <f t="array" ref="E18">IFERROR(INDEX($J$5:$AVX$5, _xlfn.AGGREGATE(15,6, COLUMN(J18:AVX18)-COLUMN(J18)+1 / (J18:AVX18="T"), F18)), "")</f>
        <v>46009</v>
      </c>
      <c r="F18" s="76">
        <f t="shared" si="19"/>
        <v>2</v>
      </c>
      <c r="G18" s="35" cm="1">
        <f t="array" ref="G18">IFERROR(INDEX($J$5:$AVW$5,_xlfn.AGGREGATE(14,6,(COLUMN($J18:$AVW18)-COLUMN($J18)+1)/($J18:$AVW18="T"),1)),"")</f>
        <v>46009</v>
      </c>
      <c r="H18" s="79">
        <f t="shared" si="20"/>
        <v>2</v>
      </c>
      <c r="I18" s="38" t="s">
        <v>10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25" t="s">
        <v>12</v>
      </c>
      <c r="AD18" s="27"/>
      <c r="AE18" s="27"/>
      <c r="AF18" s="27"/>
      <c r="AG18" s="28"/>
      <c r="AH18" s="27"/>
      <c r="AI18" s="27"/>
      <c r="AJ18" s="29" t="s">
        <v>16</v>
      </c>
      <c r="AK18" s="30" t="s">
        <v>13</v>
      </c>
      <c r="AL18" s="27"/>
      <c r="AM18" s="27"/>
      <c r="AN18" s="28"/>
      <c r="AO18" s="27"/>
      <c r="AP18" s="27"/>
      <c r="AQ18" s="29" t="s">
        <v>14</v>
      </c>
      <c r="AR18" s="30" t="s">
        <v>11</v>
      </c>
      <c r="AS18" s="37"/>
      <c r="AT18" s="27"/>
      <c r="AU18" s="28"/>
      <c r="AV18" s="27"/>
      <c r="AW18" s="29" t="s">
        <v>15</v>
      </c>
      <c r="AX18" s="27"/>
      <c r="AY18" s="27"/>
      <c r="AZ18" s="25">
        <v>17</v>
      </c>
      <c r="BA18" s="33"/>
      <c r="BB18" s="33"/>
      <c r="BC18" s="33"/>
      <c r="BD18" s="33"/>
      <c r="BE18" s="25" t="s">
        <v>12</v>
      </c>
      <c r="BF18" s="27"/>
      <c r="BG18" s="27"/>
      <c r="BH18" s="27"/>
      <c r="BI18" s="28"/>
      <c r="BJ18" s="27"/>
      <c r="BK18" s="27"/>
      <c r="BL18" s="29" t="s">
        <v>16</v>
      </c>
      <c r="BM18" s="30" t="s">
        <v>13</v>
      </c>
      <c r="BN18" s="27"/>
      <c r="BO18" s="27"/>
      <c r="BP18" s="28"/>
      <c r="BQ18" s="27"/>
      <c r="BR18" s="27"/>
      <c r="BS18" s="29" t="s">
        <v>14</v>
      </c>
      <c r="BT18" s="30" t="s">
        <v>11</v>
      </c>
      <c r="BU18" s="37"/>
      <c r="BV18" s="27"/>
      <c r="BW18" s="28"/>
      <c r="BX18" s="27"/>
      <c r="BY18" s="29" t="s">
        <v>15</v>
      </c>
      <c r="BZ18" s="27"/>
      <c r="CA18" s="27"/>
      <c r="CB18" s="25">
        <v>17</v>
      </c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</row>
    <row r="19" spans="1:94" x14ac:dyDescent="0.25">
      <c r="A19" s="25" t="s">
        <v>8</v>
      </c>
      <c r="B19" s="25" t="s">
        <v>219</v>
      </c>
      <c r="C19" s="25" t="s">
        <v>364</v>
      </c>
      <c r="D19" s="25">
        <v>6</v>
      </c>
      <c r="E19" s="35" cm="1">
        <f t="array" ref="E19">IFERROR(INDEX($J$5:$AVX$5, _xlfn.AGGREGATE(15,6, COLUMN(J19:AVX19)-COLUMN(J19)+1 / (J19:AVX19="T"), F19)), "")</f>
        <v>46009</v>
      </c>
      <c r="F19" s="76">
        <f t="shared" si="19"/>
        <v>2</v>
      </c>
      <c r="G19" s="35" cm="1">
        <f t="array" ref="G19">IFERROR(INDEX($J$5:$AVW$5,_xlfn.AGGREGATE(14,6,(COLUMN($J19:$AVW19)-COLUMN($J19)+1)/($J19:$AVW19="T"),1)),"")</f>
        <v>46009</v>
      </c>
      <c r="H19" s="79">
        <f t="shared" si="20"/>
        <v>2</v>
      </c>
      <c r="I19" s="38" t="s">
        <v>10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25" t="s">
        <v>12</v>
      </c>
      <c r="AD19" s="27"/>
      <c r="AE19" s="27"/>
      <c r="AF19" s="27"/>
      <c r="AG19" s="28"/>
      <c r="AH19" s="27"/>
      <c r="AI19" s="27"/>
      <c r="AJ19" s="29" t="s">
        <v>16</v>
      </c>
      <c r="AK19" s="30" t="s">
        <v>13</v>
      </c>
      <c r="AL19" s="27"/>
      <c r="AM19" s="27"/>
      <c r="AN19" s="28"/>
      <c r="AO19" s="27"/>
      <c r="AP19" s="27"/>
      <c r="AQ19" s="29" t="s">
        <v>14</v>
      </c>
      <c r="AR19" s="30" t="s">
        <v>11</v>
      </c>
      <c r="AS19" s="37"/>
      <c r="AT19" s="27"/>
      <c r="AU19" s="28"/>
      <c r="AV19" s="27"/>
      <c r="AW19" s="29" t="s">
        <v>15</v>
      </c>
      <c r="AX19" s="27"/>
      <c r="AY19" s="27"/>
      <c r="AZ19" s="25">
        <v>17</v>
      </c>
      <c r="BA19" s="33"/>
      <c r="BB19" s="33"/>
      <c r="BC19" s="33"/>
      <c r="BD19" s="33"/>
      <c r="BE19" s="25" t="s">
        <v>12</v>
      </c>
      <c r="BF19" s="27"/>
      <c r="BG19" s="27"/>
      <c r="BH19" s="27"/>
      <c r="BI19" s="28"/>
      <c r="BJ19" s="27"/>
      <c r="BK19" s="27"/>
      <c r="BL19" s="29" t="s">
        <v>16</v>
      </c>
      <c r="BM19" s="30" t="s">
        <v>13</v>
      </c>
      <c r="BN19" s="27"/>
      <c r="BO19" s="27"/>
      <c r="BP19" s="28"/>
      <c r="BQ19" s="27"/>
      <c r="BR19" s="27"/>
      <c r="BS19" s="29" t="s">
        <v>14</v>
      </c>
      <c r="BT19" s="30" t="s">
        <v>11</v>
      </c>
      <c r="BU19" s="37"/>
      <c r="BV19" s="27"/>
      <c r="BW19" s="28"/>
      <c r="BX19" s="27"/>
      <c r="BY19" s="29" t="s">
        <v>15</v>
      </c>
      <c r="BZ19" s="27"/>
      <c r="CA19" s="27"/>
      <c r="CB19" s="25">
        <v>17</v>
      </c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</row>
    <row r="20" spans="1:94" x14ac:dyDescent="0.25">
      <c r="A20" s="25" t="s">
        <v>8</v>
      </c>
      <c r="B20" s="25" t="s">
        <v>220</v>
      </c>
      <c r="C20" s="25" t="s">
        <v>365</v>
      </c>
      <c r="D20" s="25">
        <v>7</v>
      </c>
      <c r="E20" s="35" cm="1">
        <f t="array" ref="E20">IFERROR(INDEX($J$5:$AVX$5, _xlfn.AGGREGATE(15,6, COLUMN(J20:AVX20)-COLUMN(J20)+1 / (J20:AVX20="T"), F20)), "")</f>
        <v>46009</v>
      </c>
      <c r="F20" s="76">
        <f t="shared" si="19"/>
        <v>2</v>
      </c>
      <c r="G20" s="35" cm="1">
        <f t="array" ref="G20">IFERROR(INDEX($J$5:$AVW$5,_xlfn.AGGREGATE(14,6,(COLUMN($J20:$AVW20)-COLUMN($J20)+1)/($J20:$AVW20="T"),1)),"")</f>
        <v>46009</v>
      </c>
      <c r="H20" s="79">
        <f t="shared" si="20"/>
        <v>2</v>
      </c>
      <c r="I20" s="38" t="s">
        <v>10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25" t="s">
        <v>12</v>
      </c>
      <c r="AD20" s="27"/>
      <c r="AE20" s="27"/>
      <c r="AF20" s="27"/>
      <c r="AG20" s="28"/>
      <c r="AH20" s="27"/>
      <c r="AI20" s="27"/>
      <c r="AJ20" s="29" t="s">
        <v>16</v>
      </c>
      <c r="AK20" s="30" t="s">
        <v>13</v>
      </c>
      <c r="AL20" s="27"/>
      <c r="AM20" s="27"/>
      <c r="AN20" s="28"/>
      <c r="AO20" s="27"/>
      <c r="AP20" s="27"/>
      <c r="AQ20" s="29" t="s">
        <v>14</v>
      </c>
      <c r="AR20" s="30" t="s">
        <v>11</v>
      </c>
      <c r="AS20" s="37"/>
      <c r="AT20" s="27"/>
      <c r="AU20" s="28"/>
      <c r="AV20" s="27"/>
      <c r="AW20" s="29" t="s">
        <v>15</v>
      </c>
      <c r="AX20" s="27"/>
      <c r="AY20" s="27"/>
      <c r="AZ20" s="25">
        <v>17</v>
      </c>
      <c r="BA20" s="33"/>
      <c r="BB20" s="33"/>
      <c r="BC20" s="33"/>
      <c r="BD20" s="33"/>
      <c r="BE20" s="25" t="s">
        <v>12</v>
      </c>
      <c r="BF20" s="27"/>
      <c r="BG20" s="27"/>
      <c r="BH20" s="27"/>
      <c r="BI20" s="28"/>
      <c r="BJ20" s="27"/>
      <c r="BK20" s="27"/>
      <c r="BL20" s="29" t="s">
        <v>16</v>
      </c>
      <c r="BM20" s="30" t="s">
        <v>13</v>
      </c>
      <c r="BN20" s="27"/>
      <c r="BO20" s="27"/>
      <c r="BP20" s="28"/>
      <c r="BQ20" s="27"/>
      <c r="BR20" s="27"/>
      <c r="BS20" s="29" t="s">
        <v>14</v>
      </c>
      <c r="BT20" s="30" t="s">
        <v>11</v>
      </c>
      <c r="BU20" s="37"/>
      <c r="BV20" s="27"/>
      <c r="BW20" s="28"/>
      <c r="BX20" s="27"/>
      <c r="BY20" s="29" t="s">
        <v>15</v>
      </c>
      <c r="BZ20" s="27"/>
      <c r="CA20" s="27"/>
      <c r="CB20" s="25">
        <v>17</v>
      </c>
      <c r="CC20" s="33"/>
      <c r="CD20" s="33"/>
      <c r="CE20" s="33"/>
      <c r="CF20" s="33"/>
      <c r="CG20" s="33"/>
      <c r="CH20" s="33"/>
      <c r="CI20" s="33"/>
      <c r="CJ20" s="33"/>
      <c r="CK20" s="33"/>
      <c r="CL20" s="33"/>
      <c r="CM20" s="33"/>
      <c r="CN20" s="33"/>
      <c r="CO20" s="33"/>
      <c r="CP20" s="33"/>
    </row>
    <row r="21" spans="1:94" x14ac:dyDescent="0.25">
      <c r="A21" s="25" t="s">
        <v>8</v>
      </c>
      <c r="B21" s="25" t="s">
        <v>221</v>
      </c>
      <c r="C21" s="25" t="s">
        <v>366</v>
      </c>
      <c r="D21" s="25">
        <v>8</v>
      </c>
      <c r="E21" s="35" cm="1">
        <f t="array" ref="E21">IFERROR(INDEX($J$5:$AVX$5, _xlfn.AGGREGATE(15,6, COLUMN(J21:AVX21)-COLUMN(J21)+1 / (J21:AVX21="T"), F21)), "")</f>
        <v>46011</v>
      </c>
      <c r="F21" s="76">
        <f t="shared" si="19"/>
        <v>2</v>
      </c>
      <c r="G21" s="35" cm="1">
        <f t="array" ref="G21">IFERROR(INDEX($J$5:$AVW$5,_xlfn.AGGREGATE(14,6,(COLUMN($J21:$AVW21)-COLUMN($J21)+1)/($J21:$AVW21="T"),1)),"")</f>
        <v>46011</v>
      </c>
      <c r="H21" s="79">
        <f t="shared" si="20"/>
        <v>2</v>
      </c>
      <c r="I21" s="38" t="s">
        <v>10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25" t="s">
        <v>12</v>
      </c>
      <c r="AF21" s="27"/>
      <c r="AG21" s="27"/>
      <c r="AH21" s="27"/>
      <c r="AI21" s="28"/>
      <c r="AJ21" s="27"/>
      <c r="AK21" s="27"/>
      <c r="AL21" s="29" t="s">
        <v>16</v>
      </c>
      <c r="AM21" s="30" t="s">
        <v>13</v>
      </c>
      <c r="AN21" s="27"/>
      <c r="AO21" s="27"/>
      <c r="AP21" s="28"/>
      <c r="AQ21" s="27"/>
      <c r="AR21" s="27"/>
      <c r="AS21" s="32" t="s">
        <v>14</v>
      </c>
      <c r="AT21" s="30" t="s">
        <v>11</v>
      </c>
      <c r="AU21" s="27"/>
      <c r="AV21" s="27"/>
      <c r="AW21" s="28"/>
      <c r="AX21" s="27"/>
      <c r="AY21" s="29" t="s">
        <v>15</v>
      </c>
      <c r="AZ21" s="27"/>
      <c r="BA21" s="27"/>
      <c r="BB21" s="25">
        <v>17</v>
      </c>
      <c r="BC21" s="33"/>
      <c r="BD21" s="33"/>
      <c r="BE21" s="33"/>
      <c r="BF21" s="33"/>
      <c r="BG21" s="25" t="s">
        <v>12</v>
      </c>
      <c r="BH21" s="27"/>
      <c r="BI21" s="27"/>
      <c r="BJ21" s="27"/>
      <c r="BK21" s="28"/>
      <c r="BL21" s="27"/>
      <c r="BM21" s="27"/>
      <c r="BN21" s="29" t="s">
        <v>16</v>
      </c>
      <c r="BO21" s="30" t="s">
        <v>13</v>
      </c>
      <c r="BP21" s="27"/>
      <c r="BQ21" s="27"/>
      <c r="BR21" s="28"/>
      <c r="BS21" s="27"/>
      <c r="BT21" s="27"/>
      <c r="BU21" s="32" t="s">
        <v>14</v>
      </c>
      <c r="BV21" s="30" t="s">
        <v>11</v>
      </c>
      <c r="BW21" s="27"/>
      <c r="BX21" s="27"/>
      <c r="BY21" s="28"/>
      <c r="BZ21" s="27"/>
      <c r="CA21" s="29" t="s">
        <v>15</v>
      </c>
      <c r="CB21" s="27"/>
      <c r="CC21" s="27"/>
      <c r="CD21" s="25">
        <v>17</v>
      </c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</row>
    <row r="22" spans="1:94" x14ac:dyDescent="0.25">
      <c r="A22" s="25" t="s">
        <v>8</v>
      </c>
      <c r="B22" s="25" t="s">
        <v>222</v>
      </c>
      <c r="C22" s="25" t="s">
        <v>367</v>
      </c>
      <c r="D22" s="25">
        <v>9</v>
      </c>
      <c r="E22" s="35" cm="1">
        <f t="array" ref="E22">IFERROR(INDEX($J$5:$AVX$5, _xlfn.AGGREGATE(15,6, COLUMN(J22:AVX22)-COLUMN(J22)+1 / (J22:AVX22="T"), F22)), "")</f>
        <v>46011</v>
      </c>
      <c r="F22" s="76">
        <f t="shared" si="19"/>
        <v>2</v>
      </c>
      <c r="G22" s="35" cm="1">
        <f t="array" ref="G22">IFERROR(INDEX($J$5:$AVW$5,_xlfn.AGGREGATE(14,6,(COLUMN($J22:$AVW22)-COLUMN($J22)+1)/($J22:$AVW22="T"),1)),"")</f>
        <v>46011</v>
      </c>
      <c r="H22" s="79">
        <f t="shared" si="20"/>
        <v>2</v>
      </c>
      <c r="I22" s="38" t="s">
        <v>10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25" t="s">
        <v>12</v>
      </c>
      <c r="AF22" s="27"/>
      <c r="AG22" s="27"/>
      <c r="AH22" s="27"/>
      <c r="AI22" s="28"/>
      <c r="AJ22" s="27"/>
      <c r="AK22" s="27"/>
      <c r="AL22" s="29" t="s">
        <v>16</v>
      </c>
      <c r="AM22" s="30" t="s">
        <v>13</v>
      </c>
      <c r="AN22" s="27"/>
      <c r="AO22" s="27"/>
      <c r="AP22" s="28"/>
      <c r="AQ22" s="27"/>
      <c r="AR22" s="27"/>
      <c r="AS22" s="29" t="s">
        <v>14</v>
      </c>
      <c r="AT22" s="30" t="s">
        <v>11</v>
      </c>
      <c r="AU22" s="37"/>
      <c r="AV22" s="27"/>
      <c r="AW22" s="28"/>
      <c r="AX22" s="27"/>
      <c r="AY22" s="29" t="s">
        <v>15</v>
      </c>
      <c r="AZ22" s="27"/>
      <c r="BA22" s="27"/>
      <c r="BB22" s="25">
        <v>17</v>
      </c>
      <c r="BC22" s="33"/>
      <c r="BD22" s="33"/>
      <c r="BE22" s="33"/>
      <c r="BF22" s="33"/>
      <c r="BG22" s="25" t="s">
        <v>12</v>
      </c>
      <c r="BH22" s="27"/>
      <c r="BI22" s="27"/>
      <c r="BJ22" s="27"/>
      <c r="BK22" s="28"/>
      <c r="BL22" s="27"/>
      <c r="BM22" s="27"/>
      <c r="BN22" s="29" t="s">
        <v>16</v>
      </c>
      <c r="BO22" s="30" t="s">
        <v>13</v>
      </c>
      <c r="BP22" s="27"/>
      <c r="BQ22" s="27"/>
      <c r="BR22" s="28"/>
      <c r="BS22" s="27"/>
      <c r="BT22" s="27"/>
      <c r="BU22" s="29" t="s">
        <v>14</v>
      </c>
      <c r="BV22" s="30" t="s">
        <v>11</v>
      </c>
      <c r="BW22" s="37"/>
      <c r="BX22" s="27"/>
      <c r="BY22" s="28"/>
      <c r="BZ22" s="27"/>
      <c r="CA22" s="29" t="s">
        <v>15</v>
      </c>
      <c r="CB22" s="27"/>
      <c r="CC22" s="27"/>
      <c r="CD22" s="25">
        <v>17</v>
      </c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</row>
    <row r="23" spans="1:94" x14ac:dyDescent="0.25">
      <c r="A23" s="25" t="s">
        <v>8</v>
      </c>
      <c r="B23" s="25" t="s">
        <v>223</v>
      </c>
      <c r="C23" s="25" t="s">
        <v>368</v>
      </c>
      <c r="D23" s="25">
        <v>10</v>
      </c>
      <c r="E23" s="35" cm="1">
        <f t="array" ref="E23">IFERROR(INDEX($J$5:$AVX$5, _xlfn.AGGREGATE(15,6, COLUMN(J23:AVX23)-COLUMN(J23)+1 / (J23:AVX23="T"), F23)), "")</f>
        <v>46011</v>
      </c>
      <c r="F23" s="76">
        <f t="shared" si="19"/>
        <v>2</v>
      </c>
      <c r="G23" s="35" cm="1">
        <f t="array" ref="G23">IFERROR(INDEX($J$5:$AVW$5,_xlfn.AGGREGATE(14,6,(COLUMN($J23:$AVW23)-COLUMN($J23)+1)/($J23:$AVW23="T"),1)),"")</f>
        <v>46011</v>
      </c>
      <c r="H23" s="79">
        <f t="shared" si="20"/>
        <v>2</v>
      </c>
      <c r="I23" s="38" t="s">
        <v>10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25" t="s">
        <v>12</v>
      </c>
      <c r="AF23" s="27"/>
      <c r="AG23" s="27"/>
      <c r="AH23" s="27"/>
      <c r="AI23" s="28"/>
      <c r="AJ23" s="27"/>
      <c r="AK23" s="27"/>
      <c r="AL23" s="29" t="s">
        <v>16</v>
      </c>
      <c r="AM23" s="30" t="s">
        <v>13</v>
      </c>
      <c r="AN23" s="27"/>
      <c r="AO23" s="27"/>
      <c r="AP23" s="28"/>
      <c r="AQ23" s="27"/>
      <c r="AR23" s="27"/>
      <c r="AS23" s="29" t="s">
        <v>14</v>
      </c>
      <c r="AT23" s="30" t="s">
        <v>11</v>
      </c>
      <c r="AU23" s="37"/>
      <c r="AV23" s="27"/>
      <c r="AW23" s="28"/>
      <c r="AX23" s="27"/>
      <c r="AY23" s="29" t="s">
        <v>15</v>
      </c>
      <c r="AZ23" s="27"/>
      <c r="BA23" s="27"/>
      <c r="BB23" s="25">
        <v>17</v>
      </c>
      <c r="BC23" s="33"/>
      <c r="BD23" s="33"/>
      <c r="BE23" s="33"/>
      <c r="BF23" s="33"/>
      <c r="BG23" s="25" t="s">
        <v>12</v>
      </c>
      <c r="BH23" s="27"/>
      <c r="BI23" s="27"/>
      <c r="BJ23" s="27"/>
      <c r="BK23" s="28"/>
      <c r="BL23" s="27"/>
      <c r="BM23" s="27"/>
      <c r="BN23" s="29" t="s">
        <v>16</v>
      </c>
      <c r="BO23" s="30" t="s">
        <v>13</v>
      </c>
      <c r="BP23" s="27"/>
      <c r="BQ23" s="27"/>
      <c r="BR23" s="28"/>
      <c r="BS23" s="27"/>
      <c r="BT23" s="27"/>
      <c r="BU23" s="29" t="s">
        <v>14</v>
      </c>
      <c r="BV23" s="30" t="s">
        <v>11</v>
      </c>
      <c r="BW23" s="37"/>
      <c r="BX23" s="27"/>
      <c r="BY23" s="28"/>
      <c r="BZ23" s="27"/>
      <c r="CA23" s="29" t="s">
        <v>15</v>
      </c>
      <c r="CB23" s="27"/>
      <c r="CC23" s="27"/>
      <c r="CD23" s="25">
        <v>17</v>
      </c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</row>
    <row r="24" spans="1:94" x14ac:dyDescent="0.25">
      <c r="A24" s="25" t="s">
        <v>8</v>
      </c>
      <c r="B24" s="25" t="s">
        <v>224</v>
      </c>
      <c r="C24" s="25" t="s">
        <v>369</v>
      </c>
      <c r="D24" s="25">
        <v>11</v>
      </c>
      <c r="E24" s="35" cm="1">
        <f t="array" ref="E24">IFERROR(INDEX($J$5:$AVX$5, _xlfn.AGGREGATE(15,6, COLUMN(J24:AVX24)-COLUMN(J24)+1 / (J24:AVX24="T"), F24)), "")</f>
        <v>46011</v>
      </c>
      <c r="F24" s="76">
        <f t="shared" si="19"/>
        <v>2</v>
      </c>
      <c r="G24" s="35" cm="1">
        <f t="array" ref="G24">IFERROR(INDEX($J$5:$AVW$5,_xlfn.AGGREGATE(14,6,(COLUMN($J24:$AVW24)-COLUMN($J24)+1)/($J24:$AVW24="T"),1)),"")</f>
        <v>46011</v>
      </c>
      <c r="H24" s="79">
        <f t="shared" si="20"/>
        <v>2</v>
      </c>
      <c r="I24" s="38" t="s">
        <v>10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25" t="s">
        <v>12</v>
      </c>
      <c r="AF24" s="27"/>
      <c r="AG24" s="27"/>
      <c r="AH24" s="27"/>
      <c r="AI24" s="28"/>
      <c r="AJ24" s="27"/>
      <c r="AK24" s="27"/>
      <c r="AL24" s="29" t="s">
        <v>16</v>
      </c>
      <c r="AM24" s="30" t="s">
        <v>13</v>
      </c>
      <c r="AN24" s="27"/>
      <c r="AO24" s="27"/>
      <c r="AP24" s="28"/>
      <c r="AQ24" s="27"/>
      <c r="AR24" s="27"/>
      <c r="AS24" s="29" t="s">
        <v>14</v>
      </c>
      <c r="AT24" s="30" t="s">
        <v>11</v>
      </c>
      <c r="AU24" s="37"/>
      <c r="AV24" s="27"/>
      <c r="AW24" s="28"/>
      <c r="AX24" s="27"/>
      <c r="AY24" s="29" t="s">
        <v>15</v>
      </c>
      <c r="AZ24" s="27"/>
      <c r="BA24" s="27"/>
      <c r="BB24" s="25">
        <v>17</v>
      </c>
      <c r="BC24" s="33"/>
      <c r="BD24" s="33"/>
      <c r="BE24" s="33"/>
      <c r="BF24" s="33"/>
      <c r="BG24" s="25" t="s">
        <v>12</v>
      </c>
      <c r="BH24" s="27"/>
      <c r="BI24" s="27"/>
      <c r="BJ24" s="27"/>
      <c r="BK24" s="28"/>
      <c r="BL24" s="27"/>
      <c r="BM24" s="27"/>
      <c r="BN24" s="29" t="s">
        <v>16</v>
      </c>
      <c r="BO24" s="30" t="s">
        <v>13</v>
      </c>
      <c r="BP24" s="27"/>
      <c r="BQ24" s="27"/>
      <c r="BR24" s="28"/>
      <c r="BS24" s="27"/>
      <c r="BT24" s="27"/>
      <c r="BU24" s="29" t="s">
        <v>14</v>
      </c>
      <c r="BV24" s="30" t="s">
        <v>11</v>
      </c>
      <c r="BW24" s="37"/>
      <c r="BX24" s="27"/>
      <c r="BY24" s="28"/>
      <c r="BZ24" s="27"/>
      <c r="CA24" s="29" t="s">
        <v>15</v>
      </c>
      <c r="CB24" s="27"/>
      <c r="CC24" s="27"/>
      <c r="CD24" s="25">
        <v>17</v>
      </c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</row>
    <row r="25" spans="1:94" x14ac:dyDescent="0.25">
      <c r="A25" s="25" t="s">
        <v>8</v>
      </c>
      <c r="B25" s="25" t="s">
        <v>225</v>
      </c>
      <c r="C25" s="25" t="s">
        <v>370</v>
      </c>
      <c r="D25" s="25">
        <v>12</v>
      </c>
      <c r="E25" s="35" cm="1">
        <f t="array" ref="E25">IFERROR(INDEX($J$5:$AVX$5, _xlfn.AGGREGATE(15,6, COLUMN(J25:AVX25)-COLUMN(J25)+1 / (J25:AVX25="T"), F25)), "")</f>
        <v>46011</v>
      </c>
      <c r="F25" s="76">
        <f t="shared" si="19"/>
        <v>2</v>
      </c>
      <c r="G25" s="35" cm="1">
        <f t="array" ref="G25">IFERROR(INDEX($J$5:$AVW$5,_xlfn.AGGREGATE(14,6,(COLUMN($J25:$AVW25)-COLUMN($J25)+1)/($J25:$AVW25="T"),1)),"")</f>
        <v>46011</v>
      </c>
      <c r="H25" s="79">
        <f t="shared" si="20"/>
        <v>2</v>
      </c>
      <c r="I25" s="38" t="s">
        <v>10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25" t="s">
        <v>12</v>
      </c>
      <c r="AF25" s="27"/>
      <c r="AG25" s="27"/>
      <c r="AH25" s="27"/>
      <c r="AI25" s="28"/>
      <c r="AJ25" s="27"/>
      <c r="AK25" s="27"/>
      <c r="AL25" s="29" t="s">
        <v>16</v>
      </c>
      <c r="AM25" s="30" t="s">
        <v>13</v>
      </c>
      <c r="AN25" s="27"/>
      <c r="AO25" s="27"/>
      <c r="AP25" s="28"/>
      <c r="AQ25" s="27"/>
      <c r="AR25" s="27"/>
      <c r="AS25" s="29" t="s">
        <v>14</v>
      </c>
      <c r="AT25" s="30" t="s">
        <v>11</v>
      </c>
      <c r="AU25" s="37"/>
      <c r="AV25" s="27"/>
      <c r="AW25" s="28"/>
      <c r="AX25" s="27"/>
      <c r="AY25" s="29" t="s">
        <v>15</v>
      </c>
      <c r="AZ25" s="27"/>
      <c r="BA25" s="27"/>
      <c r="BB25" s="25">
        <v>17</v>
      </c>
      <c r="BC25" s="33"/>
      <c r="BD25" s="33"/>
      <c r="BE25" s="33"/>
      <c r="BF25" s="33"/>
      <c r="BG25" s="25" t="s">
        <v>12</v>
      </c>
      <c r="BH25" s="27"/>
      <c r="BI25" s="27"/>
      <c r="BJ25" s="27"/>
      <c r="BK25" s="28"/>
      <c r="BL25" s="27"/>
      <c r="BM25" s="27"/>
      <c r="BN25" s="29" t="s">
        <v>16</v>
      </c>
      <c r="BO25" s="30" t="s">
        <v>13</v>
      </c>
      <c r="BP25" s="27"/>
      <c r="BQ25" s="27"/>
      <c r="BR25" s="28"/>
      <c r="BS25" s="27"/>
      <c r="BT25" s="27"/>
      <c r="BU25" s="29" t="s">
        <v>14</v>
      </c>
      <c r="BV25" s="30" t="s">
        <v>11</v>
      </c>
      <c r="BW25" s="37"/>
      <c r="BX25" s="27"/>
      <c r="BY25" s="28"/>
      <c r="BZ25" s="27"/>
      <c r="CA25" s="29" t="s">
        <v>15</v>
      </c>
      <c r="CB25" s="27"/>
      <c r="CC25" s="27"/>
      <c r="CD25" s="25">
        <v>17</v>
      </c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</row>
    <row r="26" spans="1:94" x14ac:dyDescent="0.25">
      <c r="A26" s="25" t="s">
        <v>8</v>
      </c>
      <c r="B26" s="25" t="s">
        <v>226</v>
      </c>
      <c r="C26" s="25" t="s">
        <v>371</v>
      </c>
      <c r="D26" s="25">
        <v>13</v>
      </c>
      <c r="E26" s="35" cm="1">
        <f t="array" ref="E26">IFERROR(INDEX($J$5:$AVX$5, _xlfn.AGGREGATE(15,6, COLUMN(J26:AVX26)-COLUMN(J26)+1 / (J26:AVX26="T"), F26)), "")</f>
        <v>46011</v>
      </c>
      <c r="F26" s="76">
        <f t="shared" si="19"/>
        <v>2</v>
      </c>
      <c r="G26" s="35" cm="1">
        <f t="array" ref="G26">IFERROR(INDEX($J$5:$AVW$5,_xlfn.AGGREGATE(14,6,(COLUMN($J26:$AVW26)-COLUMN($J26)+1)/($J26:$AVW26="T"),1)),"")</f>
        <v>46011</v>
      </c>
      <c r="H26" s="79">
        <f t="shared" si="20"/>
        <v>2</v>
      </c>
      <c r="I26" s="38" t="s">
        <v>10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25" t="s">
        <v>12</v>
      </c>
      <c r="AF26" s="27"/>
      <c r="AG26" s="27"/>
      <c r="AH26" s="27"/>
      <c r="AI26" s="28"/>
      <c r="AJ26" s="27"/>
      <c r="AK26" s="27"/>
      <c r="AL26" s="29" t="s">
        <v>16</v>
      </c>
      <c r="AM26" s="30" t="s">
        <v>13</v>
      </c>
      <c r="AN26" s="27"/>
      <c r="AO26" s="27"/>
      <c r="AP26" s="28"/>
      <c r="AQ26" s="27"/>
      <c r="AR26" s="27"/>
      <c r="AS26" s="29" t="s">
        <v>14</v>
      </c>
      <c r="AT26" s="30" t="s">
        <v>11</v>
      </c>
      <c r="AU26" s="37"/>
      <c r="AV26" s="27"/>
      <c r="AW26" s="28"/>
      <c r="AX26" s="27"/>
      <c r="AY26" s="29" t="s">
        <v>15</v>
      </c>
      <c r="AZ26" s="27"/>
      <c r="BA26" s="27"/>
      <c r="BB26" s="25">
        <v>17</v>
      </c>
      <c r="BC26" s="33"/>
      <c r="BD26" s="33"/>
      <c r="BE26" s="33"/>
      <c r="BF26" s="33"/>
      <c r="BG26" s="25" t="s">
        <v>12</v>
      </c>
      <c r="BH26" s="27"/>
      <c r="BI26" s="27"/>
      <c r="BJ26" s="27"/>
      <c r="BK26" s="28"/>
      <c r="BL26" s="27"/>
      <c r="BM26" s="27"/>
      <c r="BN26" s="29" t="s">
        <v>16</v>
      </c>
      <c r="BO26" s="30" t="s">
        <v>13</v>
      </c>
      <c r="BP26" s="27"/>
      <c r="BQ26" s="27"/>
      <c r="BR26" s="28"/>
      <c r="BS26" s="27"/>
      <c r="BT26" s="27"/>
      <c r="BU26" s="29" t="s">
        <v>14</v>
      </c>
      <c r="BV26" s="30" t="s">
        <v>11</v>
      </c>
      <c r="BW26" s="37"/>
      <c r="BX26" s="27"/>
      <c r="BY26" s="28"/>
      <c r="BZ26" s="27"/>
      <c r="CA26" s="29" t="s">
        <v>15</v>
      </c>
      <c r="CB26" s="27"/>
      <c r="CC26" s="27"/>
      <c r="CD26" s="25">
        <v>17</v>
      </c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</row>
    <row r="27" spans="1:94" s="40" customFormat="1" x14ac:dyDescent="0.25">
      <c r="A27" s="25" t="s">
        <v>8</v>
      </c>
      <c r="B27" s="25" t="s">
        <v>227</v>
      </c>
      <c r="C27" s="25" t="s">
        <v>372</v>
      </c>
      <c r="D27" s="25">
        <v>14</v>
      </c>
      <c r="E27" s="35" cm="1">
        <f t="array" ref="E27">IFERROR(INDEX($J$5:$AVX$5, _xlfn.AGGREGATE(15,6, COLUMN(J27:AVX27)-COLUMN(J27)+1 / (J27:AVX27="T"), F27)), "")</f>
        <v>46011</v>
      </c>
      <c r="F27" s="76">
        <f t="shared" si="19"/>
        <v>2</v>
      </c>
      <c r="G27" s="35" cm="1">
        <f t="array" ref="G27">IFERROR(INDEX($J$5:$AVW$5,_xlfn.AGGREGATE(14,6,(COLUMN($J27:$AVW27)-COLUMN($J27)+1)/($J27:$AVW27="T"),1)),"")</f>
        <v>46011</v>
      </c>
      <c r="H27" s="79">
        <f t="shared" si="20"/>
        <v>2</v>
      </c>
      <c r="I27" s="38" t="s">
        <v>10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25" t="s">
        <v>12</v>
      </c>
      <c r="AF27" s="27"/>
      <c r="AG27" s="27"/>
      <c r="AH27" s="27"/>
      <c r="AI27" s="28"/>
      <c r="AJ27" s="27"/>
      <c r="AK27" s="27"/>
      <c r="AL27" s="29" t="s">
        <v>16</v>
      </c>
      <c r="AM27" s="30" t="s">
        <v>13</v>
      </c>
      <c r="AN27" s="27"/>
      <c r="AO27" s="27"/>
      <c r="AP27" s="28"/>
      <c r="AQ27" s="27"/>
      <c r="AR27" s="27"/>
      <c r="AS27" s="29" t="s">
        <v>14</v>
      </c>
      <c r="AT27" s="30" t="s">
        <v>11</v>
      </c>
      <c r="AU27" s="37"/>
      <c r="AV27" s="27"/>
      <c r="AW27" s="28"/>
      <c r="AX27" s="27"/>
      <c r="AY27" s="29" t="s">
        <v>15</v>
      </c>
      <c r="AZ27" s="27"/>
      <c r="BA27" s="27"/>
      <c r="BB27" s="25">
        <v>17</v>
      </c>
      <c r="BC27" s="33"/>
      <c r="BD27" s="33"/>
      <c r="BE27" s="33"/>
      <c r="BF27" s="33"/>
      <c r="BG27" s="25" t="s">
        <v>12</v>
      </c>
      <c r="BH27" s="27"/>
      <c r="BI27" s="27"/>
      <c r="BJ27" s="27"/>
      <c r="BK27" s="28"/>
      <c r="BL27" s="27"/>
      <c r="BM27" s="27"/>
      <c r="BN27" s="29" t="s">
        <v>16</v>
      </c>
      <c r="BO27" s="30" t="s">
        <v>13</v>
      </c>
      <c r="BP27" s="27"/>
      <c r="BQ27" s="27"/>
      <c r="BR27" s="28"/>
      <c r="BS27" s="27"/>
      <c r="BT27" s="27"/>
      <c r="BU27" s="29" t="s">
        <v>14</v>
      </c>
      <c r="BV27" s="30" t="s">
        <v>11</v>
      </c>
      <c r="BW27" s="37"/>
      <c r="BX27" s="27"/>
      <c r="BY27" s="28"/>
      <c r="BZ27" s="27"/>
      <c r="CA27" s="29" t="s">
        <v>15</v>
      </c>
      <c r="CB27" s="27"/>
      <c r="CC27" s="27"/>
      <c r="CD27" s="25">
        <v>17</v>
      </c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</row>
    <row r="28" spans="1:94" s="40" customFormat="1" x14ac:dyDescent="0.25">
      <c r="A28" s="25" t="s">
        <v>8</v>
      </c>
      <c r="B28" s="25" t="s">
        <v>228</v>
      </c>
      <c r="C28" s="25" t="s">
        <v>373</v>
      </c>
      <c r="D28" s="25">
        <v>15</v>
      </c>
      <c r="E28" s="35" cm="1">
        <f t="array" ref="E28">IFERROR(INDEX($J$5:$AVX$5, _xlfn.AGGREGATE(15,6, COLUMN(J28:AVX28)-COLUMN(J28)+1 / (J28:AVX28="T"), F28)), "")</f>
        <v>46013</v>
      </c>
      <c r="F28" s="76">
        <f t="shared" si="19"/>
        <v>2</v>
      </c>
      <c r="G28" s="35" cm="1">
        <f t="array" ref="G28">IFERROR(INDEX($J$5:$AVW$5,_xlfn.AGGREGATE(14,6,(COLUMN($J28:$AVW28)-COLUMN($J28)+1)/($J28:$AVW28="T"),1)),"")</f>
        <v>46013</v>
      </c>
      <c r="H28" s="79">
        <f t="shared" si="20"/>
        <v>2</v>
      </c>
      <c r="I28" s="38" t="s">
        <v>10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25" t="s">
        <v>12</v>
      </c>
      <c r="AH28" s="27"/>
      <c r="AI28" s="27"/>
      <c r="AJ28" s="27"/>
      <c r="AK28" s="28"/>
      <c r="AL28" s="27"/>
      <c r="AM28" s="27"/>
      <c r="AN28" s="29" t="s">
        <v>16</v>
      </c>
      <c r="AO28" s="30" t="s">
        <v>13</v>
      </c>
      <c r="AP28" s="27"/>
      <c r="AQ28" s="27"/>
      <c r="AR28" s="28"/>
      <c r="AS28" s="27"/>
      <c r="AT28" s="27"/>
      <c r="AU28" s="32" t="s">
        <v>14</v>
      </c>
      <c r="AV28" s="30" t="s">
        <v>11</v>
      </c>
      <c r="AW28" s="27"/>
      <c r="AX28" s="27"/>
      <c r="AY28" s="28"/>
      <c r="AZ28" s="27"/>
      <c r="BA28" s="29" t="s">
        <v>15</v>
      </c>
      <c r="BB28" s="27"/>
      <c r="BC28" s="27"/>
      <c r="BD28" s="25">
        <v>17</v>
      </c>
      <c r="BE28" s="33"/>
      <c r="BF28" s="33"/>
      <c r="BG28" s="33"/>
      <c r="BH28" s="33"/>
      <c r="BI28" s="25" t="s">
        <v>12</v>
      </c>
      <c r="BJ28" s="27"/>
      <c r="BK28" s="27"/>
      <c r="BL28" s="27"/>
      <c r="BM28" s="28"/>
      <c r="BN28" s="27"/>
      <c r="BO28" s="27"/>
      <c r="BP28" s="29" t="s">
        <v>16</v>
      </c>
      <c r="BQ28" s="30" t="s">
        <v>13</v>
      </c>
      <c r="BR28" s="27"/>
      <c r="BS28" s="27"/>
      <c r="BT28" s="28"/>
      <c r="BU28" s="27"/>
      <c r="BV28" s="27"/>
      <c r="BW28" s="29" t="s">
        <v>14</v>
      </c>
      <c r="BX28" s="30" t="s">
        <v>11</v>
      </c>
      <c r="BY28" s="37"/>
      <c r="BZ28" s="27"/>
      <c r="CA28" s="28"/>
      <c r="CB28" s="27"/>
      <c r="CC28" s="29" t="s">
        <v>15</v>
      </c>
      <c r="CD28" s="27"/>
      <c r="CE28" s="27"/>
      <c r="CF28" s="25">
        <v>17</v>
      </c>
      <c r="CG28" s="33"/>
      <c r="CH28" s="33"/>
      <c r="CI28" s="33"/>
      <c r="CJ28" s="33"/>
      <c r="CK28" s="33"/>
      <c r="CL28" s="33"/>
      <c r="CM28" s="33"/>
      <c r="CN28" s="33"/>
      <c r="CO28" s="33"/>
      <c r="CP28" s="33"/>
    </row>
    <row r="29" spans="1:94" x14ac:dyDescent="0.25">
      <c r="A29" s="25" t="s">
        <v>8</v>
      </c>
      <c r="B29" s="25" t="s">
        <v>229</v>
      </c>
      <c r="C29" s="25" t="s">
        <v>374</v>
      </c>
      <c r="D29" s="25">
        <v>16</v>
      </c>
      <c r="E29" s="35" cm="1">
        <f t="array" ref="E29">IFERROR(INDEX($J$5:$AVX$5, _xlfn.AGGREGATE(15,6, COLUMN(J29:AVX29)-COLUMN(J29)+1 / (J29:AVX29="T"), F29)), "")</f>
        <v>46013</v>
      </c>
      <c r="F29" s="76">
        <f t="shared" si="19"/>
        <v>2</v>
      </c>
      <c r="G29" s="35" cm="1">
        <f t="array" ref="G29">IFERROR(INDEX($J$5:$AVW$5,_xlfn.AGGREGATE(14,6,(COLUMN($J29:$AVW29)-COLUMN($J29)+1)/($J29:$AVW29="T"),1)),"")</f>
        <v>46013</v>
      </c>
      <c r="H29" s="79">
        <f t="shared" si="20"/>
        <v>2</v>
      </c>
      <c r="I29" s="38" t="s">
        <v>10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25" t="s">
        <v>12</v>
      </c>
      <c r="AH29" s="27"/>
      <c r="AI29" s="27"/>
      <c r="AJ29" s="27"/>
      <c r="AK29" s="28"/>
      <c r="AL29" s="27"/>
      <c r="AM29" s="27"/>
      <c r="AN29" s="29" t="s">
        <v>16</v>
      </c>
      <c r="AO29" s="30" t="s">
        <v>13</v>
      </c>
      <c r="AP29" s="27"/>
      <c r="AQ29" s="27"/>
      <c r="AR29" s="28"/>
      <c r="AS29" s="27"/>
      <c r="AT29" s="27"/>
      <c r="AU29" s="32" t="s">
        <v>14</v>
      </c>
      <c r="AV29" s="30" t="s">
        <v>11</v>
      </c>
      <c r="AW29" s="27"/>
      <c r="AX29" s="27"/>
      <c r="AY29" s="28"/>
      <c r="AZ29" s="27"/>
      <c r="BA29" s="29" t="s">
        <v>15</v>
      </c>
      <c r="BB29" s="27"/>
      <c r="BC29" s="27"/>
      <c r="BD29" s="25">
        <v>17</v>
      </c>
      <c r="BE29" s="33"/>
      <c r="BF29" s="33"/>
      <c r="BG29" s="33"/>
      <c r="BH29" s="33"/>
      <c r="BI29" s="25" t="s">
        <v>12</v>
      </c>
      <c r="BJ29" s="27"/>
      <c r="BK29" s="27"/>
      <c r="BL29" s="27"/>
      <c r="BM29" s="28"/>
      <c r="BN29" s="27"/>
      <c r="BO29" s="27"/>
      <c r="BP29" s="29" t="s">
        <v>16</v>
      </c>
      <c r="BQ29" s="30" t="s">
        <v>13</v>
      </c>
      <c r="BR29" s="27"/>
      <c r="BS29" s="27"/>
      <c r="BT29" s="28"/>
      <c r="BU29" s="27"/>
      <c r="BV29" s="27"/>
      <c r="BW29" s="29" t="s">
        <v>14</v>
      </c>
      <c r="BX29" s="30" t="s">
        <v>11</v>
      </c>
      <c r="BY29" s="37"/>
      <c r="BZ29" s="27"/>
      <c r="CA29" s="28"/>
      <c r="CB29" s="27"/>
      <c r="CC29" s="29" t="s">
        <v>15</v>
      </c>
      <c r="CD29" s="27"/>
      <c r="CE29" s="27"/>
      <c r="CF29" s="25">
        <v>17</v>
      </c>
      <c r="CG29" s="33"/>
      <c r="CH29" s="33"/>
      <c r="CI29" s="33"/>
      <c r="CJ29" s="33"/>
      <c r="CK29" s="33"/>
      <c r="CL29" s="33"/>
      <c r="CM29" s="33"/>
      <c r="CN29" s="33"/>
      <c r="CO29" s="33"/>
      <c r="CP29" s="33"/>
    </row>
    <row r="30" spans="1:94" x14ac:dyDescent="0.25">
      <c r="A30" s="25" t="s">
        <v>8</v>
      </c>
      <c r="B30" s="25" t="s">
        <v>230</v>
      </c>
      <c r="C30" s="25" t="s">
        <v>375</v>
      </c>
      <c r="D30" s="25">
        <v>17</v>
      </c>
      <c r="E30" s="35" cm="1">
        <f t="array" ref="E30">IFERROR(INDEX($J$5:$AVX$5, _xlfn.AGGREGATE(15,6, COLUMN(J30:AVX30)-COLUMN(J30)+1 / (J30:AVX30="T"), F30)), "")</f>
        <v>46013</v>
      </c>
      <c r="F30" s="76">
        <f t="shared" si="19"/>
        <v>2</v>
      </c>
      <c r="G30" s="35" cm="1">
        <f t="array" ref="G30">IFERROR(INDEX($J$5:$AVW$5,_xlfn.AGGREGATE(14,6,(COLUMN($J30:$AVW30)-COLUMN($J30)+1)/($J30:$AVW30="T"),1)),"")</f>
        <v>46013</v>
      </c>
      <c r="H30" s="79">
        <f t="shared" si="20"/>
        <v>2</v>
      </c>
      <c r="I30" s="38" t="s">
        <v>10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25" t="s">
        <v>12</v>
      </c>
      <c r="AH30" s="27"/>
      <c r="AI30" s="27"/>
      <c r="AJ30" s="27"/>
      <c r="AK30" s="28"/>
      <c r="AL30" s="27"/>
      <c r="AM30" s="27"/>
      <c r="AN30" s="29" t="s">
        <v>16</v>
      </c>
      <c r="AO30" s="30" t="s">
        <v>13</v>
      </c>
      <c r="AP30" s="27"/>
      <c r="AQ30" s="27"/>
      <c r="AR30" s="28"/>
      <c r="AS30" s="27"/>
      <c r="AT30" s="27"/>
      <c r="AU30" s="32" t="s">
        <v>14</v>
      </c>
      <c r="AV30" s="30" t="s">
        <v>11</v>
      </c>
      <c r="AW30" s="27"/>
      <c r="AX30" s="27"/>
      <c r="AY30" s="28"/>
      <c r="AZ30" s="27"/>
      <c r="BA30" s="29" t="s">
        <v>15</v>
      </c>
      <c r="BB30" s="27"/>
      <c r="BC30" s="27"/>
      <c r="BD30" s="25">
        <v>17</v>
      </c>
      <c r="BE30" s="33"/>
      <c r="BF30" s="33"/>
      <c r="BG30" s="33"/>
      <c r="BH30" s="33"/>
      <c r="BI30" s="25" t="s">
        <v>12</v>
      </c>
      <c r="BJ30" s="27"/>
      <c r="BK30" s="27"/>
      <c r="BL30" s="27"/>
      <c r="BM30" s="28"/>
      <c r="BN30" s="27"/>
      <c r="BO30" s="27"/>
      <c r="BP30" s="29" t="s">
        <v>16</v>
      </c>
      <c r="BQ30" s="30" t="s">
        <v>13</v>
      </c>
      <c r="BR30" s="27"/>
      <c r="BS30" s="27"/>
      <c r="BT30" s="28"/>
      <c r="BU30" s="27"/>
      <c r="BV30" s="27"/>
      <c r="BW30" s="29" t="s">
        <v>14</v>
      </c>
      <c r="BX30" s="30" t="s">
        <v>11</v>
      </c>
      <c r="BY30" s="37"/>
      <c r="BZ30" s="27"/>
      <c r="CA30" s="28"/>
      <c r="CB30" s="27"/>
      <c r="CC30" s="29" t="s">
        <v>15</v>
      </c>
      <c r="CD30" s="27"/>
      <c r="CE30" s="27"/>
      <c r="CF30" s="25">
        <v>17</v>
      </c>
      <c r="CG30" s="33"/>
      <c r="CH30" s="33"/>
      <c r="CI30" s="33"/>
      <c r="CJ30" s="33"/>
      <c r="CK30" s="33"/>
      <c r="CL30" s="33"/>
      <c r="CM30" s="33"/>
      <c r="CN30" s="33"/>
      <c r="CO30" s="33"/>
      <c r="CP30" s="33"/>
    </row>
    <row r="31" spans="1:94" x14ac:dyDescent="0.25">
      <c r="A31" s="25" t="s">
        <v>8</v>
      </c>
      <c r="B31" s="25" t="s">
        <v>231</v>
      </c>
      <c r="C31" s="25" t="s">
        <v>376</v>
      </c>
      <c r="D31" s="25">
        <v>18</v>
      </c>
      <c r="E31" s="35" cm="1">
        <f t="array" ref="E31">IFERROR(INDEX($J$5:$AVX$5, _xlfn.AGGREGATE(15,6, COLUMN(J31:AVX31)-COLUMN(J31)+1 / (J31:AVX31="T"), F31)), "")</f>
        <v>46013</v>
      </c>
      <c r="F31" s="76">
        <f t="shared" si="19"/>
        <v>2</v>
      </c>
      <c r="G31" s="35" cm="1">
        <f t="array" ref="G31">IFERROR(INDEX($J$5:$AVW$5,_xlfn.AGGREGATE(14,6,(COLUMN($J31:$AVW31)-COLUMN($J31)+1)/($J31:$AVW31="T"),1)),"")</f>
        <v>46013</v>
      </c>
      <c r="H31" s="79">
        <f t="shared" si="20"/>
        <v>2</v>
      </c>
      <c r="I31" s="38" t="s">
        <v>10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25" t="s">
        <v>12</v>
      </c>
      <c r="AH31" s="27"/>
      <c r="AI31" s="27"/>
      <c r="AJ31" s="27"/>
      <c r="AK31" s="28"/>
      <c r="AL31" s="27"/>
      <c r="AM31" s="27"/>
      <c r="AN31" s="29" t="s">
        <v>16</v>
      </c>
      <c r="AO31" s="30" t="s">
        <v>13</v>
      </c>
      <c r="AP31" s="27"/>
      <c r="AQ31" s="27"/>
      <c r="AR31" s="28"/>
      <c r="AS31" s="27"/>
      <c r="AT31" s="27"/>
      <c r="AU31" s="32" t="s">
        <v>14</v>
      </c>
      <c r="AV31" s="30" t="s">
        <v>11</v>
      </c>
      <c r="AW31" s="27"/>
      <c r="AX31" s="27"/>
      <c r="AY31" s="28"/>
      <c r="AZ31" s="27"/>
      <c r="BA31" s="29" t="s">
        <v>15</v>
      </c>
      <c r="BB31" s="27"/>
      <c r="BC31" s="27"/>
      <c r="BD31" s="25">
        <v>17</v>
      </c>
      <c r="BE31" s="33"/>
      <c r="BF31" s="33"/>
      <c r="BG31" s="33"/>
      <c r="BH31" s="33"/>
      <c r="BI31" s="25" t="s">
        <v>12</v>
      </c>
      <c r="BJ31" s="27"/>
      <c r="BK31" s="27"/>
      <c r="BL31" s="27"/>
      <c r="BM31" s="28"/>
      <c r="BN31" s="27"/>
      <c r="BO31" s="27"/>
      <c r="BP31" s="29" t="s">
        <v>16</v>
      </c>
      <c r="BQ31" s="30" t="s">
        <v>13</v>
      </c>
      <c r="BR31" s="27"/>
      <c r="BS31" s="27"/>
      <c r="BT31" s="28"/>
      <c r="BU31" s="27"/>
      <c r="BV31" s="27"/>
      <c r="BW31" s="29" t="s">
        <v>14</v>
      </c>
      <c r="BX31" s="30" t="s">
        <v>11</v>
      </c>
      <c r="BY31" s="37"/>
      <c r="BZ31" s="27"/>
      <c r="CA31" s="28"/>
      <c r="CB31" s="27"/>
      <c r="CC31" s="29" t="s">
        <v>15</v>
      </c>
      <c r="CD31" s="27"/>
      <c r="CE31" s="27"/>
      <c r="CF31" s="25">
        <v>17</v>
      </c>
      <c r="CG31" s="33"/>
      <c r="CH31" s="33"/>
      <c r="CI31" s="33"/>
      <c r="CJ31" s="33"/>
      <c r="CK31" s="33"/>
      <c r="CL31" s="33"/>
      <c r="CM31" s="33"/>
      <c r="CN31" s="33"/>
      <c r="CO31" s="33"/>
      <c r="CP31" s="33"/>
    </row>
    <row r="32" spans="1:94" x14ac:dyDescent="0.25">
      <c r="A32" s="25" t="s">
        <v>8</v>
      </c>
      <c r="B32" s="25" t="s">
        <v>232</v>
      </c>
      <c r="C32" s="25" t="s">
        <v>377</v>
      </c>
      <c r="D32" s="25">
        <v>19</v>
      </c>
      <c r="E32" s="35" cm="1">
        <f t="array" ref="E32">IFERROR(INDEX($J$5:$AVX$5, _xlfn.AGGREGATE(15,6, COLUMN(J32:AVX32)-COLUMN(J32)+1 / (J32:AVX32="T"), F32)), "")</f>
        <v>46013</v>
      </c>
      <c r="F32" s="76">
        <f t="shared" si="19"/>
        <v>2</v>
      </c>
      <c r="G32" s="35" cm="1">
        <f t="array" ref="G32">IFERROR(INDEX($J$5:$AVW$5,_xlfn.AGGREGATE(14,6,(COLUMN($J32:$AVW32)-COLUMN($J32)+1)/($J32:$AVW32="T"),1)),"")</f>
        <v>46013</v>
      </c>
      <c r="H32" s="79">
        <f t="shared" si="20"/>
        <v>2</v>
      </c>
      <c r="I32" s="38" t="s">
        <v>10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25" t="s">
        <v>12</v>
      </c>
      <c r="AH32" s="27"/>
      <c r="AI32" s="27"/>
      <c r="AJ32" s="27"/>
      <c r="AK32" s="28"/>
      <c r="AL32" s="27"/>
      <c r="AM32" s="27"/>
      <c r="AN32" s="29" t="s">
        <v>16</v>
      </c>
      <c r="AO32" s="30" t="s">
        <v>13</v>
      </c>
      <c r="AP32" s="27"/>
      <c r="AQ32" s="27"/>
      <c r="AR32" s="28"/>
      <c r="AS32" s="27"/>
      <c r="AT32" s="27"/>
      <c r="AU32" s="32" t="s">
        <v>14</v>
      </c>
      <c r="AV32" s="30" t="s">
        <v>11</v>
      </c>
      <c r="AW32" s="27"/>
      <c r="AX32" s="27"/>
      <c r="AY32" s="28"/>
      <c r="AZ32" s="27"/>
      <c r="BA32" s="29" t="s">
        <v>15</v>
      </c>
      <c r="BB32" s="27"/>
      <c r="BC32" s="27"/>
      <c r="BD32" s="25">
        <v>17</v>
      </c>
      <c r="BE32" s="33"/>
      <c r="BF32" s="33"/>
      <c r="BG32" s="33"/>
      <c r="BH32" s="33"/>
      <c r="BI32" s="25" t="s">
        <v>12</v>
      </c>
      <c r="BJ32" s="27"/>
      <c r="BK32" s="27"/>
      <c r="BL32" s="27"/>
      <c r="BM32" s="28"/>
      <c r="BN32" s="27"/>
      <c r="BO32" s="27"/>
      <c r="BP32" s="29" t="s">
        <v>16</v>
      </c>
      <c r="BQ32" s="30" t="s">
        <v>13</v>
      </c>
      <c r="BR32" s="27"/>
      <c r="BS32" s="27"/>
      <c r="BT32" s="28"/>
      <c r="BU32" s="27"/>
      <c r="BV32" s="27"/>
      <c r="BW32" s="29" t="s">
        <v>14</v>
      </c>
      <c r="BX32" s="30" t="s">
        <v>11</v>
      </c>
      <c r="BY32" s="37"/>
      <c r="BZ32" s="27"/>
      <c r="CA32" s="28"/>
      <c r="CB32" s="27"/>
      <c r="CC32" s="29" t="s">
        <v>15</v>
      </c>
      <c r="CD32" s="27"/>
      <c r="CE32" s="27"/>
      <c r="CF32" s="25">
        <v>17</v>
      </c>
      <c r="CG32" s="33"/>
      <c r="CH32" s="33"/>
      <c r="CI32" s="33"/>
      <c r="CJ32" s="33"/>
      <c r="CK32" s="33"/>
      <c r="CL32" s="33"/>
      <c r="CM32" s="33"/>
      <c r="CN32" s="33"/>
      <c r="CO32" s="33"/>
      <c r="CP32" s="33"/>
    </row>
    <row r="33" spans="1:94" s="43" customFormat="1" x14ac:dyDescent="0.25">
      <c r="A33" s="41" t="s">
        <v>8</v>
      </c>
      <c r="B33" s="41" t="s">
        <v>233</v>
      </c>
      <c r="C33" s="25" t="s">
        <v>378</v>
      </c>
      <c r="D33" s="25">
        <v>20</v>
      </c>
      <c r="E33" s="35" t="str" cm="1">
        <f t="array" ref="E33">IFERROR(INDEX($J$5:$AVX$5, _xlfn.AGGREGATE(15,6, COLUMN(J33:AVX33)-COLUMN(J33)+1 / (J33:AVX33="T"), F33)), "")</f>
        <v/>
      </c>
      <c r="F33" s="76">
        <f t="shared" si="19"/>
        <v>2</v>
      </c>
      <c r="G33" s="35" t="str" cm="1">
        <f t="array" ref="G33">IFERROR(INDEX($J$5:$AVW$5,_xlfn.AGGREGATE(14,6,(COLUMN($J33:$AVW33)-COLUMN($J33)+1)/($J33:$AVW33="T"),1)),"")</f>
        <v/>
      </c>
      <c r="H33" s="79">
        <f t="shared" si="20"/>
        <v>0</v>
      </c>
      <c r="I33" s="42" t="s">
        <v>10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</row>
    <row r="34" spans="1:94" x14ac:dyDescent="0.25">
      <c r="A34" s="25" t="s">
        <v>8</v>
      </c>
      <c r="B34" s="25" t="s">
        <v>234</v>
      </c>
      <c r="C34" s="25" t="s">
        <v>379</v>
      </c>
      <c r="D34" s="25">
        <v>21</v>
      </c>
      <c r="E34" s="35" cm="1">
        <f t="array" ref="E34">IFERROR(INDEX($J$5:$AVX$5, _xlfn.AGGREGATE(15,6, COLUMN(J34:AVX34)-COLUMN(J34)+1 / (J34:AVX34="T"), F34)), "")</f>
        <v>46010</v>
      </c>
      <c r="F34" s="76">
        <f t="shared" si="19"/>
        <v>2</v>
      </c>
      <c r="G34" s="35" cm="1">
        <f t="array" ref="G34">IFERROR(INDEX($J$5:$AVW$5,_xlfn.AGGREGATE(14,6,(COLUMN($J34:$AVW34)-COLUMN($J34)+1)/($J34:$AVW34="T"),1)),"")</f>
        <v>46010</v>
      </c>
      <c r="H34" s="79">
        <f t="shared" si="20"/>
        <v>2</v>
      </c>
      <c r="I34" s="38" t="s">
        <v>10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25" t="s">
        <v>12</v>
      </c>
      <c r="AE34" s="27"/>
      <c r="AF34" s="27"/>
      <c r="AG34" s="27"/>
      <c r="AH34" s="28"/>
      <c r="AI34" s="27"/>
      <c r="AJ34" s="27"/>
      <c r="AK34" s="29" t="s">
        <v>16</v>
      </c>
      <c r="AL34" s="30" t="s">
        <v>13</v>
      </c>
      <c r="AM34" s="27"/>
      <c r="AN34" s="27"/>
      <c r="AO34" s="28"/>
      <c r="AP34" s="27"/>
      <c r="AQ34" s="27"/>
      <c r="AR34" s="32" t="s">
        <v>14</v>
      </c>
      <c r="AS34" s="30" t="s">
        <v>11</v>
      </c>
      <c r="AT34" s="27"/>
      <c r="AU34" s="27"/>
      <c r="AV34" s="28"/>
      <c r="AW34" s="27"/>
      <c r="AX34" s="29" t="s">
        <v>15</v>
      </c>
      <c r="AY34" s="27"/>
      <c r="AZ34" s="27"/>
      <c r="BA34" s="25">
        <v>17</v>
      </c>
      <c r="BB34" s="33"/>
      <c r="BC34" s="33"/>
      <c r="BD34" s="33"/>
      <c r="BE34" s="33"/>
      <c r="BF34" s="25" t="s">
        <v>12</v>
      </c>
      <c r="BG34" s="27"/>
      <c r="BH34" s="27"/>
      <c r="BI34" s="27"/>
      <c r="BJ34" s="28"/>
      <c r="BK34" s="27"/>
      <c r="BL34" s="27"/>
      <c r="BM34" s="29" t="s">
        <v>16</v>
      </c>
      <c r="BN34" s="30" t="s">
        <v>13</v>
      </c>
      <c r="BO34" s="27"/>
      <c r="BP34" s="27"/>
      <c r="BQ34" s="28"/>
      <c r="BR34" s="27"/>
      <c r="BS34" s="27"/>
      <c r="BT34" s="32" t="s">
        <v>14</v>
      </c>
      <c r="BU34" s="30" t="s">
        <v>11</v>
      </c>
      <c r="BV34" s="27"/>
      <c r="BW34" s="27"/>
      <c r="BX34" s="28"/>
      <c r="BY34" s="27"/>
      <c r="BZ34" s="29" t="s">
        <v>15</v>
      </c>
      <c r="CA34" s="27"/>
      <c r="CB34" s="27"/>
      <c r="CC34" s="25">
        <v>17</v>
      </c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</row>
    <row r="35" spans="1:94" x14ac:dyDescent="0.25">
      <c r="A35" s="25" t="s">
        <v>8</v>
      </c>
      <c r="B35" s="25" t="s">
        <v>235</v>
      </c>
      <c r="C35" s="25" t="s">
        <v>380</v>
      </c>
      <c r="D35" s="25">
        <v>22</v>
      </c>
      <c r="E35" s="35" cm="1">
        <f t="array" ref="E35">IFERROR(INDEX($J$5:$AVX$5, _xlfn.AGGREGATE(15,6, COLUMN(J35:AVX35)-COLUMN(J35)+1 / (J35:AVX35="T"), F35)), "")</f>
        <v>46010</v>
      </c>
      <c r="F35" s="76">
        <f t="shared" si="19"/>
        <v>2</v>
      </c>
      <c r="G35" s="35" cm="1">
        <f t="array" ref="G35">IFERROR(INDEX($J$5:$AVW$5,_xlfn.AGGREGATE(14,6,(COLUMN($J35:$AVW35)-COLUMN($J35)+1)/($J35:$AVW35="T"),1)),"")</f>
        <v>46010</v>
      </c>
      <c r="H35" s="79">
        <f t="shared" si="20"/>
        <v>2</v>
      </c>
      <c r="I35" s="38" t="s">
        <v>10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25" t="s">
        <v>12</v>
      </c>
      <c r="AE35" s="27"/>
      <c r="AF35" s="27"/>
      <c r="AG35" s="27"/>
      <c r="AH35" s="28"/>
      <c r="AI35" s="27"/>
      <c r="AJ35" s="27"/>
      <c r="AK35" s="29" t="s">
        <v>16</v>
      </c>
      <c r="AL35" s="30" t="s">
        <v>13</v>
      </c>
      <c r="AM35" s="27"/>
      <c r="AN35" s="27"/>
      <c r="AO35" s="28"/>
      <c r="AP35" s="27"/>
      <c r="AQ35" s="27"/>
      <c r="AR35" s="29" t="s">
        <v>14</v>
      </c>
      <c r="AS35" s="30" t="s">
        <v>11</v>
      </c>
      <c r="AT35" s="37"/>
      <c r="AU35" s="27"/>
      <c r="AV35" s="28"/>
      <c r="AW35" s="27"/>
      <c r="AX35" s="29" t="s">
        <v>15</v>
      </c>
      <c r="AY35" s="27"/>
      <c r="AZ35" s="27"/>
      <c r="BA35" s="25">
        <v>17</v>
      </c>
      <c r="BB35" s="33"/>
      <c r="BC35" s="33"/>
      <c r="BD35" s="33"/>
      <c r="BE35" s="33"/>
      <c r="BF35" s="25" t="s">
        <v>12</v>
      </c>
      <c r="BG35" s="27"/>
      <c r="BH35" s="27"/>
      <c r="BI35" s="27"/>
      <c r="BJ35" s="28"/>
      <c r="BK35" s="27"/>
      <c r="BL35" s="27"/>
      <c r="BM35" s="29" t="s">
        <v>16</v>
      </c>
      <c r="BN35" s="30" t="s">
        <v>13</v>
      </c>
      <c r="BO35" s="27"/>
      <c r="BP35" s="27"/>
      <c r="BQ35" s="28"/>
      <c r="BR35" s="27"/>
      <c r="BS35" s="27"/>
      <c r="BT35" s="29" t="s">
        <v>14</v>
      </c>
      <c r="BU35" s="30" t="s">
        <v>11</v>
      </c>
      <c r="BV35" s="37"/>
      <c r="BW35" s="27"/>
      <c r="BX35" s="28"/>
      <c r="BY35" s="27"/>
      <c r="BZ35" s="29" t="s">
        <v>15</v>
      </c>
      <c r="CA35" s="27"/>
      <c r="CB35" s="27"/>
      <c r="CC35" s="25">
        <v>17</v>
      </c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</row>
    <row r="36" spans="1:94" x14ac:dyDescent="0.25">
      <c r="A36" s="25" t="s">
        <v>8</v>
      </c>
      <c r="B36" s="25" t="s">
        <v>236</v>
      </c>
      <c r="C36" s="25" t="s">
        <v>381</v>
      </c>
      <c r="D36" s="25">
        <v>23</v>
      </c>
      <c r="E36" s="35" cm="1">
        <f t="array" ref="E36">IFERROR(INDEX($J$5:$AVX$5, _xlfn.AGGREGATE(15,6, COLUMN(J36:AVX36)-COLUMN(J36)+1 / (J36:AVX36="T"), F36)), "")</f>
        <v>46010</v>
      </c>
      <c r="F36" s="76">
        <f t="shared" si="19"/>
        <v>2</v>
      </c>
      <c r="G36" s="35" cm="1">
        <f t="array" ref="G36">IFERROR(INDEX($J$5:$AVW$5,_xlfn.AGGREGATE(14,6,(COLUMN($J36:$AVW36)-COLUMN($J36)+1)/($J36:$AVW36="T"),1)),"")</f>
        <v>46010</v>
      </c>
      <c r="H36" s="79">
        <f t="shared" si="20"/>
        <v>2</v>
      </c>
      <c r="I36" s="38" t="s">
        <v>10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25" t="s">
        <v>12</v>
      </c>
      <c r="AE36" s="27"/>
      <c r="AF36" s="27"/>
      <c r="AG36" s="27"/>
      <c r="AH36" s="28"/>
      <c r="AI36" s="27"/>
      <c r="AJ36" s="27"/>
      <c r="AK36" s="29" t="s">
        <v>16</v>
      </c>
      <c r="AL36" s="30" t="s">
        <v>13</v>
      </c>
      <c r="AM36" s="27"/>
      <c r="AN36" s="27"/>
      <c r="AO36" s="28"/>
      <c r="AP36" s="27"/>
      <c r="AQ36" s="27"/>
      <c r="AR36" s="29" t="s">
        <v>14</v>
      </c>
      <c r="AS36" s="30" t="s">
        <v>11</v>
      </c>
      <c r="AT36" s="37"/>
      <c r="AU36" s="27"/>
      <c r="AV36" s="28"/>
      <c r="AW36" s="27"/>
      <c r="AX36" s="29" t="s">
        <v>15</v>
      </c>
      <c r="AY36" s="27"/>
      <c r="AZ36" s="27"/>
      <c r="BA36" s="25">
        <v>17</v>
      </c>
      <c r="BB36" s="33"/>
      <c r="BC36" s="33"/>
      <c r="BD36" s="33"/>
      <c r="BE36" s="33"/>
      <c r="BF36" s="25" t="s">
        <v>12</v>
      </c>
      <c r="BG36" s="27"/>
      <c r="BH36" s="27"/>
      <c r="BI36" s="27"/>
      <c r="BJ36" s="28"/>
      <c r="BK36" s="27"/>
      <c r="BL36" s="27"/>
      <c r="BM36" s="29" t="s">
        <v>16</v>
      </c>
      <c r="BN36" s="30" t="s">
        <v>13</v>
      </c>
      <c r="BO36" s="27"/>
      <c r="BP36" s="27"/>
      <c r="BQ36" s="28"/>
      <c r="BR36" s="27"/>
      <c r="BS36" s="27"/>
      <c r="BT36" s="29" t="s">
        <v>14</v>
      </c>
      <c r="BU36" s="30" t="s">
        <v>11</v>
      </c>
      <c r="BV36" s="37"/>
      <c r="BW36" s="27"/>
      <c r="BX36" s="28"/>
      <c r="BY36" s="27"/>
      <c r="BZ36" s="29" t="s">
        <v>15</v>
      </c>
      <c r="CA36" s="27"/>
      <c r="CB36" s="27"/>
      <c r="CC36" s="25">
        <v>17</v>
      </c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</row>
    <row r="37" spans="1:94" x14ac:dyDescent="0.25">
      <c r="A37" s="25" t="s">
        <v>8</v>
      </c>
      <c r="B37" s="25" t="s">
        <v>237</v>
      </c>
      <c r="C37" s="25" t="s">
        <v>382</v>
      </c>
      <c r="D37" s="25">
        <v>24</v>
      </c>
      <c r="E37" s="35" cm="1">
        <f t="array" ref="E37">IFERROR(INDEX($J$5:$AVX$5, _xlfn.AGGREGATE(15,6, COLUMN(J37:AVX37)-COLUMN(J37)+1 / (J37:AVX37="T"), F37)), "")</f>
        <v>46010</v>
      </c>
      <c r="F37" s="76">
        <f t="shared" si="19"/>
        <v>2</v>
      </c>
      <c r="G37" s="35" cm="1">
        <f t="array" ref="G37">IFERROR(INDEX($J$5:$AVW$5,_xlfn.AGGREGATE(14,6,(COLUMN($J37:$AVW37)-COLUMN($J37)+1)/($J37:$AVW37="T"),1)),"")</f>
        <v>46010</v>
      </c>
      <c r="H37" s="79">
        <f t="shared" si="20"/>
        <v>2</v>
      </c>
      <c r="I37" s="38" t="s">
        <v>10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25" t="s">
        <v>12</v>
      </c>
      <c r="AE37" s="27"/>
      <c r="AF37" s="27"/>
      <c r="AG37" s="27"/>
      <c r="AH37" s="28"/>
      <c r="AI37" s="27"/>
      <c r="AJ37" s="27"/>
      <c r="AK37" s="29" t="s">
        <v>16</v>
      </c>
      <c r="AL37" s="30" t="s">
        <v>13</v>
      </c>
      <c r="AM37" s="27"/>
      <c r="AN37" s="27"/>
      <c r="AO37" s="28"/>
      <c r="AP37" s="27"/>
      <c r="AQ37" s="27"/>
      <c r="AR37" s="29" t="s">
        <v>14</v>
      </c>
      <c r="AS37" s="30" t="s">
        <v>11</v>
      </c>
      <c r="AT37" s="37"/>
      <c r="AU37" s="27"/>
      <c r="AV37" s="28"/>
      <c r="AW37" s="27"/>
      <c r="AX37" s="29" t="s">
        <v>15</v>
      </c>
      <c r="AY37" s="27"/>
      <c r="AZ37" s="27"/>
      <c r="BA37" s="25">
        <v>17</v>
      </c>
      <c r="BB37" s="33"/>
      <c r="BC37" s="33"/>
      <c r="BD37" s="33"/>
      <c r="BE37" s="33"/>
      <c r="BF37" s="25" t="s">
        <v>12</v>
      </c>
      <c r="BG37" s="27"/>
      <c r="BH37" s="27"/>
      <c r="BI37" s="27"/>
      <c r="BJ37" s="28"/>
      <c r="BK37" s="27"/>
      <c r="BL37" s="27"/>
      <c r="BM37" s="29" t="s">
        <v>16</v>
      </c>
      <c r="BN37" s="30" t="s">
        <v>13</v>
      </c>
      <c r="BO37" s="27"/>
      <c r="BP37" s="27"/>
      <c r="BQ37" s="28"/>
      <c r="BR37" s="27"/>
      <c r="BS37" s="27"/>
      <c r="BT37" s="29" t="s">
        <v>14</v>
      </c>
      <c r="BU37" s="30" t="s">
        <v>11</v>
      </c>
      <c r="BV37" s="37"/>
      <c r="BW37" s="27"/>
      <c r="BX37" s="28"/>
      <c r="BY37" s="27"/>
      <c r="BZ37" s="29" t="s">
        <v>15</v>
      </c>
      <c r="CA37" s="27"/>
      <c r="CB37" s="27"/>
      <c r="CC37" s="25">
        <v>17</v>
      </c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</row>
    <row r="38" spans="1:94" x14ac:dyDescent="0.25">
      <c r="A38" s="25" t="s">
        <v>8</v>
      </c>
      <c r="B38" s="25" t="s">
        <v>238</v>
      </c>
      <c r="C38" s="25" t="s">
        <v>383</v>
      </c>
      <c r="D38" s="25">
        <v>25</v>
      </c>
      <c r="E38" s="35" cm="1">
        <f t="array" ref="E38">IFERROR(INDEX($J$5:$AVX$5, _xlfn.AGGREGATE(15,6, COLUMN(J38:AVX38)-COLUMN(J38)+1 / (J38:AVX38="T"), F38)), "")</f>
        <v>46010</v>
      </c>
      <c r="F38" s="76">
        <f t="shared" si="19"/>
        <v>2</v>
      </c>
      <c r="G38" s="35" cm="1">
        <f t="array" ref="G38">IFERROR(INDEX($J$5:$AVW$5,_xlfn.AGGREGATE(14,6,(COLUMN($J38:$AVW38)-COLUMN($J38)+1)/($J38:$AVW38="T"),1)),"")</f>
        <v>46010</v>
      </c>
      <c r="H38" s="79">
        <f t="shared" si="20"/>
        <v>2</v>
      </c>
      <c r="I38" s="38" t="s">
        <v>10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25" t="s">
        <v>12</v>
      </c>
      <c r="AE38" s="27"/>
      <c r="AF38" s="27"/>
      <c r="AG38" s="27"/>
      <c r="AH38" s="28"/>
      <c r="AI38" s="27"/>
      <c r="AJ38" s="27"/>
      <c r="AK38" s="29" t="s">
        <v>16</v>
      </c>
      <c r="AL38" s="30" t="s">
        <v>13</v>
      </c>
      <c r="AM38" s="27"/>
      <c r="AN38" s="27"/>
      <c r="AO38" s="28"/>
      <c r="AP38" s="27"/>
      <c r="AQ38" s="27"/>
      <c r="AR38" s="29" t="s">
        <v>14</v>
      </c>
      <c r="AS38" s="30" t="s">
        <v>11</v>
      </c>
      <c r="AT38" s="37"/>
      <c r="AU38" s="27"/>
      <c r="AV38" s="28"/>
      <c r="AW38" s="27"/>
      <c r="AX38" s="29" t="s">
        <v>15</v>
      </c>
      <c r="AY38" s="27"/>
      <c r="AZ38" s="27"/>
      <c r="BA38" s="25">
        <v>17</v>
      </c>
      <c r="BB38" s="33"/>
      <c r="BC38" s="33"/>
      <c r="BD38" s="33"/>
      <c r="BE38" s="33"/>
      <c r="BF38" s="25" t="s">
        <v>12</v>
      </c>
      <c r="BG38" s="27"/>
      <c r="BH38" s="27"/>
      <c r="BI38" s="27"/>
      <c r="BJ38" s="28"/>
      <c r="BK38" s="27"/>
      <c r="BL38" s="27"/>
      <c r="BM38" s="29" t="s">
        <v>16</v>
      </c>
      <c r="BN38" s="30" t="s">
        <v>13</v>
      </c>
      <c r="BO38" s="27"/>
      <c r="BP38" s="27"/>
      <c r="BQ38" s="28"/>
      <c r="BR38" s="27"/>
      <c r="BS38" s="27"/>
      <c r="BT38" s="29" t="s">
        <v>14</v>
      </c>
      <c r="BU38" s="30" t="s">
        <v>11</v>
      </c>
      <c r="BV38" s="37"/>
      <c r="BW38" s="27"/>
      <c r="BX38" s="28"/>
      <c r="BY38" s="27"/>
      <c r="BZ38" s="29" t="s">
        <v>15</v>
      </c>
      <c r="CA38" s="27"/>
      <c r="CB38" s="27"/>
      <c r="CC38" s="25">
        <v>17</v>
      </c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</row>
    <row r="39" spans="1:94" x14ac:dyDescent="0.25">
      <c r="A39" s="25" t="s">
        <v>8</v>
      </c>
      <c r="B39" s="25" t="s">
        <v>239</v>
      </c>
      <c r="C39" s="25" t="s">
        <v>384</v>
      </c>
      <c r="D39" s="25">
        <v>26</v>
      </c>
      <c r="E39" s="35" cm="1">
        <f t="array" ref="E39">IFERROR(INDEX($J$5:$AVX$5, _xlfn.AGGREGATE(15,6, COLUMN(J39:AVX39)-COLUMN(J39)+1 / (J39:AVX39="T"), F39)), "")</f>
        <v>46010</v>
      </c>
      <c r="F39" s="76">
        <f t="shared" si="19"/>
        <v>2</v>
      </c>
      <c r="G39" s="35" cm="1">
        <f t="array" ref="G39">IFERROR(INDEX($J$5:$AVW$5,_xlfn.AGGREGATE(14,6,(COLUMN($J39:$AVW39)-COLUMN($J39)+1)/($J39:$AVW39="T"),1)),"")</f>
        <v>46010</v>
      </c>
      <c r="H39" s="79">
        <f t="shared" si="20"/>
        <v>2</v>
      </c>
      <c r="I39" s="38" t="s">
        <v>10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25" t="s">
        <v>12</v>
      </c>
      <c r="AE39" s="27"/>
      <c r="AF39" s="27"/>
      <c r="AG39" s="27"/>
      <c r="AH39" s="28"/>
      <c r="AI39" s="27"/>
      <c r="AJ39" s="27"/>
      <c r="AK39" s="29" t="s">
        <v>16</v>
      </c>
      <c r="AL39" s="30" t="s">
        <v>13</v>
      </c>
      <c r="AM39" s="27"/>
      <c r="AN39" s="27"/>
      <c r="AO39" s="28"/>
      <c r="AP39" s="27"/>
      <c r="AQ39" s="27"/>
      <c r="AR39" s="29" t="s">
        <v>14</v>
      </c>
      <c r="AS39" s="30" t="s">
        <v>11</v>
      </c>
      <c r="AT39" s="37"/>
      <c r="AU39" s="27"/>
      <c r="AV39" s="28"/>
      <c r="AW39" s="27"/>
      <c r="AX39" s="29" t="s">
        <v>15</v>
      </c>
      <c r="AY39" s="27"/>
      <c r="AZ39" s="27"/>
      <c r="BA39" s="25">
        <v>17</v>
      </c>
      <c r="BB39" s="33"/>
      <c r="BC39" s="33"/>
      <c r="BD39" s="33"/>
      <c r="BE39" s="33"/>
      <c r="BF39" s="25" t="s">
        <v>12</v>
      </c>
      <c r="BG39" s="27"/>
      <c r="BH39" s="27"/>
      <c r="BI39" s="27"/>
      <c r="BJ39" s="28"/>
      <c r="BK39" s="27"/>
      <c r="BL39" s="27"/>
      <c r="BM39" s="29" t="s">
        <v>16</v>
      </c>
      <c r="BN39" s="30" t="s">
        <v>13</v>
      </c>
      <c r="BO39" s="27"/>
      <c r="BP39" s="27"/>
      <c r="BQ39" s="28"/>
      <c r="BR39" s="27"/>
      <c r="BS39" s="27"/>
      <c r="BT39" s="29" t="s">
        <v>14</v>
      </c>
      <c r="BU39" s="30" t="s">
        <v>11</v>
      </c>
      <c r="BV39" s="37"/>
      <c r="BW39" s="27"/>
      <c r="BX39" s="28"/>
      <c r="BY39" s="27"/>
      <c r="BZ39" s="29" t="s">
        <v>15</v>
      </c>
      <c r="CA39" s="27"/>
      <c r="CB39" s="27"/>
      <c r="CC39" s="25">
        <v>17</v>
      </c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</row>
    <row r="40" spans="1:94" x14ac:dyDescent="0.25">
      <c r="A40" s="25" t="s">
        <v>8</v>
      </c>
      <c r="B40" s="25" t="s">
        <v>240</v>
      </c>
      <c r="C40" s="25" t="s">
        <v>385</v>
      </c>
      <c r="D40" s="25">
        <v>27</v>
      </c>
      <c r="E40" s="35" cm="1">
        <f t="array" ref="E40">IFERROR(INDEX($J$5:$AVX$5, _xlfn.AGGREGATE(15,6, COLUMN(J40:AVX40)-COLUMN(J40)+1 / (J40:AVX40="T"), F40)), "")</f>
        <v>46010</v>
      </c>
      <c r="F40" s="76">
        <f t="shared" si="19"/>
        <v>2</v>
      </c>
      <c r="G40" s="35" cm="1">
        <f t="array" ref="G40">IFERROR(INDEX($J$5:$AVW$5,_xlfn.AGGREGATE(14,6,(COLUMN($J40:$AVW40)-COLUMN($J40)+1)/($J40:$AVW40="T"),1)),"")</f>
        <v>46010</v>
      </c>
      <c r="H40" s="79">
        <f t="shared" si="20"/>
        <v>2</v>
      </c>
      <c r="I40" s="38" t="s">
        <v>10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25" t="s">
        <v>12</v>
      </c>
      <c r="AE40" s="27"/>
      <c r="AF40" s="27"/>
      <c r="AG40" s="27"/>
      <c r="AH40" s="28"/>
      <c r="AI40" s="27"/>
      <c r="AJ40" s="27"/>
      <c r="AK40" s="29" t="s">
        <v>16</v>
      </c>
      <c r="AL40" s="30" t="s">
        <v>13</v>
      </c>
      <c r="AM40" s="27"/>
      <c r="AN40" s="27"/>
      <c r="AO40" s="28"/>
      <c r="AP40" s="27"/>
      <c r="AQ40" s="27"/>
      <c r="AR40" s="29" t="s">
        <v>14</v>
      </c>
      <c r="AS40" s="30" t="s">
        <v>11</v>
      </c>
      <c r="AT40" s="37"/>
      <c r="AU40" s="27"/>
      <c r="AV40" s="28"/>
      <c r="AW40" s="27"/>
      <c r="AX40" s="29" t="s">
        <v>15</v>
      </c>
      <c r="AY40" s="27"/>
      <c r="AZ40" s="27"/>
      <c r="BA40" s="25">
        <v>17</v>
      </c>
      <c r="BB40" s="33"/>
      <c r="BC40" s="33"/>
      <c r="BD40" s="33"/>
      <c r="BE40" s="33"/>
      <c r="BF40" s="25" t="s">
        <v>12</v>
      </c>
      <c r="BG40" s="27"/>
      <c r="BH40" s="27"/>
      <c r="BI40" s="27"/>
      <c r="BJ40" s="28"/>
      <c r="BK40" s="27"/>
      <c r="BL40" s="27"/>
      <c r="BM40" s="29" t="s">
        <v>16</v>
      </c>
      <c r="BN40" s="30" t="s">
        <v>13</v>
      </c>
      <c r="BO40" s="27"/>
      <c r="BP40" s="27"/>
      <c r="BQ40" s="28"/>
      <c r="BR40" s="27"/>
      <c r="BS40" s="27"/>
      <c r="BT40" s="29" t="s">
        <v>14</v>
      </c>
      <c r="BU40" s="30" t="s">
        <v>11</v>
      </c>
      <c r="BV40" s="37"/>
      <c r="BW40" s="27"/>
      <c r="BX40" s="28"/>
      <c r="BY40" s="27"/>
      <c r="BZ40" s="29" t="s">
        <v>15</v>
      </c>
      <c r="CA40" s="27"/>
      <c r="CB40" s="27"/>
      <c r="CC40" s="25">
        <v>17</v>
      </c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</row>
    <row r="41" spans="1:94" x14ac:dyDescent="0.25">
      <c r="A41" s="25" t="s">
        <v>8</v>
      </c>
      <c r="B41" s="25" t="s">
        <v>241</v>
      </c>
      <c r="C41" s="25" t="s">
        <v>386</v>
      </c>
      <c r="D41" s="25">
        <v>28</v>
      </c>
      <c r="E41" s="35" cm="1">
        <f t="array" ref="E41">IFERROR(INDEX($J$5:$AVX$5, _xlfn.AGGREGATE(15,6, COLUMN(J41:AVX41)-COLUMN(J41)+1 / (J41:AVX41="T"), F41)), "")</f>
        <v>46012</v>
      </c>
      <c r="F41" s="76">
        <f t="shared" si="19"/>
        <v>2</v>
      </c>
      <c r="G41" s="35" cm="1">
        <f t="array" ref="G41">IFERROR(INDEX($J$5:$AVW$5,_xlfn.AGGREGATE(14,6,(COLUMN($J41:$AVW41)-COLUMN($J41)+1)/($J41:$AVW41="T"),1)),"")</f>
        <v>46012</v>
      </c>
      <c r="H41" s="79">
        <f t="shared" si="20"/>
        <v>2</v>
      </c>
      <c r="I41" s="38" t="s">
        <v>10</v>
      </c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25" t="s">
        <v>12</v>
      </c>
      <c r="AG41" s="27"/>
      <c r="AH41" s="27"/>
      <c r="AI41" s="27"/>
      <c r="AJ41" s="28"/>
      <c r="AK41" s="27"/>
      <c r="AL41" s="27"/>
      <c r="AM41" s="29" t="s">
        <v>16</v>
      </c>
      <c r="AN41" s="30" t="s">
        <v>13</v>
      </c>
      <c r="AO41" s="27"/>
      <c r="AP41" s="27"/>
      <c r="AQ41" s="28"/>
      <c r="AR41" s="27"/>
      <c r="AS41" s="27"/>
      <c r="AT41" s="32" t="s">
        <v>14</v>
      </c>
      <c r="AU41" s="30" t="s">
        <v>11</v>
      </c>
      <c r="AV41" s="27"/>
      <c r="AW41" s="27"/>
      <c r="AX41" s="28"/>
      <c r="AY41" s="27"/>
      <c r="AZ41" s="29" t="s">
        <v>15</v>
      </c>
      <c r="BA41" s="27"/>
      <c r="BB41" s="27"/>
      <c r="BC41" s="25">
        <v>17</v>
      </c>
      <c r="BD41" s="33"/>
      <c r="BE41" s="33"/>
      <c r="BF41" s="33"/>
      <c r="BG41" s="33"/>
      <c r="BH41" s="25" t="s">
        <v>12</v>
      </c>
      <c r="BI41" s="27"/>
      <c r="BJ41" s="27"/>
      <c r="BK41" s="27"/>
      <c r="BL41" s="28"/>
      <c r="BM41" s="27"/>
      <c r="BN41" s="27"/>
      <c r="BO41" s="29" t="s">
        <v>16</v>
      </c>
      <c r="BP41" s="30" t="s">
        <v>13</v>
      </c>
      <c r="BQ41" s="27"/>
      <c r="BR41" s="27"/>
      <c r="BS41" s="28"/>
      <c r="BT41" s="27"/>
      <c r="BU41" s="27"/>
      <c r="BV41" s="32" t="s">
        <v>14</v>
      </c>
      <c r="BW41" s="30" t="s">
        <v>11</v>
      </c>
      <c r="BX41" s="27"/>
      <c r="BY41" s="27"/>
      <c r="BZ41" s="28"/>
      <c r="CA41" s="27"/>
      <c r="CB41" s="29" t="s">
        <v>15</v>
      </c>
      <c r="CC41" s="27"/>
      <c r="CD41" s="27"/>
      <c r="CE41" s="25">
        <v>17</v>
      </c>
      <c r="CF41" s="33"/>
      <c r="CG41" s="33"/>
      <c r="CH41" s="33"/>
      <c r="CI41" s="33"/>
      <c r="CJ41" s="33"/>
      <c r="CK41" s="33"/>
      <c r="CL41" s="33"/>
      <c r="CM41" s="33"/>
      <c r="CN41" s="33"/>
      <c r="CO41" s="33"/>
      <c r="CP41" s="33"/>
    </row>
    <row r="42" spans="1:94" x14ac:dyDescent="0.25">
      <c r="A42" s="25" t="s">
        <v>8</v>
      </c>
      <c r="B42" s="25" t="s">
        <v>242</v>
      </c>
      <c r="C42" s="25" t="s">
        <v>387</v>
      </c>
      <c r="D42" s="25">
        <v>29</v>
      </c>
      <c r="E42" s="35" cm="1">
        <f t="array" ref="E42">IFERROR(INDEX($J$5:$AVX$5, _xlfn.AGGREGATE(15,6, COLUMN(J42:AVX42)-COLUMN(J42)+1 / (J42:AVX42="T"), F42)), "")</f>
        <v>46012</v>
      </c>
      <c r="F42" s="76">
        <f t="shared" si="19"/>
        <v>2</v>
      </c>
      <c r="G42" s="35" cm="1">
        <f t="array" ref="G42">IFERROR(INDEX($J$5:$AVW$5,_xlfn.AGGREGATE(14,6,(COLUMN($J42:$AVW42)-COLUMN($J42)+1)/($J42:$AVW42="T"),1)),"")</f>
        <v>46012</v>
      </c>
      <c r="H42" s="79">
        <f t="shared" si="20"/>
        <v>2</v>
      </c>
      <c r="I42" s="38" t="s">
        <v>10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25" t="s">
        <v>12</v>
      </c>
      <c r="AG42" s="27"/>
      <c r="AH42" s="27"/>
      <c r="AI42" s="27"/>
      <c r="AJ42" s="28"/>
      <c r="AK42" s="27"/>
      <c r="AL42" s="27"/>
      <c r="AM42" s="29" t="s">
        <v>16</v>
      </c>
      <c r="AN42" s="30" t="s">
        <v>13</v>
      </c>
      <c r="AO42" s="27"/>
      <c r="AP42" s="27"/>
      <c r="AQ42" s="28"/>
      <c r="AR42" s="27"/>
      <c r="AS42" s="27"/>
      <c r="AT42" s="29" t="s">
        <v>14</v>
      </c>
      <c r="AU42" s="30" t="s">
        <v>11</v>
      </c>
      <c r="AV42" s="37"/>
      <c r="AW42" s="27"/>
      <c r="AX42" s="28"/>
      <c r="AY42" s="27"/>
      <c r="AZ42" s="29" t="s">
        <v>15</v>
      </c>
      <c r="BA42" s="27"/>
      <c r="BB42" s="27"/>
      <c r="BC42" s="25">
        <v>17</v>
      </c>
      <c r="BD42" s="33"/>
      <c r="BE42" s="33"/>
      <c r="BF42" s="33"/>
      <c r="BG42" s="33"/>
      <c r="BH42" s="25" t="s">
        <v>12</v>
      </c>
      <c r="BI42" s="27"/>
      <c r="BJ42" s="27"/>
      <c r="BK42" s="27"/>
      <c r="BL42" s="28"/>
      <c r="BM42" s="27"/>
      <c r="BN42" s="27"/>
      <c r="BO42" s="29" t="s">
        <v>16</v>
      </c>
      <c r="BP42" s="30" t="s">
        <v>13</v>
      </c>
      <c r="BQ42" s="27"/>
      <c r="BR42" s="27"/>
      <c r="BS42" s="28"/>
      <c r="BT42" s="27"/>
      <c r="BU42" s="27"/>
      <c r="BV42" s="29" t="s">
        <v>14</v>
      </c>
      <c r="BW42" s="30" t="s">
        <v>11</v>
      </c>
      <c r="BX42" s="37"/>
      <c r="BY42" s="27"/>
      <c r="BZ42" s="28"/>
      <c r="CA42" s="27"/>
      <c r="CB42" s="29" t="s">
        <v>15</v>
      </c>
      <c r="CC42" s="27"/>
      <c r="CD42" s="27"/>
      <c r="CE42" s="25">
        <v>17</v>
      </c>
      <c r="CF42" s="33"/>
      <c r="CG42" s="33"/>
      <c r="CH42" s="33"/>
      <c r="CI42" s="33"/>
      <c r="CJ42" s="33"/>
      <c r="CK42" s="33"/>
      <c r="CL42" s="33"/>
      <c r="CM42" s="33"/>
      <c r="CN42" s="33"/>
      <c r="CO42" s="33"/>
      <c r="CP42" s="33"/>
    </row>
    <row r="43" spans="1:94" x14ac:dyDescent="0.25">
      <c r="A43" s="25" t="s">
        <v>8</v>
      </c>
      <c r="B43" s="25" t="s">
        <v>243</v>
      </c>
      <c r="C43" s="25" t="s">
        <v>388</v>
      </c>
      <c r="D43" s="25">
        <v>30</v>
      </c>
      <c r="E43" s="35" cm="1">
        <f t="array" ref="E43">IFERROR(INDEX($J$5:$AVX$5, _xlfn.AGGREGATE(15,6, COLUMN(J43:AVX43)-COLUMN(J43)+1 / (J43:AVX43="T"), F43)), "")</f>
        <v>46012</v>
      </c>
      <c r="F43" s="76">
        <f t="shared" si="19"/>
        <v>2</v>
      </c>
      <c r="G43" s="35" cm="1">
        <f t="array" ref="G43">IFERROR(INDEX($J$5:$AVW$5,_xlfn.AGGREGATE(14,6,(COLUMN($J43:$AVW43)-COLUMN($J43)+1)/($J43:$AVW43="T"),1)),"")</f>
        <v>46012</v>
      </c>
      <c r="H43" s="79">
        <f t="shared" si="20"/>
        <v>2</v>
      </c>
      <c r="I43" s="38" t="s">
        <v>10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25" t="s">
        <v>12</v>
      </c>
      <c r="AG43" s="27"/>
      <c r="AH43" s="27"/>
      <c r="AI43" s="27"/>
      <c r="AJ43" s="28"/>
      <c r="AK43" s="27"/>
      <c r="AL43" s="27"/>
      <c r="AM43" s="29" t="s">
        <v>16</v>
      </c>
      <c r="AN43" s="30" t="s">
        <v>13</v>
      </c>
      <c r="AO43" s="27"/>
      <c r="AP43" s="27"/>
      <c r="AQ43" s="28"/>
      <c r="AR43" s="27"/>
      <c r="AS43" s="27"/>
      <c r="AT43" s="29" t="s">
        <v>14</v>
      </c>
      <c r="AU43" s="30" t="s">
        <v>11</v>
      </c>
      <c r="AV43" s="37"/>
      <c r="AW43" s="27"/>
      <c r="AX43" s="28"/>
      <c r="AY43" s="27"/>
      <c r="AZ43" s="29" t="s">
        <v>15</v>
      </c>
      <c r="BA43" s="27"/>
      <c r="BB43" s="27"/>
      <c r="BC43" s="25">
        <v>17</v>
      </c>
      <c r="BD43" s="33"/>
      <c r="BE43" s="33"/>
      <c r="BF43" s="33"/>
      <c r="BG43" s="33"/>
      <c r="BH43" s="25" t="s">
        <v>12</v>
      </c>
      <c r="BI43" s="27"/>
      <c r="BJ43" s="27"/>
      <c r="BK43" s="27"/>
      <c r="BL43" s="28"/>
      <c r="BM43" s="27"/>
      <c r="BN43" s="27"/>
      <c r="BO43" s="29" t="s">
        <v>16</v>
      </c>
      <c r="BP43" s="30" t="s">
        <v>13</v>
      </c>
      <c r="BQ43" s="27"/>
      <c r="BR43" s="27"/>
      <c r="BS43" s="28"/>
      <c r="BT43" s="27"/>
      <c r="BU43" s="27"/>
      <c r="BV43" s="29" t="s">
        <v>14</v>
      </c>
      <c r="BW43" s="30" t="s">
        <v>11</v>
      </c>
      <c r="BX43" s="37"/>
      <c r="BY43" s="27"/>
      <c r="BZ43" s="28"/>
      <c r="CA43" s="27"/>
      <c r="CB43" s="29" t="s">
        <v>15</v>
      </c>
      <c r="CC43" s="27"/>
      <c r="CD43" s="27"/>
      <c r="CE43" s="25">
        <v>17</v>
      </c>
      <c r="CF43" s="33"/>
      <c r="CG43" s="33"/>
      <c r="CH43" s="33"/>
      <c r="CI43" s="33"/>
      <c r="CJ43" s="33"/>
      <c r="CK43" s="33"/>
      <c r="CL43" s="33"/>
      <c r="CM43" s="33"/>
      <c r="CN43" s="33"/>
      <c r="CO43" s="33"/>
      <c r="CP43" s="33"/>
    </row>
    <row r="44" spans="1:94" x14ac:dyDescent="0.25">
      <c r="A44" s="25" t="s">
        <v>8</v>
      </c>
      <c r="B44" s="25" t="s">
        <v>244</v>
      </c>
      <c r="C44" s="25" t="s">
        <v>389</v>
      </c>
      <c r="D44" s="25">
        <v>31</v>
      </c>
      <c r="E44" s="35" cm="1">
        <f t="array" ref="E44">IFERROR(INDEX($J$5:$AVX$5, _xlfn.AGGREGATE(15,6, COLUMN(J44:AVX44)-COLUMN(J44)+1 / (J44:AVX44="T"), F44)), "")</f>
        <v>46012</v>
      </c>
      <c r="F44" s="76">
        <f t="shared" si="19"/>
        <v>2</v>
      </c>
      <c r="G44" s="35" cm="1">
        <f t="array" ref="G44">IFERROR(INDEX($J$5:$AVW$5,_xlfn.AGGREGATE(14,6,(COLUMN($J44:$AVW44)-COLUMN($J44)+1)/($J44:$AVW44="T"),1)),"")</f>
        <v>46012</v>
      </c>
      <c r="H44" s="79">
        <f t="shared" si="20"/>
        <v>2</v>
      </c>
      <c r="I44" s="38" t="s">
        <v>10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25" t="s">
        <v>12</v>
      </c>
      <c r="AG44" s="27"/>
      <c r="AH44" s="27"/>
      <c r="AI44" s="27"/>
      <c r="AJ44" s="28"/>
      <c r="AK44" s="27"/>
      <c r="AL44" s="27"/>
      <c r="AM44" s="29" t="s">
        <v>16</v>
      </c>
      <c r="AN44" s="30" t="s">
        <v>13</v>
      </c>
      <c r="AO44" s="27"/>
      <c r="AP44" s="27"/>
      <c r="AQ44" s="28"/>
      <c r="AR44" s="27"/>
      <c r="AS44" s="27"/>
      <c r="AT44" s="29" t="s">
        <v>14</v>
      </c>
      <c r="AU44" s="30" t="s">
        <v>11</v>
      </c>
      <c r="AV44" s="37"/>
      <c r="AW44" s="27"/>
      <c r="AX44" s="28"/>
      <c r="AY44" s="27"/>
      <c r="AZ44" s="29" t="s">
        <v>15</v>
      </c>
      <c r="BA44" s="27"/>
      <c r="BB44" s="27"/>
      <c r="BC44" s="25">
        <v>17</v>
      </c>
      <c r="BD44" s="33"/>
      <c r="BE44" s="33"/>
      <c r="BF44" s="33"/>
      <c r="BG44" s="33"/>
      <c r="BH44" s="25" t="s">
        <v>12</v>
      </c>
      <c r="BI44" s="27"/>
      <c r="BJ44" s="27"/>
      <c r="BK44" s="27"/>
      <c r="BL44" s="28"/>
      <c r="BM44" s="27"/>
      <c r="BN44" s="27"/>
      <c r="BO44" s="29" t="s">
        <v>16</v>
      </c>
      <c r="BP44" s="30" t="s">
        <v>13</v>
      </c>
      <c r="BQ44" s="27"/>
      <c r="BR44" s="27"/>
      <c r="BS44" s="28"/>
      <c r="BT44" s="27"/>
      <c r="BU44" s="27"/>
      <c r="BV44" s="29" t="s">
        <v>14</v>
      </c>
      <c r="BW44" s="30" t="s">
        <v>11</v>
      </c>
      <c r="BX44" s="37"/>
      <c r="BY44" s="27"/>
      <c r="BZ44" s="28"/>
      <c r="CA44" s="27"/>
      <c r="CB44" s="29" t="s">
        <v>15</v>
      </c>
      <c r="CC44" s="27"/>
      <c r="CD44" s="27"/>
      <c r="CE44" s="25">
        <v>17</v>
      </c>
      <c r="CF44" s="33"/>
      <c r="CG44" s="33"/>
      <c r="CH44" s="33"/>
      <c r="CI44" s="33"/>
      <c r="CJ44" s="33"/>
      <c r="CK44" s="33"/>
      <c r="CL44" s="33"/>
      <c r="CM44" s="33"/>
      <c r="CN44" s="33"/>
      <c r="CO44" s="33"/>
      <c r="CP44" s="33"/>
    </row>
    <row r="45" spans="1:94" x14ac:dyDescent="0.25">
      <c r="A45" s="25" t="s">
        <v>8</v>
      </c>
      <c r="B45" s="25" t="s">
        <v>245</v>
      </c>
      <c r="C45" s="25" t="s">
        <v>390</v>
      </c>
      <c r="D45" s="25">
        <v>32</v>
      </c>
      <c r="E45" s="35" cm="1">
        <f t="array" ref="E45">IFERROR(INDEX($J$5:$AVX$5, _xlfn.AGGREGATE(15,6, COLUMN(J45:AVX45)-COLUMN(J45)+1 / (J45:AVX45="T"), F45)), "")</f>
        <v>46012</v>
      </c>
      <c r="F45" s="76">
        <f t="shared" si="19"/>
        <v>2</v>
      </c>
      <c r="G45" s="35" cm="1">
        <f t="array" ref="G45">IFERROR(INDEX($J$5:$AVW$5,_xlfn.AGGREGATE(14,6,(COLUMN($J45:$AVW45)-COLUMN($J45)+1)/($J45:$AVW45="T"),1)),"")</f>
        <v>46012</v>
      </c>
      <c r="H45" s="79">
        <f t="shared" si="20"/>
        <v>2</v>
      </c>
      <c r="I45" s="38" t="s">
        <v>10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25" t="s">
        <v>12</v>
      </c>
      <c r="AG45" s="27"/>
      <c r="AH45" s="27"/>
      <c r="AI45" s="27"/>
      <c r="AJ45" s="28"/>
      <c r="AK45" s="27"/>
      <c r="AL45" s="27"/>
      <c r="AM45" s="29" t="s">
        <v>16</v>
      </c>
      <c r="AN45" s="30" t="s">
        <v>13</v>
      </c>
      <c r="AO45" s="27"/>
      <c r="AP45" s="27"/>
      <c r="AQ45" s="28"/>
      <c r="AR45" s="27"/>
      <c r="AS45" s="27"/>
      <c r="AT45" s="29" t="s">
        <v>14</v>
      </c>
      <c r="AU45" s="30" t="s">
        <v>11</v>
      </c>
      <c r="AV45" s="37"/>
      <c r="AW45" s="27"/>
      <c r="AX45" s="28"/>
      <c r="AY45" s="27"/>
      <c r="AZ45" s="29" t="s">
        <v>15</v>
      </c>
      <c r="BA45" s="27"/>
      <c r="BB45" s="27"/>
      <c r="BC45" s="25">
        <v>17</v>
      </c>
      <c r="BD45" s="33"/>
      <c r="BE45" s="33"/>
      <c r="BF45" s="33"/>
      <c r="BG45" s="33"/>
      <c r="BH45" s="25" t="s">
        <v>12</v>
      </c>
      <c r="BI45" s="27"/>
      <c r="BJ45" s="27"/>
      <c r="BK45" s="27"/>
      <c r="BL45" s="28"/>
      <c r="BM45" s="27"/>
      <c r="BN45" s="27"/>
      <c r="BO45" s="29" t="s">
        <v>16</v>
      </c>
      <c r="BP45" s="30" t="s">
        <v>13</v>
      </c>
      <c r="BQ45" s="27"/>
      <c r="BR45" s="27"/>
      <c r="BS45" s="28"/>
      <c r="BT45" s="27"/>
      <c r="BU45" s="27"/>
      <c r="BV45" s="29" t="s">
        <v>14</v>
      </c>
      <c r="BW45" s="30" t="s">
        <v>11</v>
      </c>
      <c r="BX45" s="37"/>
      <c r="BY45" s="27"/>
      <c r="BZ45" s="28"/>
      <c r="CA45" s="27"/>
      <c r="CB45" s="29" t="s">
        <v>15</v>
      </c>
      <c r="CC45" s="27"/>
      <c r="CD45" s="27"/>
      <c r="CE45" s="25">
        <v>17</v>
      </c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</row>
    <row r="46" spans="1:94" x14ac:dyDescent="0.25">
      <c r="A46" s="25" t="s">
        <v>8</v>
      </c>
      <c r="B46" s="25" t="s">
        <v>246</v>
      </c>
      <c r="C46" s="25" t="s">
        <v>391</v>
      </c>
      <c r="D46" s="25">
        <v>33</v>
      </c>
      <c r="E46" s="35" cm="1">
        <f t="array" ref="E46">IFERROR(INDEX($J$5:$AVX$5, _xlfn.AGGREGATE(15,6, COLUMN(J46:AVX46)-COLUMN(J46)+1 / (J46:AVX46="T"), F46)), "")</f>
        <v>46012</v>
      </c>
      <c r="F46" s="76">
        <f t="shared" si="19"/>
        <v>2</v>
      </c>
      <c r="G46" s="35" cm="1">
        <f t="array" ref="G46">IFERROR(INDEX($J$5:$AVW$5,_xlfn.AGGREGATE(14,6,(COLUMN($J46:$AVW46)-COLUMN($J46)+1)/($J46:$AVW46="T"),1)),"")</f>
        <v>46012</v>
      </c>
      <c r="H46" s="79">
        <f t="shared" si="20"/>
        <v>2</v>
      </c>
      <c r="I46" s="38" t="s">
        <v>10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25" t="s">
        <v>12</v>
      </c>
      <c r="AG46" s="27"/>
      <c r="AH46" s="27"/>
      <c r="AI46" s="27"/>
      <c r="AJ46" s="28"/>
      <c r="AK46" s="27"/>
      <c r="AL46" s="27"/>
      <c r="AM46" s="29" t="s">
        <v>16</v>
      </c>
      <c r="AN46" s="30" t="s">
        <v>13</v>
      </c>
      <c r="AO46" s="27"/>
      <c r="AP46" s="27"/>
      <c r="AQ46" s="28"/>
      <c r="AR46" s="27"/>
      <c r="AS46" s="27"/>
      <c r="AT46" s="29" t="s">
        <v>14</v>
      </c>
      <c r="AU46" s="30" t="s">
        <v>11</v>
      </c>
      <c r="AV46" s="37"/>
      <c r="AW46" s="27"/>
      <c r="AX46" s="28"/>
      <c r="AY46" s="27"/>
      <c r="AZ46" s="29" t="s">
        <v>15</v>
      </c>
      <c r="BA46" s="27"/>
      <c r="BB46" s="27"/>
      <c r="BC46" s="25">
        <v>17</v>
      </c>
      <c r="BD46" s="33"/>
      <c r="BE46" s="33"/>
      <c r="BF46" s="33"/>
      <c r="BG46" s="33"/>
      <c r="BH46" s="25" t="s">
        <v>12</v>
      </c>
      <c r="BI46" s="27"/>
      <c r="BJ46" s="27"/>
      <c r="BK46" s="27"/>
      <c r="BL46" s="28"/>
      <c r="BM46" s="27"/>
      <c r="BN46" s="27"/>
      <c r="BO46" s="29" t="s">
        <v>16</v>
      </c>
      <c r="BP46" s="30" t="s">
        <v>13</v>
      </c>
      <c r="BQ46" s="27"/>
      <c r="BR46" s="27"/>
      <c r="BS46" s="28"/>
      <c r="BT46" s="27"/>
      <c r="BU46" s="27"/>
      <c r="BV46" s="29" t="s">
        <v>14</v>
      </c>
      <c r="BW46" s="30" t="s">
        <v>11</v>
      </c>
      <c r="BX46" s="37"/>
      <c r="BY46" s="27"/>
      <c r="BZ46" s="28"/>
      <c r="CA46" s="27"/>
      <c r="CB46" s="29" t="s">
        <v>15</v>
      </c>
      <c r="CC46" s="27"/>
      <c r="CD46" s="27"/>
      <c r="CE46" s="25">
        <v>17</v>
      </c>
      <c r="CF46" s="33"/>
      <c r="CG46" s="33"/>
      <c r="CH46" s="33"/>
      <c r="CI46" s="33"/>
      <c r="CJ46" s="33"/>
      <c r="CK46" s="33"/>
      <c r="CL46" s="33"/>
      <c r="CM46" s="33"/>
      <c r="CN46" s="33"/>
      <c r="CO46" s="33"/>
      <c r="CP46" s="33"/>
    </row>
    <row r="47" spans="1:94" x14ac:dyDescent="0.25">
      <c r="A47" s="25" t="s">
        <v>8</v>
      </c>
      <c r="B47" s="25" t="s">
        <v>247</v>
      </c>
      <c r="C47" s="25" t="s">
        <v>392</v>
      </c>
      <c r="D47" s="25">
        <v>34</v>
      </c>
      <c r="E47" s="35" cm="1">
        <f t="array" ref="E47">IFERROR(INDEX($J$5:$AVX$5, _xlfn.AGGREGATE(15,6, COLUMN(J47:AVX47)-COLUMN(J47)+1 / (J47:AVX47="T"), F47)), "")</f>
        <v>46012</v>
      </c>
      <c r="F47" s="76">
        <f t="shared" si="19"/>
        <v>2</v>
      </c>
      <c r="G47" s="35" cm="1">
        <f t="array" ref="G47">IFERROR(INDEX($J$5:$AVW$5,_xlfn.AGGREGATE(14,6,(COLUMN($J47:$AVW47)-COLUMN($J47)+1)/($J47:$AVW47="T"),1)),"")</f>
        <v>46012</v>
      </c>
      <c r="H47" s="79">
        <f t="shared" si="20"/>
        <v>2</v>
      </c>
      <c r="I47" s="38" t="s">
        <v>10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25" t="s">
        <v>12</v>
      </c>
      <c r="AG47" s="27"/>
      <c r="AH47" s="27"/>
      <c r="AI47" s="27"/>
      <c r="AJ47" s="28"/>
      <c r="AK47" s="27"/>
      <c r="AL47" s="27"/>
      <c r="AM47" s="29" t="s">
        <v>16</v>
      </c>
      <c r="AN47" s="30" t="s">
        <v>13</v>
      </c>
      <c r="AO47" s="27"/>
      <c r="AP47" s="27"/>
      <c r="AQ47" s="28"/>
      <c r="AR47" s="27"/>
      <c r="AS47" s="27"/>
      <c r="AT47" s="29" t="s">
        <v>14</v>
      </c>
      <c r="AU47" s="30" t="s">
        <v>11</v>
      </c>
      <c r="AV47" s="37"/>
      <c r="AW47" s="27"/>
      <c r="AX47" s="28"/>
      <c r="AY47" s="27"/>
      <c r="AZ47" s="29" t="s">
        <v>15</v>
      </c>
      <c r="BA47" s="27"/>
      <c r="BB47" s="27"/>
      <c r="BC47" s="25">
        <v>17</v>
      </c>
      <c r="BD47" s="33"/>
      <c r="BE47" s="33"/>
      <c r="BF47" s="33"/>
      <c r="BG47" s="33"/>
      <c r="BH47" s="25" t="s">
        <v>12</v>
      </c>
      <c r="BI47" s="27"/>
      <c r="BJ47" s="27"/>
      <c r="BK47" s="27"/>
      <c r="BL47" s="28"/>
      <c r="BM47" s="27"/>
      <c r="BN47" s="27"/>
      <c r="BO47" s="29" t="s">
        <v>16</v>
      </c>
      <c r="BP47" s="30" t="s">
        <v>13</v>
      </c>
      <c r="BQ47" s="27"/>
      <c r="BR47" s="27"/>
      <c r="BS47" s="28"/>
      <c r="BT47" s="27"/>
      <c r="BU47" s="27"/>
      <c r="BV47" s="29" t="s">
        <v>14</v>
      </c>
      <c r="BW47" s="30" t="s">
        <v>11</v>
      </c>
      <c r="BX47" s="37"/>
      <c r="BY47" s="27"/>
      <c r="BZ47" s="28"/>
      <c r="CA47" s="27"/>
      <c r="CB47" s="29" t="s">
        <v>15</v>
      </c>
      <c r="CC47" s="27"/>
      <c r="CD47" s="27"/>
      <c r="CE47" s="25">
        <v>17</v>
      </c>
      <c r="CF47" s="33"/>
      <c r="CG47" s="33"/>
      <c r="CH47" s="33"/>
      <c r="CI47" s="33"/>
      <c r="CJ47" s="33"/>
      <c r="CK47" s="33"/>
      <c r="CL47" s="33"/>
      <c r="CM47" s="33"/>
      <c r="CN47" s="33"/>
      <c r="CO47" s="33"/>
      <c r="CP47" s="33"/>
    </row>
    <row r="48" spans="1:94" x14ac:dyDescent="0.25">
      <c r="A48" s="25" t="s">
        <v>8</v>
      </c>
      <c r="B48" s="25" t="s">
        <v>248</v>
      </c>
      <c r="C48" s="25" t="s">
        <v>393</v>
      </c>
      <c r="D48" s="25">
        <v>35</v>
      </c>
      <c r="E48" s="35" cm="1">
        <f t="array" ref="E48">IFERROR(INDEX($J$5:$AVX$5, _xlfn.AGGREGATE(15,6, COLUMN(J48:AVX48)-COLUMN(J48)+1 / (J48:AVX48="T"), F48)), "")</f>
        <v>46013</v>
      </c>
      <c r="F48" s="76">
        <f t="shared" si="19"/>
        <v>2</v>
      </c>
      <c r="G48" s="35" cm="1">
        <f t="array" ref="G48">IFERROR(INDEX($J$5:$AVW$5,_xlfn.AGGREGATE(14,6,(COLUMN($J48:$AVW48)-COLUMN($J48)+1)/($J48:$AVW48="T"),1)),"")</f>
        <v>46013</v>
      </c>
      <c r="H48" s="79">
        <f t="shared" si="20"/>
        <v>2</v>
      </c>
      <c r="I48" s="38" t="s">
        <v>10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25" t="s">
        <v>12</v>
      </c>
      <c r="AH48" s="27"/>
      <c r="AI48" s="27"/>
      <c r="AJ48" s="27"/>
      <c r="AK48" s="28"/>
      <c r="AL48" s="27"/>
      <c r="AM48" s="27"/>
      <c r="AN48" s="29" t="s">
        <v>16</v>
      </c>
      <c r="AO48" s="30" t="s">
        <v>13</v>
      </c>
      <c r="AP48" s="27"/>
      <c r="AQ48" s="27"/>
      <c r="AR48" s="28"/>
      <c r="AS48" s="27"/>
      <c r="AT48" s="27"/>
      <c r="AU48" s="32" t="s">
        <v>14</v>
      </c>
      <c r="AV48" s="30" t="s">
        <v>11</v>
      </c>
      <c r="AW48" s="27"/>
      <c r="AX48" s="27"/>
      <c r="AY48" s="28"/>
      <c r="AZ48" s="27"/>
      <c r="BA48" s="29" t="s">
        <v>15</v>
      </c>
      <c r="BB48" s="27"/>
      <c r="BC48" s="27"/>
      <c r="BD48" s="25">
        <v>17</v>
      </c>
      <c r="BE48" s="33"/>
      <c r="BF48" s="33"/>
      <c r="BG48" s="33"/>
      <c r="BH48" s="33"/>
      <c r="BI48" s="25" t="s">
        <v>12</v>
      </c>
      <c r="BJ48" s="27"/>
      <c r="BK48" s="27"/>
      <c r="BL48" s="27"/>
      <c r="BM48" s="28"/>
      <c r="BN48" s="27"/>
      <c r="BO48" s="27"/>
      <c r="BP48" s="29" t="s">
        <v>16</v>
      </c>
      <c r="BQ48" s="30" t="s">
        <v>13</v>
      </c>
      <c r="BR48" s="27"/>
      <c r="BS48" s="27"/>
      <c r="BT48" s="28"/>
      <c r="BU48" s="27"/>
      <c r="BV48" s="27"/>
      <c r="BW48" s="29" t="s">
        <v>14</v>
      </c>
      <c r="BX48" s="30" t="s">
        <v>11</v>
      </c>
      <c r="BY48" s="37"/>
      <c r="BZ48" s="27"/>
      <c r="CA48" s="28"/>
      <c r="CB48" s="27"/>
      <c r="CC48" s="29" t="s">
        <v>15</v>
      </c>
      <c r="CD48" s="27"/>
      <c r="CE48" s="27"/>
      <c r="CF48" s="25">
        <v>17</v>
      </c>
      <c r="CG48" s="33"/>
      <c r="CH48" s="33"/>
      <c r="CI48" s="33"/>
      <c r="CJ48" s="33"/>
      <c r="CK48" s="33"/>
      <c r="CL48" s="33"/>
      <c r="CM48" s="33"/>
      <c r="CN48" s="33"/>
      <c r="CO48" s="33"/>
      <c r="CP48" s="33"/>
    </row>
    <row r="49" spans="1:94" x14ac:dyDescent="0.25">
      <c r="A49" s="25" t="s">
        <v>8</v>
      </c>
      <c r="B49" s="25" t="s">
        <v>249</v>
      </c>
      <c r="C49" s="25" t="s">
        <v>394</v>
      </c>
      <c r="D49" s="25">
        <v>36</v>
      </c>
      <c r="E49" s="35" cm="1">
        <f t="array" ref="E49">IFERROR(INDEX($J$5:$AVX$5, _xlfn.AGGREGATE(15,6, COLUMN(J49:AVX49)-COLUMN(J49)+1 / (J49:AVX49="T"), F49)), "")</f>
        <v>46013</v>
      </c>
      <c r="F49" s="76">
        <f t="shared" si="19"/>
        <v>2</v>
      </c>
      <c r="G49" s="35" cm="1">
        <f t="array" ref="G49">IFERROR(INDEX($J$5:$AVW$5,_xlfn.AGGREGATE(14,6,(COLUMN($J49:$AVW49)-COLUMN($J49)+1)/($J49:$AVW49="T"),1)),"")</f>
        <v>46013</v>
      </c>
      <c r="H49" s="79">
        <f t="shared" si="20"/>
        <v>2</v>
      </c>
      <c r="I49" s="38" t="s">
        <v>10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25" t="s">
        <v>12</v>
      </c>
      <c r="AH49" s="27"/>
      <c r="AI49" s="27"/>
      <c r="AJ49" s="27"/>
      <c r="AK49" s="28"/>
      <c r="AL49" s="27"/>
      <c r="AM49" s="27"/>
      <c r="AN49" s="29" t="s">
        <v>16</v>
      </c>
      <c r="AO49" s="30" t="s">
        <v>13</v>
      </c>
      <c r="AP49" s="27"/>
      <c r="AQ49" s="27"/>
      <c r="AR49" s="28"/>
      <c r="AS49" s="27"/>
      <c r="AT49" s="27"/>
      <c r="AU49" s="32" t="s">
        <v>14</v>
      </c>
      <c r="AV49" s="30" t="s">
        <v>11</v>
      </c>
      <c r="AW49" s="27"/>
      <c r="AX49" s="27"/>
      <c r="AY49" s="28"/>
      <c r="AZ49" s="27"/>
      <c r="BA49" s="29" t="s">
        <v>15</v>
      </c>
      <c r="BB49" s="27"/>
      <c r="BC49" s="27"/>
      <c r="BD49" s="25">
        <v>17</v>
      </c>
      <c r="BE49" s="33"/>
      <c r="BF49" s="33"/>
      <c r="BG49" s="33"/>
      <c r="BH49" s="33"/>
      <c r="BI49" s="25" t="s">
        <v>12</v>
      </c>
      <c r="BJ49" s="27"/>
      <c r="BK49" s="27"/>
      <c r="BL49" s="27"/>
      <c r="BM49" s="28"/>
      <c r="BN49" s="27"/>
      <c r="BO49" s="27"/>
      <c r="BP49" s="29" t="s">
        <v>16</v>
      </c>
      <c r="BQ49" s="30" t="s">
        <v>13</v>
      </c>
      <c r="BR49" s="27"/>
      <c r="BS49" s="27"/>
      <c r="BT49" s="28"/>
      <c r="BU49" s="27"/>
      <c r="BV49" s="27"/>
      <c r="BW49" s="29" t="s">
        <v>14</v>
      </c>
      <c r="BX49" s="30" t="s">
        <v>11</v>
      </c>
      <c r="BY49" s="37"/>
      <c r="BZ49" s="27"/>
      <c r="CA49" s="28"/>
      <c r="CB49" s="27"/>
      <c r="CC49" s="29" t="s">
        <v>15</v>
      </c>
      <c r="CD49" s="27"/>
      <c r="CE49" s="27"/>
      <c r="CF49" s="25">
        <v>17</v>
      </c>
      <c r="CG49" s="33"/>
      <c r="CH49" s="33"/>
      <c r="CI49" s="33"/>
      <c r="CJ49" s="33"/>
      <c r="CK49" s="33"/>
      <c r="CL49" s="33"/>
      <c r="CM49" s="33"/>
      <c r="CN49" s="33"/>
      <c r="CO49" s="33"/>
      <c r="CP49" s="33"/>
    </row>
    <row r="50" spans="1:94" x14ac:dyDescent="0.25">
      <c r="A50" s="25" t="s">
        <v>8</v>
      </c>
      <c r="B50" s="25" t="s">
        <v>250</v>
      </c>
      <c r="C50" s="25" t="s">
        <v>395</v>
      </c>
      <c r="D50" s="25">
        <v>37</v>
      </c>
      <c r="E50" s="35" t="str" cm="1">
        <f t="array" ref="E50">IFERROR(INDEX($J$5:$AVX$5, _xlfn.AGGREGATE(15,6, COLUMN(J50:AVX50)-COLUMN(J50)+1 / (J50:AVX50="T"), F50)), "")</f>
        <v/>
      </c>
      <c r="F50" s="76">
        <f t="shared" si="19"/>
        <v>2</v>
      </c>
      <c r="G50" s="35" cm="1">
        <f t="array" ref="G50">IFERROR(INDEX($J$5:$AVW$5,_xlfn.AGGREGATE(14,6,(COLUMN($J50:$AVW50)-COLUMN($J50)+1)/($J50:$AVW50="T"),1)),"")</f>
        <v>45986</v>
      </c>
      <c r="H50" s="79">
        <f t="shared" si="20"/>
        <v>1</v>
      </c>
      <c r="I50" s="38" t="s">
        <v>10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25" t="s">
        <v>12</v>
      </c>
      <c r="AI50" s="27"/>
      <c r="AJ50" s="27"/>
      <c r="AK50" s="27"/>
      <c r="AL50" s="28"/>
      <c r="AM50" s="27"/>
      <c r="AN50" s="27"/>
      <c r="AO50" s="29" t="s">
        <v>16</v>
      </c>
      <c r="AP50" s="30" t="s">
        <v>13</v>
      </c>
      <c r="AQ50" s="27"/>
      <c r="AR50" s="27"/>
      <c r="AS50" s="28"/>
      <c r="AT50" s="27"/>
      <c r="AU50" s="27"/>
      <c r="AV50" s="32" t="s">
        <v>14</v>
      </c>
      <c r="AW50" s="30" t="s">
        <v>11</v>
      </c>
      <c r="AX50" s="27"/>
      <c r="AY50" s="27"/>
      <c r="AZ50" s="28"/>
      <c r="BA50" s="27"/>
      <c r="BB50" s="29" t="s">
        <v>15</v>
      </c>
      <c r="BC50" s="27"/>
      <c r="BD50" s="27"/>
      <c r="BE50" s="25">
        <v>17</v>
      </c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33"/>
      <c r="CK50" s="33"/>
      <c r="CL50" s="33"/>
      <c r="CM50" s="33"/>
      <c r="CN50" s="33"/>
      <c r="CO50" s="33"/>
      <c r="CP50" s="33"/>
    </row>
    <row r="51" spans="1:94" s="40" customFormat="1" x14ac:dyDescent="0.25">
      <c r="A51" s="39" t="s">
        <v>8</v>
      </c>
      <c r="B51" s="39" t="s">
        <v>251</v>
      </c>
      <c r="C51" s="25" t="s">
        <v>396</v>
      </c>
      <c r="D51" s="25">
        <v>38</v>
      </c>
      <c r="E51" s="35" t="str" cm="1">
        <f t="array" ref="E51">IFERROR(INDEX($J$5:$AVX$5, _xlfn.AGGREGATE(15,6, COLUMN(J51:AVX51)-COLUMN(J51)+1 / (J51:AVX51="T"), F51)), "")</f>
        <v/>
      </c>
      <c r="F51" s="76">
        <f t="shared" si="19"/>
        <v>2</v>
      </c>
      <c r="G51" s="35" cm="1">
        <f t="array" ref="G51">IFERROR(INDEX($J$5:$AVW$5,_xlfn.AGGREGATE(14,6,(COLUMN($J51:$AVW51)-COLUMN($J51)+1)/($J51:$AVW51="T"),1)),"")</f>
        <v>45986</v>
      </c>
      <c r="H51" s="79">
        <f t="shared" si="20"/>
        <v>1</v>
      </c>
      <c r="I51" s="44" t="s">
        <v>10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25" t="s">
        <v>12</v>
      </c>
      <c r="AI51" s="27"/>
      <c r="AJ51" s="27"/>
      <c r="AK51" s="27"/>
      <c r="AL51" s="28"/>
      <c r="AM51" s="27"/>
      <c r="AN51" s="27"/>
      <c r="AO51" s="29" t="s">
        <v>16</v>
      </c>
      <c r="AP51" s="30" t="s">
        <v>13</v>
      </c>
      <c r="AQ51" s="27"/>
      <c r="AR51" s="27"/>
      <c r="AS51" s="28"/>
      <c r="AT51" s="27"/>
      <c r="AU51" s="27"/>
      <c r="AV51" s="32" t="s">
        <v>14</v>
      </c>
      <c r="AW51" s="30" t="s">
        <v>11</v>
      </c>
      <c r="AX51" s="27"/>
      <c r="AY51" s="27"/>
      <c r="AZ51" s="28"/>
      <c r="BA51" s="27"/>
      <c r="BB51" s="29" t="s">
        <v>15</v>
      </c>
      <c r="BC51" s="27"/>
      <c r="BD51" s="27"/>
      <c r="BE51" s="25">
        <v>17</v>
      </c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</row>
    <row r="52" spans="1:94" s="40" customFormat="1" x14ac:dyDescent="0.25">
      <c r="A52" s="45" t="s">
        <v>8</v>
      </c>
      <c r="B52" s="45" t="s">
        <v>252</v>
      </c>
      <c r="C52" s="25" t="s">
        <v>397</v>
      </c>
      <c r="D52" s="25">
        <v>39</v>
      </c>
      <c r="E52" s="35" t="str" cm="1">
        <f t="array" ref="E52">IFERROR(INDEX($J$5:$AVX$5, _xlfn.AGGREGATE(15,6, COLUMN(J52:AVX52)-COLUMN(J52)+1 / (J52:AVX52="T"), F52)), "")</f>
        <v/>
      </c>
      <c r="F52" s="76">
        <f t="shared" si="19"/>
        <v>2</v>
      </c>
      <c r="G52" s="35" cm="1">
        <f t="array" ref="G52">IFERROR(INDEX($J$5:$AVW$5,_xlfn.AGGREGATE(14,6,(COLUMN($J52:$AVW52)-COLUMN($J52)+1)/($J52:$AVW52="T"),1)),"")</f>
        <v>45986</v>
      </c>
      <c r="H52" s="79">
        <f t="shared" si="20"/>
        <v>1</v>
      </c>
      <c r="I52" s="46" t="s">
        <v>10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25" t="s">
        <v>12</v>
      </c>
      <c r="AI52" s="27"/>
      <c r="AJ52" s="27"/>
      <c r="AK52" s="27"/>
      <c r="AL52" s="28"/>
      <c r="AM52" s="27"/>
      <c r="AN52" s="27"/>
      <c r="AO52" s="29" t="s">
        <v>16</v>
      </c>
      <c r="AP52" s="30" t="s">
        <v>13</v>
      </c>
      <c r="AQ52" s="27"/>
      <c r="AR52" s="27"/>
      <c r="AS52" s="28"/>
      <c r="AT52" s="27"/>
      <c r="AU52" s="27"/>
      <c r="AV52" s="32" t="s">
        <v>14</v>
      </c>
      <c r="AW52" s="30" t="s">
        <v>11</v>
      </c>
      <c r="AX52" s="27"/>
      <c r="AY52" s="27"/>
      <c r="AZ52" s="28"/>
      <c r="BA52" s="27"/>
      <c r="BB52" s="29" t="s">
        <v>15</v>
      </c>
      <c r="BC52" s="27"/>
      <c r="BD52" s="27"/>
      <c r="BE52" s="25">
        <v>17</v>
      </c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</row>
    <row r="53" spans="1:94" s="40" customFormat="1" x14ac:dyDescent="0.25">
      <c r="A53" s="39" t="s">
        <v>8</v>
      </c>
      <c r="B53" s="39" t="s">
        <v>253</v>
      </c>
      <c r="C53" s="25" t="s">
        <v>398</v>
      </c>
      <c r="D53" s="25">
        <v>40</v>
      </c>
      <c r="E53" s="35" t="str" cm="1">
        <f t="array" ref="E53">IFERROR(INDEX($J$5:$AVX$5, _xlfn.AGGREGATE(15,6, COLUMN(J53:AVX53)-COLUMN(J53)+1 / (J53:AVX53="T"), F53)), "")</f>
        <v/>
      </c>
      <c r="F53" s="76">
        <f t="shared" si="19"/>
        <v>2</v>
      </c>
      <c r="G53" s="35" t="str" cm="1">
        <f t="array" ref="G53">IFERROR(INDEX($J$5:$AVW$5,_xlfn.AGGREGATE(14,6,(COLUMN($J53:$AVW53)-COLUMN($J53)+1)/($J53:$AVW53="T"),1)),"")</f>
        <v/>
      </c>
      <c r="H53" s="79">
        <f t="shared" si="20"/>
        <v>0</v>
      </c>
      <c r="I53" s="44" t="s">
        <v>10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</row>
    <row r="54" spans="1:94" x14ac:dyDescent="0.25">
      <c r="A54" s="45" t="s">
        <v>8</v>
      </c>
      <c r="B54" s="45" t="s">
        <v>254</v>
      </c>
      <c r="C54" s="25" t="s">
        <v>399</v>
      </c>
      <c r="D54" s="25">
        <v>41</v>
      </c>
      <c r="E54" s="35" t="str" cm="1">
        <f t="array" ref="E54">IFERROR(INDEX($J$5:$AVX$5, _xlfn.AGGREGATE(15,6, COLUMN(J54:AVX54)-COLUMN(J54)+1 / (J54:AVX54="T"), F54)), "")</f>
        <v/>
      </c>
      <c r="F54" s="76">
        <f t="shared" si="19"/>
        <v>2</v>
      </c>
      <c r="G54" s="35" t="str" cm="1">
        <f t="array" ref="G54">IFERROR(INDEX($J$5:$AVW$5,_xlfn.AGGREGATE(14,6,(COLUMN($J54:$AVW54)-COLUMN($J54)+1)/($J54:$AVW54="T"),1)),"")</f>
        <v/>
      </c>
      <c r="H54" s="79">
        <f t="shared" si="20"/>
        <v>0</v>
      </c>
      <c r="I54" s="44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</row>
    <row r="55" spans="1:94" x14ac:dyDescent="0.25">
      <c r="A55" s="45" t="s">
        <v>8</v>
      </c>
      <c r="B55" s="45" t="s">
        <v>255</v>
      </c>
      <c r="C55" s="25" t="s">
        <v>400</v>
      </c>
      <c r="D55" s="25">
        <v>42</v>
      </c>
      <c r="E55" s="35" t="str" cm="1">
        <f t="array" ref="E55">IFERROR(INDEX($J$5:$AVX$5, _xlfn.AGGREGATE(15,6, COLUMN(J55:AVX55)-COLUMN(J55)+1 / (J55:AVX55="T"), F55)), "")</f>
        <v/>
      </c>
      <c r="F55" s="76">
        <f t="shared" si="19"/>
        <v>2</v>
      </c>
      <c r="G55" s="35" t="str" cm="1">
        <f t="array" ref="G55">IFERROR(INDEX($J$5:$AVW$5,_xlfn.AGGREGATE(14,6,(COLUMN($J55:$AVW55)-COLUMN($J55)+1)/($J55:$AVW55="T"),1)),"")</f>
        <v/>
      </c>
      <c r="H55" s="79">
        <f t="shared" si="20"/>
        <v>0</v>
      </c>
      <c r="I55" s="44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</row>
    <row r="56" spans="1:94" x14ac:dyDescent="0.25">
      <c r="A56" s="45" t="s">
        <v>8</v>
      </c>
      <c r="B56" s="45" t="s">
        <v>256</v>
      </c>
      <c r="C56" s="25" t="s">
        <v>401</v>
      </c>
      <c r="D56" s="25">
        <v>43</v>
      </c>
      <c r="E56" s="35" t="str" cm="1">
        <f t="array" ref="E56">IFERROR(INDEX($J$5:$AVX$5, _xlfn.AGGREGATE(15,6, COLUMN(J56:AVX56)-COLUMN(J56)+1 / (J56:AVX56="T"), F56)), "")</f>
        <v/>
      </c>
      <c r="F56" s="76">
        <f t="shared" si="19"/>
        <v>2</v>
      </c>
      <c r="G56" s="35" t="str" cm="1">
        <f t="array" ref="G56">IFERROR(INDEX($J$5:$AVW$5,_xlfn.AGGREGATE(14,6,(COLUMN($J56:$AVW56)-COLUMN($J56)+1)/($J56:$AVW56="T"),1)),"")</f>
        <v/>
      </c>
      <c r="H56" s="79">
        <f t="shared" si="20"/>
        <v>0</v>
      </c>
      <c r="I56" s="44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</row>
    <row r="57" spans="1:94" x14ac:dyDescent="0.25">
      <c r="A57" s="45" t="s">
        <v>8</v>
      </c>
      <c r="B57" s="45" t="s">
        <v>257</v>
      </c>
      <c r="C57" s="25" t="s">
        <v>402</v>
      </c>
      <c r="D57" s="25">
        <v>44</v>
      </c>
      <c r="E57" s="35" t="str" cm="1">
        <f t="array" ref="E57">IFERROR(INDEX($J$5:$AVX$5, _xlfn.AGGREGATE(15,6, COLUMN(J57:AVX57)-COLUMN(J57)+1 / (J57:AVX57="T"), F57)), "")</f>
        <v/>
      </c>
      <c r="F57" s="76">
        <f t="shared" si="19"/>
        <v>2</v>
      </c>
      <c r="G57" s="35" t="str" cm="1">
        <f t="array" ref="G57">IFERROR(INDEX($J$5:$AVW$5,_xlfn.AGGREGATE(14,6,(COLUMN($J57:$AVW57)-COLUMN($J57)+1)/($J57:$AVW57="T"),1)),"")</f>
        <v/>
      </c>
      <c r="H57" s="79">
        <f t="shared" si="20"/>
        <v>0</v>
      </c>
      <c r="I57" s="44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</row>
    <row r="58" spans="1:94" x14ac:dyDescent="0.25">
      <c r="A58" s="45" t="s">
        <v>8</v>
      </c>
      <c r="B58" s="45" t="s">
        <v>258</v>
      </c>
      <c r="C58" s="25" t="s">
        <v>403</v>
      </c>
      <c r="D58" s="25">
        <v>45</v>
      </c>
      <c r="E58" s="35" t="str" cm="1">
        <f t="array" ref="E58">IFERROR(INDEX($J$5:$AVX$5, _xlfn.AGGREGATE(15,6, COLUMN(J58:AVX58)-COLUMN(J58)+1 / (J58:AVX58="T"), F58)), "")</f>
        <v/>
      </c>
      <c r="F58" s="76">
        <f t="shared" si="19"/>
        <v>2</v>
      </c>
      <c r="G58" s="35" t="str" cm="1">
        <f t="array" ref="G58">IFERROR(INDEX($J$5:$AVW$5,_xlfn.AGGREGATE(14,6,(COLUMN($J58:$AVW58)-COLUMN($J58)+1)/($J58:$AVW58="T"),1)),"")</f>
        <v/>
      </c>
      <c r="H58" s="79">
        <f t="shared" si="20"/>
        <v>0</v>
      </c>
      <c r="I58" s="44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</row>
    <row r="59" spans="1:94" x14ac:dyDescent="0.25">
      <c r="A59" s="45" t="s">
        <v>8</v>
      </c>
      <c r="B59" s="45" t="s">
        <v>259</v>
      </c>
      <c r="C59" s="25" t="s">
        <v>404</v>
      </c>
      <c r="D59" s="25">
        <v>46</v>
      </c>
      <c r="E59" s="35" t="str" cm="1">
        <f t="array" ref="E59">IFERROR(INDEX($J$5:$AVX$5, _xlfn.AGGREGATE(15,6, COLUMN(J59:AVX59)-COLUMN(J59)+1 / (J59:AVX59="T"), F59)), "")</f>
        <v/>
      </c>
      <c r="F59" s="76">
        <f t="shared" si="19"/>
        <v>2</v>
      </c>
      <c r="G59" s="35" cm="1">
        <f t="array" ref="G59">IFERROR(INDEX($J$5:$AVW$5,_xlfn.AGGREGATE(14,6,(COLUMN($J59:$AVW59)-COLUMN($J59)+1)/($J59:$AVW59="T"),1)),"")</f>
        <v>45987</v>
      </c>
      <c r="H59" s="79">
        <f t="shared" si="20"/>
        <v>1</v>
      </c>
      <c r="I59" s="44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25" t="s">
        <v>12</v>
      </c>
      <c r="AJ59" s="27"/>
      <c r="AK59" s="27"/>
      <c r="AL59" s="27"/>
      <c r="AM59" s="28"/>
      <c r="AN59" s="27"/>
      <c r="AO59" s="27"/>
      <c r="AP59" s="29" t="s">
        <v>16</v>
      </c>
      <c r="AQ59" s="30" t="s">
        <v>13</v>
      </c>
      <c r="AR59" s="27"/>
      <c r="AS59" s="27"/>
      <c r="AT59" s="28"/>
      <c r="AU59" s="27"/>
      <c r="AV59" s="27"/>
      <c r="AW59" s="32" t="s">
        <v>14</v>
      </c>
      <c r="AX59" s="30" t="s">
        <v>11</v>
      </c>
      <c r="AY59" s="27"/>
      <c r="AZ59" s="27"/>
      <c r="BA59" s="28"/>
      <c r="BB59" s="27"/>
      <c r="BC59" s="29" t="s">
        <v>15</v>
      </c>
      <c r="BD59" s="27"/>
      <c r="BE59" s="27"/>
      <c r="BF59" s="25">
        <v>17</v>
      </c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</row>
    <row r="60" spans="1:94" x14ac:dyDescent="0.25">
      <c r="A60" s="45" t="s">
        <v>8</v>
      </c>
      <c r="B60" s="45" t="s">
        <v>260</v>
      </c>
      <c r="C60" s="25" t="s">
        <v>405</v>
      </c>
      <c r="D60" s="25">
        <v>47</v>
      </c>
      <c r="E60" s="35" cm="1">
        <f t="array" ref="E60">IFERROR(INDEX($J$5:$AVX$5, _xlfn.AGGREGATE(15,6, COLUMN(J60:AVX60)-COLUMN(J60)+1 / (J60:AVX60="T"), F60)), "")</f>
        <v>46014</v>
      </c>
      <c r="F60" s="76">
        <f t="shared" si="19"/>
        <v>2</v>
      </c>
      <c r="G60" s="35" cm="1">
        <f t="array" ref="G60">IFERROR(INDEX($J$5:$AVW$5,_xlfn.AGGREGATE(14,6,(COLUMN($J60:$AVW60)-COLUMN($J60)+1)/($J60:$AVW60="T"),1)),"")</f>
        <v>46014</v>
      </c>
      <c r="H60" s="79">
        <f t="shared" si="20"/>
        <v>2</v>
      </c>
      <c r="I60" s="44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25" t="s">
        <v>12</v>
      </c>
      <c r="AJ60" s="27"/>
      <c r="AK60" s="27"/>
      <c r="AL60" s="27"/>
      <c r="AM60" s="28"/>
      <c r="AN60" s="27"/>
      <c r="AO60" s="27"/>
      <c r="AP60" s="29" t="s">
        <v>16</v>
      </c>
      <c r="AQ60" s="30" t="s">
        <v>13</v>
      </c>
      <c r="AR60" s="27"/>
      <c r="AS60" s="27"/>
      <c r="AT60" s="28"/>
      <c r="AU60" s="27"/>
      <c r="AV60" s="27"/>
      <c r="AW60" s="32" t="s">
        <v>14</v>
      </c>
      <c r="AX60" s="30" t="s">
        <v>11</v>
      </c>
      <c r="AY60" s="27"/>
      <c r="AZ60" s="27"/>
      <c r="BA60" s="28"/>
      <c r="BB60" s="27"/>
      <c r="BC60" s="29" t="s">
        <v>15</v>
      </c>
      <c r="BD60" s="27"/>
      <c r="BE60" s="27"/>
      <c r="BF60" s="25">
        <v>17</v>
      </c>
      <c r="BG60" s="33"/>
      <c r="BH60" s="33"/>
      <c r="BI60" s="33"/>
      <c r="BJ60" s="25" t="s">
        <v>12</v>
      </c>
      <c r="BK60" s="27"/>
      <c r="BL60" s="27"/>
      <c r="BM60" s="27"/>
      <c r="BN60" s="28"/>
      <c r="BO60" s="27"/>
      <c r="BP60" s="27"/>
      <c r="BQ60" s="29" t="s">
        <v>16</v>
      </c>
      <c r="BR60" s="30" t="s">
        <v>13</v>
      </c>
      <c r="BS60" s="27"/>
      <c r="BT60" s="27"/>
      <c r="BU60" s="28"/>
      <c r="BV60" s="27"/>
      <c r="BW60" s="27"/>
      <c r="BX60" s="29" t="s">
        <v>14</v>
      </c>
      <c r="BY60" s="30" t="s">
        <v>11</v>
      </c>
      <c r="BZ60" s="37"/>
      <c r="CA60" s="27"/>
      <c r="CB60" s="28"/>
      <c r="CC60" s="27"/>
      <c r="CD60" s="29" t="s">
        <v>15</v>
      </c>
      <c r="CE60" s="27"/>
      <c r="CF60" s="27"/>
      <c r="CG60" s="25">
        <v>17</v>
      </c>
      <c r="CH60" s="33"/>
      <c r="CI60" s="33"/>
      <c r="CJ60" s="33"/>
      <c r="CK60" s="33"/>
      <c r="CL60" s="33"/>
      <c r="CM60" s="33"/>
      <c r="CN60" s="33"/>
      <c r="CO60" s="33"/>
      <c r="CP60" s="33"/>
    </row>
    <row r="61" spans="1:94" x14ac:dyDescent="0.25">
      <c r="A61" s="45" t="s">
        <v>8</v>
      </c>
      <c r="B61" s="45" t="s">
        <v>261</v>
      </c>
      <c r="C61" s="25" t="s">
        <v>406</v>
      </c>
      <c r="D61" s="25">
        <v>48</v>
      </c>
      <c r="E61" s="35" cm="1">
        <f t="array" ref="E61">IFERROR(INDEX($J$5:$AVX$5, _xlfn.AGGREGATE(15,6, COLUMN(J61:AVX61)-COLUMN(J61)+1 / (J61:AVX61="T"), F61)), "")</f>
        <v>46014</v>
      </c>
      <c r="F61" s="76">
        <f t="shared" si="19"/>
        <v>2</v>
      </c>
      <c r="G61" s="35" cm="1">
        <f t="array" ref="G61">IFERROR(INDEX($J$5:$AVW$5,_xlfn.AGGREGATE(14,6,(COLUMN($J61:$AVW61)-COLUMN($J61)+1)/($J61:$AVW61="T"),1)),"")</f>
        <v>46014</v>
      </c>
      <c r="H61" s="79">
        <f t="shared" si="20"/>
        <v>2</v>
      </c>
      <c r="I61" s="44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25" t="s">
        <v>12</v>
      </c>
      <c r="AJ61" s="27"/>
      <c r="AK61" s="27"/>
      <c r="AL61" s="27"/>
      <c r="AM61" s="28"/>
      <c r="AN61" s="27"/>
      <c r="AO61" s="27"/>
      <c r="AP61" s="29" t="s">
        <v>16</v>
      </c>
      <c r="AQ61" s="30" t="s">
        <v>13</v>
      </c>
      <c r="AR61" s="27"/>
      <c r="AS61" s="27"/>
      <c r="AT61" s="28"/>
      <c r="AU61" s="27"/>
      <c r="AV61" s="27"/>
      <c r="AW61" s="32" t="s">
        <v>14</v>
      </c>
      <c r="AX61" s="30" t="s">
        <v>11</v>
      </c>
      <c r="AY61" s="27"/>
      <c r="AZ61" s="27"/>
      <c r="BA61" s="28"/>
      <c r="BB61" s="27"/>
      <c r="BC61" s="29" t="s">
        <v>15</v>
      </c>
      <c r="BD61" s="27"/>
      <c r="BE61" s="27"/>
      <c r="BF61" s="25">
        <v>17</v>
      </c>
      <c r="BG61" s="33"/>
      <c r="BH61" s="33"/>
      <c r="BI61" s="33"/>
      <c r="BJ61" s="25" t="s">
        <v>12</v>
      </c>
      <c r="BK61" s="27"/>
      <c r="BL61" s="27"/>
      <c r="BM61" s="27"/>
      <c r="BN61" s="28"/>
      <c r="BO61" s="27"/>
      <c r="BP61" s="27"/>
      <c r="BQ61" s="29" t="s">
        <v>16</v>
      </c>
      <c r="BR61" s="30" t="s">
        <v>13</v>
      </c>
      <c r="BS61" s="27"/>
      <c r="BT61" s="27"/>
      <c r="BU61" s="28"/>
      <c r="BV61" s="27"/>
      <c r="BW61" s="27"/>
      <c r="BX61" s="29" t="s">
        <v>14</v>
      </c>
      <c r="BY61" s="30" t="s">
        <v>11</v>
      </c>
      <c r="BZ61" s="37"/>
      <c r="CA61" s="27"/>
      <c r="CB61" s="28"/>
      <c r="CC61" s="27"/>
      <c r="CD61" s="29" t="s">
        <v>15</v>
      </c>
      <c r="CE61" s="27"/>
      <c r="CF61" s="27"/>
      <c r="CG61" s="25">
        <v>17</v>
      </c>
      <c r="CH61" s="33"/>
      <c r="CI61" s="33"/>
      <c r="CJ61" s="33"/>
      <c r="CK61" s="33"/>
      <c r="CL61" s="33"/>
      <c r="CM61" s="33"/>
      <c r="CN61" s="33"/>
      <c r="CO61" s="33"/>
      <c r="CP61" s="33"/>
    </row>
    <row r="62" spans="1:94" x14ac:dyDescent="0.25">
      <c r="A62" s="45" t="s">
        <v>8</v>
      </c>
      <c r="B62" s="45" t="s">
        <v>262</v>
      </c>
      <c r="C62" s="25" t="s">
        <v>407</v>
      </c>
      <c r="D62" s="25">
        <v>49</v>
      </c>
      <c r="E62" s="35" cm="1">
        <f t="array" ref="E62">IFERROR(INDEX($J$5:$AVX$5, _xlfn.AGGREGATE(15,6, COLUMN(J62:AVX62)-COLUMN(J62)+1 / (J62:AVX62="T"), F62)), "")</f>
        <v>46014</v>
      </c>
      <c r="F62" s="76">
        <f t="shared" si="19"/>
        <v>2</v>
      </c>
      <c r="G62" s="35" cm="1">
        <f t="array" ref="G62">IFERROR(INDEX($J$5:$AVW$5,_xlfn.AGGREGATE(14,6,(COLUMN($J62:$AVW62)-COLUMN($J62)+1)/($J62:$AVW62="T"),1)),"")</f>
        <v>46014</v>
      </c>
      <c r="H62" s="79">
        <f t="shared" si="20"/>
        <v>2</v>
      </c>
      <c r="I62" s="44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25" t="s">
        <v>12</v>
      </c>
      <c r="AJ62" s="27"/>
      <c r="AK62" s="27"/>
      <c r="AL62" s="27"/>
      <c r="AM62" s="28"/>
      <c r="AN62" s="27"/>
      <c r="AO62" s="27"/>
      <c r="AP62" s="29" t="s">
        <v>16</v>
      </c>
      <c r="AQ62" s="30" t="s">
        <v>13</v>
      </c>
      <c r="AR62" s="27"/>
      <c r="AS62" s="27"/>
      <c r="AT62" s="28"/>
      <c r="AU62" s="27"/>
      <c r="AV62" s="27"/>
      <c r="AW62" s="32" t="s">
        <v>14</v>
      </c>
      <c r="AX62" s="30" t="s">
        <v>11</v>
      </c>
      <c r="AY62" s="27"/>
      <c r="AZ62" s="27"/>
      <c r="BA62" s="28"/>
      <c r="BB62" s="27"/>
      <c r="BC62" s="29" t="s">
        <v>15</v>
      </c>
      <c r="BD62" s="27"/>
      <c r="BE62" s="27"/>
      <c r="BF62" s="25">
        <v>17</v>
      </c>
      <c r="BG62" s="33"/>
      <c r="BH62" s="33"/>
      <c r="BI62" s="33"/>
      <c r="BJ62" s="25" t="s">
        <v>12</v>
      </c>
      <c r="BK62" s="27"/>
      <c r="BL62" s="27"/>
      <c r="BM62" s="27"/>
      <c r="BN62" s="28"/>
      <c r="BO62" s="27"/>
      <c r="BP62" s="27"/>
      <c r="BQ62" s="29" t="s">
        <v>16</v>
      </c>
      <c r="BR62" s="30" t="s">
        <v>13</v>
      </c>
      <c r="BS62" s="27"/>
      <c r="BT62" s="27"/>
      <c r="BU62" s="28"/>
      <c r="BV62" s="27"/>
      <c r="BW62" s="27"/>
      <c r="BX62" s="29" t="s">
        <v>14</v>
      </c>
      <c r="BY62" s="30" t="s">
        <v>11</v>
      </c>
      <c r="BZ62" s="37"/>
      <c r="CA62" s="27"/>
      <c r="CB62" s="28"/>
      <c r="CC62" s="27"/>
      <c r="CD62" s="29" t="s">
        <v>15</v>
      </c>
      <c r="CE62" s="27"/>
      <c r="CF62" s="27"/>
      <c r="CG62" s="25">
        <v>17</v>
      </c>
      <c r="CH62" s="33"/>
      <c r="CI62" s="33"/>
      <c r="CJ62" s="33"/>
      <c r="CK62" s="33"/>
      <c r="CL62" s="33"/>
      <c r="CM62" s="33"/>
      <c r="CN62" s="33"/>
      <c r="CO62" s="33"/>
      <c r="CP62" s="33"/>
    </row>
    <row r="63" spans="1:94" x14ac:dyDescent="0.25">
      <c r="A63" s="45" t="s">
        <v>8</v>
      </c>
      <c r="B63" s="45" t="s">
        <v>263</v>
      </c>
      <c r="C63" s="25" t="s">
        <v>408</v>
      </c>
      <c r="D63" s="25">
        <v>50</v>
      </c>
      <c r="E63" s="35" cm="1">
        <f t="array" ref="E63">IFERROR(INDEX($J$5:$AVX$5, _xlfn.AGGREGATE(15,6, COLUMN(J63:AVX63)-COLUMN(J63)+1 / (J63:AVX63="T"), F63)), "")</f>
        <v>46014</v>
      </c>
      <c r="F63" s="76">
        <f t="shared" si="19"/>
        <v>2</v>
      </c>
      <c r="G63" s="35" cm="1">
        <f t="array" ref="G63">IFERROR(INDEX($J$5:$AVW$5,_xlfn.AGGREGATE(14,6,(COLUMN($J63:$AVW63)-COLUMN($J63)+1)/($J63:$AVW63="T"),1)),"")</f>
        <v>46014</v>
      </c>
      <c r="H63" s="79">
        <f t="shared" si="20"/>
        <v>2</v>
      </c>
      <c r="I63" s="44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25" t="s">
        <v>12</v>
      </c>
      <c r="AI63" s="27"/>
      <c r="AJ63" s="27"/>
      <c r="AK63" s="27"/>
      <c r="AL63" s="28"/>
      <c r="AM63" s="27"/>
      <c r="AN63" s="27"/>
      <c r="AO63" s="29" t="s">
        <v>16</v>
      </c>
      <c r="AP63" s="30" t="s">
        <v>13</v>
      </c>
      <c r="AQ63" s="27"/>
      <c r="AR63" s="27"/>
      <c r="AS63" s="28"/>
      <c r="AT63" s="27"/>
      <c r="AU63" s="27"/>
      <c r="AV63" s="32" t="s">
        <v>14</v>
      </c>
      <c r="AW63" s="30" t="s">
        <v>11</v>
      </c>
      <c r="AX63" s="27"/>
      <c r="AY63" s="27"/>
      <c r="AZ63" s="28"/>
      <c r="BA63" s="27"/>
      <c r="BB63" s="29" t="s">
        <v>15</v>
      </c>
      <c r="BC63" s="27"/>
      <c r="BD63" s="27"/>
      <c r="BE63" s="25">
        <v>17</v>
      </c>
      <c r="BF63" s="33"/>
      <c r="BG63" s="33"/>
      <c r="BH63" s="33"/>
      <c r="BI63" s="33"/>
      <c r="BJ63" s="25" t="s">
        <v>12</v>
      </c>
      <c r="BK63" s="27"/>
      <c r="BL63" s="27"/>
      <c r="BM63" s="27"/>
      <c r="BN63" s="28"/>
      <c r="BO63" s="27"/>
      <c r="BP63" s="27"/>
      <c r="BQ63" s="29" t="s">
        <v>16</v>
      </c>
      <c r="BR63" s="30" t="s">
        <v>13</v>
      </c>
      <c r="BS63" s="27"/>
      <c r="BT63" s="27"/>
      <c r="BU63" s="28"/>
      <c r="BV63" s="27"/>
      <c r="BW63" s="27"/>
      <c r="BX63" s="29" t="s">
        <v>14</v>
      </c>
      <c r="BY63" s="30" t="s">
        <v>11</v>
      </c>
      <c r="BZ63" s="37"/>
      <c r="CA63" s="27"/>
      <c r="CB63" s="28"/>
      <c r="CC63" s="27"/>
      <c r="CD63" s="29" t="s">
        <v>15</v>
      </c>
      <c r="CE63" s="27"/>
      <c r="CF63" s="27"/>
      <c r="CG63" s="25">
        <v>17</v>
      </c>
      <c r="CH63" s="33"/>
      <c r="CI63" s="33"/>
      <c r="CJ63" s="33"/>
      <c r="CK63" s="33"/>
      <c r="CL63" s="33"/>
      <c r="CM63" s="33"/>
      <c r="CN63" s="33"/>
      <c r="CO63" s="33"/>
      <c r="CP63" s="33"/>
    </row>
    <row r="64" spans="1:94" x14ac:dyDescent="0.25">
      <c r="A64" s="45" t="s">
        <v>8</v>
      </c>
      <c r="B64" s="45" t="s">
        <v>264</v>
      </c>
      <c r="C64" s="25" t="s">
        <v>409</v>
      </c>
      <c r="D64" s="25">
        <v>51</v>
      </c>
      <c r="E64" s="35" cm="1">
        <f t="array" ref="E64">IFERROR(INDEX($J$5:$AVX$5, _xlfn.AGGREGATE(15,6, COLUMN(J64:AVX64)-COLUMN(J64)+1 / (J64:AVX64="T"), F64)), "")</f>
        <v>46014</v>
      </c>
      <c r="F64" s="76">
        <f t="shared" si="19"/>
        <v>2</v>
      </c>
      <c r="G64" s="35" cm="1">
        <f t="array" ref="G64">IFERROR(INDEX($J$5:$AVW$5,_xlfn.AGGREGATE(14,6,(COLUMN($J64:$AVW64)-COLUMN($J64)+1)/($J64:$AVW64="T"),1)),"")</f>
        <v>46014</v>
      </c>
      <c r="H64" s="79">
        <f t="shared" si="20"/>
        <v>2</v>
      </c>
      <c r="I64" s="44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25" t="s">
        <v>12</v>
      </c>
      <c r="AI64" s="27"/>
      <c r="AJ64" s="27"/>
      <c r="AK64" s="27"/>
      <c r="AL64" s="28"/>
      <c r="AM64" s="27"/>
      <c r="AN64" s="27"/>
      <c r="AO64" s="29" t="s">
        <v>16</v>
      </c>
      <c r="AP64" s="30" t="s">
        <v>13</v>
      </c>
      <c r="AQ64" s="27"/>
      <c r="AR64" s="27"/>
      <c r="AS64" s="28"/>
      <c r="AT64" s="27"/>
      <c r="AU64" s="27"/>
      <c r="AV64" s="32" t="s">
        <v>14</v>
      </c>
      <c r="AW64" s="30" t="s">
        <v>11</v>
      </c>
      <c r="AX64" s="27"/>
      <c r="AY64" s="27"/>
      <c r="AZ64" s="28"/>
      <c r="BA64" s="27"/>
      <c r="BB64" s="29" t="s">
        <v>15</v>
      </c>
      <c r="BC64" s="27"/>
      <c r="BD64" s="27"/>
      <c r="BE64" s="25">
        <v>17</v>
      </c>
      <c r="BF64" s="33"/>
      <c r="BG64" s="33"/>
      <c r="BH64" s="33"/>
      <c r="BI64" s="33"/>
      <c r="BJ64" s="25" t="s">
        <v>12</v>
      </c>
      <c r="BK64" s="27"/>
      <c r="BL64" s="27"/>
      <c r="BM64" s="27"/>
      <c r="BN64" s="28"/>
      <c r="BO64" s="27"/>
      <c r="BP64" s="27"/>
      <c r="BQ64" s="29" t="s">
        <v>16</v>
      </c>
      <c r="BR64" s="30" t="s">
        <v>13</v>
      </c>
      <c r="BS64" s="27"/>
      <c r="BT64" s="27"/>
      <c r="BU64" s="28"/>
      <c r="BV64" s="27"/>
      <c r="BW64" s="27"/>
      <c r="BX64" s="29" t="s">
        <v>14</v>
      </c>
      <c r="BY64" s="30" t="s">
        <v>11</v>
      </c>
      <c r="BZ64" s="37"/>
      <c r="CA64" s="27"/>
      <c r="CB64" s="28"/>
      <c r="CC64" s="27"/>
      <c r="CD64" s="29" t="s">
        <v>15</v>
      </c>
      <c r="CE64" s="27"/>
      <c r="CF64" s="27"/>
      <c r="CG64" s="25">
        <v>17</v>
      </c>
      <c r="CH64" s="33"/>
      <c r="CI64" s="33"/>
      <c r="CJ64" s="33"/>
      <c r="CK64" s="33"/>
      <c r="CL64" s="33"/>
      <c r="CM64" s="33"/>
      <c r="CN64" s="33"/>
      <c r="CO64" s="33"/>
      <c r="CP64" s="33"/>
    </row>
    <row r="65" spans="1:94" x14ac:dyDescent="0.25">
      <c r="A65" s="45" t="s">
        <v>8</v>
      </c>
      <c r="B65" s="45" t="s">
        <v>265</v>
      </c>
      <c r="C65" s="25" t="s">
        <v>410</v>
      </c>
      <c r="D65" s="25">
        <v>52</v>
      </c>
      <c r="E65" s="35" cm="1">
        <f t="array" ref="E65">IFERROR(INDEX($J$5:$AVX$5, _xlfn.AGGREGATE(15,6, COLUMN(J65:AVX65)-COLUMN(J65)+1 / (J65:AVX65="T"), F65)), "")</f>
        <v>46014</v>
      </c>
      <c r="F65" s="76">
        <f t="shared" si="19"/>
        <v>2</v>
      </c>
      <c r="G65" s="35" cm="1">
        <f t="array" ref="G65">IFERROR(INDEX($J$5:$AVW$5,_xlfn.AGGREGATE(14,6,(COLUMN($J65:$AVW65)-COLUMN($J65)+1)/($J65:$AVW65="T"),1)),"")</f>
        <v>46014</v>
      </c>
      <c r="H65" s="79">
        <f t="shared" si="20"/>
        <v>2</v>
      </c>
      <c r="I65" s="44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25" t="s">
        <v>12</v>
      </c>
      <c r="AI65" s="27"/>
      <c r="AJ65" s="27"/>
      <c r="AK65" s="27"/>
      <c r="AL65" s="28"/>
      <c r="AM65" s="27"/>
      <c r="AN65" s="27"/>
      <c r="AO65" s="29" t="s">
        <v>16</v>
      </c>
      <c r="AP65" s="30" t="s">
        <v>13</v>
      </c>
      <c r="AQ65" s="27"/>
      <c r="AR65" s="27"/>
      <c r="AS65" s="28"/>
      <c r="AT65" s="27"/>
      <c r="AU65" s="27"/>
      <c r="AV65" s="32" t="s">
        <v>14</v>
      </c>
      <c r="AW65" s="30" t="s">
        <v>11</v>
      </c>
      <c r="AX65" s="27"/>
      <c r="AY65" s="27"/>
      <c r="AZ65" s="28"/>
      <c r="BA65" s="27"/>
      <c r="BB65" s="29" t="s">
        <v>15</v>
      </c>
      <c r="BC65" s="27"/>
      <c r="BD65" s="27"/>
      <c r="BE65" s="25">
        <v>17</v>
      </c>
      <c r="BF65" s="33"/>
      <c r="BG65" s="33"/>
      <c r="BH65" s="33"/>
      <c r="BI65" s="33"/>
      <c r="BJ65" s="25" t="s">
        <v>12</v>
      </c>
      <c r="BK65" s="27"/>
      <c r="BL65" s="27"/>
      <c r="BM65" s="27"/>
      <c r="BN65" s="28"/>
      <c r="BO65" s="27"/>
      <c r="BP65" s="27"/>
      <c r="BQ65" s="29" t="s">
        <v>16</v>
      </c>
      <c r="BR65" s="30" t="s">
        <v>13</v>
      </c>
      <c r="BS65" s="27"/>
      <c r="BT65" s="27"/>
      <c r="BU65" s="28"/>
      <c r="BV65" s="27"/>
      <c r="BW65" s="27"/>
      <c r="BX65" s="29" t="s">
        <v>14</v>
      </c>
      <c r="BY65" s="30" t="s">
        <v>11</v>
      </c>
      <c r="BZ65" s="37"/>
      <c r="CA65" s="27"/>
      <c r="CB65" s="28"/>
      <c r="CC65" s="27"/>
      <c r="CD65" s="29" t="s">
        <v>15</v>
      </c>
      <c r="CE65" s="27"/>
      <c r="CF65" s="27"/>
      <c r="CG65" s="25">
        <v>17</v>
      </c>
      <c r="CH65" s="33"/>
      <c r="CI65" s="33"/>
      <c r="CJ65" s="33"/>
      <c r="CK65" s="33"/>
      <c r="CL65" s="33"/>
      <c r="CM65" s="33"/>
      <c r="CN65" s="33"/>
      <c r="CO65" s="33"/>
      <c r="CP65" s="33"/>
    </row>
    <row r="66" spans="1:94" x14ac:dyDescent="0.25">
      <c r="A66" s="45" t="s">
        <v>8</v>
      </c>
      <c r="B66" s="45" t="s">
        <v>266</v>
      </c>
      <c r="C66" s="25" t="s">
        <v>411</v>
      </c>
      <c r="D66" s="25">
        <v>53</v>
      </c>
      <c r="E66" s="35" cm="1">
        <f t="array" ref="E66">IFERROR(INDEX($J$5:$AVX$5, _xlfn.AGGREGATE(15,6, COLUMN(J66:AVX66)-COLUMN(J66)+1 / (J66:AVX66="T"), F66)), "")</f>
        <v>46014</v>
      </c>
      <c r="F66" s="76">
        <f t="shared" si="19"/>
        <v>2</v>
      </c>
      <c r="G66" s="35" cm="1">
        <f t="array" ref="G66">IFERROR(INDEX($J$5:$AVW$5,_xlfn.AGGREGATE(14,6,(COLUMN($J66:$AVW66)-COLUMN($J66)+1)/($J66:$AVW66="T"),1)),"")</f>
        <v>46014</v>
      </c>
      <c r="H66" s="79">
        <f t="shared" si="20"/>
        <v>2</v>
      </c>
      <c r="I66" s="44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25" t="s">
        <v>12</v>
      </c>
      <c r="AI66" s="27"/>
      <c r="AJ66" s="27"/>
      <c r="AK66" s="27"/>
      <c r="AL66" s="28"/>
      <c r="AM66" s="27"/>
      <c r="AN66" s="27"/>
      <c r="AO66" s="29" t="s">
        <v>16</v>
      </c>
      <c r="AP66" s="30" t="s">
        <v>13</v>
      </c>
      <c r="AQ66" s="27"/>
      <c r="AR66" s="27"/>
      <c r="AS66" s="28"/>
      <c r="AT66" s="27"/>
      <c r="AU66" s="27"/>
      <c r="AV66" s="32" t="s">
        <v>14</v>
      </c>
      <c r="AW66" s="30" t="s">
        <v>11</v>
      </c>
      <c r="AX66" s="27"/>
      <c r="AY66" s="27"/>
      <c r="AZ66" s="28"/>
      <c r="BA66" s="27"/>
      <c r="BB66" s="29" t="s">
        <v>15</v>
      </c>
      <c r="BC66" s="27"/>
      <c r="BD66" s="27"/>
      <c r="BE66" s="25">
        <v>17</v>
      </c>
      <c r="BF66" s="33"/>
      <c r="BG66" s="33"/>
      <c r="BH66" s="33"/>
      <c r="BI66" s="33"/>
      <c r="BJ66" s="25" t="s">
        <v>12</v>
      </c>
      <c r="BK66" s="27"/>
      <c r="BL66" s="27"/>
      <c r="BM66" s="27"/>
      <c r="BN66" s="28"/>
      <c r="BO66" s="27"/>
      <c r="BP66" s="27"/>
      <c r="BQ66" s="29" t="s">
        <v>16</v>
      </c>
      <c r="BR66" s="30" t="s">
        <v>13</v>
      </c>
      <c r="BS66" s="27"/>
      <c r="BT66" s="27"/>
      <c r="BU66" s="28"/>
      <c r="BV66" s="27"/>
      <c r="BW66" s="27"/>
      <c r="BX66" s="29" t="s">
        <v>14</v>
      </c>
      <c r="BY66" s="30" t="s">
        <v>11</v>
      </c>
      <c r="BZ66" s="37"/>
      <c r="CA66" s="27"/>
      <c r="CB66" s="28"/>
      <c r="CC66" s="27"/>
      <c r="CD66" s="29" t="s">
        <v>15</v>
      </c>
      <c r="CE66" s="27"/>
      <c r="CF66" s="27"/>
      <c r="CG66" s="25">
        <v>17</v>
      </c>
      <c r="CH66" s="33"/>
      <c r="CI66" s="33"/>
      <c r="CJ66" s="33"/>
      <c r="CK66" s="33"/>
      <c r="CL66" s="33"/>
      <c r="CM66" s="33"/>
      <c r="CN66" s="33"/>
      <c r="CO66" s="33"/>
      <c r="CP66" s="33"/>
    </row>
    <row r="67" spans="1:94" s="40" customFormat="1" x14ac:dyDescent="0.25">
      <c r="A67" s="25" t="s">
        <v>56</v>
      </c>
      <c r="B67" s="25" t="s">
        <v>267</v>
      </c>
      <c r="C67" s="25" t="s">
        <v>412</v>
      </c>
      <c r="D67" s="25">
        <v>54</v>
      </c>
      <c r="E67" s="35" cm="1">
        <f t="array" ref="E67">IFERROR(INDEX($J$5:$AVX$5, _xlfn.AGGREGATE(15,6, COLUMN(J67:AVX67)-COLUMN(J67)+1 / (J67:AVX67="T"), F67)), "")</f>
        <v>45997</v>
      </c>
      <c r="F67" s="76">
        <f t="shared" si="19"/>
        <v>2</v>
      </c>
      <c r="G67" s="35" cm="1">
        <f t="array" ref="G67">IFERROR(INDEX($J$5:$AVW$5,_xlfn.AGGREGATE(14,6,(COLUMN($J67:$AVW67)-COLUMN($J67)+1)/($J67:$AVW67="T"),1)),"")</f>
        <v>45997</v>
      </c>
      <c r="H67" s="79">
        <f t="shared" si="20"/>
        <v>2</v>
      </c>
      <c r="I67" s="38" t="s">
        <v>10</v>
      </c>
      <c r="J67" s="33"/>
      <c r="K67" s="33"/>
      <c r="L67" s="33"/>
      <c r="M67" s="33"/>
      <c r="N67" s="33"/>
      <c r="O67" s="33"/>
      <c r="P67" s="25" t="s">
        <v>12</v>
      </c>
      <c r="Q67" s="27"/>
      <c r="R67" s="27"/>
      <c r="S67" s="27"/>
      <c r="T67" s="28"/>
      <c r="U67" s="27"/>
      <c r="V67" s="27"/>
      <c r="W67" s="29" t="s">
        <v>16</v>
      </c>
      <c r="X67" s="30" t="s">
        <v>13</v>
      </c>
      <c r="Y67" s="27"/>
      <c r="Z67" s="27"/>
      <c r="AA67" s="28"/>
      <c r="AB67" s="27"/>
      <c r="AC67" s="27"/>
      <c r="AD67" s="32" t="s">
        <v>14</v>
      </c>
      <c r="AE67" s="30" t="s">
        <v>11</v>
      </c>
      <c r="AF67" s="27"/>
      <c r="AG67" s="27"/>
      <c r="AH67" s="28"/>
      <c r="AI67" s="27"/>
      <c r="AJ67" s="29" t="s">
        <v>15</v>
      </c>
      <c r="AK67" s="27"/>
      <c r="AL67" s="27"/>
      <c r="AM67" s="25">
        <v>17</v>
      </c>
      <c r="AN67" s="33"/>
      <c r="AO67" s="33"/>
      <c r="AP67" s="33"/>
      <c r="AQ67" s="33"/>
      <c r="AR67" s="33"/>
      <c r="AS67" s="25" t="s">
        <v>12</v>
      </c>
      <c r="AT67" s="27"/>
      <c r="AU67" s="27"/>
      <c r="AV67" s="27"/>
      <c r="AW67" s="28"/>
      <c r="AX67" s="27"/>
      <c r="AY67" s="27"/>
      <c r="AZ67" s="29" t="s">
        <v>16</v>
      </c>
      <c r="BA67" s="30" t="s">
        <v>13</v>
      </c>
      <c r="BB67" s="27"/>
      <c r="BC67" s="27"/>
      <c r="BD67" s="28"/>
      <c r="BE67" s="27"/>
      <c r="BF67" s="27"/>
      <c r="BG67" s="32" t="s">
        <v>14</v>
      </c>
      <c r="BH67" s="30" t="s">
        <v>11</v>
      </c>
      <c r="BI67" s="27"/>
      <c r="BJ67" s="27"/>
      <c r="BK67" s="28"/>
      <c r="BL67" s="27"/>
      <c r="BM67" s="29" t="s">
        <v>15</v>
      </c>
      <c r="BN67" s="27"/>
      <c r="BO67" s="27"/>
      <c r="BP67" s="25">
        <v>17</v>
      </c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3"/>
      <c r="CK67" s="33"/>
      <c r="CL67" s="33"/>
      <c r="CM67" s="33"/>
      <c r="CN67" s="33"/>
      <c r="CO67" s="33"/>
      <c r="CP67" s="33"/>
    </row>
    <row r="68" spans="1:94" s="40" customFormat="1" x14ac:dyDescent="0.25">
      <c r="A68" s="25" t="s">
        <v>56</v>
      </c>
      <c r="B68" s="25" t="s">
        <v>268</v>
      </c>
      <c r="C68" s="25" t="s">
        <v>413</v>
      </c>
      <c r="D68" s="25">
        <v>55</v>
      </c>
      <c r="E68" s="35" cm="1">
        <f t="array" ref="E68">IFERROR(INDEX($J$5:$AVX$5, _xlfn.AGGREGATE(15,6, COLUMN(J68:AVX68)-COLUMN(J68)+1 / (J68:AVX68="T"), F68)), "")</f>
        <v>45997</v>
      </c>
      <c r="F68" s="76">
        <f t="shared" si="19"/>
        <v>2</v>
      </c>
      <c r="G68" s="35" cm="1">
        <f t="array" ref="G68">IFERROR(INDEX($J$5:$AVW$5,_xlfn.AGGREGATE(14,6,(COLUMN($J68:$AVW68)-COLUMN($J68)+1)/($J68:$AVW68="T"),1)),"")</f>
        <v>45997</v>
      </c>
      <c r="H68" s="79">
        <f t="shared" si="20"/>
        <v>2</v>
      </c>
      <c r="I68" s="38" t="s">
        <v>10</v>
      </c>
      <c r="J68" s="33"/>
      <c r="K68" s="33"/>
      <c r="L68" s="33"/>
      <c r="M68" s="33"/>
      <c r="N68" s="33"/>
      <c r="O68" s="33"/>
      <c r="P68" s="25" t="s">
        <v>12</v>
      </c>
      <c r="Q68" s="27"/>
      <c r="R68" s="27"/>
      <c r="S68" s="27"/>
      <c r="T68" s="28"/>
      <c r="U68" s="27"/>
      <c r="V68" s="27"/>
      <c r="W68" s="29" t="s">
        <v>16</v>
      </c>
      <c r="X68" s="30" t="s">
        <v>13</v>
      </c>
      <c r="Y68" s="27"/>
      <c r="Z68" s="27"/>
      <c r="AA68" s="28"/>
      <c r="AB68" s="27"/>
      <c r="AC68" s="27"/>
      <c r="AD68" s="32" t="s">
        <v>14</v>
      </c>
      <c r="AE68" s="30" t="s">
        <v>11</v>
      </c>
      <c r="AF68" s="27"/>
      <c r="AG68" s="27"/>
      <c r="AH68" s="28"/>
      <c r="AI68" s="27"/>
      <c r="AJ68" s="29" t="s">
        <v>15</v>
      </c>
      <c r="AK68" s="27"/>
      <c r="AL68" s="27"/>
      <c r="AM68" s="25">
        <v>17</v>
      </c>
      <c r="AN68" s="33"/>
      <c r="AO68" s="33"/>
      <c r="AP68" s="33"/>
      <c r="AQ68" s="33"/>
      <c r="AR68" s="33"/>
      <c r="AS68" s="25" t="s">
        <v>12</v>
      </c>
      <c r="AT68" s="27"/>
      <c r="AU68" s="27"/>
      <c r="AV68" s="27"/>
      <c r="AW68" s="28"/>
      <c r="AX68" s="27"/>
      <c r="AY68" s="27"/>
      <c r="AZ68" s="29" t="s">
        <v>16</v>
      </c>
      <c r="BA68" s="30" t="s">
        <v>13</v>
      </c>
      <c r="BB68" s="27"/>
      <c r="BC68" s="27"/>
      <c r="BD68" s="28"/>
      <c r="BE68" s="27"/>
      <c r="BF68" s="27"/>
      <c r="BG68" s="32" t="s">
        <v>14</v>
      </c>
      <c r="BH68" s="30" t="s">
        <v>11</v>
      </c>
      <c r="BI68" s="27"/>
      <c r="BJ68" s="27"/>
      <c r="BK68" s="28"/>
      <c r="BL68" s="27"/>
      <c r="BM68" s="29" t="s">
        <v>15</v>
      </c>
      <c r="BN68" s="27"/>
      <c r="BO68" s="27"/>
      <c r="BP68" s="25">
        <v>17</v>
      </c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3"/>
      <c r="CB68" s="33"/>
      <c r="CC68" s="33"/>
      <c r="CD68" s="33"/>
      <c r="CE68" s="33"/>
      <c r="CF68" s="33"/>
      <c r="CG68" s="33"/>
      <c r="CH68" s="33"/>
      <c r="CI68" s="33"/>
      <c r="CJ68" s="33"/>
      <c r="CK68" s="33"/>
      <c r="CL68" s="33"/>
      <c r="CM68" s="33"/>
      <c r="CN68" s="33"/>
      <c r="CO68" s="33"/>
      <c r="CP68" s="33"/>
    </row>
    <row r="69" spans="1:94" s="40" customFormat="1" x14ac:dyDescent="0.25">
      <c r="A69" s="25" t="s">
        <v>56</v>
      </c>
      <c r="B69" s="25" t="s">
        <v>269</v>
      </c>
      <c r="C69" s="25" t="s">
        <v>414</v>
      </c>
      <c r="D69" s="25">
        <v>56</v>
      </c>
      <c r="E69" s="35" cm="1">
        <f t="array" ref="E69">IFERROR(INDEX($J$5:$AVX$5, _xlfn.AGGREGATE(15,6, COLUMN(J69:AVX69)-COLUMN(J69)+1 / (J69:AVX69="T"), F69)), "")</f>
        <v>45996</v>
      </c>
      <c r="F69" s="76">
        <f t="shared" si="19"/>
        <v>2</v>
      </c>
      <c r="G69" s="35" cm="1">
        <f t="array" ref="G69">IFERROR(INDEX($J$5:$AVW$5,_xlfn.AGGREGATE(14,6,(COLUMN($J69:$AVW69)-COLUMN($J69)+1)/($J69:$AVW69="T"),1)),"")</f>
        <v>45996</v>
      </c>
      <c r="H69" s="79">
        <f t="shared" si="20"/>
        <v>2</v>
      </c>
      <c r="I69" s="38" t="s">
        <v>10</v>
      </c>
      <c r="J69" s="33"/>
      <c r="K69" s="33"/>
      <c r="L69" s="33"/>
      <c r="M69" s="33"/>
      <c r="N69" s="25" t="s">
        <v>12</v>
      </c>
      <c r="O69" s="27"/>
      <c r="P69" s="27"/>
      <c r="Q69" s="27"/>
      <c r="R69" s="28"/>
      <c r="S69" s="27"/>
      <c r="T69" s="27"/>
      <c r="U69" s="29" t="s">
        <v>16</v>
      </c>
      <c r="V69" s="30" t="s">
        <v>13</v>
      </c>
      <c r="W69" s="27"/>
      <c r="X69" s="27"/>
      <c r="Y69" s="28"/>
      <c r="Z69" s="27"/>
      <c r="AA69" s="27"/>
      <c r="AB69" s="32" t="s">
        <v>14</v>
      </c>
      <c r="AC69" s="30" t="s">
        <v>11</v>
      </c>
      <c r="AD69" s="27"/>
      <c r="AE69" s="27"/>
      <c r="AF69" s="28"/>
      <c r="AG69" s="27"/>
      <c r="AH69" s="29" t="s">
        <v>15</v>
      </c>
      <c r="AI69" s="27"/>
      <c r="AJ69" s="27"/>
      <c r="AK69" s="25">
        <v>17</v>
      </c>
      <c r="AL69" s="33"/>
      <c r="AM69" s="33"/>
      <c r="AN69" s="33"/>
      <c r="AO69" s="33"/>
      <c r="AP69" s="33"/>
      <c r="AQ69" s="33"/>
      <c r="AR69" s="25" t="s">
        <v>12</v>
      </c>
      <c r="AS69" s="27"/>
      <c r="AT69" s="27"/>
      <c r="AU69" s="27"/>
      <c r="AV69" s="28"/>
      <c r="AW69" s="27"/>
      <c r="AX69" s="27"/>
      <c r="AY69" s="29" t="s">
        <v>16</v>
      </c>
      <c r="AZ69" s="30" t="s">
        <v>13</v>
      </c>
      <c r="BA69" s="27"/>
      <c r="BB69" s="27"/>
      <c r="BC69" s="28"/>
      <c r="BD69" s="27"/>
      <c r="BE69" s="27"/>
      <c r="BF69" s="32" t="s">
        <v>14</v>
      </c>
      <c r="BG69" s="30" t="s">
        <v>11</v>
      </c>
      <c r="BH69" s="27"/>
      <c r="BI69" s="27"/>
      <c r="BJ69" s="28"/>
      <c r="BK69" s="27"/>
      <c r="BL69" s="29" t="s">
        <v>15</v>
      </c>
      <c r="BM69" s="27"/>
      <c r="BN69" s="27"/>
      <c r="BO69" s="25">
        <v>17</v>
      </c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  <c r="CD69" s="33"/>
      <c r="CE69" s="33"/>
      <c r="CF69" s="33"/>
      <c r="CG69" s="33"/>
      <c r="CH69" s="33"/>
      <c r="CI69" s="33"/>
      <c r="CJ69" s="33"/>
      <c r="CK69" s="33"/>
      <c r="CL69" s="33"/>
      <c r="CM69" s="33"/>
      <c r="CN69" s="33"/>
      <c r="CO69" s="33"/>
      <c r="CP69" s="33"/>
    </row>
    <row r="70" spans="1:94" s="40" customFormat="1" x14ac:dyDescent="0.25">
      <c r="A70" s="25" t="s">
        <v>56</v>
      </c>
      <c r="B70" s="25" t="s">
        <v>270</v>
      </c>
      <c r="C70" s="25" t="s">
        <v>415</v>
      </c>
      <c r="D70" s="25">
        <v>57</v>
      </c>
      <c r="E70" s="35" cm="1">
        <f t="array" ref="E70">IFERROR(INDEX($J$5:$AVX$5, _xlfn.AGGREGATE(15,6, COLUMN(J70:AVX70)-COLUMN(J70)+1 / (J70:AVX70="T"), F70)), "")</f>
        <v>45996</v>
      </c>
      <c r="F70" s="76">
        <f t="shared" si="19"/>
        <v>2</v>
      </c>
      <c r="G70" s="35" cm="1">
        <f t="array" ref="G70">IFERROR(INDEX($J$5:$AVW$5,_xlfn.AGGREGATE(14,6,(COLUMN($J70:$AVW70)-COLUMN($J70)+1)/($J70:$AVW70="T"),1)),"")</f>
        <v>45996</v>
      </c>
      <c r="H70" s="79">
        <f t="shared" si="20"/>
        <v>2</v>
      </c>
      <c r="I70" s="38" t="s">
        <v>10</v>
      </c>
      <c r="J70" s="33"/>
      <c r="K70" s="33"/>
      <c r="L70" s="33"/>
      <c r="M70" s="33"/>
      <c r="N70" s="25" t="s">
        <v>12</v>
      </c>
      <c r="O70" s="27"/>
      <c r="P70" s="27"/>
      <c r="Q70" s="27"/>
      <c r="R70" s="28"/>
      <c r="S70" s="27"/>
      <c r="T70" s="27"/>
      <c r="U70" s="29" t="s">
        <v>16</v>
      </c>
      <c r="V70" s="30" t="s">
        <v>13</v>
      </c>
      <c r="W70" s="27"/>
      <c r="X70" s="27"/>
      <c r="Y70" s="28"/>
      <c r="Z70" s="27"/>
      <c r="AA70" s="27"/>
      <c r="AB70" s="29" t="s">
        <v>14</v>
      </c>
      <c r="AC70" s="30" t="s">
        <v>11</v>
      </c>
      <c r="AD70" s="37"/>
      <c r="AE70" s="27"/>
      <c r="AF70" s="28"/>
      <c r="AG70" s="27"/>
      <c r="AH70" s="29" t="s">
        <v>15</v>
      </c>
      <c r="AI70" s="27"/>
      <c r="AJ70" s="27"/>
      <c r="AK70" s="25">
        <v>17</v>
      </c>
      <c r="AL70" s="33"/>
      <c r="AM70" s="33"/>
      <c r="AN70" s="33"/>
      <c r="AO70" s="33"/>
      <c r="AP70" s="33"/>
      <c r="AQ70" s="33"/>
      <c r="AR70" s="25" t="s">
        <v>12</v>
      </c>
      <c r="AS70" s="27"/>
      <c r="AT70" s="27"/>
      <c r="AU70" s="27"/>
      <c r="AV70" s="28"/>
      <c r="AW70" s="27"/>
      <c r="AX70" s="27"/>
      <c r="AY70" s="29" t="s">
        <v>16</v>
      </c>
      <c r="AZ70" s="30" t="s">
        <v>13</v>
      </c>
      <c r="BA70" s="27"/>
      <c r="BB70" s="27"/>
      <c r="BC70" s="28"/>
      <c r="BD70" s="27"/>
      <c r="BE70" s="27"/>
      <c r="BF70" s="32" t="s">
        <v>14</v>
      </c>
      <c r="BG70" s="30" t="s">
        <v>11</v>
      </c>
      <c r="BH70" s="27"/>
      <c r="BI70" s="27"/>
      <c r="BJ70" s="28"/>
      <c r="BK70" s="27"/>
      <c r="BL70" s="29" t="s">
        <v>15</v>
      </c>
      <c r="BM70" s="27"/>
      <c r="BN70" s="27"/>
      <c r="BO70" s="25">
        <v>17</v>
      </c>
      <c r="BP70" s="33"/>
      <c r="BQ70" s="33"/>
      <c r="BR70" s="33"/>
      <c r="BS70" s="33"/>
      <c r="BT70" s="33"/>
      <c r="BU70" s="33"/>
      <c r="BV70" s="33"/>
      <c r="BW70" s="33"/>
      <c r="BX70" s="33"/>
      <c r="BY70" s="33"/>
      <c r="BZ70" s="33"/>
      <c r="CA70" s="33"/>
      <c r="CB70" s="33"/>
      <c r="CC70" s="33"/>
      <c r="CD70" s="33"/>
      <c r="CE70" s="33"/>
      <c r="CF70" s="33"/>
      <c r="CG70" s="33"/>
      <c r="CH70" s="33"/>
      <c r="CI70" s="33"/>
      <c r="CJ70" s="33"/>
      <c r="CK70" s="33"/>
      <c r="CL70" s="33"/>
      <c r="CM70" s="33"/>
      <c r="CN70" s="33"/>
      <c r="CO70" s="33"/>
      <c r="CP70" s="33"/>
    </row>
    <row r="71" spans="1:94" x14ac:dyDescent="0.25">
      <c r="A71" s="25" t="s">
        <v>56</v>
      </c>
      <c r="B71" s="25" t="s">
        <v>271</v>
      </c>
      <c r="C71" s="25" t="s">
        <v>416</v>
      </c>
      <c r="D71" s="25">
        <v>58</v>
      </c>
      <c r="E71" s="35" cm="1">
        <f t="array" ref="E71">IFERROR(INDEX($J$5:$AVX$5, _xlfn.AGGREGATE(15,6, COLUMN(J71:AVX71)-COLUMN(J71)+1 / (J71:AVX71="T"), F71)), "")</f>
        <v>45996</v>
      </c>
      <c r="F71" s="76">
        <f t="shared" si="19"/>
        <v>2</v>
      </c>
      <c r="G71" s="35" cm="1">
        <f t="array" ref="G71">IFERROR(INDEX($J$5:$AVW$5,_xlfn.AGGREGATE(14,6,(COLUMN($J71:$AVW71)-COLUMN($J71)+1)/($J71:$AVW71="T"),1)),"")</f>
        <v>45996</v>
      </c>
      <c r="H71" s="79">
        <f t="shared" si="20"/>
        <v>2</v>
      </c>
      <c r="I71" s="38" t="s">
        <v>10</v>
      </c>
      <c r="J71" s="33"/>
      <c r="K71" s="33"/>
      <c r="L71" s="33"/>
      <c r="M71" s="33"/>
      <c r="N71" s="25" t="s">
        <v>12</v>
      </c>
      <c r="O71" s="27"/>
      <c r="P71" s="27"/>
      <c r="Q71" s="27"/>
      <c r="R71" s="28"/>
      <c r="S71" s="27"/>
      <c r="T71" s="27"/>
      <c r="U71" s="29" t="s">
        <v>16</v>
      </c>
      <c r="V71" s="30" t="s">
        <v>13</v>
      </c>
      <c r="W71" s="27"/>
      <c r="X71" s="27"/>
      <c r="Y71" s="28"/>
      <c r="Z71" s="27"/>
      <c r="AA71" s="27"/>
      <c r="AB71" s="29" t="s">
        <v>14</v>
      </c>
      <c r="AC71" s="30" t="s">
        <v>11</v>
      </c>
      <c r="AD71" s="37"/>
      <c r="AE71" s="27"/>
      <c r="AF71" s="28"/>
      <c r="AG71" s="27"/>
      <c r="AH71" s="29" t="s">
        <v>15</v>
      </c>
      <c r="AI71" s="27"/>
      <c r="AJ71" s="27"/>
      <c r="AK71" s="25">
        <v>17</v>
      </c>
      <c r="AL71" s="33"/>
      <c r="AM71" s="33"/>
      <c r="AN71" s="33"/>
      <c r="AO71" s="33"/>
      <c r="AP71" s="33"/>
      <c r="AQ71" s="33"/>
      <c r="AR71" s="25" t="s">
        <v>12</v>
      </c>
      <c r="AS71" s="27"/>
      <c r="AT71" s="27"/>
      <c r="AU71" s="27"/>
      <c r="AV71" s="28"/>
      <c r="AW71" s="27"/>
      <c r="AX71" s="27"/>
      <c r="AY71" s="29" t="s">
        <v>16</v>
      </c>
      <c r="AZ71" s="30" t="s">
        <v>13</v>
      </c>
      <c r="BA71" s="27"/>
      <c r="BB71" s="27"/>
      <c r="BC71" s="28"/>
      <c r="BD71" s="27"/>
      <c r="BE71" s="27"/>
      <c r="BF71" s="32" t="s">
        <v>14</v>
      </c>
      <c r="BG71" s="30" t="s">
        <v>11</v>
      </c>
      <c r="BH71" s="27"/>
      <c r="BI71" s="27"/>
      <c r="BJ71" s="28"/>
      <c r="BK71" s="27"/>
      <c r="BL71" s="29" t="s">
        <v>15</v>
      </c>
      <c r="BM71" s="27"/>
      <c r="BN71" s="27"/>
      <c r="BO71" s="25">
        <v>17</v>
      </c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  <c r="CD71" s="33"/>
      <c r="CE71" s="33"/>
      <c r="CF71" s="33"/>
      <c r="CG71" s="33"/>
      <c r="CH71" s="33"/>
      <c r="CI71" s="33"/>
      <c r="CJ71" s="33"/>
      <c r="CK71" s="33"/>
      <c r="CL71" s="33"/>
      <c r="CM71" s="33"/>
      <c r="CN71" s="33"/>
      <c r="CO71" s="33"/>
      <c r="CP71" s="33"/>
    </row>
    <row r="72" spans="1:94" x14ac:dyDescent="0.25">
      <c r="A72" s="25" t="s">
        <v>56</v>
      </c>
      <c r="B72" s="25" t="s">
        <v>272</v>
      </c>
      <c r="C72" s="25" t="s">
        <v>417</v>
      </c>
      <c r="D72" s="25">
        <v>59</v>
      </c>
      <c r="E72" s="35" cm="1">
        <f t="array" ref="E72">IFERROR(INDEX($J$5:$AVX$5, _xlfn.AGGREGATE(15,6, COLUMN(J72:AVX72)-COLUMN(J72)+1 / (J72:AVX72="T"), F72)), "")</f>
        <v>45995</v>
      </c>
      <c r="F72" s="76">
        <f t="shared" si="19"/>
        <v>2</v>
      </c>
      <c r="G72" s="35" cm="1">
        <f t="array" ref="G72">IFERROR(INDEX($J$5:$AVW$5,_xlfn.AGGREGATE(14,6,(COLUMN($J72:$AVW72)-COLUMN($J72)+1)/($J72:$AVW72="T"),1)),"")</f>
        <v>45995</v>
      </c>
      <c r="H72" s="79">
        <f t="shared" si="20"/>
        <v>2</v>
      </c>
      <c r="I72" s="38" t="s">
        <v>10</v>
      </c>
      <c r="J72" s="33"/>
      <c r="K72" s="33"/>
      <c r="L72" s="33"/>
      <c r="M72" s="33"/>
      <c r="N72" s="25" t="s">
        <v>12</v>
      </c>
      <c r="O72" s="27"/>
      <c r="P72" s="27"/>
      <c r="Q72" s="27"/>
      <c r="R72" s="28"/>
      <c r="S72" s="27"/>
      <c r="T72" s="27"/>
      <c r="U72" s="29" t="s">
        <v>16</v>
      </c>
      <c r="V72" s="30" t="s">
        <v>13</v>
      </c>
      <c r="W72" s="27"/>
      <c r="X72" s="27"/>
      <c r="Y72" s="28"/>
      <c r="Z72" s="27"/>
      <c r="AA72" s="27"/>
      <c r="AB72" s="29" t="s">
        <v>14</v>
      </c>
      <c r="AC72" s="30" t="s">
        <v>11</v>
      </c>
      <c r="AD72" s="37"/>
      <c r="AE72" s="27"/>
      <c r="AF72" s="28"/>
      <c r="AG72" s="27"/>
      <c r="AH72" s="29" t="s">
        <v>15</v>
      </c>
      <c r="AI72" s="27"/>
      <c r="AJ72" s="27"/>
      <c r="AK72" s="25">
        <v>17</v>
      </c>
      <c r="AL72" s="33"/>
      <c r="AM72" s="33"/>
      <c r="AN72" s="33"/>
      <c r="AO72" s="33"/>
      <c r="AP72" s="33"/>
      <c r="AQ72" s="25" t="s">
        <v>12</v>
      </c>
      <c r="AR72" s="27"/>
      <c r="AS72" s="27"/>
      <c r="AT72" s="27"/>
      <c r="AU72" s="28"/>
      <c r="AV72" s="27"/>
      <c r="AW72" s="27"/>
      <c r="AX72" s="29" t="s">
        <v>16</v>
      </c>
      <c r="AY72" s="30" t="s">
        <v>13</v>
      </c>
      <c r="AZ72" s="27"/>
      <c r="BA72" s="27"/>
      <c r="BB72" s="28"/>
      <c r="BC72" s="27"/>
      <c r="BD72" s="27"/>
      <c r="BE72" s="32" t="s">
        <v>14</v>
      </c>
      <c r="BF72" s="30" t="s">
        <v>11</v>
      </c>
      <c r="BG72" s="27"/>
      <c r="BH72" s="27"/>
      <c r="BI72" s="28"/>
      <c r="BJ72" s="27"/>
      <c r="BK72" s="29" t="s">
        <v>15</v>
      </c>
      <c r="BL72" s="27"/>
      <c r="BM72" s="27"/>
      <c r="BN72" s="25">
        <v>17</v>
      </c>
      <c r="BO72" s="33"/>
      <c r="BP72" s="33"/>
      <c r="BQ72" s="33"/>
      <c r="BR72" s="33"/>
      <c r="BS72" s="33"/>
      <c r="BT72" s="33"/>
      <c r="BU72" s="33"/>
      <c r="BV72" s="33"/>
      <c r="BW72" s="33"/>
      <c r="BX72" s="33"/>
      <c r="BY72" s="33"/>
      <c r="BZ72" s="33"/>
      <c r="CA72" s="33"/>
      <c r="CB72" s="33"/>
      <c r="CC72" s="33"/>
      <c r="CD72" s="33"/>
      <c r="CE72" s="33"/>
      <c r="CF72" s="33"/>
      <c r="CG72" s="33"/>
      <c r="CH72" s="33"/>
      <c r="CI72" s="33"/>
      <c r="CJ72" s="33"/>
      <c r="CK72" s="33"/>
      <c r="CL72" s="33"/>
      <c r="CM72" s="33"/>
      <c r="CN72" s="33"/>
      <c r="CO72" s="33"/>
      <c r="CP72" s="33"/>
    </row>
    <row r="73" spans="1:94" x14ac:dyDescent="0.25">
      <c r="A73" s="25" t="s">
        <v>56</v>
      </c>
      <c r="B73" s="25" t="s">
        <v>273</v>
      </c>
      <c r="C73" s="25" t="s">
        <v>418</v>
      </c>
      <c r="D73" s="25">
        <v>60</v>
      </c>
      <c r="E73" s="35" cm="1">
        <f t="array" ref="E73">IFERROR(INDEX($J$5:$AVX$5, _xlfn.AGGREGATE(15,6, COLUMN(J73:AVX73)-COLUMN(J73)+1 / (J73:AVX73="T"), F73)), "")</f>
        <v>45995</v>
      </c>
      <c r="F73" s="76">
        <f t="shared" si="19"/>
        <v>2</v>
      </c>
      <c r="G73" s="35" cm="1">
        <f t="array" ref="G73">IFERROR(INDEX($J$5:$AVW$5,_xlfn.AGGREGATE(14,6,(COLUMN($J73:$AVW73)-COLUMN($J73)+1)/($J73:$AVW73="T"),1)),"")</f>
        <v>45995</v>
      </c>
      <c r="H73" s="79">
        <f t="shared" si="20"/>
        <v>2</v>
      </c>
      <c r="I73" s="38" t="s">
        <v>10</v>
      </c>
      <c r="J73" s="33"/>
      <c r="K73" s="33"/>
      <c r="L73" s="33"/>
      <c r="M73" s="33"/>
      <c r="N73" s="25" t="s">
        <v>12</v>
      </c>
      <c r="O73" s="27"/>
      <c r="P73" s="27"/>
      <c r="Q73" s="27"/>
      <c r="R73" s="28"/>
      <c r="S73" s="27"/>
      <c r="T73" s="27"/>
      <c r="U73" s="29" t="s">
        <v>16</v>
      </c>
      <c r="V73" s="30" t="s">
        <v>13</v>
      </c>
      <c r="W73" s="27"/>
      <c r="X73" s="27"/>
      <c r="Y73" s="28"/>
      <c r="Z73" s="27"/>
      <c r="AA73" s="27"/>
      <c r="AB73" s="29" t="s">
        <v>14</v>
      </c>
      <c r="AC73" s="30" t="s">
        <v>11</v>
      </c>
      <c r="AD73" s="37"/>
      <c r="AE73" s="27"/>
      <c r="AF73" s="28"/>
      <c r="AG73" s="27"/>
      <c r="AH73" s="29" t="s">
        <v>15</v>
      </c>
      <c r="AI73" s="27"/>
      <c r="AJ73" s="27"/>
      <c r="AK73" s="25">
        <v>17</v>
      </c>
      <c r="AL73" s="33"/>
      <c r="AM73" s="33"/>
      <c r="AN73" s="33"/>
      <c r="AO73" s="33"/>
      <c r="AP73" s="33"/>
      <c r="AQ73" s="25" t="s">
        <v>12</v>
      </c>
      <c r="AR73" s="27"/>
      <c r="AS73" s="27"/>
      <c r="AT73" s="27"/>
      <c r="AU73" s="28"/>
      <c r="AV73" s="27"/>
      <c r="AW73" s="27"/>
      <c r="AX73" s="29" t="s">
        <v>16</v>
      </c>
      <c r="AY73" s="30" t="s">
        <v>13</v>
      </c>
      <c r="AZ73" s="27"/>
      <c r="BA73" s="27"/>
      <c r="BB73" s="28"/>
      <c r="BC73" s="27"/>
      <c r="BD73" s="27"/>
      <c r="BE73" s="32" t="s">
        <v>14</v>
      </c>
      <c r="BF73" s="30" t="s">
        <v>11</v>
      </c>
      <c r="BG73" s="27"/>
      <c r="BH73" s="27"/>
      <c r="BI73" s="28"/>
      <c r="BJ73" s="27"/>
      <c r="BK73" s="29" t="s">
        <v>15</v>
      </c>
      <c r="BL73" s="27"/>
      <c r="BM73" s="27"/>
      <c r="BN73" s="25">
        <v>17</v>
      </c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  <c r="CD73" s="33"/>
      <c r="CE73" s="33"/>
      <c r="CF73" s="33"/>
      <c r="CG73" s="33"/>
      <c r="CH73" s="33"/>
      <c r="CI73" s="33"/>
      <c r="CJ73" s="33"/>
      <c r="CK73" s="33"/>
      <c r="CL73" s="33"/>
      <c r="CM73" s="33"/>
      <c r="CN73" s="33"/>
      <c r="CO73" s="33"/>
      <c r="CP73" s="33"/>
    </row>
    <row r="74" spans="1:94" x14ac:dyDescent="0.25">
      <c r="A74" s="25" t="s">
        <v>56</v>
      </c>
      <c r="B74" s="25" t="s">
        <v>274</v>
      </c>
      <c r="C74" s="25" t="s">
        <v>419</v>
      </c>
      <c r="D74" s="25">
        <v>61</v>
      </c>
      <c r="E74" s="35" cm="1">
        <f t="array" ref="E74">IFERROR(INDEX($J$5:$AVX$5, _xlfn.AGGREGATE(15,6, COLUMN(J74:AVX74)-COLUMN(J74)+1 / (J74:AVX74="T"), F74)), "")</f>
        <v>45995</v>
      </c>
      <c r="F74" s="76">
        <f t="shared" si="19"/>
        <v>2</v>
      </c>
      <c r="G74" s="35" cm="1">
        <f t="array" ref="G74">IFERROR(INDEX($J$5:$AVW$5,_xlfn.AGGREGATE(14,6,(COLUMN($J74:$AVW74)-COLUMN($J74)+1)/($J74:$AVW74="T"),1)),"")</f>
        <v>45995</v>
      </c>
      <c r="H74" s="79">
        <f t="shared" si="20"/>
        <v>2</v>
      </c>
      <c r="I74" s="38" t="s">
        <v>10</v>
      </c>
      <c r="J74" s="33"/>
      <c r="K74" s="33"/>
      <c r="L74" s="33"/>
      <c r="M74" s="33"/>
      <c r="N74" s="25" t="s">
        <v>12</v>
      </c>
      <c r="O74" s="27"/>
      <c r="P74" s="27"/>
      <c r="Q74" s="27"/>
      <c r="R74" s="28"/>
      <c r="S74" s="27"/>
      <c r="T74" s="27"/>
      <c r="U74" s="29" t="s">
        <v>16</v>
      </c>
      <c r="V74" s="30" t="s">
        <v>13</v>
      </c>
      <c r="W74" s="27"/>
      <c r="X74" s="27"/>
      <c r="Y74" s="28"/>
      <c r="Z74" s="27"/>
      <c r="AA74" s="27"/>
      <c r="AB74" s="29" t="s">
        <v>14</v>
      </c>
      <c r="AC74" s="30" t="s">
        <v>11</v>
      </c>
      <c r="AD74" s="37"/>
      <c r="AE74" s="27"/>
      <c r="AF74" s="28"/>
      <c r="AG74" s="27"/>
      <c r="AH74" s="29" t="s">
        <v>15</v>
      </c>
      <c r="AI74" s="27"/>
      <c r="AJ74" s="27"/>
      <c r="AK74" s="25">
        <v>17</v>
      </c>
      <c r="AL74" s="33"/>
      <c r="AM74" s="33"/>
      <c r="AN74" s="33"/>
      <c r="AO74" s="33"/>
      <c r="AP74" s="33"/>
      <c r="AQ74" s="25" t="s">
        <v>12</v>
      </c>
      <c r="AR74" s="27"/>
      <c r="AS74" s="27"/>
      <c r="AT74" s="27"/>
      <c r="AU74" s="28"/>
      <c r="AV74" s="27"/>
      <c r="AW74" s="27"/>
      <c r="AX74" s="29" t="s">
        <v>16</v>
      </c>
      <c r="AY74" s="30" t="s">
        <v>13</v>
      </c>
      <c r="AZ74" s="27"/>
      <c r="BA74" s="27"/>
      <c r="BB74" s="28"/>
      <c r="BC74" s="27"/>
      <c r="BD74" s="27"/>
      <c r="BE74" s="32" t="s">
        <v>14</v>
      </c>
      <c r="BF74" s="30" t="s">
        <v>11</v>
      </c>
      <c r="BG74" s="27"/>
      <c r="BH74" s="27"/>
      <c r="BI74" s="28"/>
      <c r="BJ74" s="27"/>
      <c r="BK74" s="29" t="s">
        <v>15</v>
      </c>
      <c r="BL74" s="27"/>
      <c r="BM74" s="27"/>
      <c r="BN74" s="25">
        <v>17</v>
      </c>
      <c r="BO74" s="33"/>
      <c r="BP74" s="33"/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33"/>
      <c r="CB74" s="33"/>
      <c r="CC74" s="33"/>
      <c r="CD74" s="33"/>
      <c r="CE74" s="33"/>
      <c r="CF74" s="33"/>
      <c r="CG74" s="33"/>
      <c r="CH74" s="33"/>
      <c r="CI74" s="33"/>
      <c r="CJ74" s="33"/>
      <c r="CK74" s="33"/>
      <c r="CL74" s="33"/>
      <c r="CM74" s="33"/>
      <c r="CN74" s="33"/>
      <c r="CO74" s="33"/>
      <c r="CP74" s="33"/>
    </row>
    <row r="75" spans="1:94" x14ac:dyDescent="0.25">
      <c r="A75" s="25" t="s">
        <v>56</v>
      </c>
      <c r="B75" s="25" t="s">
        <v>275</v>
      </c>
      <c r="C75" s="25" t="s">
        <v>420</v>
      </c>
      <c r="D75" s="25">
        <v>62</v>
      </c>
      <c r="E75" s="35" cm="1">
        <f t="array" ref="E75">IFERROR(INDEX($J$5:$AVX$5, _xlfn.AGGREGATE(15,6, COLUMN(J75:AVX75)-COLUMN(J75)+1 / (J75:AVX75="T"), F75)), "")</f>
        <v>45995</v>
      </c>
      <c r="F75" s="76">
        <f t="shared" si="19"/>
        <v>2</v>
      </c>
      <c r="G75" s="35" cm="1">
        <f t="array" ref="G75">IFERROR(INDEX($J$5:$AVW$5,_xlfn.AGGREGATE(14,6,(COLUMN($J75:$AVW75)-COLUMN($J75)+1)/($J75:$AVW75="T"),1)),"")</f>
        <v>45995</v>
      </c>
      <c r="H75" s="79">
        <f t="shared" si="20"/>
        <v>2</v>
      </c>
      <c r="I75" s="38" t="s">
        <v>10</v>
      </c>
      <c r="J75" s="33"/>
      <c r="K75" s="33"/>
      <c r="L75" s="33"/>
      <c r="M75" s="33"/>
      <c r="N75" s="25" t="s">
        <v>12</v>
      </c>
      <c r="O75" s="27"/>
      <c r="P75" s="27"/>
      <c r="Q75" s="27"/>
      <c r="R75" s="28"/>
      <c r="S75" s="27"/>
      <c r="T75" s="27"/>
      <c r="U75" s="29" t="s">
        <v>16</v>
      </c>
      <c r="V75" s="30" t="s">
        <v>13</v>
      </c>
      <c r="W75" s="27"/>
      <c r="X75" s="27"/>
      <c r="Y75" s="28"/>
      <c r="Z75" s="27"/>
      <c r="AA75" s="27"/>
      <c r="AB75" s="29" t="s">
        <v>14</v>
      </c>
      <c r="AC75" s="30" t="s">
        <v>11</v>
      </c>
      <c r="AD75" s="37"/>
      <c r="AE75" s="27"/>
      <c r="AF75" s="28"/>
      <c r="AG75" s="27"/>
      <c r="AH75" s="29" t="s">
        <v>15</v>
      </c>
      <c r="AI75" s="27"/>
      <c r="AJ75" s="27"/>
      <c r="AK75" s="25">
        <v>17</v>
      </c>
      <c r="AL75" s="33"/>
      <c r="AM75" s="33"/>
      <c r="AN75" s="33"/>
      <c r="AO75" s="33"/>
      <c r="AP75" s="33"/>
      <c r="AQ75" s="25" t="s">
        <v>12</v>
      </c>
      <c r="AR75" s="27"/>
      <c r="AS75" s="27"/>
      <c r="AT75" s="27"/>
      <c r="AU75" s="28"/>
      <c r="AV75" s="27"/>
      <c r="AW75" s="27"/>
      <c r="AX75" s="29" t="s">
        <v>16</v>
      </c>
      <c r="AY75" s="30" t="s">
        <v>13</v>
      </c>
      <c r="AZ75" s="27"/>
      <c r="BA75" s="27"/>
      <c r="BB75" s="28"/>
      <c r="BC75" s="27"/>
      <c r="BD75" s="27"/>
      <c r="BE75" s="32" t="s">
        <v>14</v>
      </c>
      <c r="BF75" s="30" t="s">
        <v>11</v>
      </c>
      <c r="BG75" s="27"/>
      <c r="BH75" s="27"/>
      <c r="BI75" s="28"/>
      <c r="BJ75" s="27"/>
      <c r="BK75" s="29" t="s">
        <v>15</v>
      </c>
      <c r="BL75" s="27"/>
      <c r="BM75" s="27"/>
      <c r="BN75" s="25">
        <v>17</v>
      </c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  <c r="CD75" s="33"/>
      <c r="CE75" s="33"/>
      <c r="CF75" s="33"/>
      <c r="CG75" s="33"/>
      <c r="CH75" s="33"/>
      <c r="CI75" s="33"/>
      <c r="CJ75" s="33"/>
      <c r="CK75" s="33"/>
      <c r="CL75" s="33"/>
      <c r="CM75" s="33"/>
      <c r="CN75" s="33"/>
      <c r="CO75" s="33"/>
      <c r="CP75" s="33"/>
    </row>
    <row r="76" spans="1:94" x14ac:dyDescent="0.25">
      <c r="A76" s="25" t="s">
        <v>56</v>
      </c>
      <c r="B76" s="25" t="s">
        <v>276</v>
      </c>
      <c r="C76" s="25" t="s">
        <v>421</v>
      </c>
      <c r="D76" s="25">
        <v>63</v>
      </c>
      <c r="E76" s="35" cm="1">
        <f t="array" ref="E76">IFERROR(INDEX($J$5:$AVX$5, _xlfn.AGGREGATE(15,6, COLUMN(J76:AVX76)-COLUMN(J76)+1 / (J76:AVX76="T"), F76)), "")</f>
        <v>45994</v>
      </c>
      <c r="F76" s="76">
        <f t="shared" si="19"/>
        <v>2</v>
      </c>
      <c r="G76" s="35" cm="1">
        <f t="array" ref="G76">IFERROR(INDEX($J$5:$AVW$5,_xlfn.AGGREGATE(14,6,(COLUMN($J76:$AVW76)-COLUMN($J76)+1)/($J76:$AVW76="T"),1)),"")</f>
        <v>45994</v>
      </c>
      <c r="H76" s="79">
        <f t="shared" si="20"/>
        <v>2</v>
      </c>
      <c r="I76" s="38" t="s">
        <v>10</v>
      </c>
      <c r="J76" s="33"/>
      <c r="K76" s="25" t="s">
        <v>12</v>
      </c>
      <c r="L76" s="27"/>
      <c r="M76" s="27"/>
      <c r="N76" s="27"/>
      <c r="O76" s="28"/>
      <c r="P76" s="27"/>
      <c r="Q76" s="27"/>
      <c r="R76" s="29" t="s">
        <v>16</v>
      </c>
      <c r="S76" s="30" t="s">
        <v>13</v>
      </c>
      <c r="T76" s="27"/>
      <c r="U76" s="27"/>
      <c r="V76" s="28"/>
      <c r="W76" s="27"/>
      <c r="X76" s="27"/>
      <c r="Y76" s="32" t="s">
        <v>14</v>
      </c>
      <c r="Z76" s="30" t="s">
        <v>11</v>
      </c>
      <c r="AA76" s="27"/>
      <c r="AB76" s="27"/>
      <c r="AC76" s="28"/>
      <c r="AD76" s="27"/>
      <c r="AE76" s="29" t="s">
        <v>15</v>
      </c>
      <c r="AF76" s="27"/>
      <c r="AG76" s="27"/>
      <c r="AH76" s="25">
        <v>17</v>
      </c>
      <c r="AI76" s="33"/>
      <c r="AJ76" s="33"/>
      <c r="AK76" s="33"/>
      <c r="AL76" s="33"/>
      <c r="AM76" s="33"/>
      <c r="AN76" s="33"/>
      <c r="AO76" s="33"/>
      <c r="AP76" s="25" t="s">
        <v>12</v>
      </c>
      <c r="AQ76" s="27"/>
      <c r="AR76" s="27"/>
      <c r="AS76" s="27"/>
      <c r="AT76" s="28"/>
      <c r="AU76" s="27"/>
      <c r="AV76" s="27"/>
      <c r="AW76" s="29" t="s">
        <v>16</v>
      </c>
      <c r="AX76" s="30" t="s">
        <v>13</v>
      </c>
      <c r="AY76" s="27"/>
      <c r="AZ76" s="27"/>
      <c r="BA76" s="28"/>
      <c r="BB76" s="27"/>
      <c r="BC76" s="27"/>
      <c r="BD76" s="32" t="s">
        <v>14</v>
      </c>
      <c r="BE76" s="30" t="s">
        <v>11</v>
      </c>
      <c r="BF76" s="27"/>
      <c r="BG76" s="27"/>
      <c r="BH76" s="28"/>
      <c r="BI76" s="27"/>
      <c r="BJ76" s="29" t="s">
        <v>15</v>
      </c>
      <c r="BK76" s="27"/>
      <c r="BL76" s="27"/>
      <c r="BM76" s="25">
        <v>17</v>
      </c>
      <c r="BN76" s="33"/>
      <c r="BO76" s="33"/>
      <c r="BP76" s="33"/>
      <c r="BQ76" s="33"/>
      <c r="BR76" s="33"/>
      <c r="BS76" s="33"/>
      <c r="BT76" s="33"/>
      <c r="BU76" s="33"/>
      <c r="BV76" s="33"/>
      <c r="BW76" s="33"/>
      <c r="BX76" s="33"/>
      <c r="BY76" s="33"/>
      <c r="BZ76" s="33"/>
      <c r="CA76" s="33"/>
      <c r="CB76" s="33"/>
      <c r="CC76" s="33"/>
      <c r="CD76" s="33"/>
      <c r="CE76" s="33"/>
      <c r="CF76" s="33"/>
      <c r="CG76" s="33"/>
      <c r="CH76" s="33"/>
      <c r="CI76" s="33"/>
      <c r="CJ76" s="33"/>
      <c r="CK76" s="33"/>
      <c r="CL76" s="33"/>
      <c r="CM76" s="33"/>
      <c r="CN76" s="33"/>
      <c r="CO76" s="33"/>
      <c r="CP76" s="33"/>
    </row>
    <row r="77" spans="1:94" x14ac:dyDescent="0.25">
      <c r="A77" s="25" t="s">
        <v>56</v>
      </c>
      <c r="B77" s="25" t="s">
        <v>277</v>
      </c>
      <c r="C77" s="25" t="s">
        <v>422</v>
      </c>
      <c r="D77" s="25">
        <v>64</v>
      </c>
      <c r="E77" s="35" cm="1">
        <f t="array" ref="E77">IFERROR(INDEX($J$5:$AVX$5, _xlfn.AGGREGATE(15,6, COLUMN(J77:AVX77)-COLUMN(J77)+1 / (J77:AVX77="T"), F77)), "")</f>
        <v>45994</v>
      </c>
      <c r="F77" s="76">
        <f t="shared" si="19"/>
        <v>2</v>
      </c>
      <c r="G77" s="35" cm="1">
        <f t="array" ref="G77">IFERROR(INDEX($J$5:$AVW$5,_xlfn.AGGREGATE(14,6,(COLUMN($J77:$AVW77)-COLUMN($J77)+1)/($J77:$AVW77="T"),1)),"")</f>
        <v>45994</v>
      </c>
      <c r="H77" s="79">
        <f t="shared" si="20"/>
        <v>2</v>
      </c>
      <c r="I77" s="38" t="s">
        <v>10</v>
      </c>
      <c r="J77" s="33"/>
      <c r="K77" s="25" t="s">
        <v>12</v>
      </c>
      <c r="L77" s="27"/>
      <c r="M77" s="27"/>
      <c r="N77" s="27"/>
      <c r="O77" s="28"/>
      <c r="P77" s="27"/>
      <c r="Q77" s="27"/>
      <c r="R77" s="29" t="s">
        <v>16</v>
      </c>
      <c r="S77" s="30" t="s">
        <v>13</v>
      </c>
      <c r="T77" s="27"/>
      <c r="U77" s="27"/>
      <c r="V77" s="28"/>
      <c r="W77" s="27"/>
      <c r="X77" s="27"/>
      <c r="Y77" s="29" t="s">
        <v>14</v>
      </c>
      <c r="Z77" s="30" t="s">
        <v>11</v>
      </c>
      <c r="AA77" s="37"/>
      <c r="AB77" s="27"/>
      <c r="AC77" s="28"/>
      <c r="AD77" s="27"/>
      <c r="AE77" s="29" t="s">
        <v>15</v>
      </c>
      <c r="AF77" s="27"/>
      <c r="AG77" s="27"/>
      <c r="AH77" s="25">
        <v>17</v>
      </c>
      <c r="AI77" s="33"/>
      <c r="AJ77" s="33"/>
      <c r="AK77" s="33"/>
      <c r="AL77" s="33"/>
      <c r="AM77" s="33"/>
      <c r="AN77" s="33"/>
      <c r="AO77" s="33"/>
      <c r="AP77" s="25" t="s">
        <v>12</v>
      </c>
      <c r="AQ77" s="27"/>
      <c r="AR77" s="27"/>
      <c r="AS77" s="27"/>
      <c r="AT77" s="28"/>
      <c r="AU77" s="27"/>
      <c r="AV77" s="27"/>
      <c r="AW77" s="29" t="s">
        <v>16</v>
      </c>
      <c r="AX77" s="30" t="s">
        <v>13</v>
      </c>
      <c r="AY77" s="27"/>
      <c r="AZ77" s="27"/>
      <c r="BA77" s="28"/>
      <c r="BB77" s="27"/>
      <c r="BC77" s="27"/>
      <c r="BD77" s="32" t="s">
        <v>14</v>
      </c>
      <c r="BE77" s="30" t="s">
        <v>11</v>
      </c>
      <c r="BF77" s="27"/>
      <c r="BG77" s="27"/>
      <c r="BH77" s="28"/>
      <c r="BI77" s="27"/>
      <c r="BJ77" s="29" t="s">
        <v>15</v>
      </c>
      <c r="BK77" s="27"/>
      <c r="BL77" s="27"/>
      <c r="BM77" s="25">
        <v>17</v>
      </c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</row>
    <row r="78" spans="1:94" x14ac:dyDescent="0.25">
      <c r="A78" s="25" t="s">
        <v>56</v>
      </c>
      <c r="B78" s="25" t="s">
        <v>278</v>
      </c>
      <c r="C78" s="25" t="s">
        <v>423</v>
      </c>
      <c r="D78" s="25">
        <v>65</v>
      </c>
      <c r="E78" s="35" cm="1">
        <f t="array" ref="E78">IFERROR(INDEX($J$5:$AVX$5, _xlfn.AGGREGATE(15,6, COLUMN(J78:AVX78)-COLUMN(J78)+1 / (J78:AVX78="T"), F78)), "")</f>
        <v>45994</v>
      </c>
      <c r="F78" s="76">
        <f t="shared" ref="F78:F141" si="21">$A$2</f>
        <v>2</v>
      </c>
      <c r="G78" s="35" cm="1">
        <f t="array" ref="G78">IFERROR(INDEX($J$5:$AVW$5,_xlfn.AGGREGATE(14,6,(COLUMN($J78:$AVW78)-COLUMN($J78)+1)/($J78:$AVW78="T"),1)),"")</f>
        <v>45994</v>
      </c>
      <c r="H78" s="79">
        <f t="shared" ref="H78:H141" si="22">COUNTIF($J78:$AVV78,"T")</f>
        <v>2</v>
      </c>
      <c r="I78" s="38" t="s">
        <v>10</v>
      </c>
      <c r="J78" s="33"/>
      <c r="K78" s="25" t="s">
        <v>12</v>
      </c>
      <c r="L78" s="27"/>
      <c r="M78" s="27"/>
      <c r="N78" s="27"/>
      <c r="O78" s="28"/>
      <c r="P78" s="27"/>
      <c r="Q78" s="27"/>
      <c r="R78" s="29" t="s">
        <v>16</v>
      </c>
      <c r="S78" s="30" t="s">
        <v>13</v>
      </c>
      <c r="T78" s="27"/>
      <c r="U78" s="27"/>
      <c r="V78" s="28"/>
      <c r="W78" s="27"/>
      <c r="X78" s="27"/>
      <c r="Y78" s="29" t="s">
        <v>14</v>
      </c>
      <c r="Z78" s="30" t="s">
        <v>11</v>
      </c>
      <c r="AA78" s="37"/>
      <c r="AB78" s="27"/>
      <c r="AC78" s="28"/>
      <c r="AD78" s="27"/>
      <c r="AE78" s="29" t="s">
        <v>15</v>
      </c>
      <c r="AF78" s="27"/>
      <c r="AG78" s="27"/>
      <c r="AH78" s="25">
        <v>17</v>
      </c>
      <c r="AI78" s="33"/>
      <c r="AJ78" s="33"/>
      <c r="AK78" s="33"/>
      <c r="AL78" s="33"/>
      <c r="AM78" s="33"/>
      <c r="AN78" s="33"/>
      <c r="AO78" s="33"/>
      <c r="AP78" s="25" t="s">
        <v>12</v>
      </c>
      <c r="AQ78" s="27"/>
      <c r="AR78" s="27"/>
      <c r="AS78" s="27"/>
      <c r="AT78" s="28"/>
      <c r="AU78" s="27"/>
      <c r="AV78" s="27"/>
      <c r="AW78" s="29" t="s">
        <v>16</v>
      </c>
      <c r="AX78" s="30" t="s">
        <v>13</v>
      </c>
      <c r="AY78" s="27"/>
      <c r="AZ78" s="27"/>
      <c r="BA78" s="28"/>
      <c r="BB78" s="27"/>
      <c r="BC78" s="27"/>
      <c r="BD78" s="32" t="s">
        <v>14</v>
      </c>
      <c r="BE78" s="30" t="s">
        <v>11</v>
      </c>
      <c r="BF78" s="27"/>
      <c r="BG78" s="27"/>
      <c r="BH78" s="28"/>
      <c r="BI78" s="27"/>
      <c r="BJ78" s="29" t="s">
        <v>15</v>
      </c>
      <c r="BK78" s="27"/>
      <c r="BL78" s="27"/>
      <c r="BM78" s="25">
        <v>17</v>
      </c>
      <c r="BN78" s="33"/>
      <c r="BO78" s="33"/>
      <c r="BP78" s="33"/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3"/>
      <c r="CB78" s="33"/>
      <c r="CC78" s="33"/>
      <c r="CD78" s="33"/>
      <c r="CE78" s="33"/>
      <c r="CF78" s="33"/>
      <c r="CG78" s="33"/>
      <c r="CH78" s="33"/>
      <c r="CI78" s="33"/>
      <c r="CJ78" s="33"/>
      <c r="CK78" s="33"/>
      <c r="CL78" s="33"/>
      <c r="CM78" s="33"/>
      <c r="CN78" s="33"/>
      <c r="CO78" s="33"/>
      <c r="CP78" s="33"/>
    </row>
    <row r="79" spans="1:94" x14ac:dyDescent="0.25">
      <c r="A79" s="25" t="s">
        <v>56</v>
      </c>
      <c r="B79" s="25" t="s">
        <v>279</v>
      </c>
      <c r="C79" s="25" t="s">
        <v>424</v>
      </c>
      <c r="D79" s="25">
        <v>66</v>
      </c>
      <c r="E79" s="35" cm="1">
        <f t="array" ref="E79">IFERROR(INDEX($J$5:$AVX$5, _xlfn.AGGREGATE(15,6, COLUMN(J79:AVX79)-COLUMN(J79)+1 / (J79:AVX79="T"), F79)), "")</f>
        <v>45992</v>
      </c>
      <c r="F79" s="76">
        <f t="shared" si="21"/>
        <v>2</v>
      </c>
      <c r="G79" s="35" cm="1">
        <f t="array" ref="G79">IFERROR(INDEX($J$5:$AVW$5,_xlfn.AGGREGATE(14,6,(COLUMN($J79:$AVW79)-COLUMN($J79)+1)/($J79:$AVW79="T"),1)),"")</f>
        <v>45992</v>
      </c>
      <c r="H79" s="79">
        <f t="shared" si="22"/>
        <v>2</v>
      </c>
      <c r="I79" s="38" t="s">
        <v>10</v>
      </c>
      <c r="J79" s="33"/>
      <c r="K79" s="25" t="s">
        <v>12</v>
      </c>
      <c r="L79" s="27"/>
      <c r="M79" s="27"/>
      <c r="N79" s="27"/>
      <c r="O79" s="28"/>
      <c r="P79" s="27"/>
      <c r="Q79" s="27"/>
      <c r="R79" s="29" t="s">
        <v>16</v>
      </c>
      <c r="S79" s="30" t="s">
        <v>13</v>
      </c>
      <c r="T79" s="27"/>
      <c r="U79" s="27"/>
      <c r="V79" s="28"/>
      <c r="W79" s="27"/>
      <c r="X79" s="27"/>
      <c r="Y79" s="29" t="s">
        <v>14</v>
      </c>
      <c r="Z79" s="30" t="s">
        <v>11</v>
      </c>
      <c r="AA79" s="37"/>
      <c r="AB79" s="27"/>
      <c r="AC79" s="28"/>
      <c r="AD79" s="27"/>
      <c r="AE79" s="29" t="s">
        <v>15</v>
      </c>
      <c r="AF79" s="27"/>
      <c r="AG79" s="27"/>
      <c r="AH79" s="25">
        <v>17</v>
      </c>
      <c r="AI79" s="33"/>
      <c r="AJ79" s="33"/>
      <c r="AK79" s="33"/>
      <c r="AL79" s="33"/>
      <c r="AM79" s="33"/>
      <c r="AN79" s="25" t="s">
        <v>12</v>
      </c>
      <c r="AO79" s="27"/>
      <c r="AP79" s="27"/>
      <c r="AQ79" s="27"/>
      <c r="AR79" s="28"/>
      <c r="AS79" s="27"/>
      <c r="AT79" s="27"/>
      <c r="AU79" s="29" t="s">
        <v>16</v>
      </c>
      <c r="AV79" s="30" t="s">
        <v>13</v>
      </c>
      <c r="AW79" s="27"/>
      <c r="AX79" s="27"/>
      <c r="AY79" s="28"/>
      <c r="AZ79" s="27"/>
      <c r="BA79" s="27"/>
      <c r="BB79" s="32" t="s">
        <v>14</v>
      </c>
      <c r="BC79" s="30" t="s">
        <v>11</v>
      </c>
      <c r="BD79" s="27"/>
      <c r="BE79" s="27"/>
      <c r="BF79" s="28"/>
      <c r="BG79" s="27"/>
      <c r="BH79" s="29" t="s">
        <v>15</v>
      </c>
      <c r="BI79" s="27"/>
      <c r="BJ79" s="27"/>
      <c r="BK79" s="25">
        <v>17</v>
      </c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  <c r="CD79" s="33"/>
      <c r="CE79" s="33"/>
      <c r="CF79" s="33"/>
      <c r="CG79" s="33"/>
      <c r="CH79" s="33"/>
      <c r="CI79" s="33"/>
      <c r="CJ79" s="33"/>
      <c r="CK79" s="33"/>
      <c r="CL79" s="33"/>
      <c r="CM79" s="33"/>
      <c r="CN79" s="33"/>
      <c r="CO79" s="33"/>
      <c r="CP79" s="33"/>
    </row>
    <row r="80" spans="1:94" x14ac:dyDescent="0.25">
      <c r="A80" s="25" t="s">
        <v>56</v>
      </c>
      <c r="B80" s="25" t="s">
        <v>280</v>
      </c>
      <c r="C80" s="25" t="s">
        <v>425</v>
      </c>
      <c r="D80" s="25">
        <v>67</v>
      </c>
      <c r="E80" s="35" cm="1">
        <f t="array" ref="E80">IFERROR(INDEX($J$5:$AVX$5, _xlfn.AGGREGATE(15,6, COLUMN(J80:AVX80)-COLUMN(J80)+1 / (J80:AVX80="T"), F80)), "")</f>
        <v>45992</v>
      </c>
      <c r="F80" s="76">
        <f t="shared" si="21"/>
        <v>2</v>
      </c>
      <c r="G80" s="35" cm="1">
        <f t="array" ref="G80">IFERROR(INDEX($J$5:$AVW$5,_xlfn.AGGREGATE(14,6,(COLUMN($J80:$AVW80)-COLUMN($J80)+1)/($J80:$AVW80="T"),1)),"")</f>
        <v>45992</v>
      </c>
      <c r="H80" s="79">
        <f t="shared" si="22"/>
        <v>2</v>
      </c>
      <c r="I80" s="38" t="s">
        <v>10</v>
      </c>
      <c r="J80" s="33"/>
      <c r="K80" s="25" t="s">
        <v>12</v>
      </c>
      <c r="L80" s="27"/>
      <c r="M80" s="27"/>
      <c r="N80" s="27"/>
      <c r="O80" s="28"/>
      <c r="P80" s="27"/>
      <c r="Q80" s="27"/>
      <c r="R80" s="29" t="s">
        <v>16</v>
      </c>
      <c r="S80" s="30" t="s">
        <v>13</v>
      </c>
      <c r="T80" s="27"/>
      <c r="U80" s="27"/>
      <c r="V80" s="28"/>
      <c r="W80" s="27"/>
      <c r="X80" s="27"/>
      <c r="Y80" s="29" t="s">
        <v>14</v>
      </c>
      <c r="Z80" s="30" t="s">
        <v>11</v>
      </c>
      <c r="AA80" s="37"/>
      <c r="AB80" s="27"/>
      <c r="AC80" s="28"/>
      <c r="AD80" s="27"/>
      <c r="AE80" s="29" t="s">
        <v>15</v>
      </c>
      <c r="AF80" s="27"/>
      <c r="AG80" s="27"/>
      <c r="AH80" s="25">
        <v>17</v>
      </c>
      <c r="AI80" s="33"/>
      <c r="AJ80" s="33"/>
      <c r="AK80" s="33"/>
      <c r="AL80" s="33"/>
      <c r="AM80" s="33"/>
      <c r="AN80" s="25" t="s">
        <v>12</v>
      </c>
      <c r="AO80" s="27"/>
      <c r="AP80" s="27"/>
      <c r="AQ80" s="27"/>
      <c r="AR80" s="28"/>
      <c r="AS80" s="27"/>
      <c r="AT80" s="27"/>
      <c r="AU80" s="29" t="s">
        <v>16</v>
      </c>
      <c r="AV80" s="30" t="s">
        <v>13</v>
      </c>
      <c r="AW80" s="27"/>
      <c r="AX80" s="27"/>
      <c r="AY80" s="28"/>
      <c r="AZ80" s="27"/>
      <c r="BA80" s="27"/>
      <c r="BB80" s="32" t="s">
        <v>14</v>
      </c>
      <c r="BC80" s="30" t="s">
        <v>11</v>
      </c>
      <c r="BD80" s="27"/>
      <c r="BE80" s="27"/>
      <c r="BF80" s="28"/>
      <c r="BG80" s="27"/>
      <c r="BH80" s="29" t="s">
        <v>15</v>
      </c>
      <c r="BI80" s="27"/>
      <c r="BJ80" s="27"/>
      <c r="BK80" s="25">
        <v>17</v>
      </c>
      <c r="BL80" s="33"/>
      <c r="BM80" s="33"/>
      <c r="BN80" s="33"/>
      <c r="BO80" s="33"/>
      <c r="BP80" s="33"/>
      <c r="BQ80" s="33"/>
      <c r="BR80" s="33"/>
      <c r="BS80" s="33"/>
      <c r="BT80" s="33"/>
      <c r="BU80" s="33"/>
      <c r="BV80" s="33"/>
      <c r="BW80" s="33"/>
      <c r="BX80" s="33"/>
      <c r="BY80" s="33"/>
      <c r="BZ80" s="33"/>
      <c r="CA80" s="33"/>
      <c r="CB80" s="33"/>
      <c r="CC80" s="33"/>
      <c r="CD80" s="33"/>
      <c r="CE80" s="33"/>
      <c r="CF80" s="33"/>
      <c r="CG80" s="33"/>
      <c r="CH80" s="33"/>
      <c r="CI80" s="33"/>
      <c r="CJ80" s="33"/>
      <c r="CK80" s="33"/>
      <c r="CL80" s="33"/>
      <c r="CM80" s="33"/>
      <c r="CN80" s="33"/>
      <c r="CO80" s="33"/>
      <c r="CP80" s="33"/>
    </row>
    <row r="81" spans="1:94" x14ac:dyDescent="0.25">
      <c r="A81" s="25" t="s">
        <v>56</v>
      </c>
      <c r="B81" s="25" t="s">
        <v>281</v>
      </c>
      <c r="C81" s="25" t="s">
        <v>426</v>
      </c>
      <c r="D81" s="25">
        <v>68</v>
      </c>
      <c r="E81" s="35" cm="1">
        <f t="array" ref="E81">IFERROR(INDEX($J$5:$AVX$5, _xlfn.AGGREGATE(15,6, COLUMN(J81:AVX81)-COLUMN(J81)+1 / (J81:AVX81="T"), F81)), "")</f>
        <v>45992</v>
      </c>
      <c r="F81" s="76">
        <f t="shared" si="21"/>
        <v>2</v>
      </c>
      <c r="G81" s="35" cm="1">
        <f t="array" ref="G81">IFERROR(INDEX($J$5:$AVW$5,_xlfn.AGGREGATE(14,6,(COLUMN($J81:$AVW81)-COLUMN($J81)+1)/($J81:$AVW81="T"),1)),"")</f>
        <v>45992</v>
      </c>
      <c r="H81" s="79">
        <f t="shared" si="22"/>
        <v>2</v>
      </c>
      <c r="I81" s="38" t="s">
        <v>10</v>
      </c>
      <c r="J81" s="33"/>
      <c r="K81" s="25" t="s">
        <v>12</v>
      </c>
      <c r="L81" s="27"/>
      <c r="M81" s="27"/>
      <c r="N81" s="27"/>
      <c r="O81" s="28"/>
      <c r="P81" s="27"/>
      <c r="Q81" s="27"/>
      <c r="R81" s="29" t="s">
        <v>16</v>
      </c>
      <c r="S81" s="30" t="s">
        <v>13</v>
      </c>
      <c r="T81" s="27"/>
      <c r="U81" s="27"/>
      <c r="V81" s="28"/>
      <c r="W81" s="27"/>
      <c r="X81" s="27"/>
      <c r="Y81" s="29" t="s">
        <v>14</v>
      </c>
      <c r="Z81" s="30" t="s">
        <v>11</v>
      </c>
      <c r="AA81" s="37"/>
      <c r="AB81" s="27"/>
      <c r="AC81" s="28"/>
      <c r="AD81" s="27"/>
      <c r="AE81" s="29" t="s">
        <v>15</v>
      </c>
      <c r="AF81" s="27"/>
      <c r="AG81" s="27"/>
      <c r="AH81" s="25">
        <v>17</v>
      </c>
      <c r="AI81" s="33"/>
      <c r="AJ81" s="33"/>
      <c r="AK81" s="33"/>
      <c r="AL81" s="33"/>
      <c r="AM81" s="33"/>
      <c r="AN81" s="25" t="s">
        <v>12</v>
      </c>
      <c r="AO81" s="27"/>
      <c r="AP81" s="27"/>
      <c r="AQ81" s="27"/>
      <c r="AR81" s="28"/>
      <c r="AS81" s="27"/>
      <c r="AT81" s="27"/>
      <c r="AU81" s="29" t="s">
        <v>16</v>
      </c>
      <c r="AV81" s="30" t="s">
        <v>13</v>
      </c>
      <c r="AW81" s="27"/>
      <c r="AX81" s="27"/>
      <c r="AY81" s="28"/>
      <c r="AZ81" s="27"/>
      <c r="BA81" s="27"/>
      <c r="BB81" s="32" t="s">
        <v>14</v>
      </c>
      <c r="BC81" s="30" t="s">
        <v>11</v>
      </c>
      <c r="BD81" s="27"/>
      <c r="BE81" s="27"/>
      <c r="BF81" s="28"/>
      <c r="BG81" s="27"/>
      <c r="BH81" s="29" t="s">
        <v>15</v>
      </c>
      <c r="BI81" s="27"/>
      <c r="BJ81" s="27"/>
      <c r="BK81" s="25">
        <v>17</v>
      </c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  <c r="CD81" s="33"/>
      <c r="CE81" s="33"/>
      <c r="CF81" s="33"/>
      <c r="CG81" s="33"/>
      <c r="CH81" s="33"/>
      <c r="CI81" s="33"/>
      <c r="CJ81" s="33"/>
      <c r="CK81" s="33"/>
      <c r="CL81" s="33"/>
      <c r="CM81" s="33"/>
      <c r="CN81" s="33"/>
      <c r="CO81" s="33"/>
      <c r="CP81" s="33"/>
    </row>
    <row r="82" spans="1:94" x14ac:dyDescent="0.25">
      <c r="A82" s="25" t="s">
        <v>56</v>
      </c>
      <c r="B82" s="25" t="s">
        <v>282</v>
      </c>
      <c r="C82" s="25" t="s">
        <v>427</v>
      </c>
      <c r="D82" s="25">
        <v>69</v>
      </c>
      <c r="E82" s="35" cm="1">
        <f t="array" ref="E82">IFERROR(INDEX($J$5:$AVX$5, _xlfn.AGGREGATE(15,6, COLUMN(J82:AVX82)-COLUMN(J82)+1 / (J82:AVX82="T"), F82)), "")</f>
        <v>45992</v>
      </c>
      <c r="F82" s="76">
        <f t="shared" si="21"/>
        <v>2</v>
      </c>
      <c r="G82" s="35" cm="1">
        <f t="array" ref="G82">IFERROR(INDEX($J$5:$AVW$5,_xlfn.AGGREGATE(14,6,(COLUMN($J82:$AVW82)-COLUMN($J82)+1)/($J82:$AVW82="T"),1)),"")</f>
        <v>45992</v>
      </c>
      <c r="H82" s="79">
        <f t="shared" si="22"/>
        <v>2</v>
      </c>
      <c r="I82" s="38" t="s">
        <v>10</v>
      </c>
      <c r="J82" s="33"/>
      <c r="K82" s="25" t="s">
        <v>12</v>
      </c>
      <c r="L82" s="27"/>
      <c r="M82" s="27"/>
      <c r="N82" s="27"/>
      <c r="O82" s="28"/>
      <c r="P82" s="27"/>
      <c r="Q82" s="27"/>
      <c r="R82" s="29" t="s">
        <v>16</v>
      </c>
      <c r="S82" s="30" t="s">
        <v>13</v>
      </c>
      <c r="T82" s="27"/>
      <c r="U82" s="27"/>
      <c r="V82" s="28"/>
      <c r="W82" s="27"/>
      <c r="X82" s="27"/>
      <c r="Y82" s="29" t="s">
        <v>14</v>
      </c>
      <c r="Z82" s="30" t="s">
        <v>11</v>
      </c>
      <c r="AA82" s="37"/>
      <c r="AB82" s="27"/>
      <c r="AC82" s="28"/>
      <c r="AD82" s="27"/>
      <c r="AE82" s="29" t="s">
        <v>15</v>
      </c>
      <c r="AF82" s="27"/>
      <c r="AG82" s="27"/>
      <c r="AH82" s="25">
        <v>17</v>
      </c>
      <c r="AI82" s="33"/>
      <c r="AJ82" s="33"/>
      <c r="AK82" s="33"/>
      <c r="AL82" s="33"/>
      <c r="AM82" s="33"/>
      <c r="AN82" s="25" t="s">
        <v>12</v>
      </c>
      <c r="AO82" s="27"/>
      <c r="AP82" s="27"/>
      <c r="AQ82" s="27"/>
      <c r="AR82" s="28"/>
      <c r="AS82" s="27"/>
      <c r="AT82" s="27"/>
      <c r="AU82" s="29" t="s">
        <v>16</v>
      </c>
      <c r="AV82" s="30" t="s">
        <v>13</v>
      </c>
      <c r="AW82" s="27"/>
      <c r="AX82" s="27"/>
      <c r="AY82" s="28"/>
      <c r="AZ82" s="27"/>
      <c r="BA82" s="27"/>
      <c r="BB82" s="32" t="s">
        <v>14</v>
      </c>
      <c r="BC82" s="30" t="s">
        <v>11</v>
      </c>
      <c r="BD82" s="27"/>
      <c r="BE82" s="27"/>
      <c r="BF82" s="28"/>
      <c r="BG82" s="27"/>
      <c r="BH82" s="29" t="s">
        <v>15</v>
      </c>
      <c r="BI82" s="27"/>
      <c r="BJ82" s="27"/>
      <c r="BK82" s="25">
        <v>17</v>
      </c>
      <c r="BL82" s="33"/>
      <c r="BM82" s="33"/>
      <c r="BN82" s="33"/>
      <c r="BO82" s="33"/>
      <c r="BP82" s="33"/>
      <c r="BQ82" s="33"/>
      <c r="BR82" s="33"/>
      <c r="BS82" s="33"/>
      <c r="BT82" s="33"/>
      <c r="BU82" s="33"/>
      <c r="BV82" s="33"/>
      <c r="BW82" s="33"/>
      <c r="BX82" s="33"/>
      <c r="BY82" s="33"/>
      <c r="BZ82" s="33"/>
      <c r="CA82" s="33"/>
      <c r="CB82" s="33"/>
      <c r="CC82" s="33"/>
      <c r="CD82" s="33"/>
      <c r="CE82" s="33"/>
      <c r="CF82" s="33"/>
      <c r="CG82" s="33"/>
      <c r="CH82" s="33"/>
      <c r="CI82" s="33"/>
      <c r="CJ82" s="33"/>
      <c r="CK82" s="33"/>
      <c r="CL82" s="33"/>
      <c r="CM82" s="33"/>
      <c r="CN82" s="33"/>
      <c r="CO82" s="33"/>
      <c r="CP82" s="33"/>
    </row>
    <row r="83" spans="1:94" x14ac:dyDescent="0.25">
      <c r="A83" s="25" t="s">
        <v>56</v>
      </c>
      <c r="B83" s="25" t="s">
        <v>283</v>
      </c>
      <c r="C83" s="25" t="s">
        <v>428</v>
      </c>
      <c r="D83" s="25">
        <v>70</v>
      </c>
      <c r="E83" s="35" cm="1">
        <f t="array" ref="E83">IFERROR(INDEX($J$5:$AVX$5, _xlfn.AGGREGATE(15,6, COLUMN(J83:AVX83)-COLUMN(J83)+1 / (J83:AVX83="T"), F83)), "")</f>
        <v>46016</v>
      </c>
      <c r="F83" s="76">
        <f t="shared" si="21"/>
        <v>2</v>
      </c>
      <c r="G83" s="35" cm="1">
        <f t="array" ref="G83">IFERROR(INDEX($J$5:$AVW$5,_xlfn.AGGREGATE(14,6,(COLUMN($J83:$AVW83)-COLUMN($J83)+1)/($J83:$AVW83="T"),1)),"")</f>
        <v>46016</v>
      </c>
      <c r="H83" s="79">
        <f t="shared" si="22"/>
        <v>2</v>
      </c>
      <c r="I83" s="38" t="s">
        <v>10</v>
      </c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25" t="s">
        <v>12</v>
      </c>
      <c r="AK83" s="27"/>
      <c r="AL83" s="27"/>
      <c r="AM83" s="27"/>
      <c r="AN83" s="28"/>
      <c r="AO83" s="27"/>
      <c r="AP83" s="27"/>
      <c r="AQ83" s="29" t="s">
        <v>16</v>
      </c>
      <c r="AR83" s="30" t="s">
        <v>13</v>
      </c>
      <c r="AS83" s="27"/>
      <c r="AT83" s="27"/>
      <c r="AU83" s="28"/>
      <c r="AV83" s="27"/>
      <c r="AW83" s="27"/>
      <c r="AX83" s="32" t="s">
        <v>14</v>
      </c>
      <c r="AY83" s="30" t="s">
        <v>11</v>
      </c>
      <c r="AZ83" s="27"/>
      <c r="BA83" s="27"/>
      <c r="BB83" s="28"/>
      <c r="BC83" s="27"/>
      <c r="BD83" s="29" t="s">
        <v>15</v>
      </c>
      <c r="BE83" s="27"/>
      <c r="BF83" s="27"/>
      <c r="BG83" s="25">
        <v>17</v>
      </c>
      <c r="BH83" s="33"/>
      <c r="BI83" s="33"/>
      <c r="BJ83" s="33"/>
      <c r="BK83" s="33"/>
      <c r="BL83" s="25" t="s">
        <v>12</v>
      </c>
      <c r="BM83" s="27"/>
      <c r="BN83" s="27"/>
      <c r="BO83" s="27"/>
      <c r="BP83" s="28"/>
      <c r="BQ83" s="27"/>
      <c r="BR83" s="27"/>
      <c r="BS83" s="29" t="s">
        <v>16</v>
      </c>
      <c r="BT83" s="30" t="s">
        <v>13</v>
      </c>
      <c r="BU83" s="27"/>
      <c r="BV83" s="27"/>
      <c r="BW83" s="28"/>
      <c r="BX83" s="27"/>
      <c r="BY83" s="27"/>
      <c r="BZ83" s="29" t="s">
        <v>14</v>
      </c>
      <c r="CA83" s="30" t="s">
        <v>11</v>
      </c>
      <c r="CB83" s="37"/>
      <c r="CC83" s="27"/>
      <c r="CD83" s="28"/>
      <c r="CE83" s="27"/>
      <c r="CF83" s="29" t="s">
        <v>15</v>
      </c>
      <c r="CG83" s="27"/>
      <c r="CH83" s="27"/>
      <c r="CI83" s="25">
        <v>17</v>
      </c>
      <c r="CJ83" s="33"/>
      <c r="CK83" s="33"/>
      <c r="CL83" s="33"/>
      <c r="CM83" s="33"/>
      <c r="CN83" s="33"/>
      <c r="CO83" s="33"/>
      <c r="CP83" s="33"/>
    </row>
    <row r="84" spans="1:94" x14ac:dyDescent="0.25">
      <c r="A84" s="25" t="s">
        <v>56</v>
      </c>
      <c r="B84" s="25" t="s">
        <v>284</v>
      </c>
      <c r="C84" s="25" t="s">
        <v>429</v>
      </c>
      <c r="D84" s="25">
        <v>71</v>
      </c>
      <c r="E84" s="35" cm="1">
        <f t="array" ref="E84">IFERROR(INDEX($J$5:$AVX$5, _xlfn.AGGREGATE(15,6, COLUMN(J84:AVX84)-COLUMN(J84)+1 / (J84:AVX84="T"), F84)), "")</f>
        <v>46016</v>
      </c>
      <c r="F84" s="76">
        <f t="shared" si="21"/>
        <v>2</v>
      </c>
      <c r="G84" s="35" cm="1">
        <f t="array" ref="G84">IFERROR(INDEX($J$5:$AVW$5,_xlfn.AGGREGATE(14,6,(COLUMN($J84:$AVW84)-COLUMN($J84)+1)/($J84:$AVW84="T"),1)),"")</f>
        <v>46016</v>
      </c>
      <c r="H84" s="79">
        <f t="shared" si="22"/>
        <v>2</v>
      </c>
      <c r="I84" s="38" t="s">
        <v>10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25" t="s">
        <v>12</v>
      </c>
      <c r="AK84" s="27"/>
      <c r="AL84" s="27"/>
      <c r="AM84" s="27"/>
      <c r="AN84" s="28"/>
      <c r="AO84" s="27"/>
      <c r="AP84" s="27"/>
      <c r="AQ84" s="29" t="s">
        <v>16</v>
      </c>
      <c r="AR84" s="30" t="s">
        <v>13</v>
      </c>
      <c r="AS84" s="27"/>
      <c r="AT84" s="27"/>
      <c r="AU84" s="28"/>
      <c r="AV84" s="27"/>
      <c r="AW84" s="27"/>
      <c r="AX84" s="32" t="s">
        <v>14</v>
      </c>
      <c r="AY84" s="30" t="s">
        <v>11</v>
      </c>
      <c r="AZ84" s="27"/>
      <c r="BA84" s="27"/>
      <c r="BB84" s="28"/>
      <c r="BC84" s="27"/>
      <c r="BD84" s="29" t="s">
        <v>15</v>
      </c>
      <c r="BE84" s="27"/>
      <c r="BF84" s="27"/>
      <c r="BG84" s="25">
        <v>17</v>
      </c>
      <c r="BH84" s="33"/>
      <c r="BI84" s="33"/>
      <c r="BJ84" s="33"/>
      <c r="BK84" s="33"/>
      <c r="BL84" s="25" t="s">
        <v>12</v>
      </c>
      <c r="BM84" s="27"/>
      <c r="BN84" s="27"/>
      <c r="BO84" s="27"/>
      <c r="BP84" s="28"/>
      <c r="BQ84" s="27"/>
      <c r="BR84" s="27"/>
      <c r="BS84" s="29" t="s">
        <v>16</v>
      </c>
      <c r="BT84" s="30" t="s">
        <v>13</v>
      </c>
      <c r="BU84" s="27"/>
      <c r="BV84" s="27"/>
      <c r="BW84" s="28"/>
      <c r="BX84" s="27"/>
      <c r="BY84" s="27"/>
      <c r="BZ84" s="29" t="s">
        <v>14</v>
      </c>
      <c r="CA84" s="30" t="s">
        <v>11</v>
      </c>
      <c r="CB84" s="37"/>
      <c r="CC84" s="27"/>
      <c r="CD84" s="28"/>
      <c r="CE84" s="27"/>
      <c r="CF84" s="29" t="s">
        <v>15</v>
      </c>
      <c r="CG84" s="27"/>
      <c r="CH84" s="27"/>
      <c r="CI84" s="25">
        <v>17</v>
      </c>
      <c r="CJ84" s="33"/>
      <c r="CK84" s="33"/>
      <c r="CL84" s="33"/>
      <c r="CM84" s="33"/>
      <c r="CN84" s="33"/>
      <c r="CO84" s="33"/>
      <c r="CP84" s="33"/>
    </row>
    <row r="85" spans="1:94" ht="15" customHeight="1" x14ac:dyDescent="0.25">
      <c r="A85" s="25" t="s">
        <v>56</v>
      </c>
      <c r="B85" s="25" t="s">
        <v>285</v>
      </c>
      <c r="C85" s="25" t="s">
        <v>430</v>
      </c>
      <c r="D85" s="25">
        <v>72</v>
      </c>
      <c r="E85" s="35" cm="1">
        <f t="array" ref="E85">IFERROR(INDEX($J$5:$AVX$5, _xlfn.AGGREGATE(15,6, COLUMN(J85:AVX85)-COLUMN(J85)+1 / (J85:AVX85="T"), F85)), "")</f>
        <v>46016</v>
      </c>
      <c r="F85" s="76">
        <f t="shared" si="21"/>
        <v>2</v>
      </c>
      <c r="G85" s="35" cm="1">
        <f t="array" ref="G85">IFERROR(INDEX($J$5:$AVW$5,_xlfn.AGGREGATE(14,6,(COLUMN($J85:$AVW85)-COLUMN($J85)+1)/($J85:$AVW85="T"),1)),"")</f>
        <v>46016</v>
      </c>
      <c r="H85" s="79">
        <f t="shared" si="22"/>
        <v>2</v>
      </c>
      <c r="I85" s="38" t="s">
        <v>10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25" t="s">
        <v>12</v>
      </c>
      <c r="AK85" s="27"/>
      <c r="AL85" s="27"/>
      <c r="AM85" s="27"/>
      <c r="AN85" s="28"/>
      <c r="AO85" s="27"/>
      <c r="AP85" s="27"/>
      <c r="AQ85" s="29" t="s">
        <v>16</v>
      </c>
      <c r="AR85" s="30" t="s">
        <v>13</v>
      </c>
      <c r="AS85" s="27"/>
      <c r="AT85" s="27"/>
      <c r="AU85" s="28"/>
      <c r="AV85" s="27"/>
      <c r="AW85" s="27"/>
      <c r="AX85" s="32" t="s">
        <v>14</v>
      </c>
      <c r="AY85" s="30" t="s">
        <v>11</v>
      </c>
      <c r="AZ85" s="27"/>
      <c r="BA85" s="27"/>
      <c r="BB85" s="28"/>
      <c r="BC85" s="27"/>
      <c r="BD85" s="29" t="s">
        <v>15</v>
      </c>
      <c r="BE85" s="27"/>
      <c r="BF85" s="27"/>
      <c r="BG85" s="25">
        <v>17</v>
      </c>
      <c r="BH85" s="33"/>
      <c r="BI85" s="33"/>
      <c r="BJ85" s="33"/>
      <c r="BK85" s="33"/>
      <c r="BL85" s="25" t="s">
        <v>12</v>
      </c>
      <c r="BM85" s="27"/>
      <c r="BN85" s="27"/>
      <c r="BO85" s="27"/>
      <c r="BP85" s="28"/>
      <c r="BQ85" s="27"/>
      <c r="BR85" s="27"/>
      <c r="BS85" s="29" t="s">
        <v>16</v>
      </c>
      <c r="BT85" s="30" t="s">
        <v>13</v>
      </c>
      <c r="BU85" s="27"/>
      <c r="BV85" s="27"/>
      <c r="BW85" s="28"/>
      <c r="BX85" s="27"/>
      <c r="BY85" s="27"/>
      <c r="BZ85" s="29" t="s">
        <v>14</v>
      </c>
      <c r="CA85" s="30" t="s">
        <v>11</v>
      </c>
      <c r="CB85" s="37"/>
      <c r="CC85" s="27"/>
      <c r="CD85" s="28"/>
      <c r="CE85" s="27"/>
      <c r="CF85" s="29" t="s">
        <v>15</v>
      </c>
      <c r="CG85" s="27"/>
      <c r="CH85" s="27"/>
      <c r="CI85" s="25">
        <v>17</v>
      </c>
      <c r="CJ85" s="33"/>
      <c r="CK85" s="33"/>
      <c r="CL85" s="33"/>
      <c r="CM85" s="33"/>
      <c r="CN85" s="33"/>
      <c r="CO85" s="33"/>
      <c r="CP85" s="33"/>
    </row>
    <row r="86" spans="1:94" x14ac:dyDescent="0.25">
      <c r="A86" s="25" t="s">
        <v>56</v>
      </c>
      <c r="B86" s="25" t="s">
        <v>286</v>
      </c>
      <c r="C86" s="25" t="s">
        <v>431</v>
      </c>
      <c r="D86" s="25">
        <v>73</v>
      </c>
      <c r="E86" s="35" cm="1">
        <f t="array" ref="E86">IFERROR(INDEX($J$5:$AVX$5, _xlfn.AGGREGATE(15,6, COLUMN(J86:AVX86)-COLUMN(J86)+1 / (J86:AVX86="T"), F86)), "")</f>
        <v>46016</v>
      </c>
      <c r="F86" s="76">
        <f t="shared" si="21"/>
        <v>2</v>
      </c>
      <c r="G86" s="35" cm="1">
        <f t="array" ref="G86">IFERROR(INDEX($J$5:$AVW$5,_xlfn.AGGREGATE(14,6,(COLUMN($J86:$AVW86)-COLUMN($J86)+1)/($J86:$AVW86="T"),1)),"")</f>
        <v>46016</v>
      </c>
      <c r="H86" s="79">
        <f t="shared" si="22"/>
        <v>2</v>
      </c>
      <c r="I86" s="38" t="s">
        <v>10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25" t="s">
        <v>12</v>
      </c>
      <c r="AJ86" s="27"/>
      <c r="AK86" s="27"/>
      <c r="AL86" s="27"/>
      <c r="AM86" s="28"/>
      <c r="AN86" s="27"/>
      <c r="AO86" s="27"/>
      <c r="AP86" s="29" t="s">
        <v>16</v>
      </c>
      <c r="AQ86" s="30" t="s">
        <v>13</v>
      </c>
      <c r="AR86" s="27"/>
      <c r="AS86" s="27"/>
      <c r="AT86" s="28"/>
      <c r="AU86" s="27"/>
      <c r="AV86" s="27"/>
      <c r="AW86" s="32" t="s">
        <v>14</v>
      </c>
      <c r="AX86" s="30" t="s">
        <v>11</v>
      </c>
      <c r="AY86" s="27"/>
      <c r="AZ86" s="27"/>
      <c r="BA86" s="28"/>
      <c r="BB86" s="27"/>
      <c r="BC86" s="29" t="s">
        <v>15</v>
      </c>
      <c r="BD86" s="27"/>
      <c r="BE86" s="27"/>
      <c r="BF86" s="25">
        <v>17</v>
      </c>
      <c r="BG86" s="33"/>
      <c r="BH86" s="33"/>
      <c r="BI86" s="33"/>
      <c r="BJ86" s="33"/>
      <c r="BK86" s="33"/>
      <c r="BL86" s="25" t="s">
        <v>12</v>
      </c>
      <c r="BM86" s="27"/>
      <c r="BN86" s="27"/>
      <c r="BO86" s="27"/>
      <c r="BP86" s="28"/>
      <c r="BQ86" s="27"/>
      <c r="BR86" s="27"/>
      <c r="BS86" s="29" t="s">
        <v>16</v>
      </c>
      <c r="BT86" s="30" t="s">
        <v>13</v>
      </c>
      <c r="BU86" s="27"/>
      <c r="BV86" s="27"/>
      <c r="BW86" s="28"/>
      <c r="BX86" s="27"/>
      <c r="BY86" s="27"/>
      <c r="BZ86" s="29" t="s">
        <v>14</v>
      </c>
      <c r="CA86" s="30" t="s">
        <v>11</v>
      </c>
      <c r="CB86" s="37"/>
      <c r="CC86" s="27"/>
      <c r="CD86" s="28"/>
      <c r="CE86" s="27"/>
      <c r="CF86" s="29" t="s">
        <v>15</v>
      </c>
      <c r="CG86" s="27"/>
      <c r="CH86" s="27"/>
      <c r="CI86" s="25">
        <v>17</v>
      </c>
      <c r="CJ86" s="33"/>
      <c r="CK86" s="33"/>
      <c r="CL86" s="33"/>
      <c r="CM86" s="33"/>
      <c r="CN86" s="33"/>
      <c r="CO86" s="33"/>
      <c r="CP86" s="33"/>
    </row>
    <row r="87" spans="1:94" ht="15" customHeight="1" x14ac:dyDescent="0.25">
      <c r="A87" s="25" t="s">
        <v>56</v>
      </c>
      <c r="B87" s="25" t="s">
        <v>287</v>
      </c>
      <c r="C87" s="25" t="s">
        <v>432</v>
      </c>
      <c r="D87" s="25">
        <v>74</v>
      </c>
      <c r="E87" s="35" cm="1">
        <f t="array" ref="E87">IFERROR(INDEX($J$5:$AVX$5, _xlfn.AGGREGATE(15,6, COLUMN(J87:AVX87)-COLUMN(J87)+1 / (J87:AVX87="T"), F87)), "")</f>
        <v>46016</v>
      </c>
      <c r="F87" s="76">
        <f t="shared" si="21"/>
        <v>2</v>
      </c>
      <c r="G87" s="35" cm="1">
        <f t="array" ref="G87">IFERROR(INDEX($J$5:$AVW$5,_xlfn.AGGREGATE(14,6,(COLUMN($J87:$AVW87)-COLUMN($J87)+1)/($J87:$AVW87="T"),1)),"")</f>
        <v>46016</v>
      </c>
      <c r="H87" s="79">
        <f t="shared" si="22"/>
        <v>2</v>
      </c>
      <c r="I87" s="38" t="s">
        <v>10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25" t="s">
        <v>12</v>
      </c>
      <c r="AJ87" s="27"/>
      <c r="AK87" s="27"/>
      <c r="AL87" s="27"/>
      <c r="AM87" s="28"/>
      <c r="AN87" s="27"/>
      <c r="AO87" s="27"/>
      <c r="AP87" s="29" t="s">
        <v>16</v>
      </c>
      <c r="AQ87" s="30" t="s">
        <v>13</v>
      </c>
      <c r="AR87" s="27"/>
      <c r="AS87" s="27"/>
      <c r="AT87" s="28"/>
      <c r="AU87" s="27"/>
      <c r="AV87" s="27"/>
      <c r="AW87" s="32" t="s">
        <v>14</v>
      </c>
      <c r="AX87" s="30" t="s">
        <v>11</v>
      </c>
      <c r="AY87" s="27"/>
      <c r="AZ87" s="27"/>
      <c r="BA87" s="28"/>
      <c r="BB87" s="27"/>
      <c r="BC87" s="29" t="s">
        <v>15</v>
      </c>
      <c r="BD87" s="27"/>
      <c r="BE87" s="27"/>
      <c r="BF87" s="25">
        <v>17</v>
      </c>
      <c r="BG87" s="33"/>
      <c r="BH87" s="33"/>
      <c r="BI87" s="33"/>
      <c r="BJ87" s="33"/>
      <c r="BK87" s="33"/>
      <c r="BL87" s="25" t="s">
        <v>12</v>
      </c>
      <c r="BM87" s="27"/>
      <c r="BN87" s="27"/>
      <c r="BO87" s="27"/>
      <c r="BP87" s="28"/>
      <c r="BQ87" s="27"/>
      <c r="BR87" s="27"/>
      <c r="BS87" s="29" t="s">
        <v>16</v>
      </c>
      <c r="BT87" s="30" t="s">
        <v>13</v>
      </c>
      <c r="BU87" s="27"/>
      <c r="BV87" s="27"/>
      <c r="BW87" s="28"/>
      <c r="BX87" s="27"/>
      <c r="BY87" s="27"/>
      <c r="BZ87" s="29" t="s">
        <v>14</v>
      </c>
      <c r="CA87" s="30" t="s">
        <v>11</v>
      </c>
      <c r="CB87" s="37"/>
      <c r="CC87" s="27"/>
      <c r="CD87" s="28"/>
      <c r="CE87" s="27"/>
      <c r="CF87" s="29" t="s">
        <v>15</v>
      </c>
      <c r="CG87" s="27"/>
      <c r="CH87" s="27"/>
      <c r="CI87" s="25">
        <v>17</v>
      </c>
      <c r="CJ87" s="33"/>
      <c r="CK87" s="33"/>
      <c r="CL87" s="33"/>
      <c r="CM87" s="33"/>
      <c r="CN87" s="33"/>
      <c r="CO87" s="33"/>
      <c r="CP87" s="33"/>
    </row>
    <row r="88" spans="1:94" x14ac:dyDescent="0.25">
      <c r="A88" s="25" t="s">
        <v>56</v>
      </c>
      <c r="B88" s="25" t="s">
        <v>288</v>
      </c>
      <c r="C88" s="25" t="s">
        <v>433</v>
      </c>
      <c r="D88" s="25">
        <v>75</v>
      </c>
      <c r="E88" s="35" cm="1">
        <f t="array" ref="E88">IFERROR(INDEX($J$5:$AVX$5, _xlfn.AGGREGATE(15,6, COLUMN(J88:AVX88)-COLUMN(J88)+1 / (J88:AVX88="T"), F88)), "")</f>
        <v>46016</v>
      </c>
      <c r="F88" s="76">
        <f t="shared" si="21"/>
        <v>2</v>
      </c>
      <c r="G88" s="35" cm="1">
        <f t="array" ref="G88">IFERROR(INDEX($J$5:$AVW$5,_xlfn.AGGREGATE(14,6,(COLUMN($J88:$AVW88)-COLUMN($J88)+1)/($J88:$AVW88="T"),1)),"")</f>
        <v>46016</v>
      </c>
      <c r="H88" s="79">
        <f t="shared" si="22"/>
        <v>2</v>
      </c>
      <c r="I88" s="38" t="s">
        <v>10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25" t="s">
        <v>12</v>
      </c>
      <c r="AJ88" s="27"/>
      <c r="AK88" s="27"/>
      <c r="AL88" s="27"/>
      <c r="AM88" s="28"/>
      <c r="AN88" s="27"/>
      <c r="AO88" s="27"/>
      <c r="AP88" s="29" t="s">
        <v>16</v>
      </c>
      <c r="AQ88" s="30" t="s">
        <v>13</v>
      </c>
      <c r="AR88" s="27"/>
      <c r="AS88" s="27"/>
      <c r="AT88" s="28"/>
      <c r="AU88" s="27"/>
      <c r="AV88" s="27"/>
      <c r="AW88" s="32" t="s">
        <v>14</v>
      </c>
      <c r="AX88" s="30" t="s">
        <v>11</v>
      </c>
      <c r="AY88" s="27"/>
      <c r="AZ88" s="27"/>
      <c r="BA88" s="28"/>
      <c r="BB88" s="27"/>
      <c r="BC88" s="29" t="s">
        <v>15</v>
      </c>
      <c r="BD88" s="27"/>
      <c r="BE88" s="27"/>
      <c r="BF88" s="25">
        <v>17</v>
      </c>
      <c r="BG88" s="33"/>
      <c r="BH88" s="33"/>
      <c r="BI88" s="33"/>
      <c r="BJ88" s="33"/>
      <c r="BK88" s="33"/>
      <c r="BL88" s="25" t="s">
        <v>12</v>
      </c>
      <c r="BM88" s="27"/>
      <c r="BN88" s="27"/>
      <c r="BO88" s="27"/>
      <c r="BP88" s="28"/>
      <c r="BQ88" s="27"/>
      <c r="BR88" s="27"/>
      <c r="BS88" s="29" t="s">
        <v>16</v>
      </c>
      <c r="BT88" s="30" t="s">
        <v>13</v>
      </c>
      <c r="BU88" s="27"/>
      <c r="BV88" s="27"/>
      <c r="BW88" s="28"/>
      <c r="BX88" s="27"/>
      <c r="BY88" s="27"/>
      <c r="BZ88" s="29" t="s">
        <v>14</v>
      </c>
      <c r="CA88" s="30" t="s">
        <v>11</v>
      </c>
      <c r="CB88" s="37"/>
      <c r="CC88" s="27"/>
      <c r="CD88" s="28"/>
      <c r="CE88" s="27"/>
      <c r="CF88" s="29" t="s">
        <v>15</v>
      </c>
      <c r="CG88" s="27"/>
      <c r="CH88" s="27"/>
      <c r="CI88" s="25">
        <v>17</v>
      </c>
      <c r="CJ88" s="33"/>
      <c r="CK88" s="33"/>
      <c r="CL88" s="33"/>
      <c r="CM88" s="33"/>
      <c r="CN88" s="33"/>
      <c r="CO88" s="33"/>
      <c r="CP88" s="33"/>
    </row>
    <row r="89" spans="1:94" x14ac:dyDescent="0.25">
      <c r="A89" s="25" t="s">
        <v>56</v>
      </c>
      <c r="B89" s="25" t="s">
        <v>289</v>
      </c>
      <c r="C89" s="25" t="s">
        <v>434</v>
      </c>
      <c r="D89" s="25">
        <v>76</v>
      </c>
      <c r="E89" s="35" cm="1">
        <f t="array" ref="E89">IFERROR(INDEX($J$5:$AVX$5, _xlfn.AGGREGATE(15,6, COLUMN(J89:AVX89)-COLUMN(J89)+1 / (J89:AVX89="T"), F89)), "")</f>
        <v>46016</v>
      </c>
      <c r="F89" s="76">
        <f t="shared" si="21"/>
        <v>2</v>
      </c>
      <c r="G89" s="35" cm="1">
        <f t="array" ref="G89">IFERROR(INDEX($J$5:$AVW$5,_xlfn.AGGREGATE(14,6,(COLUMN($J89:$AVW89)-COLUMN($J89)+1)/($J89:$AVW89="T"),1)),"")</f>
        <v>46016</v>
      </c>
      <c r="H89" s="79">
        <f t="shared" si="22"/>
        <v>2</v>
      </c>
      <c r="I89" s="38" t="s">
        <v>10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25" t="s">
        <v>12</v>
      </c>
      <c r="AJ89" s="27"/>
      <c r="AK89" s="27"/>
      <c r="AL89" s="27"/>
      <c r="AM89" s="28"/>
      <c r="AN89" s="27"/>
      <c r="AO89" s="27"/>
      <c r="AP89" s="29" t="s">
        <v>16</v>
      </c>
      <c r="AQ89" s="30" t="s">
        <v>13</v>
      </c>
      <c r="AR89" s="27"/>
      <c r="AS89" s="27"/>
      <c r="AT89" s="28"/>
      <c r="AU89" s="27"/>
      <c r="AV89" s="27"/>
      <c r="AW89" s="32" t="s">
        <v>14</v>
      </c>
      <c r="AX89" s="30" t="s">
        <v>11</v>
      </c>
      <c r="AY89" s="27"/>
      <c r="AZ89" s="27"/>
      <c r="BA89" s="28"/>
      <c r="BB89" s="27"/>
      <c r="BC89" s="29" t="s">
        <v>15</v>
      </c>
      <c r="BD89" s="27"/>
      <c r="BE89" s="27"/>
      <c r="BF89" s="25">
        <v>17</v>
      </c>
      <c r="BG89" s="33"/>
      <c r="BH89" s="33"/>
      <c r="BI89" s="33"/>
      <c r="BJ89" s="33"/>
      <c r="BK89" s="33"/>
      <c r="BL89" s="25" t="s">
        <v>12</v>
      </c>
      <c r="BM89" s="27"/>
      <c r="BN89" s="27"/>
      <c r="BO89" s="27"/>
      <c r="BP89" s="28"/>
      <c r="BQ89" s="27"/>
      <c r="BR89" s="27"/>
      <c r="BS89" s="29" t="s">
        <v>16</v>
      </c>
      <c r="BT89" s="30" t="s">
        <v>13</v>
      </c>
      <c r="BU89" s="27"/>
      <c r="BV89" s="27"/>
      <c r="BW89" s="28"/>
      <c r="BX89" s="27"/>
      <c r="BY89" s="27"/>
      <c r="BZ89" s="29" t="s">
        <v>14</v>
      </c>
      <c r="CA89" s="30" t="s">
        <v>11</v>
      </c>
      <c r="CB89" s="37"/>
      <c r="CC89" s="27"/>
      <c r="CD89" s="28"/>
      <c r="CE89" s="27"/>
      <c r="CF89" s="29" t="s">
        <v>15</v>
      </c>
      <c r="CG89" s="27"/>
      <c r="CH89" s="27"/>
      <c r="CI89" s="25">
        <v>17</v>
      </c>
      <c r="CJ89" s="33"/>
      <c r="CK89" s="33"/>
      <c r="CL89" s="33"/>
      <c r="CM89" s="33"/>
      <c r="CN89" s="33"/>
      <c r="CO89" s="33"/>
      <c r="CP89" s="33"/>
    </row>
    <row r="90" spans="1:94" x14ac:dyDescent="0.25">
      <c r="A90" s="25" t="s">
        <v>56</v>
      </c>
      <c r="B90" s="25" t="s">
        <v>290</v>
      </c>
      <c r="C90" s="25" t="s">
        <v>435</v>
      </c>
      <c r="D90" s="25">
        <v>77</v>
      </c>
      <c r="E90" s="35" cm="1">
        <f t="array" ref="E90">IFERROR(INDEX($J$5:$AVX$5, _xlfn.AGGREGATE(15,6, COLUMN(J90:AVX90)-COLUMN(J90)+1 / (J90:AVX90="T"), F90)), "")</f>
        <v>46015</v>
      </c>
      <c r="F90" s="76">
        <f t="shared" si="21"/>
        <v>2</v>
      </c>
      <c r="G90" s="35" cm="1">
        <f t="array" ref="G90">IFERROR(INDEX($J$5:$AVW$5,_xlfn.AGGREGATE(14,6,(COLUMN($J90:$AVW90)-COLUMN($J90)+1)/($J90:$AVW90="T"),1)),"")</f>
        <v>46015</v>
      </c>
      <c r="H90" s="79">
        <f t="shared" si="22"/>
        <v>2</v>
      </c>
      <c r="I90" s="38" t="s">
        <v>10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25" t="s">
        <v>12</v>
      </c>
      <c r="AC90" s="27"/>
      <c r="AD90" s="27"/>
      <c r="AE90" s="27"/>
      <c r="AF90" s="28"/>
      <c r="AG90" s="27"/>
      <c r="AH90" s="27"/>
      <c r="AI90" s="29" t="s">
        <v>16</v>
      </c>
      <c r="AJ90" s="30" t="s">
        <v>13</v>
      </c>
      <c r="AK90" s="27"/>
      <c r="AL90" s="27"/>
      <c r="AM90" s="28"/>
      <c r="AN90" s="27"/>
      <c r="AO90" s="27"/>
      <c r="AP90" s="32" t="s">
        <v>14</v>
      </c>
      <c r="AQ90" s="30" t="s">
        <v>11</v>
      </c>
      <c r="AR90" s="27"/>
      <c r="AS90" s="27"/>
      <c r="AT90" s="28"/>
      <c r="AU90" s="27"/>
      <c r="AV90" s="29" t="s">
        <v>15</v>
      </c>
      <c r="AW90" s="27"/>
      <c r="AX90" s="27"/>
      <c r="AY90" s="25">
        <v>17</v>
      </c>
      <c r="AZ90" s="33"/>
      <c r="BA90" s="33"/>
      <c r="BB90" s="33"/>
      <c r="BC90" s="33"/>
      <c r="BD90" s="33"/>
      <c r="BE90" s="33"/>
      <c r="BF90" s="33"/>
      <c r="BG90" s="33"/>
      <c r="BH90" s="33"/>
      <c r="BI90" s="33"/>
      <c r="BJ90" s="33"/>
      <c r="BK90" s="25" t="s">
        <v>12</v>
      </c>
      <c r="BL90" s="27"/>
      <c r="BM90" s="27"/>
      <c r="BN90" s="27"/>
      <c r="BO90" s="28"/>
      <c r="BP90" s="27"/>
      <c r="BQ90" s="27"/>
      <c r="BR90" s="29" t="s">
        <v>16</v>
      </c>
      <c r="BS90" s="30" t="s">
        <v>13</v>
      </c>
      <c r="BT90" s="27"/>
      <c r="BU90" s="27"/>
      <c r="BV90" s="28"/>
      <c r="BW90" s="27"/>
      <c r="BX90" s="27"/>
      <c r="BY90" s="29" t="s">
        <v>14</v>
      </c>
      <c r="BZ90" s="30" t="s">
        <v>11</v>
      </c>
      <c r="CA90" s="37"/>
      <c r="CB90" s="27"/>
      <c r="CC90" s="28"/>
      <c r="CD90" s="27"/>
      <c r="CE90" s="29" t="s">
        <v>15</v>
      </c>
      <c r="CF90" s="27"/>
      <c r="CG90" s="27"/>
      <c r="CH90" s="25">
        <v>17</v>
      </c>
      <c r="CI90" s="33"/>
      <c r="CJ90" s="33"/>
      <c r="CK90" s="33"/>
      <c r="CL90" s="33"/>
      <c r="CM90" s="33"/>
      <c r="CN90" s="33"/>
      <c r="CO90" s="33"/>
      <c r="CP90" s="33"/>
    </row>
    <row r="91" spans="1:94" x14ac:dyDescent="0.25">
      <c r="A91" s="25" t="s">
        <v>56</v>
      </c>
      <c r="B91" s="25" t="s">
        <v>291</v>
      </c>
      <c r="C91" s="25" t="s">
        <v>436</v>
      </c>
      <c r="D91" s="25">
        <v>78</v>
      </c>
      <c r="E91" s="35" cm="1">
        <f t="array" ref="E91">IFERROR(INDEX($J$5:$AVX$5, _xlfn.AGGREGATE(15,6, COLUMN(J91:AVX91)-COLUMN(J91)+1 / (J91:AVX91="T"), F91)), "")</f>
        <v>46015</v>
      </c>
      <c r="F91" s="76">
        <f t="shared" si="21"/>
        <v>2</v>
      </c>
      <c r="G91" s="35" cm="1">
        <f t="array" ref="G91">IFERROR(INDEX($J$5:$AVW$5,_xlfn.AGGREGATE(14,6,(COLUMN($J91:$AVW91)-COLUMN($J91)+1)/($J91:$AVW91="T"),1)),"")</f>
        <v>46015</v>
      </c>
      <c r="H91" s="79">
        <f t="shared" si="22"/>
        <v>2</v>
      </c>
      <c r="I91" s="38" t="s">
        <v>10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25" t="s">
        <v>12</v>
      </c>
      <c r="AC91" s="27"/>
      <c r="AD91" s="27"/>
      <c r="AE91" s="27"/>
      <c r="AF91" s="28"/>
      <c r="AG91" s="27"/>
      <c r="AH91" s="27"/>
      <c r="AI91" s="29" t="s">
        <v>16</v>
      </c>
      <c r="AJ91" s="30" t="s">
        <v>13</v>
      </c>
      <c r="AK91" s="27"/>
      <c r="AL91" s="27"/>
      <c r="AM91" s="28"/>
      <c r="AN91" s="27"/>
      <c r="AO91" s="27"/>
      <c r="AP91" s="29" t="s">
        <v>14</v>
      </c>
      <c r="AQ91" s="30" t="s">
        <v>11</v>
      </c>
      <c r="AR91" s="37"/>
      <c r="AS91" s="27"/>
      <c r="AT91" s="28"/>
      <c r="AU91" s="27"/>
      <c r="AV91" s="29" t="s">
        <v>15</v>
      </c>
      <c r="AW91" s="27"/>
      <c r="AX91" s="27"/>
      <c r="AY91" s="25">
        <v>17</v>
      </c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33"/>
      <c r="BK91" s="25" t="s">
        <v>12</v>
      </c>
      <c r="BL91" s="27"/>
      <c r="BM91" s="27"/>
      <c r="BN91" s="27"/>
      <c r="BO91" s="28"/>
      <c r="BP91" s="27"/>
      <c r="BQ91" s="27"/>
      <c r="BR91" s="29" t="s">
        <v>16</v>
      </c>
      <c r="BS91" s="30" t="s">
        <v>13</v>
      </c>
      <c r="BT91" s="27"/>
      <c r="BU91" s="27"/>
      <c r="BV91" s="28"/>
      <c r="BW91" s="27"/>
      <c r="BX91" s="27"/>
      <c r="BY91" s="29" t="s">
        <v>14</v>
      </c>
      <c r="BZ91" s="30" t="s">
        <v>11</v>
      </c>
      <c r="CA91" s="37"/>
      <c r="CB91" s="27"/>
      <c r="CC91" s="28"/>
      <c r="CD91" s="27"/>
      <c r="CE91" s="29" t="s">
        <v>15</v>
      </c>
      <c r="CF91" s="27"/>
      <c r="CG91" s="27"/>
      <c r="CH91" s="25">
        <v>17</v>
      </c>
      <c r="CI91" s="33"/>
      <c r="CJ91" s="33"/>
      <c r="CK91" s="33"/>
      <c r="CL91" s="33"/>
      <c r="CM91" s="33"/>
      <c r="CN91" s="33"/>
      <c r="CO91" s="33"/>
      <c r="CP91" s="33"/>
    </row>
    <row r="92" spans="1:94" x14ac:dyDescent="0.25">
      <c r="A92" s="25" t="s">
        <v>56</v>
      </c>
      <c r="B92" s="25" t="s">
        <v>292</v>
      </c>
      <c r="C92" s="25" t="s">
        <v>437</v>
      </c>
      <c r="D92" s="25">
        <v>79</v>
      </c>
      <c r="E92" s="35" cm="1">
        <f t="array" ref="E92">IFERROR(INDEX($J$5:$AVX$5, _xlfn.AGGREGATE(15,6, COLUMN(J92:AVX92)-COLUMN(J92)+1 / (J92:AVX92="T"), F92)), "")</f>
        <v>46015</v>
      </c>
      <c r="F92" s="76">
        <f t="shared" si="21"/>
        <v>2</v>
      </c>
      <c r="G92" s="35" cm="1">
        <f t="array" ref="G92">IFERROR(INDEX($J$5:$AVW$5,_xlfn.AGGREGATE(14,6,(COLUMN($J92:$AVW92)-COLUMN($J92)+1)/($J92:$AVW92="T"),1)),"")</f>
        <v>46015</v>
      </c>
      <c r="H92" s="79">
        <f t="shared" si="22"/>
        <v>2</v>
      </c>
      <c r="I92" s="38" t="s">
        <v>10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25" t="s">
        <v>12</v>
      </c>
      <c r="AC92" s="27"/>
      <c r="AD92" s="27"/>
      <c r="AE92" s="27"/>
      <c r="AF92" s="28"/>
      <c r="AG92" s="27"/>
      <c r="AH92" s="27"/>
      <c r="AI92" s="29" t="s">
        <v>16</v>
      </c>
      <c r="AJ92" s="30" t="s">
        <v>13</v>
      </c>
      <c r="AK92" s="27"/>
      <c r="AL92" s="27"/>
      <c r="AM92" s="28"/>
      <c r="AN92" s="27"/>
      <c r="AO92" s="27"/>
      <c r="AP92" s="29" t="s">
        <v>14</v>
      </c>
      <c r="AQ92" s="30" t="s">
        <v>11</v>
      </c>
      <c r="AR92" s="37"/>
      <c r="AS92" s="27"/>
      <c r="AT92" s="28"/>
      <c r="AU92" s="27"/>
      <c r="AV92" s="29" t="s">
        <v>15</v>
      </c>
      <c r="AW92" s="27"/>
      <c r="AX92" s="27"/>
      <c r="AY92" s="25">
        <v>17</v>
      </c>
      <c r="AZ92" s="33"/>
      <c r="BA92" s="33"/>
      <c r="BB92" s="33"/>
      <c r="BC92" s="33"/>
      <c r="BD92" s="33"/>
      <c r="BE92" s="33"/>
      <c r="BF92" s="33"/>
      <c r="BG92" s="33"/>
      <c r="BH92" s="33"/>
      <c r="BI92" s="33"/>
      <c r="BJ92" s="33"/>
      <c r="BK92" s="25" t="s">
        <v>12</v>
      </c>
      <c r="BL92" s="27"/>
      <c r="BM92" s="27"/>
      <c r="BN92" s="27"/>
      <c r="BO92" s="28"/>
      <c r="BP92" s="27"/>
      <c r="BQ92" s="27"/>
      <c r="BR92" s="29" t="s">
        <v>16</v>
      </c>
      <c r="BS92" s="30" t="s">
        <v>13</v>
      </c>
      <c r="BT92" s="27"/>
      <c r="BU92" s="27"/>
      <c r="BV92" s="28"/>
      <c r="BW92" s="27"/>
      <c r="BX92" s="27"/>
      <c r="BY92" s="29" t="s">
        <v>14</v>
      </c>
      <c r="BZ92" s="30" t="s">
        <v>11</v>
      </c>
      <c r="CA92" s="37"/>
      <c r="CB92" s="27"/>
      <c r="CC92" s="28"/>
      <c r="CD92" s="27"/>
      <c r="CE92" s="29" t="s">
        <v>15</v>
      </c>
      <c r="CF92" s="27"/>
      <c r="CG92" s="27"/>
      <c r="CH92" s="25">
        <v>17</v>
      </c>
      <c r="CI92" s="33"/>
      <c r="CJ92" s="33"/>
      <c r="CK92" s="33"/>
      <c r="CL92" s="33"/>
      <c r="CM92" s="33"/>
      <c r="CN92" s="33"/>
      <c r="CO92" s="33"/>
      <c r="CP92" s="33"/>
    </row>
    <row r="93" spans="1:94" x14ac:dyDescent="0.25">
      <c r="A93" s="25" t="s">
        <v>56</v>
      </c>
      <c r="B93" s="25" t="s">
        <v>293</v>
      </c>
      <c r="C93" s="25" t="s">
        <v>438</v>
      </c>
      <c r="D93" s="25">
        <v>80</v>
      </c>
      <c r="E93" s="35" cm="1">
        <f t="array" ref="E93">IFERROR(INDEX($J$5:$AVX$5, _xlfn.AGGREGATE(15,6, COLUMN(J93:AVX93)-COLUMN(J93)+1 / (J93:AVX93="T"), F93)), "")</f>
        <v>46015</v>
      </c>
      <c r="F93" s="76">
        <f t="shared" si="21"/>
        <v>2</v>
      </c>
      <c r="G93" s="35" cm="1">
        <f t="array" ref="G93">IFERROR(INDEX($J$5:$AVW$5,_xlfn.AGGREGATE(14,6,(COLUMN($J93:$AVW93)-COLUMN($J93)+1)/($J93:$AVW93="T"),1)),"")</f>
        <v>46015</v>
      </c>
      <c r="H93" s="79">
        <f t="shared" si="22"/>
        <v>2</v>
      </c>
      <c r="I93" s="38" t="s">
        <v>10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25" t="s">
        <v>12</v>
      </c>
      <c r="AC93" s="27"/>
      <c r="AD93" s="27"/>
      <c r="AE93" s="27"/>
      <c r="AF93" s="28"/>
      <c r="AG93" s="27"/>
      <c r="AH93" s="27"/>
      <c r="AI93" s="29" t="s">
        <v>16</v>
      </c>
      <c r="AJ93" s="30" t="s">
        <v>13</v>
      </c>
      <c r="AK93" s="27"/>
      <c r="AL93" s="27"/>
      <c r="AM93" s="28"/>
      <c r="AN93" s="27"/>
      <c r="AO93" s="27"/>
      <c r="AP93" s="29" t="s">
        <v>14</v>
      </c>
      <c r="AQ93" s="30" t="s">
        <v>11</v>
      </c>
      <c r="AR93" s="37"/>
      <c r="AS93" s="27"/>
      <c r="AT93" s="28"/>
      <c r="AU93" s="27"/>
      <c r="AV93" s="29" t="s">
        <v>15</v>
      </c>
      <c r="AW93" s="27"/>
      <c r="AX93" s="27"/>
      <c r="AY93" s="25">
        <v>17</v>
      </c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33"/>
      <c r="BK93" s="25" t="s">
        <v>12</v>
      </c>
      <c r="BL93" s="27"/>
      <c r="BM93" s="27"/>
      <c r="BN93" s="27"/>
      <c r="BO93" s="28"/>
      <c r="BP93" s="27"/>
      <c r="BQ93" s="27"/>
      <c r="BR93" s="29" t="s">
        <v>16</v>
      </c>
      <c r="BS93" s="30" t="s">
        <v>13</v>
      </c>
      <c r="BT93" s="27"/>
      <c r="BU93" s="27"/>
      <c r="BV93" s="28"/>
      <c r="BW93" s="27"/>
      <c r="BX93" s="27"/>
      <c r="BY93" s="29" t="s">
        <v>14</v>
      </c>
      <c r="BZ93" s="30" t="s">
        <v>11</v>
      </c>
      <c r="CA93" s="37"/>
      <c r="CB93" s="27"/>
      <c r="CC93" s="28"/>
      <c r="CD93" s="27"/>
      <c r="CE93" s="29" t="s">
        <v>15</v>
      </c>
      <c r="CF93" s="27"/>
      <c r="CG93" s="27"/>
      <c r="CH93" s="25">
        <v>17</v>
      </c>
      <c r="CI93" s="33"/>
      <c r="CJ93" s="33"/>
      <c r="CK93" s="33"/>
      <c r="CL93" s="33"/>
      <c r="CM93" s="33"/>
      <c r="CN93" s="33"/>
      <c r="CO93" s="33"/>
      <c r="CP93" s="33"/>
    </row>
    <row r="94" spans="1:94" x14ac:dyDescent="0.25">
      <c r="A94" s="25" t="s">
        <v>56</v>
      </c>
      <c r="B94" s="25" t="s">
        <v>294</v>
      </c>
      <c r="C94" s="25" t="s">
        <v>439</v>
      </c>
      <c r="D94" s="25">
        <v>81</v>
      </c>
      <c r="E94" s="35" cm="1">
        <f t="array" ref="E94">IFERROR(INDEX($J$5:$AVX$5, _xlfn.AGGREGATE(15,6, COLUMN(J94:AVX94)-COLUMN(J94)+1 / (J94:AVX94="T"), F94)), "")</f>
        <v>46015</v>
      </c>
      <c r="F94" s="76">
        <f t="shared" si="21"/>
        <v>2</v>
      </c>
      <c r="G94" s="35" cm="1">
        <f t="array" ref="G94">IFERROR(INDEX($J$5:$AVW$5,_xlfn.AGGREGATE(14,6,(COLUMN($J94:$AVW94)-COLUMN($J94)+1)/($J94:$AVW94="T"),1)),"")</f>
        <v>46015</v>
      </c>
      <c r="H94" s="79">
        <f t="shared" si="22"/>
        <v>2</v>
      </c>
      <c r="I94" s="38" t="s">
        <v>10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25" t="s">
        <v>12</v>
      </c>
      <c r="AC94" s="27"/>
      <c r="AD94" s="27"/>
      <c r="AE94" s="27"/>
      <c r="AF94" s="28"/>
      <c r="AG94" s="27"/>
      <c r="AH94" s="27"/>
      <c r="AI94" s="29" t="s">
        <v>16</v>
      </c>
      <c r="AJ94" s="30" t="s">
        <v>13</v>
      </c>
      <c r="AK94" s="27"/>
      <c r="AL94" s="27"/>
      <c r="AM94" s="28"/>
      <c r="AN94" s="27"/>
      <c r="AO94" s="27"/>
      <c r="AP94" s="29" t="s">
        <v>14</v>
      </c>
      <c r="AQ94" s="30" t="s">
        <v>11</v>
      </c>
      <c r="AR94" s="37"/>
      <c r="AS94" s="27"/>
      <c r="AT94" s="28"/>
      <c r="AU94" s="27"/>
      <c r="AV94" s="29" t="s">
        <v>15</v>
      </c>
      <c r="AW94" s="27"/>
      <c r="AX94" s="27"/>
      <c r="AY94" s="25">
        <v>17</v>
      </c>
      <c r="AZ94" s="33"/>
      <c r="BA94" s="33"/>
      <c r="BB94" s="33"/>
      <c r="BC94" s="33"/>
      <c r="BD94" s="33"/>
      <c r="BE94" s="33"/>
      <c r="BF94" s="33"/>
      <c r="BG94" s="33"/>
      <c r="BH94" s="33"/>
      <c r="BI94" s="33"/>
      <c r="BJ94" s="33"/>
      <c r="BK94" s="25" t="s">
        <v>12</v>
      </c>
      <c r="BL94" s="27"/>
      <c r="BM94" s="27"/>
      <c r="BN94" s="27"/>
      <c r="BO94" s="28"/>
      <c r="BP94" s="27"/>
      <c r="BQ94" s="27"/>
      <c r="BR94" s="29" t="s">
        <v>16</v>
      </c>
      <c r="BS94" s="30" t="s">
        <v>13</v>
      </c>
      <c r="BT94" s="27"/>
      <c r="BU94" s="27"/>
      <c r="BV94" s="28"/>
      <c r="BW94" s="27"/>
      <c r="BX94" s="27"/>
      <c r="BY94" s="29" t="s">
        <v>14</v>
      </c>
      <c r="BZ94" s="30" t="s">
        <v>11</v>
      </c>
      <c r="CA94" s="37"/>
      <c r="CB94" s="27"/>
      <c r="CC94" s="28"/>
      <c r="CD94" s="27"/>
      <c r="CE94" s="29" t="s">
        <v>15</v>
      </c>
      <c r="CF94" s="27"/>
      <c r="CG94" s="27"/>
      <c r="CH94" s="25">
        <v>17</v>
      </c>
      <c r="CI94" s="33"/>
      <c r="CJ94" s="33"/>
      <c r="CK94" s="33"/>
      <c r="CL94" s="33"/>
      <c r="CM94" s="33"/>
      <c r="CN94" s="33"/>
      <c r="CO94" s="33"/>
      <c r="CP94" s="33"/>
    </row>
    <row r="95" spans="1:94" x14ac:dyDescent="0.25">
      <c r="A95" s="25" t="s">
        <v>56</v>
      </c>
      <c r="B95" s="25" t="s">
        <v>295</v>
      </c>
      <c r="C95" s="25" t="s">
        <v>440</v>
      </c>
      <c r="D95" s="25">
        <v>82</v>
      </c>
      <c r="E95" s="35" cm="1">
        <f t="array" ref="E95">IFERROR(INDEX($J$5:$AVX$5, _xlfn.AGGREGATE(15,6, COLUMN(J95:AVX95)-COLUMN(J95)+1 / (J95:AVX95="T"), F95)), "")</f>
        <v>46015</v>
      </c>
      <c r="F95" s="76">
        <f t="shared" si="21"/>
        <v>2</v>
      </c>
      <c r="G95" s="35" cm="1">
        <f t="array" ref="G95">IFERROR(INDEX($J$5:$AVW$5,_xlfn.AGGREGATE(14,6,(COLUMN($J95:$AVW95)-COLUMN($J95)+1)/($J95:$AVW95="T"),1)),"")</f>
        <v>46015</v>
      </c>
      <c r="H95" s="79">
        <f t="shared" si="22"/>
        <v>2</v>
      </c>
      <c r="I95" s="38" t="s">
        <v>10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25" t="s">
        <v>12</v>
      </c>
      <c r="AC95" s="27"/>
      <c r="AD95" s="27"/>
      <c r="AE95" s="27"/>
      <c r="AF95" s="28"/>
      <c r="AG95" s="27"/>
      <c r="AH95" s="27"/>
      <c r="AI95" s="29" t="s">
        <v>16</v>
      </c>
      <c r="AJ95" s="30" t="s">
        <v>13</v>
      </c>
      <c r="AK95" s="27"/>
      <c r="AL95" s="27"/>
      <c r="AM95" s="28"/>
      <c r="AN95" s="27"/>
      <c r="AO95" s="27"/>
      <c r="AP95" s="29" t="s">
        <v>14</v>
      </c>
      <c r="AQ95" s="30" t="s">
        <v>11</v>
      </c>
      <c r="AR95" s="37"/>
      <c r="AS95" s="27"/>
      <c r="AT95" s="28"/>
      <c r="AU95" s="27"/>
      <c r="AV95" s="29" t="s">
        <v>15</v>
      </c>
      <c r="AW95" s="27"/>
      <c r="AX95" s="27"/>
      <c r="AY95" s="25">
        <v>17</v>
      </c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33"/>
      <c r="BK95" s="25" t="s">
        <v>12</v>
      </c>
      <c r="BL95" s="27"/>
      <c r="BM95" s="27"/>
      <c r="BN95" s="27"/>
      <c r="BO95" s="28"/>
      <c r="BP95" s="27"/>
      <c r="BQ95" s="27"/>
      <c r="BR95" s="29" t="s">
        <v>16</v>
      </c>
      <c r="BS95" s="30" t="s">
        <v>13</v>
      </c>
      <c r="BT95" s="27"/>
      <c r="BU95" s="27"/>
      <c r="BV95" s="28"/>
      <c r="BW95" s="27"/>
      <c r="BX95" s="27"/>
      <c r="BY95" s="29" t="s">
        <v>14</v>
      </c>
      <c r="BZ95" s="30" t="s">
        <v>11</v>
      </c>
      <c r="CA95" s="37"/>
      <c r="CB95" s="27"/>
      <c r="CC95" s="28"/>
      <c r="CD95" s="27"/>
      <c r="CE95" s="29" t="s">
        <v>15</v>
      </c>
      <c r="CF95" s="27"/>
      <c r="CG95" s="27"/>
      <c r="CH95" s="25">
        <v>17</v>
      </c>
      <c r="CI95" s="33"/>
      <c r="CJ95" s="33"/>
      <c r="CK95" s="33"/>
      <c r="CL95" s="33"/>
      <c r="CM95" s="33"/>
      <c r="CN95" s="33"/>
      <c r="CO95" s="33"/>
      <c r="CP95" s="33"/>
    </row>
    <row r="96" spans="1:94" x14ac:dyDescent="0.25">
      <c r="A96" s="25" t="s">
        <v>56</v>
      </c>
      <c r="B96" s="25" t="s">
        <v>296</v>
      </c>
      <c r="C96" s="25" t="s">
        <v>441</v>
      </c>
      <c r="D96" s="25">
        <v>83</v>
      </c>
      <c r="E96" s="35" cm="1">
        <f t="array" ref="E96">IFERROR(INDEX($J$5:$AVX$5, _xlfn.AGGREGATE(15,6, COLUMN(J96:AVX96)-COLUMN(J96)+1 / (J96:AVX96="T"), F96)), "")</f>
        <v>46015</v>
      </c>
      <c r="F96" s="76">
        <f t="shared" si="21"/>
        <v>2</v>
      </c>
      <c r="G96" s="35" cm="1">
        <f t="array" ref="G96">IFERROR(INDEX($J$5:$AVW$5,_xlfn.AGGREGATE(14,6,(COLUMN($J96:$AVW96)-COLUMN($J96)+1)/($J96:$AVW96="T"),1)),"")</f>
        <v>46015</v>
      </c>
      <c r="H96" s="79">
        <f t="shared" si="22"/>
        <v>2</v>
      </c>
      <c r="I96" s="38" t="s">
        <v>10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25" t="s">
        <v>12</v>
      </c>
      <c r="AC96" s="27"/>
      <c r="AD96" s="27"/>
      <c r="AE96" s="27"/>
      <c r="AF96" s="28"/>
      <c r="AG96" s="27"/>
      <c r="AH96" s="27"/>
      <c r="AI96" s="29" t="s">
        <v>16</v>
      </c>
      <c r="AJ96" s="30" t="s">
        <v>13</v>
      </c>
      <c r="AK96" s="27"/>
      <c r="AL96" s="27"/>
      <c r="AM96" s="28"/>
      <c r="AN96" s="27"/>
      <c r="AO96" s="27"/>
      <c r="AP96" s="29" t="s">
        <v>14</v>
      </c>
      <c r="AQ96" s="30" t="s">
        <v>11</v>
      </c>
      <c r="AR96" s="37"/>
      <c r="AS96" s="27"/>
      <c r="AT96" s="28"/>
      <c r="AU96" s="27"/>
      <c r="AV96" s="29" t="s">
        <v>15</v>
      </c>
      <c r="AW96" s="27"/>
      <c r="AX96" s="27"/>
      <c r="AY96" s="25">
        <v>17</v>
      </c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33"/>
      <c r="BK96" s="25" t="s">
        <v>12</v>
      </c>
      <c r="BL96" s="27"/>
      <c r="BM96" s="27"/>
      <c r="BN96" s="27"/>
      <c r="BO96" s="28"/>
      <c r="BP96" s="27"/>
      <c r="BQ96" s="27"/>
      <c r="BR96" s="29" t="s">
        <v>16</v>
      </c>
      <c r="BS96" s="30" t="s">
        <v>13</v>
      </c>
      <c r="BT96" s="27"/>
      <c r="BU96" s="27"/>
      <c r="BV96" s="28"/>
      <c r="BW96" s="27"/>
      <c r="BX96" s="27"/>
      <c r="BY96" s="29" t="s">
        <v>14</v>
      </c>
      <c r="BZ96" s="30" t="s">
        <v>11</v>
      </c>
      <c r="CA96" s="37"/>
      <c r="CB96" s="27"/>
      <c r="CC96" s="28"/>
      <c r="CD96" s="27"/>
      <c r="CE96" s="29" t="s">
        <v>15</v>
      </c>
      <c r="CF96" s="27"/>
      <c r="CG96" s="27"/>
      <c r="CH96" s="25">
        <v>17</v>
      </c>
      <c r="CI96" s="33"/>
      <c r="CJ96" s="33"/>
      <c r="CK96" s="33"/>
      <c r="CL96" s="33"/>
      <c r="CM96" s="33"/>
      <c r="CN96" s="33"/>
      <c r="CO96" s="33"/>
      <c r="CP96" s="33"/>
    </row>
    <row r="97" spans="1:94" ht="15" customHeight="1" x14ac:dyDescent="0.25">
      <c r="A97" s="25" t="s">
        <v>56</v>
      </c>
      <c r="B97" s="25" t="s">
        <v>297</v>
      </c>
      <c r="C97" s="25" t="s">
        <v>442</v>
      </c>
      <c r="D97" s="25">
        <v>84</v>
      </c>
      <c r="E97" s="35" cm="1">
        <f t="array" ref="E97">IFERROR(INDEX($J$5:$AVX$5, _xlfn.AGGREGATE(15,6, COLUMN(J97:AVX97)-COLUMN(J97)+1 / (J97:AVX97="T"), F97)), "")</f>
        <v>45998</v>
      </c>
      <c r="F97" s="76">
        <f t="shared" si="21"/>
        <v>2</v>
      </c>
      <c r="G97" s="35" cm="1">
        <f t="array" ref="G97">IFERROR(INDEX($J$5:$AVW$5,_xlfn.AGGREGATE(14,6,(COLUMN($J97:$AVW97)-COLUMN($J97)+1)/($J97:$AVW97="T"),1)),"")</f>
        <v>45998</v>
      </c>
      <c r="H97" s="79">
        <f t="shared" si="22"/>
        <v>2</v>
      </c>
      <c r="I97" s="38" t="s">
        <v>10</v>
      </c>
      <c r="J97" s="33"/>
      <c r="K97" s="33"/>
      <c r="L97" s="33"/>
      <c r="M97" s="33"/>
      <c r="N97" s="33"/>
      <c r="O97" s="33"/>
      <c r="P97" s="25" t="s">
        <v>12</v>
      </c>
      <c r="Q97" s="27"/>
      <c r="R97" s="27"/>
      <c r="S97" s="27"/>
      <c r="T97" s="28"/>
      <c r="U97" s="27"/>
      <c r="V97" s="27"/>
      <c r="W97" s="29" t="s">
        <v>16</v>
      </c>
      <c r="X97" s="30" t="s">
        <v>13</v>
      </c>
      <c r="Y97" s="27"/>
      <c r="Z97" s="27"/>
      <c r="AA97" s="28"/>
      <c r="AB97" s="27"/>
      <c r="AC97" s="27"/>
      <c r="AD97" s="32" t="s">
        <v>14</v>
      </c>
      <c r="AE97" s="30" t="s">
        <v>11</v>
      </c>
      <c r="AF97" s="27"/>
      <c r="AG97" s="27"/>
      <c r="AH97" s="28"/>
      <c r="AI97" s="27"/>
      <c r="AJ97" s="29" t="s">
        <v>15</v>
      </c>
      <c r="AK97" s="27"/>
      <c r="AL97" s="27"/>
      <c r="AM97" s="25">
        <v>17</v>
      </c>
      <c r="AN97" s="33"/>
      <c r="AO97" s="33"/>
      <c r="AP97" s="33"/>
      <c r="AQ97" s="33"/>
      <c r="AR97" s="33"/>
      <c r="AS97" s="33"/>
      <c r="AT97" s="25" t="s">
        <v>12</v>
      </c>
      <c r="AU97" s="27"/>
      <c r="AV97" s="27"/>
      <c r="AW97" s="27"/>
      <c r="AX97" s="28"/>
      <c r="AY97" s="27"/>
      <c r="AZ97" s="27"/>
      <c r="BA97" s="29" t="s">
        <v>16</v>
      </c>
      <c r="BB97" s="30" t="s">
        <v>13</v>
      </c>
      <c r="BC97" s="27"/>
      <c r="BD97" s="27"/>
      <c r="BE97" s="28"/>
      <c r="BF97" s="27"/>
      <c r="BG97" s="27"/>
      <c r="BH97" s="32" t="s">
        <v>14</v>
      </c>
      <c r="BI97" s="30" t="s">
        <v>11</v>
      </c>
      <c r="BJ97" s="27"/>
      <c r="BK97" s="27"/>
      <c r="BL97" s="28"/>
      <c r="BM97" s="27"/>
      <c r="BN97" s="29" t="s">
        <v>15</v>
      </c>
      <c r="BO97" s="27"/>
      <c r="BP97" s="27"/>
      <c r="BQ97" s="25">
        <v>17</v>
      </c>
      <c r="BR97" s="33"/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  <c r="CD97" s="33"/>
      <c r="CE97" s="33"/>
      <c r="CF97" s="33"/>
      <c r="CG97" s="33"/>
      <c r="CH97" s="33"/>
      <c r="CI97" s="33"/>
      <c r="CJ97" s="33"/>
      <c r="CK97" s="33"/>
      <c r="CL97" s="33"/>
      <c r="CM97" s="33"/>
      <c r="CN97" s="33"/>
      <c r="CO97" s="33"/>
      <c r="CP97" s="33"/>
    </row>
    <row r="98" spans="1:94" x14ac:dyDescent="0.25">
      <c r="A98" s="25" t="s">
        <v>56</v>
      </c>
      <c r="B98" s="25" t="s">
        <v>298</v>
      </c>
      <c r="C98" s="25" t="s">
        <v>443</v>
      </c>
      <c r="D98" s="25">
        <v>85</v>
      </c>
      <c r="E98" s="35" cm="1">
        <f t="array" ref="E98">IFERROR(INDEX($J$5:$AVX$5, _xlfn.AGGREGATE(15,6, COLUMN(J98:AVX98)-COLUMN(J98)+1 / (J98:AVX98="T"), F98)), "")</f>
        <v>45998</v>
      </c>
      <c r="F98" s="76">
        <f t="shared" si="21"/>
        <v>2</v>
      </c>
      <c r="G98" s="35" cm="1">
        <f t="array" ref="G98">IFERROR(INDEX($J$5:$AVW$5,_xlfn.AGGREGATE(14,6,(COLUMN($J98:$AVW98)-COLUMN($J98)+1)/($J98:$AVW98="T"),1)),"")</f>
        <v>45998</v>
      </c>
      <c r="H98" s="79">
        <f t="shared" si="22"/>
        <v>2</v>
      </c>
      <c r="I98" s="38" t="s">
        <v>10</v>
      </c>
      <c r="J98" s="33"/>
      <c r="K98" s="33"/>
      <c r="L98" s="33"/>
      <c r="M98" s="33"/>
      <c r="N98" s="33"/>
      <c r="O98" s="33"/>
      <c r="P98" s="25" t="s">
        <v>12</v>
      </c>
      <c r="Q98" s="27"/>
      <c r="R98" s="27"/>
      <c r="S98" s="27"/>
      <c r="T98" s="28"/>
      <c r="U98" s="27"/>
      <c r="V98" s="27"/>
      <c r="W98" s="29" t="s">
        <v>16</v>
      </c>
      <c r="X98" s="30" t="s">
        <v>13</v>
      </c>
      <c r="Y98" s="27"/>
      <c r="Z98" s="27"/>
      <c r="AA98" s="28"/>
      <c r="AB98" s="27"/>
      <c r="AC98" s="27"/>
      <c r="AD98" s="32" t="s">
        <v>14</v>
      </c>
      <c r="AE98" s="30" t="s">
        <v>11</v>
      </c>
      <c r="AF98" s="27"/>
      <c r="AG98" s="27"/>
      <c r="AH98" s="28"/>
      <c r="AI98" s="27"/>
      <c r="AJ98" s="29" t="s">
        <v>15</v>
      </c>
      <c r="AK98" s="27"/>
      <c r="AL98" s="27"/>
      <c r="AM98" s="25">
        <v>17</v>
      </c>
      <c r="AN98" s="33"/>
      <c r="AO98" s="33"/>
      <c r="AP98" s="33"/>
      <c r="AQ98" s="33"/>
      <c r="AR98" s="33"/>
      <c r="AS98" s="33"/>
      <c r="AT98" s="25" t="s">
        <v>12</v>
      </c>
      <c r="AU98" s="27"/>
      <c r="AV98" s="27"/>
      <c r="AW98" s="27"/>
      <c r="AX98" s="28"/>
      <c r="AY98" s="27"/>
      <c r="AZ98" s="27"/>
      <c r="BA98" s="29" t="s">
        <v>16</v>
      </c>
      <c r="BB98" s="30" t="s">
        <v>13</v>
      </c>
      <c r="BC98" s="27"/>
      <c r="BD98" s="27"/>
      <c r="BE98" s="28"/>
      <c r="BF98" s="27"/>
      <c r="BG98" s="27"/>
      <c r="BH98" s="32" t="s">
        <v>14</v>
      </c>
      <c r="BI98" s="30" t="s">
        <v>11</v>
      </c>
      <c r="BJ98" s="27"/>
      <c r="BK98" s="27"/>
      <c r="BL98" s="28"/>
      <c r="BM98" s="27"/>
      <c r="BN98" s="29" t="s">
        <v>15</v>
      </c>
      <c r="BO98" s="27"/>
      <c r="BP98" s="27"/>
      <c r="BQ98" s="25">
        <v>17</v>
      </c>
      <c r="BR98" s="33"/>
      <c r="BS98" s="33"/>
      <c r="BT98" s="33"/>
      <c r="BU98" s="33"/>
      <c r="BV98" s="33"/>
      <c r="BW98" s="33"/>
      <c r="BX98" s="33"/>
      <c r="BY98" s="33"/>
      <c r="BZ98" s="33"/>
      <c r="CA98" s="33"/>
      <c r="CB98" s="33"/>
      <c r="CC98" s="33"/>
      <c r="CD98" s="33"/>
      <c r="CE98" s="33"/>
      <c r="CF98" s="33"/>
      <c r="CG98" s="33"/>
      <c r="CH98" s="33"/>
      <c r="CI98" s="33"/>
      <c r="CJ98" s="33"/>
      <c r="CK98" s="33"/>
      <c r="CL98" s="33"/>
      <c r="CM98" s="33"/>
      <c r="CN98" s="33"/>
      <c r="CO98" s="33"/>
      <c r="CP98" s="33"/>
    </row>
    <row r="99" spans="1:94" x14ac:dyDescent="0.25">
      <c r="A99" s="25" t="s">
        <v>56</v>
      </c>
      <c r="B99" s="25" t="s">
        <v>299</v>
      </c>
      <c r="C99" s="25" t="s">
        <v>444</v>
      </c>
      <c r="D99" s="25">
        <v>86</v>
      </c>
      <c r="E99" s="35" cm="1">
        <f t="array" ref="E99">IFERROR(INDEX($J$5:$AVX$5, _xlfn.AGGREGATE(15,6, COLUMN(J99:AVX99)-COLUMN(J99)+1 / (J99:AVX99="T"), F99)), "")</f>
        <v>45997</v>
      </c>
      <c r="F99" s="76">
        <f t="shared" si="21"/>
        <v>2</v>
      </c>
      <c r="G99" s="35" cm="1">
        <f t="array" ref="G99">IFERROR(INDEX($J$5:$AVW$5,_xlfn.AGGREGATE(14,6,(COLUMN($J99:$AVW99)-COLUMN($J99)+1)/($J99:$AVW99="T"),1)),"")</f>
        <v>45997</v>
      </c>
      <c r="H99" s="79">
        <f t="shared" si="22"/>
        <v>2</v>
      </c>
      <c r="I99" s="38" t="s">
        <v>10</v>
      </c>
      <c r="J99" s="33"/>
      <c r="K99" s="33"/>
      <c r="L99" s="33"/>
      <c r="M99" s="33"/>
      <c r="N99" s="33"/>
      <c r="O99" s="25" t="s">
        <v>12</v>
      </c>
      <c r="P99" s="27"/>
      <c r="Q99" s="27"/>
      <c r="R99" s="27"/>
      <c r="S99" s="28"/>
      <c r="T99" s="27"/>
      <c r="U99" s="27"/>
      <c r="V99" s="29" t="s">
        <v>16</v>
      </c>
      <c r="W99" s="30" t="s">
        <v>13</v>
      </c>
      <c r="X99" s="27"/>
      <c r="Y99" s="27"/>
      <c r="Z99" s="28"/>
      <c r="AA99" s="27"/>
      <c r="AB99" s="27"/>
      <c r="AC99" s="32" t="s">
        <v>14</v>
      </c>
      <c r="AD99" s="30" t="s">
        <v>11</v>
      </c>
      <c r="AE99" s="27"/>
      <c r="AF99" s="27"/>
      <c r="AG99" s="28"/>
      <c r="AH99" s="27"/>
      <c r="AI99" s="29" t="s">
        <v>15</v>
      </c>
      <c r="AJ99" s="27"/>
      <c r="AK99" s="27"/>
      <c r="AL99" s="25">
        <v>17</v>
      </c>
      <c r="AM99" s="33"/>
      <c r="AN99" s="33"/>
      <c r="AO99" s="33"/>
      <c r="AP99" s="33"/>
      <c r="AQ99" s="33"/>
      <c r="AR99" s="33"/>
      <c r="AS99" s="25" t="s">
        <v>12</v>
      </c>
      <c r="AT99" s="27"/>
      <c r="AU99" s="27"/>
      <c r="AV99" s="27"/>
      <c r="AW99" s="28"/>
      <c r="AX99" s="27"/>
      <c r="AY99" s="27"/>
      <c r="AZ99" s="29" t="s">
        <v>16</v>
      </c>
      <c r="BA99" s="30" t="s">
        <v>13</v>
      </c>
      <c r="BB99" s="27"/>
      <c r="BC99" s="27"/>
      <c r="BD99" s="28"/>
      <c r="BE99" s="27"/>
      <c r="BF99" s="27"/>
      <c r="BG99" s="32" t="s">
        <v>14</v>
      </c>
      <c r="BH99" s="30" t="s">
        <v>11</v>
      </c>
      <c r="BI99" s="27"/>
      <c r="BJ99" s="27"/>
      <c r="BK99" s="28"/>
      <c r="BL99" s="27"/>
      <c r="BM99" s="29" t="s">
        <v>15</v>
      </c>
      <c r="BN99" s="27"/>
      <c r="BO99" s="27"/>
      <c r="BP99" s="25">
        <v>17</v>
      </c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  <c r="CD99" s="33"/>
      <c r="CE99" s="33"/>
      <c r="CF99" s="33"/>
      <c r="CG99" s="33"/>
      <c r="CH99" s="33"/>
      <c r="CI99" s="33"/>
      <c r="CJ99" s="33"/>
      <c r="CK99" s="33"/>
      <c r="CL99" s="33"/>
      <c r="CM99" s="33"/>
      <c r="CN99" s="33"/>
      <c r="CO99" s="33"/>
      <c r="CP99" s="33"/>
    </row>
    <row r="100" spans="1:94" x14ac:dyDescent="0.25">
      <c r="A100" s="25" t="s">
        <v>56</v>
      </c>
      <c r="B100" s="25" t="s">
        <v>300</v>
      </c>
      <c r="C100" s="25" t="s">
        <v>445</v>
      </c>
      <c r="D100" s="25">
        <v>87</v>
      </c>
      <c r="E100" s="35" cm="1">
        <f t="array" ref="E100">IFERROR(INDEX($J$5:$AVX$5, _xlfn.AGGREGATE(15,6, COLUMN(J100:AVX100)-COLUMN(J100)+1 / (J100:AVX100="T"), F100)), "")</f>
        <v>45997</v>
      </c>
      <c r="F100" s="76">
        <f t="shared" si="21"/>
        <v>2</v>
      </c>
      <c r="G100" s="35" cm="1">
        <f t="array" ref="G100">IFERROR(INDEX($J$5:$AVW$5,_xlfn.AGGREGATE(14,6,(COLUMN($J100:$AVW100)-COLUMN($J100)+1)/($J100:$AVW100="T"),1)),"")</f>
        <v>45997</v>
      </c>
      <c r="H100" s="79">
        <f t="shared" si="22"/>
        <v>2</v>
      </c>
      <c r="I100" s="38" t="s">
        <v>10</v>
      </c>
      <c r="J100" s="33"/>
      <c r="K100" s="33"/>
      <c r="L100" s="33"/>
      <c r="M100" s="33"/>
      <c r="N100" s="33"/>
      <c r="O100" s="25" t="s">
        <v>12</v>
      </c>
      <c r="P100" s="27"/>
      <c r="Q100" s="27"/>
      <c r="R100" s="27"/>
      <c r="S100" s="28"/>
      <c r="T100" s="27"/>
      <c r="U100" s="27"/>
      <c r="V100" s="29" t="s">
        <v>16</v>
      </c>
      <c r="W100" s="30" t="s">
        <v>13</v>
      </c>
      <c r="X100" s="27"/>
      <c r="Y100" s="27"/>
      <c r="Z100" s="28"/>
      <c r="AA100" s="27"/>
      <c r="AB100" s="27"/>
      <c r="AC100" s="29" t="s">
        <v>14</v>
      </c>
      <c r="AD100" s="30" t="s">
        <v>11</v>
      </c>
      <c r="AE100" s="37"/>
      <c r="AF100" s="27"/>
      <c r="AG100" s="28"/>
      <c r="AH100" s="27"/>
      <c r="AI100" s="29" t="s">
        <v>15</v>
      </c>
      <c r="AJ100" s="27"/>
      <c r="AK100" s="27"/>
      <c r="AL100" s="25">
        <v>17</v>
      </c>
      <c r="AM100" s="33"/>
      <c r="AN100" s="33"/>
      <c r="AO100" s="33"/>
      <c r="AP100" s="33"/>
      <c r="AQ100" s="33"/>
      <c r="AR100" s="33"/>
      <c r="AS100" s="25" t="s">
        <v>12</v>
      </c>
      <c r="AT100" s="27"/>
      <c r="AU100" s="27"/>
      <c r="AV100" s="27"/>
      <c r="AW100" s="28"/>
      <c r="AX100" s="27"/>
      <c r="AY100" s="27"/>
      <c r="AZ100" s="29" t="s">
        <v>16</v>
      </c>
      <c r="BA100" s="30" t="s">
        <v>13</v>
      </c>
      <c r="BB100" s="27"/>
      <c r="BC100" s="27"/>
      <c r="BD100" s="28"/>
      <c r="BE100" s="27"/>
      <c r="BF100" s="27"/>
      <c r="BG100" s="32" t="s">
        <v>14</v>
      </c>
      <c r="BH100" s="30" t="s">
        <v>11</v>
      </c>
      <c r="BI100" s="27"/>
      <c r="BJ100" s="27"/>
      <c r="BK100" s="28"/>
      <c r="BL100" s="27"/>
      <c r="BM100" s="29" t="s">
        <v>15</v>
      </c>
      <c r="BN100" s="27"/>
      <c r="BO100" s="27"/>
      <c r="BP100" s="25">
        <v>17</v>
      </c>
      <c r="BQ100" s="33"/>
      <c r="BR100" s="33"/>
      <c r="BS100" s="33"/>
      <c r="BT100" s="33"/>
      <c r="BU100" s="33"/>
      <c r="BV100" s="33"/>
      <c r="BW100" s="33"/>
      <c r="BX100" s="33"/>
      <c r="BY100" s="33"/>
      <c r="BZ100" s="33"/>
      <c r="CA100" s="33"/>
      <c r="CB100" s="33"/>
      <c r="CC100" s="33"/>
      <c r="CD100" s="33"/>
      <c r="CE100" s="33"/>
      <c r="CF100" s="33"/>
      <c r="CG100" s="33"/>
      <c r="CH100" s="33"/>
      <c r="CI100" s="33"/>
      <c r="CJ100" s="33"/>
      <c r="CK100" s="33"/>
      <c r="CL100" s="33"/>
      <c r="CM100" s="33"/>
      <c r="CN100" s="33"/>
      <c r="CO100" s="33"/>
      <c r="CP100" s="33"/>
    </row>
    <row r="101" spans="1:94" x14ac:dyDescent="0.25">
      <c r="A101" s="25" t="s">
        <v>56</v>
      </c>
      <c r="B101" s="25" t="s">
        <v>301</v>
      </c>
      <c r="C101" s="25" t="s">
        <v>446</v>
      </c>
      <c r="D101" s="25">
        <v>88</v>
      </c>
      <c r="E101" s="35" cm="1">
        <f t="array" ref="E101">IFERROR(INDEX($J$5:$AVX$5, _xlfn.AGGREGATE(15,6, COLUMN(J101:AVX101)-COLUMN(J101)+1 / (J101:AVX101="T"), F101)), "")</f>
        <v>45997</v>
      </c>
      <c r="F101" s="76">
        <f t="shared" si="21"/>
        <v>2</v>
      </c>
      <c r="G101" s="35" cm="1">
        <f t="array" ref="G101">IFERROR(INDEX($J$5:$AVW$5,_xlfn.AGGREGATE(14,6,(COLUMN($J101:$AVW101)-COLUMN($J101)+1)/($J101:$AVW101="T"),1)),"")</f>
        <v>45997</v>
      </c>
      <c r="H101" s="79">
        <f t="shared" si="22"/>
        <v>2</v>
      </c>
      <c r="I101" s="38" t="s">
        <v>10</v>
      </c>
      <c r="J101" s="33"/>
      <c r="K101" s="33"/>
      <c r="L101" s="33"/>
      <c r="M101" s="33"/>
      <c r="N101" s="33"/>
      <c r="O101" s="25" t="s">
        <v>12</v>
      </c>
      <c r="P101" s="27"/>
      <c r="Q101" s="27"/>
      <c r="R101" s="27"/>
      <c r="S101" s="28"/>
      <c r="T101" s="27"/>
      <c r="U101" s="27"/>
      <c r="V101" s="29" t="s">
        <v>16</v>
      </c>
      <c r="W101" s="30" t="s">
        <v>13</v>
      </c>
      <c r="X101" s="27"/>
      <c r="Y101" s="27"/>
      <c r="Z101" s="28"/>
      <c r="AA101" s="27"/>
      <c r="AB101" s="27"/>
      <c r="AC101" s="29" t="s">
        <v>14</v>
      </c>
      <c r="AD101" s="30" t="s">
        <v>11</v>
      </c>
      <c r="AE101" s="37"/>
      <c r="AF101" s="27"/>
      <c r="AG101" s="28"/>
      <c r="AH101" s="27"/>
      <c r="AI101" s="29" t="s">
        <v>15</v>
      </c>
      <c r="AJ101" s="27"/>
      <c r="AK101" s="27"/>
      <c r="AL101" s="25">
        <v>17</v>
      </c>
      <c r="AM101" s="33"/>
      <c r="AN101" s="33"/>
      <c r="AO101" s="33"/>
      <c r="AP101" s="33"/>
      <c r="AQ101" s="33"/>
      <c r="AR101" s="33"/>
      <c r="AS101" s="25" t="s">
        <v>12</v>
      </c>
      <c r="AT101" s="27"/>
      <c r="AU101" s="27"/>
      <c r="AV101" s="27"/>
      <c r="AW101" s="28"/>
      <c r="AX101" s="27"/>
      <c r="AY101" s="27"/>
      <c r="AZ101" s="29" t="s">
        <v>16</v>
      </c>
      <c r="BA101" s="30" t="s">
        <v>13</v>
      </c>
      <c r="BB101" s="27"/>
      <c r="BC101" s="27"/>
      <c r="BD101" s="28"/>
      <c r="BE101" s="27"/>
      <c r="BF101" s="27"/>
      <c r="BG101" s="32" t="s">
        <v>14</v>
      </c>
      <c r="BH101" s="30" t="s">
        <v>11</v>
      </c>
      <c r="BI101" s="27"/>
      <c r="BJ101" s="27"/>
      <c r="BK101" s="28"/>
      <c r="BL101" s="27"/>
      <c r="BM101" s="29" t="s">
        <v>15</v>
      </c>
      <c r="BN101" s="27"/>
      <c r="BO101" s="27"/>
      <c r="BP101" s="25">
        <v>17</v>
      </c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3"/>
      <c r="CB101" s="33"/>
      <c r="CC101" s="33"/>
      <c r="CD101" s="33"/>
      <c r="CE101" s="33"/>
      <c r="CF101" s="33"/>
      <c r="CG101" s="33"/>
      <c r="CH101" s="33"/>
      <c r="CI101" s="33"/>
      <c r="CJ101" s="33"/>
      <c r="CK101" s="33"/>
      <c r="CL101" s="33"/>
      <c r="CM101" s="33"/>
      <c r="CN101" s="33"/>
      <c r="CO101" s="33"/>
      <c r="CP101" s="33"/>
    </row>
    <row r="102" spans="1:94" x14ac:dyDescent="0.25">
      <c r="A102" s="25" t="s">
        <v>56</v>
      </c>
      <c r="B102" s="25" t="s">
        <v>302</v>
      </c>
      <c r="C102" s="25" t="s">
        <v>447</v>
      </c>
      <c r="D102" s="25">
        <v>89</v>
      </c>
      <c r="E102" s="35" cm="1">
        <f t="array" ref="E102">IFERROR(INDEX($J$5:$AVX$5, _xlfn.AGGREGATE(15,6, COLUMN(J102:AVX102)-COLUMN(J102)+1 / (J102:AVX102="T"), F102)), "")</f>
        <v>45997</v>
      </c>
      <c r="F102" s="76">
        <f t="shared" si="21"/>
        <v>2</v>
      </c>
      <c r="G102" s="35" cm="1">
        <f t="array" ref="G102">IFERROR(INDEX($J$5:$AVW$5,_xlfn.AGGREGATE(14,6,(COLUMN($J102:$AVW102)-COLUMN($J102)+1)/($J102:$AVW102="T"),1)),"")</f>
        <v>45997</v>
      </c>
      <c r="H102" s="79">
        <f t="shared" si="22"/>
        <v>2</v>
      </c>
      <c r="I102" s="38" t="s">
        <v>10</v>
      </c>
      <c r="J102" s="33"/>
      <c r="K102" s="33"/>
      <c r="L102" s="33"/>
      <c r="M102" s="33"/>
      <c r="N102" s="33"/>
      <c r="O102" s="25" t="s">
        <v>12</v>
      </c>
      <c r="P102" s="27"/>
      <c r="Q102" s="27"/>
      <c r="R102" s="27"/>
      <c r="S102" s="28"/>
      <c r="T102" s="27"/>
      <c r="U102" s="27"/>
      <c r="V102" s="29" t="s">
        <v>16</v>
      </c>
      <c r="W102" s="30" t="s">
        <v>13</v>
      </c>
      <c r="X102" s="27"/>
      <c r="Y102" s="27"/>
      <c r="Z102" s="28"/>
      <c r="AA102" s="27"/>
      <c r="AB102" s="27"/>
      <c r="AC102" s="29" t="s">
        <v>14</v>
      </c>
      <c r="AD102" s="30" t="s">
        <v>11</v>
      </c>
      <c r="AE102" s="37"/>
      <c r="AF102" s="27"/>
      <c r="AG102" s="28"/>
      <c r="AH102" s="27"/>
      <c r="AI102" s="29" t="s">
        <v>15</v>
      </c>
      <c r="AJ102" s="27"/>
      <c r="AK102" s="27"/>
      <c r="AL102" s="25">
        <v>17</v>
      </c>
      <c r="AM102" s="33"/>
      <c r="AN102" s="33"/>
      <c r="AO102" s="33"/>
      <c r="AP102" s="33"/>
      <c r="AQ102" s="33"/>
      <c r="AR102" s="33"/>
      <c r="AS102" s="25" t="s">
        <v>12</v>
      </c>
      <c r="AT102" s="27"/>
      <c r="AU102" s="27"/>
      <c r="AV102" s="27"/>
      <c r="AW102" s="28"/>
      <c r="AX102" s="27"/>
      <c r="AY102" s="27"/>
      <c r="AZ102" s="29" t="s">
        <v>16</v>
      </c>
      <c r="BA102" s="30" t="s">
        <v>13</v>
      </c>
      <c r="BB102" s="27"/>
      <c r="BC102" s="27"/>
      <c r="BD102" s="28"/>
      <c r="BE102" s="27"/>
      <c r="BF102" s="27"/>
      <c r="BG102" s="32" t="s">
        <v>14</v>
      </c>
      <c r="BH102" s="30" t="s">
        <v>11</v>
      </c>
      <c r="BI102" s="27"/>
      <c r="BJ102" s="27"/>
      <c r="BK102" s="28"/>
      <c r="BL102" s="27"/>
      <c r="BM102" s="29" t="s">
        <v>15</v>
      </c>
      <c r="BN102" s="27"/>
      <c r="BO102" s="27"/>
      <c r="BP102" s="25">
        <v>17</v>
      </c>
      <c r="BQ102" s="33"/>
      <c r="BR102" s="33"/>
      <c r="BS102" s="33"/>
      <c r="BT102" s="33"/>
      <c r="BU102" s="33"/>
      <c r="BV102" s="33"/>
      <c r="BW102" s="33"/>
      <c r="BX102" s="33"/>
      <c r="BY102" s="33"/>
      <c r="BZ102" s="33"/>
      <c r="CA102" s="33"/>
      <c r="CB102" s="33"/>
      <c r="CC102" s="33"/>
      <c r="CD102" s="33"/>
      <c r="CE102" s="33"/>
      <c r="CF102" s="33"/>
      <c r="CG102" s="33"/>
      <c r="CH102" s="33"/>
      <c r="CI102" s="33"/>
      <c r="CJ102" s="33"/>
      <c r="CK102" s="33"/>
      <c r="CL102" s="33"/>
      <c r="CM102" s="33"/>
      <c r="CN102" s="33"/>
      <c r="CO102" s="33"/>
      <c r="CP102" s="33"/>
    </row>
    <row r="103" spans="1:94" x14ac:dyDescent="0.25">
      <c r="A103" s="25" t="s">
        <v>56</v>
      </c>
      <c r="B103" s="25" t="s">
        <v>303</v>
      </c>
      <c r="C103" s="25" t="s">
        <v>448</v>
      </c>
      <c r="D103" s="25">
        <v>90</v>
      </c>
      <c r="E103" s="35" cm="1">
        <f t="array" ref="E103">IFERROR(INDEX($J$5:$AVX$5, _xlfn.AGGREGATE(15,6, COLUMN(J103:AVX103)-COLUMN(J103)+1 / (J103:AVX103="T"), F103)), "")</f>
        <v>45996</v>
      </c>
      <c r="F103" s="76">
        <f t="shared" si="21"/>
        <v>2</v>
      </c>
      <c r="G103" s="35" cm="1">
        <f t="array" ref="G103">IFERROR(INDEX($J$5:$AVW$5,_xlfn.AGGREGATE(14,6,(COLUMN($J103:$AVW103)-COLUMN($J103)+1)/($J103:$AVW103="T"),1)),"")</f>
        <v>45996</v>
      </c>
      <c r="H103" s="79">
        <f t="shared" si="22"/>
        <v>2</v>
      </c>
      <c r="I103" s="38" t="s">
        <v>10</v>
      </c>
      <c r="J103" s="33"/>
      <c r="K103" s="33"/>
      <c r="L103" s="33"/>
      <c r="M103" s="33"/>
      <c r="N103" s="33"/>
      <c r="O103" s="25" t="s">
        <v>12</v>
      </c>
      <c r="P103" s="27"/>
      <c r="Q103" s="27"/>
      <c r="R103" s="27"/>
      <c r="S103" s="28"/>
      <c r="T103" s="27"/>
      <c r="U103" s="27"/>
      <c r="V103" s="29" t="s">
        <v>16</v>
      </c>
      <c r="W103" s="30" t="s">
        <v>13</v>
      </c>
      <c r="X103" s="27"/>
      <c r="Y103" s="27"/>
      <c r="Z103" s="28"/>
      <c r="AA103" s="27"/>
      <c r="AB103" s="27"/>
      <c r="AC103" s="29" t="s">
        <v>14</v>
      </c>
      <c r="AD103" s="30" t="s">
        <v>11</v>
      </c>
      <c r="AE103" s="37"/>
      <c r="AF103" s="27"/>
      <c r="AG103" s="28"/>
      <c r="AH103" s="27"/>
      <c r="AI103" s="29" t="s">
        <v>15</v>
      </c>
      <c r="AJ103" s="27"/>
      <c r="AK103" s="27"/>
      <c r="AL103" s="25">
        <v>17</v>
      </c>
      <c r="AM103" s="33"/>
      <c r="AN103" s="33"/>
      <c r="AO103" s="33"/>
      <c r="AP103" s="33"/>
      <c r="AQ103" s="33"/>
      <c r="AR103" s="25" t="s">
        <v>12</v>
      </c>
      <c r="AS103" s="27"/>
      <c r="AT103" s="27"/>
      <c r="AU103" s="27"/>
      <c r="AV103" s="28"/>
      <c r="AW103" s="27"/>
      <c r="AX103" s="27"/>
      <c r="AY103" s="29" t="s">
        <v>16</v>
      </c>
      <c r="AZ103" s="30" t="s">
        <v>13</v>
      </c>
      <c r="BA103" s="27"/>
      <c r="BB103" s="27"/>
      <c r="BC103" s="28"/>
      <c r="BD103" s="27"/>
      <c r="BE103" s="27"/>
      <c r="BF103" s="32" t="s">
        <v>14</v>
      </c>
      <c r="BG103" s="30" t="s">
        <v>11</v>
      </c>
      <c r="BH103" s="27"/>
      <c r="BI103" s="27"/>
      <c r="BJ103" s="28"/>
      <c r="BK103" s="27"/>
      <c r="BL103" s="29" t="s">
        <v>15</v>
      </c>
      <c r="BM103" s="27"/>
      <c r="BN103" s="27"/>
      <c r="BO103" s="25">
        <v>17</v>
      </c>
      <c r="BP103" s="33"/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  <c r="CD103" s="33"/>
      <c r="CE103" s="33"/>
      <c r="CF103" s="33"/>
      <c r="CG103" s="33"/>
      <c r="CH103" s="33"/>
      <c r="CI103" s="33"/>
      <c r="CJ103" s="33"/>
      <c r="CK103" s="33"/>
      <c r="CL103" s="33"/>
      <c r="CM103" s="33"/>
      <c r="CN103" s="33"/>
      <c r="CO103" s="33"/>
      <c r="CP103" s="33"/>
    </row>
    <row r="104" spans="1:94" x14ac:dyDescent="0.25">
      <c r="A104" s="25" t="s">
        <v>56</v>
      </c>
      <c r="B104" s="25" t="s">
        <v>304</v>
      </c>
      <c r="C104" s="25" t="s">
        <v>449</v>
      </c>
      <c r="D104" s="25">
        <v>91</v>
      </c>
      <c r="E104" s="35" cm="1">
        <f t="array" ref="E104">IFERROR(INDEX($J$5:$AVX$5, _xlfn.AGGREGATE(15,6, COLUMN(J104:AVX104)-COLUMN(J104)+1 / (J104:AVX104="T"), F104)), "")</f>
        <v>45996</v>
      </c>
      <c r="F104" s="76">
        <f t="shared" si="21"/>
        <v>2</v>
      </c>
      <c r="G104" s="35" cm="1">
        <f t="array" ref="G104">IFERROR(INDEX($J$5:$AVW$5,_xlfn.AGGREGATE(14,6,(COLUMN($J104:$AVW104)-COLUMN($J104)+1)/($J104:$AVW104="T"),1)),"")</f>
        <v>45996</v>
      </c>
      <c r="H104" s="79">
        <f t="shared" si="22"/>
        <v>2</v>
      </c>
      <c r="I104" s="38" t="s">
        <v>10</v>
      </c>
      <c r="J104" s="33"/>
      <c r="K104" s="33"/>
      <c r="L104" s="33"/>
      <c r="M104" s="33"/>
      <c r="N104" s="33"/>
      <c r="O104" s="25" t="s">
        <v>12</v>
      </c>
      <c r="P104" s="27"/>
      <c r="Q104" s="27"/>
      <c r="R104" s="27"/>
      <c r="S104" s="28"/>
      <c r="T104" s="27"/>
      <c r="U104" s="27"/>
      <c r="V104" s="29" t="s">
        <v>16</v>
      </c>
      <c r="W104" s="30" t="s">
        <v>13</v>
      </c>
      <c r="X104" s="27"/>
      <c r="Y104" s="27"/>
      <c r="Z104" s="28"/>
      <c r="AA104" s="27"/>
      <c r="AB104" s="27"/>
      <c r="AC104" s="29" t="s">
        <v>14</v>
      </c>
      <c r="AD104" s="30" t="s">
        <v>11</v>
      </c>
      <c r="AE104" s="37"/>
      <c r="AF104" s="27"/>
      <c r="AG104" s="28"/>
      <c r="AH104" s="27"/>
      <c r="AI104" s="29" t="s">
        <v>15</v>
      </c>
      <c r="AJ104" s="27"/>
      <c r="AK104" s="27"/>
      <c r="AL104" s="25">
        <v>17</v>
      </c>
      <c r="AM104" s="33"/>
      <c r="AN104" s="33"/>
      <c r="AO104" s="33"/>
      <c r="AP104" s="33"/>
      <c r="AQ104" s="33"/>
      <c r="AR104" s="25" t="s">
        <v>12</v>
      </c>
      <c r="AS104" s="27"/>
      <c r="AT104" s="27"/>
      <c r="AU104" s="27"/>
      <c r="AV104" s="28"/>
      <c r="AW104" s="27"/>
      <c r="AX104" s="27"/>
      <c r="AY104" s="29" t="s">
        <v>16</v>
      </c>
      <c r="AZ104" s="30" t="s">
        <v>13</v>
      </c>
      <c r="BA104" s="27"/>
      <c r="BB104" s="27"/>
      <c r="BC104" s="28"/>
      <c r="BD104" s="27"/>
      <c r="BE104" s="27"/>
      <c r="BF104" s="32" t="s">
        <v>14</v>
      </c>
      <c r="BG104" s="30" t="s">
        <v>11</v>
      </c>
      <c r="BH104" s="27"/>
      <c r="BI104" s="27"/>
      <c r="BJ104" s="28"/>
      <c r="BK104" s="27"/>
      <c r="BL104" s="29" t="s">
        <v>15</v>
      </c>
      <c r="BM104" s="27"/>
      <c r="BN104" s="27"/>
      <c r="BO104" s="25">
        <v>17</v>
      </c>
      <c r="BP104" s="33"/>
      <c r="BQ104" s="33"/>
      <c r="BR104" s="33"/>
      <c r="BS104" s="33"/>
      <c r="BT104" s="33"/>
      <c r="BU104" s="33"/>
      <c r="BV104" s="33"/>
      <c r="BW104" s="33"/>
      <c r="BX104" s="33"/>
      <c r="BY104" s="33"/>
      <c r="BZ104" s="33"/>
      <c r="CA104" s="33"/>
      <c r="CB104" s="33"/>
      <c r="CC104" s="33"/>
      <c r="CD104" s="33"/>
      <c r="CE104" s="33"/>
      <c r="CF104" s="33"/>
      <c r="CG104" s="33"/>
      <c r="CH104" s="33"/>
      <c r="CI104" s="33"/>
      <c r="CJ104" s="33"/>
      <c r="CK104" s="33"/>
      <c r="CL104" s="33"/>
      <c r="CM104" s="33"/>
      <c r="CN104" s="33"/>
      <c r="CO104" s="33"/>
      <c r="CP104" s="33"/>
    </row>
    <row r="105" spans="1:94" x14ac:dyDescent="0.25">
      <c r="A105" s="25" t="s">
        <v>56</v>
      </c>
      <c r="B105" s="25" t="s">
        <v>305</v>
      </c>
      <c r="C105" s="25" t="s">
        <v>450</v>
      </c>
      <c r="D105" s="25">
        <v>92</v>
      </c>
      <c r="E105" s="35" cm="1">
        <f t="array" ref="E105">IFERROR(INDEX($J$5:$AVX$5, _xlfn.AGGREGATE(15,6, COLUMN(J105:AVX105)-COLUMN(J105)+1 / (J105:AVX105="T"), F105)), "")</f>
        <v>45997</v>
      </c>
      <c r="F105" s="76">
        <f t="shared" si="21"/>
        <v>2</v>
      </c>
      <c r="G105" s="35" cm="1">
        <f t="array" ref="G105">IFERROR(INDEX($J$5:$AVW$5,_xlfn.AGGREGATE(14,6,(COLUMN($J105:$AVW105)-COLUMN($J105)+1)/($J105:$AVW105="T"),1)),"")</f>
        <v>45997</v>
      </c>
      <c r="H105" s="79">
        <f t="shared" si="22"/>
        <v>2</v>
      </c>
      <c r="I105" s="38" t="s">
        <v>10</v>
      </c>
      <c r="J105" s="33"/>
      <c r="K105" s="33"/>
      <c r="L105" s="33"/>
      <c r="M105" s="33"/>
      <c r="N105" s="33"/>
      <c r="O105" s="25" t="s">
        <v>12</v>
      </c>
      <c r="P105" s="27"/>
      <c r="Q105" s="27"/>
      <c r="R105" s="27"/>
      <c r="S105" s="28"/>
      <c r="T105" s="27"/>
      <c r="U105" s="27"/>
      <c r="V105" s="29" t="s">
        <v>16</v>
      </c>
      <c r="W105" s="30" t="s">
        <v>13</v>
      </c>
      <c r="X105" s="27"/>
      <c r="Y105" s="27"/>
      <c r="Z105" s="28"/>
      <c r="AA105" s="27"/>
      <c r="AB105" s="27"/>
      <c r="AC105" s="29" t="s">
        <v>14</v>
      </c>
      <c r="AD105" s="30" t="s">
        <v>11</v>
      </c>
      <c r="AE105" s="37"/>
      <c r="AF105" s="27"/>
      <c r="AG105" s="28"/>
      <c r="AH105" s="27"/>
      <c r="AI105" s="29" t="s">
        <v>15</v>
      </c>
      <c r="AJ105" s="27"/>
      <c r="AK105" s="27"/>
      <c r="AL105" s="25">
        <v>17</v>
      </c>
      <c r="AM105" s="33"/>
      <c r="AN105" s="33"/>
      <c r="AO105" s="33"/>
      <c r="AP105" s="33"/>
      <c r="AQ105" s="33"/>
      <c r="AR105" s="33"/>
      <c r="AS105" s="25" t="s">
        <v>12</v>
      </c>
      <c r="AT105" s="27"/>
      <c r="AU105" s="27"/>
      <c r="AV105" s="27"/>
      <c r="AW105" s="28"/>
      <c r="AX105" s="27"/>
      <c r="AY105" s="27"/>
      <c r="AZ105" s="29" t="s">
        <v>16</v>
      </c>
      <c r="BA105" s="30" t="s">
        <v>13</v>
      </c>
      <c r="BB105" s="27"/>
      <c r="BC105" s="27"/>
      <c r="BD105" s="28"/>
      <c r="BE105" s="27"/>
      <c r="BF105" s="27"/>
      <c r="BG105" s="32" t="s">
        <v>14</v>
      </c>
      <c r="BH105" s="30" t="s">
        <v>11</v>
      </c>
      <c r="BI105" s="27"/>
      <c r="BJ105" s="27"/>
      <c r="BK105" s="28"/>
      <c r="BL105" s="27"/>
      <c r="BM105" s="29" t="s">
        <v>15</v>
      </c>
      <c r="BN105" s="27"/>
      <c r="BO105" s="27"/>
      <c r="BP105" s="25">
        <v>17</v>
      </c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3"/>
      <c r="CB105" s="33"/>
      <c r="CC105" s="33"/>
      <c r="CD105" s="33"/>
      <c r="CE105" s="33"/>
      <c r="CF105" s="33"/>
      <c r="CG105" s="33"/>
      <c r="CH105" s="33"/>
      <c r="CI105" s="33"/>
      <c r="CJ105" s="33"/>
      <c r="CK105" s="33"/>
      <c r="CL105" s="33"/>
      <c r="CM105" s="33"/>
      <c r="CN105" s="33"/>
      <c r="CO105" s="33"/>
      <c r="CP105" s="33"/>
    </row>
    <row r="106" spans="1:94" x14ac:dyDescent="0.25">
      <c r="A106" s="25" t="s">
        <v>56</v>
      </c>
      <c r="B106" s="25" t="s">
        <v>306</v>
      </c>
      <c r="C106" s="25" t="s">
        <v>451</v>
      </c>
      <c r="D106" s="25">
        <v>93</v>
      </c>
      <c r="E106" s="35" cm="1">
        <f t="array" ref="E106">IFERROR(INDEX($J$5:$AVX$5, _xlfn.AGGREGATE(15,6, COLUMN(J106:AVX106)-COLUMN(J106)+1 / (J106:AVX106="T"), F106)), "")</f>
        <v>45995</v>
      </c>
      <c r="F106" s="76">
        <f t="shared" si="21"/>
        <v>2</v>
      </c>
      <c r="G106" s="35" cm="1">
        <f t="array" ref="G106">IFERROR(INDEX($J$5:$AVW$5,_xlfn.AGGREGATE(14,6,(COLUMN($J106:$AVW106)-COLUMN($J106)+1)/($J106:$AVW106="T"),1)),"")</f>
        <v>45995</v>
      </c>
      <c r="H106" s="79">
        <f t="shared" si="22"/>
        <v>2</v>
      </c>
      <c r="I106" s="38" t="s">
        <v>10</v>
      </c>
      <c r="J106" s="33"/>
      <c r="K106" s="33"/>
      <c r="L106" s="25" t="s">
        <v>12</v>
      </c>
      <c r="M106" s="27"/>
      <c r="N106" s="27"/>
      <c r="O106" s="27"/>
      <c r="P106" s="28"/>
      <c r="Q106" s="27"/>
      <c r="R106" s="27"/>
      <c r="S106" s="29" t="s">
        <v>16</v>
      </c>
      <c r="T106" s="30" t="s">
        <v>13</v>
      </c>
      <c r="U106" s="27"/>
      <c r="V106" s="27"/>
      <c r="W106" s="28"/>
      <c r="X106" s="27"/>
      <c r="Y106" s="27"/>
      <c r="Z106" s="32" t="s">
        <v>14</v>
      </c>
      <c r="AA106" s="30" t="s">
        <v>11</v>
      </c>
      <c r="AB106" s="27"/>
      <c r="AC106" s="27"/>
      <c r="AD106" s="28"/>
      <c r="AE106" s="27"/>
      <c r="AF106" s="29" t="s">
        <v>15</v>
      </c>
      <c r="AG106" s="27"/>
      <c r="AH106" s="27"/>
      <c r="AI106" s="25">
        <v>17</v>
      </c>
      <c r="AJ106" s="33"/>
      <c r="AK106" s="33"/>
      <c r="AL106" s="33"/>
      <c r="AM106" s="33"/>
      <c r="AN106" s="33"/>
      <c r="AO106" s="33"/>
      <c r="AP106" s="33"/>
      <c r="AQ106" s="25" t="s">
        <v>12</v>
      </c>
      <c r="AR106" s="27"/>
      <c r="AS106" s="27"/>
      <c r="AT106" s="27"/>
      <c r="AU106" s="28"/>
      <c r="AV106" s="27"/>
      <c r="AW106" s="27"/>
      <c r="AX106" s="29" t="s">
        <v>16</v>
      </c>
      <c r="AY106" s="30" t="s">
        <v>13</v>
      </c>
      <c r="AZ106" s="27"/>
      <c r="BA106" s="27"/>
      <c r="BB106" s="28"/>
      <c r="BC106" s="27"/>
      <c r="BD106" s="27"/>
      <c r="BE106" s="32" t="s">
        <v>14</v>
      </c>
      <c r="BF106" s="30" t="s">
        <v>11</v>
      </c>
      <c r="BG106" s="27"/>
      <c r="BH106" s="27"/>
      <c r="BI106" s="28"/>
      <c r="BJ106" s="27"/>
      <c r="BK106" s="29" t="s">
        <v>15</v>
      </c>
      <c r="BL106" s="27"/>
      <c r="BM106" s="27"/>
      <c r="BN106" s="25">
        <v>17</v>
      </c>
      <c r="BO106" s="33"/>
      <c r="BP106" s="33"/>
      <c r="BQ106" s="33"/>
      <c r="BR106" s="33"/>
      <c r="BS106" s="33"/>
      <c r="BT106" s="33"/>
      <c r="BU106" s="33"/>
      <c r="BV106" s="33"/>
      <c r="BW106" s="33"/>
      <c r="BX106" s="33"/>
      <c r="BY106" s="33"/>
      <c r="BZ106" s="33"/>
      <c r="CA106" s="33"/>
      <c r="CB106" s="33"/>
      <c r="CC106" s="33"/>
      <c r="CD106" s="33"/>
      <c r="CE106" s="33"/>
      <c r="CF106" s="33"/>
      <c r="CG106" s="33"/>
      <c r="CH106" s="33"/>
      <c r="CI106" s="33"/>
      <c r="CJ106" s="33"/>
      <c r="CK106" s="33"/>
      <c r="CL106" s="33"/>
      <c r="CM106" s="33"/>
      <c r="CN106" s="33"/>
      <c r="CO106" s="33"/>
      <c r="CP106" s="33"/>
    </row>
    <row r="107" spans="1:94" s="48" customFormat="1" x14ac:dyDescent="0.25">
      <c r="A107" s="25" t="s">
        <v>56</v>
      </c>
      <c r="B107" s="25" t="s">
        <v>307</v>
      </c>
      <c r="C107" s="25" t="s">
        <v>452</v>
      </c>
      <c r="D107" s="25">
        <v>94</v>
      </c>
      <c r="E107" s="35" cm="1">
        <f t="array" ref="E107">IFERROR(INDEX($J$5:$AVX$5, _xlfn.AGGREGATE(15,6, COLUMN(J107:AVX107)-COLUMN(J107)+1 / (J107:AVX107="T"), F107)), "")</f>
        <v>45994</v>
      </c>
      <c r="F107" s="76">
        <f t="shared" si="21"/>
        <v>2</v>
      </c>
      <c r="G107" s="35" cm="1">
        <f t="array" ref="G107">IFERROR(INDEX($J$5:$AVW$5,_xlfn.AGGREGATE(14,6,(COLUMN($J107:$AVW107)-COLUMN($J107)+1)/($J107:$AVW107="T"),1)),"")</f>
        <v>45994</v>
      </c>
      <c r="H107" s="79">
        <f t="shared" si="22"/>
        <v>2</v>
      </c>
      <c r="I107" s="38" t="s">
        <v>10</v>
      </c>
      <c r="J107" s="33"/>
      <c r="K107" s="33"/>
      <c r="L107" s="25" t="s">
        <v>12</v>
      </c>
      <c r="M107" s="27"/>
      <c r="N107" s="27"/>
      <c r="O107" s="27"/>
      <c r="P107" s="28"/>
      <c r="Q107" s="27"/>
      <c r="R107" s="27"/>
      <c r="S107" s="29" t="s">
        <v>16</v>
      </c>
      <c r="T107" s="30" t="s">
        <v>13</v>
      </c>
      <c r="U107" s="27"/>
      <c r="V107" s="27"/>
      <c r="W107" s="28"/>
      <c r="X107" s="27"/>
      <c r="Y107" s="27"/>
      <c r="Z107" s="29" t="s">
        <v>14</v>
      </c>
      <c r="AA107" s="30" t="s">
        <v>11</v>
      </c>
      <c r="AB107" s="37"/>
      <c r="AC107" s="27"/>
      <c r="AD107" s="28"/>
      <c r="AE107" s="27"/>
      <c r="AF107" s="29" t="s">
        <v>15</v>
      </c>
      <c r="AG107" s="27"/>
      <c r="AH107" s="27"/>
      <c r="AI107" s="25">
        <v>17</v>
      </c>
      <c r="AJ107" s="33"/>
      <c r="AK107" s="33"/>
      <c r="AL107" s="33"/>
      <c r="AM107" s="33"/>
      <c r="AN107" s="33"/>
      <c r="AO107" s="33"/>
      <c r="AP107" s="25" t="s">
        <v>12</v>
      </c>
      <c r="AQ107" s="27"/>
      <c r="AR107" s="27"/>
      <c r="AS107" s="27"/>
      <c r="AT107" s="28"/>
      <c r="AU107" s="27"/>
      <c r="AV107" s="27"/>
      <c r="AW107" s="29" t="s">
        <v>16</v>
      </c>
      <c r="AX107" s="30" t="s">
        <v>13</v>
      </c>
      <c r="AY107" s="27"/>
      <c r="AZ107" s="27"/>
      <c r="BA107" s="28"/>
      <c r="BB107" s="27"/>
      <c r="BC107" s="27"/>
      <c r="BD107" s="32" t="s">
        <v>14</v>
      </c>
      <c r="BE107" s="30" t="s">
        <v>11</v>
      </c>
      <c r="BF107" s="27"/>
      <c r="BG107" s="27"/>
      <c r="BH107" s="28"/>
      <c r="BI107" s="27"/>
      <c r="BJ107" s="29" t="s">
        <v>15</v>
      </c>
      <c r="BK107" s="27"/>
      <c r="BL107" s="27"/>
      <c r="BM107" s="25">
        <v>17</v>
      </c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C107" s="33"/>
      <c r="CD107" s="33"/>
      <c r="CE107" s="33"/>
      <c r="CF107" s="33"/>
      <c r="CG107" s="33"/>
      <c r="CH107" s="33"/>
      <c r="CI107" s="33"/>
      <c r="CJ107" s="33"/>
      <c r="CK107" s="33"/>
      <c r="CL107" s="33"/>
      <c r="CM107" s="33"/>
      <c r="CN107" s="33"/>
      <c r="CO107" s="33"/>
      <c r="CP107" s="33"/>
    </row>
    <row r="108" spans="1:94" s="48" customFormat="1" x14ac:dyDescent="0.25">
      <c r="A108" s="25" t="s">
        <v>56</v>
      </c>
      <c r="B108" s="25" t="s">
        <v>308</v>
      </c>
      <c r="C108" s="25" t="s">
        <v>453</v>
      </c>
      <c r="D108" s="25">
        <v>95</v>
      </c>
      <c r="E108" s="35" cm="1">
        <f t="array" ref="E108">IFERROR(INDEX($J$5:$AVX$5, _xlfn.AGGREGATE(15,6, COLUMN(J108:AVX108)-COLUMN(J108)+1 / (J108:AVX108="T"), F108)), "")</f>
        <v>45994</v>
      </c>
      <c r="F108" s="76">
        <f t="shared" si="21"/>
        <v>2</v>
      </c>
      <c r="G108" s="35" cm="1">
        <f t="array" ref="G108">IFERROR(INDEX($J$5:$AVW$5,_xlfn.AGGREGATE(14,6,(COLUMN($J108:$AVW108)-COLUMN($J108)+1)/($J108:$AVW108="T"),1)),"")</f>
        <v>45994</v>
      </c>
      <c r="H108" s="79">
        <f t="shared" si="22"/>
        <v>2</v>
      </c>
      <c r="I108" s="38" t="s">
        <v>10</v>
      </c>
      <c r="J108" s="33"/>
      <c r="K108" s="33"/>
      <c r="L108" s="25" t="s">
        <v>12</v>
      </c>
      <c r="M108" s="27"/>
      <c r="N108" s="27"/>
      <c r="O108" s="27"/>
      <c r="P108" s="28"/>
      <c r="Q108" s="27"/>
      <c r="R108" s="27"/>
      <c r="S108" s="29" t="s">
        <v>16</v>
      </c>
      <c r="T108" s="30" t="s">
        <v>13</v>
      </c>
      <c r="U108" s="27"/>
      <c r="V108" s="27"/>
      <c r="W108" s="28"/>
      <c r="X108" s="27"/>
      <c r="Y108" s="27"/>
      <c r="Z108" s="29" t="s">
        <v>14</v>
      </c>
      <c r="AA108" s="30" t="s">
        <v>11</v>
      </c>
      <c r="AB108" s="37"/>
      <c r="AC108" s="27"/>
      <c r="AD108" s="28"/>
      <c r="AE108" s="27"/>
      <c r="AF108" s="29" t="s">
        <v>15</v>
      </c>
      <c r="AG108" s="27"/>
      <c r="AH108" s="27"/>
      <c r="AI108" s="25">
        <v>17</v>
      </c>
      <c r="AJ108" s="33"/>
      <c r="AK108" s="33"/>
      <c r="AL108" s="33"/>
      <c r="AM108" s="33"/>
      <c r="AN108" s="33"/>
      <c r="AO108" s="33"/>
      <c r="AP108" s="25" t="s">
        <v>12</v>
      </c>
      <c r="AQ108" s="27"/>
      <c r="AR108" s="27"/>
      <c r="AS108" s="27"/>
      <c r="AT108" s="28"/>
      <c r="AU108" s="27"/>
      <c r="AV108" s="27"/>
      <c r="AW108" s="29" t="s">
        <v>16</v>
      </c>
      <c r="AX108" s="30" t="s">
        <v>13</v>
      </c>
      <c r="AY108" s="27"/>
      <c r="AZ108" s="27"/>
      <c r="BA108" s="28"/>
      <c r="BB108" s="27"/>
      <c r="BC108" s="27"/>
      <c r="BD108" s="32" t="s">
        <v>14</v>
      </c>
      <c r="BE108" s="30" t="s">
        <v>11</v>
      </c>
      <c r="BF108" s="27"/>
      <c r="BG108" s="27"/>
      <c r="BH108" s="28"/>
      <c r="BI108" s="27"/>
      <c r="BJ108" s="29" t="s">
        <v>15</v>
      </c>
      <c r="BK108" s="27"/>
      <c r="BL108" s="27"/>
      <c r="BM108" s="25">
        <v>17</v>
      </c>
      <c r="BN108" s="33"/>
      <c r="BO108" s="33"/>
      <c r="BP108" s="33"/>
      <c r="BQ108" s="33"/>
      <c r="BR108" s="33"/>
      <c r="BS108" s="33"/>
      <c r="BT108" s="33"/>
      <c r="BU108" s="33"/>
      <c r="BV108" s="33"/>
      <c r="BW108" s="33"/>
      <c r="BX108" s="33"/>
      <c r="BY108" s="33"/>
      <c r="BZ108" s="33"/>
      <c r="CA108" s="33"/>
      <c r="CB108" s="33"/>
      <c r="CC108" s="33"/>
      <c r="CD108" s="33"/>
      <c r="CE108" s="33"/>
      <c r="CF108" s="33"/>
      <c r="CG108" s="33"/>
      <c r="CH108" s="33"/>
      <c r="CI108" s="33"/>
      <c r="CJ108" s="33"/>
      <c r="CK108" s="33"/>
      <c r="CL108" s="33"/>
      <c r="CM108" s="33"/>
      <c r="CN108" s="33"/>
      <c r="CO108" s="33"/>
      <c r="CP108" s="33"/>
    </row>
    <row r="109" spans="1:94" s="48" customFormat="1" ht="15" customHeight="1" x14ac:dyDescent="0.25">
      <c r="A109" s="25" t="s">
        <v>56</v>
      </c>
      <c r="B109" s="25" t="s">
        <v>309</v>
      </c>
      <c r="C109" s="25" t="s">
        <v>454</v>
      </c>
      <c r="D109" s="25">
        <v>96</v>
      </c>
      <c r="E109" s="35" cm="1">
        <f t="array" ref="E109">IFERROR(INDEX($J$5:$AVX$5, _xlfn.AGGREGATE(15,6, COLUMN(J109:AVX109)-COLUMN(J109)+1 / (J109:AVX109="T"), F109)), "")</f>
        <v>45994</v>
      </c>
      <c r="F109" s="76">
        <f t="shared" si="21"/>
        <v>2</v>
      </c>
      <c r="G109" s="35" cm="1">
        <f t="array" ref="G109">IFERROR(INDEX($J$5:$AVW$5,_xlfn.AGGREGATE(14,6,(COLUMN($J109:$AVW109)-COLUMN($J109)+1)/($J109:$AVW109="T"),1)),"")</f>
        <v>45994</v>
      </c>
      <c r="H109" s="79">
        <f t="shared" si="22"/>
        <v>2</v>
      </c>
      <c r="I109" s="38" t="s">
        <v>10</v>
      </c>
      <c r="J109" s="33"/>
      <c r="K109" s="33"/>
      <c r="L109" s="25" t="s">
        <v>12</v>
      </c>
      <c r="M109" s="27"/>
      <c r="N109" s="27"/>
      <c r="O109" s="27"/>
      <c r="P109" s="28"/>
      <c r="Q109" s="27"/>
      <c r="R109" s="27"/>
      <c r="S109" s="29" t="s">
        <v>16</v>
      </c>
      <c r="T109" s="30" t="s">
        <v>13</v>
      </c>
      <c r="U109" s="27"/>
      <c r="V109" s="27"/>
      <c r="W109" s="28"/>
      <c r="X109" s="27"/>
      <c r="Y109" s="27"/>
      <c r="Z109" s="29" t="s">
        <v>14</v>
      </c>
      <c r="AA109" s="30" t="s">
        <v>11</v>
      </c>
      <c r="AB109" s="37"/>
      <c r="AC109" s="27"/>
      <c r="AD109" s="28"/>
      <c r="AE109" s="27"/>
      <c r="AF109" s="29" t="s">
        <v>15</v>
      </c>
      <c r="AG109" s="27"/>
      <c r="AH109" s="27"/>
      <c r="AI109" s="25">
        <v>17</v>
      </c>
      <c r="AJ109" s="33"/>
      <c r="AK109" s="33"/>
      <c r="AL109" s="33"/>
      <c r="AM109" s="33"/>
      <c r="AN109" s="33"/>
      <c r="AO109" s="33"/>
      <c r="AP109" s="25" t="s">
        <v>12</v>
      </c>
      <c r="AQ109" s="27"/>
      <c r="AR109" s="27"/>
      <c r="AS109" s="27"/>
      <c r="AT109" s="28"/>
      <c r="AU109" s="27"/>
      <c r="AV109" s="27"/>
      <c r="AW109" s="29" t="s">
        <v>16</v>
      </c>
      <c r="AX109" s="30" t="s">
        <v>13</v>
      </c>
      <c r="AY109" s="27"/>
      <c r="AZ109" s="27"/>
      <c r="BA109" s="28"/>
      <c r="BB109" s="27"/>
      <c r="BC109" s="27"/>
      <c r="BD109" s="32" t="s">
        <v>14</v>
      </c>
      <c r="BE109" s="30" t="s">
        <v>11</v>
      </c>
      <c r="BF109" s="27"/>
      <c r="BG109" s="27"/>
      <c r="BH109" s="28"/>
      <c r="BI109" s="27"/>
      <c r="BJ109" s="29" t="s">
        <v>15</v>
      </c>
      <c r="BK109" s="27"/>
      <c r="BL109" s="27"/>
      <c r="BM109" s="25">
        <v>17</v>
      </c>
      <c r="BN109" s="33"/>
      <c r="BO109" s="33"/>
      <c r="BP109" s="33"/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3"/>
      <c r="CB109" s="33"/>
      <c r="CC109" s="33"/>
      <c r="CD109" s="33"/>
      <c r="CE109" s="33"/>
      <c r="CF109" s="33"/>
      <c r="CG109" s="33"/>
      <c r="CH109" s="33"/>
      <c r="CI109" s="33"/>
      <c r="CJ109" s="33"/>
      <c r="CK109" s="33"/>
      <c r="CL109" s="33"/>
      <c r="CM109" s="33"/>
      <c r="CN109" s="33"/>
      <c r="CO109" s="33"/>
      <c r="CP109" s="33"/>
    </row>
    <row r="110" spans="1:94" x14ac:dyDescent="0.25">
      <c r="A110" s="25" t="s">
        <v>56</v>
      </c>
      <c r="B110" s="25" t="s">
        <v>310</v>
      </c>
      <c r="C110" s="25" t="s">
        <v>455</v>
      </c>
      <c r="D110" s="25">
        <v>97</v>
      </c>
      <c r="E110" s="35" cm="1">
        <f t="array" ref="E110">IFERROR(INDEX($J$5:$AVX$5, _xlfn.AGGREGATE(15,6, COLUMN(J110:AVX110)-COLUMN(J110)+1 / (J110:AVX110="T"), F110)), "")</f>
        <v>45994</v>
      </c>
      <c r="F110" s="76">
        <f t="shared" si="21"/>
        <v>2</v>
      </c>
      <c r="G110" s="35" cm="1">
        <f t="array" ref="G110">IFERROR(INDEX($J$5:$AVW$5,_xlfn.AGGREGATE(14,6,(COLUMN($J110:$AVW110)-COLUMN($J110)+1)/($J110:$AVW110="T"),1)),"")</f>
        <v>45994</v>
      </c>
      <c r="H110" s="79">
        <f t="shared" si="22"/>
        <v>2</v>
      </c>
      <c r="I110" s="38" t="s">
        <v>10</v>
      </c>
      <c r="J110" s="33"/>
      <c r="K110" s="33"/>
      <c r="L110" s="25" t="s">
        <v>12</v>
      </c>
      <c r="M110" s="27"/>
      <c r="N110" s="27"/>
      <c r="O110" s="27"/>
      <c r="P110" s="28"/>
      <c r="Q110" s="27"/>
      <c r="R110" s="27"/>
      <c r="S110" s="29" t="s">
        <v>16</v>
      </c>
      <c r="T110" s="30" t="s">
        <v>13</v>
      </c>
      <c r="U110" s="27"/>
      <c r="V110" s="27"/>
      <c r="W110" s="28"/>
      <c r="X110" s="27"/>
      <c r="Y110" s="27"/>
      <c r="Z110" s="29" t="s">
        <v>14</v>
      </c>
      <c r="AA110" s="30" t="s">
        <v>11</v>
      </c>
      <c r="AB110" s="37"/>
      <c r="AC110" s="27"/>
      <c r="AD110" s="28"/>
      <c r="AE110" s="27"/>
      <c r="AF110" s="29" t="s">
        <v>15</v>
      </c>
      <c r="AG110" s="27"/>
      <c r="AH110" s="27"/>
      <c r="AI110" s="25">
        <v>17</v>
      </c>
      <c r="AJ110" s="33"/>
      <c r="AK110" s="33"/>
      <c r="AL110" s="33"/>
      <c r="AM110" s="33"/>
      <c r="AN110" s="33"/>
      <c r="AO110" s="33"/>
      <c r="AP110" s="25" t="s">
        <v>12</v>
      </c>
      <c r="AQ110" s="27"/>
      <c r="AR110" s="27"/>
      <c r="AS110" s="27"/>
      <c r="AT110" s="28"/>
      <c r="AU110" s="27"/>
      <c r="AV110" s="27"/>
      <c r="AW110" s="29" t="s">
        <v>16</v>
      </c>
      <c r="AX110" s="30" t="s">
        <v>13</v>
      </c>
      <c r="AY110" s="27"/>
      <c r="AZ110" s="27"/>
      <c r="BA110" s="28"/>
      <c r="BB110" s="27"/>
      <c r="BC110" s="27"/>
      <c r="BD110" s="32" t="s">
        <v>14</v>
      </c>
      <c r="BE110" s="30" t="s">
        <v>11</v>
      </c>
      <c r="BF110" s="27"/>
      <c r="BG110" s="27"/>
      <c r="BH110" s="28"/>
      <c r="BI110" s="27"/>
      <c r="BJ110" s="29" t="s">
        <v>15</v>
      </c>
      <c r="BK110" s="27"/>
      <c r="BL110" s="27"/>
      <c r="BM110" s="25">
        <v>17</v>
      </c>
      <c r="BN110" s="33"/>
      <c r="BO110" s="33"/>
      <c r="BP110" s="33"/>
      <c r="BQ110" s="33"/>
      <c r="BR110" s="33"/>
      <c r="BS110" s="33"/>
      <c r="BT110" s="33"/>
      <c r="BU110" s="33"/>
      <c r="BV110" s="33"/>
      <c r="BW110" s="33"/>
      <c r="BX110" s="33"/>
      <c r="BY110" s="33"/>
      <c r="BZ110" s="33"/>
      <c r="CA110" s="33"/>
      <c r="CB110" s="33"/>
      <c r="CC110" s="33"/>
      <c r="CD110" s="33"/>
      <c r="CE110" s="33"/>
      <c r="CF110" s="33"/>
      <c r="CG110" s="33"/>
      <c r="CH110" s="33"/>
      <c r="CI110" s="33"/>
      <c r="CJ110" s="33"/>
      <c r="CK110" s="33"/>
      <c r="CL110" s="33"/>
      <c r="CM110" s="33"/>
      <c r="CN110" s="33"/>
      <c r="CO110" s="33"/>
      <c r="CP110" s="33"/>
    </row>
    <row r="111" spans="1:94" x14ac:dyDescent="0.25">
      <c r="A111" s="25" t="s">
        <v>56</v>
      </c>
      <c r="B111" s="25" t="s">
        <v>311</v>
      </c>
      <c r="C111" s="25" t="s">
        <v>456</v>
      </c>
      <c r="D111" s="25">
        <v>98</v>
      </c>
      <c r="E111" s="35" cm="1">
        <f t="array" ref="E111">IFERROR(INDEX($J$5:$AVX$5, _xlfn.AGGREGATE(15,6, COLUMN(J111:AVX111)-COLUMN(J111)+1 / (J111:AVX111="T"), F111)), "")</f>
        <v>45994</v>
      </c>
      <c r="F111" s="76">
        <f t="shared" si="21"/>
        <v>2</v>
      </c>
      <c r="G111" s="35" cm="1">
        <f t="array" ref="G111">IFERROR(INDEX($J$5:$AVW$5,_xlfn.AGGREGATE(14,6,(COLUMN($J111:$AVW111)-COLUMN($J111)+1)/($J111:$AVW111="T"),1)),"")</f>
        <v>45994</v>
      </c>
      <c r="H111" s="79">
        <f t="shared" si="22"/>
        <v>2</v>
      </c>
      <c r="I111" s="38" t="s">
        <v>10</v>
      </c>
      <c r="J111" s="33"/>
      <c r="K111" s="33"/>
      <c r="L111" s="25" t="s">
        <v>12</v>
      </c>
      <c r="M111" s="27"/>
      <c r="N111" s="27"/>
      <c r="O111" s="27"/>
      <c r="P111" s="28"/>
      <c r="Q111" s="27"/>
      <c r="R111" s="27"/>
      <c r="S111" s="29" t="s">
        <v>16</v>
      </c>
      <c r="T111" s="30" t="s">
        <v>13</v>
      </c>
      <c r="U111" s="27"/>
      <c r="V111" s="27"/>
      <c r="W111" s="28"/>
      <c r="X111" s="27"/>
      <c r="Y111" s="27"/>
      <c r="Z111" s="29" t="s">
        <v>14</v>
      </c>
      <c r="AA111" s="30" t="s">
        <v>11</v>
      </c>
      <c r="AB111" s="37"/>
      <c r="AC111" s="27"/>
      <c r="AD111" s="28"/>
      <c r="AE111" s="27"/>
      <c r="AF111" s="29" t="s">
        <v>15</v>
      </c>
      <c r="AG111" s="27"/>
      <c r="AH111" s="27"/>
      <c r="AI111" s="25">
        <v>17</v>
      </c>
      <c r="AJ111" s="33"/>
      <c r="AK111" s="33"/>
      <c r="AL111" s="33"/>
      <c r="AM111" s="33"/>
      <c r="AN111" s="33"/>
      <c r="AO111" s="33"/>
      <c r="AP111" s="25" t="s">
        <v>12</v>
      </c>
      <c r="AQ111" s="27"/>
      <c r="AR111" s="27"/>
      <c r="AS111" s="27"/>
      <c r="AT111" s="28"/>
      <c r="AU111" s="27"/>
      <c r="AV111" s="27"/>
      <c r="AW111" s="29" t="s">
        <v>16</v>
      </c>
      <c r="AX111" s="30" t="s">
        <v>13</v>
      </c>
      <c r="AY111" s="27"/>
      <c r="AZ111" s="27"/>
      <c r="BA111" s="28"/>
      <c r="BB111" s="27"/>
      <c r="BC111" s="27"/>
      <c r="BD111" s="32" t="s">
        <v>14</v>
      </c>
      <c r="BE111" s="30" t="s">
        <v>11</v>
      </c>
      <c r="BF111" s="27"/>
      <c r="BG111" s="27"/>
      <c r="BH111" s="28"/>
      <c r="BI111" s="27"/>
      <c r="BJ111" s="29" t="s">
        <v>15</v>
      </c>
      <c r="BK111" s="27"/>
      <c r="BL111" s="27"/>
      <c r="BM111" s="25">
        <v>17</v>
      </c>
      <c r="BN111" s="33"/>
      <c r="BO111" s="33"/>
      <c r="BP111" s="33"/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  <c r="CD111" s="33"/>
      <c r="CE111" s="33"/>
      <c r="CF111" s="33"/>
      <c r="CG111" s="33"/>
      <c r="CH111" s="33"/>
      <c r="CI111" s="33"/>
      <c r="CJ111" s="33"/>
      <c r="CK111" s="33"/>
      <c r="CL111" s="33"/>
      <c r="CM111" s="33"/>
      <c r="CN111" s="33"/>
      <c r="CO111" s="33"/>
      <c r="CP111" s="33"/>
    </row>
    <row r="112" spans="1:94" s="48" customFormat="1" x14ac:dyDescent="0.25">
      <c r="A112" s="25" t="s">
        <v>56</v>
      </c>
      <c r="B112" s="25" t="s">
        <v>312</v>
      </c>
      <c r="C112" s="25" t="s">
        <v>457</v>
      </c>
      <c r="D112" s="25">
        <v>99</v>
      </c>
      <c r="E112" s="35" cm="1">
        <f t="array" ref="E112">IFERROR(INDEX($J$5:$AVX$5, _xlfn.AGGREGATE(15,6, COLUMN(J112:AVX112)-COLUMN(J112)+1 / (J112:AVX112="T"), F112)), "")</f>
        <v>45994</v>
      </c>
      <c r="F112" s="76">
        <f t="shared" si="21"/>
        <v>2</v>
      </c>
      <c r="G112" s="35" cm="1">
        <f t="array" ref="G112">IFERROR(INDEX($J$5:$AVW$5,_xlfn.AGGREGATE(14,6,(COLUMN($J112:$AVW112)-COLUMN($J112)+1)/($J112:$AVW112="T"),1)),"")</f>
        <v>45994</v>
      </c>
      <c r="H112" s="79">
        <f t="shared" si="22"/>
        <v>2</v>
      </c>
      <c r="I112" s="38" t="s">
        <v>10</v>
      </c>
      <c r="J112" s="33"/>
      <c r="K112" s="33"/>
      <c r="L112" s="25" t="s">
        <v>12</v>
      </c>
      <c r="M112" s="27"/>
      <c r="N112" s="27"/>
      <c r="O112" s="27"/>
      <c r="P112" s="28"/>
      <c r="Q112" s="27"/>
      <c r="R112" s="27"/>
      <c r="S112" s="29" t="s">
        <v>16</v>
      </c>
      <c r="T112" s="30" t="s">
        <v>13</v>
      </c>
      <c r="U112" s="27"/>
      <c r="V112" s="27"/>
      <c r="W112" s="28"/>
      <c r="X112" s="27"/>
      <c r="Y112" s="27"/>
      <c r="Z112" s="29" t="s">
        <v>14</v>
      </c>
      <c r="AA112" s="30" t="s">
        <v>11</v>
      </c>
      <c r="AB112" s="37"/>
      <c r="AC112" s="27"/>
      <c r="AD112" s="28"/>
      <c r="AE112" s="27"/>
      <c r="AF112" s="29" t="s">
        <v>15</v>
      </c>
      <c r="AG112" s="27"/>
      <c r="AH112" s="27"/>
      <c r="AI112" s="25">
        <v>17</v>
      </c>
      <c r="AJ112" s="33"/>
      <c r="AK112" s="33"/>
      <c r="AL112" s="33"/>
      <c r="AM112" s="33"/>
      <c r="AN112" s="33"/>
      <c r="AO112" s="33"/>
      <c r="AP112" s="25" t="s">
        <v>12</v>
      </c>
      <c r="AQ112" s="27"/>
      <c r="AR112" s="27"/>
      <c r="AS112" s="27"/>
      <c r="AT112" s="28"/>
      <c r="AU112" s="27"/>
      <c r="AV112" s="27"/>
      <c r="AW112" s="29" t="s">
        <v>16</v>
      </c>
      <c r="AX112" s="30" t="s">
        <v>13</v>
      </c>
      <c r="AY112" s="27"/>
      <c r="AZ112" s="27"/>
      <c r="BA112" s="28"/>
      <c r="BB112" s="27"/>
      <c r="BC112" s="27"/>
      <c r="BD112" s="32" t="s">
        <v>14</v>
      </c>
      <c r="BE112" s="30" t="s">
        <v>11</v>
      </c>
      <c r="BF112" s="27"/>
      <c r="BG112" s="27"/>
      <c r="BH112" s="28"/>
      <c r="BI112" s="27"/>
      <c r="BJ112" s="29" t="s">
        <v>15</v>
      </c>
      <c r="BK112" s="27"/>
      <c r="BL112" s="27"/>
      <c r="BM112" s="25">
        <v>17</v>
      </c>
      <c r="BN112" s="33"/>
      <c r="BO112" s="33"/>
      <c r="BP112" s="33"/>
      <c r="BQ112" s="33"/>
      <c r="BR112" s="33"/>
      <c r="BS112" s="33"/>
      <c r="BT112" s="33"/>
      <c r="BU112" s="33"/>
      <c r="BV112" s="33"/>
      <c r="BW112" s="33"/>
      <c r="BX112" s="33"/>
      <c r="BY112" s="33"/>
      <c r="BZ112" s="33"/>
      <c r="CA112" s="33"/>
      <c r="CB112" s="33"/>
      <c r="CC112" s="33"/>
      <c r="CD112" s="33"/>
      <c r="CE112" s="33"/>
      <c r="CF112" s="33"/>
      <c r="CG112" s="33"/>
      <c r="CH112" s="33"/>
      <c r="CI112" s="33"/>
      <c r="CJ112" s="33"/>
      <c r="CK112" s="33"/>
      <c r="CL112" s="33"/>
      <c r="CM112" s="33"/>
      <c r="CN112" s="33"/>
      <c r="CO112" s="33"/>
      <c r="CP112" s="33"/>
    </row>
    <row r="113" spans="1:94" s="48" customFormat="1" x14ac:dyDescent="0.25">
      <c r="A113" s="25" t="s">
        <v>56</v>
      </c>
      <c r="B113" s="25" t="s">
        <v>313</v>
      </c>
      <c r="C113" s="25" t="s">
        <v>458</v>
      </c>
      <c r="D113" s="25">
        <v>100</v>
      </c>
      <c r="E113" s="35" cm="1">
        <f t="array" ref="E113">IFERROR(INDEX($J$5:$AVX$5, _xlfn.AGGREGATE(15,6, COLUMN(J113:AVX113)-COLUMN(J113)+1 / (J113:AVX113="T"), F113)), "")</f>
        <v>45991</v>
      </c>
      <c r="F113" s="76">
        <f t="shared" si="21"/>
        <v>2</v>
      </c>
      <c r="G113" s="35" cm="1">
        <f t="array" ref="G113">IFERROR(INDEX($J$5:$AVW$5,_xlfn.AGGREGATE(14,6,(COLUMN($J113:$AVW113)-COLUMN($J113)+1)/($J113:$AVW113="T"),1)),"")</f>
        <v>46021</v>
      </c>
      <c r="H113" s="79">
        <f t="shared" si="22"/>
        <v>3</v>
      </c>
      <c r="I113" s="38" t="s">
        <v>10</v>
      </c>
      <c r="J113" s="25" t="s">
        <v>12</v>
      </c>
      <c r="K113" s="27"/>
      <c r="L113" s="27"/>
      <c r="M113" s="27"/>
      <c r="N113" s="28"/>
      <c r="O113" s="27"/>
      <c r="P113" s="27"/>
      <c r="Q113" s="29" t="s">
        <v>16</v>
      </c>
      <c r="R113" s="30" t="s">
        <v>13</v>
      </c>
      <c r="S113" s="27"/>
      <c r="T113" s="27"/>
      <c r="U113" s="28"/>
      <c r="V113" s="27"/>
      <c r="W113" s="27"/>
      <c r="X113" s="32" t="s">
        <v>14</v>
      </c>
      <c r="Y113" s="30" t="s">
        <v>11</v>
      </c>
      <c r="Z113" s="27"/>
      <c r="AA113" s="27"/>
      <c r="AB113" s="28"/>
      <c r="AC113" s="27"/>
      <c r="AD113" s="29" t="s">
        <v>15</v>
      </c>
      <c r="AE113" s="27"/>
      <c r="AF113" s="27"/>
      <c r="AG113" s="25">
        <v>17</v>
      </c>
      <c r="AH113" s="33"/>
      <c r="AI113" s="33"/>
      <c r="AJ113" s="33"/>
      <c r="AK113" s="33"/>
      <c r="AL113" s="33"/>
      <c r="AM113" s="25" t="s">
        <v>12</v>
      </c>
      <c r="AN113" s="27"/>
      <c r="AO113" s="27"/>
      <c r="AP113" s="27"/>
      <c r="AQ113" s="28"/>
      <c r="AR113" s="27"/>
      <c r="AS113" s="27"/>
      <c r="AT113" s="29" t="s">
        <v>16</v>
      </c>
      <c r="AU113" s="30" t="s">
        <v>13</v>
      </c>
      <c r="AV113" s="27"/>
      <c r="AW113" s="27"/>
      <c r="AX113" s="28"/>
      <c r="AY113" s="27"/>
      <c r="AZ113" s="27"/>
      <c r="BA113" s="32" t="s">
        <v>14</v>
      </c>
      <c r="BB113" s="30" t="s">
        <v>11</v>
      </c>
      <c r="BC113" s="27"/>
      <c r="BD113" s="27"/>
      <c r="BE113" s="28"/>
      <c r="BF113" s="27"/>
      <c r="BG113" s="29" t="s">
        <v>15</v>
      </c>
      <c r="BH113" s="27"/>
      <c r="BI113" s="27"/>
      <c r="BJ113" s="25">
        <v>17</v>
      </c>
      <c r="BK113" s="33"/>
      <c r="BL113" s="33"/>
      <c r="BM113" s="33"/>
      <c r="BN113" s="33"/>
      <c r="BO113" s="33"/>
      <c r="BP113" s="33"/>
      <c r="BQ113" s="25" t="s">
        <v>12</v>
      </c>
      <c r="BR113" s="27"/>
      <c r="BS113" s="27"/>
      <c r="BT113" s="27"/>
      <c r="BU113" s="28"/>
      <c r="BV113" s="27"/>
      <c r="BW113" s="27"/>
      <c r="BX113" s="29" t="s">
        <v>16</v>
      </c>
      <c r="BY113" s="30" t="s">
        <v>13</v>
      </c>
      <c r="BZ113" s="27"/>
      <c r="CA113" s="27"/>
      <c r="CB113" s="28"/>
      <c r="CC113" s="27"/>
      <c r="CD113" s="27"/>
      <c r="CE113" s="32" t="s">
        <v>14</v>
      </c>
      <c r="CF113" s="30" t="s">
        <v>11</v>
      </c>
      <c r="CG113" s="27"/>
      <c r="CH113" s="27"/>
      <c r="CI113" s="28"/>
      <c r="CJ113" s="27"/>
      <c r="CK113" s="29" t="s">
        <v>15</v>
      </c>
      <c r="CL113" s="27"/>
      <c r="CM113" s="27"/>
      <c r="CN113" s="25">
        <v>17</v>
      </c>
      <c r="CO113" s="33"/>
      <c r="CP113" s="33"/>
    </row>
    <row r="114" spans="1:94" s="48" customFormat="1" x14ac:dyDescent="0.25">
      <c r="A114" s="25" t="s">
        <v>56</v>
      </c>
      <c r="B114" s="25" t="s">
        <v>314</v>
      </c>
      <c r="C114" s="25" t="s">
        <v>459</v>
      </c>
      <c r="D114" s="25">
        <v>101</v>
      </c>
      <c r="E114" s="35" cm="1">
        <f t="array" ref="E114">IFERROR(INDEX($J$5:$AVX$5, _xlfn.AGGREGATE(15,6, COLUMN(J114:AVX114)-COLUMN(J114)+1 / (J114:AVX114="T"), F114)), "")</f>
        <v>45991</v>
      </c>
      <c r="F114" s="76">
        <f t="shared" si="21"/>
        <v>2</v>
      </c>
      <c r="G114" s="35" cm="1">
        <f t="array" ref="G114">IFERROR(INDEX($J$5:$AVW$5,_xlfn.AGGREGATE(14,6,(COLUMN($J114:$AVW114)-COLUMN($J114)+1)/($J114:$AVW114="T"),1)),"")</f>
        <v>46021</v>
      </c>
      <c r="H114" s="79">
        <f t="shared" si="22"/>
        <v>3</v>
      </c>
      <c r="I114" s="38" t="s">
        <v>10</v>
      </c>
      <c r="J114" s="25" t="s">
        <v>12</v>
      </c>
      <c r="K114" s="27"/>
      <c r="L114" s="27"/>
      <c r="M114" s="27"/>
      <c r="N114" s="28"/>
      <c r="O114" s="27"/>
      <c r="P114" s="27"/>
      <c r="Q114" s="29" t="s">
        <v>16</v>
      </c>
      <c r="R114" s="30" t="s">
        <v>13</v>
      </c>
      <c r="S114" s="27"/>
      <c r="T114" s="27"/>
      <c r="U114" s="28"/>
      <c r="V114" s="27"/>
      <c r="W114" s="27"/>
      <c r="X114" s="29" t="s">
        <v>14</v>
      </c>
      <c r="Y114" s="30" t="s">
        <v>11</v>
      </c>
      <c r="Z114" s="37"/>
      <c r="AA114" s="27"/>
      <c r="AB114" s="28"/>
      <c r="AC114" s="27"/>
      <c r="AD114" s="29" t="s">
        <v>15</v>
      </c>
      <c r="AE114" s="27"/>
      <c r="AF114" s="27"/>
      <c r="AG114" s="25">
        <v>17</v>
      </c>
      <c r="AH114" s="33"/>
      <c r="AI114" s="33"/>
      <c r="AJ114" s="33"/>
      <c r="AK114" s="33"/>
      <c r="AL114" s="33"/>
      <c r="AM114" s="25" t="s">
        <v>12</v>
      </c>
      <c r="AN114" s="27"/>
      <c r="AO114" s="27"/>
      <c r="AP114" s="27"/>
      <c r="AQ114" s="28"/>
      <c r="AR114" s="27"/>
      <c r="AS114" s="27"/>
      <c r="AT114" s="29" t="s">
        <v>16</v>
      </c>
      <c r="AU114" s="30" t="s">
        <v>13</v>
      </c>
      <c r="AV114" s="27"/>
      <c r="AW114" s="27"/>
      <c r="AX114" s="28"/>
      <c r="AY114" s="27"/>
      <c r="AZ114" s="27"/>
      <c r="BA114" s="32" t="s">
        <v>14</v>
      </c>
      <c r="BB114" s="30" t="s">
        <v>11</v>
      </c>
      <c r="BC114" s="27"/>
      <c r="BD114" s="27"/>
      <c r="BE114" s="28"/>
      <c r="BF114" s="27"/>
      <c r="BG114" s="29" t="s">
        <v>15</v>
      </c>
      <c r="BH114" s="27"/>
      <c r="BI114" s="27"/>
      <c r="BJ114" s="25">
        <v>17</v>
      </c>
      <c r="BK114" s="33"/>
      <c r="BL114" s="33"/>
      <c r="BM114" s="33"/>
      <c r="BN114" s="33"/>
      <c r="BO114" s="33"/>
      <c r="BP114" s="33"/>
      <c r="BQ114" s="25" t="s">
        <v>12</v>
      </c>
      <c r="BR114" s="27"/>
      <c r="BS114" s="27"/>
      <c r="BT114" s="27"/>
      <c r="BU114" s="28"/>
      <c r="BV114" s="27"/>
      <c r="BW114" s="27"/>
      <c r="BX114" s="29" t="s">
        <v>16</v>
      </c>
      <c r="BY114" s="30" t="s">
        <v>13</v>
      </c>
      <c r="BZ114" s="27"/>
      <c r="CA114" s="27"/>
      <c r="CB114" s="28"/>
      <c r="CC114" s="27"/>
      <c r="CD114" s="27"/>
      <c r="CE114" s="32" t="s">
        <v>14</v>
      </c>
      <c r="CF114" s="30" t="s">
        <v>11</v>
      </c>
      <c r="CG114" s="27"/>
      <c r="CH114" s="27"/>
      <c r="CI114" s="28"/>
      <c r="CJ114" s="27"/>
      <c r="CK114" s="29" t="s">
        <v>15</v>
      </c>
      <c r="CL114" s="27"/>
      <c r="CM114" s="27"/>
      <c r="CN114" s="25">
        <v>17</v>
      </c>
      <c r="CO114" s="33"/>
      <c r="CP114" s="33"/>
    </row>
    <row r="115" spans="1:94" x14ac:dyDescent="0.25">
      <c r="A115" s="25" t="s">
        <v>56</v>
      </c>
      <c r="B115" s="25" t="s">
        <v>315</v>
      </c>
      <c r="C115" s="25" t="s">
        <v>460</v>
      </c>
      <c r="D115" s="25">
        <v>102</v>
      </c>
      <c r="E115" s="35" cm="1">
        <f t="array" ref="E115">IFERROR(INDEX($J$5:$AVX$5, _xlfn.AGGREGATE(15,6, COLUMN(J115:AVX115)-COLUMN(J115)+1 / (J115:AVX115="T"), F115)), "")</f>
        <v>45991</v>
      </c>
      <c r="F115" s="76">
        <f t="shared" si="21"/>
        <v>2</v>
      </c>
      <c r="G115" s="35" cm="1">
        <f t="array" ref="G115">IFERROR(INDEX($J$5:$AVW$5,_xlfn.AGGREGATE(14,6,(COLUMN($J115:$AVW115)-COLUMN($J115)+1)/($J115:$AVW115="T"),1)),"")</f>
        <v>46021</v>
      </c>
      <c r="H115" s="79">
        <f t="shared" si="22"/>
        <v>3</v>
      </c>
      <c r="I115" s="38" t="s">
        <v>10</v>
      </c>
      <c r="J115" s="25" t="s">
        <v>12</v>
      </c>
      <c r="K115" s="27"/>
      <c r="L115" s="27"/>
      <c r="M115" s="27"/>
      <c r="N115" s="28"/>
      <c r="O115" s="27"/>
      <c r="P115" s="27"/>
      <c r="Q115" s="29" t="s">
        <v>16</v>
      </c>
      <c r="R115" s="30" t="s">
        <v>13</v>
      </c>
      <c r="S115" s="27"/>
      <c r="T115" s="27"/>
      <c r="U115" s="28"/>
      <c r="V115" s="27"/>
      <c r="W115" s="27"/>
      <c r="X115" s="29" t="s">
        <v>14</v>
      </c>
      <c r="Y115" s="30" t="s">
        <v>11</v>
      </c>
      <c r="Z115" s="37"/>
      <c r="AA115" s="27"/>
      <c r="AB115" s="28"/>
      <c r="AC115" s="27"/>
      <c r="AD115" s="29" t="s">
        <v>15</v>
      </c>
      <c r="AE115" s="27"/>
      <c r="AF115" s="27"/>
      <c r="AG115" s="25">
        <v>17</v>
      </c>
      <c r="AH115" s="33"/>
      <c r="AI115" s="33"/>
      <c r="AJ115" s="33"/>
      <c r="AK115" s="33"/>
      <c r="AL115" s="33"/>
      <c r="AM115" s="25" t="s">
        <v>12</v>
      </c>
      <c r="AN115" s="27"/>
      <c r="AO115" s="27"/>
      <c r="AP115" s="27"/>
      <c r="AQ115" s="28"/>
      <c r="AR115" s="27"/>
      <c r="AS115" s="27"/>
      <c r="AT115" s="29" t="s">
        <v>16</v>
      </c>
      <c r="AU115" s="30" t="s">
        <v>13</v>
      </c>
      <c r="AV115" s="27"/>
      <c r="AW115" s="27"/>
      <c r="AX115" s="28"/>
      <c r="AY115" s="27"/>
      <c r="AZ115" s="27"/>
      <c r="BA115" s="32" t="s">
        <v>14</v>
      </c>
      <c r="BB115" s="30" t="s">
        <v>11</v>
      </c>
      <c r="BC115" s="27"/>
      <c r="BD115" s="27"/>
      <c r="BE115" s="28"/>
      <c r="BF115" s="27"/>
      <c r="BG115" s="29" t="s">
        <v>15</v>
      </c>
      <c r="BH115" s="27"/>
      <c r="BI115" s="27"/>
      <c r="BJ115" s="25">
        <v>17</v>
      </c>
      <c r="BK115" s="33"/>
      <c r="BL115" s="33"/>
      <c r="BM115" s="33"/>
      <c r="BN115" s="33"/>
      <c r="BO115" s="33"/>
      <c r="BP115" s="33"/>
      <c r="BQ115" s="25" t="s">
        <v>12</v>
      </c>
      <c r="BR115" s="27"/>
      <c r="BS115" s="27"/>
      <c r="BT115" s="27"/>
      <c r="BU115" s="28"/>
      <c r="BV115" s="27"/>
      <c r="BW115" s="27"/>
      <c r="BX115" s="29" t="s">
        <v>16</v>
      </c>
      <c r="BY115" s="30" t="s">
        <v>13</v>
      </c>
      <c r="BZ115" s="27"/>
      <c r="CA115" s="27"/>
      <c r="CB115" s="28"/>
      <c r="CC115" s="27"/>
      <c r="CD115" s="27"/>
      <c r="CE115" s="32" t="s">
        <v>14</v>
      </c>
      <c r="CF115" s="30" t="s">
        <v>11</v>
      </c>
      <c r="CG115" s="27"/>
      <c r="CH115" s="27"/>
      <c r="CI115" s="28"/>
      <c r="CJ115" s="27"/>
      <c r="CK115" s="29" t="s">
        <v>15</v>
      </c>
      <c r="CL115" s="27"/>
      <c r="CM115" s="27"/>
      <c r="CN115" s="25">
        <v>17</v>
      </c>
      <c r="CO115" s="33"/>
      <c r="CP115" s="33"/>
    </row>
    <row r="116" spans="1:94" x14ac:dyDescent="0.25">
      <c r="A116" s="25" t="s">
        <v>56</v>
      </c>
      <c r="B116" s="25" t="s">
        <v>316</v>
      </c>
      <c r="C116" s="25" t="s">
        <v>461</v>
      </c>
      <c r="D116" s="25">
        <v>103</v>
      </c>
      <c r="E116" s="35" cm="1">
        <f t="array" ref="E116">IFERROR(INDEX($J$5:$AVX$5, _xlfn.AGGREGATE(15,6, COLUMN(J116:AVX116)-COLUMN(J116)+1 / (J116:AVX116="T"), F116)), "")</f>
        <v>45991</v>
      </c>
      <c r="F116" s="76">
        <f t="shared" si="21"/>
        <v>2</v>
      </c>
      <c r="G116" s="35" cm="1">
        <f t="array" ref="G116">IFERROR(INDEX($J$5:$AVW$5,_xlfn.AGGREGATE(14,6,(COLUMN($J116:$AVW116)-COLUMN($J116)+1)/($J116:$AVW116="T"),1)),"")</f>
        <v>46021</v>
      </c>
      <c r="H116" s="79">
        <f t="shared" si="22"/>
        <v>3</v>
      </c>
      <c r="I116" s="38" t="s">
        <v>10</v>
      </c>
      <c r="J116" s="25" t="s">
        <v>12</v>
      </c>
      <c r="K116" s="27"/>
      <c r="L116" s="27"/>
      <c r="M116" s="27"/>
      <c r="N116" s="28"/>
      <c r="O116" s="27"/>
      <c r="P116" s="27"/>
      <c r="Q116" s="29" t="s">
        <v>16</v>
      </c>
      <c r="R116" s="30" t="s">
        <v>13</v>
      </c>
      <c r="S116" s="27"/>
      <c r="T116" s="27"/>
      <c r="U116" s="28"/>
      <c r="V116" s="27"/>
      <c r="W116" s="27"/>
      <c r="X116" s="29" t="s">
        <v>14</v>
      </c>
      <c r="Y116" s="30" t="s">
        <v>11</v>
      </c>
      <c r="Z116" s="37"/>
      <c r="AA116" s="27"/>
      <c r="AB116" s="28"/>
      <c r="AC116" s="27"/>
      <c r="AD116" s="29" t="s">
        <v>15</v>
      </c>
      <c r="AE116" s="27"/>
      <c r="AF116" s="27"/>
      <c r="AG116" s="25">
        <v>17</v>
      </c>
      <c r="AH116" s="33"/>
      <c r="AI116" s="33"/>
      <c r="AJ116" s="33"/>
      <c r="AK116" s="33"/>
      <c r="AL116" s="33"/>
      <c r="AM116" s="25" t="s">
        <v>12</v>
      </c>
      <c r="AN116" s="27"/>
      <c r="AO116" s="27"/>
      <c r="AP116" s="27"/>
      <c r="AQ116" s="28"/>
      <c r="AR116" s="27"/>
      <c r="AS116" s="27"/>
      <c r="AT116" s="29" t="s">
        <v>16</v>
      </c>
      <c r="AU116" s="30" t="s">
        <v>13</v>
      </c>
      <c r="AV116" s="27"/>
      <c r="AW116" s="27"/>
      <c r="AX116" s="28"/>
      <c r="AY116" s="27"/>
      <c r="AZ116" s="27"/>
      <c r="BA116" s="32" t="s">
        <v>14</v>
      </c>
      <c r="BB116" s="30" t="s">
        <v>11</v>
      </c>
      <c r="BC116" s="27"/>
      <c r="BD116" s="27"/>
      <c r="BE116" s="28"/>
      <c r="BF116" s="27"/>
      <c r="BG116" s="29" t="s">
        <v>15</v>
      </c>
      <c r="BH116" s="27"/>
      <c r="BI116" s="27"/>
      <c r="BJ116" s="25">
        <v>17</v>
      </c>
      <c r="BK116" s="33"/>
      <c r="BL116" s="33"/>
      <c r="BM116" s="33"/>
      <c r="BN116" s="33"/>
      <c r="BO116" s="33"/>
      <c r="BP116" s="33"/>
      <c r="BQ116" s="25" t="s">
        <v>12</v>
      </c>
      <c r="BR116" s="27"/>
      <c r="BS116" s="27"/>
      <c r="BT116" s="27"/>
      <c r="BU116" s="28"/>
      <c r="BV116" s="27"/>
      <c r="BW116" s="27"/>
      <c r="BX116" s="29" t="s">
        <v>16</v>
      </c>
      <c r="BY116" s="30" t="s">
        <v>13</v>
      </c>
      <c r="BZ116" s="27"/>
      <c r="CA116" s="27"/>
      <c r="CB116" s="28"/>
      <c r="CC116" s="27"/>
      <c r="CD116" s="27"/>
      <c r="CE116" s="32" t="s">
        <v>14</v>
      </c>
      <c r="CF116" s="30" t="s">
        <v>11</v>
      </c>
      <c r="CG116" s="27"/>
      <c r="CH116" s="27"/>
      <c r="CI116" s="28"/>
      <c r="CJ116" s="27"/>
      <c r="CK116" s="29" t="s">
        <v>15</v>
      </c>
      <c r="CL116" s="27"/>
      <c r="CM116" s="27"/>
      <c r="CN116" s="25">
        <v>17</v>
      </c>
      <c r="CO116" s="33"/>
      <c r="CP116" s="33"/>
    </row>
    <row r="117" spans="1:94" s="48" customFormat="1" x14ac:dyDescent="0.25">
      <c r="A117" s="25" t="s">
        <v>56</v>
      </c>
      <c r="B117" s="25" t="s">
        <v>317</v>
      </c>
      <c r="C117" s="25" t="s">
        <v>462</v>
      </c>
      <c r="D117" s="25">
        <v>104</v>
      </c>
      <c r="E117" s="35" cm="1">
        <f t="array" ref="E117">IFERROR(INDEX($J$5:$AVX$5, _xlfn.AGGREGATE(15,6, COLUMN(J117:AVX117)-COLUMN(J117)+1 / (J117:AVX117="T"), F117)), "")</f>
        <v>45992</v>
      </c>
      <c r="F117" s="76">
        <f t="shared" si="21"/>
        <v>2</v>
      </c>
      <c r="G117" s="35" cm="1">
        <f t="array" ref="G117">IFERROR(INDEX($J$5:$AVW$5,_xlfn.AGGREGATE(14,6,(COLUMN($J117:$AVW117)-COLUMN($J117)+1)/($J117:$AVW117="T"),1)),"")</f>
        <v>46021</v>
      </c>
      <c r="H117" s="79">
        <f t="shared" si="22"/>
        <v>3</v>
      </c>
      <c r="I117" s="38" t="s">
        <v>10</v>
      </c>
      <c r="J117" s="25" t="s">
        <v>12</v>
      </c>
      <c r="K117" s="27"/>
      <c r="L117" s="27"/>
      <c r="M117" s="27"/>
      <c r="N117" s="28"/>
      <c r="O117" s="27"/>
      <c r="P117" s="27"/>
      <c r="Q117" s="29" t="s">
        <v>16</v>
      </c>
      <c r="R117" s="30" t="s">
        <v>13</v>
      </c>
      <c r="S117" s="27"/>
      <c r="T117" s="27"/>
      <c r="U117" s="28"/>
      <c r="V117" s="27"/>
      <c r="W117" s="27"/>
      <c r="X117" s="29" t="s">
        <v>14</v>
      </c>
      <c r="Y117" s="30" t="s">
        <v>11</v>
      </c>
      <c r="Z117" s="37"/>
      <c r="AA117" s="27"/>
      <c r="AB117" s="28"/>
      <c r="AC117" s="27"/>
      <c r="AD117" s="29" t="s">
        <v>15</v>
      </c>
      <c r="AE117" s="27"/>
      <c r="AF117" s="27"/>
      <c r="AG117" s="25">
        <v>17</v>
      </c>
      <c r="AH117" s="33"/>
      <c r="AI117" s="33"/>
      <c r="AJ117" s="33"/>
      <c r="AK117" s="33"/>
      <c r="AL117" s="33"/>
      <c r="AM117" s="33"/>
      <c r="AN117" s="25" t="s">
        <v>12</v>
      </c>
      <c r="AO117" s="27"/>
      <c r="AP117" s="27"/>
      <c r="AQ117" s="27"/>
      <c r="AR117" s="28"/>
      <c r="AS117" s="27"/>
      <c r="AT117" s="27"/>
      <c r="AU117" s="29" t="s">
        <v>16</v>
      </c>
      <c r="AV117" s="30" t="s">
        <v>13</v>
      </c>
      <c r="AW117" s="27"/>
      <c r="AX117" s="27"/>
      <c r="AY117" s="28"/>
      <c r="AZ117" s="27"/>
      <c r="BA117" s="27"/>
      <c r="BB117" s="32" t="s">
        <v>14</v>
      </c>
      <c r="BC117" s="30" t="s">
        <v>11</v>
      </c>
      <c r="BD117" s="27"/>
      <c r="BE117" s="27"/>
      <c r="BF117" s="28"/>
      <c r="BG117" s="27"/>
      <c r="BH117" s="29" t="s">
        <v>15</v>
      </c>
      <c r="BI117" s="27"/>
      <c r="BJ117" s="27"/>
      <c r="BK117" s="25">
        <v>17</v>
      </c>
      <c r="BL117" s="33"/>
      <c r="BM117" s="33"/>
      <c r="BN117" s="33"/>
      <c r="BO117" s="33"/>
      <c r="BP117" s="33"/>
      <c r="BQ117" s="25" t="s">
        <v>12</v>
      </c>
      <c r="BR117" s="27"/>
      <c r="BS117" s="27"/>
      <c r="BT117" s="27"/>
      <c r="BU117" s="28"/>
      <c r="BV117" s="27"/>
      <c r="BW117" s="27"/>
      <c r="BX117" s="29" t="s">
        <v>16</v>
      </c>
      <c r="BY117" s="30" t="s">
        <v>13</v>
      </c>
      <c r="BZ117" s="27"/>
      <c r="CA117" s="27"/>
      <c r="CB117" s="28"/>
      <c r="CC117" s="27"/>
      <c r="CD117" s="27"/>
      <c r="CE117" s="32" t="s">
        <v>14</v>
      </c>
      <c r="CF117" s="30" t="s">
        <v>11</v>
      </c>
      <c r="CG117" s="27"/>
      <c r="CH117" s="27"/>
      <c r="CI117" s="28"/>
      <c r="CJ117" s="27"/>
      <c r="CK117" s="29" t="s">
        <v>15</v>
      </c>
      <c r="CL117" s="27"/>
      <c r="CM117" s="27"/>
      <c r="CN117" s="25">
        <v>17</v>
      </c>
      <c r="CO117" s="33"/>
      <c r="CP117" s="33"/>
    </row>
    <row r="118" spans="1:94" s="48" customFormat="1" x14ac:dyDescent="0.25">
      <c r="A118" s="25" t="s">
        <v>56</v>
      </c>
      <c r="B118" s="25" t="s">
        <v>318</v>
      </c>
      <c r="C118" s="25" t="s">
        <v>463</v>
      </c>
      <c r="D118" s="25">
        <v>105</v>
      </c>
      <c r="E118" s="35" cm="1">
        <f t="array" ref="E118">IFERROR(INDEX($J$5:$AVX$5, _xlfn.AGGREGATE(15,6, COLUMN(J118:AVX118)-COLUMN(J118)+1 / (J118:AVX118="T"), F118)), "")</f>
        <v>45992</v>
      </c>
      <c r="F118" s="76">
        <f t="shared" si="21"/>
        <v>2</v>
      </c>
      <c r="G118" s="35" cm="1">
        <f t="array" ref="G118">IFERROR(INDEX($J$5:$AVW$5,_xlfn.AGGREGATE(14,6,(COLUMN($J118:$AVW118)-COLUMN($J118)+1)/($J118:$AVW118="T"),1)),"")</f>
        <v>46021</v>
      </c>
      <c r="H118" s="79">
        <f t="shared" si="22"/>
        <v>3</v>
      </c>
      <c r="I118" s="38" t="s">
        <v>10</v>
      </c>
      <c r="J118" s="25" t="s">
        <v>12</v>
      </c>
      <c r="K118" s="27"/>
      <c r="L118" s="27"/>
      <c r="M118" s="27"/>
      <c r="N118" s="28"/>
      <c r="O118" s="27"/>
      <c r="P118" s="27"/>
      <c r="Q118" s="29" t="s">
        <v>16</v>
      </c>
      <c r="R118" s="30" t="s">
        <v>13</v>
      </c>
      <c r="S118" s="27"/>
      <c r="T118" s="27"/>
      <c r="U118" s="28"/>
      <c r="V118" s="27"/>
      <c r="W118" s="27"/>
      <c r="X118" s="29" t="s">
        <v>14</v>
      </c>
      <c r="Y118" s="30" t="s">
        <v>11</v>
      </c>
      <c r="Z118" s="37"/>
      <c r="AA118" s="27"/>
      <c r="AB118" s="28"/>
      <c r="AC118" s="27"/>
      <c r="AD118" s="29" t="s">
        <v>15</v>
      </c>
      <c r="AE118" s="27"/>
      <c r="AF118" s="27"/>
      <c r="AG118" s="25">
        <v>17</v>
      </c>
      <c r="AH118" s="33"/>
      <c r="AI118" s="33"/>
      <c r="AJ118" s="33"/>
      <c r="AK118" s="33"/>
      <c r="AL118" s="33"/>
      <c r="AM118" s="33"/>
      <c r="AN118" s="25" t="s">
        <v>12</v>
      </c>
      <c r="AO118" s="27"/>
      <c r="AP118" s="27"/>
      <c r="AQ118" s="27"/>
      <c r="AR118" s="28"/>
      <c r="AS118" s="27"/>
      <c r="AT118" s="27"/>
      <c r="AU118" s="29" t="s">
        <v>16</v>
      </c>
      <c r="AV118" s="30" t="s">
        <v>13</v>
      </c>
      <c r="AW118" s="27"/>
      <c r="AX118" s="27"/>
      <c r="AY118" s="28"/>
      <c r="AZ118" s="27"/>
      <c r="BA118" s="27"/>
      <c r="BB118" s="32" t="s">
        <v>14</v>
      </c>
      <c r="BC118" s="30" t="s">
        <v>11</v>
      </c>
      <c r="BD118" s="27"/>
      <c r="BE118" s="27"/>
      <c r="BF118" s="28"/>
      <c r="BG118" s="27"/>
      <c r="BH118" s="29" t="s">
        <v>15</v>
      </c>
      <c r="BI118" s="27"/>
      <c r="BJ118" s="27"/>
      <c r="BK118" s="25">
        <v>17</v>
      </c>
      <c r="BL118" s="33"/>
      <c r="BM118" s="33"/>
      <c r="BN118" s="33"/>
      <c r="BO118" s="33"/>
      <c r="BP118" s="33"/>
      <c r="BQ118" s="25" t="s">
        <v>12</v>
      </c>
      <c r="BR118" s="27"/>
      <c r="BS118" s="27"/>
      <c r="BT118" s="27"/>
      <c r="BU118" s="28"/>
      <c r="BV118" s="27"/>
      <c r="BW118" s="27"/>
      <c r="BX118" s="29" t="s">
        <v>16</v>
      </c>
      <c r="BY118" s="30" t="s">
        <v>13</v>
      </c>
      <c r="BZ118" s="27"/>
      <c r="CA118" s="27"/>
      <c r="CB118" s="28"/>
      <c r="CC118" s="27"/>
      <c r="CD118" s="27"/>
      <c r="CE118" s="32" t="s">
        <v>14</v>
      </c>
      <c r="CF118" s="30" t="s">
        <v>11</v>
      </c>
      <c r="CG118" s="27"/>
      <c r="CH118" s="27"/>
      <c r="CI118" s="28"/>
      <c r="CJ118" s="27"/>
      <c r="CK118" s="29" t="s">
        <v>15</v>
      </c>
      <c r="CL118" s="27"/>
      <c r="CM118" s="27"/>
      <c r="CN118" s="25">
        <v>17</v>
      </c>
      <c r="CO118" s="33"/>
      <c r="CP118" s="33"/>
    </row>
    <row r="119" spans="1:94" s="48" customFormat="1" x14ac:dyDescent="0.25">
      <c r="A119" s="25" t="s">
        <v>56</v>
      </c>
      <c r="B119" s="25" t="s">
        <v>319</v>
      </c>
      <c r="C119" s="25" t="s">
        <v>464</v>
      </c>
      <c r="D119" s="25">
        <v>106</v>
      </c>
      <c r="E119" s="35" cm="1">
        <f t="array" ref="E119">IFERROR(INDEX($J$5:$AVX$5, _xlfn.AGGREGATE(15,6, COLUMN(J119:AVX119)-COLUMN(J119)+1 / (J119:AVX119="T"), F119)), "")</f>
        <v>45992</v>
      </c>
      <c r="F119" s="76">
        <f t="shared" si="21"/>
        <v>2</v>
      </c>
      <c r="G119" s="35" cm="1">
        <f t="array" ref="G119">IFERROR(INDEX($J$5:$AVW$5,_xlfn.AGGREGATE(14,6,(COLUMN($J119:$AVW119)-COLUMN($J119)+1)/($J119:$AVW119="T"),1)),"")</f>
        <v>46021</v>
      </c>
      <c r="H119" s="79">
        <f t="shared" si="22"/>
        <v>3</v>
      </c>
      <c r="I119" s="38" t="s">
        <v>10</v>
      </c>
      <c r="J119" s="25" t="s">
        <v>12</v>
      </c>
      <c r="K119" s="27"/>
      <c r="L119" s="27"/>
      <c r="M119" s="27"/>
      <c r="N119" s="28"/>
      <c r="O119" s="27"/>
      <c r="P119" s="27"/>
      <c r="Q119" s="29" t="s">
        <v>16</v>
      </c>
      <c r="R119" s="30" t="s">
        <v>13</v>
      </c>
      <c r="S119" s="27"/>
      <c r="T119" s="27"/>
      <c r="U119" s="28"/>
      <c r="V119" s="27"/>
      <c r="W119" s="27"/>
      <c r="X119" s="29" t="s">
        <v>14</v>
      </c>
      <c r="Y119" s="30" t="s">
        <v>11</v>
      </c>
      <c r="Z119" s="37"/>
      <c r="AA119" s="27"/>
      <c r="AB119" s="28"/>
      <c r="AC119" s="27"/>
      <c r="AD119" s="29" t="s">
        <v>15</v>
      </c>
      <c r="AE119" s="27"/>
      <c r="AF119" s="27"/>
      <c r="AG119" s="25">
        <v>17</v>
      </c>
      <c r="AH119" s="33"/>
      <c r="AI119" s="33"/>
      <c r="AJ119" s="33"/>
      <c r="AK119" s="33"/>
      <c r="AL119" s="33"/>
      <c r="AM119" s="33"/>
      <c r="AN119" s="25" t="s">
        <v>12</v>
      </c>
      <c r="AO119" s="27"/>
      <c r="AP119" s="27"/>
      <c r="AQ119" s="27"/>
      <c r="AR119" s="28"/>
      <c r="AS119" s="27"/>
      <c r="AT119" s="27"/>
      <c r="AU119" s="29" t="s">
        <v>16</v>
      </c>
      <c r="AV119" s="30" t="s">
        <v>13</v>
      </c>
      <c r="AW119" s="27"/>
      <c r="AX119" s="27"/>
      <c r="AY119" s="28"/>
      <c r="AZ119" s="27"/>
      <c r="BA119" s="27"/>
      <c r="BB119" s="32" t="s">
        <v>14</v>
      </c>
      <c r="BC119" s="30" t="s">
        <v>11</v>
      </c>
      <c r="BD119" s="27"/>
      <c r="BE119" s="27"/>
      <c r="BF119" s="28"/>
      <c r="BG119" s="27"/>
      <c r="BH119" s="29" t="s">
        <v>15</v>
      </c>
      <c r="BI119" s="27"/>
      <c r="BJ119" s="27"/>
      <c r="BK119" s="25">
        <v>17</v>
      </c>
      <c r="BL119" s="33"/>
      <c r="BM119" s="33"/>
      <c r="BN119" s="33"/>
      <c r="BO119" s="33"/>
      <c r="BP119" s="33"/>
      <c r="BQ119" s="25" t="s">
        <v>12</v>
      </c>
      <c r="BR119" s="27"/>
      <c r="BS119" s="27"/>
      <c r="BT119" s="27"/>
      <c r="BU119" s="28"/>
      <c r="BV119" s="27"/>
      <c r="BW119" s="27"/>
      <c r="BX119" s="29" t="s">
        <v>16</v>
      </c>
      <c r="BY119" s="30" t="s">
        <v>13</v>
      </c>
      <c r="BZ119" s="27"/>
      <c r="CA119" s="27"/>
      <c r="CB119" s="28"/>
      <c r="CC119" s="27"/>
      <c r="CD119" s="27"/>
      <c r="CE119" s="32" t="s">
        <v>14</v>
      </c>
      <c r="CF119" s="30" t="s">
        <v>11</v>
      </c>
      <c r="CG119" s="27"/>
      <c r="CH119" s="27"/>
      <c r="CI119" s="28"/>
      <c r="CJ119" s="27"/>
      <c r="CK119" s="29" t="s">
        <v>15</v>
      </c>
      <c r="CL119" s="27"/>
      <c r="CM119" s="27"/>
      <c r="CN119" s="25">
        <v>17</v>
      </c>
      <c r="CO119" s="33"/>
      <c r="CP119" s="33"/>
    </row>
    <row r="120" spans="1:94" ht="15" customHeight="1" x14ac:dyDescent="0.25">
      <c r="A120" s="25" t="s">
        <v>56</v>
      </c>
      <c r="B120" s="25" t="s">
        <v>320</v>
      </c>
      <c r="C120" s="25" t="s">
        <v>465</v>
      </c>
      <c r="D120" s="25">
        <v>107</v>
      </c>
      <c r="E120" s="35" cm="1">
        <f t="array" ref="E120">IFERROR(INDEX($J$5:$AVX$5, _xlfn.AGGREGATE(15,6, COLUMN(J120:AVX120)-COLUMN(J120)+1 / (J120:AVX120="T"), F120)), "")</f>
        <v>45995</v>
      </c>
      <c r="F120" s="76">
        <f t="shared" si="21"/>
        <v>2</v>
      </c>
      <c r="G120" s="35" cm="1">
        <f t="array" ref="G120">IFERROR(INDEX($J$5:$AVW$5,_xlfn.AGGREGATE(14,6,(COLUMN($J120:$AVW120)-COLUMN($J120)+1)/($J120:$AVW120="T"),1)),"")</f>
        <v>46020</v>
      </c>
      <c r="H120" s="79">
        <f t="shared" si="22"/>
        <v>3</v>
      </c>
      <c r="I120" s="38" t="s">
        <v>10</v>
      </c>
      <c r="J120" s="33"/>
      <c r="K120" s="33"/>
      <c r="L120" s="33"/>
      <c r="M120" s="25" t="s">
        <v>12</v>
      </c>
      <c r="N120" s="27"/>
      <c r="O120" s="27"/>
      <c r="P120" s="27"/>
      <c r="Q120" s="28"/>
      <c r="R120" s="27"/>
      <c r="S120" s="27"/>
      <c r="T120" s="29" t="s">
        <v>16</v>
      </c>
      <c r="U120" s="30" t="s">
        <v>13</v>
      </c>
      <c r="V120" s="27"/>
      <c r="W120" s="27"/>
      <c r="X120" s="28"/>
      <c r="Y120" s="27"/>
      <c r="Z120" s="27"/>
      <c r="AA120" s="29" t="s">
        <v>14</v>
      </c>
      <c r="AB120" s="30" t="s">
        <v>11</v>
      </c>
      <c r="AC120" s="37"/>
      <c r="AD120" s="27"/>
      <c r="AE120" s="28"/>
      <c r="AF120" s="27"/>
      <c r="AG120" s="29" t="s">
        <v>15</v>
      </c>
      <c r="AH120" s="27"/>
      <c r="AI120" s="27"/>
      <c r="AJ120" s="25">
        <v>17</v>
      </c>
      <c r="AK120" s="33"/>
      <c r="AL120" s="33"/>
      <c r="AM120" s="33"/>
      <c r="AN120" s="33"/>
      <c r="AO120" s="33"/>
      <c r="AP120" s="33"/>
      <c r="AQ120" s="25" t="s">
        <v>12</v>
      </c>
      <c r="AR120" s="27"/>
      <c r="AS120" s="27"/>
      <c r="AT120" s="27"/>
      <c r="AU120" s="28"/>
      <c r="AV120" s="27"/>
      <c r="AW120" s="27"/>
      <c r="AX120" s="29" t="s">
        <v>16</v>
      </c>
      <c r="AY120" s="30" t="s">
        <v>13</v>
      </c>
      <c r="AZ120" s="27"/>
      <c r="BA120" s="27"/>
      <c r="BB120" s="28"/>
      <c r="BC120" s="27"/>
      <c r="BD120" s="27"/>
      <c r="BE120" s="32" t="s">
        <v>14</v>
      </c>
      <c r="BF120" s="30" t="s">
        <v>11</v>
      </c>
      <c r="BG120" s="27"/>
      <c r="BH120" s="27"/>
      <c r="BI120" s="28"/>
      <c r="BJ120" s="27"/>
      <c r="BK120" s="29" t="s">
        <v>15</v>
      </c>
      <c r="BL120" s="27"/>
      <c r="BM120" s="27"/>
      <c r="BN120" s="25">
        <v>17</v>
      </c>
      <c r="BO120" s="33"/>
      <c r="BP120" s="25" t="s">
        <v>12</v>
      </c>
      <c r="BQ120" s="27"/>
      <c r="BR120" s="27"/>
      <c r="BS120" s="27"/>
      <c r="BT120" s="28"/>
      <c r="BU120" s="27"/>
      <c r="BV120" s="27"/>
      <c r="BW120" s="29" t="s">
        <v>16</v>
      </c>
      <c r="BX120" s="30" t="s">
        <v>13</v>
      </c>
      <c r="BY120" s="27"/>
      <c r="BZ120" s="27"/>
      <c r="CA120" s="28"/>
      <c r="CB120" s="27"/>
      <c r="CC120" s="27"/>
      <c r="CD120" s="32" t="s">
        <v>14</v>
      </c>
      <c r="CE120" s="30" t="s">
        <v>11</v>
      </c>
      <c r="CF120" s="27"/>
      <c r="CG120" s="27"/>
      <c r="CH120" s="28"/>
      <c r="CI120" s="27"/>
      <c r="CJ120" s="29" t="s">
        <v>15</v>
      </c>
      <c r="CK120" s="27"/>
      <c r="CL120" s="27"/>
      <c r="CM120" s="25">
        <v>17</v>
      </c>
      <c r="CN120" s="33"/>
      <c r="CO120" s="33"/>
      <c r="CP120" s="33"/>
    </row>
    <row r="121" spans="1:94" x14ac:dyDescent="0.25">
      <c r="A121" s="25" t="s">
        <v>56</v>
      </c>
      <c r="B121" s="25" t="s">
        <v>321</v>
      </c>
      <c r="C121" s="25" t="s">
        <v>466</v>
      </c>
      <c r="D121" s="25">
        <v>108</v>
      </c>
      <c r="E121" s="35" cm="1">
        <f t="array" ref="E121">IFERROR(INDEX($J$5:$AVX$5, _xlfn.AGGREGATE(15,6, COLUMN(J121:AVX121)-COLUMN(J121)+1 / (J121:AVX121="T"), F121)), "")</f>
        <v>45996</v>
      </c>
      <c r="F121" s="76">
        <f t="shared" si="21"/>
        <v>2</v>
      </c>
      <c r="G121" s="35" cm="1">
        <f t="array" ref="G121">IFERROR(INDEX($J$5:$AVW$5,_xlfn.AGGREGATE(14,6,(COLUMN($J121:$AVW121)-COLUMN($J121)+1)/($J121:$AVW121="T"),1)),"")</f>
        <v>46020</v>
      </c>
      <c r="H121" s="79">
        <f t="shared" si="22"/>
        <v>3</v>
      </c>
      <c r="I121" s="38" t="s">
        <v>10</v>
      </c>
      <c r="J121" s="33"/>
      <c r="K121" s="33"/>
      <c r="L121" s="33"/>
      <c r="M121" s="25" t="s">
        <v>12</v>
      </c>
      <c r="N121" s="27"/>
      <c r="O121" s="27"/>
      <c r="P121" s="27"/>
      <c r="Q121" s="28"/>
      <c r="R121" s="27"/>
      <c r="S121" s="27"/>
      <c r="T121" s="29" t="s">
        <v>16</v>
      </c>
      <c r="U121" s="30" t="s">
        <v>13</v>
      </c>
      <c r="V121" s="27"/>
      <c r="W121" s="27"/>
      <c r="X121" s="28"/>
      <c r="Y121" s="27"/>
      <c r="Z121" s="27"/>
      <c r="AA121" s="29" t="s">
        <v>14</v>
      </c>
      <c r="AB121" s="30" t="s">
        <v>11</v>
      </c>
      <c r="AC121" s="37"/>
      <c r="AD121" s="27"/>
      <c r="AE121" s="28"/>
      <c r="AF121" s="27"/>
      <c r="AG121" s="29" t="s">
        <v>15</v>
      </c>
      <c r="AH121" s="27"/>
      <c r="AI121" s="27"/>
      <c r="AJ121" s="25">
        <v>17</v>
      </c>
      <c r="AK121" s="33"/>
      <c r="AL121" s="33"/>
      <c r="AM121" s="33"/>
      <c r="AN121" s="33"/>
      <c r="AO121" s="33"/>
      <c r="AP121" s="33"/>
      <c r="AQ121" s="33"/>
      <c r="AR121" s="25" t="s">
        <v>12</v>
      </c>
      <c r="AS121" s="27"/>
      <c r="AT121" s="27"/>
      <c r="AU121" s="27"/>
      <c r="AV121" s="28"/>
      <c r="AW121" s="27"/>
      <c r="AX121" s="27"/>
      <c r="AY121" s="29" t="s">
        <v>16</v>
      </c>
      <c r="AZ121" s="30" t="s">
        <v>13</v>
      </c>
      <c r="BA121" s="27"/>
      <c r="BB121" s="27"/>
      <c r="BC121" s="28"/>
      <c r="BD121" s="27"/>
      <c r="BE121" s="27"/>
      <c r="BF121" s="32" t="s">
        <v>14</v>
      </c>
      <c r="BG121" s="30" t="s">
        <v>11</v>
      </c>
      <c r="BH121" s="27"/>
      <c r="BI121" s="27"/>
      <c r="BJ121" s="28"/>
      <c r="BK121" s="27"/>
      <c r="BL121" s="29" t="s">
        <v>15</v>
      </c>
      <c r="BM121" s="27"/>
      <c r="BN121" s="27"/>
      <c r="BO121" s="25">
        <v>17</v>
      </c>
      <c r="BP121" s="25" t="s">
        <v>12</v>
      </c>
      <c r="BQ121" s="27"/>
      <c r="BR121" s="27"/>
      <c r="BS121" s="27"/>
      <c r="BT121" s="28"/>
      <c r="BU121" s="27"/>
      <c r="BV121" s="27"/>
      <c r="BW121" s="29" t="s">
        <v>16</v>
      </c>
      <c r="BX121" s="30" t="s">
        <v>13</v>
      </c>
      <c r="BY121" s="27"/>
      <c r="BZ121" s="27"/>
      <c r="CA121" s="28"/>
      <c r="CB121" s="27"/>
      <c r="CC121" s="27"/>
      <c r="CD121" s="32" t="s">
        <v>14</v>
      </c>
      <c r="CE121" s="30" t="s">
        <v>11</v>
      </c>
      <c r="CF121" s="27"/>
      <c r="CG121" s="27"/>
      <c r="CH121" s="28"/>
      <c r="CI121" s="27"/>
      <c r="CJ121" s="29" t="s">
        <v>15</v>
      </c>
      <c r="CK121" s="27"/>
      <c r="CL121" s="27"/>
      <c r="CM121" s="25">
        <v>17</v>
      </c>
      <c r="CN121" s="33"/>
      <c r="CO121" s="33"/>
      <c r="CP121" s="33"/>
    </row>
    <row r="122" spans="1:94" x14ac:dyDescent="0.25">
      <c r="A122" s="25" t="s">
        <v>56</v>
      </c>
      <c r="B122" s="25" t="s">
        <v>322</v>
      </c>
      <c r="C122" s="25" t="s">
        <v>467</v>
      </c>
      <c r="D122" s="25">
        <v>109</v>
      </c>
      <c r="E122" s="35" cm="1">
        <f t="array" ref="E122">IFERROR(INDEX($J$5:$AVX$5, _xlfn.AGGREGATE(15,6, COLUMN(J122:AVX122)-COLUMN(J122)+1 / (J122:AVX122="T"), F122)), "")</f>
        <v>45995</v>
      </c>
      <c r="F122" s="76">
        <f t="shared" si="21"/>
        <v>2</v>
      </c>
      <c r="G122" s="35" cm="1">
        <f t="array" ref="G122">IFERROR(INDEX($J$5:$AVW$5,_xlfn.AGGREGATE(14,6,(COLUMN($J122:$AVW122)-COLUMN($J122)+1)/($J122:$AVW122="T"),1)),"")</f>
        <v>46020</v>
      </c>
      <c r="H122" s="79">
        <f t="shared" si="22"/>
        <v>3</v>
      </c>
      <c r="I122" s="38" t="s">
        <v>10</v>
      </c>
      <c r="J122" s="33"/>
      <c r="K122" s="33"/>
      <c r="L122" s="33"/>
      <c r="M122" s="25" t="s">
        <v>12</v>
      </c>
      <c r="N122" s="27"/>
      <c r="O122" s="27"/>
      <c r="P122" s="27"/>
      <c r="Q122" s="28"/>
      <c r="R122" s="27"/>
      <c r="S122" s="27"/>
      <c r="T122" s="29" t="s">
        <v>16</v>
      </c>
      <c r="U122" s="30" t="s">
        <v>13</v>
      </c>
      <c r="V122" s="27"/>
      <c r="W122" s="27"/>
      <c r="X122" s="28"/>
      <c r="Y122" s="27"/>
      <c r="Z122" s="27"/>
      <c r="AA122" s="29" t="s">
        <v>14</v>
      </c>
      <c r="AB122" s="30" t="s">
        <v>11</v>
      </c>
      <c r="AC122" s="37"/>
      <c r="AD122" s="27"/>
      <c r="AE122" s="28"/>
      <c r="AF122" s="27"/>
      <c r="AG122" s="29" t="s">
        <v>15</v>
      </c>
      <c r="AH122" s="27"/>
      <c r="AI122" s="27"/>
      <c r="AJ122" s="25">
        <v>17</v>
      </c>
      <c r="AK122" s="33"/>
      <c r="AL122" s="33"/>
      <c r="AM122" s="33"/>
      <c r="AN122" s="33"/>
      <c r="AO122" s="33"/>
      <c r="AP122" s="33"/>
      <c r="AQ122" s="25" t="s">
        <v>12</v>
      </c>
      <c r="AR122" s="27"/>
      <c r="AS122" s="27"/>
      <c r="AT122" s="27"/>
      <c r="AU122" s="28"/>
      <c r="AV122" s="27"/>
      <c r="AW122" s="27"/>
      <c r="AX122" s="29" t="s">
        <v>16</v>
      </c>
      <c r="AY122" s="30" t="s">
        <v>13</v>
      </c>
      <c r="AZ122" s="27"/>
      <c r="BA122" s="27"/>
      <c r="BB122" s="28"/>
      <c r="BC122" s="27"/>
      <c r="BD122" s="27"/>
      <c r="BE122" s="32" t="s">
        <v>14</v>
      </c>
      <c r="BF122" s="30" t="s">
        <v>11</v>
      </c>
      <c r="BG122" s="27"/>
      <c r="BH122" s="27"/>
      <c r="BI122" s="28"/>
      <c r="BJ122" s="27"/>
      <c r="BK122" s="29" t="s">
        <v>15</v>
      </c>
      <c r="BL122" s="27"/>
      <c r="BM122" s="27"/>
      <c r="BN122" s="25">
        <v>17</v>
      </c>
      <c r="BO122" s="33"/>
      <c r="BP122" s="25" t="s">
        <v>12</v>
      </c>
      <c r="BQ122" s="27"/>
      <c r="BR122" s="27"/>
      <c r="BS122" s="27"/>
      <c r="BT122" s="28"/>
      <c r="BU122" s="27"/>
      <c r="BV122" s="27"/>
      <c r="BW122" s="29" t="s">
        <v>16</v>
      </c>
      <c r="BX122" s="30" t="s">
        <v>13</v>
      </c>
      <c r="BY122" s="27"/>
      <c r="BZ122" s="27"/>
      <c r="CA122" s="28"/>
      <c r="CB122" s="27"/>
      <c r="CC122" s="27"/>
      <c r="CD122" s="32" t="s">
        <v>14</v>
      </c>
      <c r="CE122" s="30" t="s">
        <v>11</v>
      </c>
      <c r="CF122" s="27"/>
      <c r="CG122" s="27"/>
      <c r="CH122" s="28"/>
      <c r="CI122" s="27"/>
      <c r="CJ122" s="29" t="s">
        <v>15</v>
      </c>
      <c r="CK122" s="27"/>
      <c r="CL122" s="27"/>
      <c r="CM122" s="25">
        <v>17</v>
      </c>
      <c r="CN122" s="33"/>
      <c r="CO122" s="33"/>
      <c r="CP122" s="33"/>
    </row>
    <row r="123" spans="1:94" x14ac:dyDescent="0.25">
      <c r="A123" s="25" t="s">
        <v>56</v>
      </c>
      <c r="B123" s="25" t="s">
        <v>323</v>
      </c>
      <c r="C123" s="25" t="s">
        <v>468</v>
      </c>
      <c r="D123" s="25">
        <v>110</v>
      </c>
      <c r="E123" s="35" cm="1">
        <f t="array" ref="E123">IFERROR(INDEX($J$5:$AVX$5, _xlfn.AGGREGATE(15,6, COLUMN(J123:AVX123)-COLUMN(J123)+1 / (J123:AVX123="T"), F123)), "")</f>
        <v>45996</v>
      </c>
      <c r="F123" s="76">
        <f t="shared" si="21"/>
        <v>2</v>
      </c>
      <c r="G123" s="35" cm="1">
        <f t="array" ref="G123">IFERROR(INDEX($J$5:$AVW$5,_xlfn.AGGREGATE(14,6,(COLUMN($J123:$AVW123)-COLUMN($J123)+1)/($J123:$AVW123="T"),1)),"")</f>
        <v>46020</v>
      </c>
      <c r="H123" s="79">
        <f t="shared" si="22"/>
        <v>3</v>
      </c>
      <c r="I123" s="38" t="s">
        <v>10</v>
      </c>
      <c r="J123" s="33"/>
      <c r="K123" s="33"/>
      <c r="L123" s="33"/>
      <c r="M123" s="25" t="s">
        <v>12</v>
      </c>
      <c r="N123" s="27"/>
      <c r="O123" s="27"/>
      <c r="P123" s="27"/>
      <c r="Q123" s="28"/>
      <c r="R123" s="27"/>
      <c r="S123" s="27"/>
      <c r="T123" s="29" t="s">
        <v>16</v>
      </c>
      <c r="U123" s="30" t="s">
        <v>13</v>
      </c>
      <c r="V123" s="27"/>
      <c r="W123" s="27"/>
      <c r="X123" s="28"/>
      <c r="Y123" s="27"/>
      <c r="Z123" s="27"/>
      <c r="AA123" s="29" t="s">
        <v>14</v>
      </c>
      <c r="AB123" s="30" t="s">
        <v>11</v>
      </c>
      <c r="AC123" s="37"/>
      <c r="AD123" s="27"/>
      <c r="AE123" s="28"/>
      <c r="AF123" s="27"/>
      <c r="AG123" s="29" t="s">
        <v>15</v>
      </c>
      <c r="AH123" s="27"/>
      <c r="AI123" s="27"/>
      <c r="AJ123" s="25">
        <v>17</v>
      </c>
      <c r="AK123" s="33"/>
      <c r="AL123" s="33"/>
      <c r="AM123" s="33"/>
      <c r="AN123" s="33"/>
      <c r="AO123" s="33"/>
      <c r="AP123" s="33"/>
      <c r="AQ123" s="33"/>
      <c r="AR123" s="25" t="s">
        <v>12</v>
      </c>
      <c r="AS123" s="27"/>
      <c r="AT123" s="27"/>
      <c r="AU123" s="27"/>
      <c r="AV123" s="28"/>
      <c r="AW123" s="27"/>
      <c r="AX123" s="27"/>
      <c r="AY123" s="29" t="s">
        <v>16</v>
      </c>
      <c r="AZ123" s="30" t="s">
        <v>13</v>
      </c>
      <c r="BA123" s="27"/>
      <c r="BB123" s="27"/>
      <c r="BC123" s="28"/>
      <c r="BD123" s="27"/>
      <c r="BE123" s="27"/>
      <c r="BF123" s="32" t="s">
        <v>14</v>
      </c>
      <c r="BG123" s="30" t="s">
        <v>11</v>
      </c>
      <c r="BH123" s="27"/>
      <c r="BI123" s="27"/>
      <c r="BJ123" s="28"/>
      <c r="BK123" s="27"/>
      <c r="BL123" s="29" t="s">
        <v>15</v>
      </c>
      <c r="BM123" s="27"/>
      <c r="BN123" s="27"/>
      <c r="BO123" s="25">
        <v>17</v>
      </c>
      <c r="BP123" s="25" t="s">
        <v>12</v>
      </c>
      <c r="BQ123" s="27"/>
      <c r="BR123" s="27"/>
      <c r="BS123" s="27"/>
      <c r="BT123" s="28"/>
      <c r="BU123" s="27"/>
      <c r="BV123" s="27"/>
      <c r="BW123" s="29" t="s">
        <v>16</v>
      </c>
      <c r="BX123" s="30" t="s">
        <v>13</v>
      </c>
      <c r="BY123" s="27"/>
      <c r="BZ123" s="27"/>
      <c r="CA123" s="28"/>
      <c r="CB123" s="27"/>
      <c r="CC123" s="27"/>
      <c r="CD123" s="32" t="s">
        <v>14</v>
      </c>
      <c r="CE123" s="30" t="s">
        <v>11</v>
      </c>
      <c r="CF123" s="27"/>
      <c r="CG123" s="27"/>
      <c r="CH123" s="28"/>
      <c r="CI123" s="27"/>
      <c r="CJ123" s="29" t="s">
        <v>15</v>
      </c>
      <c r="CK123" s="27"/>
      <c r="CL123" s="27"/>
      <c r="CM123" s="25">
        <v>17</v>
      </c>
      <c r="CN123" s="33"/>
      <c r="CO123" s="33"/>
      <c r="CP123" s="33"/>
    </row>
    <row r="124" spans="1:94" x14ac:dyDescent="0.25">
      <c r="A124" s="25" t="s">
        <v>56</v>
      </c>
      <c r="B124" s="25" t="s">
        <v>324</v>
      </c>
      <c r="C124" s="25" t="s">
        <v>469</v>
      </c>
      <c r="D124" s="25">
        <v>111</v>
      </c>
      <c r="E124" s="35" cm="1">
        <f t="array" ref="E124">IFERROR(INDEX($J$5:$AVX$5, _xlfn.AGGREGATE(15,6, COLUMN(J124:AVX124)-COLUMN(J124)+1 / (J124:AVX124="T"), F124)), "")</f>
        <v>45995</v>
      </c>
      <c r="F124" s="76">
        <f t="shared" si="21"/>
        <v>2</v>
      </c>
      <c r="G124" s="35" cm="1">
        <f t="array" ref="G124">IFERROR(INDEX($J$5:$AVW$5,_xlfn.AGGREGATE(14,6,(COLUMN($J124:$AVW124)-COLUMN($J124)+1)/($J124:$AVW124="T"),1)),"")</f>
        <v>46020</v>
      </c>
      <c r="H124" s="79">
        <f t="shared" si="22"/>
        <v>3</v>
      </c>
      <c r="I124" s="38" t="s">
        <v>10</v>
      </c>
      <c r="J124" s="33"/>
      <c r="K124" s="33"/>
      <c r="L124" s="33"/>
      <c r="M124" s="25" t="s">
        <v>12</v>
      </c>
      <c r="N124" s="27"/>
      <c r="O124" s="27"/>
      <c r="P124" s="27"/>
      <c r="Q124" s="28"/>
      <c r="R124" s="27"/>
      <c r="S124" s="27"/>
      <c r="T124" s="29" t="s">
        <v>16</v>
      </c>
      <c r="U124" s="30" t="s">
        <v>13</v>
      </c>
      <c r="V124" s="27"/>
      <c r="W124" s="27"/>
      <c r="X124" s="28"/>
      <c r="Y124" s="27"/>
      <c r="Z124" s="27"/>
      <c r="AA124" s="29" t="s">
        <v>14</v>
      </c>
      <c r="AB124" s="30" t="s">
        <v>11</v>
      </c>
      <c r="AC124" s="37"/>
      <c r="AD124" s="27"/>
      <c r="AE124" s="28"/>
      <c r="AF124" s="27"/>
      <c r="AG124" s="29" t="s">
        <v>15</v>
      </c>
      <c r="AH124" s="27"/>
      <c r="AI124" s="27"/>
      <c r="AJ124" s="25">
        <v>17</v>
      </c>
      <c r="AK124" s="33"/>
      <c r="AL124" s="33"/>
      <c r="AM124" s="33"/>
      <c r="AN124" s="33"/>
      <c r="AO124" s="33"/>
      <c r="AP124" s="33"/>
      <c r="AQ124" s="25" t="s">
        <v>12</v>
      </c>
      <c r="AR124" s="27"/>
      <c r="AS124" s="27"/>
      <c r="AT124" s="27"/>
      <c r="AU124" s="28"/>
      <c r="AV124" s="27"/>
      <c r="AW124" s="27"/>
      <c r="AX124" s="29" t="s">
        <v>16</v>
      </c>
      <c r="AY124" s="30" t="s">
        <v>13</v>
      </c>
      <c r="AZ124" s="27"/>
      <c r="BA124" s="27"/>
      <c r="BB124" s="28"/>
      <c r="BC124" s="27"/>
      <c r="BD124" s="27"/>
      <c r="BE124" s="32" t="s">
        <v>14</v>
      </c>
      <c r="BF124" s="30" t="s">
        <v>11</v>
      </c>
      <c r="BG124" s="27"/>
      <c r="BH124" s="27"/>
      <c r="BI124" s="28"/>
      <c r="BJ124" s="27"/>
      <c r="BK124" s="29" t="s">
        <v>15</v>
      </c>
      <c r="BL124" s="27"/>
      <c r="BM124" s="27"/>
      <c r="BN124" s="25">
        <v>17</v>
      </c>
      <c r="BO124" s="33"/>
      <c r="BP124" s="25" t="s">
        <v>12</v>
      </c>
      <c r="BQ124" s="27"/>
      <c r="BR124" s="27"/>
      <c r="BS124" s="27"/>
      <c r="BT124" s="28"/>
      <c r="BU124" s="27"/>
      <c r="BV124" s="27"/>
      <c r="BW124" s="29" t="s">
        <v>16</v>
      </c>
      <c r="BX124" s="30" t="s">
        <v>13</v>
      </c>
      <c r="BY124" s="27"/>
      <c r="BZ124" s="27"/>
      <c r="CA124" s="28"/>
      <c r="CB124" s="27"/>
      <c r="CC124" s="27"/>
      <c r="CD124" s="32" t="s">
        <v>14</v>
      </c>
      <c r="CE124" s="30" t="s">
        <v>11</v>
      </c>
      <c r="CF124" s="27"/>
      <c r="CG124" s="27"/>
      <c r="CH124" s="28"/>
      <c r="CI124" s="27"/>
      <c r="CJ124" s="29" t="s">
        <v>15</v>
      </c>
      <c r="CK124" s="27"/>
      <c r="CL124" s="27"/>
      <c r="CM124" s="25">
        <v>17</v>
      </c>
      <c r="CN124" s="33"/>
      <c r="CO124" s="33"/>
      <c r="CP124" s="33"/>
    </row>
    <row r="125" spans="1:94" x14ac:dyDescent="0.25">
      <c r="A125" s="25" t="s">
        <v>56</v>
      </c>
      <c r="B125" s="25" t="s">
        <v>325</v>
      </c>
      <c r="C125" s="25" t="s">
        <v>470</v>
      </c>
      <c r="D125" s="25">
        <v>112</v>
      </c>
      <c r="E125" s="35" cm="1">
        <f t="array" ref="E125">IFERROR(INDEX($J$5:$AVX$5, _xlfn.AGGREGATE(15,6, COLUMN(J125:AVX125)-COLUMN(J125)+1 / (J125:AVX125="T"), F125)), "")</f>
        <v>45995</v>
      </c>
      <c r="F125" s="76">
        <f t="shared" si="21"/>
        <v>2</v>
      </c>
      <c r="G125" s="35" cm="1">
        <f t="array" ref="G125">IFERROR(INDEX($J$5:$AVW$5,_xlfn.AGGREGATE(14,6,(COLUMN($J125:$AVW125)-COLUMN($J125)+1)/($J125:$AVW125="T"),1)),"")</f>
        <v>46020</v>
      </c>
      <c r="H125" s="79">
        <f t="shared" si="22"/>
        <v>3</v>
      </c>
      <c r="I125" s="38" t="s">
        <v>10</v>
      </c>
      <c r="J125" s="33"/>
      <c r="K125" s="33"/>
      <c r="L125" s="33"/>
      <c r="M125" s="25" t="s">
        <v>12</v>
      </c>
      <c r="N125" s="27"/>
      <c r="O125" s="27"/>
      <c r="P125" s="27"/>
      <c r="Q125" s="28"/>
      <c r="R125" s="27"/>
      <c r="S125" s="27"/>
      <c r="T125" s="29" t="s">
        <v>16</v>
      </c>
      <c r="U125" s="30" t="s">
        <v>13</v>
      </c>
      <c r="V125" s="27"/>
      <c r="W125" s="27"/>
      <c r="X125" s="28"/>
      <c r="Y125" s="27"/>
      <c r="Z125" s="27"/>
      <c r="AA125" s="29" t="s">
        <v>14</v>
      </c>
      <c r="AB125" s="30" t="s">
        <v>11</v>
      </c>
      <c r="AC125" s="37"/>
      <c r="AD125" s="27"/>
      <c r="AE125" s="28"/>
      <c r="AF125" s="27"/>
      <c r="AG125" s="29" t="s">
        <v>15</v>
      </c>
      <c r="AH125" s="27"/>
      <c r="AI125" s="27"/>
      <c r="AJ125" s="25">
        <v>17</v>
      </c>
      <c r="AK125" s="33"/>
      <c r="AL125" s="33"/>
      <c r="AM125" s="33"/>
      <c r="AN125" s="33"/>
      <c r="AO125" s="33"/>
      <c r="AP125" s="33"/>
      <c r="AQ125" s="25" t="s">
        <v>12</v>
      </c>
      <c r="AR125" s="27"/>
      <c r="AS125" s="27"/>
      <c r="AT125" s="27"/>
      <c r="AU125" s="28"/>
      <c r="AV125" s="27"/>
      <c r="AW125" s="27"/>
      <c r="AX125" s="29" t="s">
        <v>16</v>
      </c>
      <c r="AY125" s="30" t="s">
        <v>13</v>
      </c>
      <c r="AZ125" s="27"/>
      <c r="BA125" s="27"/>
      <c r="BB125" s="28"/>
      <c r="BC125" s="27"/>
      <c r="BD125" s="27"/>
      <c r="BE125" s="32" t="s">
        <v>14</v>
      </c>
      <c r="BF125" s="30" t="s">
        <v>11</v>
      </c>
      <c r="BG125" s="27"/>
      <c r="BH125" s="27"/>
      <c r="BI125" s="28"/>
      <c r="BJ125" s="27"/>
      <c r="BK125" s="29" t="s">
        <v>15</v>
      </c>
      <c r="BL125" s="27"/>
      <c r="BM125" s="27"/>
      <c r="BN125" s="25">
        <v>17</v>
      </c>
      <c r="BO125" s="33"/>
      <c r="BP125" s="25" t="s">
        <v>12</v>
      </c>
      <c r="BQ125" s="27"/>
      <c r="BR125" s="27"/>
      <c r="BS125" s="27"/>
      <c r="BT125" s="28"/>
      <c r="BU125" s="27"/>
      <c r="BV125" s="27"/>
      <c r="BW125" s="29" t="s">
        <v>16</v>
      </c>
      <c r="BX125" s="30" t="s">
        <v>13</v>
      </c>
      <c r="BY125" s="27"/>
      <c r="BZ125" s="27"/>
      <c r="CA125" s="28"/>
      <c r="CB125" s="27"/>
      <c r="CC125" s="27"/>
      <c r="CD125" s="32" t="s">
        <v>14</v>
      </c>
      <c r="CE125" s="30" t="s">
        <v>11</v>
      </c>
      <c r="CF125" s="27"/>
      <c r="CG125" s="27"/>
      <c r="CH125" s="28"/>
      <c r="CI125" s="27"/>
      <c r="CJ125" s="29" t="s">
        <v>15</v>
      </c>
      <c r="CK125" s="27"/>
      <c r="CL125" s="27"/>
      <c r="CM125" s="25">
        <v>17</v>
      </c>
      <c r="CN125" s="33"/>
      <c r="CO125" s="33"/>
      <c r="CP125" s="33"/>
    </row>
    <row r="126" spans="1:94" x14ac:dyDescent="0.25">
      <c r="A126" s="25" t="s">
        <v>56</v>
      </c>
      <c r="B126" s="25" t="s">
        <v>326</v>
      </c>
      <c r="C126" s="25" t="s">
        <v>471</v>
      </c>
      <c r="D126" s="25">
        <v>113</v>
      </c>
      <c r="E126" s="35" cm="1">
        <f t="array" ref="E126">IFERROR(INDEX($J$5:$AVX$5, _xlfn.AGGREGATE(15,6, COLUMN(J126:AVX126)-COLUMN(J126)+1 / (J126:AVX126="T"), F126)), "")</f>
        <v>45995</v>
      </c>
      <c r="F126" s="76">
        <f t="shared" si="21"/>
        <v>2</v>
      </c>
      <c r="G126" s="35" cm="1">
        <f t="array" ref="G126">IFERROR(INDEX($J$5:$AVW$5,_xlfn.AGGREGATE(14,6,(COLUMN($J126:$AVW126)-COLUMN($J126)+1)/($J126:$AVW126="T"),1)),"")</f>
        <v>46020</v>
      </c>
      <c r="H126" s="79">
        <f t="shared" si="22"/>
        <v>3</v>
      </c>
      <c r="I126" s="38" t="s">
        <v>10</v>
      </c>
      <c r="J126" s="33"/>
      <c r="K126" s="33"/>
      <c r="L126" s="33"/>
      <c r="M126" s="25" t="s">
        <v>12</v>
      </c>
      <c r="N126" s="27"/>
      <c r="O126" s="27"/>
      <c r="P126" s="27"/>
      <c r="Q126" s="28"/>
      <c r="R126" s="27"/>
      <c r="S126" s="27"/>
      <c r="T126" s="29" t="s">
        <v>16</v>
      </c>
      <c r="U126" s="30" t="s">
        <v>13</v>
      </c>
      <c r="V126" s="27"/>
      <c r="W126" s="27"/>
      <c r="X126" s="28"/>
      <c r="Y126" s="27"/>
      <c r="Z126" s="27"/>
      <c r="AA126" s="29" t="s">
        <v>14</v>
      </c>
      <c r="AB126" s="30" t="s">
        <v>11</v>
      </c>
      <c r="AC126" s="37"/>
      <c r="AD126" s="27"/>
      <c r="AE126" s="28"/>
      <c r="AF126" s="27"/>
      <c r="AG126" s="29" t="s">
        <v>15</v>
      </c>
      <c r="AH126" s="27"/>
      <c r="AI126" s="27"/>
      <c r="AJ126" s="25">
        <v>17</v>
      </c>
      <c r="AK126" s="33"/>
      <c r="AL126" s="33"/>
      <c r="AM126" s="33"/>
      <c r="AN126" s="33"/>
      <c r="AO126" s="33"/>
      <c r="AP126" s="33"/>
      <c r="AQ126" s="25" t="s">
        <v>12</v>
      </c>
      <c r="AR126" s="27"/>
      <c r="AS126" s="27"/>
      <c r="AT126" s="27"/>
      <c r="AU126" s="28"/>
      <c r="AV126" s="27"/>
      <c r="AW126" s="27"/>
      <c r="AX126" s="29" t="s">
        <v>16</v>
      </c>
      <c r="AY126" s="30" t="s">
        <v>13</v>
      </c>
      <c r="AZ126" s="27"/>
      <c r="BA126" s="27"/>
      <c r="BB126" s="28"/>
      <c r="BC126" s="27"/>
      <c r="BD126" s="27"/>
      <c r="BE126" s="32" t="s">
        <v>14</v>
      </c>
      <c r="BF126" s="30" t="s">
        <v>11</v>
      </c>
      <c r="BG126" s="27"/>
      <c r="BH126" s="27"/>
      <c r="BI126" s="28"/>
      <c r="BJ126" s="27"/>
      <c r="BK126" s="29" t="s">
        <v>15</v>
      </c>
      <c r="BL126" s="27"/>
      <c r="BM126" s="27"/>
      <c r="BN126" s="25">
        <v>17</v>
      </c>
      <c r="BO126" s="33"/>
      <c r="BP126" s="25" t="s">
        <v>12</v>
      </c>
      <c r="BQ126" s="27"/>
      <c r="BR126" s="27"/>
      <c r="BS126" s="27"/>
      <c r="BT126" s="28"/>
      <c r="BU126" s="27"/>
      <c r="BV126" s="27"/>
      <c r="BW126" s="29" t="s">
        <v>16</v>
      </c>
      <c r="BX126" s="30" t="s">
        <v>13</v>
      </c>
      <c r="BY126" s="27"/>
      <c r="BZ126" s="27"/>
      <c r="CA126" s="28"/>
      <c r="CB126" s="27"/>
      <c r="CC126" s="27"/>
      <c r="CD126" s="32" t="s">
        <v>14</v>
      </c>
      <c r="CE126" s="30" t="s">
        <v>11</v>
      </c>
      <c r="CF126" s="27"/>
      <c r="CG126" s="27"/>
      <c r="CH126" s="28"/>
      <c r="CI126" s="27"/>
      <c r="CJ126" s="29" t="s">
        <v>15</v>
      </c>
      <c r="CK126" s="27"/>
      <c r="CL126" s="27"/>
      <c r="CM126" s="25">
        <v>17</v>
      </c>
      <c r="CN126" s="33"/>
      <c r="CO126" s="33"/>
      <c r="CP126" s="33"/>
    </row>
    <row r="127" spans="1:94" x14ac:dyDescent="0.25">
      <c r="A127" s="39" t="s">
        <v>56</v>
      </c>
      <c r="B127" s="39" t="s">
        <v>327</v>
      </c>
      <c r="C127" s="25" t="s">
        <v>472</v>
      </c>
      <c r="D127" s="25">
        <v>114</v>
      </c>
      <c r="E127" s="35" t="str" cm="1">
        <f t="array" ref="E127">IFERROR(INDEX($J$5:$AVX$5, _xlfn.AGGREGATE(15,6, COLUMN(J127:AVX127)-COLUMN(J127)+1 / (J127:AVX127="T"), F127)), "")</f>
        <v/>
      </c>
      <c r="F127" s="76">
        <f t="shared" si="21"/>
        <v>2</v>
      </c>
      <c r="G127" s="35" cm="1">
        <f t="array" ref="G127">IFERROR(INDEX($J$5:$AVW$5,_xlfn.AGGREGATE(14,6,(COLUMN($J127:$AVW127)-COLUMN($J127)+1)/($J127:$AVW127="T"),1)),"")</f>
        <v>45968</v>
      </c>
      <c r="H127" s="79">
        <f t="shared" si="22"/>
        <v>1</v>
      </c>
      <c r="I127" s="44" t="s">
        <v>10</v>
      </c>
      <c r="J127" s="33"/>
      <c r="K127" s="33"/>
      <c r="L127" s="33"/>
      <c r="M127" s="33"/>
      <c r="N127" s="33"/>
      <c r="O127" s="33"/>
      <c r="P127" s="25" t="s">
        <v>12</v>
      </c>
      <c r="Q127" s="27"/>
      <c r="R127" s="27"/>
      <c r="S127" s="27"/>
      <c r="T127" s="28"/>
      <c r="U127" s="27"/>
      <c r="V127" s="27"/>
      <c r="W127" s="29" t="s">
        <v>16</v>
      </c>
      <c r="X127" s="30" t="s">
        <v>13</v>
      </c>
      <c r="Y127" s="27"/>
      <c r="Z127" s="27"/>
      <c r="AA127" s="28"/>
      <c r="AB127" s="27"/>
      <c r="AC127" s="27"/>
      <c r="AD127" s="32" t="s">
        <v>14</v>
      </c>
      <c r="AE127" s="30" t="s">
        <v>11</v>
      </c>
      <c r="AF127" s="27"/>
      <c r="AG127" s="27"/>
      <c r="AH127" s="28"/>
      <c r="AI127" s="27"/>
      <c r="AJ127" s="29" t="s">
        <v>15</v>
      </c>
      <c r="AK127" s="27"/>
      <c r="AL127" s="27"/>
      <c r="AM127" s="25">
        <v>17</v>
      </c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  <c r="CD127" s="33"/>
      <c r="CE127" s="33"/>
      <c r="CF127" s="33"/>
      <c r="CG127" s="33"/>
      <c r="CH127" s="33"/>
      <c r="CI127" s="33"/>
      <c r="CJ127" s="33"/>
      <c r="CK127" s="33"/>
      <c r="CL127" s="33"/>
      <c r="CM127" s="33"/>
      <c r="CN127" s="33"/>
      <c r="CO127" s="33"/>
      <c r="CP127" s="33"/>
    </row>
    <row r="128" spans="1:94" s="40" customFormat="1" x14ac:dyDescent="0.25">
      <c r="A128" s="39" t="s">
        <v>56</v>
      </c>
      <c r="B128" s="39" t="s">
        <v>328</v>
      </c>
      <c r="C128" s="25" t="s">
        <v>473</v>
      </c>
      <c r="D128" s="25">
        <v>115</v>
      </c>
      <c r="E128" s="35" t="str" cm="1">
        <f t="array" ref="E128">IFERROR(INDEX($J$5:$AVX$5, _xlfn.AGGREGATE(15,6, COLUMN(J128:AVX128)-COLUMN(J128)+1 / (J128:AVX128="T"), F128)), "")</f>
        <v/>
      </c>
      <c r="F128" s="76">
        <f t="shared" si="21"/>
        <v>2</v>
      </c>
      <c r="G128" s="35" cm="1">
        <f t="array" ref="G128">IFERROR(INDEX($J$5:$AVW$5,_xlfn.AGGREGATE(14,6,(COLUMN($J128:$AVW128)-COLUMN($J128)+1)/($J128:$AVW128="T"),1)),"")</f>
        <v>45968</v>
      </c>
      <c r="H128" s="79">
        <f t="shared" si="22"/>
        <v>1</v>
      </c>
      <c r="I128" s="44" t="s">
        <v>10</v>
      </c>
      <c r="J128" s="33"/>
      <c r="K128" s="33"/>
      <c r="L128" s="33"/>
      <c r="M128" s="33"/>
      <c r="N128" s="33"/>
      <c r="O128" s="33"/>
      <c r="P128" s="25" t="s">
        <v>12</v>
      </c>
      <c r="Q128" s="27"/>
      <c r="R128" s="27"/>
      <c r="S128" s="27"/>
      <c r="T128" s="28"/>
      <c r="U128" s="27"/>
      <c r="V128" s="27"/>
      <c r="W128" s="29" t="s">
        <v>16</v>
      </c>
      <c r="X128" s="30" t="s">
        <v>13</v>
      </c>
      <c r="Y128" s="27"/>
      <c r="Z128" s="27"/>
      <c r="AA128" s="28"/>
      <c r="AB128" s="27"/>
      <c r="AC128" s="27"/>
      <c r="AD128" s="32" t="s">
        <v>14</v>
      </c>
      <c r="AE128" s="30" t="s">
        <v>11</v>
      </c>
      <c r="AF128" s="27"/>
      <c r="AG128" s="27"/>
      <c r="AH128" s="28"/>
      <c r="AI128" s="27"/>
      <c r="AJ128" s="29" t="s">
        <v>15</v>
      </c>
      <c r="AK128" s="27"/>
      <c r="AL128" s="27"/>
      <c r="AM128" s="25">
        <v>17</v>
      </c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C128" s="33"/>
      <c r="CD128" s="33"/>
      <c r="CE128" s="33"/>
      <c r="CF128" s="33"/>
      <c r="CG128" s="33"/>
      <c r="CH128" s="33"/>
      <c r="CI128" s="33"/>
      <c r="CJ128" s="33"/>
      <c r="CK128" s="33"/>
      <c r="CL128" s="33"/>
      <c r="CM128" s="33"/>
      <c r="CN128" s="33"/>
      <c r="CO128" s="33"/>
      <c r="CP128" s="33"/>
    </row>
    <row r="129" spans="1:95" s="40" customFormat="1" x14ac:dyDescent="0.25">
      <c r="A129" s="49" t="s">
        <v>56</v>
      </c>
      <c r="B129" s="49" t="s">
        <v>329</v>
      </c>
      <c r="C129" s="25" t="s">
        <v>474</v>
      </c>
      <c r="D129" s="25">
        <v>116</v>
      </c>
      <c r="E129" s="35" t="str" cm="1">
        <f t="array" ref="E129">IFERROR(INDEX($J$5:$AVX$5, _xlfn.AGGREGATE(15,6, COLUMN(J129:AVX129)-COLUMN(J129)+1 / (J129:AVX129="T"), F129)), "")</f>
        <v/>
      </c>
      <c r="F129" s="76">
        <f t="shared" si="21"/>
        <v>2</v>
      </c>
      <c r="G129" s="35" cm="1">
        <f t="array" ref="G129">IFERROR(INDEX($J$5:$AVW$5,_xlfn.AGGREGATE(14,6,(COLUMN($J129:$AVW129)-COLUMN($J129)+1)/($J129:$AVW129="T"),1)),"")</f>
        <v>45968</v>
      </c>
      <c r="H129" s="79">
        <f t="shared" si="22"/>
        <v>1</v>
      </c>
      <c r="I129" s="50" t="s">
        <v>10</v>
      </c>
      <c r="J129" s="33"/>
      <c r="K129" s="33"/>
      <c r="L129" s="33"/>
      <c r="M129" s="33"/>
      <c r="N129" s="33"/>
      <c r="O129" s="33"/>
      <c r="P129" s="25" t="s">
        <v>12</v>
      </c>
      <c r="Q129" s="27"/>
      <c r="R129" s="27"/>
      <c r="S129" s="27"/>
      <c r="T129" s="28"/>
      <c r="U129" s="27"/>
      <c r="V129" s="27"/>
      <c r="W129" s="29" t="s">
        <v>16</v>
      </c>
      <c r="X129" s="30" t="s">
        <v>13</v>
      </c>
      <c r="Y129" s="27"/>
      <c r="Z129" s="27"/>
      <c r="AA129" s="28"/>
      <c r="AB129" s="27"/>
      <c r="AC129" s="27"/>
      <c r="AD129" s="32" t="s">
        <v>14</v>
      </c>
      <c r="AE129" s="30" t="s">
        <v>11</v>
      </c>
      <c r="AF129" s="27"/>
      <c r="AG129" s="27"/>
      <c r="AH129" s="28"/>
      <c r="AI129" s="27"/>
      <c r="AJ129" s="29" t="s">
        <v>15</v>
      </c>
      <c r="AK129" s="27"/>
      <c r="AL129" s="27"/>
      <c r="AM129" s="25">
        <v>17</v>
      </c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3"/>
      <c r="CB129" s="33"/>
      <c r="CC129" s="33"/>
      <c r="CD129" s="33"/>
      <c r="CE129" s="33"/>
      <c r="CF129" s="33"/>
      <c r="CG129" s="33"/>
      <c r="CH129" s="33"/>
      <c r="CI129" s="33"/>
      <c r="CJ129" s="33"/>
      <c r="CK129" s="33"/>
      <c r="CL129" s="33"/>
      <c r="CM129" s="33"/>
      <c r="CN129" s="33"/>
      <c r="CO129" s="33"/>
      <c r="CP129" s="33"/>
    </row>
    <row r="130" spans="1:95" s="40" customFormat="1" x14ac:dyDescent="0.25">
      <c r="A130" s="49" t="s">
        <v>56</v>
      </c>
      <c r="B130" s="49" t="s">
        <v>330</v>
      </c>
      <c r="C130" s="25" t="s">
        <v>475</v>
      </c>
      <c r="D130" s="25">
        <v>117</v>
      </c>
      <c r="E130" s="35" t="str" cm="1">
        <f t="array" ref="E130">IFERROR(INDEX($J$5:$AVX$5, _xlfn.AGGREGATE(15,6, COLUMN(J130:AVX130)-COLUMN(J130)+1 / (J130:AVX130="T"), F130)), "")</f>
        <v/>
      </c>
      <c r="F130" s="76">
        <f t="shared" si="21"/>
        <v>2</v>
      </c>
      <c r="G130" s="35" t="str" cm="1">
        <f t="array" ref="G130">IFERROR(INDEX($J$5:$AVW$5,_xlfn.AGGREGATE(14,6,(COLUMN($J130:$AVW130)-COLUMN($J130)+1)/($J130:$AVW130="T"),1)),"")</f>
        <v/>
      </c>
      <c r="H130" s="79">
        <f t="shared" si="22"/>
        <v>0</v>
      </c>
      <c r="I130" s="50" t="s">
        <v>10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3"/>
      <c r="BA130" s="33"/>
      <c r="BB130" s="33"/>
      <c r="BC130" s="33"/>
      <c r="BD130" s="33"/>
      <c r="BE130" s="33"/>
      <c r="BF130" s="33"/>
      <c r="BG130" s="33"/>
      <c r="BH130" s="33"/>
      <c r="BI130" s="33"/>
      <c r="BJ130" s="33"/>
      <c r="BK130" s="33"/>
      <c r="BL130" s="33"/>
      <c r="BM130" s="33"/>
      <c r="BN130" s="33"/>
      <c r="BO130" s="33"/>
      <c r="BP130" s="33"/>
      <c r="BQ130" s="33"/>
      <c r="BR130" s="33"/>
      <c r="BS130" s="33"/>
      <c r="BT130" s="33"/>
      <c r="BU130" s="33"/>
      <c r="BV130" s="33"/>
      <c r="BW130" s="33"/>
      <c r="BX130" s="33"/>
      <c r="BY130" s="33"/>
      <c r="BZ130" s="33"/>
      <c r="CA130" s="33"/>
      <c r="CB130" s="33"/>
      <c r="CC130" s="33"/>
      <c r="CD130" s="33"/>
      <c r="CE130" s="33"/>
      <c r="CF130" s="33"/>
      <c r="CG130" s="33"/>
      <c r="CH130" s="33"/>
      <c r="CI130" s="33"/>
      <c r="CJ130" s="33"/>
      <c r="CK130" s="33"/>
      <c r="CL130" s="33"/>
      <c r="CM130" s="33"/>
      <c r="CN130" s="33"/>
      <c r="CO130" s="33"/>
      <c r="CP130" s="33"/>
    </row>
    <row r="131" spans="1:95" s="40" customFormat="1" x14ac:dyDescent="0.25">
      <c r="A131" s="25" t="s">
        <v>132</v>
      </c>
      <c r="B131" s="25" t="s">
        <v>214</v>
      </c>
      <c r="C131" s="25" t="s">
        <v>476</v>
      </c>
      <c r="D131" s="25">
        <v>118</v>
      </c>
      <c r="E131" s="35" cm="1">
        <f t="array" ref="E131">IFERROR(INDEX($J$5:$AVX$5, _xlfn.AGGREGATE(15,6, COLUMN(J131:AVX131)-COLUMN(J131)+1 / (J131:AVX131="T"), F131)), "")</f>
        <v>45998</v>
      </c>
      <c r="F131" s="76">
        <f t="shared" si="21"/>
        <v>2</v>
      </c>
      <c r="G131" s="35" cm="1">
        <f t="array" ref="G131">IFERROR(INDEX($J$5:$AVW$5,_xlfn.AGGREGATE(14,6,(COLUMN($J131:$AVW131)-COLUMN($J131)+1)/($J131:$AVW131="T"),1)),"")</f>
        <v>45998</v>
      </c>
      <c r="H131" s="79">
        <f t="shared" si="22"/>
        <v>2</v>
      </c>
      <c r="I131" s="38" t="s">
        <v>10</v>
      </c>
      <c r="J131" s="33"/>
      <c r="K131" s="33"/>
      <c r="L131" s="33"/>
      <c r="M131" s="33"/>
      <c r="N131" s="33"/>
      <c r="O131" s="33"/>
      <c r="P131" s="33"/>
      <c r="Q131" s="25" t="s">
        <v>12</v>
      </c>
      <c r="R131" s="27"/>
      <c r="S131" s="27"/>
      <c r="T131" s="27"/>
      <c r="U131" s="28"/>
      <c r="V131" s="27"/>
      <c r="W131" s="27"/>
      <c r="X131" s="29" t="s">
        <v>16</v>
      </c>
      <c r="Y131" s="30" t="s">
        <v>13</v>
      </c>
      <c r="Z131" s="27"/>
      <c r="AA131" s="27"/>
      <c r="AB131" s="28"/>
      <c r="AC131" s="27"/>
      <c r="AD131" s="27"/>
      <c r="AE131" s="32" t="s">
        <v>14</v>
      </c>
      <c r="AF131" s="30" t="s">
        <v>11</v>
      </c>
      <c r="AG131" s="27"/>
      <c r="AH131" s="27"/>
      <c r="AI131" s="28"/>
      <c r="AJ131" s="27"/>
      <c r="AK131" s="29" t="s">
        <v>15</v>
      </c>
      <c r="AL131" s="27"/>
      <c r="AM131" s="27"/>
      <c r="AN131" s="25">
        <v>17</v>
      </c>
      <c r="AO131" s="33"/>
      <c r="AP131" s="33"/>
      <c r="AQ131" s="33"/>
      <c r="AR131" s="33"/>
      <c r="AS131" s="33"/>
      <c r="AT131" s="25" t="s">
        <v>12</v>
      </c>
      <c r="AU131" s="27"/>
      <c r="AV131" s="27"/>
      <c r="AW131" s="27"/>
      <c r="AX131" s="28"/>
      <c r="AY131" s="27"/>
      <c r="AZ131" s="27"/>
      <c r="BA131" s="29" t="s">
        <v>16</v>
      </c>
      <c r="BB131" s="30" t="s">
        <v>13</v>
      </c>
      <c r="BC131" s="27"/>
      <c r="BD131" s="27"/>
      <c r="BE131" s="28"/>
      <c r="BF131" s="27"/>
      <c r="BG131" s="27"/>
      <c r="BH131" s="32" t="s">
        <v>14</v>
      </c>
      <c r="BI131" s="30" t="s">
        <v>11</v>
      </c>
      <c r="BJ131" s="27"/>
      <c r="BK131" s="27"/>
      <c r="BL131" s="28"/>
      <c r="BM131" s="27"/>
      <c r="BN131" s="29" t="s">
        <v>15</v>
      </c>
      <c r="BO131" s="27"/>
      <c r="BP131" s="27"/>
      <c r="BQ131" s="25">
        <v>17</v>
      </c>
      <c r="BR131" s="33"/>
      <c r="BS131" s="33"/>
      <c r="BT131" s="33"/>
      <c r="BU131" s="33"/>
      <c r="BV131" s="33"/>
      <c r="BW131" s="33"/>
      <c r="BX131" s="33"/>
      <c r="BY131" s="33"/>
      <c r="BZ131" s="33"/>
      <c r="CA131" s="33"/>
      <c r="CB131" s="33"/>
      <c r="CC131" s="33"/>
      <c r="CD131" s="33"/>
      <c r="CE131" s="33"/>
      <c r="CF131" s="33"/>
      <c r="CG131" s="33"/>
      <c r="CH131" s="33"/>
      <c r="CI131" s="33"/>
      <c r="CJ131" s="33"/>
      <c r="CK131" s="33"/>
      <c r="CL131" s="33"/>
      <c r="CM131" s="33"/>
      <c r="CN131" s="33"/>
      <c r="CO131" s="33"/>
      <c r="CP131" s="33"/>
    </row>
    <row r="132" spans="1:95" s="40" customFormat="1" x14ac:dyDescent="0.25">
      <c r="A132" s="25" t="s">
        <v>132</v>
      </c>
      <c r="B132" s="25" t="s">
        <v>215</v>
      </c>
      <c r="C132" s="25" t="s">
        <v>477</v>
      </c>
      <c r="D132" s="25">
        <v>119</v>
      </c>
      <c r="E132" s="35" cm="1">
        <f t="array" ref="E132">IFERROR(INDEX($J$5:$AVX$5, _xlfn.AGGREGATE(15,6, COLUMN(J132:AVX132)-COLUMN(J132)+1 / (J132:AVX132="T"), F132)), "")</f>
        <v>45998</v>
      </c>
      <c r="F132" s="76">
        <f t="shared" si="21"/>
        <v>2</v>
      </c>
      <c r="G132" s="35" cm="1">
        <f t="array" ref="G132">IFERROR(INDEX($J$5:$AVW$5,_xlfn.AGGREGATE(14,6,(COLUMN($J132:$AVW132)-COLUMN($J132)+1)/($J132:$AVW132="T"),1)),"")</f>
        <v>45998</v>
      </c>
      <c r="H132" s="79">
        <f t="shared" si="22"/>
        <v>2</v>
      </c>
      <c r="I132" s="38" t="s">
        <v>10</v>
      </c>
      <c r="J132" s="33"/>
      <c r="K132" s="33"/>
      <c r="L132" s="33"/>
      <c r="M132" s="33"/>
      <c r="N132" s="33"/>
      <c r="O132" s="33"/>
      <c r="P132" s="33"/>
      <c r="Q132" s="25" t="s">
        <v>12</v>
      </c>
      <c r="R132" s="27"/>
      <c r="S132" s="27"/>
      <c r="T132" s="27"/>
      <c r="U132" s="28"/>
      <c r="V132" s="27"/>
      <c r="W132" s="27"/>
      <c r="X132" s="29" t="s">
        <v>16</v>
      </c>
      <c r="Y132" s="30" t="s">
        <v>13</v>
      </c>
      <c r="Z132" s="27"/>
      <c r="AA132" s="27"/>
      <c r="AB132" s="28"/>
      <c r="AC132" s="27"/>
      <c r="AD132" s="27"/>
      <c r="AE132" s="29" t="s">
        <v>14</v>
      </c>
      <c r="AF132" s="30" t="s">
        <v>11</v>
      </c>
      <c r="AG132" s="37"/>
      <c r="AH132" s="27"/>
      <c r="AI132" s="28"/>
      <c r="AJ132" s="27"/>
      <c r="AK132" s="29" t="s">
        <v>15</v>
      </c>
      <c r="AL132" s="27"/>
      <c r="AM132" s="27"/>
      <c r="AN132" s="25">
        <v>17</v>
      </c>
      <c r="AO132" s="33"/>
      <c r="AP132" s="33"/>
      <c r="AQ132" s="33"/>
      <c r="AR132" s="33"/>
      <c r="AS132" s="33"/>
      <c r="AT132" s="25" t="s">
        <v>12</v>
      </c>
      <c r="AU132" s="27"/>
      <c r="AV132" s="27"/>
      <c r="AW132" s="27"/>
      <c r="AX132" s="28"/>
      <c r="AY132" s="27"/>
      <c r="AZ132" s="27"/>
      <c r="BA132" s="29" t="s">
        <v>16</v>
      </c>
      <c r="BB132" s="30" t="s">
        <v>13</v>
      </c>
      <c r="BC132" s="27"/>
      <c r="BD132" s="27"/>
      <c r="BE132" s="28"/>
      <c r="BF132" s="27"/>
      <c r="BG132" s="27"/>
      <c r="BH132" s="32" t="s">
        <v>14</v>
      </c>
      <c r="BI132" s="30" t="s">
        <v>11</v>
      </c>
      <c r="BJ132" s="27"/>
      <c r="BK132" s="27"/>
      <c r="BL132" s="28"/>
      <c r="BM132" s="27"/>
      <c r="BN132" s="29" t="s">
        <v>15</v>
      </c>
      <c r="BO132" s="27"/>
      <c r="BP132" s="27"/>
      <c r="BQ132" s="25">
        <v>17</v>
      </c>
      <c r="BR132" s="33"/>
      <c r="BS132" s="33"/>
      <c r="BT132" s="33"/>
      <c r="BU132" s="33"/>
      <c r="BV132" s="33"/>
      <c r="BW132" s="33"/>
      <c r="BX132" s="33"/>
      <c r="BY132" s="33"/>
      <c r="BZ132" s="33"/>
      <c r="CA132" s="33"/>
      <c r="CB132" s="33"/>
      <c r="CC132" s="33"/>
      <c r="CD132" s="33"/>
      <c r="CE132" s="33"/>
      <c r="CF132" s="33"/>
      <c r="CG132" s="33"/>
      <c r="CH132" s="33"/>
      <c r="CI132" s="33"/>
      <c r="CJ132" s="33"/>
      <c r="CK132" s="33"/>
      <c r="CL132" s="33"/>
      <c r="CM132" s="33"/>
      <c r="CN132" s="33"/>
      <c r="CO132" s="33"/>
      <c r="CP132" s="33"/>
    </row>
    <row r="133" spans="1:95" s="40" customFormat="1" x14ac:dyDescent="0.25">
      <c r="A133" s="25" t="s">
        <v>132</v>
      </c>
      <c r="B133" s="25" t="s">
        <v>216</v>
      </c>
      <c r="C133" s="25" t="s">
        <v>478</v>
      </c>
      <c r="D133" s="25">
        <v>120</v>
      </c>
      <c r="E133" s="35" cm="1">
        <f t="array" ref="E133">IFERROR(INDEX($J$5:$AVX$5, _xlfn.AGGREGATE(15,6, COLUMN(J133:AVX133)-COLUMN(J133)+1 / (J133:AVX133="T"), F133)), "")</f>
        <v>45998</v>
      </c>
      <c r="F133" s="76">
        <f t="shared" si="21"/>
        <v>2</v>
      </c>
      <c r="G133" s="35" cm="1">
        <f t="array" ref="G133">IFERROR(INDEX($J$5:$AVW$5,_xlfn.AGGREGATE(14,6,(COLUMN($J133:$AVW133)-COLUMN($J133)+1)/($J133:$AVW133="T"),1)),"")</f>
        <v>45998</v>
      </c>
      <c r="H133" s="79">
        <f t="shared" si="22"/>
        <v>2</v>
      </c>
      <c r="I133" s="38" t="s">
        <v>10</v>
      </c>
      <c r="J133" s="33"/>
      <c r="K133" s="33"/>
      <c r="L133" s="33"/>
      <c r="M133" s="33"/>
      <c r="N133" s="33"/>
      <c r="O133" s="33"/>
      <c r="P133" s="33"/>
      <c r="Q133" s="25" t="s">
        <v>12</v>
      </c>
      <c r="R133" s="27"/>
      <c r="S133" s="27"/>
      <c r="T133" s="27"/>
      <c r="U133" s="28"/>
      <c r="V133" s="27"/>
      <c r="W133" s="27"/>
      <c r="X133" s="29" t="s">
        <v>16</v>
      </c>
      <c r="Y133" s="30" t="s">
        <v>13</v>
      </c>
      <c r="Z133" s="27"/>
      <c r="AA133" s="27"/>
      <c r="AB133" s="28"/>
      <c r="AC133" s="27"/>
      <c r="AD133" s="27"/>
      <c r="AE133" s="29" t="s">
        <v>14</v>
      </c>
      <c r="AF133" s="30" t="s">
        <v>11</v>
      </c>
      <c r="AG133" s="37"/>
      <c r="AH133" s="27"/>
      <c r="AI133" s="28"/>
      <c r="AJ133" s="27"/>
      <c r="AK133" s="29" t="s">
        <v>15</v>
      </c>
      <c r="AL133" s="27"/>
      <c r="AM133" s="27"/>
      <c r="AN133" s="25">
        <v>17</v>
      </c>
      <c r="AO133" s="33"/>
      <c r="AP133" s="33"/>
      <c r="AQ133" s="33"/>
      <c r="AR133" s="33"/>
      <c r="AS133" s="33"/>
      <c r="AT133" s="25" t="s">
        <v>12</v>
      </c>
      <c r="AU133" s="27"/>
      <c r="AV133" s="27"/>
      <c r="AW133" s="27"/>
      <c r="AX133" s="28"/>
      <c r="AY133" s="27"/>
      <c r="AZ133" s="27"/>
      <c r="BA133" s="29" t="s">
        <v>16</v>
      </c>
      <c r="BB133" s="30" t="s">
        <v>13</v>
      </c>
      <c r="BC133" s="27"/>
      <c r="BD133" s="27"/>
      <c r="BE133" s="28"/>
      <c r="BF133" s="27"/>
      <c r="BG133" s="27"/>
      <c r="BH133" s="32" t="s">
        <v>14</v>
      </c>
      <c r="BI133" s="30" t="s">
        <v>11</v>
      </c>
      <c r="BJ133" s="27"/>
      <c r="BK133" s="27"/>
      <c r="BL133" s="28"/>
      <c r="BM133" s="27"/>
      <c r="BN133" s="29" t="s">
        <v>15</v>
      </c>
      <c r="BO133" s="27"/>
      <c r="BP133" s="27"/>
      <c r="BQ133" s="25">
        <v>17</v>
      </c>
      <c r="BR133" s="33"/>
      <c r="BS133" s="33"/>
      <c r="BT133" s="33"/>
      <c r="BU133" s="33"/>
      <c r="BV133" s="33"/>
      <c r="BW133" s="33"/>
      <c r="BX133" s="33"/>
      <c r="BY133" s="33"/>
      <c r="BZ133" s="33"/>
      <c r="CA133" s="33"/>
      <c r="CB133" s="33"/>
      <c r="CC133" s="33"/>
      <c r="CD133" s="33"/>
      <c r="CE133" s="33"/>
      <c r="CF133" s="33"/>
      <c r="CG133" s="33"/>
      <c r="CH133" s="33"/>
      <c r="CI133" s="33"/>
      <c r="CJ133" s="33"/>
      <c r="CK133" s="33"/>
      <c r="CL133" s="33"/>
      <c r="CM133" s="33"/>
      <c r="CN133" s="33"/>
      <c r="CO133" s="33"/>
      <c r="CP133" s="33"/>
    </row>
    <row r="134" spans="1:95" s="40" customFormat="1" x14ac:dyDescent="0.25">
      <c r="A134" s="25" t="s">
        <v>132</v>
      </c>
      <c r="B134" s="25" t="s">
        <v>217</v>
      </c>
      <c r="C134" s="25" t="s">
        <v>479</v>
      </c>
      <c r="D134" s="25">
        <v>121</v>
      </c>
      <c r="E134" s="35" cm="1">
        <f t="array" ref="E134">IFERROR(INDEX($J$5:$AVX$5, _xlfn.AGGREGATE(15,6, COLUMN(J134:AVX134)-COLUMN(J134)+1 / (J134:AVX134="T"), F134)), "")</f>
        <v>45998</v>
      </c>
      <c r="F134" s="76">
        <f t="shared" si="21"/>
        <v>2</v>
      </c>
      <c r="G134" s="35" cm="1">
        <f t="array" ref="G134">IFERROR(INDEX($J$5:$AVW$5,_xlfn.AGGREGATE(14,6,(COLUMN($J134:$AVW134)-COLUMN($J134)+1)/($J134:$AVW134="T"),1)),"")</f>
        <v>45998</v>
      </c>
      <c r="H134" s="79">
        <f t="shared" si="22"/>
        <v>2</v>
      </c>
      <c r="I134" s="38" t="s">
        <v>10</v>
      </c>
      <c r="J134" s="33"/>
      <c r="K134" s="33"/>
      <c r="L134" s="33"/>
      <c r="M134" s="33"/>
      <c r="N134" s="33"/>
      <c r="O134" s="33"/>
      <c r="P134" s="33"/>
      <c r="Q134" s="25" t="s">
        <v>12</v>
      </c>
      <c r="R134" s="27"/>
      <c r="S134" s="27"/>
      <c r="T134" s="27"/>
      <c r="U134" s="28"/>
      <c r="V134" s="27"/>
      <c r="W134" s="27"/>
      <c r="X134" s="29" t="s">
        <v>16</v>
      </c>
      <c r="Y134" s="30" t="s">
        <v>13</v>
      </c>
      <c r="Z134" s="27"/>
      <c r="AA134" s="27"/>
      <c r="AB134" s="28"/>
      <c r="AC134" s="27"/>
      <c r="AD134" s="27"/>
      <c r="AE134" s="29" t="s">
        <v>14</v>
      </c>
      <c r="AF134" s="30" t="s">
        <v>11</v>
      </c>
      <c r="AG134" s="37"/>
      <c r="AH134" s="27"/>
      <c r="AI134" s="28"/>
      <c r="AJ134" s="27"/>
      <c r="AK134" s="29" t="s">
        <v>15</v>
      </c>
      <c r="AL134" s="27"/>
      <c r="AM134" s="27"/>
      <c r="AN134" s="25">
        <v>17</v>
      </c>
      <c r="AO134" s="33"/>
      <c r="AP134" s="33"/>
      <c r="AQ134" s="33"/>
      <c r="AR134" s="33"/>
      <c r="AS134" s="33"/>
      <c r="AT134" s="25" t="s">
        <v>12</v>
      </c>
      <c r="AU134" s="27"/>
      <c r="AV134" s="27"/>
      <c r="AW134" s="27"/>
      <c r="AX134" s="28"/>
      <c r="AY134" s="27"/>
      <c r="AZ134" s="27"/>
      <c r="BA134" s="29" t="s">
        <v>16</v>
      </c>
      <c r="BB134" s="30" t="s">
        <v>13</v>
      </c>
      <c r="BC134" s="27"/>
      <c r="BD134" s="27"/>
      <c r="BE134" s="28"/>
      <c r="BF134" s="27"/>
      <c r="BG134" s="27"/>
      <c r="BH134" s="32" t="s">
        <v>14</v>
      </c>
      <c r="BI134" s="30" t="s">
        <v>11</v>
      </c>
      <c r="BJ134" s="27"/>
      <c r="BK134" s="27"/>
      <c r="BL134" s="28"/>
      <c r="BM134" s="27"/>
      <c r="BN134" s="29" t="s">
        <v>15</v>
      </c>
      <c r="BO134" s="27"/>
      <c r="BP134" s="27"/>
      <c r="BQ134" s="25">
        <v>17</v>
      </c>
      <c r="BR134" s="33"/>
      <c r="BS134" s="33"/>
      <c r="BT134" s="33"/>
      <c r="BU134" s="33"/>
      <c r="BV134" s="33"/>
      <c r="BW134" s="33"/>
      <c r="BX134" s="33"/>
      <c r="BY134" s="33"/>
      <c r="BZ134" s="33"/>
      <c r="CA134" s="33"/>
      <c r="CB134" s="33"/>
      <c r="CC134" s="33"/>
      <c r="CD134" s="33"/>
      <c r="CE134" s="33"/>
      <c r="CF134" s="33"/>
      <c r="CG134" s="33"/>
      <c r="CH134" s="33"/>
      <c r="CI134" s="33"/>
      <c r="CJ134" s="33"/>
      <c r="CK134" s="33"/>
      <c r="CL134" s="33"/>
      <c r="CM134" s="33"/>
      <c r="CN134" s="33"/>
      <c r="CO134" s="33"/>
      <c r="CP134" s="33"/>
    </row>
    <row r="135" spans="1:95" x14ac:dyDescent="0.25">
      <c r="A135" s="25" t="s">
        <v>132</v>
      </c>
      <c r="B135" s="25" t="s">
        <v>218</v>
      </c>
      <c r="C135" s="25" t="s">
        <v>480</v>
      </c>
      <c r="D135" s="25">
        <v>122</v>
      </c>
      <c r="E135" s="35" cm="1">
        <f t="array" ref="E135">IFERROR(INDEX($J$5:$AVX$5, _xlfn.AGGREGATE(15,6, COLUMN(J135:AVX135)-COLUMN(J135)+1 / (J135:AVX135="T"), F135)), "")</f>
        <v>45998</v>
      </c>
      <c r="F135" s="76">
        <f t="shared" si="21"/>
        <v>2</v>
      </c>
      <c r="G135" s="35" cm="1">
        <f t="array" ref="G135">IFERROR(INDEX($J$5:$AVW$5,_xlfn.AGGREGATE(14,6,(COLUMN($J135:$AVW135)-COLUMN($J135)+1)/($J135:$AVW135="T"),1)),"")</f>
        <v>45998</v>
      </c>
      <c r="H135" s="79">
        <f t="shared" si="22"/>
        <v>2</v>
      </c>
      <c r="I135" s="38" t="s">
        <v>10</v>
      </c>
      <c r="J135" s="33"/>
      <c r="K135" s="33"/>
      <c r="L135" s="33"/>
      <c r="M135" s="33"/>
      <c r="N135" s="33"/>
      <c r="O135" s="33"/>
      <c r="P135" s="33"/>
      <c r="Q135" s="25" t="s">
        <v>12</v>
      </c>
      <c r="R135" s="27"/>
      <c r="S135" s="27"/>
      <c r="T135" s="27"/>
      <c r="U135" s="28"/>
      <c r="V135" s="27"/>
      <c r="W135" s="27"/>
      <c r="X135" s="29" t="s">
        <v>16</v>
      </c>
      <c r="Y135" s="30" t="s">
        <v>13</v>
      </c>
      <c r="Z135" s="27"/>
      <c r="AA135" s="27"/>
      <c r="AB135" s="28"/>
      <c r="AC135" s="27"/>
      <c r="AD135" s="27"/>
      <c r="AE135" s="29" t="s">
        <v>14</v>
      </c>
      <c r="AF135" s="30" t="s">
        <v>11</v>
      </c>
      <c r="AG135" s="37"/>
      <c r="AH135" s="27"/>
      <c r="AI135" s="28"/>
      <c r="AJ135" s="27"/>
      <c r="AK135" s="29" t="s">
        <v>15</v>
      </c>
      <c r="AL135" s="27"/>
      <c r="AM135" s="27"/>
      <c r="AN135" s="25">
        <v>17</v>
      </c>
      <c r="AO135" s="33"/>
      <c r="AP135" s="33"/>
      <c r="AQ135" s="33"/>
      <c r="AR135" s="33"/>
      <c r="AS135" s="33"/>
      <c r="AT135" s="25" t="s">
        <v>12</v>
      </c>
      <c r="AU135" s="27"/>
      <c r="AV135" s="27"/>
      <c r="AW135" s="27"/>
      <c r="AX135" s="28"/>
      <c r="AY135" s="27"/>
      <c r="AZ135" s="27"/>
      <c r="BA135" s="29" t="s">
        <v>16</v>
      </c>
      <c r="BB135" s="30" t="s">
        <v>13</v>
      </c>
      <c r="BC135" s="27"/>
      <c r="BD135" s="27"/>
      <c r="BE135" s="28"/>
      <c r="BF135" s="27"/>
      <c r="BG135" s="27"/>
      <c r="BH135" s="32" t="s">
        <v>14</v>
      </c>
      <c r="BI135" s="30" t="s">
        <v>11</v>
      </c>
      <c r="BJ135" s="27"/>
      <c r="BK135" s="27"/>
      <c r="BL135" s="28"/>
      <c r="BM135" s="27"/>
      <c r="BN135" s="29" t="s">
        <v>15</v>
      </c>
      <c r="BO135" s="27"/>
      <c r="BP135" s="27"/>
      <c r="BQ135" s="25">
        <v>17</v>
      </c>
      <c r="BR135" s="33"/>
      <c r="BS135" s="33"/>
      <c r="BT135" s="33"/>
      <c r="BU135" s="33"/>
      <c r="BV135" s="33"/>
      <c r="BW135" s="33"/>
      <c r="BX135" s="33"/>
      <c r="BY135" s="33"/>
      <c r="BZ135" s="33"/>
      <c r="CA135" s="33"/>
      <c r="CB135" s="33"/>
      <c r="CC135" s="33"/>
      <c r="CD135" s="33"/>
      <c r="CE135" s="33"/>
      <c r="CF135" s="33"/>
      <c r="CG135" s="33"/>
      <c r="CH135" s="33"/>
      <c r="CI135" s="33"/>
      <c r="CJ135" s="33"/>
      <c r="CK135" s="33"/>
      <c r="CL135" s="33"/>
      <c r="CM135" s="33"/>
      <c r="CN135" s="33"/>
      <c r="CO135" s="33"/>
      <c r="CP135" s="33"/>
    </row>
    <row r="136" spans="1:95" x14ac:dyDescent="0.25">
      <c r="A136" s="25" t="s">
        <v>132</v>
      </c>
      <c r="B136" s="25" t="s">
        <v>219</v>
      </c>
      <c r="C136" s="25" t="s">
        <v>481</v>
      </c>
      <c r="D136" s="25">
        <v>123</v>
      </c>
      <c r="E136" s="35" cm="1">
        <f t="array" ref="E136">IFERROR(INDEX($J$5:$AVX$5, _xlfn.AGGREGATE(15,6, COLUMN(J136:AVX136)-COLUMN(J136)+1 / (J136:AVX136="T"), F136)), "")</f>
        <v>45998</v>
      </c>
      <c r="F136" s="76">
        <f t="shared" si="21"/>
        <v>2</v>
      </c>
      <c r="G136" s="35" cm="1">
        <f t="array" ref="G136">IFERROR(INDEX($J$5:$AVW$5,_xlfn.AGGREGATE(14,6,(COLUMN($J136:$AVW136)-COLUMN($J136)+1)/($J136:$AVW136="T"),1)),"")</f>
        <v>45998</v>
      </c>
      <c r="H136" s="79">
        <f t="shared" si="22"/>
        <v>2</v>
      </c>
      <c r="I136" s="38" t="s">
        <v>10</v>
      </c>
      <c r="J136" s="33"/>
      <c r="K136" s="33"/>
      <c r="L136" s="33"/>
      <c r="M136" s="33"/>
      <c r="N136" s="33"/>
      <c r="O136" s="33"/>
      <c r="P136" s="33"/>
      <c r="Q136" s="25" t="s">
        <v>12</v>
      </c>
      <c r="R136" s="27"/>
      <c r="S136" s="27"/>
      <c r="T136" s="27"/>
      <c r="U136" s="28"/>
      <c r="V136" s="27"/>
      <c r="W136" s="27"/>
      <c r="X136" s="29" t="s">
        <v>16</v>
      </c>
      <c r="Y136" s="30" t="s">
        <v>13</v>
      </c>
      <c r="Z136" s="27"/>
      <c r="AA136" s="27"/>
      <c r="AB136" s="28"/>
      <c r="AC136" s="27"/>
      <c r="AD136" s="27"/>
      <c r="AE136" s="29" t="s">
        <v>14</v>
      </c>
      <c r="AF136" s="30" t="s">
        <v>11</v>
      </c>
      <c r="AG136" s="37"/>
      <c r="AH136" s="27"/>
      <c r="AI136" s="28"/>
      <c r="AJ136" s="27"/>
      <c r="AK136" s="29" t="s">
        <v>15</v>
      </c>
      <c r="AL136" s="27"/>
      <c r="AM136" s="27"/>
      <c r="AN136" s="25">
        <v>17</v>
      </c>
      <c r="AO136" s="33"/>
      <c r="AP136" s="33"/>
      <c r="AQ136" s="33"/>
      <c r="AR136" s="33"/>
      <c r="AS136" s="33"/>
      <c r="AT136" s="25" t="s">
        <v>12</v>
      </c>
      <c r="AU136" s="27"/>
      <c r="AV136" s="27"/>
      <c r="AW136" s="27"/>
      <c r="AX136" s="28"/>
      <c r="AY136" s="27"/>
      <c r="AZ136" s="27"/>
      <c r="BA136" s="29" t="s">
        <v>16</v>
      </c>
      <c r="BB136" s="30" t="s">
        <v>13</v>
      </c>
      <c r="BC136" s="27"/>
      <c r="BD136" s="27"/>
      <c r="BE136" s="28"/>
      <c r="BF136" s="27"/>
      <c r="BG136" s="27"/>
      <c r="BH136" s="32" t="s">
        <v>14</v>
      </c>
      <c r="BI136" s="30" t="s">
        <v>11</v>
      </c>
      <c r="BJ136" s="27"/>
      <c r="BK136" s="27"/>
      <c r="BL136" s="28"/>
      <c r="BM136" s="27"/>
      <c r="BN136" s="29" t="s">
        <v>15</v>
      </c>
      <c r="BO136" s="27"/>
      <c r="BP136" s="27"/>
      <c r="BQ136" s="25">
        <v>17</v>
      </c>
      <c r="BR136" s="33"/>
      <c r="BS136" s="33"/>
      <c r="BT136" s="33"/>
      <c r="BU136" s="33"/>
      <c r="BV136" s="33"/>
      <c r="BW136" s="33"/>
      <c r="BX136" s="33"/>
      <c r="BY136" s="33"/>
      <c r="BZ136" s="33"/>
      <c r="CA136" s="33"/>
      <c r="CB136" s="33"/>
      <c r="CC136" s="33"/>
      <c r="CD136" s="33"/>
      <c r="CE136" s="33"/>
      <c r="CF136" s="33"/>
      <c r="CG136" s="33"/>
      <c r="CH136" s="33"/>
      <c r="CI136" s="33"/>
      <c r="CJ136" s="33"/>
      <c r="CK136" s="33"/>
      <c r="CL136" s="33"/>
      <c r="CM136" s="33"/>
      <c r="CN136" s="33"/>
      <c r="CO136" s="33"/>
      <c r="CP136" s="33"/>
    </row>
    <row r="137" spans="1:95" x14ac:dyDescent="0.25">
      <c r="A137" s="25" t="s">
        <v>132</v>
      </c>
      <c r="B137" s="25" t="s">
        <v>220</v>
      </c>
      <c r="C137" s="25" t="s">
        <v>482</v>
      </c>
      <c r="D137" s="25">
        <v>124</v>
      </c>
      <c r="E137" s="35" cm="1">
        <f t="array" ref="E137">IFERROR(INDEX($J$5:$AVX$5, _xlfn.AGGREGATE(15,6, COLUMN(J137:AVX137)-COLUMN(J137)+1 / (J137:AVX137="T"), F137)), "")</f>
        <v>45998</v>
      </c>
      <c r="F137" s="76">
        <f t="shared" si="21"/>
        <v>2</v>
      </c>
      <c r="G137" s="35" cm="1">
        <f t="array" ref="G137">IFERROR(INDEX($J$5:$AVW$5,_xlfn.AGGREGATE(14,6,(COLUMN($J137:$AVW137)-COLUMN($J137)+1)/($J137:$AVW137="T"),1)),"")</f>
        <v>45998</v>
      </c>
      <c r="H137" s="79">
        <f t="shared" si="22"/>
        <v>2</v>
      </c>
      <c r="I137" s="38" t="s">
        <v>10</v>
      </c>
      <c r="J137" s="33"/>
      <c r="K137" s="33"/>
      <c r="L137" s="33"/>
      <c r="M137" s="33"/>
      <c r="N137" s="33"/>
      <c r="O137" s="33"/>
      <c r="P137" s="33"/>
      <c r="Q137" s="25" t="s">
        <v>12</v>
      </c>
      <c r="R137" s="27"/>
      <c r="S137" s="27"/>
      <c r="T137" s="27"/>
      <c r="U137" s="28"/>
      <c r="V137" s="27"/>
      <c r="W137" s="27"/>
      <c r="X137" s="29" t="s">
        <v>16</v>
      </c>
      <c r="Y137" s="30" t="s">
        <v>13</v>
      </c>
      <c r="Z137" s="27"/>
      <c r="AA137" s="27"/>
      <c r="AB137" s="28"/>
      <c r="AC137" s="27"/>
      <c r="AD137" s="27"/>
      <c r="AE137" s="29" t="s">
        <v>14</v>
      </c>
      <c r="AF137" s="30" t="s">
        <v>11</v>
      </c>
      <c r="AG137" s="37"/>
      <c r="AH137" s="27"/>
      <c r="AI137" s="28"/>
      <c r="AJ137" s="27"/>
      <c r="AK137" s="29" t="s">
        <v>15</v>
      </c>
      <c r="AL137" s="27"/>
      <c r="AM137" s="27"/>
      <c r="AN137" s="25">
        <v>17</v>
      </c>
      <c r="AO137" s="33"/>
      <c r="AP137" s="33"/>
      <c r="AQ137" s="33"/>
      <c r="AR137" s="33"/>
      <c r="AS137" s="33"/>
      <c r="AT137" s="25" t="s">
        <v>12</v>
      </c>
      <c r="AU137" s="27"/>
      <c r="AV137" s="27"/>
      <c r="AW137" s="27"/>
      <c r="AX137" s="28"/>
      <c r="AY137" s="27"/>
      <c r="AZ137" s="27"/>
      <c r="BA137" s="29" t="s">
        <v>16</v>
      </c>
      <c r="BB137" s="30" t="s">
        <v>13</v>
      </c>
      <c r="BC137" s="27"/>
      <c r="BD137" s="27"/>
      <c r="BE137" s="28"/>
      <c r="BF137" s="27"/>
      <c r="BG137" s="27"/>
      <c r="BH137" s="32" t="s">
        <v>14</v>
      </c>
      <c r="BI137" s="30" t="s">
        <v>11</v>
      </c>
      <c r="BJ137" s="27"/>
      <c r="BK137" s="27"/>
      <c r="BL137" s="28"/>
      <c r="BM137" s="27"/>
      <c r="BN137" s="29" t="s">
        <v>15</v>
      </c>
      <c r="BO137" s="27"/>
      <c r="BP137" s="27"/>
      <c r="BQ137" s="25">
        <v>17</v>
      </c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</row>
    <row r="138" spans="1:95" x14ac:dyDescent="0.25">
      <c r="A138" s="25" t="s">
        <v>132</v>
      </c>
      <c r="B138" s="25" t="s">
        <v>221</v>
      </c>
      <c r="C138" s="25" t="s">
        <v>483</v>
      </c>
      <c r="D138" s="25">
        <v>125</v>
      </c>
      <c r="E138" s="35" cm="1">
        <f t="array" ref="E138">IFERROR(INDEX($J$5:$AVX$5, _xlfn.AGGREGATE(15,6, COLUMN(J138:AVX138)-COLUMN(J138)+1 / (J138:AVX138="T"), F138)), "")</f>
        <v>45999</v>
      </c>
      <c r="F138" s="76">
        <f t="shared" si="21"/>
        <v>2</v>
      </c>
      <c r="G138" s="35" cm="1">
        <f t="array" ref="G138">IFERROR(INDEX($J$5:$AVW$5,_xlfn.AGGREGATE(14,6,(COLUMN($J138:$AVW138)-COLUMN($J138)+1)/($J138:$AVW138="T"),1)),"")</f>
        <v>45999</v>
      </c>
      <c r="H138" s="79">
        <f t="shared" si="22"/>
        <v>2</v>
      </c>
      <c r="I138" s="38" t="s">
        <v>10</v>
      </c>
      <c r="J138" s="33"/>
      <c r="K138" s="33"/>
      <c r="L138" s="33"/>
      <c r="M138" s="33"/>
      <c r="N138" s="33"/>
      <c r="O138" s="33"/>
      <c r="P138" s="33"/>
      <c r="Q138" s="33"/>
      <c r="R138" s="25" t="s">
        <v>12</v>
      </c>
      <c r="S138" s="27"/>
      <c r="T138" s="27"/>
      <c r="U138" s="27"/>
      <c r="V138" s="28"/>
      <c r="W138" s="27"/>
      <c r="X138" s="27"/>
      <c r="Y138" s="29" t="s">
        <v>16</v>
      </c>
      <c r="Z138" s="30" t="s">
        <v>13</v>
      </c>
      <c r="AA138" s="27"/>
      <c r="AB138" s="27"/>
      <c r="AC138" s="28"/>
      <c r="AD138" s="27"/>
      <c r="AE138" s="27"/>
      <c r="AF138" s="32" t="s">
        <v>14</v>
      </c>
      <c r="AG138" s="30" t="s">
        <v>11</v>
      </c>
      <c r="AH138" s="27"/>
      <c r="AI138" s="27"/>
      <c r="AJ138" s="28"/>
      <c r="AK138" s="27"/>
      <c r="AL138" s="29" t="s">
        <v>15</v>
      </c>
      <c r="AM138" s="27"/>
      <c r="AN138" s="27"/>
      <c r="AO138" s="25">
        <v>17</v>
      </c>
      <c r="AP138" s="33"/>
      <c r="AQ138" s="33"/>
      <c r="AR138" s="33"/>
      <c r="AS138" s="33"/>
      <c r="AT138" s="33"/>
      <c r="AU138" s="25" t="s">
        <v>12</v>
      </c>
      <c r="AV138" s="27"/>
      <c r="AW138" s="27"/>
      <c r="AX138" s="27"/>
      <c r="AY138" s="28"/>
      <c r="AZ138" s="27"/>
      <c r="BA138" s="27"/>
      <c r="BB138" s="29" t="s">
        <v>16</v>
      </c>
      <c r="BC138" s="30" t="s">
        <v>13</v>
      </c>
      <c r="BD138" s="27"/>
      <c r="BE138" s="27"/>
      <c r="BF138" s="28"/>
      <c r="BG138" s="27"/>
      <c r="BH138" s="27"/>
      <c r="BI138" s="32" t="s">
        <v>14</v>
      </c>
      <c r="BJ138" s="30" t="s">
        <v>11</v>
      </c>
      <c r="BK138" s="27"/>
      <c r="BL138" s="27"/>
      <c r="BM138" s="28"/>
      <c r="BN138" s="27"/>
      <c r="BO138" s="29" t="s">
        <v>15</v>
      </c>
      <c r="BP138" s="27"/>
      <c r="BQ138" s="27"/>
      <c r="BR138" s="25">
        <v>17</v>
      </c>
      <c r="BS138" s="33"/>
      <c r="BT138" s="33"/>
      <c r="BU138" s="33"/>
      <c r="BV138" s="33"/>
      <c r="BW138" s="33"/>
      <c r="BX138" s="33"/>
      <c r="BY138" s="33"/>
      <c r="BZ138" s="33"/>
      <c r="CA138" s="33"/>
      <c r="CB138" s="33"/>
      <c r="CC138" s="33"/>
      <c r="CD138" s="33"/>
      <c r="CE138" s="33"/>
      <c r="CF138" s="33"/>
      <c r="CG138" s="33"/>
      <c r="CH138" s="33"/>
      <c r="CI138" s="33"/>
      <c r="CJ138" s="33"/>
      <c r="CK138" s="33"/>
      <c r="CL138" s="33"/>
      <c r="CM138" s="33"/>
      <c r="CN138" s="33"/>
      <c r="CO138" s="33"/>
      <c r="CP138" s="33"/>
      <c r="CQ138" s="25"/>
    </row>
    <row r="139" spans="1:95" x14ac:dyDescent="0.25">
      <c r="A139" s="25" t="s">
        <v>132</v>
      </c>
      <c r="B139" s="25" t="s">
        <v>222</v>
      </c>
      <c r="C139" s="25" t="s">
        <v>484</v>
      </c>
      <c r="D139" s="25">
        <v>126</v>
      </c>
      <c r="E139" s="35" cm="1">
        <f t="array" ref="E139">IFERROR(INDEX($J$5:$AVX$5, _xlfn.AGGREGATE(15,6, COLUMN(J139:AVX139)-COLUMN(J139)+1 / (J139:AVX139="T"), F139)), "")</f>
        <v>45999</v>
      </c>
      <c r="F139" s="76">
        <f t="shared" si="21"/>
        <v>2</v>
      </c>
      <c r="G139" s="35" cm="1">
        <f t="array" ref="G139">IFERROR(INDEX($J$5:$AVW$5,_xlfn.AGGREGATE(14,6,(COLUMN($J139:$AVW139)-COLUMN($J139)+1)/($J139:$AVW139="T"),1)),"")</f>
        <v>45999</v>
      </c>
      <c r="H139" s="79">
        <f t="shared" si="22"/>
        <v>2</v>
      </c>
      <c r="I139" s="38" t="s">
        <v>10</v>
      </c>
      <c r="J139" s="33"/>
      <c r="K139" s="33"/>
      <c r="L139" s="33"/>
      <c r="M139" s="33"/>
      <c r="N139" s="33"/>
      <c r="O139" s="33"/>
      <c r="P139" s="33"/>
      <c r="Q139" s="33"/>
      <c r="R139" s="25" t="s">
        <v>12</v>
      </c>
      <c r="S139" s="27"/>
      <c r="T139" s="27"/>
      <c r="U139" s="27"/>
      <c r="V139" s="28"/>
      <c r="W139" s="27"/>
      <c r="X139" s="27"/>
      <c r="Y139" s="29" t="s">
        <v>16</v>
      </c>
      <c r="Z139" s="30" t="s">
        <v>13</v>
      </c>
      <c r="AA139" s="27"/>
      <c r="AB139" s="27"/>
      <c r="AC139" s="28"/>
      <c r="AD139" s="27"/>
      <c r="AE139" s="27"/>
      <c r="AF139" s="29" t="s">
        <v>14</v>
      </c>
      <c r="AG139" s="30" t="s">
        <v>11</v>
      </c>
      <c r="AH139" s="37"/>
      <c r="AI139" s="27"/>
      <c r="AJ139" s="28"/>
      <c r="AK139" s="27"/>
      <c r="AL139" s="29" t="s">
        <v>15</v>
      </c>
      <c r="AM139" s="27"/>
      <c r="AN139" s="27"/>
      <c r="AO139" s="25">
        <v>17</v>
      </c>
      <c r="AP139" s="33"/>
      <c r="AQ139" s="33"/>
      <c r="AR139" s="33"/>
      <c r="AS139" s="33"/>
      <c r="AT139" s="33"/>
      <c r="AU139" s="25" t="s">
        <v>12</v>
      </c>
      <c r="AV139" s="27"/>
      <c r="AW139" s="27"/>
      <c r="AX139" s="27"/>
      <c r="AY139" s="28"/>
      <c r="AZ139" s="27"/>
      <c r="BA139" s="27"/>
      <c r="BB139" s="29" t="s">
        <v>16</v>
      </c>
      <c r="BC139" s="30" t="s">
        <v>13</v>
      </c>
      <c r="BD139" s="27"/>
      <c r="BE139" s="27"/>
      <c r="BF139" s="28"/>
      <c r="BG139" s="27"/>
      <c r="BH139" s="27"/>
      <c r="BI139" s="32" t="s">
        <v>14</v>
      </c>
      <c r="BJ139" s="30" t="s">
        <v>11</v>
      </c>
      <c r="BK139" s="27"/>
      <c r="BL139" s="27"/>
      <c r="BM139" s="28"/>
      <c r="BN139" s="27"/>
      <c r="BO139" s="29" t="s">
        <v>15</v>
      </c>
      <c r="BP139" s="27"/>
      <c r="BQ139" s="27"/>
      <c r="BR139" s="25">
        <v>17</v>
      </c>
      <c r="BS139" s="33"/>
      <c r="BT139" s="33"/>
      <c r="BU139" s="33"/>
      <c r="BV139" s="33"/>
      <c r="BW139" s="33"/>
      <c r="BX139" s="33"/>
      <c r="BY139" s="33"/>
      <c r="BZ139" s="33"/>
      <c r="CA139" s="33"/>
      <c r="CB139" s="33"/>
      <c r="CC139" s="33"/>
      <c r="CD139" s="33"/>
      <c r="CE139" s="33"/>
      <c r="CF139" s="33"/>
      <c r="CG139" s="33"/>
      <c r="CH139" s="33"/>
      <c r="CI139" s="33"/>
      <c r="CJ139" s="33"/>
      <c r="CK139" s="33"/>
      <c r="CL139" s="33"/>
      <c r="CM139" s="33"/>
      <c r="CN139" s="33"/>
      <c r="CO139" s="33"/>
      <c r="CP139" s="33"/>
      <c r="CQ139" s="33"/>
    </row>
    <row r="140" spans="1:95" x14ac:dyDescent="0.25">
      <c r="A140" s="25" t="s">
        <v>132</v>
      </c>
      <c r="B140" s="25" t="s">
        <v>223</v>
      </c>
      <c r="C140" s="25" t="s">
        <v>485</v>
      </c>
      <c r="D140" s="25">
        <v>127</v>
      </c>
      <c r="E140" s="35" cm="1">
        <f t="array" ref="E140">IFERROR(INDEX($J$5:$AVX$5, _xlfn.AGGREGATE(15,6, COLUMN(J140:AVX140)-COLUMN(J140)+1 / (J140:AVX140="T"), F140)), "")</f>
        <v>45999</v>
      </c>
      <c r="F140" s="76">
        <f t="shared" si="21"/>
        <v>2</v>
      </c>
      <c r="G140" s="35" cm="1">
        <f t="array" ref="G140">IFERROR(INDEX($J$5:$AVW$5,_xlfn.AGGREGATE(14,6,(COLUMN($J140:$AVW140)-COLUMN($J140)+1)/($J140:$AVW140="T"),1)),"")</f>
        <v>45999</v>
      </c>
      <c r="H140" s="79">
        <f t="shared" si="22"/>
        <v>2</v>
      </c>
      <c r="I140" s="38" t="s">
        <v>10</v>
      </c>
      <c r="J140" s="33"/>
      <c r="K140" s="33"/>
      <c r="L140" s="33"/>
      <c r="M140" s="33"/>
      <c r="N140" s="33"/>
      <c r="O140" s="33"/>
      <c r="P140" s="33"/>
      <c r="Q140" s="33"/>
      <c r="R140" s="25" t="s">
        <v>12</v>
      </c>
      <c r="S140" s="27"/>
      <c r="T140" s="27"/>
      <c r="U140" s="27"/>
      <c r="V140" s="28"/>
      <c r="W140" s="27"/>
      <c r="X140" s="27"/>
      <c r="Y140" s="29" t="s">
        <v>16</v>
      </c>
      <c r="Z140" s="30" t="s">
        <v>13</v>
      </c>
      <c r="AA140" s="27"/>
      <c r="AB140" s="27"/>
      <c r="AC140" s="28"/>
      <c r="AD140" s="27"/>
      <c r="AE140" s="27"/>
      <c r="AF140" s="29" t="s">
        <v>14</v>
      </c>
      <c r="AG140" s="30" t="s">
        <v>11</v>
      </c>
      <c r="AH140" s="37"/>
      <c r="AI140" s="27"/>
      <c r="AJ140" s="28"/>
      <c r="AK140" s="27"/>
      <c r="AL140" s="29" t="s">
        <v>15</v>
      </c>
      <c r="AM140" s="27"/>
      <c r="AN140" s="27"/>
      <c r="AO140" s="25">
        <v>17</v>
      </c>
      <c r="AP140" s="33"/>
      <c r="AQ140" s="33"/>
      <c r="AR140" s="33"/>
      <c r="AS140" s="33"/>
      <c r="AT140" s="33"/>
      <c r="AU140" s="25" t="s">
        <v>12</v>
      </c>
      <c r="AV140" s="27"/>
      <c r="AW140" s="27"/>
      <c r="AX140" s="27"/>
      <c r="AY140" s="28"/>
      <c r="AZ140" s="27"/>
      <c r="BA140" s="27"/>
      <c r="BB140" s="29" t="s">
        <v>16</v>
      </c>
      <c r="BC140" s="30" t="s">
        <v>13</v>
      </c>
      <c r="BD140" s="27"/>
      <c r="BE140" s="27"/>
      <c r="BF140" s="28"/>
      <c r="BG140" s="27"/>
      <c r="BH140" s="27"/>
      <c r="BI140" s="32" t="s">
        <v>14</v>
      </c>
      <c r="BJ140" s="30" t="s">
        <v>11</v>
      </c>
      <c r="BK140" s="27"/>
      <c r="BL140" s="27"/>
      <c r="BM140" s="28"/>
      <c r="BN140" s="27"/>
      <c r="BO140" s="29" t="s">
        <v>15</v>
      </c>
      <c r="BP140" s="27"/>
      <c r="BQ140" s="27"/>
      <c r="BR140" s="25">
        <v>17</v>
      </c>
      <c r="BS140" s="33"/>
      <c r="BT140" s="33"/>
      <c r="BU140" s="33"/>
      <c r="BV140" s="33"/>
      <c r="BW140" s="33"/>
      <c r="BX140" s="33"/>
      <c r="BY140" s="33"/>
      <c r="BZ140" s="33"/>
      <c r="CA140" s="33"/>
      <c r="CB140" s="33"/>
      <c r="CC140" s="33"/>
      <c r="CD140" s="33"/>
      <c r="CE140" s="33"/>
      <c r="CF140" s="33"/>
      <c r="CG140" s="33"/>
      <c r="CH140" s="33"/>
      <c r="CI140" s="33"/>
      <c r="CJ140" s="33"/>
      <c r="CK140" s="33"/>
      <c r="CL140" s="33"/>
      <c r="CM140" s="33"/>
      <c r="CN140" s="33"/>
      <c r="CO140" s="33"/>
      <c r="CP140" s="33"/>
      <c r="CQ140" s="25"/>
    </row>
    <row r="141" spans="1:95" x14ac:dyDescent="0.25">
      <c r="A141" s="25" t="s">
        <v>132</v>
      </c>
      <c r="B141" s="25" t="s">
        <v>224</v>
      </c>
      <c r="C141" s="25" t="s">
        <v>486</v>
      </c>
      <c r="D141" s="25">
        <v>128</v>
      </c>
      <c r="E141" s="35" cm="1">
        <f t="array" ref="E141">IFERROR(INDEX($J$5:$AVX$5, _xlfn.AGGREGATE(15,6, COLUMN(J141:AVX141)-COLUMN(J141)+1 / (J141:AVX141="T"), F141)), "")</f>
        <v>45999</v>
      </c>
      <c r="F141" s="76">
        <f t="shared" si="21"/>
        <v>2</v>
      </c>
      <c r="G141" s="35" cm="1">
        <f t="array" ref="G141">IFERROR(INDEX($J$5:$AVW$5,_xlfn.AGGREGATE(14,6,(COLUMN($J141:$AVW141)-COLUMN($J141)+1)/($J141:$AVW141="T"),1)),"")</f>
        <v>45999</v>
      </c>
      <c r="H141" s="79">
        <f t="shared" si="22"/>
        <v>2</v>
      </c>
      <c r="I141" s="38" t="s">
        <v>10</v>
      </c>
      <c r="J141" s="33"/>
      <c r="K141" s="33"/>
      <c r="L141" s="33"/>
      <c r="M141" s="33"/>
      <c r="N141" s="33"/>
      <c r="O141" s="33"/>
      <c r="P141" s="33"/>
      <c r="Q141" s="33"/>
      <c r="R141" s="25" t="s">
        <v>12</v>
      </c>
      <c r="S141" s="27"/>
      <c r="T141" s="27"/>
      <c r="U141" s="27"/>
      <c r="V141" s="28"/>
      <c r="W141" s="27"/>
      <c r="X141" s="27"/>
      <c r="Y141" s="29" t="s">
        <v>16</v>
      </c>
      <c r="Z141" s="30" t="s">
        <v>13</v>
      </c>
      <c r="AA141" s="27"/>
      <c r="AB141" s="27"/>
      <c r="AC141" s="28"/>
      <c r="AD141" s="27"/>
      <c r="AE141" s="27"/>
      <c r="AF141" s="29" t="s">
        <v>14</v>
      </c>
      <c r="AG141" s="30" t="s">
        <v>11</v>
      </c>
      <c r="AH141" s="37"/>
      <c r="AI141" s="27"/>
      <c r="AJ141" s="28"/>
      <c r="AK141" s="27"/>
      <c r="AL141" s="29" t="s">
        <v>15</v>
      </c>
      <c r="AM141" s="27"/>
      <c r="AN141" s="27"/>
      <c r="AO141" s="25">
        <v>17</v>
      </c>
      <c r="AP141" s="33"/>
      <c r="AQ141" s="33"/>
      <c r="AR141" s="33"/>
      <c r="AS141" s="33"/>
      <c r="AT141" s="33"/>
      <c r="AU141" s="25" t="s">
        <v>12</v>
      </c>
      <c r="AV141" s="27"/>
      <c r="AW141" s="27"/>
      <c r="AX141" s="27"/>
      <c r="AY141" s="28"/>
      <c r="AZ141" s="27"/>
      <c r="BA141" s="27"/>
      <c r="BB141" s="29" t="s">
        <v>16</v>
      </c>
      <c r="BC141" s="30" t="s">
        <v>13</v>
      </c>
      <c r="BD141" s="27"/>
      <c r="BE141" s="27"/>
      <c r="BF141" s="28"/>
      <c r="BG141" s="27"/>
      <c r="BH141" s="27"/>
      <c r="BI141" s="32" t="s">
        <v>14</v>
      </c>
      <c r="BJ141" s="30" t="s">
        <v>11</v>
      </c>
      <c r="BK141" s="27"/>
      <c r="BL141" s="27"/>
      <c r="BM141" s="28"/>
      <c r="BN141" s="27"/>
      <c r="BO141" s="29" t="s">
        <v>15</v>
      </c>
      <c r="BP141" s="27"/>
      <c r="BQ141" s="27"/>
      <c r="BR141" s="25">
        <v>17</v>
      </c>
      <c r="BS141" s="33"/>
      <c r="BT141" s="33"/>
      <c r="BU141" s="33"/>
      <c r="BV141" s="33"/>
      <c r="BW141" s="33"/>
      <c r="BX141" s="33"/>
      <c r="BY141" s="33"/>
      <c r="BZ141" s="33"/>
      <c r="CA141" s="33"/>
      <c r="CB141" s="33"/>
      <c r="CC141" s="33"/>
      <c r="CD141" s="33"/>
      <c r="CE141" s="33"/>
      <c r="CF141" s="33"/>
      <c r="CG141" s="33"/>
      <c r="CH141" s="33"/>
      <c r="CI141" s="33"/>
      <c r="CJ141" s="33"/>
      <c r="CK141" s="33"/>
      <c r="CL141" s="33"/>
      <c r="CM141" s="33"/>
      <c r="CN141" s="33"/>
      <c r="CO141" s="33"/>
      <c r="CP141" s="33"/>
      <c r="CQ141" s="25"/>
    </row>
    <row r="142" spans="1:95" x14ac:dyDescent="0.25">
      <c r="A142" s="25" t="s">
        <v>132</v>
      </c>
      <c r="B142" s="25" t="s">
        <v>225</v>
      </c>
      <c r="C142" s="25" t="s">
        <v>487</v>
      </c>
      <c r="D142" s="25">
        <v>129</v>
      </c>
      <c r="E142" s="35" cm="1">
        <f t="array" ref="E142">IFERROR(INDEX($J$5:$AVX$5, _xlfn.AGGREGATE(15,6, COLUMN(J142:AVX142)-COLUMN(J142)+1 / (J142:AVX142="T"), F142)), "")</f>
        <v>45999</v>
      </c>
      <c r="F142" s="76">
        <f t="shared" ref="F142:F205" si="23">$A$2</f>
        <v>2</v>
      </c>
      <c r="G142" s="35" cm="1">
        <f t="array" ref="G142">IFERROR(INDEX($J$5:$AVW$5,_xlfn.AGGREGATE(14,6,(COLUMN($J142:$AVW142)-COLUMN($J142)+1)/($J142:$AVW142="T"),1)),"")</f>
        <v>45999</v>
      </c>
      <c r="H142" s="79">
        <f t="shared" ref="H142:H205" si="24">COUNTIF($J142:$AVV142,"T")</f>
        <v>2</v>
      </c>
      <c r="I142" s="38" t="s">
        <v>10</v>
      </c>
      <c r="J142" s="33"/>
      <c r="K142" s="33"/>
      <c r="L142" s="33"/>
      <c r="M142" s="33"/>
      <c r="N142" s="33"/>
      <c r="O142" s="33"/>
      <c r="P142" s="33"/>
      <c r="Q142" s="33"/>
      <c r="R142" s="25" t="s">
        <v>12</v>
      </c>
      <c r="S142" s="27"/>
      <c r="T142" s="27"/>
      <c r="U142" s="27"/>
      <c r="V142" s="28"/>
      <c r="W142" s="27"/>
      <c r="X142" s="27"/>
      <c r="Y142" s="29" t="s">
        <v>16</v>
      </c>
      <c r="Z142" s="30" t="s">
        <v>13</v>
      </c>
      <c r="AA142" s="27"/>
      <c r="AB142" s="27"/>
      <c r="AC142" s="28"/>
      <c r="AD142" s="27"/>
      <c r="AE142" s="27"/>
      <c r="AF142" s="29" t="s">
        <v>14</v>
      </c>
      <c r="AG142" s="30" t="s">
        <v>11</v>
      </c>
      <c r="AH142" s="37"/>
      <c r="AI142" s="27"/>
      <c r="AJ142" s="28"/>
      <c r="AK142" s="27"/>
      <c r="AL142" s="29" t="s">
        <v>15</v>
      </c>
      <c r="AM142" s="27"/>
      <c r="AN142" s="27"/>
      <c r="AO142" s="25">
        <v>17</v>
      </c>
      <c r="AP142" s="33"/>
      <c r="AQ142" s="33"/>
      <c r="AR142" s="33"/>
      <c r="AS142" s="33"/>
      <c r="AT142" s="33"/>
      <c r="AU142" s="25" t="s">
        <v>12</v>
      </c>
      <c r="AV142" s="27"/>
      <c r="AW142" s="27"/>
      <c r="AX142" s="27"/>
      <c r="AY142" s="28"/>
      <c r="AZ142" s="27"/>
      <c r="BA142" s="27"/>
      <c r="BB142" s="29" t="s">
        <v>16</v>
      </c>
      <c r="BC142" s="30" t="s">
        <v>13</v>
      </c>
      <c r="BD142" s="27"/>
      <c r="BE142" s="27"/>
      <c r="BF142" s="28"/>
      <c r="BG142" s="27"/>
      <c r="BH142" s="27"/>
      <c r="BI142" s="32" t="s">
        <v>14</v>
      </c>
      <c r="BJ142" s="30" t="s">
        <v>11</v>
      </c>
      <c r="BK142" s="27"/>
      <c r="BL142" s="27"/>
      <c r="BM142" s="28"/>
      <c r="BN142" s="27"/>
      <c r="BO142" s="29" t="s">
        <v>15</v>
      </c>
      <c r="BP142" s="27"/>
      <c r="BQ142" s="27"/>
      <c r="BR142" s="25">
        <v>17</v>
      </c>
      <c r="BS142" s="33"/>
      <c r="BT142" s="33"/>
      <c r="BU142" s="33"/>
      <c r="BV142" s="33"/>
      <c r="BW142" s="33"/>
      <c r="BX142" s="33"/>
      <c r="BY142" s="33"/>
      <c r="BZ142" s="33"/>
      <c r="CA142" s="33"/>
      <c r="CB142" s="33"/>
      <c r="CC142" s="33"/>
      <c r="CD142" s="33"/>
      <c r="CE142" s="33"/>
      <c r="CF142" s="33"/>
      <c r="CG142" s="33"/>
      <c r="CH142" s="33"/>
      <c r="CI142" s="33"/>
      <c r="CJ142" s="33"/>
      <c r="CK142" s="33"/>
      <c r="CL142" s="33"/>
      <c r="CM142" s="33"/>
      <c r="CN142" s="33"/>
      <c r="CO142" s="33"/>
      <c r="CP142" s="33"/>
      <c r="CQ142" s="25"/>
    </row>
    <row r="143" spans="1:95" x14ac:dyDescent="0.25">
      <c r="A143" s="25" t="s">
        <v>132</v>
      </c>
      <c r="B143" s="25" t="s">
        <v>234</v>
      </c>
      <c r="C143" s="25" t="s">
        <v>488</v>
      </c>
      <c r="D143" s="25">
        <v>130</v>
      </c>
      <c r="E143" s="35" cm="1">
        <f t="array" ref="E143">IFERROR(INDEX($J$5:$AVX$5, _xlfn.AGGREGATE(15,6, COLUMN(J143:AVX143)-COLUMN(J143)+1 / (J143:AVX143="T"), F143)), "")</f>
        <v>45999</v>
      </c>
      <c r="F143" s="76">
        <f t="shared" si="23"/>
        <v>2</v>
      </c>
      <c r="G143" s="35" cm="1">
        <f t="array" ref="G143">IFERROR(INDEX($J$5:$AVW$5,_xlfn.AGGREGATE(14,6,(COLUMN($J143:$AVW143)-COLUMN($J143)+1)/($J143:$AVW143="T"),1)),"")</f>
        <v>45999</v>
      </c>
      <c r="H143" s="79">
        <f t="shared" si="24"/>
        <v>2</v>
      </c>
      <c r="I143" s="38" t="s">
        <v>10</v>
      </c>
      <c r="J143" s="33"/>
      <c r="K143" s="33"/>
      <c r="L143" s="33"/>
      <c r="M143" s="33"/>
      <c r="N143" s="33"/>
      <c r="O143" s="33"/>
      <c r="P143" s="33"/>
      <c r="Q143" s="33"/>
      <c r="R143" s="25" t="s">
        <v>12</v>
      </c>
      <c r="S143" s="27"/>
      <c r="T143" s="27"/>
      <c r="U143" s="27"/>
      <c r="V143" s="28"/>
      <c r="W143" s="27"/>
      <c r="X143" s="27"/>
      <c r="Y143" s="29" t="s">
        <v>16</v>
      </c>
      <c r="Z143" s="30" t="s">
        <v>13</v>
      </c>
      <c r="AA143" s="27"/>
      <c r="AB143" s="27"/>
      <c r="AC143" s="28"/>
      <c r="AD143" s="27"/>
      <c r="AE143" s="27"/>
      <c r="AF143" s="29" t="s">
        <v>14</v>
      </c>
      <c r="AG143" s="30" t="s">
        <v>11</v>
      </c>
      <c r="AH143" s="37"/>
      <c r="AI143" s="27"/>
      <c r="AJ143" s="28"/>
      <c r="AK143" s="27"/>
      <c r="AL143" s="29" t="s">
        <v>15</v>
      </c>
      <c r="AM143" s="27"/>
      <c r="AN143" s="27"/>
      <c r="AO143" s="25">
        <v>17</v>
      </c>
      <c r="AP143" s="33"/>
      <c r="AQ143" s="33"/>
      <c r="AR143" s="33"/>
      <c r="AS143" s="33"/>
      <c r="AT143" s="33"/>
      <c r="AU143" s="25" t="s">
        <v>12</v>
      </c>
      <c r="AV143" s="27"/>
      <c r="AW143" s="27"/>
      <c r="AX143" s="27"/>
      <c r="AY143" s="28"/>
      <c r="AZ143" s="27"/>
      <c r="BA143" s="27"/>
      <c r="BB143" s="29" t="s">
        <v>16</v>
      </c>
      <c r="BC143" s="30" t="s">
        <v>13</v>
      </c>
      <c r="BD143" s="27"/>
      <c r="BE143" s="27"/>
      <c r="BF143" s="28"/>
      <c r="BG143" s="27"/>
      <c r="BH143" s="27"/>
      <c r="BI143" s="32" t="s">
        <v>14</v>
      </c>
      <c r="BJ143" s="30" t="s">
        <v>11</v>
      </c>
      <c r="BK143" s="27"/>
      <c r="BL143" s="27"/>
      <c r="BM143" s="28"/>
      <c r="BN143" s="27"/>
      <c r="BO143" s="29" t="s">
        <v>15</v>
      </c>
      <c r="BP143" s="27"/>
      <c r="BQ143" s="27"/>
      <c r="BR143" s="25">
        <v>17</v>
      </c>
      <c r="BS143" s="33"/>
      <c r="BT143" s="33"/>
      <c r="BU143" s="33"/>
      <c r="BV143" s="33"/>
      <c r="BW143" s="33"/>
      <c r="BX143" s="33"/>
      <c r="BY143" s="33"/>
      <c r="BZ143" s="33"/>
      <c r="CA143" s="33"/>
      <c r="CB143" s="33"/>
      <c r="CC143" s="33"/>
      <c r="CD143" s="33"/>
      <c r="CE143" s="33"/>
      <c r="CF143" s="33"/>
      <c r="CG143" s="33"/>
      <c r="CH143" s="33"/>
      <c r="CI143" s="33"/>
      <c r="CJ143" s="33"/>
      <c r="CK143" s="33"/>
      <c r="CL143" s="33"/>
      <c r="CM143" s="33"/>
      <c r="CN143" s="33"/>
      <c r="CO143" s="33"/>
      <c r="CP143" s="33"/>
      <c r="CQ143" s="25"/>
    </row>
    <row r="144" spans="1:95" x14ac:dyDescent="0.25">
      <c r="A144" s="25" t="s">
        <v>132</v>
      </c>
      <c r="B144" s="25" t="s">
        <v>235</v>
      </c>
      <c r="C144" s="25" t="s">
        <v>489</v>
      </c>
      <c r="D144" s="25">
        <v>131</v>
      </c>
      <c r="E144" s="35" cm="1">
        <f t="array" ref="E144">IFERROR(INDEX($J$5:$AVX$5, _xlfn.AGGREGATE(15,6, COLUMN(J144:AVX144)-COLUMN(J144)+1 / (J144:AVX144="T"), F144)), "")</f>
        <v>45999</v>
      </c>
      <c r="F144" s="76">
        <f t="shared" si="23"/>
        <v>2</v>
      </c>
      <c r="G144" s="35" cm="1">
        <f t="array" ref="G144">IFERROR(INDEX($J$5:$AVW$5,_xlfn.AGGREGATE(14,6,(COLUMN($J144:$AVW144)-COLUMN($J144)+1)/($J144:$AVW144="T"),1)),"")</f>
        <v>45999</v>
      </c>
      <c r="H144" s="79">
        <f t="shared" si="24"/>
        <v>2</v>
      </c>
      <c r="I144" s="38" t="s">
        <v>10</v>
      </c>
      <c r="J144" s="33"/>
      <c r="K144" s="33"/>
      <c r="L144" s="33"/>
      <c r="M144" s="33"/>
      <c r="N144" s="33"/>
      <c r="O144" s="33"/>
      <c r="P144" s="33"/>
      <c r="Q144" s="33"/>
      <c r="R144" s="25" t="s">
        <v>12</v>
      </c>
      <c r="S144" s="27"/>
      <c r="T144" s="27"/>
      <c r="U144" s="27"/>
      <c r="V144" s="28"/>
      <c r="W144" s="27"/>
      <c r="X144" s="27"/>
      <c r="Y144" s="29" t="s">
        <v>16</v>
      </c>
      <c r="Z144" s="30" t="s">
        <v>13</v>
      </c>
      <c r="AA144" s="27"/>
      <c r="AB144" s="27"/>
      <c r="AC144" s="28"/>
      <c r="AD144" s="27"/>
      <c r="AE144" s="27"/>
      <c r="AF144" s="29" t="s">
        <v>14</v>
      </c>
      <c r="AG144" s="30" t="s">
        <v>11</v>
      </c>
      <c r="AH144" s="37"/>
      <c r="AI144" s="27"/>
      <c r="AJ144" s="28"/>
      <c r="AK144" s="27"/>
      <c r="AL144" s="29" t="s">
        <v>15</v>
      </c>
      <c r="AM144" s="27"/>
      <c r="AN144" s="27"/>
      <c r="AO144" s="25">
        <v>17</v>
      </c>
      <c r="AP144" s="33"/>
      <c r="AQ144" s="33"/>
      <c r="AR144" s="33"/>
      <c r="AS144" s="33"/>
      <c r="AT144" s="33"/>
      <c r="AU144" s="25" t="s">
        <v>12</v>
      </c>
      <c r="AV144" s="27"/>
      <c r="AW144" s="27"/>
      <c r="AX144" s="27"/>
      <c r="AY144" s="28"/>
      <c r="AZ144" s="27"/>
      <c r="BA144" s="27"/>
      <c r="BB144" s="29" t="s">
        <v>16</v>
      </c>
      <c r="BC144" s="30" t="s">
        <v>13</v>
      </c>
      <c r="BD144" s="27"/>
      <c r="BE144" s="27"/>
      <c r="BF144" s="28"/>
      <c r="BG144" s="27"/>
      <c r="BH144" s="27"/>
      <c r="BI144" s="32" t="s">
        <v>14</v>
      </c>
      <c r="BJ144" s="30" t="s">
        <v>11</v>
      </c>
      <c r="BK144" s="27"/>
      <c r="BL144" s="27"/>
      <c r="BM144" s="28"/>
      <c r="BN144" s="27"/>
      <c r="BO144" s="29" t="s">
        <v>15</v>
      </c>
      <c r="BP144" s="27"/>
      <c r="BQ144" s="27"/>
      <c r="BR144" s="25">
        <v>17</v>
      </c>
      <c r="BS144" s="33"/>
      <c r="BT144" s="33"/>
      <c r="BU144" s="33"/>
      <c r="BV144" s="33"/>
      <c r="BW144" s="33"/>
      <c r="BX144" s="33"/>
      <c r="BY144" s="33"/>
      <c r="BZ144" s="33"/>
      <c r="CA144" s="33"/>
      <c r="CB144" s="33"/>
      <c r="CC144" s="33"/>
      <c r="CD144" s="33"/>
      <c r="CE144" s="33"/>
      <c r="CF144" s="33"/>
      <c r="CG144" s="33"/>
      <c r="CH144" s="33"/>
      <c r="CI144" s="33"/>
      <c r="CJ144" s="33"/>
      <c r="CK144" s="33"/>
      <c r="CL144" s="33"/>
      <c r="CM144" s="33"/>
      <c r="CN144" s="33"/>
      <c r="CO144" s="33"/>
      <c r="CP144" s="33"/>
      <c r="CQ144" s="25"/>
    </row>
    <row r="145" spans="1:96" x14ac:dyDescent="0.25">
      <c r="A145" s="25" t="s">
        <v>132</v>
      </c>
      <c r="B145" s="25" t="s">
        <v>236</v>
      </c>
      <c r="C145" s="25" t="s">
        <v>490</v>
      </c>
      <c r="D145" s="25">
        <v>132</v>
      </c>
      <c r="E145" s="35" cm="1">
        <f t="array" ref="E145">IFERROR(INDEX($J$5:$AVX$5, _xlfn.AGGREGATE(15,6, COLUMN(J145:AVX145)-COLUMN(J145)+1 / (J145:AVX145="T"), F145)), "")</f>
        <v>46000</v>
      </c>
      <c r="F145" s="76">
        <f t="shared" si="23"/>
        <v>2</v>
      </c>
      <c r="G145" s="35" cm="1">
        <f t="array" ref="G145">IFERROR(INDEX($J$5:$AVW$5,_xlfn.AGGREGATE(14,6,(COLUMN($J145:$AVW145)-COLUMN($J145)+1)/($J145:$AVW145="T"),1)),"")</f>
        <v>46000</v>
      </c>
      <c r="H145" s="79">
        <f t="shared" si="24"/>
        <v>2</v>
      </c>
      <c r="I145" s="38" t="s">
        <v>10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25" t="s">
        <v>12</v>
      </c>
      <c r="T145" s="27"/>
      <c r="U145" s="27"/>
      <c r="V145" s="27"/>
      <c r="W145" s="28"/>
      <c r="X145" s="27"/>
      <c r="Y145" s="27"/>
      <c r="Z145" s="29" t="s">
        <v>16</v>
      </c>
      <c r="AA145" s="30" t="s">
        <v>13</v>
      </c>
      <c r="AB145" s="27"/>
      <c r="AC145" s="27"/>
      <c r="AD145" s="28"/>
      <c r="AE145" s="27"/>
      <c r="AF145" s="27"/>
      <c r="AG145" s="32" t="s">
        <v>14</v>
      </c>
      <c r="AH145" s="30" t="s">
        <v>11</v>
      </c>
      <c r="AI145" s="27"/>
      <c r="AJ145" s="27"/>
      <c r="AK145" s="28"/>
      <c r="AL145" s="27"/>
      <c r="AM145" s="29" t="s">
        <v>15</v>
      </c>
      <c r="AN145" s="27"/>
      <c r="AO145" s="27"/>
      <c r="AP145" s="25">
        <v>17</v>
      </c>
      <c r="AQ145" s="33"/>
      <c r="AR145" s="33"/>
      <c r="AS145" s="33"/>
      <c r="AT145" s="33"/>
      <c r="AU145" s="33"/>
      <c r="AV145" s="25" t="s">
        <v>12</v>
      </c>
      <c r="AW145" s="27"/>
      <c r="AX145" s="27"/>
      <c r="AY145" s="27"/>
      <c r="AZ145" s="28"/>
      <c r="BA145" s="27"/>
      <c r="BB145" s="27"/>
      <c r="BC145" s="29" t="s">
        <v>16</v>
      </c>
      <c r="BD145" s="30" t="s">
        <v>13</v>
      </c>
      <c r="BE145" s="27"/>
      <c r="BF145" s="27"/>
      <c r="BG145" s="28"/>
      <c r="BH145" s="27"/>
      <c r="BI145" s="27"/>
      <c r="BJ145" s="32" t="s">
        <v>14</v>
      </c>
      <c r="BK145" s="30" t="s">
        <v>11</v>
      </c>
      <c r="BL145" s="27"/>
      <c r="BM145" s="27"/>
      <c r="BN145" s="28"/>
      <c r="BO145" s="27"/>
      <c r="BP145" s="29" t="s">
        <v>15</v>
      </c>
      <c r="BQ145" s="27"/>
      <c r="BR145" s="27"/>
      <c r="BS145" s="25">
        <v>17</v>
      </c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  <c r="CD145" s="33"/>
      <c r="CE145" s="33"/>
      <c r="CF145" s="33"/>
      <c r="CG145" s="33"/>
      <c r="CH145" s="33"/>
      <c r="CI145" s="33"/>
      <c r="CJ145" s="33"/>
      <c r="CK145" s="33"/>
      <c r="CL145" s="33"/>
      <c r="CM145" s="33"/>
      <c r="CN145" s="33"/>
      <c r="CO145" s="33"/>
      <c r="CP145" s="33"/>
      <c r="CQ145" s="25"/>
      <c r="CR145" s="25"/>
    </row>
    <row r="146" spans="1:96" x14ac:dyDescent="0.25">
      <c r="A146" s="25" t="s">
        <v>132</v>
      </c>
      <c r="B146" s="25" t="s">
        <v>237</v>
      </c>
      <c r="C146" s="25" t="s">
        <v>491</v>
      </c>
      <c r="D146" s="25">
        <v>133</v>
      </c>
      <c r="E146" s="35" cm="1">
        <f t="array" ref="E146">IFERROR(INDEX($J$5:$AVX$5, _xlfn.AGGREGATE(15,6, COLUMN(J146:AVX146)-COLUMN(J146)+1 / (J146:AVX146="T"), F146)), "")</f>
        <v>46000</v>
      </c>
      <c r="F146" s="76">
        <f t="shared" si="23"/>
        <v>2</v>
      </c>
      <c r="G146" s="35" cm="1">
        <f t="array" ref="G146">IFERROR(INDEX($J$5:$AVW$5,_xlfn.AGGREGATE(14,6,(COLUMN($J146:$AVW146)-COLUMN($J146)+1)/($J146:$AVW146="T"),1)),"")</f>
        <v>46000</v>
      </c>
      <c r="H146" s="79">
        <f t="shared" si="24"/>
        <v>2</v>
      </c>
      <c r="I146" s="38" t="s">
        <v>10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25" t="s">
        <v>12</v>
      </c>
      <c r="T146" s="27"/>
      <c r="U146" s="27"/>
      <c r="V146" s="27"/>
      <c r="W146" s="28"/>
      <c r="X146" s="27"/>
      <c r="Y146" s="27"/>
      <c r="Z146" s="29" t="s">
        <v>16</v>
      </c>
      <c r="AA146" s="30" t="s">
        <v>13</v>
      </c>
      <c r="AB146" s="27"/>
      <c r="AC146" s="27"/>
      <c r="AD146" s="28"/>
      <c r="AE146" s="27"/>
      <c r="AF146" s="27"/>
      <c r="AG146" s="29" t="s">
        <v>14</v>
      </c>
      <c r="AH146" s="30" t="s">
        <v>11</v>
      </c>
      <c r="AI146" s="37"/>
      <c r="AJ146" s="27"/>
      <c r="AK146" s="28"/>
      <c r="AL146" s="27"/>
      <c r="AM146" s="29" t="s">
        <v>15</v>
      </c>
      <c r="AN146" s="27"/>
      <c r="AO146" s="27"/>
      <c r="AP146" s="25">
        <v>17</v>
      </c>
      <c r="AQ146" s="33"/>
      <c r="AR146" s="33"/>
      <c r="AS146" s="33"/>
      <c r="AT146" s="33"/>
      <c r="AU146" s="33"/>
      <c r="AV146" s="25" t="s">
        <v>12</v>
      </c>
      <c r="AW146" s="27"/>
      <c r="AX146" s="27"/>
      <c r="AY146" s="27"/>
      <c r="AZ146" s="28"/>
      <c r="BA146" s="27"/>
      <c r="BB146" s="27"/>
      <c r="BC146" s="29" t="s">
        <v>16</v>
      </c>
      <c r="BD146" s="30" t="s">
        <v>13</v>
      </c>
      <c r="BE146" s="27"/>
      <c r="BF146" s="27"/>
      <c r="BG146" s="28"/>
      <c r="BH146" s="27"/>
      <c r="BI146" s="27"/>
      <c r="BJ146" s="32" t="s">
        <v>14</v>
      </c>
      <c r="BK146" s="30" t="s">
        <v>11</v>
      </c>
      <c r="BL146" s="27"/>
      <c r="BM146" s="27"/>
      <c r="BN146" s="28"/>
      <c r="BO146" s="27"/>
      <c r="BP146" s="29" t="s">
        <v>15</v>
      </c>
      <c r="BQ146" s="27"/>
      <c r="BR146" s="27"/>
      <c r="BS146" s="25">
        <v>17</v>
      </c>
      <c r="BT146" s="33"/>
      <c r="BU146" s="33"/>
      <c r="BV146" s="33"/>
      <c r="BW146" s="33"/>
      <c r="BX146" s="33"/>
      <c r="BY146" s="33"/>
      <c r="BZ146" s="33"/>
      <c r="CA146" s="33"/>
      <c r="CB146" s="33"/>
      <c r="CC146" s="33"/>
      <c r="CD146" s="33"/>
      <c r="CE146" s="33"/>
      <c r="CF146" s="33"/>
      <c r="CG146" s="33"/>
      <c r="CH146" s="33"/>
      <c r="CI146" s="33"/>
      <c r="CJ146" s="33"/>
      <c r="CK146" s="33"/>
      <c r="CL146" s="33"/>
      <c r="CM146" s="33"/>
      <c r="CN146" s="33"/>
      <c r="CO146" s="33"/>
      <c r="CP146" s="33"/>
      <c r="CQ146" s="33"/>
      <c r="CR146" s="33"/>
    </row>
    <row r="147" spans="1:96" x14ac:dyDescent="0.25">
      <c r="A147" s="25" t="s">
        <v>132</v>
      </c>
      <c r="B147" s="25" t="s">
        <v>238</v>
      </c>
      <c r="C147" s="25" t="s">
        <v>492</v>
      </c>
      <c r="D147" s="25">
        <v>134</v>
      </c>
      <c r="E147" s="35" cm="1">
        <f t="array" ref="E147">IFERROR(INDEX($J$5:$AVX$5, _xlfn.AGGREGATE(15,6, COLUMN(J147:AVX147)-COLUMN(J147)+1 / (J147:AVX147="T"), F147)), "")</f>
        <v>46000</v>
      </c>
      <c r="F147" s="76">
        <f t="shared" si="23"/>
        <v>2</v>
      </c>
      <c r="G147" s="35" cm="1">
        <f t="array" ref="G147">IFERROR(INDEX($J$5:$AVW$5,_xlfn.AGGREGATE(14,6,(COLUMN($J147:$AVW147)-COLUMN($J147)+1)/($J147:$AVW147="T"),1)),"")</f>
        <v>46000</v>
      </c>
      <c r="H147" s="79">
        <f t="shared" si="24"/>
        <v>2</v>
      </c>
      <c r="I147" s="38" t="s">
        <v>10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25" t="s">
        <v>12</v>
      </c>
      <c r="T147" s="27"/>
      <c r="U147" s="27"/>
      <c r="V147" s="27"/>
      <c r="W147" s="28"/>
      <c r="X147" s="27"/>
      <c r="Y147" s="27"/>
      <c r="Z147" s="29" t="s">
        <v>16</v>
      </c>
      <c r="AA147" s="30" t="s">
        <v>13</v>
      </c>
      <c r="AB147" s="27"/>
      <c r="AC147" s="27"/>
      <c r="AD147" s="28"/>
      <c r="AE147" s="27"/>
      <c r="AF147" s="27"/>
      <c r="AG147" s="29" t="s">
        <v>14</v>
      </c>
      <c r="AH147" s="30" t="s">
        <v>11</v>
      </c>
      <c r="AI147" s="37"/>
      <c r="AJ147" s="27"/>
      <c r="AK147" s="28"/>
      <c r="AL147" s="27"/>
      <c r="AM147" s="29" t="s">
        <v>15</v>
      </c>
      <c r="AN147" s="27"/>
      <c r="AO147" s="27"/>
      <c r="AP147" s="25">
        <v>17</v>
      </c>
      <c r="AQ147" s="33"/>
      <c r="AR147" s="33"/>
      <c r="AS147" s="33"/>
      <c r="AT147" s="33"/>
      <c r="AU147" s="33"/>
      <c r="AV147" s="25" t="s">
        <v>12</v>
      </c>
      <c r="AW147" s="27"/>
      <c r="AX147" s="27"/>
      <c r="AY147" s="27"/>
      <c r="AZ147" s="28"/>
      <c r="BA147" s="27"/>
      <c r="BB147" s="27"/>
      <c r="BC147" s="29" t="s">
        <v>16</v>
      </c>
      <c r="BD147" s="30" t="s">
        <v>13</v>
      </c>
      <c r="BE147" s="27"/>
      <c r="BF147" s="27"/>
      <c r="BG147" s="28"/>
      <c r="BH147" s="27"/>
      <c r="BI147" s="27"/>
      <c r="BJ147" s="32" t="s">
        <v>14</v>
      </c>
      <c r="BK147" s="30" t="s">
        <v>11</v>
      </c>
      <c r="BL147" s="27"/>
      <c r="BM147" s="27"/>
      <c r="BN147" s="28"/>
      <c r="BO147" s="27"/>
      <c r="BP147" s="29" t="s">
        <v>15</v>
      </c>
      <c r="BQ147" s="27"/>
      <c r="BR147" s="27"/>
      <c r="BS147" s="25">
        <v>17</v>
      </c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  <c r="CE147" s="33"/>
      <c r="CF147" s="33"/>
      <c r="CG147" s="33"/>
      <c r="CH147" s="33"/>
      <c r="CI147" s="33"/>
      <c r="CJ147" s="33"/>
      <c r="CK147" s="33"/>
      <c r="CL147" s="33"/>
      <c r="CM147" s="33"/>
      <c r="CN147" s="33"/>
      <c r="CO147" s="33"/>
      <c r="CP147" s="33"/>
      <c r="CQ147" s="25"/>
      <c r="CR147" s="25"/>
    </row>
    <row r="148" spans="1:96" s="40" customFormat="1" x14ac:dyDescent="0.25">
      <c r="A148" s="25" t="s">
        <v>132</v>
      </c>
      <c r="B148" s="25" t="s">
        <v>239</v>
      </c>
      <c r="C148" s="25" t="s">
        <v>493</v>
      </c>
      <c r="D148" s="25">
        <v>135</v>
      </c>
      <c r="E148" s="35" cm="1">
        <f t="array" ref="E148">IFERROR(INDEX($J$5:$AVX$5, _xlfn.AGGREGATE(15,6, COLUMN(J148:AVX148)-COLUMN(J148)+1 / (J148:AVX148="T"), F148)), "")</f>
        <v>46000</v>
      </c>
      <c r="F148" s="76">
        <f t="shared" si="23"/>
        <v>2</v>
      </c>
      <c r="G148" s="35" cm="1">
        <f t="array" ref="G148">IFERROR(INDEX($J$5:$AVW$5,_xlfn.AGGREGATE(14,6,(COLUMN($J148:$AVW148)-COLUMN($J148)+1)/($J148:$AVW148="T"),1)),"")</f>
        <v>46000</v>
      </c>
      <c r="H148" s="79">
        <f t="shared" si="24"/>
        <v>2</v>
      </c>
      <c r="I148" s="38" t="s">
        <v>10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25" t="s">
        <v>12</v>
      </c>
      <c r="T148" s="27"/>
      <c r="U148" s="27"/>
      <c r="V148" s="27"/>
      <c r="W148" s="28"/>
      <c r="X148" s="27"/>
      <c r="Y148" s="27"/>
      <c r="Z148" s="29" t="s">
        <v>16</v>
      </c>
      <c r="AA148" s="30" t="s">
        <v>13</v>
      </c>
      <c r="AB148" s="27"/>
      <c r="AC148" s="27"/>
      <c r="AD148" s="28"/>
      <c r="AE148" s="27"/>
      <c r="AF148" s="27"/>
      <c r="AG148" s="29" t="s">
        <v>14</v>
      </c>
      <c r="AH148" s="30" t="s">
        <v>11</v>
      </c>
      <c r="AI148" s="37"/>
      <c r="AJ148" s="27"/>
      <c r="AK148" s="28"/>
      <c r="AL148" s="27"/>
      <c r="AM148" s="29" t="s">
        <v>15</v>
      </c>
      <c r="AN148" s="27"/>
      <c r="AO148" s="27"/>
      <c r="AP148" s="25">
        <v>17</v>
      </c>
      <c r="AQ148" s="33"/>
      <c r="AR148" s="33"/>
      <c r="AS148" s="33"/>
      <c r="AT148" s="33"/>
      <c r="AU148" s="33"/>
      <c r="AV148" s="25" t="s">
        <v>12</v>
      </c>
      <c r="AW148" s="27"/>
      <c r="AX148" s="27"/>
      <c r="AY148" s="27"/>
      <c r="AZ148" s="28"/>
      <c r="BA148" s="27"/>
      <c r="BB148" s="27"/>
      <c r="BC148" s="29" t="s">
        <v>16</v>
      </c>
      <c r="BD148" s="30" t="s">
        <v>13</v>
      </c>
      <c r="BE148" s="27"/>
      <c r="BF148" s="27"/>
      <c r="BG148" s="28"/>
      <c r="BH148" s="27"/>
      <c r="BI148" s="27"/>
      <c r="BJ148" s="32" t="s">
        <v>14</v>
      </c>
      <c r="BK148" s="30" t="s">
        <v>11</v>
      </c>
      <c r="BL148" s="27"/>
      <c r="BM148" s="27"/>
      <c r="BN148" s="28"/>
      <c r="BO148" s="27"/>
      <c r="BP148" s="29" t="s">
        <v>15</v>
      </c>
      <c r="BQ148" s="27"/>
      <c r="BR148" s="27"/>
      <c r="BS148" s="25">
        <v>17</v>
      </c>
      <c r="BT148" s="33"/>
      <c r="BU148" s="33"/>
      <c r="BV148" s="33"/>
      <c r="BW148" s="33"/>
      <c r="BX148" s="33"/>
      <c r="BY148" s="33"/>
      <c r="BZ148" s="33"/>
      <c r="CA148" s="33"/>
      <c r="CB148" s="33"/>
      <c r="CC148" s="33"/>
      <c r="CD148" s="33"/>
      <c r="CE148" s="33"/>
      <c r="CF148" s="33"/>
      <c r="CG148" s="33"/>
      <c r="CH148" s="33"/>
      <c r="CI148" s="33"/>
      <c r="CJ148" s="33"/>
      <c r="CK148" s="33"/>
      <c r="CL148" s="33"/>
      <c r="CM148" s="33"/>
      <c r="CN148" s="33"/>
      <c r="CO148" s="33"/>
      <c r="CP148" s="33"/>
      <c r="CQ148" s="25"/>
      <c r="CR148" s="25"/>
    </row>
    <row r="149" spans="1:96" x14ac:dyDescent="0.25">
      <c r="A149" s="25" t="s">
        <v>132</v>
      </c>
      <c r="B149" s="25" t="s">
        <v>240</v>
      </c>
      <c r="C149" s="25" t="s">
        <v>494</v>
      </c>
      <c r="D149" s="25">
        <v>136</v>
      </c>
      <c r="E149" s="35" cm="1">
        <f t="array" ref="E149">IFERROR(INDEX($J$5:$AVX$5, _xlfn.AGGREGATE(15,6, COLUMN(J149:AVX149)-COLUMN(J149)+1 / (J149:AVX149="T"), F149)), "")</f>
        <v>46000</v>
      </c>
      <c r="F149" s="76">
        <f t="shared" si="23"/>
        <v>2</v>
      </c>
      <c r="G149" s="35" cm="1">
        <f t="array" ref="G149">IFERROR(INDEX($J$5:$AVW$5,_xlfn.AGGREGATE(14,6,(COLUMN($J149:$AVW149)-COLUMN($J149)+1)/($J149:$AVW149="T"),1)),"")</f>
        <v>46000</v>
      </c>
      <c r="H149" s="79">
        <f t="shared" si="24"/>
        <v>2</v>
      </c>
      <c r="I149" s="38" t="s">
        <v>10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25" t="s">
        <v>12</v>
      </c>
      <c r="T149" s="27"/>
      <c r="U149" s="27"/>
      <c r="V149" s="27"/>
      <c r="W149" s="28"/>
      <c r="X149" s="27"/>
      <c r="Y149" s="27"/>
      <c r="Z149" s="29" t="s">
        <v>16</v>
      </c>
      <c r="AA149" s="30" t="s">
        <v>13</v>
      </c>
      <c r="AB149" s="27"/>
      <c r="AC149" s="27"/>
      <c r="AD149" s="28"/>
      <c r="AE149" s="27"/>
      <c r="AF149" s="27"/>
      <c r="AG149" s="29" t="s">
        <v>14</v>
      </c>
      <c r="AH149" s="30" t="s">
        <v>11</v>
      </c>
      <c r="AI149" s="37"/>
      <c r="AJ149" s="27"/>
      <c r="AK149" s="28"/>
      <c r="AL149" s="27"/>
      <c r="AM149" s="29" t="s">
        <v>15</v>
      </c>
      <c r="AN149" s="27"/>
      <c r="AO149" s="27"/>
      <c r="AP149" s="25">
        <v>17</v>
      </c>
      <c r="AQ149" s="33"/>
      <c r="AR149" s="33"/>
      <c r="AS149" s="33"/>
      <c r="AT149" s="33"/>
      <c r="AU149" s="33"/>
      <c r="AV149" s="25" t="s">
        <v>12</v>
      </c>
      <c r="AW149" s="27"/>
      <c r="AX149" s="27"/>
      <c r="AY149" s="27"/>
      <c r="AZ149" s="28"/>
      <c r="BA149" s="27"/>
      <c r="BB149" s="27"/>
      <c r="BC149" s="29" t="s">
        <v>16</v>
      </c>
      <c r="BD149" s="30" t="s">
        <v>13</v>
      </c>
      <c r="BE149" s="27"/>
      <c r="BF149" s="27"/>
      <c r="BG149" s="28"/>
      <c r="BH149" s="27"/>
      <c r="BI149" s="27"/>
      <c r="BJ149" s="32" t="s">
        <v>14</v>
      </c>
      <c r="BK149" s="30" t="s">
        <v>11</v>
      </c>
      <c r="BL149" s="27"/>
      <c r="BM149" s="27"/>
      <c r="BN149" s="28"/>
      <c r="BO149" s="27"/>
      <c r="BP149" s="29" t="s">
        <v>15</v>
      </c>
      <c r="BQ149" s="27"/>
      <c r="BR149" s="27"/>
      <c r="BS149" s="25">
        <v>17</v>
      </c>
      <c r="BT149" s="33"/>
      <c r="BU149" s="33"/>
      <c r="BV149" s="33"/>
      <c r="BW149" s="33"/>
      <c r="BX149" s="33"/>
      <c r="BY149" s="33"/>
      <c r="BZ149" s="33"/>
      <c r="CA149" s="33"/>
      <c r="CB149" s="33"/>
      <c r="CC149" s="33"/>
      <c r="CD149" s="33"/>
      <c r="CE149" s="33"/>
      <c r="CF149" s="33"/>
      <c r="CG149" s="33"/>
      <c r="CH149" s="33"/>
      <c r="CI149" s="33"/>
      <c r="CJ149" s="33"/>
      <c r="CK149" s="33"/>
      <c r="CL149" s="33"/>
      <c r="CM149" s="33"/>
      <c r="CN149" s="33"/>
      <c r="CO149" s="33"/>
      <c r="CP149" s="33"/>
      <c r="CQ149" s="25"/>
      <c r="CR149" s="25"/>
    </row>
    <row r="150" spans="1:96" x14ac:dyDescent="0.25">
      <c r="A150" s="25" t="s">
        <v>132</v>
      </c>
      <c r="B150" s="25" t="s">
        <v>241</v>
      </c>
      <c r="C150" s="25" t="s">
        <v>495</v>
      </c>
      <c r="D150" s="25">
        <v>137</v>
      </c>
      <c r="E150" s="35" cm="1">
        <f t="array" ref="E150">IFERROR(INDEX($J$5:$AVX$5, _xlfn.AGGREGATE(15,6, COLUMN(J150:AVX150)-COLUMN(J150)+1 / (J150:AVX150="T"), F150)), "")</f>
        <v>46000</v>
      </c>
      <c r="F150" s="76">
        <f t="shared" si="23"/>
        <v>2</v>
      </c>
      <c r="G150" s="35" cm="1">
        <f t="array" ref="G150">IFERROR(INDEX($J$5:$AVW$5,_xlfn.AGGREGATE(14,6,(COLUMN($J150:$AVW150)-COLUMN($J150)+1)/($J150:$AVW150="T"),1)),"")</f>
        <v>46000</v>
      </c>
      <c r="H150" s="79">
        <f t="shared" si="24"/>
        <v>2</v>
      </c>
      <c r="I150" s="38" t="s">
        <v>10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25" t="s">
        <v>12</v>
      </c>
      <c r="T150" s="27"/>
      <c r="U150" s="27"/>
      <c r="V150" s="27"/>
      <c r="W150" s="28"/>
      <c r="X150" s="27"/>
      <c r="Y150" s="27"/>
      <c r="Z150" s="29" t="s">
        <v>16</v>
      </c>
      <c r="AA150" s="30" t="s">
        <v>13</v>
      </c>
      <c r="AB150" s="27"/>
      <c r="AC150" s="27"/>
      <c r="AD150" s="28"/>
      <c r="AE150" s="27"/>
      <c r="AF150" s="27"/>
      <c r="AG150" s="29" t="s">
        <v>14</v>
      </c>
      <c r="AH150" s="30" t="s">
        <v>11</v>
      </c>
      <c r="AI150" s="37"/>
      <c r="AJ150" s="27"/>
      <c r="AK150" s="28"/>
      <c r="AL150" s="27"/>
      <c r="AM150" s="29" t="s">
        <v>15</v>
      </c>
      <c r="AN150" s="27"/>
      <c r="AO150" s="27"/>
      <c r="AP150" s="25">
        <v>17</v>
      </c>
      <c r="AQ150" s="33"/>
      <c r="AR150" s="33"/>
      <c r="AS150" s="33"/>
      <c r="AT150" s="33"/>
      <c r="AU150" s="33"/>
      <c r="AV150" s="25" t="s">
        <v>12</v>
      </c>
      <c r="AW150" s="27"/>
      <c r="AX150" s="27"/>
      <c r="AY150" s="27"/>
      <c r="AZ150" s="28"/>
      <c r="BA150" s="27"/>
      <c r="BB150" s="27"/>
      <c r="BC150" s="29" t="s">
        <v>16</v>
      </c>
      <c r="BD150" s="30" t="s">
        <v>13</v>
      </c>
      <c r="BE150" s="27"/>
      <c r="BF150" s="27"/>
      <c r="BG150" s="28"/>
      <c r="BH150" s="27"/>
      <c r="BI150" s="27"/>
      <c r="BJ150" s="32" t="s">
        <v>14</v>
      </c>
      <c r="BK150" s="30" t="s">
        <v>11</v>
      </c>
      <c r="BL150" s="27"/>
      <c r="BM150" s="27"/>
      <c r="BN150" s="28"/>
      <c r="BO150" s="27"/>
      <c r="BP150" s="29" t="s">
        <v>15</v>
      </c>
      <c r="BQ150" s="27"/>
      <c r="BR150" s="27"/>
      <c r="BS150" s="25">
        <v>17</v>
      </c>
      <c r="BT150" s="33"/>
      <c r="BU150" s="33"/>
      <c r="BV150" s="33"/>
      <c r="BW150" s="33"/>
      <c r="BX150" s="33"/>
      <c r="BY150" s="33"/>
      <c r="BZ150" s="33"/>
      <c r="CA150" s="33"/>
      <c r="CB150" s="33"/>
      <c r="CC150" s="33"/>
      <c r="CD150" s="33"/>
      <c r="CE150" s="33"/>
      <c r="CF150" s="33"/>
      <c r="CG150" s="33"/>
      <c r="CH150" s="33"/>
      <c r="CI150" s="33"/>
      <c r="CJ150" s="33"/>
      <c r="CK150" s="33"/>
      <c r="CL150" s="33"/>
      <c r="CM150" s="33"/>
      <c r="CN150" s="33"/>
      <c r="CO150" s="33"/>
      <c r="CP150" s="33"/>
      <c r="CQ150" s="25"/>
      <c r="CR150" s="25"/>
    </row>
    <row r="151" spans="1:96" x14ac:dyDescent="0.25">
      <c r="A151" s="25" t="s">
        <v>132</v>
      </c>
      <c r="B151" s="25" t="s">
        <v>242</v>
      </c>
      <c r="C151" s="25" t="s">
        <v>496</v>
      </c>
      <c r="D151" s="25">
        <v>138</v>
      </c>
      <c r="E151" s="35" cm="1">
        <f t="array" ref="E151">IFERROR(INDEX($J$5:$AVX$5, _xlfn.AGGREGATE(15,6, COLUMN(J151:AVX151)-COLUMN(J151)+1 / (J151:AVX151="T"), F151)), "")</f>
        <v>46000</v>
      </c>
      <c r="F151" s="76">
        <f t="shared" si="23"/>
        <v>2</v>
      </c>
      <c r="G151" s="35" cm="1">
        <f t="array" ref="G151">IFERROR(INDEX($J$5:$AVW$5,_xlfn.AGGREGATE(14,6,(COLUMN($J151:$AVW151)-COLUMN($J151)+1)/($J151:$AVW151="T"),1)),"")</f>
        <v>46000</v>
      </c>
      <c r="H151" s="79">
        <f t="shared" si="24"/>
        <v>2</v>
      </c>
      <c r="I151" s="38" t="s">
        <v>10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25" t="s">
        <v>12</v>
      </c>
      <c r="T151" s="27"/>
      <c r="U151" s="27"/>
      <c r="V151" s="27"/>
      <c r="W151" s="28"/>
      <c r="X151" s="27"/>
      <c r="Y151" s="27"/>
      <c r="Z151" s="29" t="s">
        <v>16</v>
      </c>
      <c r="AA151" s="30" t="s">
        <v>13</v>
      </c>
      <c r="AB151" s="27"/>
      <c r="AC151" s="27"/>
      <c r="AD151" s="28"/>
      <c r="AE151" s="27"/>
      <c r="AF151" s="27"/>
      <c r="AG151" s="29" t="s">
        <v>14</v>
      </c>
      <c r="AH151" s="30" t="s">
        <v>11</v>
      </c>
      <c r="AI151" s="37"/>
      <c r="AJ151" s="27"/>
      <c r="AK151" s="28"/>
      <c r="AL151" s="27"/>
      <c r="AM151" s="29" t="s">
        <v>15</v>
      </c>
      <c r="AN151" s="27"/>
      <c r="AO151" s="27"/>
      <c r="AP151" s="25">
        <v>17</v>
      </c>
      <c r="AQ151" s="33"/>
      <c r="AR151" s="33"/>
      <c r="AS151" s="33"/>
      <c r="AT151" s="33"/>
      <c r="AU151" s="33"/>
      <c r="AV151" s="25" t="s">
        <v>12</v>
      </c>
      <c r="AW151" s="27"/>
      <c r="AX151" s="27"/>
      <c r="AY151" s="27"/>
      <c r="AZ151" s="28"/>
      <c r="BA151" s="27"/>
      <c r="BB151" s="27"/>
      <c r="BC151" s="29" t="s">
        <v>16</v>
      </c>
      <c r="BD151" s="30" t="s">
        <v>13</v>
      </c>
      <c r="BE151" s="27"/>
      <c r="BF151" s="27"/>
      <c r="BG151" s="28"/>
      <c r="BH151" s="27"/>
      <c r="BI151" s="27"/>
      <c r="BJ151" s="32" t="s">
        <v>14</v>
      </c>
      <c r="BK151" s="30" t="s">
        <v>11</v>
      </c>
      <c r="BL151" s="27"/>
      <c r="BM151" s="27"/>
      <c r="BN151" s="28"/>
      <c r="BO151" s="27"/>
      <c r="BP151" s="29" t="s">
        <v>15</v>
      </c>
      <c r="BQ151" s="27"/>
      <c r="BR151" s="27"/>
      <c r="BS151" s="25">
        <v>17</v>
      </c>
      <c r="BT151" s="33"/>
      <c r="BU151" s="33"/>
      <c r="BV151" s="33"/>
      <c r="BW151" s="33"/>
      <c r="BX151" s="33"/>
      <c r="BY151" s="33"/>
      <c r="BZ151" s="33"/>
      <c r="CA151" s="33"/>
      <c r="CB151" s="33"/>
      <c r="CC151" s="33"/>
      <c r="CD151" s="33"/>
      <c r="CE151" s="33"/>
      <c r="CF151" s="33"/>
      <c r="CG151" s="33"/>
      <c r="CH151" s="33"/>
      <c r="CI151" s="33"/>
      <c r="CJ151" s="33"/>
      <c r="CK151" s="33"/>
      <c r="CL151" s="33"/>
      <c r="CM151" s="33"/>
      <c r="CN151" s="33"/>
      <c r="CO151" s="33"/>
      <c r="CP151" s="33"/>
      <c r="CQ151" s="25"/>
      <c r="CR151" s="25"/>
    </row>
    <row r="152" spans="1:96" x14ac:dyDescent="0.25">
      <c r="A152" s="25" t="s">
        <v>132</v>
      </c>
      <c r="B152" s="25" t="s">
        <v>243</v>
      </c>
      <c r="C152" s="25" t="s">
        <v>497</v>
      </c>
      <c r="D152" s="25">
        <v>139</v>
      </c>
      <c r="E152" s="35" cm="1">
        <f t="array" ref="E152">IFERROR(INDEX($J$5:$AVX$5, _xlfn.AGGREGATE(15,6, COLUMN(J152:AVX152)-COLUMN(J152)+1 / (J152:AVX152="T"), F152)), "")</f>
        <v>46001</v>
      </c>
      <c r="F152" s="76">
        <f t="shared" si="23"/>
        <v>2</v>
      </c>
      <c r="G152" s="35" cm="1">
        <f t="array" ref="G152">IFERROR(INDEX($J$5:$AVW$5,_xlfn.AGGREGATE(14,6,(COLUMN($J152:$AVW152)-COLUMN($J152)+1)/($J152:$AVW152="T"),1)),"")</f>
        <v>46001</v>
      </c>
      <c r="H152" s="79">
        <f t="shared" si="24"/>
        <v>2</v>
      </c>
      <c r="I152" s="38" t="s">
        <v>10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25" t="s">
        <v>12</v>
      </c>
      <c r="U152" s="27"/>
      <c r="V152" s="27"/>
      <c r="W152" s="27"/>
      <c r="X152" s="28"/>
      <c r="Y152" s="27"/>
      <c r="Z152" s="27"/>
      <c r="AA152" s="29" t="s">
        <v>16</v>
      </c>
      <c r="AB152" s="30" t="s">
        <v>13</v>
      </c>
      <c r="AC152" s="27"/>
      <c r="AD152" s="27"/>
      <c r="AE152" s="28"/>
      <c r="AF152" s="27"/>
      <c r="AG152" s="27"/>
      <c r="AH152" s="32" t="s">
        <v>14</v>
      </c>
      <c r="AI152" s="30" t="s">
        <v>11</v>
      </c>
      <c r="AJ152" s="27"/>
      <c r="AK152" s="27"/>
      <c r="AL152" s="28"/>
      <c r="AM152" s="27"/>
      <c r="AN152" s="29" t="s">
        <v>15</v>
      </c>
      <c r="AO152" s="27"/>
      <c r="AP152" s="27"/>
      <c r="AQ152" s="25">
        <v>17</v>
      </c>
      <c r="AR152" s="33"/>
      <c r="AS152" s="33"/>
      <c r="AT152" s="33"/>
      <c r="AU152" s="33"/>
      <c r="AV152" s="33"/>
      <c r="AW152" s="25" t="s">
        <v>12</v>
      </c>
      <c r="AX152" s="27"/>
      <c r="AY152" s="27"/>
      <c r="AZ152" s="27"/>
      <c r="BA152" s="28"/>
      <c r="BB152" s="27"/>
      <c r="BC152" s="27"/>
      <c r="BD152" s="29" t="s">
        <v>16</v>
      </c>
      <c r="BE152" s="30" t="s">
        <v>13</v>
      </c>
      <c r="BF152" s="27"/>
      <c r="BG152" s="27"/>
      <c r="BH152" s="28"/>
      <c r="BI152" s="27"/>
      <c r="BJ152" s="27"/>
      <c r="BK152" s="32" t="s">
        <v>14</v>
      </c>
      <c r="BL152" s="30" t="s">
        <v>11</v>
      </c>
      <c r="BM152" s="27"/>
      <c r="BN152" s="27"/>
      <c r="BO152" s="28"/>
      <c r="BP152" s="27"/>
      <c r="BQ152" s="29" t="s">
        <v>15</v>
      </c>
      <c r="BR152" s="27"/>
      <c r="BS152" s="27"/>
      <c r="BT152" s="25">
        <v>17</v>
      </c>
      <c r="BU152" s="33"/>
      <c r="BV152" s="33"/>
      <c r="BW152" s="33"/>
      <c r="BX152" s="33"/>
      <c r="BY152" s="33"/>
      <c r="BZ152" s="33"/>
      <c r="CA152" s="33"/>
      <c r="CB152" s="33"/>
      <c r="CC152" s="33"/>
      <c r="CD152" s="33"/>
      <c r="CE152" s="33"/>
      <c r="CF152" s="33"/>
      <c r="CG152" s="33"/>
      <c r="CH152" s="33"/>
      <c r="CI152" s="33"/>
      <c r="CJ152" s="33"/>
      <c r="CK152" s="33"/>
      <c r="CL152" s="33"/>
      <c r="CM152" s="33"/>
      <c r="CN152" s="33"/>
      <c r="CO152" s="33"/>
      <c r="CP152" s="33"/>
      <c r="CQ152" s="25"/>
    </row>
    <row r="153" spans="1:96" x14ac:dyDescent="0.25">
      <c r="A153" s="25" t="s">
        <v>132</v>
      </c>
      <c r="B153" s="25" t="s">
        <v>244</v>
      </c>
      <c r="C153" s="25" t="s">
        <v>498</v>
      </c>
      <c r="D153" s="25">
        <v>140</v>
      </c>
      <c r="E153" s="35" cm="1">
        <f t="array" ref="E153">IFERROR(INDEX($J$5:$AVX$5, _xlfn.AGGREGATE(15,6, COLUMN(J153:AVX153)-COLUMN(J153)+1 / (J153:AVX153="T"), F153)), "")</f>
        <v>46001</v>
      </c>
      <c r="F153" s="76">
        <f t="shared" si="23"/>
        <v>2</v>
      </c>
      <c r="G153" s="35" cm="1">
        <f t="array" ref="G153">IFERROR(INDEX($J$5:$AVW$5,_xlfn.AGGREGATE(14,6,(COLUMN($J153:$AVW153)-COLUMN($J153)+1)/($J153:$AVW153="T"),1)),"")</f>
        <v>46001</v>
      </c>
      <c r="H153" s="79">
        <f t="shared" si="24"/>
        <v>2</v>
      </c>
      <c r="I153" s="38" t="s">
        <v>10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25" t="s">
        <v>12</v>
      </c>
      <c r="U153" s="27"/>
      <c r="V153" s="27"/>
      <c r="W153" s="27"/>
      <c r="X153" s="28"/>
      <c r="Y153" s="27"/>
      <c r="Z153" s="27"/>
      <c r="AA153" s="29" t="s">
        <v>16</v>
      </c>
      <c r="AB153" s="30" t="s">
        <v>13</v>
      </c>
      <c r="AC153" s="27"/>
      <c r="AD153" s="27"/>
      <c r="AE153" s="28"/>
      <c r="AF153" s="27"/>
      <c r="AG153" s="27"/>
      <c r="AH153" s="29" t="s">
        <v>14</v>
      </c>
      <c r="AI153" s="30" t="s">
        <v>11</v>
      </c>
      <c r="AJ153" s="37"/>
      <c r="AK153" s="27"/>
      <c r="AL153" s="28"/>
      <c r="AM153" s="27"/>
      <c r="AN153" s="29" t="s">
        <v>15</v>
      </c>
      <c r="AO153" s="27"/>
      <c r="AP153" s="27"/>
      <c r="AQ153" s="25">
        <v>17</v>
      </c>
      <c r="AR153" s="33"/>
      <c r="AS153" s="33"/>
      <c r="AT153" s="33"/>
      <c r="AU153" s="33"/>
      <c r="AV153" s="33"/>
      <c r="AW153" s="25" t="s">
        <v>12</v>
      </c>
      <c r="AX153" s="27"/>
      <c r="AY153" s="27"/>
      <c r="AZ153" s="27"/>
      <c r="BA153" s="28"/>
      <c r="BB153" s="27"/>
      <c r="BC153" s="27"/>
      <c r="BD153" s="29" t="s">
        <v>16</v>
      </c>
      <c r="BE153" s="30" t="s">
        <v>13</v>
      </c>
      <c r="BF153" s="27"/>
      <c r="BG153" s="27"/>
      <c r="BH153" s="28"/>
      <c r="BI153" s="27"/>
      <c r="BJ153" s="27"/>
      <c r="BK153" s="32" t="s">
        <v>14</v>
      </c>
      <c r="BL153" s="30" t="s">
        <v>11</v>
      </c>
      <c r="BM153" s="27"/>
      <c r="BN153" s="27"/>
      <c r="BO153" s="28"/>
      <c r="BP153" s="27"/>
      <c r="BQ153" s="29" t="s">
        <v>15</v>
      </c>
      <c r="BR153" s="27"/>
      <c r="BS153" s="27"/>
      <c r="BT153" s="25">
        <v>17</v>
      </c>
      <c r="BU153" s="33"/>
      <c r="BV153" s="33"/>
      <c r="BW153" s="33"/>
      <c r="BX153" s="33"/>
      <c r="BY153" s="33"/>
      <c r="BZ153" s="33"/>
      <c r="CA153" s="33"/>
      <c r="CB153" s="33"/>
      <c r="CC153" s="33"/>
      <c r="CD153" s="33"/>
      <c r="CE153" s="33"/>
      <c r="CF153" s="33"/>
      <c r="CG153" s="33"/>
      <c r="CH153" s="33"/>
      <c r="CI153" s="33"/>
      <c r="CJ153" s="33"/>
      <c r="CK153" s="33"/>
      <c r="CL153" s="33"/>
      <c r="CM153" s="33"/>
      <c r="CN153" s="33"/>
      <c r="CO153" s="33"/>
      <c r="CP153" s="33"/>
      <c r="CQ153" s="33"/>
    </row>
    <row r="154" spans="1:96" x14ac:dyDescent="0.25">
      <c r="A154" s="25" t="s">
        <v>132</v>
      </c>
      <c r="B154" s="25" t="s">
        <v>245</v>
      </c>
      <c r="C154" s="25" t="s">
        <v>499</v>
      </c>
      <c r="D154" s="25">
        <v>141</v>
      </c>
      <c r="E154" s="35" cm="1">
        <f t="array" ref="E154">IFERROR(INDEX($J$5:$AVX$5, _xlfn.AGGREGATE(15,6, COLUMN(J154:AVX154)-COLUMN(J154)+1 / (J154:AVX154="T"), F154)), "")</f>
        <v>46001</v>
      </c>
      <c r="F154" s="76">
        <f t="shared" si="23"/>
        <v>2</v>
      </c>
      <c r="G154" s="35" cm="1">
        <f t="array" ref="G154">IFERROR(INDEX($J$5:$AVW$5,_xlfn.AGGREGATE(14,6,(COLUMN($J154:$AVW154)-COLUMN($J154)+1)/($J154:$AVW154="T"),1)),"")</f>
        <v>46001</v>
      </c>
      <c r="H154" s="79">
        <f t="shared" si="24"/>
        <v>2</v>
      </c>
      <c r="I154" s="38" t="s">
        <v>10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25" t="s">
        <v>12</v>
      </c>
      <c r="U154" s="27"/>
      <c r="V154" s="27"/>
      <c r="W154" s="27"/>
      <c r="X154" s="28"/>
      <c r="Y154" s="27"/>
      <c r="Z154" s="27"/>
      <c r="AA154" s="29" t="s">
        <v>16</v>
      </c>
      <c r="AB154" s="30" t="s">
        <v>13</v>
      </c>
      <c r="AC154" s="27"/>
      <c r="AD154" s="27"/>
      <c r="AE154" s="28"/>
      <c r="AF154" s="27"/>
      <c r="AG154" s="27"/>
      <c r="AH154" s="29" t="s">
        <v>14</v>
      </c>
      <c r="AI154" s="30" t="s">
        <v>11</v>
      </c>
      <c r="AJ154" s="37"/>
      <c r="AK154" s="27"/>
      <c r="AL154" s="28"/>
      <c r="AM154" s="27"/>
      <c r="AN154" s="29" t="s">
        <v>15</v>
      </c>
      <c r="AO154" s="27"/>
      <c r="AP154" s="27"/>
      <c r="AQ154" s="25">
        <v>17</v>
      </c>
      <c r="AR154" s="33"/>
      <c r="AS154" s="33"/>
      <c r="AT154" s="33"/>
      <c r="AU154" s="33"/>
      <c r="AV154" s="33"/>
      <c r="AW154" s="25" t="s">
        <v>12</v>
      </c>
      <c r="AX154" s="27"/>
      <c r="AY154" s="27"/>
      <c r="AZ154" s="27"/>
      <c r="BA154" s="28"/>
      <c r="BB154" s="27"/>
      <c r="BC154" s="27"/>
      <c r="BD154" s="29" t="s">
        <v>16</v>
      </c>
      <c r="BE154" s="30" t="s">
        <v>13</v>
      </c>
      <c r="BF154" s="27"/>
      <c r="BG154" s="27"/>
      <c r="BH154" s="28"/>
      <c r="BI154" s="27"/>
      <c r="BJ154" s="27"/>
      <c r="BK154" s="32" t="s">
        <v>14</v>
      </c>
      <c r="BL154" s="30" t="s">
        <v>11</v>
      </c>
      <c r="BM154" s="27"/>
      <c r="BN154" s="27"/>
      <c r="BO154" s="28"/>
      <c r="BP154" s="27"/>
      <c r="BQ154" s="29" t="s">
        <v>15</v>
      </c>
      <c r="BR154" s="27"/>
      <c r="BS154" s="27"/>
      <c r="BT154" s="25">
        <v>17</v>
      </c>
      <c r="BU154" s="33"/>
      <c r="BV154" s="33"/>
      <c r="BW154" s="33"/>
      <c r="BX154" s="33"/>
      <c r="BY154" s="33"/>
      <c r="BZ154" s="33"/>
      <c r="CA154" s="33"/>
      <c r="CB154" s="33"/>
      <c r="CC154" s="33"/>
      <c r="CD154" s="33"/>
      <c r="CE154" s="33"/>
      <c r="CF154" s="33"/>
      <c r="CG154" s="33"/>
      <c r="CH154" s="33"/>
      <c r="CI154" s="33"/>
      <c r="CJ154" s="33"/>
      <c r="CK154" s="33"/>
      <c r="CL154" s="33"/>
      <c r="CM154" s="33"/>
      <c r="CN154" s="33"/>
      <c r="CO154" s="33"/>
      <c r="CP154" s="33"/>
      <c r="CQ154" s="25"/>
    </row>
    <row r="155" spans="1:96" x14ac:dyDescent="0.25">
      <c r="A155" s="25" t="s">
        <v>132</v>
      </c>
      <c r="B155" s="25" t="s">
        <v>331</v>
      </c>
      <c r="C155" s="25" t="s">
        <v>500</v>
      </c>
      <c r="D155" s="25">
        <v>142</v>
      </c>
      <c r="E155" s="35" cm="1">
        <f t="array" ref="E155">IFERROR(INDEX($J$5:$AVX$5, _xlfn.AGGREGATE(15,6, COLUMN(J155:AVX155)-COLUMN(J155)+1 / (J155:AVX155="T"), F155)), "")</f>
        <v>46001</v>
      </c>
      <c r="F155" s="76">
        <f t="shared" si="23"/>
        <v>2</v>
      </c>
      <c r="G155" s="35" cm="1">
        <f t="array" ref="G155">IFERROR(INDEX($J$5:$AVW$5,_xlfn.AGGREGATE(14,6,(COLUMN($J155:$AVW155)-COLUMN($J155)+1)/($J155:$AVW155="T"),1)),"")</f>
        <v>46001</v>
      </c>
      <c r="H155" s="79">
        <f t="shared" si="24"/>
        <v>2</v>
      </c>
      <c r="I155" s="38" t="s">
        <v>10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25" t="s">
        <v>12</v>
      </c>
      <c r="U155" s="27"/>
      <c r="V155" s="27"/>
      <c r="W155" s="27"/>
      <c r="X155" s="28"/>
      <c r="Y155" s="27"/>
      <c r="Z155" s="27"/>
      <c r="AA155" s="29" t="s">
        <v>16</v>
      </c>
      <c r="AB155" s="30" t="s">
        <v>13</v>
      </c>
      <c r="AC155" s="27"/>
      <c r="AD155" s="27"/>
      <c r="AE155" s="28"/>
      <c r="AF155" s="27"/>
      <c r="AG155" s="27"/>
      <c r="AH155" s="29" t="s">
        <v>14</v>
      </c>
      <c r="AI155" s="30" t="s">
        <v>11</v>
      </c>
      <c r="AJ155" s="37"/>
      <c r="AK155" s="27"/>
      <c r="AL155" s="28"/>
      <c r="AM155" s="27"/>
      <c r="AN155" s="29" t="s">
        <v>15</v>
      </c>
      <c r="AO155" s="27"/>
      <c r="AP155" s="27"/>
      <c r="AQ155" s="25">
        <v>17</v>
      </c>
      <c r="AR155" s="33"/>
      <c r="AS155" s="33"/>
      <c r="AT155" s="33"/>
      <c r="AU155" s="33"/>
      <c r="AV155" s="33"/>
      <c r="AW155" s="25" t="s">
        <v>12</v>
      </c>
      <c r="AX155" s="27"/>
      <c r="AY155" s="27"/>
      <c r="AZ155" s="27"/>
      <c r="BA155" s="28"/>
      <c r="BB155" s="27"/>
      <c r="BC155" s="27"/>
      <c r="BD155" s="29" t="s">
        <v>16</v>
      </c>
      <c r="BE155" s="30" t="s">
        <v>13</v>
      </c>
      <c r="BF155" s="27"/>
      <c r="BG155" s="27"/>
      <c r="BH155" s="28"/>
      <c r="BI155" s="27"/>
      <c r="BJ155" s="27"/>
      <c r="BK155" s="32" t="s">
        <v>14</v>
      </c>
      <c r="BL155" s="30" t="s">
        <v>11</v>
      </c>
      <c r="BM155" s="27"/>
      <c r="BN155" s="27"/>
      <c r="BO155" s="28"/>
      <c r="BP155" s="27"/>
      <c r="BQ155" s="29" t="s">
        <v>15</v>
      </c>
      <c r="BR155" s="27"/>
      <c r="BS155" s="27"/>
      <c r="BT155" s="25">
        <v>17</v>
      </c>
      <c r="BU155" s="33"/>
      <c r="BV155" s="33"/>
      <c r="BW155" s="33"/>
      <c r="BX155" s="33"/>
      <c r="BY155" s="33"/>
      <c r="BZ155" s="33"/>
      <c r="CA155" s="33"/>
      <c r="CB155" s="33"/>
      <c r="CC155" s="33"/>
      <c r="CD155" s="33"/>
      <c r="CE155" s="33"/>
      <c r="CF155" s="33"/>
      <c r="CG155" s="33"/>
      <c r="CH155" s="33"/>
      <c r="CI155" s="33"/>
      <c r="CJ155" s="33"/>
      <c r="CK155" s="33"/>
      <c r="CL155" s="33"/>
      <c r="CM155" s="33"/>
      <c r="CN155" s="33"/>
      <c r="CO155" s="33"/>
      <c r="CP155" s="33"/>
      <c r="CQ155" s="25"/>
    </row>
    <row r="156" spans="1:96" x14ac:dyDescent="0.25">
      <c r="A156" s="25" t="s">
        <v>132</v>
      </c>
      <c r="B156" s="25" t="s">
        <v>332</v>
      </c>
      <c r="C156" s="25" t="s">
        <v>501</v>
      </c>
      <c r="D156" s="25">
        <v>143</v>
      </c>
      <c r="E156" s="35" cm="1">
        <f t="array" ref="E156">IFERROR(INDEX($J$5:$AVX$5, _xlfn.AGGREGATE(15,6, COLUMN(J156:AVX156)-COLUMN(J156)+1 / (J156:AVX156="T"), F156)), "")</f>
        <v>46001</v>
      </c>
      <c r="F156" s="76">
        <f t="shared" si="23"/>
        <v>2</v>
      </c>
      <c r="G156" s="35" cm="1">
        <f t="array" ref="G156">IFERROR(INDEX($J$5:$AVW$5,_xlfn.AGGREGATE(14,6,(COLUMN($J156:$AVW156)-COLUMN($J156)+1)/($J156:$AVW156="T"),1)),"")</f>
        <v>46001</v>
      </c>
      <c r="H156" s="79">
        <f t="shared" si="24"/>
        <v>2</v>
      </c>
      <c r="I156" s="38" t="s">
        <v>10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25" t="s">
        <v>12</v>
      </c>
      <c r="U156" s="27"/>
      <c r="V156" s="27"/>
      <c r="W156" s="27"/>
      <c r="X156" s="28"/>
      <c r="Y156" s="27"/>
      <c r="Z156" s="27"/>
      <c r="AA156" s="29" t="s">
        <v>16</v>
      </c>
      <c r="AB156" s="30" t="s">
        <v>13</v>
      </c>
      <c r="AC156" s="27"/>
      <c r="AD156" s="27"/>
      <c r="AE156" s="28"/>
      <c r="AF156" s="27"/>
      <c r="AG156" s="27"/>
      <c r="AH156" s="29" t="s">
        <v>14</v>
      </c>
      <c r="AI156" s="30" t="s">
        <v>11</v>
      </c>
      <c r="AJ156" s="37"/>
      <c r="AK156" s="27"/>
      <c r="AL156" s="28"/>
      <c r="AM156" s="27"/>
      <c r="AN156" s="29" t="s">
        <v>15</v>
      </c>
      <c r="AO156" s="27"/>
      <c r="AP156" s="27"/>
      <c r="AQ156" s="25">
        <v>17</v>
      </c>
      <c r="AR156" s="33"/>
      <c r="AS156" s="33"/>
      <c r="AT156" s="33"/>
      <c r="AU156" s="33"/>
      <c r="AV156" s="33"/>
      <c r="AW156" s="25" t="s">
        <v>12</v>
      </c>
      <c r="AX156" s="27"/>
      <c r="AY156" s="27"/>
      <c r="AZ156" s="27"/>
      <c r="BA156" s="28"/>
      <c r="BB156" s="27"/>
      <c r="BC156" s="27"/>
      <c r="BD156" s="29" t="s">
        <v>16</v>
      </c>
      <c r="BE156" s="30" t="s">
        <v>13</v>
      </c>
      <c r="BF156" s="27"/>
      <c r="BG156" s="27"/>
      <c r="BH156" s="28"/>
      <c r="BI156" s="27"/>
      <c r="BJ156" s="27"/>
      <c r="BK156" s="32" t="s">
        <v>14</v>
      </c>
      <c r="BL156" s="30" t="s">
        <v>11</v>
      </c>
      <c r="BM156" s="27"/>
      <c r="BN156" s="27"/>
      <c r="BO156" s="28"/>
      <c r="BP156" s="27"/>
      <c r="BQ156" s="29" t="s">
        <v>15</v>
      </c>
      <c r="BR156" s="27"/>
      <c r="BS156" s="27"/>
      <c r="BT156" s="25">
        <v>17</v>
      </c>
      <c r="BU156" s="33"/>
      <c r="BV156" s="33"/>
      <c r="BW156" s="33"/>
      <c r="BX156" s="33"/>
      <c r="BY156" s="33"/>
      <c r="BZ156" s="33"/>
      <c r="CA156" s="33"/>
      <c r="CB156" s="33"/>
      <c r="CC156" s="33"/>
      <c r="CD156" s="33"/>
      <c r="CE156" s="33"/>
      <c r="CF156" s="33"/>
      <c r="CG156" s="33"/>
      <c r="CH156" s="33"/>
      <c r="CI156" s="33"/>
      <c r="CJ156" s="33"/>
      <c r="CK156" s="33"/>
      <c r="CL156" s="33"/>
      <c r="CM156" s="33"/>
      <c r="CN156" s="33"/>
      <c r="CO156" s="33"/>
      <c r="CP156" s="33"/>
      <c r="CQ156" s="25"/>
    </row>
    <row r="157" spans="1:96" x14ac:dyDescent="0.25">
      <c r="A157" s="25" t="s">
        <v>132</v>
      </c>
      <c r="B157" s="25" t="s">
        <v>333</v>
      </c>
      <c r="C157" s="25" t="s">
        <v>502</v>
      </c>
      <c r="D157" s="25">
        <v>144</v>
      </c>
      <c r="E157" s="35" cm="1">
        <f t="array" ref="E157">IFERROR(INDEX($J$5:$AVX$5, _xlfn.AGGREGATE(15,6, COLUMN(J157:AVX157)-COLUMN(J157)+1 / (J157:AVX157="T"), F157)), "")</f>
        <v>46001</v>
      </c>
      <c r="F157" s="76">
        <f t="shared" si="23"/>
        <v>2</v>
      </c>
      <c r="G157" s="35" cm="1">
        <f t="array" ref="G157">IFERROR(INDEX($J$5:$AVW$5,_xlfn.AGGREGATE(14,6,(COLUMN($J157:$AVW157)-COLUMN($J157)+1)/($J157:$AVW157="T"),1)),"")</f>
        <v>46001</v>
      </c>
      <c r="H157" s="79">
        <f t="shared" si="24"/>
        <v>2</v>
      </c>
      <c r="I157" s="38" t="s">
        <v>10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25" t="s">
        <v>12</v>
      </c>
      <c r="U157" s="27"/>
      <c r="V157" s="27"/>
      <c r="W157" s="27"/>
      <c r="X157" s="28"/>
      <c r="Y157" s="27"/>
      <c r="Z157" s="27"/>
      <c r="AA157" s="29" t="s">
        <v>16</v>
      </c>
      <c r="AB157" s="30" t="s">
        <v>13</v>
      </c>
      <c r="AC157" s="27"/>
      <c r="AD157" s="27"/>
      <c r="AE157" s="28"/>
      <c r="AF157" s="27"/>
      <c r="AG157" s="27"/>
      <c r="AH157" s="29" t="s">
        <v>14</v>
      </c>
      <c r="AI157" s="30" t="s">
        <v>11</v>
      </c>
      <c r="AJ157" s="37"/>
      <c r="AK157" s="27"/>
      <c r="AL157" s="28"/>
      <c r="AM157" s="27"/>
      <c r="AN157" s="29" t="s">
        <v>15</v>
      </c>
      <c r="AO157" s="27"/>
      <c r="AP157" s="27"/>
      <c r="AQ157" s="25">
        <v>17</v>
      </c>
      <c r="AR157" s="33"/>
      <c r="AS157" s="33"/>
      <c r="AT157" s="33"/>
      <c r="AU157" s="33"/>
      <c r="AV157" s="33"/>
      <c r="AW157" s="25" t="s">
        <v>12</v>
      </c>
      <c r="AX157" s="27"/>
      <c r="AY157" s="27"/>
      <c r="AZ157" s="27"/>
      <c r="BA157" s="28"/>
      <c r="BB157" s="27"/>
      <c r="BC157" s="27"/>
      <c r="BD157" s="29" t="s">
        <v>16</v>
      </c>
      <c r="BE157" s="30" t="s">
        <v>13</v>
      </c>
      <c r="BF157" s="27"/>
      <c r="BG157" s="27"/>
      <c r="BH157" s="28"/>
      <c r="BI157" s="27"/>
      <c r="BJ157" s="27"/>
      <c r="BK157" s="32" t="s">
        <v>14</v>
      </c>
      <c r="BL157" s="30" t="s">
        <v>11</v>
      </c>
      <c r="BM157" s="27"/>
      <c r="BN157" s="27"/>
      <c r="BO157" s="28"/>
      <c r="BP157" s="27"/>
      <c r="BQ157" s="29" t="s">
        <v>15</v>
      </c>
      <c r="BR157" s="27"/>
      <c r="BS157" s="27"/>
      <c r="BT157" s="25">
        <v>17</v>
      </c>
      <c r="BU157" s="33"/>
      <c r="BV157" s="33"/>
      <c r="BW157" s="33"/>
      <c r="BX157" s="33"/>
      <c r="BY157" s="33"/>
      <c r="BZ157" s="33"/>
      <c r="CA157" s="33"/>
      <c r="CB157" s="33"/>
      <c r="CC157" s="33"/>
      <c r="CD157" s="33"/>
      <c r="CE157" s="33"/>
      <c r="CF157" s="33"/>
      <c r="CG157" s="33"/>
      <c r="CH157" s="33"/>
      <c r="CI157" s="33"/>
      <c r="CJ157" s="33"/>
      <c r="CK157" s="33"/>
      <c r="CL157" s="33"/>
      <c r="CM157" s="33"/>
      <c r="CN157" s="33"/>
      <c r="CO157" s="33"/>
      <c r="CP157" s="33"/>
      <c r="CQ157" s="25"/>
    </row>
    <row r="158" spans="1:96" x14ac:dyDescent="0.25">
      <c r="A158" s="25" t="s">
        <v>132</v>
      </c>
      <c r="B158" s="25" t="s">
        <v>334</v>
      </c>
      <c r="C158" s="25" t="s">
        <v>503</v>
      </c>
      <c r="D158" s="25">
        <v>145</v>
      </c>
      <c r="E158" s="35" cm="1">
        <f t="array" ref="E158">IFERROR(INDEX($J$5:$AVX$5, _xlfn.AGGREGATE(15,6, COLUMN(J158:AVX158)-COLUMN(J158)+1 / (J158:AVX158="T"), F158)), "")</f>
        <v>46001</v>
      </c>
      <c r="F158" s="76">
        <f t="shared" si="23"/>
        <v>2</v>
      </c>
      <c r="G158" s="35" cm="1">
        <f t="array" ref="G158">IFERROR(INDEX($J$5:$AVW$5,_xlfn.AGGREGATE(14,6,(COLUMN($J158:$AVW158)-COLUMN($J158)+1)/($J158:$AVW158="T"),1)),"")</f>
        <v>46001</v>
      </c>
      <c r="H158" s="79">
        <f t="shared" si="24"/>
        <v>2</v>
      </c>
      <c r="I158" s="38" t="s">
        <v>10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25" t="s">
        <v>12</v>
      </c>
      <c r="U158" s="27"/>
      <c r="V158" s="27"/>
      <c r="W158" s="27"/>
      <c r="X158" s="28"/>
      <c r="Y158" s="27"/>
      <c r="Z158" s="27"/>
      <c r="AA158" s="29" t="s">
        <v>16</v>
      </c>
      <c r="AB158" s="30" t="s">
        <v>13</v>
      </c>
      <c r="AC158" s="27"/>
      <c r="AD158" s="27"/>
      <c r="AE158" s="28"/>
      <c r="AF158" s="27"/>
      <c r="AG158" s="27"/>
      <c r="AH158" s="29" t="s">
        <v>14</v>
      </c>
      <c r="AI158" s="30" t="s">
        <v>11</v>
      </c>
      <c r="AJ158" s="37"/>
      <c r="AK158" s="27"/>
      <c r="AL158" s="28"/>
      <c r="AM158" s="27"/>
      <c r="AN158" s="29" t="s">
        <v>15</v>
      </c>
      <c r="AO158" s="27"/>
      <c r="AP158" s="27"/>
      <c r="AQ158" s="25">
        <v>17</v>
      </c>
      <c r="AR158" s="33"/>
      <c r="AS158" s="33"/>
      <c r="AT158" s="33"/>
      <c r="AU158" s="33"/>
      <c r="AV158" s="33"/>
      <c r="AW158" s="25" t="s">
        <v>12</v>
      </c>
      <c r="AX158" s="27"/>
      <c r="AY158" s="27"/>
      <c r="AZ158" s="27"/>
      <c r="BA158" s="28"/>
      <c r="BB158" s="27"/>
      <c r="BC158" s="27"/>
      <c r="BD158" s="29" t="s">
        <v>16</v>
      </c>
      <c r="BE158" s="30" t="s">
        <v>13</v>
      </c>
      <c r="BF158" s="27"/>
      <c r="BG158" s="27"/>
      <c r="BH158" s="28"/>
      <c r="BI158" s="27"/>
      <c r="BJ158" s="27"/>
      <c r="BK158" s="32" t="s">
        <v>14</v>
      </c>
      <c r="BL158" s="30" t="s">
        <v>11</v>
      </c>
      <c r="BM158" s="27"/>
      <c r="BN158" s="27"/>
      <c r="BO158" s="28"/>
      <c r="BP158" s="27"/>
      <c r="BQ158" s="29" t="s">
        <v>15</v>
      </c>
      <c r="BR158" s="27"/>
      <c r="BS158" s="27"/>
      <c r="BT158" s="25">
        <v>17</v>
      </c>
      <c r="BU158" s="33"/>
      <c r="BV158" s="33"/>
      <c r="BW158" s="33"/>
      <c r="BX158" s="33"/>
      <c r="BY158" s="33"/>
      <c r="BZ158" s="33"/>
      <c r="CA158" s="33"/>
      <c r="CB158" s="33"/>
      <c r="CC158" s="33"/>
      <c r="CD158" s="33"/>
      <c r="CE158" s="33"/>
      <c r="CF158" s="33"/>
      <c r="CG158" s="33"/>
      <c r="CH158" s="33"/>
      <c r="CI158" s="33"/>
      <c r="CJ158" s="33"/>
      <c r="CK158" s="33"/>
      <c r="CL158" s="33"/>
      <c r="CM158" s="33"/>
      <c r="CN158" s="33"/>
      <c r="CO158" s="33"/>
      <c r="CP158" s="33"/>
      <c r="CQ158" s="25"/>
    </row>
    <row r="159" spans="1:96" x14ac:dyDescent="0.25">
      <c r="A159" s="25" t="s">
        <v>132</v>
      </c>
      <c r="B159" s="25" t="s">
        <v>335</v>
      </c>
      <c r="C159" s="25" t="s">
        <v>504</v>
      </c>
      <c r="D159" s="25">
        <v>146</v>
      </c>
      <c r="E159" s="35" cm="1">
        <f t="array" ref="E159">IFERROR(INDEX($J$5:$AVX$5, _xlfn.AGGREGATE(15,6, COLUMN(J159:AVX159)-COLUMN(J159)+1 / (J159:AVX159="T"), F159)), "")</f>
        <v>46002</v>
      </c>
      <c r="F159" s="76">
        <f t="shared" si="23"/>
        <v>2</v>
      </c>
      <c r="G159" s="35" cm="1">
        <f t="array" ref="G159">IFERROR(INDEX($J$5:$AVW$5,_xlfn.AGGREGATE(14,6,(COLUMN($J159:$AVW159)-COLUMN($J159)+1)/($J159:$AVW159="T"),1)),"")</f>
        <v>46002</v>
      </c>
      <c r="H159" s="79">
        <f t="shared" si="24"/>
        <v>2</v>
      </c>
      <c r="I159" s="38" t="s">
        <v>10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25" t="s">
        <v>12</v>
      </c>
      <c r="V159" s="27"/>
      <c r="W159" s="27"/>
      <c r="X159" s="27"/>
      <c r="Y159" s="28"/>
      <c r="Z159" s="27"/>
      <c r="AA159" s="27"/>
      <c r="AB159" s="29" t="s">
        <v>16</v>
      </c>
      <c r="AC159" s="30" t="s">
        <v>13</v>
      </c>
      <c r="AD159" s="27"/>
      <c r="AE159" s="27"/>
      <c r="AF159" s="28"/>
      <c r="AG159" s="27"/>
      <c r="AH159" s="27"/>
      <c r="AI159" s="32" t="s">
        <v>14</v>
      </c>
      <c r="AJ159" s="30" t="s">
        <v>11</v>
      </c>
      <c r="AK159" s="27"/>
      <c r="AL159" s="27"/>
      <c r="AM159" s="28"/>
      <c r="AN159" s="27"/>
      <c r="AO159" s="29" t="s">
        <v>15</v>
      </c>
      <c r="AP159" s="27"/>
      <c r="AQ159" s="27"/>
      <c r="AR159" s="25">
        <v>17</v>
      </c>
      <c r="AS159" s="33"/>
      <c r="AT159" s="33"/>
      <c r="AU159" s="33"/>
      <c r="AV159" s="33"/>
      <c r="AW159" s="33"/>
      <c r="AX159" s="25" t="s">
        <v>12</v>
      </c>
      <c r="AY159" s="27"/>
      <c r="AZ159" s="27"/>
      <c r="BA159" s="27"/>
      <c r="BB159" s="28"/>
      <c r="BC159" s="27"/>
      <c r="BD159" s="27"/>
      <c r="BE159" s="29" t="s">
        <v>16</v>
      </c>
      <c r="BF159" s="30" t="s">
        <v>13</v>
      </c>
      <c r="BG159" s="27"/>
      <c r="BH159" s="27"/>
      <c r="BI159" s="28"/>
      <c r="BJ159" s="27"/>
      <c r="BK159" s="27"/>
      <c r="BL159" s="32" t="s">
        <v>14</v>
      </c>
      <c r="BM159" s="30" t="s">
        <v>11</v>
      </c>
      <c r="BN159" s="27"/>
      <c r="BO159" s="27"/>
      <c r="BP159" s="28"/>
      <c r="BQ159" s="27"/>
      <c r="BR159" s="29" t="s">
        <v>15</v>
      </c>
      <c r="BS159" s="27"/>
      <c r="BT159" s="27"/>
      <c r="BU159" s="25">
        <v>17</v>
      </c>
      <c r="BV159" s="33"/>
      <c r="BW159" s="33"/>
      <c r="BX159" s="33"/>
      <c r="BY159" s="33"/>
      <c r="BZ159" s="33"/>
      <c r="CA159" s="33"/>
      <c r="CB159" s="33"/>
      <c r="CC159" s="33"/>
      <c r="CD159" s="33"/>
      <c r="CE159" s="33"/>
      <c r="CF159" s="33"/>
      <c r="CG159" s="33"/>
      <c r="CH159" s="33"/>
      <c r="CI159" s="33"/>
      <c r="CJ159" s="33"/>
      <c r="CK159" s="33"/>
      <c r="CL159" s="33"/>
      <c r="CM159" s="33"/>
      <c r="CN159" s="33"/>
      <c r="CO159" s="33"/>
      <c r="CP159" s="33"/>
      <c r="CQ159" s="25"/>
    </row>
    <row r="160" spans="1:96" x14ac:dyDescent="0.25">
      <c r="A160" s="25" t="s">
        <v>132</v>
      </c>
      <c r="B160" s="25" t="s">
        <v>254</v>
      </c>
      <c r="C160" s="25" t="s">
        <v>505</v>
      </c>
      <c r="D160" s="25">
        <v>147</v>
      </c>
      <c r="E160" s="35" cm="1">
        <f t="array" ref="E160">IFERROR(INDEX($J$5:$AVX$5, _xlfn.AGGREGATE(15,6, COLUMN(J160:AVX160)-COLUMN(J160)+1 / (J160:AVX160="T"), F160)), "")</f>
        <v>46002</v>
      </c>
      <c r="F160" s="76">
        <f t="shared" si="23"/>
        <v>2</v>
      </c>
      <c r="G160" s="35" cm="1">
        <f t="array" ref="G160">IFERROR(INDEX($J$5:$AVW$5,_xlfn.AGGREGATE(14,6,(COLUMN($J160:$AVW160)-COLUMN($J160)+1)/($J160:$AVW160="T"),1)),"")</f>
        <v>46002</v>
      </c>
      <c r="H160" s="79">
        <f t="shared" si="24"/>
        <v>2</v>
      </c>
      <c r="I160" s="38" t="s">
        <v>10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25" t="s">
        <v>12</v>
      </c>
      <c r="V160" s="27"/>
      <c r="W160" s="27"/>
      <c r="X160" s="27"/>
      <c r="Y160" s="28"/>
      <c r="Z160" s="27"/>
      <c r="AA160" s="27"/>
      <c r="AB160" s="29" t="s">
        <v>16</v>
      </c>
      <c r="AC160" s="30" t="s">
        <v>13</v>
      </c>
      <c r="AD160" s="27"/>
      <c r="AE160" s="27"/>
      <c r="AF160" s="28"/>
      <c r="AG160" s="27"/>
      <c r="AH160" s="27"/>
      <c r="AI160" s="29" t="s">
        <v>14</v>
      </c>
      <c r="AJ160" s="30" t="s">
        <v>11</v>
      </c>
      <c r="AK160" s="37"/>
      <c r="AL160" s="27"/>
      <c r="AM160" s="28"/>
      <c r="AN160" s="27"/>
      <c r="AO160" s="29" t="s">
        <v>15</v>
      </c>
      <c r="AP160" s="27"/>
      <c r="AQ160" s="27"/>
      <c r="AR160" s="25">
        <v>17</v>
      </c>
      <c r="AS160" s="33"/>
      <c r="AT160" s="33"/>
      <c r="AU160" s="33"/>
      <c r="AV160" s="33"/>
      <c r="AW160" s="33"/>
      <c r="AX160" s="25" t="s">
        <v>12</v>
      </c>
      <c r="AY160" s="27"/>
      <c r="AZ160" s="27"/>
      <c r="BA160" s="27"/>
      <c r="BB160" s="28"/>
      <c r="BC160" s="27"/>
      <c r="BD160" s="27"/>
      <c r="BE160" s="29" t="s">
        <v>16</v>
      </c>
      <c r="BF160" s="30" t="s">
        <v>13</v>
      </c>
      <c r="BG160" s="27"/>
      <c r="BH160" s="27"/>
      <c r="BI160" s="28"/>
      <c r="BJ160" s="27"/>
      <c r="BK160" s="27"/>
      <c r="BL160" s="32" t="s">
        <v>14</v>
      </c>
      <c r="BM160" s="30" t="s">
        <v>11</v>
      </c>
      <c r="BN160" s="27"/>
      <c r="BO160" s="27"/>
      <c r="BP160" s="28"/>
      <c r="BQ160" s="27"/>
      <c r="BR160" s="29" t="s">
        <v>15</v>
      </c>
      <c r="BS160" s="27"/>
      <c r="BT160" s="27"/>
      <c r="BU160" s="25">
        <v>17</v>
      </c>
      <c r="BV160" s="33"/>
      <c r="BW160" s="33"/>
      <c r="BX160" s="33"/>
      <c r="BY160" s="33"/>
      <c r="BZ160" s="33"/>
      <c r="CA160" s="33"/>
      <c r="CB160" s="33"/>
      <c r="CC160" s="33"/>
      <c r="CD160" s="33"/>
      <c r="CE160" s="33"/>
      <c r="CF160" s="33"/>
      <c r="CG160" s="33"/>
      <c r="CH160" s="33"/>
      <c r="CI160" s="33"/>
      <c r="CJ160" s="33"/>
      <c r="CK160" s="33"/>
      <c r="CL160" s="33"/>
      <c r="CM160" s="33"/>
      <c r="CN160" s="33"/>
      <c r="CO160" s="33"/>
      <c r="CP160" s="33"/>
      <c r="CQ160" s="33"/>
    </row>
    <row r="161" spans="1:95" x14ac:dyDescent="0.25">
      <c r="A161" s="25" t="s">
        <v>132</v>
      </c>
      <c r="B161" s="25" t="s">
        <v>255</v>
      </c>
      <c r="C161" s="25" t="s">
        <v>506</v>
      </c>
      <c r="D161" s="25">
        <v>148</v>
      </c>
      <c r="E161" s="35" cm="1">
        <f t="array" ref="E161">IFERROR(INDEX($J$5:$AVX$5, _xlfn.AGGREGATE(15,6, COLUMN(J161:AVX161)-COLUMN(J161)+1 / (J161:AVX161="T"), F161)), "")</f>
        <v>46002</v>
      </c>
      <c r="F161" s="76">
        <f t="shared" si="23"/>
        <v>2</v>
      </c>
      <c r="G161" s="35" cm="1">
        <f t="array" ref="G161">IFERROR(INDEX($J$5:$AVW$5,_xlfn.AGGREGATE(14,6,(COLUMN($J161:$AVW161)-COLUMN($J161)+1)/($J161:$AVW161="T"),1)),"")</f>
        <v>46002</v>
      </c>
      <c r="H161" s="79">
        <f t="shared" si="24"/>
        <v>2</v>
      </c>
      <c r="I161" s="38" t="s">
        <v>10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25" t="s">
        <v>12</v>
      </c>
      <c r="V161" s="27"/>
      <c r="W161" s="27"/>
      <c r="X161" s="27"/>
      <c r="Y161" s="28"/>
      <c r="Z161" s="27"/>
      <c r="AA161" s="27"/>
      <c r="AB161" s="29" t="s">
        <v>16</v>
      </c>
      <c r="AC161" s="30" t="s">
        <v>13</v>
      </c>
      <c r="AD161" s="27"/>
      <c r="AE161" s="27"/>
      <c r="AF161" s="28"/>
      <c r="AG161" s="27"/>
      <c r="AH161" s="27"/>
      <c r="AI161" s="29" t="s">
        <v>14</v>
      </c>
      <c r="AJ161" s="30" t="s">
        <v>11</v>
      </c>
      <c r="AK161" s="37"/>
      <c r="AL161" s="27"/>
      <c r="AM161" s="28"/>
      <c r="AN161" s="27"/>
      <c r="AO161" s="29" t="s">
        <v>15</v>
      </c>
      <c r="AP161" s="27"/>
      <c r="AQ161" s="27"/>
      <c r="AR161" s="25">
        <v>17</v>
      </c>
      <c r="AS161" s="33"/>
      <c r="AT161" s="33"/>
      <c r="AU161" s="33"/>
      <c r="AV161" s="33"/>
      <c r="AW161" s="33"/>
      <c r="AX161" s="25" t="s">
        <v>12</v>
      </c>
      <c r="AY161" s="27"/>
      <c r="AZ161" s="27"/>
      <c r="BA161" s="27"/>
      <c r="BB161" s="28"/>
      <c r="BC161" s="27"/>
      <c r="BD161" s="27"/>
      <c r="BE161" s="29" t="s">
        <v>16</v>
      </c>
      <c r="BF161" s="30" t="s">
        <v>13</v>
      </c>
      <c r="BG161" s="27"/>
      <c r="BH161" s="27"/>
      <c r="BI161" s="28"/>
      <c r="BJ161" s="27"/>
      <c r="BK161" s="27"/>
      <c r="BL161" s="32" t="s">
        <v>14</v>
      </c>
      <c r="BM161" s="30" t="s">
        <v>11</v>
      </c>
      <c r="BN161" s="27"/>
      <c r="BO161" s="27"/>
      <c r="BP161" s="28"/>
      <c r="BQ161" s="27"/>
      <c r="BR161" s="29" t="s">
        <v>15</v>
      </c>
      <c r="BS161" s="27"/>
      <c r="BT161" s="27"/>
      <c r="BU161" s="25">
        <v>17</v>
      </c>
      <c r="BV161" s="33"/>
      <c r="BW161" s="33"/>
      <c r="BX161" s="33"/>
      <c r="BY161" s="33"/>
      <c r="BZ161" s="33"/>
      <c r="CA161" s="33"/>
      <c r="CB161" s="33"/>
      <c r="CC161" s="33"/>
      <c r="CD161" s="33"/>
      <c r="CE161" s="33"/>
      <c r="CF161" s="33"/>
      <c r="CG161" s="33"/>
      <c r="CH161" s="33"/>
      <c r="CI161" s="33"/>
      <c r="CJ161" s="33"/>
      <c r="CK161" s="33"/>
      <c r="CL161" s="33"/>
      <c r="CM161" s="33"/>
      <c r="CN161" s="33"/>
      <c r="CO161" s="33"/>
      <c r="CP161" s="33"/>
      <c r="CQ161" s="25"/>
    </row>
    <row r="162" spans="1:95" x14ac:dyDescent="0.25">
      <c r="A162" s="25" t="s">
        <v>132</v>
      </c>
      <c r="B162" s="25" t="s">
        <v>336</v>
      </c>
      <c r="C162" s="25" t="s">
        <v>507</v>
      </c>
      <c r="D162" s="25">
        <v>149</v>
      </c>
      <c r="E162" s="35" cm="1">
        <f t="array" ref="E162">IFERROR(INDEX($J$5:$AVX$5, _xlfn.AGGREGATE(15,6, COLUMN(J162:AVX162)-COLUMN(J162)+1 / (J162:AVX162="T"), F162)), "")</f>
        <v>46002</v>
      </c>
      <c r="F162" s="76">
        <f t="shared" si="23"/>
        <v>2</v>
      </c>
      <c r="G162" s="35" cm="1">
        <f t="array" ref="G162">IFERROR(INDEX($J$5:$AVW$5,_xlfn.AGGREGATE(14,6,(COLUMN($J162:$AVW162)-COLUMN($J162)+1)/($J162:$AVW162="T"),1)),"")</f>
        <v>46002</v>
      </c>
      <c r="H162" s="79">
        <f t="shared" si="24"/>
        <v>2</v>
      </c>
      <c r="I162" s="38" t="s">
        <v>10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25" t="s">
        <v>12</v>
      </c>
      <c r="V162" s="27"/>
      <c r="W162" s="27"/>
      <c r="X162" s="27"/>
      <c r="Y162" s="28"/>
      <c r="Z162" s="27"/>
      <c r="AA162" s="27"/>
      <c r="AB162" s="29" t="s">
        <v>16</v>
      </c>
      <c r="AC162" s="30" t="s">
        <v>13</v>
      </c>
      <c r="AD162" s="27"/>
      <c r="AE162" s="27"/>
      <c r="AF162" s="28"/>
      <c r="AG162" s="27"/>
      <c r="AH162" s="27"/>
      <c r="AI162" s="29" t="s">
        <v>14</v>
      </c>
      <c r="AJ162" s="30" t="s">
        <v>11</v>
      </c>
      <c r="AK162" s="37"/>
      <c r="AL162" s="27"/>
      <c r="AM162" s="28"/>
      <c r="AN162" s="27"/>
      <c r="AO162" s="29" t="s">
        <v>15</v>
      </c>
      <c r="AP162" s="27"/>
      <c r="AQ162" s="27"/>
      <c r="AR162" s="25">
        <v>17</v>
      </c>
      <c r="AS162" s="33"/>
      <c r="AT162" s="33"/>
      <c r="AU162" s="33"/>
      <c r="AV162" s="33"/>
      <c r="AW162" s="33"/>
      <c r="AX162" s="25" t="s">
        <v>12</v>
      </c>
      <c r="AY162" s="27"/>
      <c r="AZ162" s="27"/>
      <c r="BA162" s="27"/>
      <c r="BB162" s="28"/>
      <c r="BC162" s="27"/>
      <c r="BD162" s="27"/>
      <c r="BE162" s="29" t="s">
        <v>16</v>
      </c>
      <c r="BF162" s="30" t="s">
        <v>13</v>
      </c>
      <c r="BG162" s="27"/>
      <c r="BH162" s="27"/>
      <c r="BI162" s="28"/>
      <c r="BJ162" s="27"/>
      <c r="BK162" s="27"/>
      <c r="BL162" s="32" t="s">
        <v>14</v>
      </c>
      <c r="BM162" s="30" t="s">
        <v>11</v>
      </c>
      <c r="BN162" s="27"/>
      <c r="BO162" s="27"/>
      <c r="BP162" s="28"/>
      <c r="BQ162" s="27"/>
      <c r="BR162" s="29" t="s">
        <v>15</v>
      </c>
      <c r="BS162" s="27"/>
      <c r="BT162" s="27"/>
      <c r="BU162" s="25">
        <v>17</v>
      </c>
      <c r="BV162" s="33"/>
      <c r="BW162" s="33"/>
      <c r="BX162" s="33"/>
      <c r="BY162" s="33"/>
      <c r="BZ162" s="33"/>
      <c r="CA162" s="33"/>
      <c r="CB162" s="33"/>
      <c r="CC162" s="33"/>
      <c r="CD162" s="33"/>
      <c r="CE162" s="33"/>
      <c r="CF162" s="33"/>
      <c r="CG162" s="33"/>
      <c r="CH162" s="33"/>
      <c r="CI162" s="33"/>
      <c r="CJ162" s="33"/>
      <c r="CK162" s="33"/>
      <c r="CL162" s="33"/>
      <c r="CM162" s="33"/>
      <c r="CN162" s="33"/>
      <c r="CO162" s="33"/>
      <c r="CP162" s="33"/>
      <c r="CQ162" s="25"/>
    </row>
    <row r="163" spans="1:95" x14ac:dyDescent="0.25">
      <c r="A163" s="25" t="s">
        <v>132</v>
      </c>
      <c r="B163" s="25" t="s">
        <v>337</v>
      </c>
      <c r="C163" s="25" t="s">
        <v>508</v>
      </c>
      <c r="D163" s="25">
        <v>150</v>
      </c>
      <c r="E163" s="35" cm="1">
        <f t="array" ref="E163">IFERROR(INDEX($J$5:$AVX$5, _xlfn.AGGREGATE(15,6, COLUMN(J163:AVX163)-COLUMN(J163)+1 / (J163:AVX163="T"), F163)), "")</f>
        <v>46002</v>
      </c>
      <c r="F163" s="76">
        <f t="shared" si="23"/>
        <v>2</v>
      </c>
      <c r="G163" s="35" cm="1">
        <f t="array" ref="G163">IFERROR(INDEX($J$5:$AVW$5,_xlfn.AGGREGATE(14,6,(COLUMN($J163:$AVW163)-COLUMN($J163)+1)/($J163:$AVW163="T"),1)),"")</f>
        <v>46002</v>
      </c>
      <c r="H163" s="79">
        <f t="shared" si="24"/>
        <v>2</v>
      </c>
      <c r="I163" s="38" t="s">
        <v>10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25" t="s">
        <v>12</v>
      </c>
      <c r="V163" s="27"/>
      <c r="W163" s="27"/>
      <c r="X163" s="27"/>
      <c r="Y163" s="28"/>
      <c r="Z163" s="27"/>
      <c r="AA163" s="27"/>
      <c r="AB163" s="29" t="s">
        <v>16</v>
      </c>
      <c r="AC163" s="30" t="s">
        <v>13</v>
      </c>
      <c r="AD163" s="27"/>
      <c r="AE163" s="27"/>
      <c r="AF163" s="28"/>
      <c r="AG163" s="27"/>
      <c r="AH163" s="27"/>
      <c r="AI163" s="29" t="s">
        <v>14</v>
      </c>
      <c r="AJ163" s="30" t="s">
        <v>11</v>
      </c>
      <c r="AK163" s="37"/>
      <c r="AL163" s="27"/>
      <c r="AM163" s="28"/>
      <c r="AN163" s="27"/>
      <c r="AO163" s="29" t="s">
        <v>15</v>
      </c>
      <c r="AP163" s="27"/>
      <c r="AQ163" s="27"/>
      <c r="AR163" s="25">
        <v>17</v>
      </c>
      <c r="AS163" s="33"/>
      <c r="AT163" s="33"/>
      <c r="AU163" s="33"/>
      <c r="AV163" s="33"/>
      <c r="AW163" s="33"/>
      <c r="AX163" s="25" t="s">
        <v>12</v>
      </c>
      <c r="AY163" s="27"/>
      <c r="AZ163" s="27"/>
      <c r="BA163" s="27"/>
      <c r="BB163" s="28"/>
      <c r="BC163" s="27"/>
      <c r="BD163" s="27"/>
      <c r="BE163" s="29" t="s">
        <v>16</v>
      </c>
      <c r="BF163" s="30" t="s">
        <v>13</v>
      </c>
      <c r="BG163" s="27"/>
      <c r="BH163" s="27"/>
      <c r="BI163" s="28"/>
      <c r="BJ163" s="27"/>
      <c r="BK163" s="27"/>
      <c r="BL163" s="32" t="s">
        <v>14</v>
      </c>
      <c r="BM163" s="30" t="s">
        <v>11</v>
      </c>
      <c r="BN163" s="27"/>
      <c r="BO163" s="27"/>
      <c r="BP163" s="28"/>
      <c r="BQ163" s="27"/>
      <c r="BR163" s="29" t="s">
        <v>15</v>
      </c>
      <c r="BS163" s="27"/>
      <c r="BT163" s="27"/>
      <c r="BU163" s="25">
        <v>17</v>
      </c>
      <c r="BV163" s="33"/>
      <c r="BW163" s="33"/>
      <c r="BX163" s="33"/>
      <c r="BY163" s="33"/>
      <c r="BZ163" s="33"/>
      <c r="CA163" s="33"/>
      <c r="CB163" s="33"/>
      <c r="CC163" s="33"/>
      <c r="CD163" s="33"/>
      <c r="CE163" s="33"/>
      <c r="CF163" s="33"/>
      <c r="CG163" s="33"/>
      <c r="CH163" s="33"/>
      <c r="CI163" s="33"/>
      <c r="CJ163" s="33"/>
      <c r="CK163" s="33"/>
      <c r="CL163" s="33"/>
      <c r="CM163" s="33"/>
      <c r="CN163" s="33"/>
      <c r="CO163" s="33"/>
      <c r="CP163" s="33"/>
      <c r="CQ163" s="25"/>
    </row>
    <row r="164" spans="1:95" x14ac:dyDescent="0.25">
      <c r="A164" s="25" t="s">
        <v>132</v>
      </c>
      <c r="B164" s="25" t="s">
        <v>256</v>
      </c>
      <c r="C164" s="25" t="s">
        <v>509</v>
      </c>
      <c r="D164" s="25">
        <v>151</v>
      </c>
      <c r="E164" s="35" cm="1">
        <f t="array" ref="E164">IFERROR(INDEX($J$5:$AVX$5, _xlfn.AGGREGATE(15,6, COLUMN(J164:AVX164)-COLUMN(J164)+1 / (J164:AVX164="T"), F164)), "")</f>
        <v>46002</v>
      </c>
      <c r="F164" s="76">
        <f t="shared" si="23"/>
        <v>2</v>
      </c>
      <c r="G164" s="35" cm="1">
        <f t="array" ref="G164">IFERROR(INDEX($J$5:$AVW$5,_xlfn.AGGREGATE(14,6,(COLUMN($J164:$AVW164)-COLUMN($J164)+1)/($J164:$AVW164="T"),1)),"")</f>
        <v>46002</v>
      </c>
      <c r="H164" s="79">
        <f t="shared" si="24"/>
        <v>2</v>
      </c>
      <c r="I164" s="38" t="s">
        <v>10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25" t="s">
        <v>12</v>
      </c>
      <c r="V164" s="27"/>
      <c r="W164" s="27"/>
      <c r="X164" s="27"/>
      <c r="Y164" s="28"/>
      <c r="Z164" s="27"/>
      <c r="AA164" s="27"/>
      <c r="AB164" s="29" t="s">
        <v>16</v>
      </c>
      <c r="AC164" s="30" t="s">
        <v>13</v>
      </c>
      <c r="AD164" s="27"/>
      <c r="AE164" s="27"/>
      <c r="AF164" s="28"/>
      <c r="AG164" s="27"/>
      <c r="AH164" s="27"/>
      <c r="AI164" s="29" t="s">
        <v>14</v>
      </c>
      <c r="AJ164" s="30" t="s">
        <v>11</v>
      </c>
      <c r="AK164" s="37"/>
      <c r="AL164" s="27"/>
      <c r="AM164" s="28"/>
      <c r="AN164" s="27"/>
      <c r="AO164" s="29" t="s">
        <v>15</v>
      </c>
      <c r="AP164" s="27"/>
      <c r="AQ164" s="27"/>
      <c r="AR164" s="25">
        <v>17</v>
      </c>
      <c r="AS164" s="33"/>
      <c r="AT164" s="33"/>
      <c r="AU164" s="33"/>
      <c r="AV164" s="33"/>
      <c r="AW164" s="33"/>
      <c r="AX164" s="25" t="s">
        <v>12</v>
      </c>
      <c r="AY164" s="27"/>
      <c r="AZ164" s="27"/>
      <c r="BA164" s="27"/>
      <c r="BB164" s="28"/>
      <c r="BC164" s="27"/>
      <c r="BD164" s="27"/>
      <c r="BE164" s="29" t="s">
        <v>16</v>
      </c>
      <c r="BF164" s="30" t="s">
        <v>13</v>
      </c>
      <c r="BG164" s="27"/>
      <c r="BH164" s="27"/>
      <c r="BI164" s="28"/>
      <c r="BJ164" s="27"/>
      <c r="BK164" s="27"/>
      <c r="BL164" s="32" t="s">
        <v>14</v>
      </c>
      <c r="BM164" s="30" t="s">
        <v>11</v>
      </c>
      <c r="BN164" s="27"/>
      <c r="BO164" s="27"/>
      <c r="BP164" s="28"/>
      <c r="BQ164" s="27"/>
      <c r="BR164" s="29" t="s">
        <v>15</v>
      </c>
      <c r="BS164" s="27"/>
      <c r="BT164" s="27"/>
      <c r="BU164" s="25">
        <v>17</v>
      </c>
      <c r="BV164" s="33"/>
      <c r="BW164" s="33"/>
      <c r="BX164" s="33"/>
      <c r="BY164" s="33"/>
      <c r="BZ164" s="33"/>
      <c r="CA164" s="33"/>
      <c r="CB164" s="33"/>
      <c r="CC164" s="33"/>
      <c r="CD164" s="33"/>
      <c r="CE164" s="33"/>
      <c r="CF164" s="33"/>
      <c r="CG164" s="33"/>
      <c r="CH164" s="33"/>
      <c r="CI164" s="33"/>
      <c r="CJ164" s="33"/>
      <c r="CK164" s="33"/>
      <c r="CL164" s="33"/>
      <c r="CM164" s="33"/>
      <c r="CN164" s="33"/>
      <c r="CO164" s="33"/>
      <c r="CP164" s="33"/>
      <c r="CQ164" s="25"/>
    </row>
    <row r="165" spans="1:95" x14ac:dyDescent="0.25">
      <c r="A165" s="25" t="s">
        <v>132</v>
      </c>
      <c r="B165" s="25" t="s">
        <v>257</v>
      </c>
      <c r="C165" s="25" t="s">
        <v>510</v>
      </c>
      <c r="D165" s="25">
        <v>152</v>
      </c>
      <c r="E165" s="35" cm="1">
        <f t="array" ref="E165">IFERROR(INDEX($J$5:$AVX$5, _xlfn.AGGREGATE(15,6, COLUMN(J165:AVX165)-COLUMN(J165)+1 / (J165:AVX165="T"), F165)), "")</f>
        <v>46002</v>
      </c>
      <c r="F165" s="76">
        <f t="shared" si="23"/>
        <v>2</v>
      </c>
      <c r="G165" s="35" cm="1">
        <f t="array" ref="G165">IFERROR(INDEX($J$5:$AVW$5,_xlfn.AGGREGATE(14,6,(COLUMN($J165:$AVW165)-COLUMN($J165)+1)/($J165:$AVW165="T"),1)),"")</f>
        <v>46002</v>
      </c>
      <c r="H165" s="79">
        <f t="shared" si="24"/>
        <v>2</v>
      </c>
      <c r="I165" s="38" t="s">
        <v>10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25" t="s">
        <v>12</v>
      </c>
      <c r="V165" s="27"/>
      <c r="W165" s="27"/>
      <c r="X165" s="27"/>
      <c r="Y165" s="28"/>
      <c r="Z165" s="27"/>
      <c r="AA165" s="27"/>
      <c r="AB165" s="29" t="s">
        <v>16</v>
      </c>
      <c r="AC165" s="30" t="s">
        <v>13</v>
      </c>
      <c r="AD165" s="27"/>
      <c r="AE165" s="27"/>
      <c r="AF165" s="28"/>
      <c r="AG165" s="27"/>
      <c r="AH165" s="27"/>
      <c r="AI165" s="29" t="s">
        <v>14</v>
      </c>
      <c r="AJ165" s="30" t="s">
        <v>11</v>
      </c>
      <c r="AK165" s="37"/>
      <c r="AL165" s="27"/>
      <c r="AM165" s="28"/>
      <c r="AN165" s="27"/>
      <c r="AO165" s="29" t="s">
        <v>15</v>
      </c>
      <c r="AP165" s="27"/>
      <c r="AQ165" s="27"/>
      <c r="AR165" s="25">
        <v>17</v>
      </c>
      <c r="AS165" s="33"/>
      <c r="AT165" s="33"/>
      <c r="AU165" s="33"/>
      <c r="AV165" s="33"/>
      <c r="AW165" s="33"/>
      <c r="AX165" s="25" t="s">
        <v>12</v>
      </c>
      <c r="AY165" s="27"/>
      <c r="AZ165" s="27"/>
      <c r="BA165" s="27"/>
      <c r="BB165" s="28"/>
      <c r="BC165" s="27"/>
      <c r="BD165" s="27"/>
      <c r="BE165" s="29" t="s">
        <v>16</v>
      </c>
      <c r="BF165" s="30" t="s">
        <v>13</v>
      </c>
      <c r="BG165" s="27"/>
      <c r="BH165" s="27"/>
      <c r="BI165" s="28"/>
      <c r="BJ165" s="27"/>
      <c r="BK165" s="27"/>
      <c r="BL165" s="32" t="s">
        <v>14</v>
      </c>
      <c r="BM165" s="30" t="s">
        <v>11</v>
      </c>
      <c r="BN165" s="27"/>
      <c r="BO165" s="27"/>
      <c r="BP165" s="28"/>
      <c r="BQ165" s="27"/>
      <c r="BR165" s="29" t="s">
        <v>15</v>
      </c>
      <c r="BS165" s="27"/>
      <c r="BT165" s="27"/>
      <c r="BU165" s="25">
        <v>17</v>
      </c>
      <c r="BV165" s="33"/>
      <c r="BW165" s="33"/>
      <c r="BX165" s="33"/>
      <c r="BY165" s="33"/>
      <c r="BZ165" s="33"/>
      <c r="CA165" s="33"/>
      <c r="CB165" s="33"/>
      <c r="CC165" s="33"/>
      <c r="CD165" s="33"/>
      <c r="CE165" s="33"/>
      <c r="CF165" s="33"/>
      <c r="CG165" s="33"/>
      <c r="CH165" s="33"/>
      <c r="CI165" s="33"/>
      <c r="CJ165" s="33"/>
      <c r="CK165" s="33"/>
      <c r="CL165" s="33"/>
      <c r="CM165" s="33"/>
      <c r="CN165" s="33"/>
      <c r="CO165" s="33"/>
      <c r="CP165" s="33"/>
      <c r="CQ165" s="25"/>
    </row>
    <row r="166" spans="1:95" x14ac:dyDescent="0.25">
      <c r="A166" s="39" t="s">
        <v>132</v>
      </c>
      <c r="B166" s="39" t="s">
        <v>258</v>
      </c>
      <c r="C166" s="25" t="s">
        <v>511</v>
      </c>
      <c r="D166" s="25">
        <v>153</v>
      </c>
      <c r="E166" s="35" t="str" cm="1">
        <f t="array" ref="E166">IFERROR(INDEX($J$5:$AVX$5, _xlfn.AGGREGATE(15,6, COLUMN(J166:AVX166)-COLUMN(J166)+1 / (J166:AVX166="T"), F166)), "")</f>
        <v/>
      </c>
      <c r="F166" s="76">
        <f t="shared" si="23"/>
        <v>2</v>
      </c>
      <c r="G166" s="35" t="str" cm="1">
        <f t="array" ref="G166">IFERROR(INDEX($J$5:$AVW$5,_xlfn.AGGREGATE(14,6,(COLUMN($J166:$AVW166)-COLUMN($J166)+1)/($J166:$AVW166="T"),1)),"")</f>
        <v/>
      </c>
      <c r="H166" s="79">
        <f t="shared" si="24"/>
        <v>0</v>
      </c>
      <c r="I166" s="44" t="s">
        <v>10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  <c r="BH166" s="33"/>
      <c r="BI166" s="33"/>
      <c r="BJ166" s="33"/>
      <c r="BK166" s="33"/>
      <c r="BL166" s="33"/>
      <c r="BM166" s="33"/>
      <c r="BN166" s="33"/>
      <c r="BO166" s="33"/>
      <c r="BP166" s="33"/>
      <c r="BQ166" s="33"/>
      <c r="BR166" s="33"/>
      <c r="BS166" s="33"/>
      <c r="BT166" s="33"/>
      <c r="BU166" s="33"/>
      <c r="BV166" s="33"/>
      <c r="BW166" s="33"/>
      <c r="BX166" s="33"/>
      <c r="BY166" s="33"/>
      <c r="BZ166" s="33"/>
      <c r="CA166" s="33"/>
      <c r="CB166" s="33"/>
      <c r="CC166" s="33"/>
      <c r="CD166" s="33"/>
      <c r="CE166" s="33"/>
      <c r="CF166" s="33"/>
      <c r="CG166" s="33"/>
      <c r="CH166" s="33"/>
      <c r="CI166" s="33"/>
      <c r="CJ166" s="33"/>
      <c r="CK166" s="33"/>
      <c r="CL166" s="33"/>
      <c r="CM166" s="33"/>
      <c r="CN166" s="33"/>
      <c r="CO166" s="33"/>
      <c r="CP166" s="33"/>
    </row>
    <row r="167" spans="1:95" x14ac:dyDescent="0.25">
      <c r="A167" s="39" t="s">
        <v>132</v>
      </c>
      <c r="B167" s="39" t="s">
        <v>259</v>
      </c>
      <c r="C167" s="25" t="s">
        <v>512</v>
      </c>
      <c r="D167" s="25">
        <v>154</v>
      </c>
      <c r="E167" s="35" t="str" cm="1">
        <f t="array" ref="E167">IFERROR(INDEX($J$5:$AVX$5, _xlfn.AGGREGATE(15,6, COLUMN(J167:AVX167)-COLUMN(J167)+1 / (J167:AVX167="T"), F167)), "")</f>
        <v/>
      </c>
      <c r="F167" s="76">
        <f t="shared" si="23"/>
        <v>2</v>
      </c>
      <c r="G167" s="35" t="str" cm="1">
        <f t="array" ref="G167">IFERROR(INDEX($J$5:$AVW$5,_xlfn.AGGREGATE(14,6,(COLUMN($J167:$AVW167)-COLUMN($J167)+1)/($J167:$AVW167="T"),1)),"")</f>
        <v/>
      </c>
      <c r="H167" s="79">
        <f t="shared" si="24"/>
        <v>0</v>
      </c>
      <c r="I167" s="44" t="s">
        <v>10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  <c r="CD167" s="33"/>
      <c r="CE167" s="33"/>
      <c r="CF167" s="33"/>
      <c r="CG167" s="33"/>
      <c r="CH167" s="33"/>
      <c r="CI167" s="33"/>
      <c r="CJ167" s="33"/>
      <c r="CK167" s="33"/>
      <c r="CL167" s="33"/>
      <c r="CM167" s="33"/>
      <c r="CN167" s="33"/>
      <c r="CO167" s="33"/>
      <c r="CP167" s="33"/>
    </row>
    <row r="168" spans="1:95" x14ac:dyDescent="0.25">
      <c r="A168" s="25" t="s">
        <v>146</v>
      </c>
      <c r="B168" s="25" t="s">
        <v>267</v>
      </c>
      <c r="C168" s="25" t="s">
        <v>513</v>
      </c>
      <c r="D168" s="25">
        <v>155</v>
      </c>
      <c r="E168" s="35" cm="1">
        <f t="array" ref="E168">IFERROR(INDEX($J$5:$AVX$5, _xlfn.AGGREGATE(15,6, COLUMN(J168:AVX168)-COLUMN(J168)+1 / (J168:AVX168="T"), F168)), "")</f>
        <v>46006</v>
      </c>
      <c r="F168" s="76">
        <f t="shared" si="23"/>
        <v>2</v>
      </c>
      <c r="G168" s="35" cm="1">
        <f t="array" ref="G168">IFERROR(INDEX($J$5:$AVW$5,_xlfn.AGGREGATE(14,6,(COLUMN($J168:$AVW168)-COLUMN($J168)+1)/($J168:$AVW168="T"),1)),"")</f>
        <v>46006</v>
      </c>
      <c r="H168" s="79">
        <f t="shared" si="24"/>
        <v>2</v>
      </c>
      <c r="I168" s="38" t="s">
        <v>10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25" t="s">
        <v>12</v>
      </c>
      <c r="Z168" s="27"/>
      <c r="AA168" s="27"/>
      <c r="AB168" s="27"/>
      <c r="AC168" s="28"/>
      <c r="AD168" s="27"/>
      <c r="AE168" s="27"/>
      <c r="AF168" s="29" t="s">
        <v>16</v>
      </c>
      <c r="AG168" s="30" t="s">
        <v>13</v>
      </c>
      <c r="AH168" s="27"/>
      <c r="AI168" s="27"/>
      <c r="AJ168" s="28"/>
      <c r="AK168" s="27"/>
      <c r="AL168" s="27"/>
      <c r="AM168" s="32" t="s">
        <v>14</v>
      </c>
      <c r="AN168" s="30" t="s">
        <v>11</v>
      </c>
      <c r="AO168" s="27"/>
      <c r="AP168" s="27"/>
      <c r="AQ168" s="28"/>
      <c r="AR168" s="27"/>
      <c r="AS168" s="29" t="s">
        <v>15</v>
      </c>
      <c r="AT168" s="27"/>
      <c r="AU168" s="27"/>
      <c r="AV168" s="25">
        <v>17</v>
      </c>
      <c r="AW168" s="33"/>
      <c r="AX168" s="33"/>
      <c r="AY168" s="33"/>
      <c r="AZ168" s="33"/>
      <c r="BA168" s="33"/>
      <c r="BB168" s="25" t="s">
        <v>12</v>
      </c>
      <c r="BC168" s="27"/>
      <c r="BD168" s="27"/>
      <c r="BE168" s="27"/>
      <c r="BF168" s="28"/>
      <c r="BG168" s="27"/>
      <c r="BH168" s="27"/>
      <c r="BI168" s="29" t="s">
        <v>16</v>
      </c>
      <c r="BJ168" s="30" t="s">
        <v>13</v>
      </c>
      <c r="BK168" s="27"/>
      <c r="BL168" s="27"/>
      <c r="BM168" s="28"/>
      <c r="BN168" s="27"/>
      <c r="BO168" s="27"/>
      <c r="BP168" s="32" t="s">
        <v>14</v>
      </c>
      <c r="BQ168" s="30" t="s">
        <v>11</v>
      </c>
      <c r="BR168" s="27"/>
      <c r="BS168" s="27"/>
      <c r="BT168" s="28"/>
      <c r="BU168" s="27"/>
      <c r="BV168" s="29" t="s">
        <v>15</v>
      </c>
      <c r="BW168" s="27"/>
      <c r="BX168" s="27"/>
      <c r="BY168" s="25">
        <v>17</v>
      </c>
      <c r="BZ168" s="33"/>
      <c r="CA168" s="33"/>
      <c r="CB168" s="33"/>
      <c r="CC168" s="33"/>
      <c r="CD168" s="33"/>
      <c r="CE168" s="33"/>
      <c r="CF168" s="33"/>
      <c r="CG168" s="33"/>
      <c r="CH168" s="33"/>
      <c r="CI168" s="33"/>
      <c r="CJ168" s="33"/>
      <c r="CK168" s="33"/>
      <c r="CL168" s="33"/>
      <c r="CM168" s="33"/>
      <c r="CN168" s="33"/>
      <c r="CO168" s="33"/>
      <c r="CP168" s="33"/>
    </row>
    <row r="169" spans="1:95" x14ac:dyDescent="0.25">
      <c r="A169" s="25" t="s">
        <v>146</v>
      </c>
      <c r="B169" s="25" t="s">
        <v>268</v>
      </c>
      <c r="C169" s="25" t="s">
        <v>514</v>
      </c>
      <c r="D169" s="25">
        <v>156</v>
      </c>
      <c r="E169" s="35" cm="1">
        <f t="array" ref="E169">IFERROR(INDEX($J$5:$AVX$5, _xlfn.AGGREGATE(15,6, COLUMN(J169:AVX169)-COLUMN(J169)+1 / (J169:AVX169="T"), F169)), "")</f>
        <v>46006</v>
      </c>
      <c r="F169" s="76">
        <f t="shared" si="23"/>
        <v>2</v>
      </c>
      <c r="G169" s="35" cm="1">
        <f t="array" ref="G169">IFERROR(INDEX($J$5:$AVW$5,_xlfn.AGGREGATE(14,6,(COLUMN($J169:$AVW169)-COLUMN($J169)+1)/($J169:$AVW169="T"),1)),"")</f>
        <v>46006</v>
      </c>
      <c r="H169" s="79">
        <f t="shared" si="24"/>
        <v>2</v>
      </c>
      <c r="I169" s="38" t="s">
        <v>10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25" t="s">
        <v>12</v>
      </c>
      <c r="Z169" s="27"/>
      <c r="AA169" s="27"/>
      <c r="AB169" s="27"/>
      <c r="AC169" s="28"/>
      <c r="AD169" s="27"/>
      <c r="AE169" s="27"/>
      <c r="AF169" s="29" t="s">
        <v>16</v>
      </c>
      <c r="AG169" s="30" t="s">
        <v>13</v>
      </c>
      <c r="AH169" s="27"/>
      <c r="AI169" s="27"/>
      <c r="AJ169" s="28"/>
      <c r="AK169" s="27"/>
      <c r="AL169" s="27"/>
      <c r="AM169" s="29" t="s">
        <v>14</v>
      </c>
      <c r="AN169" s="30" t="s">
        <v>11</v>
      </c>
      <c r="AO169" s="37"/>
      <c r="AP169" s="27"/>
      <c r="AQ169" s="28"/>
      <c r="AR169" s="27"/>
      <c r="AS169" s="29" t="s">
        <v>15</v>
      </c>
      <c r="AT169" s="27"/>
      <c r="AU169" s="27"/>
      <c r="AV169" s="25">
        <v>17</v>
      </c>
      <c r="AW169" s="33"/>
      <c r="AX169" s="33"/>
      <c r="AY169" s="33"/>
      <c r="AZ169" s="33"/>
      <c r="BA169" s="33"/>
      <c r="BB169" s="25" t="s">
        <v>12</v>
      </c>
      <c r="BC169" s="27"/>
      <c r="BD169" s="27"/>
      <c r="BE169" s="27"/>
      <c r="BF169" s="28"/>
      <c r="BG169" s="27"/>
      <c r="BH169" s="27"/>
      <c r="BI169" s="29" t="s">
        <v>16</v>
      </c>
      <c r="BJ169" s="30" t="s">
        <v>13</v>
      </c>
      <c r="BK169" s="27"/>
      <c r="BL169" s="27"/>
      <c r="BM169" s="28"/>
      <c r="BN169" s="27"/>
      <c r="BO169" s="27"/>
      <c r="BP169" s="32" t="s">
        <v>14</v>
      </c>
      <c r="BQ169" s="30" t="s">
        <v>11</v>
      </c>
      <c r="BR169" s="27"/>
      <c r="BS169" s="27"/>
      <c r="BT169" s="28"/>
      <c r="BU169" s="27"/>
      <c r="BV169" s="29" t="s">
        <v>15</v>
      </c>
      <c r="BW169" s="27"/>
      <c r="BX169" s="27"/>
      <c r="BY169" s="25">
        <v>17</v>
      </c>
      <c r="BZ169" s="33"/>
      <c r="CA169" s="33"/>
      <c r="CB169" s="33"/>
      <c r="CC169" s="33"/>
      <c r="CD169" s="33"/>
      <c r="CE169" s="33"/>
      <c r="CF169" s="33"/>
      <c r="CG169" s="33"/>
      <c r="CH169" s="33"/>
      <c r="CI169" s="33"/>
      <c r="CJ169" s="33"/>
      <c r="CK169" s="33"/>
      <c r="CL169" s="33"/>
      <c r="CM169" s="33"/>
      <c r="CN169" s="33"/>
      <c r="CO169" s="33"/>
      <c r="CP169" s="33"/>
    </row>
    <row r="170" spans="1:95" s="40" customFormat="1" x14ac:dyDescent="0.25">
      <c r="A170" s="25" t="s">
        <v>146</v>
      </c>
      <c r="B170" s="25" t="s">
        <v>269</v>
      </c>
      <c r="C170" s="25" t="s">
        <v>515</v>
      </c>
      <c r="D170" s="25">
        <v>157</v>
      </c>
      <c r="E170" s="35" cm="1">
        <f t="array" ref="E170">IFERROR(INDEX($J$5:$AVX$5, _xlfn.AGGREGATE(15,6, COLUMN(J170:AVX170)-COLUMN(J170)+1 / (J170:AVX170="T"), F170)), "")</f>
        <v>46006</v>
      </c>
      <c r="F170" s="76">
        <f t="shared" si="23"/>
        <v>2</v>
      </c>
      <c r="G170" s="35" cm="1">
        <f t="array" ref="G170">IFERROR(INDEX($J$5:$AVW$5,_xlfn.AGGREGATE(14,6,(COLUMN($J170:$AVW170)-COLUMN($J170)+1)/($J170:$AVW170="T"),1)),"")</f>
        <v>46006</v>
      </c>
      <c r="H170" s="79">
        <f t="shared" si="24"/>
        <v>2</v>
      </c>
      <c r="I170" s="38" t="s">
        <v>10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25" t="s">
        <v>12</v>
      </c>
      <c r="Z170" s="27"/>
      <c r="AA170" s="27"/>
      <c r="AB170" s="27"/>
      <c r="AC170" s="28"/>
      <c r="AD170" s="27"/>
      <c r="AE170" s="27"/>
      <c r="AF170" s="29" t="s">
        <v>16</v>
      </c>
      <c r="AG170" s="30" t="s">
        <v>13</v>
      </c>
      <c r="AH170" s="27"/>
      <c r="AI170" s="27"/>
      <c r="AJ170" s="28"/>
      <c r="AK170" s="27"/>
      <c r="AL170" s="27"/>
      <c r="AM170" s="29" t="s">
        <v>14</v>
      </c>
      <c r="AN170" s="30" t="s">
        <v>11</v>
      </c>
      <c r="AO170" s="37"/>
      <c r="AP170" s="27"/>
      <c r="AQ170" s="28"/>
      <c r="AR170" s="27"/>
      <c r="AS170" s="29" t="s">
        <v>15</v>
      </c>
      <c r="AT170" s="27"/>
      <c r="AU170" s="27"/>
      <c r="AV170" s="25">
        <v>17</v>
      </c>
      <c r="AW170" s="33"/>
      <c r="AX170" s="33"/>
      <c r="AY170" s="33"/>
      <c r="AZ170" s="33"/>
      <c r="BA170" s="33"/>
      <c r="BB170" s="25" t="s">
        <v>12</v>
      </c>
      <c r="BC170" s="27"/>
      <c r="BD170" s="27"/>
      <c r="BE170" s="27"/>
      <c r="BF170" s="28"/>
      <c r="BG170" s="27"/>
      <c r="BH170" s="27"/>
      <c r="BI170" s="29" t="s">
        <v>16</v>
      </c>
      <c r="BJ170" s="30" t="s">
        <v>13</v>
      </c>
      <c r="BK170" s="27"/>
      <c r="BL170" s="27"/>
      <c r="BM170" s="28"/>
      <c r="BN170" s="27"/>
      <c r="BO170" s="27"/>
      <c r="BP170" s="32" t="s">
        <v>14</v>
      </c>
      <c r="BQ170" s="30" t="s">
        <v>11</v>
      </c>
      <c r="BR170" s="27"/>
      <c r="BS170" s="27"/>
      <c r="BT170" s="28"/>
      <c r="BU170" s="27"/>
      <c r="BV170" s="29" t="s">
        <v>15</v>
      </c>
      <c r="BW170" s="27"/>
      <c r="BX170" s="27"/>
      <c r="BY170" s="25">
        <v>17</v>
      </c>
      <c r="BZ170" s="33"/>
      <c r="CA170" s="33"/>
      <c r="CB170" s="33"/>
      <c r="CC170" s="33"/>
      <c r="CD170" s="33"/>
      <c r="CE170" s="33"/>
      <c r="CF170" s="33"/>
      <c r="CG170" s="33"/>
      <c r="CH170" s="33"/>
      <c r="CI170" s="33"/>
      <c r="CJ170" s="33"/>
      <c r="CK170" s="33"/>
      <c r="CL170" s="33"/>
      <c r="CM170" s="33"/>
      <c r="CN170" s="33"/>
      <c r="CO170" s="33"/>
      <c r="CP170" s="33"/>
    </row>
    <row r="171" spans="1:95" s="40" customFormat="1" x14ac:dyDescent="0.25">
      <c r="A171" s="25" t="s">
        <v>146</v>
      </c>
      <c r="B171" s="25" t="s">
        <v>270</v>
      </c>
      <c r="C171" s="25" t="s">
        <v>516</v>
      </c>
      <c r="D171" s="25">
        <v>158</v>
      </c>
      <c r="E171" s="35" cm="1">
        <f t="array" ref="E171">IFERROR(INDEX($J$5:$AVX$5, _xlfn.AGGREGATE(15,6, COLUMN(J171:AVX171)-COLUMN(J171)+1 / (J171:AVX171="T"), F171)), "")</f>
        <v>46006</v>
      </c>
      <c r="F171" s="76">
        <f t="shared" si="23"/>
        <v>2</v>
      </c>
      <c r="G171" s="35" cm="1">
        <f t="array" ref="G171">IFERROR(INDEX($J$5:$AVW$5,_xlfn.AGGREGATE(14,6,(COLUMN($J171:$AVW171)-COLUMN($J171)+1)/($J171:$AVW171="T"),1)),"")</f>
        <v>46006</v>
      </c>
      <c r="H171" s="79">
        <f t="shared" si="24"/>
        <v>2</v>
      </c>
      <c r="I171" s="38" t="s">
        <v>10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25" t="s">
        <v>12</v>
      </c>
      <c r="Z171" s="27"/>
      <c r="AA171" s="27"/>
      <c r="AB171" s="27"/>
      <c r="AC171" s="28"/>
      <c r="AD171" s="27"/>
      <c r="AE171" s="27"/>
      <c r="AF171" s="29" t="s">
        <v>16</v>
      </c>
      <c r="AG171" s="30" t="s">
        <v>13</v>
      </c>
      <c r="AH171" s="27"/>
      <c r="AI171" s="27"/>
      <c r="AJ171" s="28"/>
      <c r="AK171" s="27"/>
      <c r="AL171" s="27"/>
      <c r="AM171" s="29" t="s">
        <v>14</v>
      </c>
      <c r="AN171" s="30" t="s">
        <v>11</v>
      </c>
      <c r="AO171" s="37"/>
      <c r="AP171" s="27"/>
      <c r="AQ171" s="28"/>
      <c r="AR171" s="27"/>
      <c r="AS171" s="29" t="s">
        <v>15</v>
      </c>
      <c r="AT171" s="27"/>
      <c r="AU171" s="27"/>
      <c r="AV171" s="25">
        <v>17</v>
      </c>
      <c r="AW171" s="33"/>
      <c r="AX171" s="33"/>
      <c r="AY171" s="33"/>
      <c r="AZ171" s="33"/>
      <c r="BA171" s="33"/>
      <c r="BB171" s="25" t="s">
        <v>12</v>
      </c>
      <c r="BC171" s="27"/>
      <c r="BD171" s="27"/>
      <c r="BE171" s="27"/>
      <c r="BF171" s="28"/>
      <c r="BG171" s="27"/>
      <c r="BH171" s="27"/>
      <c r="BI171" s="29" t="s">
        <v>16</v>
      </c>
      <c r="BJ171" s="30" t="s">
        <v>13</v>
      </c>
      <c r="BK171" s="27"/>
      <c r="BL171" s="27"/>
      <c r="BM171" s="28"/>
      <c r="BN171" s="27"/>
      <c r="BO171" s="27"/>
      <c r="BP171" s="32" t="s">
        <v>14</v>
      </c>
      <c r="BQ171" s="30" t="s">
        <v>11</v>
      </c>
      <c r="BR171" s="27"/>
      <c r="BS171" s="27"/>
      <c r="BT171" s="28"/>
      <c r="BU171" s="27"/>
      <c r="BV171" s="29" t="s">
        <v>15</v>
      </c>
      <c r="BW171" s="27"/>
      <c r="BX171" s="27"/>
      <c r="BY171" s="25">
        <v>17</v>
      </c>
      <c r="BZ171" s="33"/>
      <c r="CA171" s="33"/>
      <c r="CB171" s="33"/>
      <c r="CC171" s="33"/>
      <c r="CD171" s="33"/>
      <c r="CE171" s="33"/>
      <c r="CF171" s="33"/>
      <c r="CG171" s="33"/>
      <c r="CH171" s="33"/>
      <c r="CI171" s="33"/>
      <c r="CJ171" s="33"/>
      <c r="CK171" s="33"/>
      <c r="CL171" s="33"/>
      <c r="CM171" s="33"/>
      <c r="CN171" s="33"/>
      <c r="CO171" s="33"/>
      <c r="CP171" s="33"/>
    </row>
    <row r="172" spans="1:95" x14ac:dyDescent="0.25">
      <c r="A172" s="25" t="s">
        <v>146</v>
      </c>
      <c r="B172" s="25" t="s">
        <v>271</v>
      </c>
      <c r="C172" s="25" t="s">
        <v>517</v>
      </c>
      <c r="D172" s="25">
        <v>159</v>
      </c>
      <c r="E172" s="35" cm="1">
        <f t="array" ref="E172">IFERROR(INDEX($J$5:$AVX$5, _xlfn.AGGREGATE(15,6, COLUMN(J172:AVX172)-COLUMN(J172)+1 / (J172:AVX172="T"), F172)), "")</f>
        <v>46006</v>
      </c>
      <c r="F172" s="76">
        <f t="shared" si="23"/>
        <v>2</v>
      </c>
      <c r="G172" s="35" cm="1">
        <f t="array" ref="G172">IFERROR(INDEX($J$5:$AVW$5,_xlfn.AGGREGATE(14,6,(COLUMN($J172:$AVW172)-COLUMN($J172)+1)/($J172:$AVW172="T"),1)),"")</f>
        <v>46006</v>
      </c>
      <c r="H172" s="79">
        <f t="shared" si="24"/>
        <v>2</v>
      </c>
      <c r="I172" s="38" t="s">
        <v>10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25" t="s">
        <v>12</v>
      </c>
      <c r="Z172" s="27"/>
      <c r="AA172" s="27"/>
      <c r="AB172" s="27"/>
      <c r="AC172" s="28"/>
      <c r="AD172" s="27"/>
      <c r="AE172" s="27"/>
      <c r="AF172" s="29" t="s">
        <v>16</v>
      </c>
      <c r="AG172" s="30" t="s">
        <v>13</v>
      </c>
      <c r="AH172" s="27"/>
      <c r="AI172" s="27"/>
      <c r="AJ172" s="28"/>
      <c r="AK172" s="27"/>
      <c r="AL172" s="27"/>
      <c r="AM172" s="29" t="s">
        <v>14</v>
      </c>
      <c r="AN172" s="30" t="s">
        <v>11</v>
      </c>
      <c r="AO172" s="37"/>
      <c r="AP172" s="27"/>
      <c r="AQ172" s="28"/>
      <c r="AR172" s="27"/>
      <c r="AS172" s="29" t="s">
        <v>15</v>
      </c>
      <c r="AT172" s="27"/>
      <c r="AU172" s="27"/>
      <c r="AV172" s="25">
        <v>17</v>
      </c>
      <c r="AW172" s="33"/>
      <c r="AX172" s="33"/>
      <c r="AY172" s="33"/>
      <c r="AZ172" s="33"/>
      <c r="BA172" s="33"/>
      <c r="BB172" s="25" t="s">
        <v>12</v>
      </c>
      <c r="BC172" s="27"/>
      <c r="BD172" s="27"/>
      <c r="BE172" s="27"/>
      <c r="BF172" s="28"/>
      <c r="BG172" s="27"/>
      <c r="BH172" s="27"/>
      <c r="BI172" s="29" t="s">
        <v>16</v>
      </c>
      <c r="BJ172" s="30" t="s">
        <v>13</v>
      </c>
      <c r="BK172" s="27"/>
      <c r="BL172" s="27"/>
      <c r="BM172" s="28"/>
      <c r="BN172" s="27"/>
      <c r="BO172" s="27"/>
      <c r="BP172" s="32" t="s">
        <v>14</v>
      </c>
      <c r="BQ172" s="30" t="s">
        <v>11</v>
      </c>
      <c r="BR172" s="27"/>
      <c r="BS172" s="27"/>
      <c r="BT172" s="28"/>
      <c r="BU172" s="27"/>
      <c r="BV172" s="29" t="s">
        <v>15</v>
      </c>
      <c r="BW172" s="27"/>
      <c r="BX172" s="27"/>
      <c r="BY172" s="25">
        <v>17</v>
      </c>
      <c r="BZ172" s="33"/>
      <c r="CA172" s="33"/>
      <c r="CB172" s="33"/>
      <c r="CC172" s="33"/>
      <c r="CD172" s="33"/>
      <c r="CE172" s="33"/>
      <c r="CF172" s="33"/>
      <c r="CG172" s="33"/>
      <c r="CH172" s="33"/>
      <c r="CI172" s="33"/>
      <c r="CJ172" s="33"/>
      <c r="CK172" s="33"/>
      <c r="CL172" s="33"/>
      <c r="CM172" s="33"/>
      <c r="CN172" s="33"/>
      <c r="CO172" s="33"/>
      <c r="CP172" s="33"/>
    </row>
    <row r="173" spans="1:95" x14ac:dyDescent="0.25">
      <c r="A173" s="25" t="s">
        <v>146</v>
      </c>
      <c r="B173" s="25" t="s">
        <v>272</v>
      </c>
      <c r="C173" s="25" t="s">
        <v>518</v>
      </c>
      <c r="D173" s="25">
        <v>160</v>
      </c>
      <c r="E173" s="35" cm="1">
        <f t="array" ref="E173">IFERROR(INDEX($J$5:$AVX$5, _xlfn.AGGREGATE(15,6, COLUMN(J173:AVX173)-COLUMN(J173)+1 / (J173:AVX173="T"), F173)), "")</f>
        <v>46006</v>
      </c>
      <c r="F173" s="76">
        <f t="shared" si="23"/>
        <v>2</v>
      </c>
      <c r="G173" s="35" cm="1">
        <f t="array" ref="G173">IFERROR(INDEX($J$5:$AVW$5,_xlfn.AGGREGATE(14,6,(COLUMN($J173:$AVW173)-COLUMN($J173)+1)/($J173:$AVW173="T"),1)),"")</f>
        <v>46006</v>
      </c>
      <c r="H173" s="79">
        <f t="shared" si="24"/>
        <v>2</v>
      </c>
      <c r="I173" s="38" t="s">
        <v>10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25" t="s">
        <v>12</v>
      </c>
      <c r="Z173" s="27"/>
      <c r="AA173" s="27"/>
      <c r="AB173" s="27"/>
      <c r="AC173" s="28"/>
      <c r="AD173" s="27"/>
      <c r="AE173" s="27"/>
      <c r="AF173" s="29" t="s">
        <v>16</v>
      </c>
      <c r="AG173" s="30" t="s">
        <v>13</v>
      </c>
      <c r="AH173" s="27"/>
      <c r="AI173" s="27"/>
      <c r="AJ173" s="28"/>
      <c r="AK173" s="27"/>
      <c r="AL173" s="27"/>
      <c r="AM173" s="29" t="s">
        <v>14</v>
      </c>
      <c r="AN173" s="30" t="s">
        <v>11</v>
      </c>
      <c r="AO173" s="37"/>
      <c r="AP173" s="27"/>
      <c r="AQ173" s="28"/>
      <c r="AR173" s="27"/>
      <c r="AS173" s="29" t="s">
        <v>15</v>
      </c>
      <c r="AT173" s="27"/>
      <c r="AU173" s="27"/>
      <c r="AV173" s="25">
        <v>17</v>
      </c>
      <c r="AW173" s="33"/>
      <c r="AX173" s="33"/>
      <c r="AY173" s="33"/>
      <c r="AZ173" s="33"/>
      <c r="BA173" s="33"/>
      <c r="BB173" s="25" t="s">
        <v>12</v>
      </c>
      <c r="BC173" s="27"/>
      <c r="BD173" s="27"/>
      <c r="BE173" s="27"/>
      <c r="BF173" s="28"/>
      <c r="BG173" s="27"/>
      <c r="BH173" s="27"/>
      <c r="BI173" s="29" t="s">
        <v>16</v>
      </c>
      <c r="BJ173" s="30" t="s">
        <v>13</v>
      </c>
      <c r="BK173" s="27"/>
      <c r="BL173" s="27"/>
      <c r="BM173" s="28"/>
      <c r="BN173" s="27"/>
      <c r="BO173" s="27"/>
      <c r="BP173" s="32" t="s">
        <v>14</v>
      </c>
      <c r="BQ173" s="30" t="s">
        <v>11</v>
      </c>
      <c r="BR173" s="27"/>
      <c r="BS173" s="27"/>
      <c r="BT173" s="28"/>
      <c r="BU173" s="27"/>
      <c r="BV173" s="29" t="s">
        <v>15</v>
      </c>
      <c r="BW173" s="27"/>
      <c r="BX173" s="27"/>
      <c r="BY173" s="25">
        <v>17</v>
      </c>
      <c r="BZ173" s="33"/>
      <c r="CA173" s="33"/>
      <c r="CB173" s="33"/>
      <c r="CC173" s="33"/>
      <c r="CD173" s="33"/>
      <c r="CE173" s="33"/>
      <c r="CF173" s="33"/>
      <c r="CG173" s="33"/>
      <c r="CH173" s="33"/>
      <c r="CI173" s="33"/>
      <c r="CJ173" s="33"/>
      <c r="CK173" s="33"/>
      <c r="CL173" s="33"/>
      <c r="CM173" s="33"/>
      <c r="CN173" s="33"/>
      <c r="CO173" s="33"/>
      <c r="CP173" s="33"/>
    </row>
    <row r="174" spans="1:95" x14ac:dyDescent="0.25">
      <c r="A174" s="25" t="s">
        <v>146</v>
      </c>
      <c r="B174" s="25" t="s">
        <v>273</v>
      </c>
      <c r="C174" s="25" t="s">
        <v>519</v>
      </c>
      <c r="D174" s="25">
        <v>161</v>
      </c>
      <c r="E174" s="35" cm="1">
        <f t="array" ref="E174">IFERROR(INDEX($J$5:$AVX$5, _xlfn.AGGREGATE(15,6, COLUMN(J174:AVX174)-COLUMN(J174)+1 / (J174:AVX174="T"), F174)), "")</f>
        <v>46006</v>
      </c>
      <c r="F174" s="76">
        <f t="shared" si="23"/>
        <v>2</v>
      </c>
      <c r="G174" s="35" cm="1">
        <f t="array" ref="G174">IFERROR(INDEX($J$5:$AVW$5,_xlfn.AGGREGATE(14,6,(COLUMN($J174:$AVW174)-COLUMN($J174)+1)/($J174:$AVW174="T"),1)),"")</f>
        <v>46006</v>
      </c>
      <c r="H174" s="79">
        <f t="shared" si="24"/>
        <v>2</v>
      </c>
      <c r="I174" s="38" t="s">
        <v>10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25" t="s">
        <v>12</v>
      </c>
      <c r="Z174" s="27"/>
      <c r="AA174" s="27"/>
      <c r="AB174" s="27"/>
      <c r="AC174" s="28"/>
      <c r="AD174" s="27"/>
      <c r="AE174" s="27"/>
      <c r="AF174" s="29" t="s">
        <v>16</v>
      </c>
      <c r="AG174" s="30" t="s">
        <v>13</v>
      </c>
      <c r="AH174" s="27"/>
      <c r="AI174" s="27"/>
      <c r="AJ174" s="28"/>
      <c r="AK174" s="27"/>
      <c r="AL174" s="27"/>
      <c r="AM174" s="29" t="s">
        <v>14</v>
      </c>
      <c r="AN174" s="30" t="s">
        <v>11</v>
      </c>
      <c r="AO174" s="37"/>
      <c r="AP174" s="27"/>
      <c r="AQ174" s="28"/>
      <c r="AR174" s="27"/>
      <c r="AS174" s="29" t="s">
        <v>15</v>
      </c>
      <c r="AT174" s="27"/>
      <c r="AU174" s="27"/>
      <c r="AV174" s="25">
        <v>17</v>
      </c>
      <c r="AW174" s="33"/>
      <c r="AX174" s="33"/>
      <c r="AY174" s="33"/>
      <c r="AZ174" s="33"/>
      <c r="BA174" s="33"/>
      <c r="BB174" s="25" t="s">
        <v>12</v>
      </c>
      <c r="BC174" s="27"/>
      <c r="BD174" s="27"/>
      <c r="BE174" s="27"/>
      <c r="BF174" s="28"/>
      <c r="BG174" s="27"/>
      <c r="BH174" s="27"/>
      <c r="BI174" s="29" t="s">
        <v>16</v>
      </c>
      <c r="BJ174" s="30" t="s">
        <v>13</v>
      </c>
      <c r="BK174" s="27"/>
      <c r="BL174" s="27"/>
      <c r="BM174" s="28"/>
      <c r="BN174" s="27"/>
      <c r="BO174" s="27"/>
      <c r="BP174" s="32" t="s">
        <v>14</v>
      </c>
      <c r="BQ174" s="30" t="s">
        <v>11</v>
      </c>
      <c r="BR174" s="27"/>
      <c r="BS174" s="27"/>
      <c r="BT174" s="28"/>
      <c r="BU174" s="27"/>
      <c r="BV174" s="29" t="s">
        <v>15</v>
      </c>
      <c r="BW174" s="27"/>
      <c r="BX174" s="27"/>
      <c r="BY174" s="25">
        <v>17</v>
      </c>
      <c r="BZ174" s="33"/>
      <c r="CA174" s="33"/>
      <c r="CB174" s="33"/>
      <c r="CC174" s="33"/>
      <c r="CD174" s="33"/>
      <c r="CE174" s="33"/>
      <c r="CF174" s="33"/>
      <c r="CG174" s="33"/>
      <c r="CH174" s="33"/>
      <c r="CI174" s="33"/>
      <c r="CJ174" s="33"/>
      <c r="CK174" s="33"/>
      <c r="CL174" s="33"/>
      <c r="CM174" s="33"/>
      <c r="CN174" s="33"/>
      <c r="CO174" s="33"/>
      <c r="CP174" s="33"/>
    </row>
    <row r="175" spans="1:95" x14ac:dyDescent="0.25">
      <c r="A175" s="25" t="s">
        <v>146</v>
      </c>
      <c r="B175" s="25" t="s">
        <v>274</v>
      </c>
      <c r="C175" s="25" t="s">
        <v>520</v>
      </c>
      <c r="D175" s="25">
        <v>162</v>
      </c>
      <c r="E175" s="35" cm="1">
        <f t="array" ref="E175">IFERROR(INDEX($J$5:$AVX$5, _xlfn.AGGREGATE(15,6, COLUMN(J175:AVX175)-COLUMN(J175)+1 / (J175:AVX175="T"), F175)), "")</f>
        <v>46007</v>
      </c>
      <c r="F175" s="76">
        <f t="shared" si="23"/>
        <v>2</v>
      </c>
      <c r="G175" s="35" cm="1">
        <f t="array" ref="G175">IFERROR(INDEX($J$5:$AVW$5,_xlfn.AGGREGATE(14,6,(COLUMN($J175:$AVW175)-COLUMN($J175)+1)/($J175:$AVW175="T"),1)),"")</f>
        <v>46007</v>
      </c>
      <c r="H175" s="79">
        <f t="shared" si="24"/>
        <v>2</v>
      </c>
      <c r="I175" s="38" t="s">
        <v>10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25" t="s">
        <v>12</v>
      </c>
      <c r="AA175" s="27"/>
      <c r="AB175" s="27"/>
      <c r="AC175" s="27"/>
      <c r="AD175" s="28"/>
      <c r="AE175" s="27"/>
      <c r="AF175" s="27"/>
      <c r="AG175" s="29" t="s">
        <v>16</v>
      </c>
      <c r="AH175" s="30" t="s">
        <v>13</v>
      </c>
      <c r="AI175" s="27"/>
      <c r="AJ175" s="27"/>
      <c r="AK175" s="28"/>
      <c r="AL175" s="27"/>
      <c r="AM175" s="27"/>
      <c r="AN175" s="32" t="s">
        <v>14</v>
      </c>
      <c r="AO175" s="30" t="s">
        <v>11</v>
      </c>
      <c r="AP175" s="27"/>
      <c r="AQ175" s="27"/>
      <c r="AR175" s="28"/>
      <c r="AS175" s="27"/>
      <c r="AT175" s="29" t="s">
        <v>15</v>
      </c>
      <c r="AU175" s="27"/>
      <c r="AV175" s="27"/>
      <c r="AW175" s="25">
        <v>17</v>
      </c>
      <c r="AX175" s="33"/>
      <c r="AY175" s="33"/>
      <c r="AZ175" s="33"/>
      <c r="BA175" s="33"/>
      <c r="BB175" s="33"/>
      <c r="BC175" s="25" t="s">
        <v>12</v>
      </c>
      <c r="BD175" s="27"/>
      <c r="BE175" s="27"/>
      <c r="BF175" s="27"/>
      <c r="BG175" s="28"/>
      <c r="BH175" s="27"/>
      <c r="BI175" s="27"/>
      <c r="BJ175" s="29" t="s">
        <v>16</v>
      </c>
      <c r="BK175" s="30" t="s">
        <v>13</v>
      </c>
      <c r="BL175" s="27"/>
      <c r="BM175" s="27"/>
      <c r="BN175" s="28"/>
      <c r="BO175" s="27"/>
      <c r="BP175" s="27"/>
      <c r="BQ175" s="32" t="s">
        <v>14</v>
      </c>
      <c r="BR175" s="30" t="s">
        <v>11</v>
      </c>
      <c r="BS175" s="27"/>
      <c r="BT175" s="27"/>
      <c r="BU175" s="28"/>
      <c r="BV175" s="27"/>
      <c r="BW175" s="29" t="s">
        <v>15</v>
      </c>
      <c r="BX175" s="27"/>
      <c r="BY175" s="27"/>
      <c r="BZ175" s="25">
        <v>17</v>
      </c>
      <c r="CA175" s="33"/>
      <c r="CB175" s="33"/>
      <c r="CC175" s="33"/>
      <c r="CD175" s="33"/>
      <c r="CE175" s="33"/>
      <c r="CF175" s="33"/>
      <c r="CG175" s="33"/>
      <c r="CH175" s="33"/>
      <c r="CI175" s="33"/>
      <c r="CJ175" s="33"/>
      <c r="CK175" s="33"/>
      <c r="CL175" s="33"/>
      <c r="CM175" s="33"/>
      <c r="CN175" s="33"/>
      <c r="CO175" s="33"/>
      <c r="CP175" s="33"/>
    </row>
    <row r="176" spans="1:95" x14ac:dyDescent="0.25">
      <c r="A176" s="25" t="s">
        <v>146</v>
      </c>
      <c r="B176" s="25" t="s">
        <v>275</v>
      </c>
      <c r="C176" s="25" t="s">
        <v>521</v>
      </c>
      <c r="D176" s="25">
        <v>163</v>
      </c>
      <c r="E176" s="35" cm="1">
        <f t="array" ref="E176">IFERROR(INDEX($J$5:$AVX$5, _xlfn.AGGREGATE(15,6, COLUMN(J176:AVX176)-COLUMN(J176)+1 / (J176:AVX176="T"), F176)), "")</f>
        <v>46007</v>
      </c>
      <c r="F176" s="76">
        <f t="shared" si="23"/>
        <v>2</v>
      </c>
      <c r="G176" s="35" cm="1">
        <f t="array" ref="G176">IFERROR(INDEX($J$5:$AVW$5,_xlfn.AGGREGATE(14,6,(COLUMN($J176:$AVW176)-COLUMN($J176)+1)/($J176:$AVW176="T"),1)),"")</f>
        <v>46007</v>
      </c>
      <c r="H176" s="79">
        <f t="shared" si="24"/>
        <v>2</v>
      </c>
      <c r="I176" s="38" t="s">
        <v>10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25" t="s">
        <v>12</v>
      </c>
      <c r="AA176" s="27"/>
      <c r="AB176" s="27"/>
      <c r="AC176" s="27"/>
      <c r="AD176" s="28"/>
      <c r="AE176" s="27"/>
      <c r="AF176" s="27"/>
      <c r="AG176" s="29" t="s">
        <v>16</v>
      </c>
      <c r="AH176" s="30" t="s">
        <v>13</v>
      </c>
      <c r="AI176" s="27"/>
      <c r="AJ176" s="27"/>
      <c r="AK176" s="28"/>
      <c r="AL176" s="27"/>
      <c r="AM176" s="27"/>
      <c r="AN176" s="29" t="s">
        <v>14</v>
      </c>
      <c r="AO176" s="30" t="s">
        <v>11</v>
      </c>
      <c r="AP176" s="37"/>
      <c r="AQ176" s="27"/>
      <c r="AR176" s="28"/>
      <c r="AS176" s="27"/>
      <c r="AT176" s="29" t="s">
        <v>15</v>
      </c>
      <c r="AU176" s="27"/>
      <c r="AV176" s="27"/>
      <c r="AW176" s="25">
        <v>17</v>
      </c>
      <c r="AX176" s="33"/>
      <c r="AY176" s="33"/>
      <c r="AZ176" s="33"/>
      <c r="BA176" s="33"/>
      <c r="BB176" s="33"/>
      <c r="BC176" s="25" t="s">
        <v>12</v>
      </c>
      <c r="BD176" s="27"/>
      <c r="BE176" s="27"/>
      <c r="BF176" s="27"/>
      <c r="BG176" s="28"/>
      <c r="BH176" s="27"/>
      <c r="BI176" s="27"/>
      <c r="BJ176" s="29" t="s">
        <v>16</v>
      </c>
      <c r="BK176" s="30" t="s">
        <v>13</v>
      </c>
      <c r="BL176" s="27"/>
      <c r="BM176" s="27"/>
      <c r="BN176" s="28"/>
      <c r="BO176" s="27"/>
      <c r="BP176" s="27"/>
      <c r="BQ176" s="32" t="s">
        <v>14</v>
      </c>
      <c r="BR176" s="30" t="s">
        <v>11</v>
      </c>
      <c r="BS176" s="27"/>
      <c r="BT176" s="27"/>
      <c r="BU176" s="28"/>
      <c r="BV176" s="27"/>
      <c r="BW176" s="29" t="s">
        <v>15</v>
      </c>
      <c r="BX176" s="27"/>
      <c r="BY176" s="27"/>
      <c r="BZ176" s="25">
        <v>17</v>
      </c>
      <c r="CA176" s="33"/>
      <c r="CB176" s="33"/>
      <c r="CC176" s="33"/>
      <c r="CD176" s="33"/>
      <c r="CE176" s="33"/>
      <c r="CF176" s="33"/>
      <c r="CG176" s="33"/>
      <c r="CH176" s="33"/>
      <c r="CI176" s="33"/>
      <c r="CJ176" s="33"/>
      <c r="CK176" s="33"/>
      <c r="CL176" s="33"/>
      <c r="CM176" s="33"/>
      <c r="CN176" s="33"/>
      <c r="CO176" s="33"/>
      <c r="CP176" s="33"/>
    </row>
    <row r="177" spans="1:94" x14ac:dyDescent="0.25">
      <c r="A177" s="25" t="s">
        <v>146</v>
      </c>
      <c r="B177" s="25" t="s">
        <v>276</v>
      </c>
      <c r="C177" s="25" t="s">
        <v>522</v>
      </c>
      <c r="D177" s="25">
        <v>164</v>
      </c>
      <c r="E177" s="35" cm="1">
        <f t="array" ref="E177">IFERROR(INDEX($J$5:$AVX$5, _xlfn.AGGREGATE(15,6, COLUMN(J177:AVX177)-COLUMN(J177)+1 / (J177:AVX177="T"), F177)), "")</f>
        <v>46007</v>
      </c>
      <c r="F177" s="76">
        <f t="shared" si="23"/>
        <v>2</v>
      </c>
      <c r="G177" s="35" cm="1">
        <f t="array" ref="G177">IFERROR(INDEX($J$5:$AVW$5,_xlfn.AGGREGATE(14,6,(COLUMN($J177:$AVW177)-COLUMN($J177)+1)/($J177:$AVW177="T"),1)),"")</f>
        <v>46007</v>
      </c>
      <c r="H177" s="79">
        <f t="shared" si="24"/>
        <v>2</v>
      </c>
      <c r="I177" s="38" t="s">
        <v>10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25" t="s">
        <v>12</v>
      </c>
      <c r="AA177" s="27"/>
      <c r="AB177" s="27"/>
      <c r="AC177" s="27"/>
      <c r="AD177" s="28"/>
      <c r="AE177" s="27"/>
      <c r="AF177" s="27"/>
      <c r="AG177" s="29" t="s">
        <v>16</v>
      </c>
      <c r="AH177" s="30" t="s">
        <v>13</v>
      </c>
      <c r="AI177" s="27"/>
      <c r="AJ177" s="27"/>
      <c r="AK177" s="28"/>
      <c r="AL177" s="27"/>
      <c r="AM177" s="27"/>
      <c r="AN177" s="29" t="s">
        <v>14</v>
      </c>
      <c r="AO177" s="30" t="s">
        <v>11</v>
      </c>
      <c r="AP177" s="37"/>
      <c r="AQ177" s="27"/>
      <c r="AR177" s="28"/>
      <c r="AS177" s="27"/>
      <c r="AT177" s="29" t="s">
        <v>15</v>
      </c>
      <c r="AU177" s="27"/>
      <c r="AV177" s="27"/>
      <c r="AW177" s="25">
        <v>17</v>
      </c>
      <c r="AX177" s="33"/>
      <c r="AY177" s="33"/>
      <c r="AZ177" s="33"/>
      <c r="BA177" s="33"/>
      <c r="BB177" s="33"/>
      <c r="BC177" s="25" t="s">
        <v>12</v>
      </c>
      <c r="BD177" s="27"/>
      <c r="BE177" s="27"/>
      <c r="BF177" s="27"/>
      <c r="BG177" s="28"/>
      <c r="BH177" s="27"/>
      <c r="BI177" s="27"/>
      <c r="BJ177" s="29" t="s">
        <v>16</v>
      </c>
      <c r="BK177" s="30" t="s">
        <v>13</v>
      </c>
      <c r="BL177" s="27"/>
      <c r="BM177" s="27"/>
      <c r="BN177" s="28"/>
      <c r="BO177" s="27"/>
      <c r="BP177" s="27"/>
      <c r="BQ177" s="32" t="s">
        <v>14</v>
      </c>
      <c r="BR177" s="30" t="s">
        <v>11</v>
      </c>
      <c r="BS177" s="27"/>
      <c r="BT177" s="27"/>
      <c r="BU177" s="28"/>
      <c r="BV177" s="27"/>
      <c r="BW177" s="29" t="s">
        <v>15</v>
      </c>
      <c r="BX177" s="27"/>
      <c r="BY177" s="27"/>
      <c r="BZ177" s="25">
        <v>17</v>
      </c>
      <c r="CA177" s="33"/>
      <c r="CB177" s="33"/>
      <c r="CC177" s="33"/>
      <c r="CD177" s="33"/>
      <c r="CE177" s="33"/>
      <c r="CF177" s="33"/>
      <c r="CG177" s="33"/>
      <c r="CH177" s="33"/>
      <c r="CI177" s="33"/>
      <c r="CJ177" s="33"/>
      <c r="CK177" s="33"/>
      <c r="CL177" s="33"/>
      <c r="CM177" s="33"/>
      <c r="CN177" s="33"/>
      <c r="CO177" s="33"/>
      <c r="CP177" s="33"/>
    </row>
    <row r="178" spans="1:94" x14ac:dyDescent="0.25">
      <c r="A178" s="25" t="s">
        <v>146</v>
      </c>
      <c r="B178" s="25" t="s">
        <v>277</v>
      </c>
      <c r="C178" s="25" t="s">
        <v>523</v>
      </c>
      <c r="D178" s="25">
        <v>165</v>
      </c>
      <c r="E178" s="35" cm="1">
        <f t="array" ref="E178">IFERROR(INDEX($J$5:$AVX$5, _xlfn.AGGREGATE(15,6, COLUMN(J178:AVX178)-COLUMN(J178)+1 / (J178:AVX178="T"), F178)), "")</f>
        <v>46007</v>
      </c>
      <c r="F178" s="76">
        <f t="shared" si="23"/>
        <v>2</v>
      </c>
      <c r="G178" s="35" cm="1">
        <f t="array" ref="G178">IFERROR(INDEX($J$5:$AVW$5,_xlfn.AGGREGATE(14,6,(COLUMN($J178:$AVW178)-COLUMN($J178)+1)/($J178:$AVW178="T"),1)),"")</f>
        <v>46007</v>
      </c>
      <c r="H178" s="79">
        <f t="shared" si="24"/>
        <v>2</v>
      </c>
      <c r="I178" s="38" t="s">
        <v>10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25" t="s">
        <v>12</v>
      </c>
      <c r="AA178" s="27"/>
      <c r="AB178" s="27"/>
      <c r="AC178" s="27"/>
      <c r="AD178" s="28"/>
      <c r="AE178" s="27"/>
      <c r="AF178" s="27"/>
      <c r="AG178" s="29" t="s">
        <v>16</v>
      </c>
      <c r="AH178" s="30" t="s">
        <v>13</v>
      </c>
      <c r="AI178" s="27"/>
      <c r="AJ178" s="27"/>
      <c r="AK178" s="28"/>
      <c r="AL178" s="27"/>
      <c r="AM178" s="27"/>
      <c r="AN178" s="29" t="s">
        <v>14</v>
      </c>
      <c r="AO178" s="30" t="s">
        <v>11</v>
      </c>
      <c r="AP178" s="37"/>
      <c r="AQ178" s="27"/>
      <c r="AR178" s="28"/>
      <c r="AS178" s="27"/>
      <c r="AT178" s="29" t="s">
        <v>15</v>
      </c>
      <c r="AU178" s="27"/>
      <c r="AV178" s="27"/>
      <c r="AW178" s="25">
        <v>17</v>
      </c>
      <c r="AX178" s="33"/>
      <c r="AY178" s="33"/>
      <c r="AZ178" s="33"/>
      <c r="BA178" s="33"/>
      <c r="BB178" s="33"/>
      <c r="BC178" s="25" t="s">
        <v>12</v>
      </c>
      <c r="BD178" s="27"/>
      <c r="BE178" s="27"/>
      <c r="BF178" s="27"/>
      <c r="BG178" s="28"/>
      <c r="BH178" s="27"/>
      <c r="BI178" s="27"/>
      <c r="BJ178" s="29" t="s">
        <v>16</v>
      </c>
      <c r="BK178" s="30" t="s">
        <v>13</v>
      </c>
      <c r="BL178" s="27"/>
      <c r="BM178" s="27"/>
      <c r="BN178" s="28"/>
      <c r="BO178" s="27"/>
      <c r="BP178" s="27"/>
      <c r="BQ178" s="32" t="s">
        <v>14</v>
      </c>
      <c r="BR178" s="30" t="s">
        <v>11</v>
      </c>
      <c r="BS178" s="27"/>
      <c r="BT178" s="27"/>
      <c r="BU178" s="28"/>
      <c r="BV178" s="27"/>
      <c r="BW178" s="29" t="s">
        <v>15</v>
      </c>
      <c r="BX178" s="27"/>
      <c r="BY178" s="27"/>
      <c r="BZ178" s="25">
        <v>17</v>
      </c>
      <c r="CA178" s="33"/>
      <c r="CB178" s="33"/>
      <c r="CC178" s="33"/>
      <c r="CD178" s="33"/>
      <c r="CE178" s="33"/>
      <c r="CF178" s="33"/>
      <c r="CG178" s="33"/>
      <c r="CH178" s="33"/>
      <c r="CI178" s="33"/>
      <c r="CJ178" s="33"/>
      <c r="CK178" s="33"/>
      <c r="CL178" s="33"/>
      <c r="CM178" s="33"/>
      <c r="CN178" s="33"/>
      <c r="CO178" s="33"/>
      <c r="CP178" s="33"/>
    </row>
    <row r="179" spans="1:94" x14ac:dyDescent="0.25">
      <c r="A179" s="25" t="s">
        <v>146</v>
      </c>
      <c r="B179" s="25" t="s">
        <v>278</v>
      </c>
      <c r="C179" s="25" t="s">
        <v>524</v>
      </c>
      <c r="D179" s="25">
        <v>166</v>
      </c>
      <c r="E179" s="35" cm="1">
        <f t="array" ref="E179">IFERROR(INDEX($J$5:$AVX$5, _xlfn.AGGREGATE(15,6, COLUMN(J179:AVX179)-COLUMN(J179)+1 / (J179:AVX179="T"), F179)), "")</f>
        <v>46007</v>
      </c>
      <c r="F179" s="76">
        <f t="shared" si="23"/>
        <v>2</v>
      </c>
      <c r="G179" s="35" cm="1">
        <f t="array" ref="G179">IFERROR(INDEX($J$5:$AVW$5,_xlfn.AGGREGATE(14,6,(COLUMN($J179:$AVW179)-COLUMN($J179)+1)/($J179:$AVW179="T"),1)),"")</f>
        <v>46007</v>
      </c>
      <c r="H179" s="79">
        <f t="shared" si="24"/>
        <v>2</v>
      </c>
      <c r="I179" s="38" t="s">
        <v>10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25" t="s">
        <v>12</v>
      </c>
      <c r="AA179" s="27"/>
      <c r="AB179" s="27"/>
      <c r="AC179" s="27"/>
      <c r="AD179" s="28"/>
      <c r="AE179" s="27"/>
      <c r="AF179" s="27"/>
      <c r="AG179" s="29" t="s">
        <v>16</v>
      </c>
      <c r="AH179" s="30" t="s">
        <v>13</v>
      </c>
      <c r="AI179" s="27"/>
      <c r="AJ179" s="27"/>
      <c r="AK179" s="28"/>
      <c r="AL179" s="27"/>
      <c r="AM179" s="27"/>
      <c r="AN179" s="29" t="s">
        <v>14</v>
      </c>
      <c r="AO179" s="30" t="s">
        <v>11</v>
      </c>
      <c r="AP179" s="37"/>
      <c r="AQ179" s="27"/>
      <c r="AR179" s="28"/>
      <c r="AS179" s="27"/>
      <c r="AT179" s="29" t="s">
        <v>15</v>
      </c>
      <c r="AU179" s="27"/>
      <c r="AV179" s="27"/>
      <c r="AW179" s="25">
        <v>17</v>
      </c>
      <c r="AX179" s="33"/>
      <c r="AY179" s="33"/>
      <c r="AZ179" s="33"/>
      <c r="BA179" s="33"/>
      <c r="BB179" s="33"/>
      <c r="BC179" s="25" t="s">
        <v>12</v>
      </c>
      <c r="BD179" s="27"/>
      <c r="BE179" s="27"/>
      <c r="BF179" s="27"/>
      <c r="BG179" s="28"/>
      <c r="BH179" s="27"/>
      <c r="BI179" s="27"/>
      <c r="BJ179" s="29" t="s">
        <v>16</v>
      </c>
      <c r="BK179" s="30" t="s">
        <v>13</v>
      </c>
      <c r="BL179" s="27"/>
      <c r="BM179" s="27"/>
      <c r="BN179" s="28"/>
      <c r="BO179" s="27"/>
      <c r="BP179" s="27"/>
      <c r="BQ179" s="32" t="s">
        <v>14</v>
      </c>
      <c r="BR179" s="30" t="s">
        <v>11</v>
      </c>
      <c r="BS179" s="27"/>
      <c r="BT179" s="27"/>
      <c r="BU179" s="28"/>
      <c r="BV179" s="27"/>
      <c r="BW179" s="29" t="s">
        <v>15</v>
      </c>
      <c r="BX179" s="27"/>
      <c r="BY179" s="27"/>
      <c r="BZ179" s="25">
        <v>17</v>
      </c>
      <c r="CA179" s="33"/>
      <c r="CB179" s="33"/>
      <c r="CC179" s="33"/>
      <c r="CD179" s="33"/>
      <c r="CE179" s="33"/>
      <c r="CF179" s="33"/>
      <c r="CG179" s="33"/>
      <c r="CH179" s="33"/>
      <c r="CI179" s="33"/>
      <c r="CJ179" s="33"/>
      <c r="CK179" s="33"/>
      <c r="CL179" s="33"/>
      <c r="CM179" s="33"/>
      <c r="CN179" s="33"/>
      <c r="CO179" s="33"/>
      <c r="CP179" s="33"/>
    </row>
    <row r="180" spans="1:94" x14ac:dyDescent="0.25">
      <c r="A180" s="25" t="s">
        <v>146</v>
      </c>
      <c r="B180" s="25" t="s">
        <v>279</v>
      </c>
      <c r="C180" s="25" t="s">
        <v>525</v>
      </c>
      <c r="D180" s="25">
        <v>167</v>
      </c>
      <c r="E180" s="35" cm="1">
        <f t="array" ref="E180">IFERROR(INDEX($J$5:$AVX$5, _xlfn.AGGREGATE(15,6, COLUMN(J180:AVX180)-COLUMN(J180)+1 / (J180:AVX180="T"), F180)), "")</f>
        <v>46007</v>
      </c>
      <c r="F180" s="76">
        <f t="shared" si="23"/>
        <v>2</v>
      </c>
      <c r="G180" s="35" cm="1">
        <f t="array" ref="G180">IFERROR(INDEX($J$5:$AVW$5,_xlfn.AGGREGATE(14,6,(COLUMN($J180:$AVW180)-COLUMN($J180)+1)/($J180:$AVW180="T"),1)),"")</f>
        <v>46007</v>
      </c>
      <c r="H180" s="79">
        <f t="shared" si="24"/>
        <v>2</v>
      </c>
      <c r="I180" s="38" t="s">
        <v>10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25" t="s">
        <v>12</v>
      </c>
      <c r="AA180" s="27"/>
      <c r="AB180" s="27"/>
      <c r="AC180" s="27"/>
      <c r="AD180" s="28"/>
      <c r="AE180" s="27"/>
      <c r="AF180" s="27"/>
      <c r="AG180" s="29" t="s">
        <v>16</v>
      </c>
      <c r="AH180" s="30" t="s">
        <v>13</v>
      </c>
      <c r="AI180" s="27"/>
      <c r="AJ180" s="27"/>
      <c r="AK180" s="28"/>
      <c r="AL180" s="27"/>
      <c r="AM180" s="27"/>
      <c r="AN180" s="29" t="s">
        <v>14</v>
      </c>
      <c r="AO180" s="30" t="s">
        <v>11</v>
      </c>
      <c r="AP180" s="37"/>
      <c r="AQ180" s="27"/>
      <c r="AR180" s="28"/>
      <c r="AS180" s="27"/>
      <c r="AT180" s="29" t="s">
        <v>15</v>
      </c>
      <c r="AU180" s="27"/>
      <c r="AV180" s="27"/>
      <c r="AW180" s="25">
        <v>17</v>
      </c>
      <c r="AX180" s="33"/>
      <c r="AY180" s="33"/>
      <c r="AZ180" s="33"/>
      <c r="BA180" s="33"/>
      <c r="BB180" s="33"/>
      <c r="BC180" s="25" t="s">
        <v>12</v>
      </c>
      <c r="BD180" s="27"/>
      <c r="BE180" s="27"/>
      <c r="BF180" s="27"/>
      <c r="BG180" s="28"/>
      <c r="BH180" s="27"/>
      <c r="BI180" s="27"/>
      <c r="BJ180" s="29" t="s">
        <v>16</v>
      </c>
      <c r="BK180" s="30" t="s">
        <v>13</v>
      </c>
      <c r="BL180" s="27"/>
      <c r="BM180" s="27"/>
      <c r="BN180" s="28"/>
      <c r="BO180" s="27"/>
      <c r="BP180" s="27"/>
      <c r="BQ180" s="32" t="s">
        <v>14</v>
      </c>
      <c r="BR180" s="30" t="s">
        <v>11</v>
      </c>
      <c r="BS180" s="27"/>
      <c r="BT180" s="27"/>
      <c r="BU180" s="28"/>
      <c r="BV180" s="27"/>
      <c r="BW180" s="29" t="s">
        <v>15</v>
      </c>
      <c r="BX180" s="27"/>
      <c r="BY180" s="27"/>
      <c r="BZ180" s="25">
        <v>17</v>
      </c>
      <c r="CA180" s="33"/>
      <c r="CB180" s="33"/>
      <c r="CC180" s="33"/>
      <c r="CD180" s="33"/>
      <c r="CE180" s="33"/>
      <c r="CF180" s="33"/>
      <c r="CG180" s="33"/>
      <c r="CH180" s="33"/>
      <c r="CI180" s="33"/>
      <c r="CJ180" s="33"/>
      <c r="CK180" s="33"/>
      <c r="CL180" s="33"/>
      <c r="CM180" s="33"/>
      <c r="CN180" s="33"/>
      <c r="CO180" s="33"/>
      <c r="CP180" s="33"/>
    </row>
    <row r="181" spans="1:94" x14ac:dyDescent="0.25">
      <c r="A181" s="25" t="s">
        <v>146</v>
      </c>
      <c r="B181" s="25" t="s">
        <v>280</v>
      </c>
      <c r="C181" s="25" t="s">
        <v>526</v>
      </c>
      <c r="D181" s="25">
        <v>168</v>
      </c>
      <c r="E181" s="35" cm="1">
        <f t="array" ref="E181">IFERROR(INDEX($J$5:$AVX$5, _xlfn.AGGREGATE(15,6, COLUMN(J181:AVX181)-COLUMN(J181)+1 / (J181:AVX181="T"), F181)), "")</f>
        <v>46007</v>
      </c>
      <c r="F181" s="76">
        <f t="shared" si="23"/>
        <v>2</v>
      </c>
      <c r="G181" s="35" cm="1">
        <f t="array" ref="G181">IFERROR(INDEX($J$5:$AVW$5,_xlfn.AGGREGATE(14,6,(COLUMN($J181:$AVW181)-COLUMN($J181)+1)/($J181:$AVW181="T"),1)),"")</f>
        <v>46007</v>
      </c>
      <c r="H181" s="79">
        <f t="shared" si="24"/>
        <v>2</v>
      </c>
      <c r="I181" s="38" t="s">
        <v>10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25" t="s">
        <v>12</v>
      </c>
      <c r="AA181" s="27"/>
      <c r="AB181" s="27"/>
      <c r="AC181" s="27"/>
      <c r="AD181" s="28"/>
      <c r="AE181" s="27"/>
      <c r="AF181" s="27"/>
      <c r="AG181" s="29" t="s">
        <v>16</v>
      </c>
      <c r="AH181" s="30" t="s">
        <v>13</v>
      </c>
      <c r="AI181" s="27"/>
      <c r="AJ181" s="27"/>
      <c r="AK181" s="28"/>
      <c r="AL181" s="27"/>
      <c r="AM181" s="27"/>
      <c r="AN181" s="29" t="s">
        <v>14</v>
      </c>
      <c r="AO181" s="30" t="s">
        <v>11</v>
      </c>
      <c r="AP181" s="37"/>
      <c r="AQ181" s="27"/>
      <c r="AR181" s="28"/>
      <c r="AS181" s="27"/>
      <c r="AT181" s="29" t="s">
        <v>15</v>
      </c>
      <c r="AU181" s="27"/>
      <c r="AV181" s="27"/>
      <c r="AW181" s="25">
        <v>17</v>
      </c>
      <c r="AX181" s="33"/>
      <c r="AY181" s="33"/>
      <c r="AZ181" s="33"/>
      <c r="BA181" s="33"/>
      <c r="BB181" s="33"/>
      <c r="BC181" s="25" t="s">
        <v>12</v>
      </c>
      <c r="BD181" s="27"/>
      <c r="BE181" s="27"/>
      <c r="BF181" s="27"/>
      <c r="BG181" s="28"/>
      <c r="BH181" s="27"/>
      <c r="BI181" s="27"/>
      <c r="BJ181" s="29" t="s">
        <v>16</v>
      </c>
      <c r="BK181" s="30" t="s">
        <v>13</v>
      </c>
      <c r="BL181" s="27"/>
      <c r="BM181" s="27"/>
      <c r="BN181" s="28"/>
      <c r="BO181" s="27"/>
      <c r="BP181" s="27"/>
      <c r="BQ181" s="32" t="s">
        <v>14</v>
      </c>
      <c r="BR181" s="30" t="s">
        <v>11</v>
      </c>
      <c r="BS181" s="27"/>
      <c r="BT181" s="27"/>
      <c r="BU181" s="28"/>
      <c r="BV181" s="27"/>
      <c r="BW181" s="29" t="s">
        <v>15</v>
      </c>
      <c r="BX181" s="27"/>
      <c r="BY181" s="27"/>
      <c r="BZ181" s="25">
        <v>17</v>
      </c>
      <c r="CA181" s="33"/>
      <c r="CB181" s="33"/>
      <c r="CC181" s="33"/>
      <c r="CD181" s="33"/>
      <c r="CE181" s="33"/>
      <c r="CF181" s="33"/>
      <c r="CG181" s="33"/>
      <c r="CH181" s="33"/>
      <c r="CI181" s="33"/>
      <c r="CJ181" s="33"/>
      <c r="CK181" s="33"/>
      <c r="CL181" s="33"/>
      <c r="CM181" s="33"/>
      <c r="CN181" s="33"/>
      <c r="CO181" s="33"/>
      <c r="CP181" s="33"/>
    </row>
    <row r="182" spans="1:94" x14ac:dyDescent="0.25">
      <c r="A182" s="25" t="s">
        <v>146</v>
      </c>
      <c r="B182" s="25" t="s">
        <v>281</v>
      </c>
      <c r="C182" s="25" t="s">
        <v>527</v>
      </c>
      <c r="D182" s="25">
        <v>169</v>
      </c>
      <c r="E182" s="35" cm="1">
        <f t="array" ref="E182">IFERROR(INDEX($J$5:$AVX$5, _xlfn.AGGREGATE(15,6, COLUMN(J182:AVX182)-COLUMN(J182)+1 / (J182:AVX182="T"), F182)), "")</f>
        <v>46008</v>
      </c>
      <c r="F182" s="76">
        <f t="shared" si="23"/>
        <v>2</v>
      </c>
      <c r="G182" s="35" cm="1">
        <f t="array" ref="G182">IFERROR(INDEX($J$5:$AVW$5,_xlfn.AGGREGATE(14,6,(COLUMN($J182:$AVW182)-COLUMN($J182)+1)/($J182:$AVW182="T"),1)),"")</f>
        <v>46008</v>
      </c>
      <c r="H182" s="79">
        <f t="shared" si="24"/>
        <v>2</v>
      </c>
      <c r="I182" s="38" t="s">
        <v>10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25" t="s">
        <v>12</v>
      </c>
      <c r="AB182" s="27"/>
      <c r="AC182" s="27"/>
      <c r="AD182" s="27"/>
      <c r="AE182" s="28"/>
      <c r="AF182" s="27"/>
      <c r="AG182" s="27"/>
      <c r="AH182" s="29" t="s">
        <v>16</v>
      </c>
      <c r="AI182" s="30" t="s">
        <v>13</v>
      </c>
      <c r="AJ182" s="27"/>
      <c r="AK182" s="27"/>
      <c r="AL182" s="28"/>
      <c r="AM182" s="27"/>
      <c r="AN182" s="27"/>
      <c r="AO182" s="32" t="s">
        <v>14</v>
      </c>
      <c r="AP182" s="30" t="s">
        <v>11</v>
      </c>
      <c r="AQ182" s="27"/>
      <c r="AR182" s="27"/>
      <c r="AS182" s="28"/>
      <c r="AT182" s="27"/>
      <c r="AU182" s="29" t="s">
        <v>15</v>
      </c>
      <c r="AV182" s="27"/>
      <c r="AW182" s="27"/>
      <c r="AX182" s="25">
        <v>17</v>
      </c>
      <c r="AY182" s="33"/>
      <c r="AZ182" s="33"/>
      <c r="BA182" s="33"/>
      <c r="BB182" s="33"/>
      <c r="BC182" s="33"/>
      <c r="BD182" s="25" t="s">
        <v>12</v>
      </c>
      <c r="BE182" s="27"/>
      <c r="BF182" s="27"/>
      <c r="BG182" s="27"/>
      <c r="BH182" s="28"/>
      <c r="BI182" s="27"/>
      <c r="BJ182" s="27"/>
      <c r="BK182" s="29" t="s">
        <v>16</v>
      </c>
      <c r="BL182" s="30" t="s">
        <v>13</v>
      </c>
      <c r="BM182" s="27"/>
      <c r="BN182" s="27"/>
      <c r="BO182" s="28"/>
      <c r="BP182" s="27"/>
      <c r="BQ182" s="27"/>
      <c r="BR182" s="32" t="s">
        <v>14</v>
      </c>
      <c r="BS182" s="30" t="s">
        <v>11</v>
      </c>
      <c r="BT182" s="27"/>
      <c r="BU182" s="27"/>
      <c r="BV182" s="28"/>
      <c r="BW182" s="27"/>
      <c r="BX182" s="29" t="s">
        <v>15</v>
      </c>
      <c r="BY182" s="27"/>
      <c r="BZ182" s="27"/>
      <c r="CA182" s="25">
        <v>17</v>
      </c>
      <c r="CB182" s="33"/>
      <c r="CC182" s="33"/>
      <c r="CD182" s="33"/>
      <c r="CE182" s="33"/>
      <c r="CF182" s="33"/>
      <c r="CG182" s="33"/>
      <c r="CH182" s="33"/>
      <c r="CI182" s="33"/>
      <c r="CJ182" s="33"/>
      <c r="CK182" s="33"/>
      <c r="CL182" s="33"/>
      <c r="CM182" s="33"/>
      <c r="CN182" s="33"/>
      <c r="CO182" s="33"/>
      <c r="CP182" s="33"/>
    </row>
    <row r="183" spans="1:94" x14ac:dyDescent="0.25">
      <c r="A183" s="25" t="s">
        <v>146</v>
      </c>
      <c r="B183" s="25" t="s">
        <v>282</v>
      </c>
      <c r="C183" s="25" t="s">
        <v>528</v>
      </c>
      <c r="D183" s="25">
        <v>170</v>
      </c>
      <c r="E183" s="35" cm="1">
        <f t="array" ref="E183">IFERROR(INDEX($J$5:$AVX$5, _xlfn.AGGREGATE(15,6, COLUMN(J183:AVX183)-COLUMN(J183)+1 / (J183:AVX183="T"), F183)), "")</f>
        <v>46008</v>
      </c>
      <c r="F183" s="76">
        <f t="shared" si="23"/>
        <v>2</v>
      </c>
      <c r="G183" s="35" cm="1">
        <f t="array" ref="G183">IFERROR(INDEX($J$5:$AVW$5,_xlfn.AGGREGATE(14,6,(COLUMN($J183:$AVW183)-COLUMN($J183)+1)/($J183:$AVW183="T"),1)),"")</f>
        <v>46008</v>
      </c>
      <c r="H183" s="79">
        <f t="shared" si="24"/>
        <v>2</v>
      </c>
      <c r="I183" s="38" t="s">
        <v>10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25" t="s">
        <v>12</v>
      </c>
      <c r="AB183" s="27"/>
      <c r="AC183" s="27"/>
      <c r="AD183" s="27"/>
      <c r="AE183" s="28"/>
      <c r="AF183" s="27"/>
      <c r="AG183" s="27"/>
      <c r="AH183" s="29" t="s">
        <v>16</v>
      </c>
      <c r="AI183" s="30" t="s">
        <v>13</v>
      </c>
      <c r="AJ183" s="27"/>
      <c r="AK183" s="27"/>
      <c r="AL183" s="28"/>
      <c r="AM183" s="27"/>
      <c r="AN183" s="27"/>
      <c r="AO183" s="29" t="s">
        <v>14</v>
      </c>
      <c r="AP183" s="30" t="s">
        <v>11</v>
      </c>
      <c r="AQ183" s="37"/>
      <c r="AR183" s="27"/>
      <c r="AS183" s="28"/>
      <c r="AT183" s="27"/>
      <c r="AU183" s="29" t="s">
        <v>15</v>
      </c>
      <c r="AV183" s="27"/>
      <c r="AW183" s="27"/>
      <c r="AX183" s="25">
        <v>17</v>
      </c>
      <c r="AY183" s="33"/>
      <c r="AZ183" s="33"/>
      <c r="BA183" s="33"/>
      <c r="BB183" s="33"/>
      <c r="BC183" s="33"/>
      <c r="BD183" s="25" t="s">
        <v>12</v>
      </c>
      <c r="BE183" s="27"/>
      <c r="BF183" s="27"/>
      <c r="BG183" s="27"/>
      <c r="BH183" s="28"/>
      <c r="BI183" s="27"/>
      <c r="BJ183" s="27"/>
      <c r="BK183" s="29" t="s">
        <v>16</v>
      </c>
      <c r="BL183" s="30" t="s">
        <v>13</v>
      </c>
      <c r="BM183" s="27"/>
      <c r="BN183" s="27"/>
      <c r="BO183" s="28"/>
      <c r="BP183" s="27"/>
      <c r="BQ183" s="27"/>
      <c r="BR183" s="32" t="s">
        <v>14</v>
      </c>
      <c r="BS183" s="30" t="s">
        <v>11</v>
      </c>
      <c r="BT183" s="27"/>
      <c r="BU183" s="27"/>
      <c r="BV183" s="28"/>
      <c r="BW183" s="27"/>
      <c r="BX183" s="29" t="s">
        <v>15</v>
      </c>
      <c r="BY183" s="27"/>
      <c r="BZ183" s="27"/>
      <c r="CA183" s="25">
        <v>17</v>
      </c>
      <c r="CB183" s="33"/>
      <c r="CC183" s="33"/>
      <c r="CD183" s="33"/>
      <c r="CE183" s="33"/>
      <c r="CF183" s="33"/>
      <c r="CG183" s="33"/>
      <c r="CH183" s="33"/>
      <c r="CI183" s="33"/>
      <c r="CJ183" s="33"/>
      <c r="CK183" s="33"/>
      <c r="CL183" s="33"/>
      <c r="CM183" s="33"/>
      <c r="CN183" s="33"/>
      <c r="CO183" s="33"/>
      <c r="CP183" s="33"/>
    </row>
    <row r="184" spans="1:94" x14ac:dyDescent="0.25">
      <c r="A184" s="25" t="s">
        <v>146</v>
      </c>
      <c r="B184" s="25" t="s">
        <v>283</v>
      </c>
      <c r="C184" s="25" t="s">
        <v>529</v>
      </c>
      <c r="D184" s="25">
        <v>171</v>
      </c>
      <c r="E184" s="35" cm="1">
        <f t="array" ref="E184">IFERROR(INDEX($J$5:$AVX$5, _xlfn.AGGREGATE(15,6, COLUMN(J184:AVX184)-COLUMN(J184)+1 / (J184:AVX184="T"), F184)), "")</f>
        <v>46008</v>
      </c>
      <c r="F184" s="76">
        <f t="shared" si="23"/>
        <v>2</v>
      </c>
      <c r="G184" s="35" cm="1">
        <f t="array" ref="G184">IFERROR(INDEX($J$5:$AVW$5,_xlfn.AGGREGATE(14,6,(COLUMN($J184:$AVW184)-COLUMN($J184)+1)/($J184:$AVW184="T"),1)),"")</f>
        <v>46008</v>
      </c>
      <c r="H184" s="79">
        <f t="shared" si="24"/>
        <v>2</v>
      </c>
      <c r="I184" s="38" t="s">
        <v>10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25" t="s">
        <v>12</v>
      </c>
      <c r="AB184" s="27"/>
      <c r="AC184" s="27"/>
      <c r="AD184" s="27"/>
      <c r="AE184" s="28"/>
      <c r="AF184" s="27"/>
      <c r="AG184" s="27"/>
      <c r="AH184" s="29" t="s">
        <v>16</v>
      </c>
      <c r="AI184" s="30" t="s">
        <v>13</v>
      </c>
      <c r="AJ184" s="27"/>
      <c r="AK184" s="27"/>
      <c r="AL184" s="28"/>
      <c r="AM184" s="27"/>
      <c r="AN184" s="27"/>
      <c r="AO184" s="29" t="s">
        <v>14</v>
      </c>
      <c r="AP184" s="30" t="s">
        <v>11</v>
      </c>
      <c r="AQ184" s="37"/>
      <c r="AR184" s="27"/>
      <c r="AS184" s="28"/>
      <c r="AT184" s="27"/>
      <c r="AU184" s="29" t="s">
        <v>15</v>
      </c>
      <c r="AV184" s="27"/>
      <c r="AW184" s="27"/>
      <c r="AX184" s="25">
        <v>17</v>
      </c>
      <c r="AY184" s="33"/>
      <c r="AZ184" s="33"/>
      <c r="BA184" s="33"/>
      <c r="BB184" s="33"/>
      <c r="BC184" s="33"/>
      <c r="BD184" s="25" t="s">
        <v>12</v>
      </c>
      <c r="BE184" s="27"/>
      <c r="BF184" s="27"/>
      <c r="BG184" s="27"/>
      <c r="BH184" s="28"/>
      <c r="BI184" s="27"/>
      <c r="BJ184" s="27"/>
      <c r="BK184" s="29" t="s">
        <v>16</v>
      </c>
      <c r="BL184" s="30" t="s">
        <v>13</v>
      </c>
      <c r="BM184" s="27"/>
      <c r="BN184" s="27"/>
      <c r="BO184" s="28"/>
      <c r="BP184" s="27"/>
      <c r="BQ184" s="27"/>
      <c r="BR184" s="32" t="s">
        <v>14</v>
      </c>
      <c r="BS184" s="30" t="s">
        <v>11</v>
      </c>
      <c r="BT184" s="27"/>
      <c r="BU184" s="27"/>
      <c r="BV184" s="28"/>
      <c r="BW184" s="27"/>
      <c r="BX184" s="29" t="s">
        <v>15</v>
      </c>
      <c r="BY184" s="27"/>
      <c r="BZ184" s="27"/>
      <c r="CA184" s="25">
        <v>17</v>
      </c>
      <c r="CB184" s="33"/>
      <c r="CC184" s="33"/>
      <c r="CD184" s="33"/>
      <c r="CE184" s="33"/>
      <c r="CF184" s="33"/>
      <c r="CG184" s="33"/>
      <c r="CH184" s="33"/>
      <c r="CI184" s="33"/>
      <c r="CJ184" s="33"/>
      <c r="CK184" s="33"/>
      <c r="CL184" s="33"/>
      <c r="CM184" s="33"/>
      <c r="CN184" s="33"/>
      <c r="CO184" s="33"/>
      <c r="CP184" s="33"/>
    </row>
    <row r="185" spans="1:94" x14ac:dyDescent="0.25">
      <c r="A185" s="25" t="s">
        <v>146</v>
      </c>
      <c r="B185" s="25" t="s">
        <v>284</v>
      </c>
      <c r="C185" s="25" t="s">
        <v>530</v>
      </c>
      <c r="D185" s="25">
        <v>172</v>
      </c>
      <c r="E185" s="35" cm="1">
        <f t="array" ref="E185">IFERROR(INDEX($J$5:$AVX$5, _xlfn.AGGREGATE(15,6, COLUMN(J185:AVX185)-COLUMN(J185)+1 / (J185:AVX185="T"), F185)), "")</f>
        <v>46008</v>
      </c>
      <c r="F185" s="76">
        <f t="shared" si="23"/>
        <v>2</v>
      </c>
      <c r="G185" s="35" cm="1">
        <f t="array" ref="G185">IFERROR(INDEX($J$5:$AVW$5,_xlfn.AGGREGATE(14,6,(COLUMN($J185:$AVW185)-COLUMN($J185)+1)/($J185:$AVW185="T"),1)),"")</f>
        <v>46008</v>
      </c>
      <c r="H185" s="79">
        <f t="shared" si="24"/>
        <v>2</v>
      </c>
      <c r="I185" s="38" t="s">
        <v>10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25" t="s">
        <v>12</v>
      </c>
      <c r="AB185" s="27"/>
      <c r="AC185" s="27"/>
      <c r="AD185" s="27"/>
      <c r="AE185" s="28"/>
      <c r="AF185" s="27"/>
      <c r="AG185" s="27"/>
      <c r="AH185" s="29" t="s">
        <v>16</v>
      </c>
      <c r="AI185" s="30" t="s">
        <v>13</v>
      </c>
      <c r="AJ185" s="27"/>
      <c r="AK185" s="27"/>
      <c r="AL185" s="28"/>
      <c r="AM185" s="27"/>
      <c r="AN185" s="27"/>
      <c r="AO185" s="29" t="s">
        <v>14</v>
      </c>
      <c r="AP185" s="30" t="s">
        <v>11</v>
      </c>
      <c r="AQ185" s="37"/>
      <c r="AR185" s="27"/>
      <c r="AS185" s="28"/>
      <c r="AT185" s="27"/>
      <c r="AU185" s="29" t="s">
        <v>15</v>
      </c>
      <c r="AV185" s="27"/>
      <c r="AW185" s="27"/>
      <c r="AX185" s="25">
        <v>17</v>
      </c>
      <c r="AY185" s="33"/>
      <c r="AZ185" s="33"/>
      <c r="BA185" s="33"/>
      <c r="BB185" s="33"/>
      <c r="BC185" s="33"/>
      <c r="BD185" s="25" t="s">
        <v>12</v>
      </c>
      <c r="BE185" s="27"/>
      <c r="BF185" s="27"/>
      <c r="BG185" s="27"/>
      <c r="BH185" s="28"/>
      <c r="BI185" s="27"/>
      <c r="BJ185" s="27"/>
      <c r="BK185" s="29" t="s">
        <v>16</v>
      </c>
      <c r="BL185" s="30" t="s">
        <v>13</v>
      </c>
      <c r="BM185" s="27"/>
      <c r="BN185" s="27"/>
      <c r="BO185" s="28"/>
      <c r="BP185" s="27"/>
      <c r="BQ185" s="27"/>
      <c r="BR185" s="32" t="s">
        <v>14</v>
      </c>
      <c r="BS185" s="30" t="s">
        <v>11</v>
      </c>
      <c r="BT185" s="27"/>
      <c r="BU185" s="27"/>
      <c r="BV185" s="28"/>
      <c r="BW185" s="27"/>
      <c r="BX185" s="29" t="s">
        <v>15</v>
      </c>
      <c r="BY185" s="27"/>
      <c r="BZ185" s="27"/>
      <c r="CA185" s="25">
        <v>17</v>
      </c>
      <c r="CB185" s="33"/>
      <c r="CC185" s="33"/>
      <c r="CD185" s="33"/>
      <c r="CE185" s="33"/>
      <c r="CF185" s="33"/>
      <c r="CG185" s="33"/>
      <c r="CH185" s="33"/>
      <c r="CI185" s="33"/>
      <c r="CJ185" s="33"/>
      <c r="CK185" s="33"/>
      <c r="CL185" s="33"/>
      <c r="CM185" s="33"/>
      <c r="CN185" s="33"/>
      <c r="CO185" s="33"/>
      <c r="CP185" s="33"/>
    </row>
    <row r="186" spans="1:94" x14ac:dyDescent="0.25">
      <c r="A186" s="25" t="s">
        <v>146</v>
      </c>
      <c r="B186" s="25" t="s">
        <v>285</v>
      </c>
      <c r="C186" s="25" t="s">
        <v>531</v>
      </c>
      <c r="D186" s="25">
        <v>173</v>
      </c>
      <c r="E186" s="35" cm="1">
        <f t="array" ref="E186">IFERROR(INDEX($J$5:$AVX$5, _xlfn.AGGREGATE(15,6, COLUMN(J186:AVX186)-COLUMN(J186)+1 / (J186:AVX186="T"), F186)), "")</f>
        <v>46008</v>
      </c>
      <c r="F186" s="76">
        <f t="shared" si="23"/>
        <v>2</v>
      </c>
      <c r="G186" s="35" cm="1">
        <f t="array" ref="G186">IFERROR(INDEX($J$5:$AVW$5,_xlfn.AGGREGATE(14,6,(COLUMN($J186:$AVW186)-COLUMN($J186)+1)/($J186:$AVW186="T"),1)),"")</f>
        <v>46008</v>
      </c>
      <c r="H186" s="79">
        <f t="shared" si="24"/>
        <v>2</v>
      </c>
      <c r="I186" s="38" t="s">
        <v>10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25" t="s">
        <v>12</v>
      </c>
      <c r="AB186" s="27"/>
      <c r="AC186" s="27"/>
      <c r="AD186" s="27"/>
      <c r="AE186" s="28"/>
      <c r="AF186" s="27"/>
      <c r="AG186" s="27"/>
      <c r="AH186" s="29" t="s">
        <v>16</v>
      </c>
      <c r="AI186" s="30" t="s">
        <v>13</v>
      </c>
      <c r="AJ186" s="27"/>
      <c r="AK186" s="27"/>
      <c r="AL186" s="28"/>
      <c r="AM186" s="27"/>
      <c r="AN186" s="27"/>
      <c r="AO186" s="29" t="s">
        <v>14</v>
      </c>
      <c r="AP186" s="30" t="s">
        <v>11</v>
      </c>
      <c r="AQ186" s="37"/>
      <c r="AR186" s="27"/>
      <c r="AS186" s="28"/>
      <c r="AT186" s="27"/>
      <c r="AU186" s="29" t="s">
        <v>15</v>
      </c>
      <c r="AV186" s="27"/>
      <c r="AW186" s="27"/>
      <c r="AX186" s="25">
        <v>17</v>
      </c>
      <c r="AY186" s="33"/>
      <c r="AZ186" s="33"/>
      <c r="BA186" s="33"/>
      <c r="BB186" s="33"/>
      <c r="BC186" s="33"/>
      <c r="BD186" s="25" t="s">
        <v>12</v>
      </c>
      <c r="BE186" s="27"/>
      <c r="BF186" s="27"/>
      <c r="BG186" s="27"/>
      <c r="BH186" s="28"/>
      <c r="BI186" s="27"/>
      <c r="BJ186" s="27"/>
      <c r="BK186" s="29" t="s">
        <v>16</v>
      </c>
      <c r="BL186" s="30" t="s">
        <v>13</v>
      </c>
      <c r="BM186" s="27"/>
      <c r="BN186" s="27"/>
      <c r="BO186" s="28"/>
      <c r="BP186" s="27"/>
      <c r="BQ186" s="27"/>
      <c r="BR186" s="32" t="s">
        <v>14</v>
      </c>
      <c r="BS186" s="30" t="s">
        <v>11</v>
      </c>
      <c r="BT186" s="27"/>
      <c r="BU186" s="27"/>
      <c r="BV186" s="28"/>
      <c r="BW186" s="27"/>
      <c r="BX186" s="29" t="s">
        <v>15</v>
      </c>
      <c r="BY186" s="27"/>
      <c r="BZ186" s="27"/>
      <c r="CA186" s="25">
        <v>17</v>
      </c>
      <c r="CB186" s="33"/>
      <c r="CC186" s="33"/>
      <c r="CD186" s="33"/>
      <c r="CE186" s="33"/>
      <c r="CF186" s="33"/>
      <c r="CG186" s="33"/>
      <c r="CH186" s="33"/>
      <c r="CI186" s="33"/>
      <c r="CJ186" s="33"/>
      <c r="CK186" s="33"/>
      <c r="CL186" s="33"/>
      <c r="CM186" s="33"/>
      <c r="CN186" s="33"/>
      <c r="CO186" s="33"/>
      <c r="CP186" s="33"/>
    </row>
    <row r="187" spans="1:94" x14ac:dyDescent="0.25">
      <c r="A187" s="25" t="s">
        <v>146</v>
      </c>
      <c r="B187" s="25" t="s">
        <v>286</v>
      </c>
      <c r="C187" s="25" t="s">
        <v>532</v>
      </c>
      <c r="D187" s="25">
        <v>174</v>
      </c>
      <c r="E187" s="35" cm="1">
        <f t="array" ref="E187">IFERROR(INDEX($J$5:$AVX$5, _xlfn.AGGREGATE(15,6, COLUMN(J187:AVX187)-COLUMN(J187)+1 / (J187:AVX187="T"), F187)), "")</f>
        <v>46008</v>
      </c>
      <c r="F187" s="76">
        <f t="shared" si="23"/>
        <v>2</v>
      </c>
      <c r="G187" s="35" cm="1">
        <f t="array" ref="G187">IFERROR(INDEX($J$5:$AVW$5,_xlfn.AGGREGATE(14,6,(COLUMN($J187:$AVW187)-COLUMN($J187)+1)/($J187:$AVW187="T"),1)),"")</f>
        <v>46008</v>
      </c>
      <c r="H187" s="79">
        <f t="shared" si="24"/>
        <v>2</v>
      </c>
      <c r="I187" s="38" t="s">
        <v>10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25" t="s">
        <v>12</v>
      </c>
      <c r="AB187" s="27"/>
      <c r="AC187" s="27"/>
      <c r="AD187" s="27"/>
      <c r="AE187" s="28"/>
      <c r="AF187" s="27"/>
      <c r="AG187" s="27"/>
      <c r="AH187" s="29" t="s">
        <v>16</v>
      </c>
      <c r="AI187" s="30" t="s">
        <v>13</v>
      </c>
      <c r="AJ187" s="27"/>
      <c r="AK187" s="27"/>
      <c r="AL187" s="28"/>
      <c r="AM187" s="27"/>
      <c r="AN187" s="27"/>
      <c r="AO187" s="29" t="s">
        <v>14</v>
      </c>
      <c r="AP187" s="30" t="s">
        <v>11</v>
      </c>
      <c r="AQ187" s="37"/>
      <c r="AR187" s="27"/>
      <c r="AS187" s="28"/>
      <c r="AT187" s="27"/>
      <c r="AU187" s="29" t="s">
        <v>15</v>
      </c>
      <c r="AV187" s="27"/>
      <c r="AW187" s="27"/>
      <c r="AX187" s="25">
        <v>17</v>
      </c>
      <c r="AY187" s="33"/>
      <c r="AZ187" s="33"/>
      <c r="BA187" s="33"/>
      <c r="BB187" s="33"/>
      <c r="BC187" s="33"/>
      <c r="BD187" s="25" t="s">
        <v>12</v>
      </c>
      <c r="BE187" s="27"/>
      <c r="BF187" s="27"/>
      <c r="BG187" s="27"/>
      <c r="BH187" s="28"/>
      <c r="BI187" s="27"/>
      <c r="BJ187" s="27"/>
      <c r="BK187" s="29" t="s">
        <v>16</v>
      </c>
      <c r="BL187" s="30" t="s">
        <v>13</v>
      </c>
      <c r="BM187" s="27"/>
      <c r="BN187" s="27"/>
      <c r="BO187" s="28"/>
      <c r="BP187" s="27"/>
      <c r="BQ187" s="27"/>
      <c r="BR187" s="32" t="s">
        <v>14</v>
      </c>
      <c r="BS187" s="30" t="s">
        <v>11</v>
      </c>
      <c r="BT187" s="27"/>
      <c r="BU187" s="27"/>
      <c r="BV187" s="28"/>
      <c r="BW187" s="27"/>
      <c r="BX187" s="29" t="s">
        <v>15</v>
      </c>
      <c r="BY187" s="27"/>
      <c r="BZ187" s="27"/>
      <c r="CA187" s="25">
        <v>17</v>
      </c>
      <c r="CB187" s="33"/>
      <c r="CC187" s="33"/>
      <c r="CD187" s="33"/>
      <c r="CE187" s="33"/>
      <c r="CF187" s="33"/>
      <c r="CG187" s="33"/>
      <c r="CH187" s="33"/>
      <c r="CI187" s="33"/>
      <c r="CJ187" s="33"/>
      <c r="CK187" s="33"/>
      <c r="CL187" s="33"/>
      <c r="CM187" s="33"/>
      <c r="CN187" s="33"/>
      <c r="CO187" s="33"/>
      <c r="CP187" s="33"/>
    </row>
    <row r="188" spans="1:94" x14ac:dyDescent="0.25">
      <c r="A188" s="25" t="s">
        <v>146</v>
      </c>
      <c r="B188" s="25" t="s">
        <v>287</v>
      </c>
      <c r="C188" s="25" t="s">
        <v>533</v>
      </c>
      <c r="D188" s="25">
        <v>175</v>
      </c>
      <c r="E188" s="35" cm="1">
        <f t="array" ref="E188">IFERROR(INDEX($J$5:$AVX$5, _xlfn.AGGREGATE(15,6, COLUMN(J188:AVX188)-COLUMN(J188)+1 / (J188:AVX188="T"), F188)), "")</f>
        <v>46008</v>
      </c>
      <c r="F188" s="76">
        <f t="shared" si="23"/>
        <v>2</v>
      </c>
      <c r="G188" s="35" cm="1">
        <f t="array" ref="G188">IFERROR(INDEX($J$5:$AVW$5,_xlfn.AGGREGATE(14,6,(COLUMN($J188:$AVW188)-COLUMN($J188)+1)/($J188:$AVW188="T"),1)),"")</f>
        <v>46008</v>
      </c>
      <c r="H188" s="79">
        <f t="shared" si="24"/>
        <v>2</v>
      </c>
      <c r="I188" s="38" t="s">
        <v>10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25" t="s">
        <v>12</v>
      </c>
      <c r="AB188" s="27"/>
      <c r="AC188" s="27"/>
      <c r="AD188" s="27"/>
      <c r="AE188" s="28"/>
      <c r="AF188" s="27"/>
      <c r="AG188" s="27"/>
      <c r="AH188" s="29" t="s">
        <v>16</v>
      </c>
      <c r="AI188" s="30" t="s">
        <v>13</v>
      </c>
      <c r="AJ188" s="27"/>
      <c r="AK188" s="27"/>
      <c r="AL188" s="28"/>
      <c r="AM188" s="27"/>
      <c r="AN188" s="27"/>
      <c r="AO188" s="29" t="s">
        <v>14</v>
      </c>
      <c r="AP188" s="30" t="s">
        <v>11</v>
      </c>
      <c r="AQ188" s="37"/>
      <c r="AR188" s="27"/>
      <c r="AS188" s="28"/>
      <c r="AT188" s="27"/>
      <c r="AU188" s="29" t="s">
        <v>15</v>
      </c>
      <c r="AV188" s="27"/>
      <c r="AW188" s="27"/>
      <c r="AX188" s="25">
        <v>17</v>
      </c>
      <c r="AY188" s="33"/>
      <c r="AZ188" s="33"/>
      <c r="BA188" s="33"/>
      <c r="BB188" s="33"/>
      <c r="BC188" s="33"/>
      <c r="BD188" s="25" t="s">
        <v>12</v>
      </c>
      <c r="BE188" s="27"/>
      <c r="BF188" s="27"/>
      <c r="BG188" s="27"/>
      <c r="BH188" s="28"/>
      <c r="BI188" s="27"/>
      <c r="BJ188" s="27"/>
      <c r="BK188" s="29" t="s">
        <v>16</v>
      </c>
      <c r="BL188" s="30" t="s">
        <v>13</v>
      </c>
      <c r="BM188" s="27"/>
      <c r="BN188" s="27"/>
      <c r="BO188" s="28"/>
      <c r="BP188" s="27"/>
      <c r="BQ188" s="27"/>
      <c r="BR188" s="32" t="s">
        <v>14</v>
      </c>
      <c r="BS188" s="30" t="s">
        <v>11</v>
      </c>
      <c r="BT188" s="27"/>
      <c r="BU188" s="27"/>
      <c r="BV188" s="28"/>
      <c r="BW188" s="27"/>
      <c r="BX188" s="29" t="s">
        <v>15</v>
      </c>
      <c r="BY188" s="27"/>
      <c r="BZ188" s="27"/>
      <c r="CA188" s="25">
        <v>17</v>
      </c>
      <c r="CB188" s="33"/>
      <c r="CC188" s="33"/>
      <c r="CD188" s="33"/>
      <c r="CE188" s="33"/>
      <c r="CF188" s="33"/>
      <c r="CG188" s="33"/>
      <c r="CH188" s="33"/>
      <c r="CI188" s="33"/>
      <c r="CJ188" s="33"/>
      <c r="CK188" s="33"/>
      <c r="CL188" s="33"/>
      <c r="CM188" s="33"/>
      <c r="CN188" s="33"/>
      <c r="CO188" s="33"/>
      <c r="CP188" s="33"/>
    </row>
    <row r="189" spans="1:94" x14ac:dyDescent="0.25">
      <c r="A189" s="41" t="s">
        <v>146</v>
      </c>
      <c r="B189" s="41" t="s">
        <v>288</v>
      </c>
      <c r="C189" s="25" t="s">
        <v>534</v>
      </c>
      <c r="D189" s="25">
        <v>176</v>
      </c>
      <c r="E189" s="35" t="str" cm="1">
        <f t="array" ref="E189">IFERROR(INDEX($J$5:$AVX$5, _xlfn.AGGREGATE(15,6, COLUMN(J189:AVX189)-COLUMN(J189)+1 / (J189:AVX189="T"), F189)), "")</f>
        <v/>
      </c>
      <c r="F189" s="76">
        <f t="shared" si="23"/>
        <v>2</v>
      </c>
      <c r="G189" s="35" cm="1">
        <f t="array" ref="G189">IFERROR(INDEX($J$5:$AVW$5,_xlfn.AGGREGATE(14,6,(COLUMN($J189:$AVW189)-COLUMN($J189)+1)/($J189:$AVW189="T"),1)),"")</f>
        <v>45979</v>
      </c>
      <c r="H189" s="79">
        <f t="shared" si="24"/>
        <v>1</v>
      </c>
      <c r="I189" s="42" t="s">
        <v>10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25" t="s">
        <v>12</v>
      </c>
      <c r="AB189" s="27"/>
      <c r="AC189" s="27"/>
      <c r="AD189" s="27"/>
      <c r="AE189" s="28"/>
      <c r="AF189" s="27"/>
      <c r="AG189" s="27"/>
      <c r="AH189" s="29" t="s">
        <v>16</v>
      </c>
      <c r="AI189" s="30" t="s">
        <v>13</v>
      </c>
      <c r="AJ189" s="27"/>
      <c r="AK189" s="27"/>
      <c r="AL189" s="28"/>
      <c r="AM189" s="27"/>
      <c r="AN189" s="27"/>
      <c r="AO189" s="29" t="s">
        <v>14</v>
      </c>
      <c r="AP189" s="30" t="s">
        <v>11</v>
      </c>
      <c r="AQ189" s="37"/>
      <c r="AR189" s="27"/>
      <c r="AS189" s="28"/>
      <c r="AT189" s="27"/>
      <c r="AU189" s="29" t="s">
        <v>15</v>
      </c>
      <c r="AV189" s="27"/>
      <c r="AW189" s="27"/>
      <c r="AX189" s="25">
        <v>17</v>
      </c>
      <c r="AY189" s="33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3"/>
      <c r="CB189" s="33"/>
      <c r="CC189" s="33"/>
      <c r="CD189" s="33"/>
      <c r="CE189" s="33"/>
      <c r="CF189" s="33"/>
      <c r="CG189" s="33"/>
      <c r="CH189" s="33"/>
      <c r="CI189" s="33"/>
      <c r="CJ189" s="33"/>
      <c r="CK189" s="33"/>
      <c r="CL189" s="33"/>
      <c r="CM189" s="33"/>
      <c r="CN189" s="33"/>
      <c r="CO189" s="33"/>
      <c r="CP189" s="33"/>
    </row>
    <row r="190" spans="1:94" x14ac:dyDescent="0.25">
      <c r="A190" s="41" t="s">
        <v>146</v>
      </c>
      <c r="B190" s="41" t="s">
        <v>289</v>
      </c>
      <c r="C190" s="25" t="s">
        <v>535</v>
      </c>
      <c r="D190" s="25">
        <v>177</v>
      </c>
      <c r="E190" s="35" t="str" cm="1">
        <f t="array" ref="E190">IFERROR(INDEX($J$5:$AVX$5, _xlfn.AGGREGATE(15,6, COLUMN(J190:AVX190)-COLUMN(J190)+1 / (J190:AVX190="T"), F190)), "")</f>
        <v/>
      </c>
      <c r="F190" s="76">
        <f t="shared" si="23"/>
        <v>2</v>
      </c>
      <c r="G190" s="35" cm="1">
        <f t="array" ref="G190">IFERROR(INDEX($J$5:$AVW$5,_xlfn.AGGREGATE(14,6,(COLUMN($J190:$AVW190)-COLUMN($J190)+1)/($J190:$AVW190="T"),1)),"")</f>
        <v>45979</v>
      </c>
      <c r="H190" s="79">
        <f t="shared" si="24"/>
        <v>1</v>
      </c>
      <c r="I190" s="42" t="s">
        <v>10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25" t="s">
        <v>12</v>
      </c>
      <c r="AB190" s="27"/>
      <c r="AC190" s="27"/>
      <c r="AD190" s="27"/>
      <c r="AE190" s="28"/>
      <c r="AF190" s="27"/>
      <c r="AG190" s="27"/>
      <c r="AH190" s="29" t="s">
        <v>16</v>
      </c>
      <c r="AI190" s="30" t="s">
        <v>13</v>
      </c>
      <c r="AJ190" s="27"/>
      <c r="AK190" s="27"/>
      <c r="AL190" s="28"/>
      <c r="AM190" s="27"/>
      <c r="AN190" s="27"/>
      <c r="AO190" s="29" t="s">
        <v>14</v>
      </c>
      <c r="AP190" s="30" t="s">
        <v>11</v>
      </c>
      <c r="AQ190" s="37"/>
      <c r="AR190" s="27"/>
      <c r="AS190" s="28"/>
      <c r="AT190" s="27"/>
      <c r="AU190" s="29" t="s">
        <v>15</v>
      </c>
      <c r="AV190" s="27"/>
      <c r="AW190" s="27"/>
      <c r="AX190" s="25">
        <v>17</v>
      </c>
      <c r="AY190" s="33"/>
      <c r="AZ190" s="33"/>
      <c r="BA190" s="33"/>
      <c r="BB190" s="33"/>
      <c r="BC190" s="33"/>
      <c r="BD190" s="33"/>
      <c r="BE190" s="33"/>
      <c r="BF190" s="33"/>
      <c r="BG190" s="33"/>
      <c r="BH190" s="33"/>
      <c r="BI190" s="33"/>
      <c r="BJ190" s="33"/>
      <c r="BK190" s="33"/>
      <c r="BL190" s="33"/>
      <c r="BM190" s="33"/>
      <c r="BN190" s="33"/>
      <c r="BO190" s="33"/>
      <c r="BP190" s="33"/>
      <c r="BQ190" s="33"/>
      <c r="BR190" s="33"/>
      <c r="BS190" s="33"/>
      <c r="BT190" s="33"/>
      <c r="BU190" s="33"/>
      <c r="BV190" s="33"/>
      <c r="BW190" s="33"/>
      <c r="BX190" s="33"/>
      <c r="BY190" s="33"/>
      <c r="BZ190" s="33"/>
      <c r="CA190" s="33"/>
      <c r="CB190" s="33"/>
      <c r="CC190" s="33"/>
      <c r="CD190" s="33"/>
      <c r="CE190" s="33"/>
      <c r="CF190" s="33"/>
      <c r="CG190" s="33"/>
      <c r="CH190" s="33"/>
      <c r="CI190" s="33"/>
      <c r="CJ190" s="33"/>
      <c r="CK190" s="33"/>
      <c r="CL190" s="33"/>
      <c r="CM190" s="33"/>
      <c r="CN190" s="33"/>
      <c r="CO190" s="33"/>
      <c r="CP190" s="33"/>
    </row>
    <row r="191" spans="1:94" x14ac:dyDescent="0.25">
      <c r="A191" s="41" t="s">
        <v>146</v>
      </c>
      <c r="B191" s="41" t="s">
        <v>297</v>
      </c>
      <c r="C191" s="25" t="s">
        <v>536</v>
      </c>
      <c r="D191" s="25">
        <v>178</v>
      </c>
      <c r="E191" s="35" t="str" cm="1">
        <f t="array" ref="E191">IFERROR(INDEX($J$5:$AVX$5, _xlfn.AGGREGATE(15,6, COLUMN(J191:AVX191)-COLUMN(J191)+1 / (J191:AVX191="T"), F191)), "")</f>
        <v/>
      </c>
      <c r="F191" s="76">
        <f t="shared" si="23"/>
        <v>2</v>
      </c>
      <c r="G191" s="35" t="str" cm="1">
        <f t="array" ref="G191">IFERROR(INDEX($J$5:$AVW$5,_xlfn.AGGREGATE(14,6,(COLUMN($J191:$AVW191)-COLUMN($J191)+1)/($J191:$AVW191="T"),1)),"")</f>
        <v/>
      </c>
      <c r="H191" s="79">
        <f t="shared" si="24"/>
        <v>0</v>
      </c>
      <c r="I191" s="42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3"/>
      <c r="CB191" s="33"/>
      <c r="CC191" s="33"/>
      <c r="CD191" s="33"/>
      <c r="CE191" s="33"/>
      <c r="CF191" s="33"/>
      <c r="CG191" s="33"/>
      <c r="CH191" s="33"/>
      <c r="CI191" s="33"/>
      <c r="CJ191" s="33"/>
      <c r="CK191" s="33"/>
      <c r="CL191" s="33"/>
      <c r="CM191" s="33"/>
      <c r="CN191" s="33"/>
      <c r="CO191" s="33"/>
      <c r="CP191" s="33"/>
    </row>
    <row r="192" spans="1:94" x14ac:dyDescent="0.25">
      <c r="A192" s="25" t="s">
        <v>146</v>
      </c>
      <c r="B192" s="25" t="s">
        <v>298</v>
      </c>
      <c r="C192" s="25" t="s">
        <v>537</v>
      </c>
      <c r="D192" s="25">
        <v>179</v>
      </c>
      <c r="E192" s="35" cm="1">
        <f t="array" ref="E192">IFERROR(INDEX($J$5:$AVX$5, _xlfn.AGGREGATE(15,6, COLUMN(J192:AVX192)-COLUMN(J192)+1 / (J192:AVX192="T"), F192)), "")</f>
        <v>46005</v>
      </c>
      <c r="F192" s="76">
        <f t="shared" si="23"/>
        <v>2</v>
      </c>
      <c r="G192" s="35" cm="1">
        <f t="array" ref="G192">IFERROR(INDEX($J$5:$AVW$5,_xlfn.AGGREGATE(14,6,(COLUMN($J192:$AVW192)-COLUMN($J192)+1)/($J192:$AVW192="T"),1)),"")</f>
        <v>46005</v>
      </c>
      <c r="H192" s="79">
        <f t="shared" si="24"/>
        <v>2</v>
      </c>
      <c r="I192" s="38" t="s">
        <v>10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25" t="s">
        <v>12</v>
      </c>
      <c r="Y192" s="27"/>
      <c r="Z192" s="27"/>
      <c r="AA192" s="27"/>
      <c r="AB192" s="28"/>
      <c r="AC192" s="27"/>
      <c r="AD192" s="27"/>
      <c r="AE192" s="29" t="s">
        <v>16</v>
      </c>
      <c r="AF192" s="30" t="s">
        <v>13</v>
      </c>
      <c r="AG192" s="27"/>
      <c r="AH192" s="27"/>
      <c r="AI192" s="28"/>
      <c r="AJ192" s="27"/>
      <c r="AK192" s="27"/>
      <c r="AL192" s="32" t="s">
        <v>14</v>
      </c>
      <c r="AM192" s="30" t="s">
        <v>11</v>
      </c>
      <c r="AN192" s="27"/>
      <c r="AO192" s="27"/>
      <c r="AP192" s="28"/>
      <c r="AQ192" s="27"/>
      <c r="AR192" s="29" t="s">
        <v>15</v>
      </c>
      <c r="AS192" s="27"/>
      <c r="AT192" s="27"/>
      <c r="AU192" s="25">
        <v>17</v>
      </c>
      <c r="AV192" s="33"/>
      <c r="AW192" s="33"/>
      <c r="AX192" s="33"/>
      <c r="AY192" s="33"/>
      <c r="AZ192" s="33"/>
      <c r="BA192" s="25" t="s">
        <v>12</v>
      </c>
      <c r="BB192" s="27"/>
      <c r="BC192" s="27"/>
      <c r="BD192" s="27"/>
      <c r="BE192" s="28"/>
      <c r="BF192" s="27"/>
      <c r="BG192" s="27"/>
      <c r="BH192" s="29" t="s">
        <v>16</v>
      </c>
      <c r="BI192" s="30" t="s">
        <v>13</v>
      </c>
      <c r="BJ192" s="27"/>
      <c r="BK192" s="27"/>
      <c r="BL192" s="28"/>
      <c r="BM192" s="27"/>
      <c r="BN192" s="27"/>
      <c r="BO192" s="32" t="s">
        <v>14</v>
      </c>
      <c r="BP192" s="30" t="s">
        <v>11</v>
      </c>
      <c r="BQ192" s="27"/>
      <c r="BR192" s="27"/>
      <c r="BS192" s="28"/>
      <c r="BT192" s="27"/>
      <c r="BU192" s="29" t="s">
        <v>15</v>
      </c>
      <c r="BV192" s="27"/>
      <c r="BW192" s="27"/>
      <c r="BX192" s="25">
        <v>17</v>
      </c>
      <c r="BY192" s="33"/>
      <c r="BZ192" s="33"/>
      <c r="CA192" s="33"/>
      <c r="CB192" s="33"/>
      <c r="CC192" s="33"/>
      <c r="CD192" s="33"/>
      <c r="CE192" s="33"/>
      <c r="CF192" s="33"/>
      <c r="CG192" s="33"/>
      <c r="CH192" s="33"/>
      <c r="CI192" s="33"/>
      <c r="CJ192" s="33"/>
      <c r="CK192" s="33"/>
      <c r="CL192" s="33"/>
      <c r="CM192" s="33"/>
      <c r="CN192" s="33"/>
      <c r="CO192" s="33"/>
      <c r="CP192" s="33"/>
    </row>
    <row r="193" spans="1:94" s="43" customFormat="1" x14ac:dyDescent="0.25">
      <c r="A193" s="25" t="s">
        <v>146</v>
      </c>
      <c r="B193" s="25" t="s">
        <v>299</v>
      </c>
      <c r="C193" s="25" t="s">
        <v>538</v>
      </c>
      <c r="D193" s="25">
        <v>180</v>
      </c>
      <c r="E193" s="35" cm="1">
        <f t="array" ref="E193">IFERROR(INDEX($J$5:$AVX$5, _xlfn.AGGREGATE(15,6, COLUMN(J193:AVX193)-COLUMN(J193)+1 / (J193:AVX193="T"), F193)), "")</f>
        <v>46005</v>
      </c>
      <c r="F193" s="76">
        <f t="shared" si="23"/>
        <v>2</v>
      </c>
      <c r="G193" s="35" cm="1">
        <f t="array" ref="G193">IFERROR(INDEX($J$5:$AVW$5,_xlfn.AGGREGATE(14,6,(COLUMN($J193:$AVW193)-COLUMN($J193)+1)/($J193:$AVW193="T"),1)),"")</f>
        <v>46005</v>
      </c>
      <c r="H193" s="79">
        <f t="shared" si="24"/>
        <v>2</v>
      </c>
      <c r="I193" s="38" t="s">
        <v>10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25" t="s">
        <v>12</v>
      </c>
      <c r="Y193" s="27"/>
      <c r="Z193" s="27"/>
      <c r="AA193" s="27"/>
      <c r="AB193" s="28"/>
      <c r="AC193" s="27"/>
      <c r="AD193" s="27"/>
      <c r="AE193" s="29" t="s">
        <v>16</v>
      </c>
      <c r="AF193" s="30" t="s">
        <v>13</v>
      </c>
      <c r="AG193" s="27"/>
      <c r="AH193" s="27"/>
      <c r="AI193" s="28"/>
      <c r="AJ193" s="27"/>
      <c r="AK193" s="27"/>
      <c r="AL193" s="32" t="s">
        <v>14</v>
      </c>
      <c r="AM193" s="30" t="s">
        <v>11</v>
      </c>
      <c r="AN193" s="27"/>
      <c r="AO193" s="27"/>
      <c r="AP193" s="28"/>
      <c r="AQ193" s="27"/>
      <c r="AR193" s="29" t="s">
        <v>15</v>
      </c>
      <c r="AS193" s="27"/>
      <c r="AT193" s="27"/>
      <c r="AU193" s="25">
        <v>17</v>
      </c>
      <c r="AV193" s="33"/>
      <c r="AW193" s="33"/>
      <c r="AX193" s="33"/>
      <c r="AY193" s="33"/>
      <c r="AZ193" s="33"/>
      <c r="BA193" s="25" t="s">
        <v>12</v>
      </c>
      <c r="BB193" s="27"/>
      <c r="BC193" s="27"/>
      <c r="BD193" s="27"/>
      <c r="BE193" s="28"/>
      <c r="BF193" s="27"/>
      <c r="BG193" s="27"/>
      <c r="BH193" s="29" t="s">
        <v>16</v>
      </c>
      <c r="BI193" s="30" t="s">
        <v>13</v>
      </c>
      <c r="BJ193" s="27"/>
      <c r="BK193" s="27"/>
      <c r="BL193" s="28"/>
      <c r="BM193" s="27"/>
      <c r="BN193" s="27"/>
      <c r="BO193" s="32" t="s">
        <v>14</v>
      </c>
      <c r="BP193" s="30" t="s">
        <v>11</v>
      </c>
      <c r="BQ193" s="27"/>
      <c r="BR193" s="27"/>
      <c r="BS193" s="28"/>
      <c r="BT193" s="27"/>
      <c r="BU193" s="29" t="s">
        <v>15</v>
      </c>
      <c r="BV193" s="27"/>
      <c r="BW193" s="27"/>
      <c r="BX193" s="25">
        <v>17</v>
      </c>
      <c r="BY193" s="33"/>
      <c r="BZ193" s="33"/>
      <c r="CA193" s="33"/>
      <c r="CB193" s="33"/>
      <c r="CC193" s="33"/>
      <c r="CD193" s="33"/>
      <c r="CE193" s="33"/>
      <c r="CF193" s="33"/>
      <c r="CG193" s="33"/>
      <c r="CH193" s="33"/>
      <c r="CI193" s="33"/>
      <c r="CJ193" s="33"/>
      <c r="CK193" s="33"/>
      <c r="CL193" s="33"/>
      <c r="CM193" s="33"/>
      <c r="CN193" s="33"/>
      <c r="CO193" s="33"/>
      <c r="CP193" s="33"/>
    </row>
    <row r="194" spans="1:94" s="48" customFormat="1" x14ac:dyDescent="0.25">
      <c r="A194" s="25" t="s">
        <v>146</v>
      </c>
      <c r="B194" s="25" t="s">
        <v>300</v>
      </c>
      <c r="C194" s="25" t="s">
        <v>539</v>
      </c>
      <c r="D194" s="25">
        <v>181</v>
      </c>
      <c r="E194" s="35" cm="1">
        <f t="array" ref="E194">IFERROR(INDEX($J$5:$AVX$5, _xlfn.AGGREGATE(15,6, COLUMN(J194:AVX194)-COLUMN(J194)+1 / (J194:AVX194="T"), F194)), "")</f>
        <v>46005</v>
      </c>
      <c r="F194" s="76">
        <f t="shared" si="23"/>
        <v>2</v>
      </c>
      <c r="G194" s="35" cm="1">
        <f t="array" ref="G194">IFERROR(INDEX($J$5:$AVW$5,_xlfn.AGGREGATE(14,6,(COLUMN($J194:$AVW194)-COLUMN($J194)+1)/($J194:$AVW194="T"),1)),"")</f>
        <v>46005</v>
      </c>
      <c r="H194" s="79">
        <f t="shared" si="24"/>
        <v>2</v>
      </c>
      <c r="I194" s="38" t="s">
        <v>10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25" t="s">
        <v>12</v>
      </c>
      <c r="Y194" s="27"/>
      <c r="Z194" s="27"/>
      <c r="AA194" s="27"/>
      <c r="AB194" s="28"/>
      <c r="AC194" s="27"/>
      <c r="AD194" s="27"/>
      <c r="AE194" s="29" t="s">
        <v>16</v>
      </c>
      <c r="AF194" s="30" t="s">
        <v>13</v>
      </c>
      <c r="AG194" s="27"/>
      <c r="AH194" s="27"/>
      <c r="AI194" s="28"/>
      <c r="AJ194" s="27"/>
      <c r="AK194" s="27"/>
      <c r="AL194" s="29" t="s">
        <v>14</v>
      </c>
      <c r="AM194" s="30" t="s">
        <v>11</v>
      </c>
      <c r="AN194" s="37"/>
      <c r="AO194" s="27"/>
      <c r="AP194" s="28"/>
      <c r="AQ194" s="27"/>
      <c r="AR194" s="29" t="s">
        <v>15</v>
      </c>
      <c r="AS194" s="27"/>
      <c r="AT194" s="27"/>
      <c r="AU194" s="25">
        <v>17</v>
      </c>
      <c r="AV194" s="33"/>
      <c r="AW194" s="33"/>
      <c r="AX194" s="33"/>
      <c r="AY194" s="33"/>
      <c r="AZ194" s="33"/>
      <c r="BA194" s="25" t="s">
        <v>12</v>
      </c>
      <c r="BB194" s="27"/>
      <c r="BC194" s="27"/>
      <c r="BD194" s="27"/>
      <c r="BE194" s="28"/>
      <c r="BF194" s="27"/>
      <c r="BG194" s="27"/>
      <c r="BH194" s="29" t="s">
        <v>16</v>
      </c>
      <c r="BI194" s="30" t="s">
        <v>13</v>
      </c>
      <c r="BJ194" s="27"/>
      <c r="BK194" s="27"/>
      <c r="BL194" s="28"/>
      <c r="BM194" s="27"/>
      <c r="BN194" s="27"/>
      <c r="BO194" s="32" t="s">
        <v>14</v>
      </c>
      <c r="BP194" s="30" t="s">
        <v>11</v>
      </c>
      <c r="BQ194" s="27"/>
      <c r="BR194" s="27"/>
      <c r="BS194" s="28"/>
      <c r="BT194" s="27"/>
      <c r="BU194" s="29" t="s">
        <v>15</v>
      </c>
      <c r="BV194" s="27"/>
      <c r="BW194" s="27"/>
      <c r="BX194" s="25">
        <v>17</v>
      </c>
      <c r="BY194" s="33"/>
      <c r="BZ194" s="33"/>
      <c r="CA194" s="33"/>
      <c r="CB194" s="33"/>
      <c r="CC194" s="33"/>
      <c r="CD194" s="33"/>
      <c r="CE194" s="33"/>
      <c r="CF194" s="33"/>
      <c r="CG194" s="33"/>
      <c r="CH194" s="33"/>
      <c r="CI194" s="33"/>
      <c r="CJ194" s="33"/>
      <c r="CK194" s="33"/>
      <c r="CL194" s="33"/>
      <c r="CM194" s="33"/>
      <c r="CN194" s="33"/>
      <c r="CO194" s="33"/>
      <c r="CP194" s="33"/>
    </row>
    <row r="195" spans="1:94" s="48" customFormat="1" x14ac:dyDescent="0.25">
      <c r="A195" s="25" t="s">
        <v>146</v>
      </c>
      <c r="B195" s="25" t="s">
        <v>301</v>
      </c>
      <c r="C195" s="25" t="s">
        <v>540</v>
      </c>
      <c r="D195" s="25">
        <v>182</v>
      </c>
      <c r="E195" s="35" cm="1">
        <f t="array" ref="E195">IFERROR(INDEX($J$5:$AVX$5, _xlfn.AGGREGATE(15,6, COLUMN(J195:AVX195)-COLUMN(J195)+1 / (J195:AVX195="T"), F195)), "")</f>
        <v>46005</v>
      </c>
      <c r="F195" s="76">
        <f t="shared" si="23"/>
        <v>2</v>
      </c>
      <c r="G195" s="35" cm="1">
        <f t="array" ref="G195">IFERROR(INDEX($J$5:$AVW$5,_xlfn.AGGREGATE(14,6,(COLUMN($J195:$AVW195)-COLUMN($J195)+1)/($J195:$AVW195="T"),1)),"")</f>
        <v>46005</v>
      </c>
      <c r="H195" s="79">
        <f t="shared" si="24"/>
        <v>2</v>
      </c>
      <c r="I195" s="38" t="s">
        <v>10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25" t="s">
        <v>12</v>
      </c>
      <c r="Y195" s="27"/>
      <c r="Z195" s="27"/>
      <c r="AA195" s="27"/>
      <c r="AB195" s="28"/>
      <c r="AC195" s="27"/>
      <c r="AD195" s="27"/>
      <c r="AE195" s="29" t="s">
        <v>16</v>
      </c>
      <c r="AF195" s="30" t="s">
        <v>13</v>
      </c>
      <c r="AG195" s="27"/>
      <c r="AH195" s="27"/>
      <c r="AI195" s="28"/>
      <c r="AJ195" s="27"/>
      <c r="AK195" s="27"/>
      <c r="AL195" s="29" t="s">
        <v>14</v>
      </c>
      <c r="AM195" s="30" t="s">
        <v>11</v>
      </c>
      <c r="AN195" s="37"/>
      <c r="AO195" s="27"/>
      <c r="AP195" s="28"/>
      <c r="AQ195" s="27"/>
      <c r="AR195" s="29" t="s">
        <v>15</v>
      </c>
      <c r="AS195" s="27"/>
      <c r="AT195" s="27"/>
      <c r="AU195" s="25">
        <v>17</v>
      </c>
      <c r="AV195" s="33"/>
      <c r="AW195" s="33"/>
      <c r="AX195" s="33"/>
      <c r="AY195" s="33"/>
      <c r="AZ195" s="33"/>
      <c r="BA195" s="25" t="s">
        <v>12</v>
      </c>
      <c r="BB195" s="27"/>
      <c r="BC195" s="27"/>
      <c r="BD195" s="27"/>
      <c r="BE195" s="28"/>
      <c r="BF195" s="27"/>
      <c r="BG195" s="27"/>
      <c r="BH195" s="29" t="s">
        <v>16</v>
      </c>
      <c r="BI195" s="30" t="s">
        <v>13</v>
      </c>
      <c r="BJ195" s="27"/>
      <c r="BK195" s="27"/>
      <c r="BL195" s="28"/>
      <c r="BM195" s="27"/>
      <c r="BN195" s="27"/>
      <c r="BO195" s="32" t="s">
        <v>14</v>
      </c>
      <c r="BP195" s="30" t="s">
        <v>11</v>
      </c>
      <c r="BQ195" s="27"/>
      <c r="BR195" s="27"/>
      <c r="BS195" s="28"/>
      <c r="BT195" s="27"/>
      <c r="BU195" s="29" t="s">
        <v>15</v>
      </c>
      <c r="BV195" s="27"/>
      <c r="BW195" s="27"/>
      <c r="BX195" s="25">
        <v>17</v>
      </c>
      <c r="BY195" s="33"/>
      <c r="BZ195" s="33"/>
      <c r="CA195" s="33"/>
      <c r="CB195" s="33"/>
      <c r="CC195" s="33"/>
      <c r="CD195" s="33"/>
      <c r="CE195" s="33"/>
      <c r="CF195" s="33"/>
      <c r="CG195" s="33"/>
      <c r="CH195" s="33"/>
      <c r="CI195" s="33"/>
      <c r="CJ195" s="33"/>
      <c r="CK195" s="33"/>
      <c r="CL195" s="33"/>
      <c r="CM195" s="33"/>
      <c r="CN195" s="33"/>
      <c r="CO195" s="33"/>
      <c r="CP195" s="33"/>
    </row>
    <row r="196" spans="1:94" s="48" customFormat="1" x14ac:dyDescent="0.25">
      <c r="A196" s="25" t="s">
        <v>146</v>
      </c>
      <c r="B196" s="25" t="s">
        <v>302</v>
      </c>
      <c r="C196" s="25" t="s">
        <v>541</v>
      </c>
      <c r="D196" s="25">
        <v>183</v>
      </c>
      <c r="E196" s="35" cm="1">
        <f t="array" ref="E196">IFERROR(INDEX($J$5:$AVX$5, _xlfn.AGGREGATE(15,6, COLUMN(J196:AVX196)-COLUMN(J196)+1 / (J196:AVX196="T"), F196)), "")</f>
        <v>46005</v>
      </c>
      <c r="F196" s="76">
        <f t="shared" si="23"/>
        <v>2</v>
      </c>
      <c r="G196" s="35" cm="1">
        <f t="array" ref="G196">IFERROR(INDEX($J$5:$AVW$5,_xlfn.AGGREGATE(14,6,(COLUMN($J196:$AVW196)-COLUMN($J196)+1)/($J196:$AVW196="T"),1)),"")</f>
        <v>46005</v>
      </c>
      <c r="H196" s="79">
        <f t="shared" si="24"/>
        <v>2</v>
      </c>
      <c r="I196" s="38" t="s">
        <v>10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25" t="s">
        <v>12</v>
      </c>
      <c r="Y196" s="27"/>
      <c r="Z196" s="27"/>
      <c r="AA196" s="27"/>
      <c r="AB196" s="28"/>
      <c r="AC196" s="27"/>
      <c r="AD196" s="27"/>
      <c r="AE196" s="29" t="s">
        <v>16</v>
      </c>
      <c r="AF196" s="30" t="s">
        <v>13</v>
      </c>
      <c r="AG196" s="27"/>
      <c r="AH196" s="27"/>
      <c r="AI196" s="28"/>
      <c r="AJ196" s="27"/>
      <c r="AK196" s="27"/>
      <c r="AL196" s="29" t="s">
        <v>14</v>
      </c>
      <c r="AM196" s="30" t="s">
        <v>11</v>
      </c>
      <c r="AN196" s="37"/>
      <c r="AO196" s="27"/>
      <c r="AP196" s="28"/>
      <c r="AQ196" s="27"/>
      <c r="AR196" s="29" t="s">
        <v>15</v>
      </c>
      <c r="AS196" s="27"/>
      <c r="AT196" s="27"/>
      <c r="AU196" s="25">
        <v>17</v>
      </c>
      <c r="AV196" s="33"/>
      <c r="AW196" s="33"/>
      <c r="AX196" s="33"/>
      <c r="AY196" s="33"/>
      <c r="AZ196" s="33"/>
      <c r="BA196" s="25" t="s">
        <v>12</v>
      </c>
      <c r="BB196" s="27"/>
      <c r="BC196" s="27"/>
      <c r="BD196" s="27"/>
      <c r="BE196" s="28"/>
      <c r="BF196" s="27"/>
      <c r="BG196" s="27"/>
      <c r="BH196" s="29" t="s">
        <v>16</v>
      </c>
      <c r="BI196" s="30" t="s">
        <v>13</v>
      </c>
      <c r="BJ196" s="27"/>
      <c r="BK196" s="27"/>
      <c r="BL196" s="28"/>
      <c r="BM196" s="27"/>
      <c r="BN196" s="27"/>
      <c r="BO196" s="32" t="s">
        <v>14</v>
      </c>
      <c r="BP196" s="30" t="s">
        <v>11</v>
      </c>
      <c r="BQ196" s="27"/>
      <c r="BR196" s="27"/>
      <c r="BS196" s="28"/>
      <c r="BT196" s="27"/>
      <c r="BU196" s="29" t="s">
        <v>15</v>
      </c>
      <c r="BV196" s="27"/>
      <c r="BW196" s="27"/>
      <c r="BX196" s="25">
        <v>17</v>
      </c>
      <c r="BY196" s="33"/>
      <c r="BZ196" s="33"/>
      <c r="CA196" s="33"/>
      <c r="CB196" s="33"/>
      <c r="CC196" s="33"/>
      <c r="CD196" s="33"/>
      <c r="CE196" s="33"/>
      <c r="CF196" s="33"/>
      <c r="CG196" s="33"/>
      <c r="CH196" s="33"/>
      <c r="CI196" s="33"/>
      <c r="CJ196" s="33"/>
      <c r="CK196" s="33"/>
      <c r="CL196" s="33"/>
      <c r="CM196" s="33"/>
      <c r="CN196" s="33"/>
      <c r="CO196" s="33"/>
      <c r="CP196" s="33"/>
    </row>
    <row r="197" spans="1:94" s="48" customFormat="1" x14ac:dyDescent="0.25">
      <c r="A197" s="25" t="s">
        <v>146</v>
      </c>
      <c r="B197" s="25" t="s">
        <v>303</v>
      </c>
      <c r="C197" s="25" t="s">
        <v>542</v>
      </c>
      <c r="D197" s="25">
        <v>184</v>
      </c>
      <c r="E197" s="35" cm="1">
        <f t="array" ref="E197">IFERROR(INDEX($J$5:$AVX$5, _xlfn.AGGREGATE(15,6, COLUMN(J197:AVX197)-COLUMN(J197)+1 / (J197:AVX197="T"), F197)), "")</f>
        <v>46005</v>
      </c>
      <c r="F197" s="76">
        <f t="shared" si="23"/>
        <v>2</v>
      </c>
      <c r="G197" s="35" cm="1">
        <f t="array" ref="G197">IFERROR(INDEX($J$5:$AVW$5,_xlfn.AGGREGATE(14,6,(COLUMN($J197:$AVW197)-COLUMN($J197)+1)/($J197:$AVW197="T"),1)),"")</f>
        <v>46005</v>
      </c>
      <c r="H197" s="79">
        <f t="shared" si="24"/>
        <v>2</v>
      </c>
      <c r="I197" s="38" t="s">
        <v>10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25" t="s">
        <v>12</v>
      </c>
      <c r="Y197" s="27"/>
      <c r="Z197" s="27"/>
      <c r="AA197" s="27"/>
      <c r="AB197" s="28"/>
      <c r="AC197" s="27"/>
      <c r="AD197" s="27"/>
      <c r="AE197" s="29" t="s">
        <v>16</v>
      </c>
      <c r="AF197" s="30" t="s">
        <v>13</v>
      </c>
      <c r="AG197" s="27"/>
      <c r="AH197" s="27"/>
      <c r="AI197" s="28"/>
      <c r="AJ197" s="27"/>
      <c r="AK197" s="27"/>
      <c r="AL197" s="29" t="s">
        <v>14</v>
      </c>
      <c r="AM197" s="30" t="s">
        <v>11</v>
      </c>
      <c r="AN197" s="37"/>
      <c r="AO197" s="27"/>
      <c r="AP197" s="28"/>
      <c r="AQ197" s="27"/>
      <c r="AR197" s="29" t="s">
        <v>15</v>
      </c>
      <c r="AS197" s="27"/>
      <c r="AT197" s="27"/>
      <c r="AU197" s="25">
        <v>17</v>
      </c>
      <c r="AV197" s="33"/>
      <c r="AW197" s="33"/>
      <c r="AX197" s="33"/>
      <c r="AY197" s="33"/>
      <c r="AZ197" s="33"/>
      <c r="BA197" s="25" t="s">
        <v>12</v>
      </c>
      <c r="BB197" s="27"/>
      <c r="BC197" s="27"/>
      <c r="BD197" s="27"/>
      <c r="BE197" s="28"/>
      <c r="BF197" s="27"/>
      <c r="BG197" s="27"/>
      <c r="BH197" s="29" t="s">
        <v>16</v>
      </c>
      <c r="BI197" s="30" t="s">
        <v>13</v>
      </c>
      <c r="BJ197" s="27"/>
      <c r="BK197" s="27"/>
      <c r="BL197" s="28"/>
      <c r="BM197" s="27"/>
      <c r="BN197" s="27"/>
      <c r="BO197" s="32" t="s">
        <v>14</v>
      </c>
      <c r="BP197" s="30" t="s">
        <v>11</v>
      </c>
      <c r="BQ197" s="27"/>
      <c r="BR197" s="27"/>
      <c r="BS197" s="28"/>
      <c r="BT197" s="27"/>
      <c r="BU197" s="29" t="s">
        <v>15</v>
      </c>
      <c r="BV197" s="27"/>
      <c r="BW197" s="27"/>
      <c r="BX197" s="25">
        <v>17</v>
      </c>
      <c r="BY197" s="33"/>
      <c r="BZ197" s="33"/>
      <c r="CA197" s="33"/>
      <c r="CB197" s="33"/>
      <c r="CC197" s="33"/>
      <c r="CD197" s="33"/>
      <c r="CE197" s="33"/>
      <c r="CF197" s="33"/>
      <c r="CG197" s="33"/>
      <c r="CH197" s="33"/>
      <c r="CI197" s="33"/>
      <c r="CJ197" s="33"/>
      <c r="CK197" s="33"/>
      <c r="CL197" s="33"/>
      <c r="CM197" s="33"/>
      <c r="CN197" s="33"/>
      <c r="CO197" s="33"/>
      <c r="CP197" s="33"/>
    </row>
    <row r="198" spans="1:94" s="48" customFormat="1" x14ac:dyDescent="0.25">
      <c r="A198" s="25" t="s">
        <v>146</v>
      </c>
      <c r="B198" s="25" t="s">
        <v>304</v>
      </c>
      <c r="C198" s="25" t="s">
        <v>543</v>
      </c>
      <c r="D198" s="25">
        <v>185</v>
      </c>
      <c r="E198" s="35" cm="1">
        <f t="array" ref="E198">IFERROR(INDEX($J$5:$AVX$5, _xlfn.AGGREGATE(15,6, COLUMN(J198:AVX198)-COLUMN(J198)+1 / (J198:AVX198="T"), F198)), "")</f>
        <v>46005</v>
      </c>
      <c r="F198" s="76">
        <f t="shared" si="23"/>
        <v>2</v>
      </c>
      <c r="G198" s="35" cm="1">
        <f t="array" ref="G198">IFERROR(INDEX($J$5:$AVW$5,_xlfn.AGGREGATE(14,6,(COLUMN($J198:$AVW198)-COLUMN($J198)+1)/($J198:$AVW198="T"),1)),"")</f>
        <v>46005</v>
      </c>
      <c r="H198" s="79">
        <f t="shared" si="24"/>
        <v>2</v>
      </c>
      <c r="I198" s="38" t="s">
        <v>10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25" t="s">
        <v>12</v>
      </c>
      <c r="Y198" s="27"/>
      <c r="Z198" s="27"/>
      <c r="AA198" s="27"/>
      <c r="AB198" s="28"/>
      <c r="AC198" s="27"/>
      <c r="AD198" s="27"/>
      <c r="AE198" s="29" t="s">
        <v>16</v>
      </c>
      <c r="AF198" s="30" t="s">
        <v>13</v>
      </c>
      <c r="AG198" s="27"/>
      <c r="AH198" s="27"/>
      <c r="AI198" s="28"/>
      <c r="AJ198" s="27"/>
      <c r="AK198" s="27"/>
      <c r="AL198" s="29" t="s">
        <v>14</v>
      </c>
      <c r="AM198" s="30" t="s">
        <v>11</v>
      </c>
      <c r="AN198" s="37"/>
      <c r="AO198" s="27"/>
      <c r="AP198" s="28"/>
      <c r="AQ198" s="27"/>
      <c r="AR198" s="29" t="s">
        <v>15</v>
      </c>
      <c r="AS198" s="27"/>
      <c r="AT198" s="27"/>
      <c r="AU198" s="25">
        <v>17</v>
      </c>
      <c r="AV198" s="33"/>
      <c r="AW198" s="33"/>
      <c r="AX198" s="33"/>
      <c r="AY198" s="33"/>
      <c r="AZ198" s="33"/>
      <c r="BA198" s="25" t="s">
        <v>12</v>
      </c>
      <c r="BB198" s="27"/>
      <c r="BC198" s="27"/>
      <c r="BD198" s="27"/>
      <c r="BE198" s="28"/>
      <c r="BF198" s="27"/>
      <c r="BG198" s="27"/>
      <c r="BH198" s="29" t="s">
        <v>16</v>
      </c>
      <c r="BI198" s="30" t="s">
        <v>13</v>
      </c>
      <c r="BJ198" s="27"/>
      <c r="BK198" s="27"/>
      <c r="BL198" s="28"/>
      <c r="BM198" s="27"/>
      <c r="BN198" s="27"/>
      <c r="BO198" s="32" t="s">
        <v>14</v>
      </c>
      <c r="BP198" s="30" t="s">
        <v>11</v>
      </c>
      <c r="BQ198" s="27"/>
      <c r="BR198" s="27"/>
      <c r="BS198" s="28"/>
      <c r="BT198" s="27"/>
      <c r="BU198" s="29" t="s">
        <v>15</v>
      </c>
      <c r="BV198" s="27"/>
      <c r="BW198" s="27"/>
      <c r="BX198" s="25">
        <v>17</v>
      </c>
      <c r="BY198" s="33"/>
      <c r="BZ198" s="33"/>
      <c r="CA198" s="33"/>
      <c r="CB198" s="33"/>
      <c r="CC198" s="33"/>
      <c r="CD198" s="33"/>
      <c r="CE198" s="33"/>
      <c r="CF198" s="33"/>
      <c r="CG198" s="33"/>
      <c r="CH198" s="33"/>
      <c r="CI198" s="33"/>
      <c r="CJ198" s="33"/>
      <c r="CK198" s="33"/>
      <c r="CL198" s="33"/>
      <c r="CM198" s="33"/>
      <c r="CN198" s="33"/>
      <c r="CO198" s="33"/>
      <c r="CP198" s="33"/>
    </row>
    <row r="199" spans="1:94" x14ac:dyDescent="0.25">
      <c r="A199" s="25" t="s">
        <v>146</v>
      </c>
      <c r="B199" s="25" t="s">
        <v>305</v>
      </c>
      <c r="C199" s="25" t="s">
        <v>544</v>
      </c>
      <c r="D199" s="25">
        <v>186</v>
      </c>
      <c r="E199" s="35" cm="1">
        <f t="array" ref="E199">IFERROR(INDEX($J$5:$AVX$5, _xlfn.AGGREGATE(15,6, COLUMN(J199:AVX199)-COLUMN(J199)+1 / (J199:AVX199="T"), F199)), "")</f>
        <v>46005</v>
      </c>
      <c r="F199" s="76">
        <f t="shared" si="23"/>
        <v>2</v>
      </c>
      <c r="G199" s="35" cm="1">
        <f t="array" ref="G199">IFERROR(INDEX($J$5:$AVW$5,_xlfn.AGGREGATE(14,6,(COLUMN($J199:$AVW199)-COLUMN($J199)+1)/($J199:$AVW199="T"),1)),"")</f>
        <v>46005</v>
      </c>
      <c r="H199" s="79">
        <f t="shared" si="24"/>
        <v>2</v>
      </c>
      <c r="I199" s="38" t="s">
        <v>10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25" t="s">
        <v>12</v>
      </c>
      <c r="Y199" s="27"/>
      <c r="Z199" s="27"/>
      <c r="AA199" s="27"/>
      <c r="AB199" s="28"/>
      <c r="AC199" s="27"/>
      <c r="AD199" s="27"/>
      <c r="AE199" s="29" t="s">
        <v>16</v>
      </c>
      <c r="AF199" s="30" t="s">
        <v>13</v>
      </c>
      <c r="AG199" s="27"/>
      <c r="AH199" s="27"/>
      <c r="AI199" s="28"/>
      <c r="AJ199" s="27"/>
      <c r="AK199" s="27"/>
      <c r="AL199" s="29" t="s">
        <v>14</v>
      </c>
      <c r="AM199" s="30" t="s">
        <v>11</v>
      </c>
      <c r="AN199" s="37"/>
      <c r="AO199" s="27"/>
      <c r="AP199" s="28"/>
      <c r="AQ199" s="27"/>
      <c r="AR199" s="29" t="s">
        <v>15</v>
      </c>
      <c r="AS199" s="27"/>
      <c r="AT199" s="27"/>
      <c r="AU199" s="25">
        <v>17</v>
      </c>
      <c r="AV199" s="33"/>
      <c r="AW199" s="33"/>
      <c r="AX199" s="33"/>
      <c r="AY199" s="33"/>
      <c r="AZ199" s="33"/>
      <c r="BA199" s="25" t="s">
        <v>12</v>
      </c>
      <c r="BB199" s="27"/>
      <c r="BC199" s="27"/>
      <c r="BD199" s="27"/>
      <c r="BE199" s="28"/>
      <c r="BF199" s="27"/>
      <c r="BG199" s="27"/>
      <c r="BH199" s="29" t="s">
        <v>16</v>
      </c>
      <c r="BI199" s="30" t="s">
        <v>13</v>
      </c>
      <c r="BJ199" s="27"/>
      <c r="BK199" s="27"/>
      <c r="BL199" s="28"/>
      <c r="BM199" s="27"/>
      <c r="BN199" s="27"/>
      <c r="BO199" s="32" t="s">
        <v>14</v>
      </c>
      <c r="BP199" s="30" t="s">
        <v>11</v>
      </c>
      <c r="BQ199" s="27"/>
      <c r="BR199" s="27"/>
      <c r="BS199" s="28"/>
      <c r="BT199" s="27"/>
      <c r="BU199" s="29" t="s">
        <v>15</v>
      </c>
      <c r="BV199" s="27"/>
      <c r="BW199" s="27"/>
      <c r="BX199" s="25">
        <v>17</v>
      </c>
      <c r="BY199" s="33"/>
      <c r="BZ199" s="33"/>
      <c r="CA199" s="33"/>
      <c r="CB199" s="33"/>
      <c r="CC199" s="33"/>
      <c r="CD199" s="33"/>
      <c r="CE199" s="33"/>
      <c r="CF199" s="33"/>
      <c r="CG199" s="33"/>
      <c r="CH199" s="33"/>
      <c r="CI199" s="33"/>
      <c r="CJ199" s="33"/>
      <c r="CK199" s="33"/>
      <c r="CL199" s="33"/>
      <c r="CM199" s="33"/>
      <c r="CN199" s="33"/>
      <c r="CO199" s="33"/>
      <c r="CP199" s="33"/>
    </row>
    <row r="200" spans="1:94" x14ac:dyDescent="0.25">
      <c r="A200" s="25" t="s">
        <v>146</v>
      </c>
      <c r="B200" s="25" t="s">
        <v>306</v>
      </c>
      <c r="C200" s="25" t="s">
        <v>545</v>
      </c>
      <c r="D200" s="25">
        <v>187</v>
      </c>
      <c r="E200" s="35" cm="1">
        <f t="array" ref="E200">IFERROR(INDEX($J$5:$AVX$5, _xlfn.AGGREGATE(15,6, COLUMN(J200:AVX200)-COLUMN(J200)+1 / (J200:AVX200="T"), F200)), "")</f>
        <v>46004</v>
      </c>
      <c r="F200" s="76">
        <f t="shared" si="23"/>
        <v>2</v>
      </c>
      <c r="G200" s="35" cm="1">
        <f t="array" ref="G200">IFERROR(INDEX($J$5:$AVW$5,_xlfn.AGGREGATE(14,6,(COLUMN($J200:$AVW200)-COLUMN($J200)+1)/($J200:$AVW200="T"),1)),"")</f>
        <v>46004</v>
      </c>
      <c r="H200" s="79">
        <f t="shared" si="24"/>
        <v>2</v>
      </c>
      <c r="I200" s="38" t="s">
        <v>10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25" t="s">
        <v>12</v>
      </c>
      <c r="X200" s="27"/>
      <c r="Y200" s="27"/>
      <c r="Z200" s="27"/>
      <c r="AA200" s="28"/>
      <c r="AB200" s="27"/>
      <c r="AC200" s="27"/>
      <c r="AD200" s="29" t="s">
        <v>16</v>
      </c>
      <c r="AE200" s="30" t="s">
        <v>13</v>
      </c>
      <c r="AF200" s="27"/>
      <c r="AG200" s="27"/>
      <c r="AH200" s="28"/>
      <c r="AI200" s="27"/>
      <c r="AJ200" s="27"/>
      <c r="AK200" s="32" t="s">
        <v>14</v>
      </c>
      <c r="AL200" s="30" t="s">
        <v>11</v>
      </c>
      <c r="AM200" s="27"/>
      <c r="AN200" s="27"/>
      <c r="AO200" s="28"/>
      <c r="AP200" s="27"/>
      <c r="AQ200" s="29" t="s">
        <v>15</v>
      </c>
      <c r="AR200" s="27"/>
      <c r="AS200" s="27"/>
      <c r="AT200" s="25">
        <v>17</v>
      </c>
      <c r="AU200" s="33"/>
      <c r="AV200" s="33"/>
      <c r="AW200" s="33"/>
      <c r="AX200" s="33"/>
      <c r="AY200" s="33"/>
      <c r="AZ200" s="25" t="s">
        <v>12</v>
      </c>
      <c r="BA200" s="27"/>
      <c r="BB200" s="27"/>
      <c r="BC200" s="27"/>
      <c r="BD200" s="28"/>
      <c r="BE200" s="27"/>
      <c r="BF200" s="27"/>
      <c r="BG200" s="29" t="s">
        <v>16</v>
      </c>
      <c r="BH200" s="30" t="s">
        <v>13</v>
      </c>
      <c r="BI200" s="27"/>
      <c r="BJ200" s="27"/>
      <c r="BK200" s="28"/>
      <c r="BL200" s="27"/>
      <c r="BM200" s="27"/>
      <c r="BN200" s="32" t="s">
        <v>14</v>
      </c>
      <c r="BO200" s="30" t="s">
        <v>11</v>
      </c>
      <c r="BP200" s="27"/>
      <c r="BQ200" s="27"/>
      <c r="BR200" s="28"/>
      <c r="BS200" s="27"/>
      <c r="BT200" s="29" t="s">
        <v>15</v>
      </c>
      <c r="BU200" s="27"/>
      <c r="BV200" s="27"/>
      <c r="BW200" s="25">
        <v>17</v>
      </c>
      <c r="BX200" s="33"/>
      <c r="BY200" s="33"/>
      <c r="BZ200" s="33"/>
      <c r="CA200" s="33"/>
      <c r="CB200" s="33"/>
      <c r="CC200" s="33"/>
      <c r="CD200" s="33"/>
      <c r="CE200" s="33"/>
      <c r="CF200" s="33"/>
      <c r="CG200" s="33"/>
      <c r="CH200" s="33"/>
      <c r="CI200" s="33"/>
      <c r="CJ200" s="33"/>
      <c r="CK200" s="33"/>
      <c r="CL200" s="33"/>
      <c r="CM200" s="33"/>
      <c r="CN200" s="33"/>
      <c r="CO200" s="33"/>
      <c r="CP200" s="33"/>
    </row>
    <row r="201" spans="1:94" x14ac:dyDescent="0.25">
      <c r="A201" s="25" t="s">
        <v>146</v>
      </c>
      <c r="B201" s="25" t="s">
        <v>307</v>
      </c>
      <c r="C201" s="25" t="s">
        <v>546</v>
      </c>
      <c r="D201" s="25">
        <v>188</v>
      </c>
      <c r="E201" s="35" cm="1">
        <f t="array" ref="E201">IFERROR(INDEX($J$5:$AVX$5, _xlfn.AGGREGATE(15,6, COLUMN(J201:AVX201)-COLUMN(J201)+1 / (J201:AVX201="T"), F201)), "")</f>
        <v>46004</v>
      </c>
      <c r="F201" s="76">
        <f t="shared" si="23"/>
        <v>2</v>
      </c>
      <c r="G201" s="35" cm="1">
        <f t="array" ref="G201">IFERROR(INDEX($J$5:$AVW$5,_xlfn.AGGREGATE(14,6,(COLUMN($J201:$AVW201)-COLUMN($J201)+1)/($J201:$AVW201="T"),1)),"")</f>
        <v>46004</v>
      </c>
      <c r="H201" s="79">
        <f t="shared" si="24"/>
        <v>2</v>
      </c>
      <c r="I201" s="38" t="s">
        <v>10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25" t="s">
        <v>12</v>
      </c>
      <c r="X201" s="27"/>
      <c r="Y201" s="27"/>
      <c r="Z201" s="27"/>
      <c r="AA201" s="28"/>
      <c r="AB201" s="27"/>
      <c r="AC201" s="27"/>
      <c r="AD201" s="29" t="s">
        <v>16</v>
      </c>
      <c r="AE201" s="30" t="s">
        <v>13</v>
      </c>
      <c r="AF201" s="27"/>
      <c r="AG201" s="27"/>
      <c r="AH201" s="28"/>
      <c r="AI201" s="27"/>
      <c r="AJ201" s="27"/>
      <c r="AK201" s="29" t="s">
        <v>14</v>
      </c>
      <c r="AL201" s="30" t="s">
        <v>11</v>
      </c>
      <c r="AM201" s="37"/>
      <c r="AN201" s="27"/>
      <c r="AO201" s="28"/>
      <c r="AP201" s="27"/>
      <c r="AQ201" s="29" t="s">
        <v>15</v>
      </c>
      <c r="AR201" s="27"/>
      <c r="AS201" s="27"/>
      <c r="AT201" s="25">
        <v>17</v>
      </c>
      <c r="AU201" s="33"/>
      <c r="AV201" s="33"/>
      <c r="AW201" s="33"/>
      <c r="AX201" s="33"/>
      <c r="AY201" s="33"/>
      <c r="AZ201" s="25" t="s">
        <v>12</v>
      </c>
      <c r="BA201" s="27"/>
      <c r="BB201" s="27"/>
      <c r="BC201" s="27"/>
      <c r="BD201" s="28"/>
      <c r="BE201" s="27"/>
      <c r="BF201" s="27"/>
      <c r="BG201" s="29" t="s">
        <v>16</v>
      </c>
      <c r="BH201" s="30" t="s">
        <v>13</v>
      </c>
      <c r="BI201" s="27"/>
      <c r="BJ201" s="27"/>
      <c r="BK201" s="28"/>
      <c r="BL201" s="27"/>
      <c r="BM201" s="27"/>
      <c r="BN201" s="32" t="s">
        <v>14</v>
      </c>
      <c r="BO201" s="30" t="s">
        <v>11</v>
      </c>
      <c r="BP201" s="27"/>
      <c r="BQ201" s="27"/>
      <c r="BR201" s="28"/>
      <c r="BS201" s="27"/>
      <c r="BT201" s="29" t="s">
        <v>15</v>
      </c>
      <c r="BU201" s="27"/>
      <c r="BV201" s="27"/>
      <c r="BW201" s="25">
        <v>17</v>
      </c>
      <c r="BX201" s="33"/>
      <c r="BY201" s="33"/>
      <c r="BZ201" s="33"/>
      <c r="CA201" s="33"/>
      <c r="CB201" s="33"/>
      <c r="CC201" s="33"/>
      <c r="CD201" s="33"/>
      <c r="CE201" s="33"/>
      <c r="CF201" s="33"/>
      <c r="CG201" s="33"/>
      <c r="CH201" s="33"/>
      <c r="CI201" s="33"/>
      <c r="CJ201" s="33"/>
      <c r="CK201" s="33"/>
      <c r="CL201" s="33"/>
      <c r="CM201" s="33"/>
      <c r="CN201" s="33"/>
      <c r="CO201" s="33"/>
      <c r="CP201" s="33"/>
    </row>
    <row r="202" spans="1:94" x14ac:dyDescent="0.25">
      <c r="A202" s="25" t="s">
        <v>146</v>
      </c>
      <c r="B202" s="25" t="s">
        <v>308</v>
      </c>
      <c r="C202" s="25" t="s">
        <v>547</v>
      </c>
      <c r="D202" s="25">
        <v>189</v>
      </c>
      <c r="E202" s="35" cm="1">
        <f t="array" ref="E202">IFERROR(INDEX($J$5:$AVX$5, _xlfn.AGGREGATE(15,6, COLUMN(J202:AVX202)-COLUMN(J202)+1 / (J202:AVX202="T"), F202)), "")</f>
        <v>46004</v>
      </c>
      <c r="F202" s="76">
        <f t="shared" si="23"/>
        <v>2</v>
      </c>
      <c r="G202" s="35" cm="1">
        <f t="array" ref="G202">IFERROR(INDEX($J$5:$AVW$5,_xlfn.AGGREGATE(14,6,(COLUMN($J202:$AVW202)-COLUMN($J202)+1)/($J202:$AVW202="T"),1)),"")</f>
        <v>46004</v>
      </c>
      <c r="H202" s="79">
        <f t="shared" si="24"/>
        <v>2</v>
      </c>
      <c r="I202" s="38" t="s">
        <v>10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25" t="s">
        <v>12</v>
      </c>
      <c r="X202" s="27"/>
      <c r="Y202" s="27"/>
      <c r="Z202" s="27"/>
      <c r="AA202" s="28"/>
      <c r="AB202" s="27"/>
      <c r="AC202" s="27"/>
      <c r="AD202" s="29" t="s">
        <v>16</v>
      </c>
      <c r="AE202" s="30" t="s">
        <v>13</v>
      </c>
      <c r="AF202" s="27"/>
      <c r="AG202" s="27"/>
      <c r="AH202" s="28"/>
      <c r="AI202" s="27"/>
      <c r="AJ202" s="27"/>
      <c r="AK202" s="29" t="s">
        <v>14</v>
      </c>
      <c r="AL202" s="30" t="s">
        <v>11</v>
      </c>
      <c r="AM202" s="37"/>
      <c r="AN202" s="27"/>
      <c r="AO202" s="28"/>
      <c r="AP202" s="27"/>
      <c r="AQ202" s="29" t="s">
        <v>15</v>
      </c>
      <c r="AR202" s="27"/>
      <c r="AS202" s="27"/>
      <c r="AT202" s="25">
        <v>17</v>
      </c>
      <c r="AU202" s="33"/>
      <c r="AV202" s="33"/>
      <c r="AW202" s="33"/>
      <c r="AX202" s="33"/>
      <c r="AY202" s="33"/>
      <c r="AZ202" s="25" t="s">
        <v>12</v>
      </c>
      <c r="BA202" s="27"/>
      <c r="BB202" s="27"/>
      <c r="BC202" s="27"/>
      <c r="BD202" s="28"/>
      <c r="BE202" s="27"/>
      <c r="BF202" s="27"/>
      <c r="BG202" s="29" t="s">
        <v>16</v>
      </c>
      <c r="BH202" s="30" t="s">
        <v>13</v>
      </c>
      <c r="BI202" s="27"/>
      <c r="BJ202" s="27"/>
      <c r="BK202" s="28"/>
      <c r="BL202" s="27"/>
      <c r="BM202" s="27"/>
      <c r="BN202" s="32" t="s">
        <v>14</v>
      </c>
      <c r="BO202" s="30" t="s">
        <v>11</v>
      </c>
      <c r="BP202" s="27"/>
      <c r="BQ202" s="27"/>
      <c r="BR202" s="28"/>
      <c r="BS202" s="27"/>
      <c r="BT202" s="29" t="s">
        <v>15</v>
      </c>
      <c r="BU202" s="27"/>
      <c r="BV202" s="27"/>
      <c r="BW202" s="25">
        <v>17</v>
      </c>
      <c r="BX202" s="33"/>
      <c r="BY202" s="33"/>
      <c r="BZ202" s="33"/>
      <c r="CA202" s="33"/>
      <c r="CB202" s="33"/>
      <c r="CC202" s="33"/>
      <c r="CD202" s="33"/>
      <c r="CE202" s="33"/>
      <c r="CF202" s="33"/>
      <c r="CG202" s="33"/>
      <c r="CH202" s="33"/>
      <c r="CI202" s="33"/>
      <c r="CJ202" s="33"/>
      <c r="CK202" s="33"/>
      <c r="CL202" s="33"/>
      <c r="CM202" s="33"/>
      <c r="CN202" s="33"/>
      <c r="CO202" s="33"/>
      <c r="CP202" s="33"/>
    </row>
    <row r="203" spans="1:94" x14ac:dyDescent="0.25">
      <c r="A203" s="25" t="s">
        <v>146</v>
      </c>
      <c r="B203" s="25" t="s">
        <v>309</v>
      </c>
      <c r="C203" s="25" t="s">
        <v>548</v>
      </c>
      <c r="D203" s="25">
        <v>190</v>
      </c>
      <c r="E203" s="35" cm="1">
        <f t="array" ref="E203">IFERROR(INDEX($J$5:$AVX$5, _xlfn.AGGREGATE(15,6, COLUMN(J203:AVX203)-COLUMN(J203)+1 / (J203:AVX203="T"), F203)), "")</f>
        <v>46004</v>
      </c>
      <c r="F203" s="76">
        <f t="shared" si="23"/>
        <v>2</v>
      </c>
      <c r="G203" s="35" cm="1">
        <f t="array" ref="G203">IFERROR(INDEX($J$5:$AVW$5,_xlfn.AGGREGATE(14,6,(COLUMN($J203:$AVW203)-COLUMN($J203)+1)/($J203:$AVW203="T"),1)),"")</f>
        <v>46004</v>
      </c>
      <c r="H203" s="79">
        <f t="shared" si="24"/>
        <v>2</v>
      </c>
      <c r="I203" s="38" t="s">
        <v>10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25" t="s">
        <v>12</v>
      </c>
      <c r="X203" s="27"/>
      <c r="Y203" s="27"/>
      <c r="Z203" s="27"/>
      <c r="AA203" s="28"/>
      <c r="AB203" s="27"/>
      <c r="AC203" s="27"/>
      <c r="AD203" s="29" t="s">
        <v>16</v>
      </c>
      <c r="AE203" s="30" t="s">
        <v>13</v>
      </c>
      <c r="AF203" s="27"/>
      <c r="AG203" s="27"/>
      <c r="AH203" s="28"/>
      <c r="AI203" s="27"/>
      <c r="AJ203" s="27"/>
      <c r="AK203" s="29" t="s">
        <v>14</v>
      </c>
      <c r="AL203" s="30" t="s">
        <v>11</v>
      </c>
      <c r="AM203" s="37"/>
      <c r="AN203" s="27"/>
      <c r="AO203" s="28"/>
      <c r="AP203" s="27"/>
      <c r="AQ203" s="29" t="s">
        <v>15</v>
      </c>
      <c r="AR203" s="27"/>
      <c r="AS203" s="27"/>
      <c r="AT203" s="25">
        <v>17</v>
      </c>
      <c r="AU203" s="33"/>
      <c r="AV203" s="33"/>
      <c r="AW203" s="33"/>
      <c r="AX203" s="33"/>
      <c r="AY203" s="33"/>
      <c r="AZ203" s="25" t="s">
        <v>12</v>
      </c>
      <c r="BA203" s="27"/>
      <c r="BB203" s="27"/>
      <c r="BC203" s="27"/>
      <c r="BD203" s="28"/>
      <c r="BE203" s="27"/>
      <c r="BF203" s="27"/>
      <c r="BG203" s="29" t="s">
        <v>16</v>
      </c>
      <c r="BH203" s="30" t="s">
        <v>13</v>
      </c>
      <c r="BI203" s="27"/>
      <c r="BJ203" s="27"/>
      <c r="BK203" s="28"/>
      <c r="BL203" s="27"/>
      <c r="BM203" s="27"/>
      <c r="BN203" s="32" t="s">
        <v>14</v>
      </c>
      <c r="BO203" s="30" t="s">
        <v>11</v>
      </c>
      <c r="BP203" s="27"/>
      <c r="BQ203" s="27"/>
      <c r="BR203" s="28"/>
      <c r="BS203" s="27"/>
      <c r="BT203" s="29" t="s">
        <v>15</v>
      </c>
      <c r="BU203" s="27"/>
      <c r="BV203" s="27"/>
      <c r="BW203" s="25">
        <v>17</v>
      </c>
      <c r="BX203" s="33"/>
      <c r="BY203" s="33"/>
      <c r="BZ203" s="33"/>
      <c r="CA203" s="33"/>
      <c r="CB203" s="33"/>
      <c r="CC203" s="33"/>
      <c r="CD203" s="33"/>
      <c r="CE203" s="33"/>
      <c r="CF203" s="33"/>
      <c r="CG203" s="33"/>
      <c r="CH203" s="33"/>
      <c r="CI203" s="33"/>
      <c r="CJ203" s="33"/>
      <c r="CK203" s="33"/>
      <c r="CL203" s="33"/>
      <c r="CM203" s="33"/>
      <c r="CN203" s="33"/>
      <c r="CO203" s="33"/>
      <c r="CP203" s="33"/>
    </row>
    <row r="204" spans="1:94" x14ac:dyDescent="0.25">
      <c r="A204" s="25" t="s">
        <v>146</v>
      </c>
      <c r="B204" s="25" t="s">
        <v>310</v>
      </c>
      <c r="C204" s="25" t="s">
        <v>549</v>
      </c>
      <c r="D204" s="25">
        <v>191</v>
      </c>
      <c r="E204" s="35" cm="1">
        <f t="array" ref="E204">IFERROR(INDEX($J$5:$AVX$5, _xlfn.AGGREGATE(15,6, COLUMN(J204:AVX204)-COLUMN(J204)+1 / (J204:AVX204="T"), F204)), "")</f>
        <v>46004</v>
      </c>
      <c r="F204" s="76">
        <f t="shared" si="23"/>
        <v>2</v>
      </c>
      <c r="G204" s="35" cm="1">
        <f t="array" ref="G204">IFERROR(INDEX($J$5:$AVW$5,_xlfn.AGGREGATE(14,6,(COLUMN($J204:$AVW204)-COLUMN($J204)+1)/($J204:$AVW204="T"),1)),"")</f>
        <v>46004</v>
      </c>
      <c r="H204" s="79">
        <f t="shared" si="24"/>
        <v>2</v>
      </c>
      <c r="I204" s="38" t="s">
        <v>10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25" t="s">
        <v>12</v>
      </c>
      <c r="X204" s="27"/>
      <c r="Y204" s="27"/>
      <c r="Z204" s="27"/>
      <c r="AA204" s="28"/>
      <c r="AB204" s="27"/>
      <c r="AC204" s="27"/>
      <c r="AD204" s="29" t="s">
        <v>16</v>
      </c>
      <c r="AE204" s="30" t="s">
        <v>13</v>
      </c>
      <c r="AF204" s="27"/>
      <c r="AG204" s="27"/>
      <c r="AH204" s="28"/>
      <c r="AI204" s="27"/>
      <c r="AJ204" s="27"/>
      <c r="AK204" s="29" t="s">
        <v>14</v>
      </c>
      <c r="AL204" s="30" t="s">
        <v>11</v>
      </c>
      <c r="AM204" s="37"/>
      <c r="AN204" s="27"/>
      <c r="AO204" s="28"/>
      <c r="AP204" s="27"/>
      <c r="AQ204" s="29" t="s">
        <v>15</v>
      </c>
      <c r="AR204" s="27"/>
      <c r="AS204" s="27"/>
      <c r="AT204" s="25">
        <v>17</v>
      </c>
      <c r="AU204" s="33"/>
      <c r="AV204" s="33"/>
      <c r="AW204" s="33"/>
      <c r="AX204" s="33"/>
      <c r="AY204" s="33"/>
      <c r="AZ204" s="25" t="s">
        <v>12</v>
      </c>
      <c r="BA204" s="27"/>
      <c r="BB204" s="27"/>
      <c r="BC204" s="27"/>
      <c r="BD204" s="28"/>
      <c r="BE204" s="27"/>
      <c r="BF204" s="27"/>
      <c r="BG204" s="29" t="s">
        <v>16</v>
      </c>
      <c r="BH204" s="30" t="s">
        <v>13</v>
      </c>
      <c r="BI204" s="27"/>
      <c r="BJ204" s="27"/>
      <c r="BK204" s="28"/>
      <c r="BL204" s="27"/>
      <c r="BM204" s="27"/>
      <c r="BN204" s="32" t="s">
        <v>14</v>
      </c>
      <c r="BO204" s="30" t="s">
        <v>11</v>
      </c>
      <c r="BP204" s="27"/>
      <c r="BQ204" s="27"/>
      <c r="BR204" s="28"/>
      <c r="BS204" s="27"/>
      <c r="BT204" s="29" t="s">
        <v>15</v>
      </c>
      <c r="BU204" s="27"/>
      <c r="BV204" s="27"/>
      <c r="BW204" s="25">
        <v>17</v>
      </c>
      <c r="BX204" s="33"/>
      <c r="BY204" s="33"/>
      <c r="BZ204" s="33"/>
      <c r="CA204" s="33"/>
      <c r="CB204" s="33"/>
      <c r="CC204" s="33"/>
      <c r="CD204" s="33"/>
      <c r="CE204" s="33"/>
      <c r="CF204" s="33"/>
      <c r="CG204" s="33"/>
      <c r="CH204" s="33"/>
      <c r="CI204" s="33"/>
      <c r="CJ204" s="33"/>
      <c r="CK204" s="33"/>
      <c r="CL204" s="33"/>
      <c r="CM204" s="33"/>
      <c r="CN204" s="33"/>
      <c r="CO204" s="33"/>
      <c r="CP204" s="33"/>
    </row>
    <row r="205" spans="1:94" x14ac:dyDescent="0.25">
      <c r="A205" s="25" t="s">
        <v>146</v>
      </c>
      <c r="B205" s="25" t="s">
        <v>311</v>
      </c>
      <c r="C205" s="25" t="s">
        <v>550</v>
      </c>
      <c r="D205" s="25">
        <v>192</v>
      </c>
      <c r="E205" s="35" cm="1">
        <f t="array" ref="E205">IFERROR(INDEX($J$5:$AVX$5, _xlfn.AGGREGATE(15,6, COLUMN(J205:AVX205)-COLUMN(J205)+1 / (J205:AVX205="T"), F205)), "")</f>
        <v>46004</v>
      </c>
      <c r="F205" s="76">
        <f t="shared" si="23"/>
        <v>2</v>
      </c>
      <c r="G205" s="35" cm="1">
        <f t="array" ref="G205">IFERROR(INDEX($J$5:$AVW$5,_xlfn.AGGREGATE(14,6,(COLUMN($J205:$AVW205)-COLUMN($J205)+1)/($J205:$AVW205="T"),1)),"")</f>
        <v>46004</v>
      </c>
      <c r="H205" s="79">
        <f t="shared" si="24"/>
        <v>2</v>
      </c>
      <c r="I205" s="38" t="s">
        <v>10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25" t="s">
        <v>12</v>
      </c>
      <c r="X205" s="27"/>
      <c r="Y205" s="27"/>
      <c r="Z205" s="27"/>
      <c r="AA205" s="28"/>
      <c r="AB205" s="27"/>
      <c r="AC205" s="27"/>
      <c r="AD205" s="29" t="s">
        <v>16</v>
      </c>
      <c r="AE205" s="30" t="s">
        <v>13</v>
      </c>
      <c r="AF205" s="27"/>
      <c r="AG205" s="27"/>
      <c r="AH205" s="28"/>
      <c r="AI205" s="27"/>
      <c r="AJ205" s="27"/>
      <c r="AK205" s="29" t="s">
        <v>14</v>
      </c>
      <c r="AL205" s="30" t="s">
        <v>11</v>
      </c>
      <c r="AM205" s="37"/>
      <c r="AN205" s="27"/>
      <c r="AO205" s="28"/>
      <c r="AP205" s="27"/>
      <c r="AQ205" s="29" t="s">
        <v>15</v>
      </c>
      <c r="AR205" s="27"/>
      <c r="AS205" s="27"/>
      <c r="AT205" s="25">
        <v>17</v>
      </c>
      <c r="AU205" s="33"/>
      <c r="AV205" s="33"/>
      <c r="AW205" s="33"/>
      <c r="AX205" s="33"/>
      <c r="AY205" s="33"/>
      <c r="AZ205" s="25" t="s">
        <v>12</v>
      </c>
      <c r="BA205" s="27"/>
      <c r="BB205" s="27"/>
      <c r="BC205" s="27"/>
      <c r="BD205" s="28"/>
      <c r="BE205" s="27"/>
      <c r="BF205" s="27"/>
      <c r="BG205" s="29" t="s">
        <v>16</v>
      </c>
      <c r="BH205" s="30" t="s">
        <v>13</v>
      </c>
      <c r="BI205" s="27"/>
      <c r="BJ205" s="27"/>
      <c r="BK205" s="28"/>
      <c r="BL205" s="27"/>
      <c r="BM205" s="27"/>
      <c r="BN205" s="32" t="s">
        <v>14</v>
      </c>
      <c r="BO205" s="30" t="s">
        <v>11</v>
      </c>
      <c r="BP205" s="27"/>
      <c r="BQ205" s="27"/>
      <c r="BR205" s="28"/>
      <c r="BS205" s="27"/>
      <c r="BT205" s="29" t="s">
        <v>15</v>
      </c>
      <c r="BU205" s="27"/>
      <c r="BV205" s="27"/>
      <c r="BW205" s="25">
        <v>17</v>
      </c>
      <c r="BX205" s="33"/>
      <c r="BY205" s="33"/>
      <c r="BZ205" s="33"/>
      <c r="CA205" s="33"/>
      <c r="CB205" s="33"/>
      <c r="CC205" s="33"/>
      <c r="CD205" s="33"/>
      <c r="CE205" s="33"/>
      <c r="CF205" s="33"/>
      <c r="CG205" s="33"/>
      <c r="CH205" s="33"/>
      <c r="CI205" s="33"/>
      <c r="CJ205" s="33"/>
      <c r="CK205" s="33"/>
      <c r="CL205" s="33"/>
      <c r="CM205" s="33"/>
      <c r="CN205" s="33"/>
      <c r="CO205" s="33"/>
      <c r="CP205" s="33"/>
    </row>
    <row r="206" spans="1:94" x14ac:dyDescent="0.25">
      <c r="A206" s="25" t="s">
        <v>146</v>
      </c>
      <c r="B206" s="25" t="s">
        <v>312</v>
      </c>
      <c r="C206" s="25" t="s">
        <v>551</v>
      </c>
      <c r="D206" s="25">
        <v>193</v>
      </c>
      <c r="E206" s="35" cm="1">
        <f t="array" ref="E206">IFERROR(INDEX($J$5:$AVX$5, _xlfn.AGGREGATE(15,6, COLUMN(J206:AVX206)-COLUMN(J206)+1 / (J206:AVX206="T"), F206)), "")</f>
        <v>46004</v>
      </c>
      <c r="F206" s="76">
        <f t="shared" ref="F206:F234" si="25">$A$2</f>
        <v>2</v>
      </c>
      <c r="G206" s="35" cm="1">
        <f t="array" ref="G206">IFERROR(INDEX($J$5:$AVW$5,_xlfn.AGGREGATE(14,6,(COLUMN($J206:$AVW206)-COLUMN($J206)+1)/($J206:$AVW206="T"),1)),"")</f>
        <v>46004</v>
      </c>
      <c r="H206" s="79">
        <f t="shared" ref="H206:H234" si="26">COUNTIF($J206:$AVV206,"T")</f>
        <v>2</v>
      </c>
      <c r="I206" s="38" t="s">
        <v>10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25" t="s">
        <v>12</v>
      </c>
      <c r="X206" s="27"/>
      <c r="Y206" s="27"/>
      <c r="Z206" s="27"/>
      <c r="AA206" s="28"/>
      <c r="AB206" s="27"/>
      <c r="AC206" s="27"/>
      <c r="AD206" s="29" t="s">
        <v>16</v>
      </c>
      <c r="AE206" s="30" t="s">
        <v>13</v>
      </c>
      <c r="AF206" s="27"/>
      <c r="AG206" s="27"/>
      <c r="AH206" s="28"/>
      <c r="AI206" s="27"/>
      <c r="AJ206" s="27"/>
      <c r="AK206" s="29" t="s">
        <v>14</v>
      </c>
      <c r="AL206" s="30" t="s">
        <v>11</v>
      </c>
      <c r="AM206" s="37"/>
      <c r="AN206" s="27"/>
      <c r="AO206" s="28"/>
      <c r="AP206" s="27"/>
      <c r="AQ206" s="29" t="s">
        <v>15</v>
      </c>
      <c r="AR206" s="27"/>
      <c r="AS206" s="27"/>
      <c r="AT206" s="25">
        <v>17</v>
      </c>
      <c r="AU206" s="33"/>
      <c r="AV206" s="33"/>
      <c r="AW206" s="33"/>
      <c r="AX206" s="33"/>
      <c r="AY206" s="33"/>
      <c r="AZ206" s="25" t="s">
        <v>12</v>
      </c>
      <c r="BA206" s="27"/>
      <c r="BB206" s="27"/>
      <c r="BC206" s="27"/>
      <c r="BD206" s="28"/>
      <c r="BE206" s="27"/>
      <c r="BF206" s="27"/>
      <c r="BG206" s="29" t="s">
        <v>16</v>
      </c>
      <c r="BH206" s="30" t="s">
        <v>13</v>
      </c>
      <c r="BI206" s="27"/>
      <c r="BJ206" s="27"/>
      <c r="BK206" s="28"/>
      <c r="BL206" s="27"/>
      <c r="BM206" s="27"/>
      <c r="BN206" s="32" t="s">
        <v>14</v>
      </c>
      <c r="BO206" s="30" t="s">
        <v>11</v>
      </c>
      <c r="BP206" s="27"/>
      <c r="BQ206" s="27"/>
      <c r="BR206" s="28"/>
      <c r="BS206" s="27"/>
      <c r="BT206" s="29" t="s">
        <v>15</v>
      </c>
      <c r="BU206" s="27"/>
      <c r="BV206" s="27"/>
      <c r="BW206" s="25">
        <v>17</v>
      </c>
      <c r="BX206" s="33"/>
      <c r="BY206" s="33"/>
      <c r="BZ206" s="33"/>
      <c r="CA206" s="33"/>
      <c r="CB206" s="33"/>
      <c r="CC206" s="33"/>
      <c r="CD206" s="33"/>
      <c r="CE206" s="33"/>
      <c r="CF206" s="33"/>
      <c r="CG206" s="33"/>
      <c r="CH206" s="33"/>
      <c r="CI206" s="33"/>
      <c r="CJ206" s="33"/>
      <c r="CK206" s="33"/>
      <c r="CL206" s="33"/>
      <c r="CM206" s="33"/>
      <c r="CN206" s="33"/>
      <c r="CO206" s="33"/>
      <c r="CP206" s="33"/>
    </row>
    <row r="207" spans="1:94" x14ac:dyDescent="0.25">
      <c r="A207" s="25" t="s">
        <v>146</v>
      </c>
      <c r="B207" s="25" t="s">
        <v>313</v>
      </c>
      <c r="C207" s="25" t="s">
        <v>552</v>
      </c>
      <c r="D207" s="25">
        <v>194</v>
      </c>
      <c r="E207" s="35" cm="1">
        <f t="array" ref="E207">IFERROR(INDEX($J$5:$AVX$5, _xlfn.AGGREGATE(15,6, COLUMN(J207:AVX207)-COLUMN(J207)+1 / (J207:AVX207="T"), F207)), "")</f>
        <v>46003</v>
      </c>
      <c r="F207" s="76">
        <f t="shared" si="25"/>
        <v>2</v>
      </c>
      <c r="G207" s="35" cm="1">
        <f t="array" ref="G207">IFERROR(INDEX($J$5:$AVW$5,_xlfn.AGGREGATE(14,6,(COLUMN($J207:$AVW207)-COLUMN($J207)+1)/($J207:$AVW207="T"),1)),"")</f>
        <v>46003</v>
      </c>
      <c r="H207" s="79">
        <f t="shared" si="26"/>
        <v>2</v>
      </c>
      <c r="I207" s="38" t="s">
        <v>10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25" t="s">
        <v>12</v>
      </c>
      <c r="W207" s="27"/>
      <c r="X207" s="27"/>
      <c r="Y207" s="27"/>
      <c r="Z207" s="28"/>
      <c r="AA207" s="27"/>
      <c r="AB207" s="27"/>
      <c r="AC207" s="29" t="s">
        <v>16</v>
      </c>
      <c r="AD207" s="30" t="s">
        <v>13</v>
      </c>
      <c r="AE207" s="27"/>
      <c r="AF207" s="27"/>
      <c r="AG207" s="28"/>
      <c r="AH207" s="27"/>
      <c r="AI207" s="27"/>
      <c r="AJ207" s="32" t="s">
        <v>14</v>
      </c>
      <c r="AK207" s="30" t="s">
        <v>11</v>
      </c>
      <c r="AL207" s="27"/>
      <c r="AM207" s="27"/>
      <c r="AN207" s="28"/>
      <c r="AO207" s="27"/>
      <c r="AP207" s="29" t="s">
        <v>15</v>
      </c>
      <c r="AQ207" s="27"/>
      <c r="AR207" s="27"/>
      <c r="AS207" s="25">
        <v>17</v>
      </c>
      <c r="AT207" s="33"/>
      <c r="AU207" s="33"/>
      <c r="AV207" s="33"/>
      <c r="AW207" s="33"/>
      <c r="AX207" s="33"/>
      <c r="AY207" s="25" t="s">
        <v>12</v>
      </c>
      <c r="AZ207" s="27"/>
      <c r="BA207" s="27"/>
      <c r="BB207" s="27"/>
      <c r="BC207" s="28"/>
      <c r="BD207" s="27"/>
      <c r="BE207" s="27"/>
      <c r="BF207" s="29" t="s">
        <v>16</v>
      </c>
      <c r="BG207" s="30" t="s">
        <v>13</v>
      </c>
      <c r="BH207" s="27"/>
      <c r="BI207" s="27"/>
      <c r="BJ207" s="28"/>
      <c r="BK207" s="27"/>
      <c r="BL207" s="27"/>
      <c r="BM207" s="32" t="s">
        <v>14</v>
      </c>
      <c r="BN207" s="30" t="s">
        <v>11</v>
      </c>
      <c r="BO207" s="27"/>
      <c r="BP207" s="27"/>
      <c r="BQ207" s="28"/>
      <c r="BR207" s="27"/>
      <c r="BS207" s="29" t="s">
        <v>15</v>
      </c>
      <c r="BT207" s="27"/>
      <c r="BU207" s="27"/>
      <c r="BV207" s="25">
        <v>17</v>
      </c>
      <c r="BW207" s="33"/>
      <c r="BX207" s="33"/>
      <c r="BY207" s="33"/>
      <c r="BZ207" s="33"/>
      <c r="CA207" s="33"/>
      <c r="CB207" s="33"/>
      <c r="CC207" s="33"/>
      <c r="CD207" s="33"/>
      <c r="CE207" s="33"/>
      <c r="CF207" s="33"/>
      <c r="CG207" s="33"/>
      <c r="CH207" s="33"/>
      <c r="CI207" s="33"/>
      <c r="CJ207" s="33"/>
      <c r="CK207" s="33"/>
      <c r="CL207" s="33"/>
      <c r="CM207" s="33"/>
      <c r="CN207" s="33"/>
      <c r="CO207" s="33"/>
      <c r="CP207" s="33"/>
    </row>
    <row r="208" spans="1:94" x14ac:dyDescent="0.25">
      <c r="A208" s="25" t="s">
        <v>146</v>
      </c>
      <c r="B208" s="25" t="s">
        <v>314</v>
      </c>
      <c r="C208" s="25" t="s">
        <v>553</v>
      </c>
      <c r="D208" s="25">
        <v>195</v>
      </c>
      <c r="E208" s="35" cm="1">
        <f t="array" ref="E208">IFERROR(INDEX($J$5:$AVX$5, _xlfn.AGGREGATE(15,6, COLUMN(J208:AVX208)-COLUMN(J208)+1 / (J208:AVX208="T"), F208)), "")</f>
        <v>46003</v>
      </c>
      <c r="F208" s="76">
        <f t="shared" si="25"/>
        <v>2</v>
      </c>
      <c r="G208" s="35" cm="1">
        <f t="array" ref="G208">IFERROR(INDEX($J$5:$AVW$5,_xlfn.AGGREGATE(14,6,(COLUMN($J208:$AVW208)-COLUMN($J208)+1)/($J208:$AVW208="T"),1)),"")</f>
        <v>46003</v>
      </c>
      <c r="H208" s="79">
        <f t="shared" si="26"/>
        <v>2</v>
      </c>
      <c r="I208" s="38" t="s">
        <v>10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25" t="s">
        <v>12</v>
      </c>
      <c r="W208" s="27"/>
      <c r="X208" s="27"/>
      <c r="Y208" s="27"/>
      <c r="Z208" s="28"/>
      <c r="AA208" s="27"/>
      <c r="AB208" s="27"/>
      <c r="AC208" s="29" t="s">
        <v>16</v>
      </c>
      <c r="AD208" s="30" t="s">
        <v>13</v>
      </c>
      <c r="AE208" s="27"/>
      <c r="AF208" s="27"/>
      <c r="AG208" s="28"/>
      <c r="AH208" s="27"/>
      <c r="AI208" s="27"/>
      <c r="AJ208" s="29" t="s">
        <v>14</v>
      </c>
      <c r="AK208" s="30" t="s">
        <v>11</v>
      </c>
      <c r="AL208" s="37"/>
      <c r="AM208" s="27"/>
      <c r="AN208" s="28"/>
      <c r="AO208" s="27"/>
      <c r="AP208" s="29" t="s">
        <v>15</v>
      </c>
      <c r="AQ208" s="27"/>
      <c r="AR208" s="27"/>
      <c r="AS208" s="25">
        <v>17</v>
      </c>
      <c r="AT208" s="33"/>
      <c r="AU208" s="33"/>
      <c r="AV208" s="33"/>
      <c r="AW208" s="33"/>
      <c r="AX208" s="33"/>
      <c r="AY208" s="25" t="s">
        <v>12</v>
      </c>
      <c r="AZ208" s="27"/>
      <c r="BA208" s="27"/>
      <c r="BB208" s="27"/>
      <c r="BC208" s="28"/>
      <c r="BD208" s="27"/>
      <c r="BE208" s="27"/>
      <c r="BF208" s="29" t="s">
        <v>16</v>
      </c>
      <c r="BG208" s="30" t="s">
        <v>13</v>
      </c>
      <c r="BH208" s="27"/>
      <c r="BI208" s="27"/>
      <c r="BJ208" s="28"/>
      <c r="BK208" s="27"/>
      <c r="BL208" s="27"/>
      <c r="BM208" s="32" t="s">
        <v>14</v>
      </c>
      <c r="BN208" s="30" t="s">
        <v>11</v>
      </c>
      <c r="BO208" s="27"/>
      <c r="BP208" s="27"/>
      <c r="BQ208" s="28"/>
      <c r="BR208" s="27"/>
      <c r="BS208" s="29" t="s">
        <v>15</v>
      </c>
      <c r="BT208" s="27"/>
      <c r="BU208" s="27"/>
      <c r="BV208" s="25">
        <v>17</v>
      </c>
      <c r="BW208" s="33"/>
      <c r="BX208" s="33"/>
      <c r="BY208" s="33"/>
      <c r="BZ208" s="33"/>
      <c r="CA208" s="33"/>
      <c r="CB208" s="33"/>
      <c r="CC208" s="33"/>
      <c r="CD208" s="33"/>
      <c r="CE208" s="33"/>
      <c r="CF208" s="33"/>
      <c r="CG208" s="33"/>
      <c r="CH208" s="33"/>
      <c r="CI208" s="33"/>
      <c r="CJ208" s="33"/>
      <c r="CK208" s="33"/>
      <c r="CL208" s="33"/>
      <c r="CM208" s="33"/>
      <c r="CN208" s="33"/>
      <c r="CO208" s="33"/>
      <c r="CP208" s="33"/>
    </row>
    <row r="209" spans="1:94" x14ac:dyDescent="0.25">
      <c r="A209" s="25" t="s">
        <v>146</v>
      </c>
      <c r="B209" s="25" t="s">
        <v>315</v>
      </c>
      <c r="C209" s="25" t="s">
        <v>554</v>
      </c>
      <c r="D209" s="25">
        <v>196</v>
      </c>
      <c r="E209" s="35" cm="1">
        <f t="array" ref="E209">IFERROR(INDEX($J$5:$AVX$5, _xlfn.AGGREGATE(15,6, COLUMN(J209:AVX209)-COLUMN(J209)+1 / (J209:AVX209="T"), F209)), "")</f>
        <v>46003</v>
      </c>
      <c r="F209" s="76">
        <f t="shared" si="25"/>
        <v>2</v>
      </c>
      <c r="G209" s="35" cm="1">
        <f t="array" ref="G209">IFERROR(INDEX($J$5:$AVW$5,_xlfn.AGGREGATE(14,6,(COLUMN($J209:$AVW209)-COLUMN($J209)+1)/($J209:$AVW209="T"),1)),"")</f>
        <v>46003</v>
      </c>
      <c r="H209" s="79">
        <f t="shared" si="26"/>
        <v>2</v>
      </c>
      <c r="I209" s="38" t="s">
        <v>10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25" t="s">
        <v>12</v>
      </c>
      <c r="W209" s="27"/>
      <c r="X209" s="27"/>
      <c r="Y209" s="27"/>
      <c r="Z209" s="28"/>
      <c r="AA209" s="27"/>
      <c r="AB209" s="27"/>
      <c r="AC209" s="29" t="s">
        <v>16</v>
      </c>
      <c r="AD209" s="30" t="s">
        <v>13</v>
      </c>
      <c r="AE209" s="27"/>
      <c r="AF209" s="27"/>
      <c r="AG209" s="28"/>
      <c r="AH209" s="27"/>
      <c r="AI209" s="27"/>
      <c r="AJ209" s="29" t="s">
        <v>14</v>
      </c>
      <c r="AK209" s="30" t="s">
        <v>11</v>
      </c>
      <c r="AL209" s="37"/>
      <c r="AM209" s="27"/>
      <c r="AN209" s="28"/>
      <c r="AO209" s="27"/>
      <c r="AP209" s="29" t="s">
        <v>15</v>
      </c>
      <c r="AQ209" s="27"/>
      <c r="AR209" s="27"/>
      <c r="AS209" s="25">
        <v>17</v>
      </c>
      <c r="AT209" s="33"/>
      <c r="AU209" s="33"/>
      <c r="AV209" s="33"/>
      <c r="AW209" s="33"/>
      <c r="AX209" s="33"/>
      <c r="AY209" s="25" t="s">
        <v>12</v>
      </c>
      <c r="AZ209" s="27"/>
      <c r="BA209" s="27"/>
      <c r="BB209" s="27"/>
      <c r="BC209" s="28"/>
      <c r="BD209" s="27"/>
      <c r="BE209" s="27"/>
      <c r="BF209" s="29" t="s">
        <v>16</v>
      </c>
      <c r="BG209" s="30" t="s">
        <v>13</v>
      </c>
      <c r="BH209" s="27"/>
      <c r="BI209" s="27"/>
      <c r="BJ209" s="28"/>
      <c r="BK209" s="27"/>
      <c r="BL209" s="27"/>
      <c r="BM209" s="32" t="s">
        <v>14</v>
      </c>
      <c r="BN209" s="30" t="s">
        <v>11</v>
      </c>
      <c r="BO209" s="27"/>
      <c r="BP209" s="27"/>
      <c r="BQ209" s="28"/>
      <c r="BR209" s="27"/>
      <c r="BS209" s="29" t="s">
        <v>15</v>
      </c>
      <c r="BT209" s="27"/>
      <c r="BU209" s="27"/>
      <c r="BV209" s="25">
        <v>17</v>
      </c>
      <c r="BW209" s="33"/>
      <c r="BX209" s="33"/>
      <c r="BY209" s="33"/>
      <c r="BZ209" s="33"/>
      <c r="CA209" s="33"/>
      <c r="CB209" s="33"/>
      <c r="CC209" s="33"/>
      <c r="CD209" s="33"/>
      <c r="CE209" s="33"/>
      <c r="CF209" s="33"/>
      <c r="CG209" s="33"/>
      <c r="CH209" s="33"/>
      <c r="CI209" s="33"/>
      <c r="CJ209" s="33"/>
      <c r="CK209" s="33"/>
      <c r="CL209" s="33"/>
      <c r="CM209" s="33"/>
      <c r="CN209" s="33"/>
      <c r="CO209" s="33"/>
      <c r="CP209" s="33"/>
    </row>
    <row r="210" spans="1:94" x14ac:dyDescent="0.25">
      <c r="A210" s="25" t="s">
        <v>146</v>
      </c>
      <c r="B210" s="25" t="s">
        <v>316</v>
      </c>
      <c r="C210" s="25" t="s">
        <v>555</v>
      </c>
      <c r="D210" s="25">
        <v>197</v>
      </c>
      <c r="E210" s="35" cm="1">
        <f t="array" ref="E210">IFERROR(INDEX($J$5:$AVX$5, _xlfn.AGGREGATE(15,6, COLUMN(J210:AVX210)-COLUMN(J210)+1 / (J210:AVX210="T"), F210)), "")</f>
        <v>46003</v>
      </c>
      <c r="F210" s="76">
        <f t="shared" si="25"/>
        <v>2</v>
      </c>
      <c r="G210" s="35" cm="1">
        <f t="array" ref="G210">IFERROR(INDEX($J$5:$AVW$5,_xlfn.AGGREGATE(14,6,(COLUMN($J210:$AVW210)-COLUMN($J210)+1)/($J210:$AVW210="T"),1)),"")</f>
        <v>46003</v>
      </c>
      <c r="H210" s="79">
        <f t="shared" si="26"/>
        <v>2</v>
      </c>
      <c r="I210" s="38" t="s">
        <v>10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25" t="s">
        <v>12</v>
      </c>
      <c r="W210" s="27"/>
      <c r="X210" s="27"/>
      <c r="Y210" s="27"/>
      <c r="Z210" s="28"/>
      <c r="AA210" s="27"/>
      <c r="AB210" s="27"/>
      <c r="AC210" s="29" t="s">
        <v>16</v>
      </c>
      <c r="AD210" s="30" t="s">
        <v>13</v>
      </c>
      <c r="AE210" s="27"/>
      <c r="AF210" s="27"/>
      <c r="AG210" s="28"/>
      <c r="AH210" s="27"/>
      <c r="AI210" s="27"/>
      <c r="AJ210" s="29" t="s">
        <v>14</v>
      </c>
      <c r="AK210" s="30" t="s">
        <v>11</v>
      </c>
      <c r="AL210" s="37"/>
      <c r="AM210" s="27"/>
      <c r="AN210" s="28"/>
      <c r="AO210" s="27"/>
      <c r="AP210" s="29" t="s">
        <v>15</v>
      </c>
      <c r="AQ210" s="27"/>
      <c r="AR210" s="27"/>
      <c r="AS210" s="25">
        <v>17</v>
      </c>
      <c r="AT210" s="33"/>
      <c r="AU210" s="33"/>
      <c r="AV210" s="33"/>
      <c r="AW210" s="33"/>
      <c r="AX210" s="33"/>
      <c r="AY210" s="25" t="s">
        <v>12</v>
      </c>
      <c r="AZ210" s="27"/>
      <c r="BA210" s="27"/>
      <c r="BB210" s="27"/>
      <c r="BC210" s="28"/>
      <c r="BD210" s="27"/>
      <c r="BE210" s="27"/>
      <c r="BF210" s="29" t="s">
        <v>16</v>
      </c>
      <c r="BG210" s="30" t="s">
        <v>13</v>
      </c>
      <c r="BH210" s="27"/>
      <c r="BI210" s="27"/>
      <c r="BJ210" s="28"/>
      <c r="BK210" s="27"/>
      <c r="BL210" s="27"/>
      <c r="BM210" s="32" t="s">
        <v>14</v>
      </c>
      <c r="BN210" s="30" t="s">
        <v>11</v>
      </c>
      <c r="BO210" s="27"/>
      <c r="BP210" s="27"/>
      <c r="BQ210" s="28"/>
      <c r="BR210" s="27"/>
      <c r="BS210" s="29" t="s">
        <v>15</v>
      </c>
      <c r="BT210" s="27"/>
      <c r="BU210" s="27"/>
      <c r="BV210" s="25">
        <v>17</v>
      </c>
      <c r="BW210" s="33"/>
      <c r="BX210" s="33"/>
      <c r="BY210" s="33"/>
      <c r="BZ210" s="33"/>
      <c r="CA210" s="33"/>
      <c r="CB210" s="33"/>
      <c r="CC210" s="33"/>
      <c r="CD210" s="33"/>
      <c r="CE210" s="33"/>
      <c r="CF210" s="33"/>
      <c r="CG210" s="33"/>
      <c r="CH210" s="33"/>
      <c r="CI210" s="33"/>
      <c r="CJ210" s="33"/>
      <c r="CK210" s="33"/>
      <c r="CL210" s="33"/>
      <c r="CM210" s="33"/>
      <c r="CN210" s="33"/>
      <c r="CO210" s="33"/>
      <c r="CP210" s="33"/>
    </row>
    <row r="211" spans="1:94" x14ac:dyDescent="0.25">
      <c r="A211" s="25" t="s">
        <v>146</v>
      </c>
      <c r="B211" s="25" t="s">
        <v>317</v>
      </c>
      <c r="C211" s="25" t="s">
        <v>556</v>
      </c>
      <c r="D211" s="25">
        <v>198</v>
      </c>
      <c r="E211" s="35" cm="1">
        <f t="array" ref="E211">IFERROR(INDEX($J$5:$AVX$5, _xlfn.AGGREGATE(15,6, COLUMN(J211:AVX211)-COLUMN(J211)+1 / (J211:AVX211="T"), F211)), "")</f>
        <v>46003</v>
      </c>
      <c r="F211" s="76">
        <f t="shared" si="25"/>
        <v>2</v>
      </c>
      <c r="G211" s="35" cm="1">
        <f t="array" ref="G211">IFERROR(INDEX($J$5:$AVW$5,_xlfn.AGGREGATE(14,6,(COLUMN($J211:$AVW211)-COLUMN($J211)+1)/($J211:$AVW211="T"),1)),"")</f>
        <v>46003</v>
      </c>
      <c r="H211" s="79">
        <f t="shared" si="26"/>
        <v>2</v>
      </c>
      <c r="I211" s="38" t="s">
        <v>10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25" t="s">
        <v>12</v>
      </c>
      <c r="W211" s="27"/>
      <c r="X211" s="27"/>
      <c r="Y211" s="27"/>
      <c r="Z211" s="28"/>
      <c r="AA211" s="27"/>
      <c r="AB211" s="27"/>
      <c r="AC211" s="29" t="s">
        <v>16</v>
      </c>
      <c r="AD211" s="30" t="s">
        <v>13</v>
      </c>
      <c r="AE211" s="27"/>
      <c r="AF211" s="27"/>
      <c r="AG211" s="28"/>
      <c r="AH211" s="27"/>
      <c r="AI211" s="27"/>
      <c r="AJ211" s="29" t="s">
        <v>14</v>
      </c>
      <c r="AK211" s="30" t="s">
        <v>11</v>
      </c>
      <c r="AL211" s="37"/>
      <c r="AM211" s="27"/>
      <c r="AN211" s="28"/>
      <c r="AO211" s="27"/>
      <c r="AP211" s="29" t="s">
        <v>15</v>
      </c>
      <c r="AQ211" s="27"/>
      <c r="AR211" s="27"/>
      <c r="AS211" s="25">
        <v>17</v>
      </c>
      <c r="AT211" s="33"/>
      <c r="AU211" s="33"/>
      <c r="AV211" s="33"/>
      <c r="AW211" s="33"/>
      <c r="AX211" s="33"/>
      <c r="AY211" s="25" t="s">
        <v>12</v>
      </c>
      <c r="AZ211" s="27"/>
      <c r="BA211" s="27"/>
      <c r="BB211" s="27"/>
      <c r="BC211" s="28"/>
      <c r="BD211" s="27"/>
      <c r="BE211" s="27"/>
      <c r="BF211" s="29" t="s">
        <v>16</v>
      </c>
      <c r="BG211" s="30" t="s">
        <v>13</v>
      </c>
      <c r="BH211" s="27"/>
      <c r="BI211" s="27"/>
      <c r="BJ211" s="28"/>
      <c r="BK211" s="27"/>
      <c r="BL211" s="27"/>
      <c r="BM211" s="32" t="s">
        <v>14</v>
      </c>
      <c r="BN211" s="30" t="s">
        <v>11</v>
      </c>
      <c r="BO211" s="27"/>
      <c r="BP211" s="27"/>
      <c r="BQ211" s="28"/>
      <c r="BR211" s="27"/>
      <c r="BS211" s="29" t="s">
        <v>15</v>
      </c>
      <c r="BT211" s="27"/>
      <c r="BU211" s="27"/>
      <c r="BV211" s="25">
        <v>17</v>
      </c>
      <c r="BW211" s="33"/>
      <c r="BX211" s="33"/>
      <c r="BY211" s="33"/>
      <c r="BZ211" s="33"/>
      <c r="CA211" s="33"/>
      <c r="CB211" s="33"/>
      <c r="CC211" s="33"/>
      <c r="CD211" s="33"/>
      <c r="CE211" s="33"/>
      <c r="CF211" s="33"/>
      <c r="CG211" s="33"/>
      <c r="CH211" s="33"/>
      <c r="CI211" s="33"/>
      <c r="CJ211" s="33"/>
      <c r="CK211" s="33"/>
      <c r="CL211" s="33"/>
      <c r="CM211" s="33"/>
      <c r="CN211" s="33"/>
      <c r="CO211" s="33"/>
      <c r="CP211" s="33"/>
    </row>
    <row r="212" spans="1:94" x14ac:dyDescent="0.25">
      <c r="A212" s="25" t="s">
        <v>146</v>
      </c>
      <c r="B212" s="25" t="s">
        <v>318</v>
      </c>
      <c r="C212" s="25" t="s">
        <v>557</v>
      </c>
      <c r="D212" s="25">
        <v>199</v>
      </c>
      <c r="E212" s="35" cm="1">
        <f t="array" ref="E212">IFERROR(INDEX($J$5:$AVX$5, _xlfn.AGGREGATE(15,6, COLUMN(J212:AVX212)-COLUMN(J212)+1 / (J212:AVX212="T"), F212)), "")</f>
        <v>46003</v>
      </c>
      <c r="F212" s="76">
        <f t="shared" si="25"/>
        <v>2</v>
      </c>
      <c r="G212" s="35" cm="1">
        <f t="array" ref="G212">IFERROR(INDEX($J$5:$AVW$5,_xlfn.AGGREGATE(14,6,(COLUMN($J212:$AVW212)-COLUMN($J212)+1)/($J212:$AVW212="T"),1)),"")</f>
        <v>46003</v>
      </c>
      <c r="H212" s="79">
        <f t="shared" si="26"/>
        <v>2</v>
      </c>
      <c r="I212" s="38" t="s">
        <v>10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25" t="s">
        <v>12</v>
      </c>
      <c r="W212" s="27"/>
      <c r="X212" s="27"/>
      <c r="Y212" s="27"/>
      <c r="Z212" s="28"/>
      <c r="AA212" s="27"/>
      <c r="AB212" s="27"/>
      <c r="AC212" s="29" t="s">
        <v>16</v>
      </c>
      <c r="AD212" s="30" t="s">
        <v>13</v>
      </c>
      <c r="AE212" s="27"/>
      <c r="AF212" s="27"/>
      <c r="AG212" s="28"/>
      <c r="AH212" s="27"/>
      <c r="AI212" s="27"/>
      <c r="AJ212" s="29" t="s">
        <v>14</v>
      </c>
      <c r="AK212" s="30" t="s">
        <v>11</v>
      </c>
      <c r="AL212" s="37"/>
      <c r="AM212" s="27"/>
      <c r="AN212" s="28"/>
      <c r="AO212" s="27"/>
      <c r="AP212" s="29" t="s">
        <v>15</v>
      </c>
      <c r="AQ212" s="27"/>
      <c r="AR212" s="27"/>
      <c r="AS212" s="25">
        <v>17</v>
      </c>
      <c r="AT212" s="33"/>
      <c r="AU212" s="33"/>
      <c r="AV212" s="33"/>
      <c r="AW212" s="33"/>
      <c r="AX212" s="33"/>
      <c r="AY212" s="25" t="s">
        <v>12</v>
      </c>
      <c r="AZ212" s="27"/>
      <c r="BA212" s="27"/>
      <c r="BB212" s="27"/>
      <c r="BC212" s="28"/>
      <c r="BD212" s="27"/>
      <c r="BE212" s="27"/>
      <c r="BF212" s="29" t="s">
        <v>16</v>
      </c>
      <c r="BG212" s="30" t="s">
        <v>13</v>
      </c>
      <c r="BH212" s="27"/>
      <c r="BI212" s="27"/>
      <c r="BJ212" s="28"/>
      <c r="BK212" s="27"/>
      <c r="BL212" s="27"/>
      <c r="BM212" s="32" t="s">
        <v>14</v>
      </c>
      <c r="BN212" s="30" t="s">
        <v>11</v>
      </c>
      <c r="BO212" s="27"/>
      <c r="BP212" s="27"/>
      <c r="BQ212" s="28"/>
      <c r="BR212" s="27"/>
      <c r="BS212" s="29" t="s">
        <v>15</v>
      </c>
      <c r="BT212" s="27"/>
      <c r="BU212" s="27"/>
      <c r="BV212" s="25">
        <v>17</v>
      </c>
      <c r="BW212" s="33"/>
      <c r="BX212" s="33"/>
      <c r="BY212" s="33"/>
      <c r="BZ212" s="33"/>
      <c r="CA212" s="33"/>
      <c r="CB212" s="33"/>
      <c r="CC212" s="33"/>
      <c r="CD212" s="33"/>
      <c r="CE212" s="33"/>
      <c r="CF212" s="33"/>
      <c r="CG212" s="33"/>
      <c r="CH212" s="33"/>
      <c r="CI212" s="33"/>
      <c r="CJ212" s="33"/>
      <c r="CK212" s="33"/>
      <c r="CL212" s="33"/>
      <c r="CM212" s="33"/>
      <c r="CN212" s="33"/>
      <c r="CO212" s="33"/>
      <c r="CP212" s="33"/>
    </row>
    <row r="213" spans="1:94" x14ac:dyDescent="0.25">
      <c r="A213" s="25" t="s">
        <v>146</v>
      </c>
      <c r="B213" s="25" t="s">
        <v>319</v>
      </c>
      <c r="C213" s="25" t="s">
        <v>558</v>
      </c>
      <c r="D213" s="25">
        <v>200</v>
      </c>
      <c r="E213" s="35" cm="1">
        <f t="array" ref="E213">IFERROR(INDEX($J$5:$AVX$5, _xlfn.AGGREGATE(15,6, COLUMN(J213:AVX213)-COLUMN(J213)+1 / (J213:AVX213="T"), F213)), "")</f>
        <v>46003</v>
      </c>
      <c r="F213" s="76">
        <f t="shared" si="25"/>
        <v>2</v>
      </c>
      <c r="G213" s="35" cm="1">
        <f t="array" ref="G213">IFERROR(INDEX($J$5:$AVW$5,_xlfn.AGGREGATE(14,6,(COLUMN($J213:$AVW213)-COLUMN($J213)+1)/($J213:$AVW213="T"),1)),"")</f>
        <v>46003</v>
      </c>
      <c r="H213" s="79">
        <f t="shared" si="26"/>
        <v>2</v>
      </c>
      <c r="I213" s="38" t="s">
        <v>10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25" t="s">
        <v>12</v>
      </c>
      <c r="W213" s="27"/>
      <c r="X213" s="27"/>
      <c r="Y213" s="27"/>
      <c r="Z213" s="28"/>
      <c r="AA213" s="27"/>
      <c r="AB213" s="27"/>
      <c r="AC213" s="29" t="s">
        <v>16</v>
      </c>
      <c r="AD213" s="30" t="s">
        <v>13</v>
      </c>
      <c r="AE213" s="27"/>
      <c r="AF213" s="27"/>
      <c r="AG213" s="28"/>
      <c r="AH213" s="27"/>
      <c r="AI213" s="27"/>
      <c r="AJ213" s="29" t="s">
        <v>14</v>
      </c>
      <c r="AK213" s="30" t="s">
        <v>11</v>
      </c>
      <c r="AL213" s="37"/>
      <c r="AM213" s="27"/>
      <c r="AN213" s="28"/>
      <c r="AO213" s="27"/>
      <c r="AP213" s="29" t="s">
        <v>15</v>
      </c>
      <c r="AQ213" s="27"/>
      <c r="AR213" s="27"/>
      <c r="AS213" s="25">
        <v>17</v>
      </c>
      <c r="AT213" s="33"/>
      <c r="AU213" s="33"/>
      <c r="AV213" s="33"/>
      <c r="AW213" s="33"/>
      <c r="AX213" s="33"/>
      <c r="AY213" s="25" t="s">
        <v>12</v>
      </c>
      <c r="AZ213" s="27"/>
      <c r="BA213" s="27"/>
      <c r="BB213" s="27"/>
      <c r="BC213" s="28"/>
      <c r="BD213" s="27"/>
      <c r="BE213" s="27"/>
      <c r="BF213" s="29" t="s">
        <v>16</v>
      </c>
      <c r="BG213" s="30" t="s">
        <v>13</v>
      </c>
      <c r="BH213" s="27"/>
      <c r="BI213" s="27"/>
      <c r="BJ213" s="28"/>
      <c r="BK213" s="27"/>
      <c r="BL213" s="27"/>
      <c r="BM213" s="32" t="s">
        <v>14</v>
      </c>
      <c r="BN213" s="30" t="s">
        <v>11</v>
      </c>
      <c r="BO213" s="27"/>
      <c r="BP213" s="27"/>
      <c r="BQ213" s="28"/>
      <c r="BR213" s="27"/>
      <c r="BS213" s="29" t="s">
        <v>15</v>
      </c>
      <c r="BT213" s="27"/>
      <c r="BU213" s="27"/>
      <c r="BV213" s="25">
        <v>17</v>
      </c>
      <c r="BW213" s="33"/>
      <c r="BX213" s="33"/>
      <c r="BY213" s="33"/>
      <c r="BZ213" s="33"/>
      <c r="CA213" s="33"/>
      <c r="CB213" s="33"/>
      <c r="CC213" s="33"/>
      <c r="CD213" s="33"/>
      <c r="CE213" s="33"/>
      <c r="CF213" s="33"/>
      <c r="CG213" s="33"/>
      <c r="CH213" s="33"/>
      <c r="CI213" s="33"/>
      <c r="CJ213" s="33"/>
      <c r="CK213" s="33"/>
      <c r="CL213" s="33"/>
      <c r="CM213" s="33"/>
      <c r="CN213" s="33"/>
      <c r="CO213" s="33"/>
      <c r="CP213" s="33"/>
    </row>
    <row r="214" spans="1:94" x14ac:dyDescent="0.25">
      <c r="A214" s="25" t="s">
        <v>147</v>
      </c>
      <c r="B214" s="25" t="s">
        <v>338</v>
      </c>
      <c r="C214" s="25" t="s">
        <v>559</v>
      </c>
      <c r="D214" s="25">
        <v>201</v>
      </c>
      <c r="E214" s="35" cm="1">
        <f t="array" ref="E214">IFERROR(INDEX($J$5:$AVX$5, _xlfn.AGGREGATE(15,6, COLUMN(J214:AVX214)-COLUMN(J214)+1 / (J214:AVX214="T"), F214)), "")</f>
        <v>46017</v>
      </c>
      <c r="F214" s="76">
        <f t="shared" si="25"/>
        <v>2</v>
      </c>
      <c r="G214" s="35" cm="1">
        <f t="array" ref="G214">IFERROR(INDEX($J$5:$AVW$5,_xlfn.AGGREGATE(14,6,(COLUMN($J214:$AVW214)-COLUMN($J214)+1)/($J214:$AVW214="T"),1)),"")</f>
        <v>46017</v>
      </c>
      <c r="H214" s="79">
        <f t="shared" si="26"/>
        <v>2</v>
      </c>
      <c r="I214" s="38" t="s">
        <v>10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25" t="s">
        <v>12</v>
      </c>
      <c r="AK214" s="27"/>
      <c r="AL214" s="27"/>
      <c r="AM214" s="27"/>
      <c r="AN214" s="28"/>
      <c r="AO214" s="27"/>
      <c r="AP214" s="27"/>
      <c r="AQ214" s="29" t="s">
        <v>16</v>
      </c>
      <c r="AR214" s="30" t="s">
        <v>13</v>
      </c>
      <c r="AS214" s="27"/>
      <c r="AT214" s="27"/>
      <c r="AU214" s="28"/>
      <c r="AV214" s="27"/>
      <c r="AW214" s="27"/>
      <c r="AX214" s="32" t="s">
        <v>14</v>
      </c>
      <c r="AY214" s="30" t="s">
        <v>11</v>
      </c>
      <c r="AZ214" s="27"/>
      <c r="BA214" s="27"/>
      <c r="BB214" s="28"/>
      <c r="BC214" s="27"/>
      <c r="BD214" s="29" t="s">
        <v>15</v>
      </c>
      <c r="BE214" s="27"/>
      <c r="BF214" s="27"/>
      <c r="BG214" s="25">
        <v>17</v>
      </c>
      <c r="BH214" s="33"/>
      <c r="BI214" s="33"/>
      <c r="BJ214" s="33"/>
      <c r="BK214" s="33"/>
      <c r="BL214" s="33"/>
      <c r="BM214" s="25" t="s">
        <v>12</v>
      </c>
      <c r="BN214" s="27"/>
      <c r="BO214" s="27"/>
      <c r="BP214" s="27"/>
      <c r="BQ214" s="28"/>
      <c r="BR214" s="27"/>
      <c r="BS214" s="27"/>
      <c r="BT214" s="29" t="s">
        <v>16</v>
      </c>
      <c r="BU214" s="30" t="s">
        <v>13</v>
      </c>
      <c r="BV214" s="27"/>
      <c r="BW214" s="27"/>
      <c r="BX214" s="28"/>
      <c r="BY214" s="27"/>
      <c r="BZ214" s="27"/>
      <c r="CA214" s="29" t="s">
        <v>14</v>
      </c>
      <c r="CB214" s="30" t="s">
        <v>11</v>
      </c>
      <c r="CC214" s="37"/>
      <c r="CD214" s="27"/>
      <c r="CE214" s="28"/>
      <c r="CF214" s="27"/>
      <c r="CG214" s="29" t="s">
        <v>15</v>
      </c>
      <c r="CH214" s="27"/>
      <c r="CI214" s="27"/>
      <c r="CJ214" s="25">
        <v>17</v>
      </c>
      <c r="CK214" s="33"/>
      <c r="CL214" s="33"/>
      <c r="CM214" s="33"/>
      <c r="CN214" s="33"/>
      <c r="CO214" s="33"/>
      <c r="CP214" s="33"/>
    </row>
    <row r="215" spans="1:94" x14ac:dyDescent="0.25">
      <c r="A215" s="25" t="s">
        <v>147</v>
      </c>
      <c r="B215" s="25" t="s">
        <v>339</v>
      </c>
      <c r="C215" s="25" t="s">
        <v>560</v>
      </c>
      <c r="D215" s="25">
        <v>202</v>
      </c>
      <c r="E215" s="35" cm="1">
        <f t="array" ref="E215">IFERROR(INDEX($J$5:$AVX$5, _xlfn.AGGREGATE(15,6, COLUMN(J215:AVX215)-COLUMN(J215)+1 / (J215:AVX215="T"), F215)), "")</f>
        <v>46017</v>
      </c>
      <c r="F215" s="76">
        <f t="shared" si="25"/>
        <v>2</v>
      </c>
      <c r="G215" s="35" cm="1">
        <f t="array" ref="G215">IFERROR(INDEX($J$5:$AVW$5,_xlfn.AGGREGATE(14,6,(COLUMN($J215:$AVW215)-COLUMN($J215)+1)/($J215:$AVW215="T"),1)),"")</f>
        <v>46017</v>
      </c>
      <c r="H215" s="79">
        <f t="shared" si="26"/>
        <v>2</v>
      </c>
      <c r="I215" s="38" t="s">
        <v>10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25" t="s">
        <v>12</v>
      </c>
      <c r="AK215" s="27"/>
      <c r="AL215" s="27"/>
      <c r="AM215" s="27"/>
      <c r="AN215" s="28"/>
      <c r="AO215" s="27"/>
      <c r="AP215" s="27"/>
      <c r="AQ215" s="29" t="s">
        <v>16</v>
      </c>
      <c r="AR215" s="30" t="s">
        <v>13</v>
      </c>
      <c r="AS215" s="27"/>
      <c r="AT215" s="27"/>
      <c r="AU215" s="28"/>
      <c r="AV215" s="27"/>
      <c r="AW215" s="27"/>
      <c r="AX215" s="32" t="s">
        <v>14</v>
      </c>
      <c r="AY215" s="30" t="s">
        <v>11</v>
      </c>
      <c r="AZ215" s="27"/>
      <c r="BA215" s="27"/>
      <c r="BB215" s="28"/>
      <c r="BC215" s="27"/>
      <c r="BD215" s="29" t="s">
        <v>15</v>
      </c>
      <c r="BE215" s="27"/>
      <c r="BF215" s="27"/>
      <c r="BG215" s="25">
        <v>17</v>
      </c>
      <c r="BH215" s="33"/>
      <c r="BI215" s="33"/>
      <c r="BJ215" s="33"/>
      <c r="BK215" s="33"/>
      <c r="BL215" s="33"/>
      <c r="BM215" s="25" t="s">
        <v>12</v>
      </c>
      <c r="BN215" s="27"/>
      <c r="BO215" s="27"/>
      <c r="BP215" s="27"/>
      <c r="BQ215" s="28"/>
      <c r="BR215" s="27"/>
      <c r="BS215" s="27"/>
      <c r="BT215" s="29" t="s">
        <v>16</v>
      </c>
      <c r="BU215" s="30" t="s">
        <v>13</v>
      </c>
      <c r="BV215" s="27"/>
      <c r="BW215" s="27"/>
      <c r="BX215" s="28"/>
      <c r="BY215" s="27"/>
      <c r="BZ215" s="27"/>
      <c r="CA215" s="29" t="s">
        <v>14</v>
      </c>
      <c r="CB215" s="30" t="s">
        <v>11</v>
      </c>
      <c r="CC215" s="37"/>
      <c r="CD215" s="27"/>
      <c r="CE215" s="28"/>
      <c r="CF215" s="27"/>
      <c r="CG215" s="29" t="s">
        <v>15</v>
      </c>
      <c r="CH215" s="27"/>
      <c r="CI215" s="27"/>
      <c r="CJ215" s="25">
        <v>17</v>
      </c>
      <c r="CK215" s="33"/>
      <c r="CL215" s="33"/>
      <c r="CM215" s="33"/>
      <c r="CN215" s="33"/>
      <c r="CO215" s="33"/>
      <c r="CP215" s="33"/>
    </row>
    <row r="216" spans="1:94" x14ac:dyDescent="0.25">
      <c r="A216" s="25" t="s">
        <v>147</v>
      </c>
      <c r="B216" s="25" t="s">
        <v>340</v>
      </c>
      <c r="C216" s="25" t="s">
        <v>561</v>
      </c>
      <c r="D216" s="25">
        <v>203</v>
      </c>
      <c r="E216" s="35" cm="1">
        <f t="array" ref="E216">IFERROR(INDEX($J$5:$AVX$5, _xlfn.AGGREGATE(15,6, COLUMN(J216:AVX216)-COLUMN(J216)+1 / (J216:AVX216="T"), F216)), "")</f>
        <v>46017</v>
      </c>
      <c r="F216" s="76">
        <f t="shared" si="25"/>
        <v>2</v>
      </c>
      <c r="G216" s="35" cm="1">
        <f t="array" ref="G216">IFERROR(INDEX($J$5:$AVW$5,_xlfn.AGGREGATE(14,6,(COLUMN($J216:$AVW216)-COLUMN($J216)+1)/($J216:$AVW216="T"),1)),"")</f>
        <v>46017</v>
      </c>
      <c r="H216" s="79">
        <f t="shared" si="26"/>
        <v>2</v>
      </c>
      <c r="I216" s="38" t="s">
        <v>10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25" t="s">
        <v>12</v>
      </c>
      <c r="AK216" s="27"/>
      <c r="AL216" s="27"/>
      <c r="AM216" s="27"/>
      <c r="AN216" s="28"/>
      <c r="AO216" s="27"/>
      <c r="AP216" s="27"/>
      <c r="AQ216" s="29" t="s">
        <v>16</v>
      </c>
      <c r="AR216" s="30" t="s">
        <v>13</v>
      </c>
      <c r="AS216" s="27"/>
      <c r="AT216" s="27"/>
      <c r="AU216" s="28"/>
      <c r="AV216" s="27"/>
      <c r="AW216" s="27"/>
      <c r="AX216" s="32" t="s">
        <v>14</v>
      </c>
      <c r="AY216" s="30" t="s">
        <v>11</v>
      </c>
      <c r="AZ216" s="27"/>
      <c r="BA216" s="27"/>
      <c r="BB216" s="28"/>
      <c r="BC216" s="27"/>
      <c r="BD216" s="29" t="s">
        <v>15</v>
      </c>
      <c r="BE216" s="27"/>
      <c r="BF216" s="27"/>
      <c r="BG216" s="25">
        <v>17</v>
      </c>
      <c r="BH216" s="33"/>
      <c r="BI216" s="33"/>
      <c r="BJ216" s="33"/>
      <c r="BK216" s="33"/>
      <c r="BL216" s="33"/>
      <c r="BM216" s="25" t="s">
        <v>12</v>
      </c>
      <c r="BN216" s="27"/>
      <c r="BO216" s="27"/>
      <c r="BP216" s="27"/>
      <c r="BQ216" s="28"/>
      <c r="BR216" s="27"/>
      <c r="BS216" s="27"/>
      <c r="BT216" s="29" t="s">
        <v>16</v>
      </c>
      <c r="BU216" s="30" t="s">
        <v>13</v>
      </c>
      <c r="BV216" s="27"/>
      <c r="BW216" s="27"/>
      <c r="BX216" s="28"/>
      <c r="BY216" s="27"/>
      <c r="BZ216" s="27"/>
      <c r="CA216" s="29" t="s">
        <v>14</v>
      </c>
      <c r="CB216" s="30" t="s">
        <v>11</v>
      </c>
      <c r="CC216" s="37"/>
      <c r="CD216" s="27"/>
      <c r="CE216" s="28"/>
      <c r="CF216" s="27"/>
      <c r="CG216" s="29" t="s">
        <v>15</v>
      </c>
      <c r="CH216" s="27"/>
      <c r="CI216" s="27"/>
      <c r="CJ216" s="25">
        <v>17</v>
      </c>
      <c r="CK216" s="33"/>
      <c r="CL216" s="33"/>
      <c r="CM216" s="33"/>
      <c r="CN216" s="33"/>
      <c r="CO216" s="33"/>
      <c r="CP216" s="33"/>
    </row>
    <row r="217" spans="1:94" x14ac:dyDescent="0.25">
      <c r="A217" s="25" t="s">
        <v>147</v>
      </c>
      <c r="B217" s="25" t="s">
        <v>341</v>
      </c>
      <c r="C217" s="25" t="s">
        <v>562</v>
      </c>
      <c r="D217" s="25">
        <v>204</v>
      </c>
      <c r="E217" s="35" cm="1">
        <f t="array" ref="E217">IFERROR(INDEX($J$5:$AVX$5, _xlfn.AGGREGATE(15,6, COLUMN(J217:AVX217)-COLUMN(J217)+1 / (J217:AVX217="T"), F217)), "")</f>
        <v>46017</v>
      </c>
      <c r="F217" s="76">
        <f t="shared" si="25"/>
        <v>2</v>
      </c>
      <c r="G217" s="35" cm="1">
        <f t="array" ref="G217">IFERROR(INDEX($J$5:$AVW$5,_xlfn.AGGREGATE(14,6,(COLUMN($J217:$AVW217)-COLUMN($J217)+1)/($J217:$AVW217="T"),1)),"")</f>
        <v>46017</v>
      </c>
      <c r="H217" s="79">
        <f t="shared" si="26"/>
        <v>2</v>
      </c>
      <c r="I217" s="38" t="s">
        <v>10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25" t="s">
        <v>12</v>
      </c>
      <c r="AK217" s="27"/>
      <c r="AL217" s="27"/>
      <c r="AM217" s="27"/>
      <c r="AN217" s="28"/>
      <c r="AO217" s="27"/>
      <c r="AP217" s="27"/>
      <c r="AQ217" s="29" t="s">
        <v>16</v>
      </c>
      <c r="AR217" s="30" t="s">
        <v>13</v>
      </c>
      <c r="AS217" s="27"/>
      <c r="AT217" s="27"/>
      <c r="AU217" s="28"/>
      <c r="AV217" s="27"/>
      <c r="AW217" s="27"/>
      <c r="AX217" s="32" t="s">
        <v>14</v>
      </c>
      <c r="AY217" s="30" t="s">
        <v>11</v>
      </c>
      <c r="AZ217" s="27"/>
      <c r="BA217" s="27"/>
      <c r="BB217" s="28"/>
      <c r="BC217" s="27"/>
      <c r="BD217" s="29" t="s">
        <v>15</v>
      </c>
      <c r="BE217" s="27"/>
      <c r="BF217" s="27"/>
      <c r="BG217" s="25">
        <v>17</v>
      </c>
      <c r="BH217" s="33"/>
      <c r="BI217" s="33"/>
      <c r="BJ217" s="33"/>
      <c r="BK217" s="33"/>
      <c r="BL217" s="33"/>
      <c r="BM217" s="25" t="s">
        <v>12</v>
      </c>
      <c r="BN217" s="27"/>
      <c r="BO217" s="27"/>
      <c r="BP217" s="27"/>
      <c r="BQ217" s="28"/>
      <c r="BR217" s="27"/>
      <c r="BS217" s="27"/>
      <c r="BT217" s="29" t="s">
        <v>16</v>
      </c>
      <c r="BU217" s="30" t="s">
        <v>13</v>
      </c>
      <c r="BV217" s="27"/>
      <c r="BW217" s="27"/>
      <c r="BX217" s="28"/>
      <c r="BY217" s="27"/>
      <c r="BZ217" s="27"/>
      <c r="CA217" s="29" t="s">
        <v>14</v>
      </c>
      <c r="CB217" s="30" t="s">
        <v>11</v>
      </c>
      <c r="CC217" s="37"/>
      <c r="CD217" s="27"/>
      <c r="CE217" s="28"/>
      <c r="CF217" s="27"/>
      <c r="CG217" s="29" t="s">
        <v>15</v>
      </c>
      <c r="CH217" s="27"/>
      <c r="CI217" s="27"/>
      <c r="CJ217" s="25">
        <v>17</v>
      </c>
      <c r="CK217" s="33"/>
      <c r="CL217" s="33"/>
      <c r="CM217" s="33"/>
      <c r="CN217" s="33"/>
      <c r="CO217" s="33"/>
      <c r="CP217" s="33"/>
    </row>
    <row r="218" spans="1:94" x14ac:dyDescent="0.25">
      <c r="A218" s="25" t="s">
        <v>147</v>
      </c>
      <c r="B218" s="25" t="s">
        <v>342</v>
      </c>
      <c r="C218" s="25" t="s">
        <v>563</v>
      </c>
      <c r="D218" s="25">
        <v>205</v>
      </c>
      <c r="E218" s="35" cm="1">
        <f t="array" ref="E218">IFERROR(INDEX($J$5:$AVX$5, _xlfn.AGGREGATE(15,6, COLUMN(J218:AVX218)-COLUMN(J218)+1 / (J218:AVX218="T"), F218)), "")</f>
        <v>46017</v>
      </c>
      <c r="F218" s="76">
        <f t="shared" si="25"/>
        <v>2</v>
      </c>
      <c r="G218" s="35" cm="1">
        <f t="array" ref="G218">IFERROR(INDEX($J$5:$AVW$5,_xlfn.AGGREGATE(14,6,(COLUMN($J218:$AVW218)-COLUMN($J218)+1)/($J218:$AVW218="T"),1)),"")</f>
        <v>46017</v>
      </c>
      <c r="H218" s="79">
        <f t="shared" si="26"/>
        <v>2</v>
      </c>
      <c r="I218" s="38" t="s">
        <v>10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25" t="s">
        <v>12</v>
      </c>
      <c r="AL218" s="27"/>
      <c r="AM218" s="27"/>
      <c r="AN218" s="27"/>
      <c r="AO218" s="28"/>
      <c r="AP218" s="27"/>
      <c r="AQ218" s="27"/>
      <c r="AR218" s="29" t="s">
        <v>16</v>
      </c>
      <c r="AS218" s="30" t="s">
        <v>13</v>
      </c>
      <c r="AT218" s="27"/>
      <c r="AU218" s="27"/>
      <c r="AV218" s="28"/>
      <c r="AW218" s="27"/>
      <c r="AX218" s="27"/>
      <c r="AY218" s="32" t="s">
        <v>14</v>
      </c>
      <c r="AZ218" s="30" t="s">
        <v>11</v>
      </c>
      <c r="BA218" s="27"/>
      <c r="BB218" s="27"/>
      <c r="BC218" s="28"/>
      <c r="BD218" s="27"/>
      <c r="BE218" s="29" t="s">
        <v>15</v>
      </c>
      <c r="BF218" s="27"/>
      <c r="BG218" s="27"/>
      <c r="BH218" s="25">
        <v>17</v>
      </c>
      <c r="BI218" s="33"/>
      <c r="BJ218" s="33"/>
      <c r="BK218" s="33"/>
      <c r="BL218" s="33"/>
      <c r="BM218" s="25" t="s">
        <v>12</v>
      </c>
      <c r="BN218" s="27"/>
      <c r="BO218" s="27"/>
      <c r="BP218" s="27"/>
      <c r="BQ218" s="28"/>
      <c r="BR218" s="27"/>
      <c r="BS218" s="27"/>
      <c r="BT218" s="29" t="s">
        <v>16</v>
      </c>
      <c r="BU218" s="30" t="s">
        <v>13</v>
      </c>
      <c r="BV218" s="27"/>
      <c r="BW218" s="27"/>
      <c r="BX218" s="28"/>
      <c r="BY218" s="27"/>
      <c r="BZ218" s="27"/>
      <c r="CA218" s="29" t="s">
        <v>14</v>
      </c>
      <c r="CB218" s="30" t="s">
        <v>11</v>
      </c>
      <c r="CC218" s="37"/>
      <c r="CD218" s="27"/>
      <c r="CE218" s="28"/>
      <c r="CF218" s="27"/>
      <c r="CG218" s="29" t="s">
        <v>15</v>
      </c>
      <c r="CH218" s="27"/>
      <c r="CI218" s="27"/>
      <c r="CJ218" s="25">
        <v>17</v>
      </c>
      <c r="CK218" s="33"/>
      <c r="CL218" s="33"/>
      <c r="CM218" s="33"/>
      <c r="CN218" s="33"/>
      <c r="CO218" s="33"/>
      <c r="CP218" s="33"/>
    </row>
    <row r="219" spans="1:94" x14ac:dyDescent="0.25">
      <c r="A219" s="25" t="s">
        <v>147</v>
      </c>
      <c r="B219" s="25" t="s">
        <v>343</v>
      </c>
      <c r="C219" s="25" t="s">
        <v>564</v>
      </c>
      <c r="D219" s="25">
        <v>206</v>
      </c>
      <c r="E219" s="35" cm="1">
        <f t="array" ref="E219">IFERROR(INDEX($J$5:$AVX$5, _xlfn.AGGREGATE(15,6, COLUMN(J219:AVX219)-COLUMN(J219)+1 / (J219:AVX219="T"), F219)), "")</f>
        <v>46017</v>
      </c>
      <c r="F219" s="76">
        <f t="shared" si="25"/>
        <v>2</v>
      </c>
      <c r="G219" s="35" cm="1">
        <f t="array" ref="G219">IFERROR(INDEX($J$5:$AVW$5,_xlfn.AGGREGATE(14,6,(COLUMN($J219:$AVW219)-COLUMN($J219)+1)/($J219:$AVW219="T"),1)),"")</f>
        <v>46017</v>
      </c>
      <c r="H219" s="79">
        <f t="shared" si="26"/>
        <v>2</v>
      </c>
      <c r="I219" s="38" t="s">
        <v>10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25" t="s">
        <v>12</v>
      </c>
      <c r="AL219" s="27"/>
      <c r="AM219" s="27"/>
      <c r="AN219" s="27"/>
      <c r="AO219" s="28"/>
      <c r="AP219" s="27"/>
      <c r="AQ219" s="27"/>
      <c r="AR219" s="29" t="s">
        <v>16</v>
      </c>
      <c r="AS219" s="30" t="s">
        <v>13</v>
      </c>
      <c r="AT219" s="27"/>
      <c r="AU219" s="27"/>
      <c r="AV219" s="28"/>
      <c r="AW219" s="27"/>
      <c r="AX219" s="27"/>
      <c r="AY219" s="32" t="s">
        <v>14</v>
      </c>
      <c r="AZ219" s="30" t="s">
        <v>11</v>
      </c>
      <c r="BA219" s="27"/>
      <c r="BB219" s="27"/>
      <c r="BC219" s="28"/>
      <c r="BD219" s="27"/>
      <c r="BE219" s="29" t="s">
        <v>15</v>
      </c>
      <c r="BF219" s="27"/>
      <c r="BG219" s="27"/>
      <c r="BH219" s="25">
        <v>17</v>
      </c>
      <c r="BI219" s="33"/>
      <c r="BJ219" s="33"/>
      <c r="BK219" s="33"/>
      <c r="BL219" s="33"/>
      <c r="BM219" s="25" t="s">
        <v>12</v>
      </c>
      <c r="BN219" s="27"/>
      <c r="BO219" s="27"/>
      <c r="BP219" s="27"/>
      <c r="BQ219" s="28"/>
      <c r="BR219" s="27"/>
      <c r="BS219" s="27"/>
      <c r="BT219" s="29" t="s">
        <v>16</v>
      </c>
      <c r="BU219" s="30" t="s">
        <v>13</v>
      </c>
      <c r="BV219" s="27"/>
      <c r="BW219" s="27"/>
      <c r="BX219" s="28"/>
      <c r="BY219" s="27"/>
      <c r="BZ219" s="27"/>
      <c r="CA219" s="29" t="s">
        <v>14</v>
      </c>
      <c r="CB219" s="30" t="s">
        <v>11</v>
      </c>
      <c r="CC219" s="37"/>
      <c r="CD219" s="27"/>
      <c r="CE219" s="28"/>
      <c r="CF219" s="27"/>
      <c r="CG219" s="29" t="s">
        <v>15</v>
      </c>
      <c r="CH219" s="27"/>
      <c r="CI219" s="27"/>
      <c r="CJ219" s="25">
        <v>17</v>
      </c>
      <c r="CK219" s="33"/>
      <c r="CL219" s="33"/>
      <c r="CM219" s="33"/>
      <c r="CN219" s="33"/>
      <c r="CO219" s="33"/>
      <c r="CP219" s="33"/>
    </row>
    <row r="220" spans="1:94" x14ac:dyDescent="0.25">
      <c r="A220" s="25" t="s">
        <v>147</v>
      </c>
      <c r="B220" s="25" t="s">
        <v>344</v>
      </c>
      <c r="C220" s="25" t="s">
        <v>565</v>
      </c>
      <c r="D220" s="25">
        <v>207</v>
      </c>
      <c r="E220" s="35" cm="1">
        <f t="array" ref="E220">IFERROR(INDEX($J$5:$AVX$5, _xlfn.AGGREGATE(15,6, COLUMN(J220:AVX220)-COLUMN(J220)+1 / (J220:AVX220="T"), F220)), "")</f>
        <v>46017</v>
      </c>
      <c r="F220" s="76">
        <f t="shared" si="25"/>
        <v>2</v>
      </c>
      <c r="G220" s="35" cm="1">
        <f t="array" ref="G220">IFERROR(INDEX($J$5:$AVW$5,_xlfn.AGGREGATE(14,6,(COLUMN($J220:$AVW220)-COLUMN($J220)+1)/($J220:$AVW220="T"),1)),"")</f>
        <v>46017</v>
      </c>
      <c r="H220" s="79">
        <f t="shared" si="26"/>
        <v>2</v>
      </c>
      <c r="I220" s="38" t="s">
        <v>10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25" t="s">
        <v>12</v>
      </c>
      <c r="AL220" s="27"/>
      <c r="AM220" s="27"/>
      <c r="AN220" s="27"/>
      <c r="AO220" s="28"/>
      <c r="AP220" s="27"/>
      <c r="AQ220" s="27"/>
      <c r="AR220" s="29" t="s">
        <v>16</v>
      </c>
      <c r="AS220" s="30" t="s">
        <v>13</v>
      </c>
      <c r="AT220" s="27"/>
      <c r="AU220" s="27"/>
      <c r="AV220" s="28"/>
      <c r="AW220" s="27"/>
      <c r="AX220" s="27"/>
      <c r="AY220" s="32" t="s">
        <v>14</v>
      </c>
      <c r="AZ220" s="30" t="s">
        <v>11</v>
      </c>
      <c r="BA220" s="27"/>
      <c r="BB220" s="27"/>
      <c r="BC220" s="28"/>
      <c r="BD220" s="27"/>
      <c r="BE220" s="29" t="s">
        <v>15</v>
      </c>
      <c r="BF220" s="27"/>
      <c r="BG220" s="27"/>
      <c r="BH220" s="25">
        <v>17</v>
      </c>
      <c r="BI220" s="33"/>
      <c r="BJ220" s="33"/>
      <c r="BK220" s="33"/>
      <c r="BL220" s="33"/>
      <c r="BM220" s="25" t="s">
        <v>12</v>
      </c>
      <c r="BN220" s="27"/>
      <c r="BO220" s="27"/>
      <c r="BP220" s="27"/>
      <c r="BQ220" s="28"/>
      <c r="BR220" s="27"/>
      <c r="BS220" s="27"/>
      <c r="BT220" s="29" t="s">
        <v>16</v>
      </c>
      <c r="BU220" s="30" t="s">
        <v>13</v>
      </c>
      <c r="BV220" s="27"/>
      <c r="BW220" s="27"/>
      <c r="BX220" s="28"/>
      <c r="BY220" s="27"/>
      <c r="BZ220" s="27"/>
      <c r="CA220" s="29" t="s">
        <v>14</v>
      </c>
      <c r="CB220" s="30" t="s">
        <v>11</v>
      </c>
      <c r="CC220" s="37"/>
      <c r="CD220" s="27"/>
      <c r="CE220" s="28"/>
      <c r="CF220" s="27"/>
      <c r="CG220" s="29" t="s">
        <v>15</v>
      </c>
      <c r="CH220" s="27"/>
      <c r="CI220" s="27"/>
      <c r="CJ220" s="25">
        <v>17</v>
      </c>
      <c r="CK220" s="33"/>
      <c r="CL220" s="33"/>
      <c r="CM220" s="33"/>
      <c r="CN220" s="33"/>
      <c r="CO220" s="33"/>
      <c r="CP220" s="33"/>
    </row>
    <row r="221" spans="1:94" x14ac:dyDescent="0.25">
      <c r="A221" s="25" t="s">
        <v>147</v>
      </c>
      <c r="B221" s="25" t="s">
        <v>345</v>
      </c>
      <c r="C221" s="25" t="s">
        <v>566</v>
      </c>
      <c r="D221" s="25">
        <v>208</v>
      </c>
      <c r="E221" s="35" cm="1">
        <f t="array" ref="E221">IFERROR(INDEX($J$5:$AVX$5, _xlfn.AGGREGATE(15,6, COLUMN(J221:AVX221)-COLUMN(J221)+1 / (J221:AVX221="T"), F221)), "")</f>
        <v>46018</v>
      </c>
      <c r="F221" s="76">
        <f t="shared" si="25"/>
        <v>2</v>
      </c>
      <c r="G221" s="35" cm="1">
        <f t="array" ref="G221">IFERROR(INDEX($J$5:$AVW$5,_xlfn.AGGREGATE(14,6,(COLUMN($J221:$AVW221)-COLUMN($J221)+1)/($J221:$AVW221="T"),1)),"")</f>
        <v>46018</v>
      </c>
      <c r="H221" s="79">
        <f t="shared" si="26"/>
        <v>2</v>
      </c>
      <c r="I221" s="38" t="s">
        <v>10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25" t="s">
        <v>12</v>
      </c>
      <c r="AL221" s="27"/>
      <c r="AM221" s="27"/>
      <c r="AN221" s="27"/>
      <c r="AO221" s="28"/>
      <c r="AP221" s="27"/>
      <c r="AQ221" s="27"/>
      <c r="AR221" s="29" t="s">
        <v>16</v>
      </c>
      <c r="AS221" s="30" t="s">
        <v>13</v>
      </c>
      <c r="AT221" s="27"/>
      <c r="AU221" s="27"/>
      <c r="AV221" s="28"/>
      <c r="AW221" s="27"/>
      <c r="AX221" s="27"/>
      <c r="AY221" s="32" t="s">
        <v>14</v>
      </c>
      <c r="AZ221" s="30" t="s">
        <v>11</v>
      </c>
      <c r="BA221" s="27"/>
      <c r="BB221" s="27"/>
      <c r="BC221" s="28"/>
      <c r="BD221" s="27"/>
      <c r="BE221" s="29" t="s">
        <v>15</v>
      </c>
      <c r="BF221" s="27"/>
      <c r="BG221" s="27"/>
      <c r="BH221" s="25">
        <v>17</v>
      </c>
      <c r="BI221" s="33"/>
      <c r="BJ221" s="33"/>
      <c r="BK221" s="33"/>
      <c r="BL221" s="33"/>
      <c r="BM221" s="33"/>
      <c r="BN221" s="25" t="s">
        <v>12</v>
      </c>
      <c r="BO221" s="27"/>
      <c r="BP221" s="27"/>
      <c r="BQ221" s="27"/>
      <c r="BR221" s="28"/>
      <c r="BS221" s="27"/>
      <c r="BT221" s="27"/>
      <c r="BU221" s="29" t="s">
        <v>16</v>
      </c>
      <c r="BV221" s="30" t="s">
        <v>13</v>
      </c>
      <c r="BW221" s="27"/>
      <c r="BX221" s="27"/>
      <c r="BY221" s="28"/>
      <c r="BZ221" s="27"/>
      <c r="CA221" s="27"/>
      <c r="CB221" s="29" t="s">
        <v>14</v>
      </c>
      <c r="CC221" s="30" t="s">
        <v>11</v>
      </c>
      <c r="CD221" s="37"/>
      <c r="CE221" s="27"/>
      <c r="CF221" s="28"/>
      <c r="CG221" s="27"/>
      <c r="CH221" s="29" t="s">
        <v>15</v>
      </c>
      <c r="CI221" s="27"/>
      <c r="CJ221" s="27"/>
      <c r="CK221" s="25">
        <v>17</v>
      </c>
      <c r="CL221" s="33"/>
      <c r="CM221" s="33"/>
      <c r="CN221" s="33"/>
      <c r="CO221" s="33"/>
      <c r="CP221" s="33"/>
    </row>
    <row r="222" spans="1:94" x14ac:dyDescent="0.25">
      <c r="A222" s="25" t="s">
        <v>147</v>
      </c>
      <c r="B222" s="25" t="s">
        <v>346</v>
      </c>
      <c r="C222" s="25" t="s">
        <v>567</v>
      </c>
      <c r="D222" s="25">
        <v>209</v>
      </c>
      <c r="E222" s="35" cm="1">
        <f t="array" ref="E222">IFERROR(INDEX($J$5:$AVX$5, _xlfn.AGGREGATE(15,6, COLUMN(J222:AVX222)-COLUMN(J222)+1 / (J222:AVX222="T"), F222)), "")</f>
        <v>46018</v>
      </c>
      <c r="F222" s="76">
        <f t="shared" si="25"/>
        <v>2</v>
      </c>
      <c r="G222" s="35" cm="1">
        <f t="array" ref="G222">IFERROR(INDEX($J$5:$AVW$5,_xlfn.AGGREGATE(14,6,(COLUMN($J222:$AVW222)-COLUMN($J222)+1)/($J222:$AVW222="T"),1)),"")</f>
        <v>46018</v>
      </c>
      <c r="H222" s="79">
        <f t="shared" si="26"/>
        <v>2</v>
      </c>
      <c r="I222" s="38" t="s">
        <v>10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25" t="s">
        <v>12</v>
      </c>
      <c r="AL222" s="27"/>
      <c r="AM222" s="27"/>
      <c r="AN222" s="27"/>
      <c r="AO222" s="28"/>
      <c r="AP222" s="27"/>
      <c r="AQ222" s="27"/>
      <c r="AR222" s="29" t="s">
        <v>16</v>
      </c>
      <c r="AS222" s="30" t="s">
        <v>13</v>
      </c>
      <c r="AT222" s="27"/>
      <c r="AU222" s="27"/>
      <c r="AV222" s="28"/>
      <c r="AW222" s="27"/>
      <c r="AX222" s="27"/>
      <c r="AY222" s="32" t="s">
        <v>14</v>
      </c>
      <c r="AZ222" s="30" t="s">
        <v>11</v>
      </c>
      <c r="BA222" s="27"/>
      <c r="BB222" s="27"/>
      <c r="BC222" s="28"/>
      <c r="BD222" s="27"/>
      <c r="BE222" s="29" t="s">
        <v>15</v>
      </c>
      <c r="BF222" s="27"/>
      <c r="BG222" s="27"/>
      <c r="BH222" s="25">
        <v>17</v>
      </c>
      <c r="BI222" s="33"/>
      <c r="BJ222" s="33"/>
      <c r="BK222" s="33"/>
      <c r="BL222" s="33"/>
      <c r="BM222" s="33"/>
      <c r="BN222" s="25" t="s">
        <v>12</v>
      </c>
      <c r="BO222" s="27"/>
      <c r="BP222" s="27"/>
      <c r="BQ222" s="27"/>
      <c r="BR222" s="28"/>
      <c r="BS222" s="27"/>
      <c r="BT222" s="27"/>
      <c r="BU222" s="29" t="s">
        <v>16</v>
      </c>
      <c r="BV222" s="30" t="s">
        <v>13</v>
      </c>
      <c r="BW222" s="27"/>
      <c r="BX222" s="27"/>
      <c r="BY222" s="28"/>
      <c r="BZ222" s="27"/>
      <c r="CA222" s="27"/>
      <c r="CB222" s="29" t="s">
        <v>14</v>
      </c>
      <c r="CC222" s="30" t="s">
        <v>11</v>
      </c>
      <c r="CD222" s="37"/>
      <c r="CE222" s="27"/>
      <c r="CF222" s="28"/>
      <c r="CG222" s="27"/>
      <c r="CH222" s="29" t="s">
        <v>15</v>
      </c>
      <c r="CI222" s="27"/>
      <c r="CJ222" s="27"/>
      <c r="CK222" s="25">
        <v>17</v>
      </c>
      <c r="CL222" s="33"/>
      <c r="CM222" s="33"/>
      <c r="CN222" s="33"/>
      <c r="CO222" s="33"/>
      <c r="CP222" s="33"/>
    </row>
    <row r="223" spans="1:94" x14ac:dyDescent="0.25">
      <c r="A223" s="25" t="s">
        <v>147</v>
      </c>
      <c r="B223" s="25" t="s">
        <v>347</v>
      </c>
      <c r="C223" s="25" t="s">
        <v>568</v>
      </c>
      <c r="D223" s="25">
        <v>210</v>
      </c>
      <c r="E223" s="35" cm="1">
        <f t="array" ref="E223">IFERROR(INDEX($J$5:$AVX$5, _xlfn.AGGREGATE(15,6, COLUMN(J223:AVX223)-COLUMN(J223)+1 / (J223:AVX223="T"), F223)), "")</f>
        <v>46018</v>
      </c>
      <c r="F223" s="76">
        <f t="shared" si="25"/>
        <v>2</v>
      </c>
      <c r="G223" s="35" cm="1">
        <f t="array" ref="G223">IFERROR(INDEX($J$5:$AVW$5,_xlfn.AGGREGATE(14,6,(COLUMN($J223:$AVW223)-COLUMN($J223)+1)/($J223:$AVW223="T"),1)),"")</f>
        <v>46018</v>
      </c>
      <c r="H223" s="79">
        <f t="shared" si="26"/>
        <v>2</v>
      </c>
      <c r="I223" s="38" t="s">
        <v>10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25" t="s">
        <v>12</v>
      </c>
      <c r="AL223" s="27"/>
      <c r="AM223" s="27"/>
      <c r="AN223" s="27"/>
      <c r="AO223" s="28"/>
      <c r="AP223" s="27"/>
      <c r="AQ223" s="27"/>
      <c r="AR223" s="29" t="s">
        <v>16</v>
      </c>
      <c r="AS223" s="30" t="s">
        <v>13</v>
      </c>
      <c r="AT223" s="27"/>
      <c r="AU223" s="27"/>
      <c r="AV223" s="28"/>
      <c r="AW223" s="27"/>
      <c r="AX223" s="27"/>
      <c r="AY223" s="32" t="s">
        <v>14</v>
      </c>
      <c r="AZ223" s="30" t="s">
        <v>11</v>
      </c>
      <c r="BA223" s="27"/>
      <c r="BB223" s="27"/>
      <c r="BC223" s="28"/>
      <c r="BD223" s="27"/>
      <c r="BE223" s="29" t="s">
        <v>15</v>
      </c>
      <c r="BF223" s="27"/>
      <c r="BG223" s="27"/>
      <c r="BH223" s="25">
        <v>17</v>
      </c>
      <c r="BI223" s="33"/>
      <c r="BJ223" s="33"/>
      <c r="BK223" s="33"/>
      <c r="BL223" s="33"/>
      <c r="BM223" s="33"/>
      <c r="BN223" s="25" t="s">
        <v>12</v>
      </c>
      <c r="BO223" s="27"/>
      <c r="BP223" s="27"/>
      <c r="BQ223" s="27"/>
      <c r="BR223" s="28"/>
      <c r="BS223" s="27"/>
      <c r="BT223" s="27"/>
      <c r="BU223" s="29" t="s">
        <v>16</v>
      </c>
      <c r="BV223" s="30" t="s">
        <v>13</v>
      </c>
      <c r="BW223" s="27"/>
      <c r="BX223" s="27"/>
      <c r="BY223" s="28"/>
      <c r="BZ223" s="27"/>
      <c r="CA223" s="27"/>
      <c r="CB223" s="29" t="s">
        <v>14</v>
      </c>
      <c r="CC223" s="30" t="s">
        <v>11</v>
      </c>
      <c r="CD223" s="37"/>
      <c r="CE223" s="27"/>
      <c r="CF223" s="28"/>
      <c r="CG223" s="27"/>
      <c r="CH223" s="29" t="s">
        <v>15</v>
      </c>
      <c r="CI223" s="27"/>
      <c r="CJ223" s="27"/>
      <c r="CK223" s="25">
        <v>17</v>
      </c>
      <c r="CL223" s="33"/>
      <c r="CM223" s="33"/>
      <c r="CN223" s="33"/>
      <c r="CO223" s="33"/>
      <c r="CP223" s="33"/>
    </row>
    <row r="224" spans="1:94" x14ac:dyDescent="0.25">
      <c r="A224" s="25" t="s">
        <v>147</v>
      </c>
      <c r="B224" s="25" t="s">
        <v>348</v>
      </c>
      <c r="C224" s="25" t="s">
        <v>569</v>
      </c>
      <c r="D224" s="25">
        <v>211</v>
      </c>
      <c r="E224" s="35" cm="1">
        <f t="array" ref="E224">IFERROR(INDEX($J$5:$AVX$5, _xlfn.AGGREGATE(15,6, COLUMN(J224:AVX224)-COLUMN(J224)+1 / (J224:AVX224="T"), F224)), "")</f>
        <v>46018</v>
      </c>
      <c r="F224" s="76">
        <f t="shared" si="25"/>
        <v>2</v>
      </c>
      <c r="G224" s="35" cm="1">
        <f t="array" ref="G224">IFERROR(INDEX($J$5:$AVW$5,_xlfn.AGGREGATE(14,6,(COLUMN($J224:$AVW224)-COLUMN($J224)+1)/($J224:$AVW224="T"),1)),"")</f>
        <v>46018</v>
      </c>
      <c r="H224" s="79">
        <f t="shared" si="26"/>
        <v>2</v>
      </c>
      <c r="I224" s="38" t="s">
        <v>10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25" t="s">
        <v>12</v>
      </c>
      <c r="AL224" s="27"/>
      <c r="AM224" s="27"/>
      <c r="AN224" s="27"/>
      <c r="AO224" s="28"/>
      <c r="AP224" s="27"/>
      <c r="AQ224" s="27"/>
      <c r="AR224" s="29" t="s">
        <v>16</v>
      </c>
      <c r="AS224" s="30" t="s">
        <v>13</v>
      </c>
      <c r="AT224" s="27"/>
      <c r="AU224" s="27"/>
      <c r="AV224" s="28"/>
      <c r="AW224" s="27"/>
      <c r="AX224" s="27"/>
      <c r="AY224" s="32" t="s">
        <v>14</v>
      </c>
      <c r="AZ224" s="30" t="s">
        <v>11</v>
      </c>
      <c r="BA224" s="27"/>
      <c r="BB224" s="27"/>
      <c r="BC224" s="28"/>
      <c r="BD224" s="27"/>
      <c r="BE224" s="29" t="s">
        <v>15</v>
      </c>
      <c r="BF224" s="27"/>
      <c r="BG224" s="27"/>
      <c r="BH224" s="25">
        <v>17</v>
      </c>
      <c r="BI224" s="33"/>
      <c r="BJ224" s="33"/>
      <c r="BK224" s="33"/>
      <c r="BL224" s="33"/>
      <c r="BM224" s="33"/>
      <c r="BN224" s="25" t="s">
        <v>12</v>
      </c>
      <c r="BO224" s="27"/>
      <c r="BP224" s="27"/>
      <c r="BQ224" s="27"/>
      <c r="BR224" s="28"/>
      <c r="BS224" s="27"/>
      <c r="BT224" s="27"/>
      <c r="BU224" s="29" t="s">
        <v>16</v>
      </c>
      <c r="BV224" s="30" t="s">
        <v>13</v>
      </c>
      <c r="BW224" s="27"/>
      <c r="BX224" s="27"/>
      <c r="BY224" s="28"/>
      <c r="BZ224" s="27"/>
      <c r="CA224" s="27"/>
      <c r="CB224" s="29" t="s">
        <v>14</v>
      </c>
      <c r="CC224" s="30" t="s">
        <v>11</v>
      </c>
      <c r="CD224" s="37"/>
      <c r="CE224" s="27"/>
      <c r="CF224" s="28"/>
      <c r="CG224" s="27"/>
      <c r="CH224" s="29" t="s">
        <v>15</v>
      </c>
      <c r="CI224" s="27"/>
      <c r="CJ224" s="27"/>
      <c r="CK224" s="25">
        <v>17</v>
      </c>
      <c r="CL224" s="33"/>
      <c r="CM224" s="33"/>
      <c r="CN224" s="33"/>
      <c r="CO224" s="33"/>
      <c r="CP224" s="33"/>
    </row>
    <row r="225" spans="1:94" x14ac:dyDescent="0.25">
      <c r="A225" s="25" t="s">
        <v>147</v>
      </c>
      <c r="B225" s="25" t="s">
        <v>349</v>
      </c>
      <c r="C225" s="25" t="s">
        <v>570</v>
      </c>
      <c r="D225" s="25">
        <v>212</v>
      </c>
      <c r="E225" s="35" cm="1">
        <f t="array" ref="E225">IFERROR(INDEX($J$5:$AVX$5, _xlfn.AGGREGATE(15,6, COLUMN(J225:AVX225)-COLUMN(J225)+1 / (J225:AVX225="T"), F225)), "")</f>
        <v>46018</v>
      </c>
      <c r="F225" s="76">
        <f t="shared" si="25"/>
        <v>2</v>
      </c>
      <c r="G225" s="35" cm="1">
        <f t="array" ref="G225">IFERROR(INDEX($J$5:$AVW$5,_xlfn.AGGREGATE(14,6,(COLUMN($J225:$AVW225)-COLUMN($J225)+1)/($J225:$AVW225="T"),1)),"")</f>
        <v>46018</v>
      </c>
      <c r="H225" s="79">
        <f t="shared" si="26"/>
        <v>2</v>
      </c>
      <c r="I225" s="38" t="s">
        <v>10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25" t="s">
        <v>12</v>
      </c>
      <c r="AM225" s="27"/>
      <c r="AN225" s="27"/>
      <c r="AO225" s="27"/>
      <c r="AP225" s="28"/>
      <c r="AQ225" s="27"/>
      <c r="AR225" s="27"/>
      <c r="AS225" s="29" t="s">
        <v>16</v>
      </c>
      <c r="AT225" s="30" t="s">
        <v>13</v>
      </c>
      <c r="AU225" s="27"/>
      <c r="AV225" s="27"/>
      <c r="AW225" s="28"/>
      <c r="AX225" s="27"/>
      <c r="AY225" s="27"/>
      <c r="AZ225" s="32" t="s">
        <v>14</v>
      </c>
      <c r="BA225" s="30" t="s">
        <v>11</v>
      </c>
      <c r="BB225" s="27"/>
      <c r="BC225" s="27"/>
      <c r="BD225" s="28"/>
      <c r="BE225" s="27"/>
      <c r="BF225" s="29" t="s">
        <v>15</v>
      </c>
      <c r="BG225" s="27"/>
      <c r="BH225" s="27"/>
      <c r="BI225" s="25">
        <v>17</v>
      </c>
      <c r="BJ225" s="33"/>
      <c r="BK225" s="33"/>
      <c r="BL225" s="33"/>
      <c r="BM225" s="33"/>
      <c r="BN225" s="25" t="s">
        <v>12</v>
      </c>
      <c r="BO225" s="27"/>
      <c r="BP225" s="27"/>
      <c r="BQ225" s="27"/>
      <c r="BR225" s="28"/>
      <c r="BS225" s="27"/>
      <c r="BT225" s="27"/>
      <c r="BU225" s="29" t="s">
        <v>16</v>
      </c>
      <c r="BV225" s="30" t="s">
        <v>13</v>
      </c>
      <c r="BW225" s="27"/>
      <c r="BX225" s="27"/>
      <c r="BY225" s="28"/>
      <c r="BZ225" s="27"/>
      <c r="CA225" s="27"/>
      <c r="CB225" s="29" t="s">
        <v>14</v>
      </c>
      <c r="CC225" s="30" t="s">
        <v>11</v>
      </c>
      <c r="CD225" s="37"/>
      <c r="CE225" s="27"/>
      <c r="CF225" s="28"/>
      <c r="CG225" s="27"/>
      <c r="CH225" s="29" t="s">
        <v>15</v>
      </c>
      <c r="CI225" s="27"/>
      <c r="CJ225" s="27"/>
      <c r="CK225" s="25">
        <v>17</v>
      </c>
      <c r="CL225" s="33"/>
      <c r="CM225" s="33"/>
      <c r="CN225" s="33"/>
      <c r="CO225" s="33"/>
      <c r="CP225" s="33"/>
    </row>
    <row r="226" spans="1:94" x14ac:dyDescent="0.25">
      <c r="A226" s="25" t="s">
        <v>147</v>
      </c>
      <c r="B226" s="25" t="s">
        <v>350</v>
      </c>
      <c r="C226" s="25" t="s">
        <v>571</v>
      </c>
      <c r="D226" s="25">
        <v>213</v>
      </c>
      <c r="E226" s="35" cm="1">
        <f t="array" ref="E226">IFERROR(INDEX($J$5:$AVX$5, _xlfn.AGGREGATE(15,6, COLUMN(J226:AVX226)-COLUMN(J226)+1 / (J226:AVX226="T"), F226)), "")</f>
        <v>46018</v>
      </c>
      <c r="F226" s="76">
        <f t="shared" si="25"/>
        <v>2</v>
      </c>
      <c r="G226" s="35" cm="1">
        <f t="array" ref="G226">IFERROR(INDEX($J$5:$AVW$5,_xlfn.AGGREGATE(14,6,(COLUMN($J226:$AVW226)-COLUMN($J226)+1)/($J226:$AVW226="T"),1)),"")</f>
        <v>46018</v>
      </c>
      <c r="H226" s="79">
        <f t="shared" si="26"/>
        <v>2</v>
      </c>
      <c r="I226" s="38" t="s">
        <v>10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25" t="s">
        <v>12</v>
      </c>
      <c r="AM226" s="27"/>
      <c r="AN226" s="27"/>
      <c r="AO226" s="27"/>
      <c r="AP226" s="28"/>
      <c r="AQ226" s="27"/>
      <c r="AR226" s="27"/>
      <c r="AS226" s="29" t="s">
        <v>16</v>
      </c>
      <c r="AT226" s="30" t="s">
        <v>13</v>
      </c>
      <c r="AU226" s="27"/>
      <c r="AV226" s="27"/>
      <c r="AW226" s="28"/>
      <c r="AX226" s="27"/>
      <c r="AY226" s="27"/>
      <c r="AZ226" s="32" t="s">
        <v>14</v>
      </c>
      <c r="BA226" s="30" t="s">
        <v>11</v>
      </c>
      <c r="BB226" s="27"/>
      <c r="BC226" s="27"/>
      <c r="BD226" s="28"/>
      <c r="BE226" s="27"/>
      <c r="BF226" s="29" t="s">
        <v>15</v>
      </c>
      <c r="BG226" s="27"/>
      <c r="BH226" s="27"/>
      <c r="BI226" s="25">
        <v>17</v>
      </c>
      <c r="BJ226" s="33"/>
      <c r="BK226" s="33"/>
      <c r="BL226" s="33"/>
      <c r="BM226" s="33"/>
      <c r="BN226" s="25" t="s">
        <v>12</v>
      </c>
      <c r="BO226" s="27"/>
      <c r="BP226" s="27"/>
      <c r="BQ226" s="27"/>
      <c r="BR226" s="28"/>
      <c r="BS226" s="27"/>
      <c r="BT226" s="27"/>
      <c r="BU226" s="29" t="s">
        <v>16</v>
      </c>
      <c r="BV226" s="30" t="s">
        <v>13</v>
      </c>
      <c r="BW226" s="27"/>
      <c r="BX226" s="27"/>
      <c r="BY226" s="28"/>
      <c r="BZ226" s="27"/>
      <c r="CA226" s="27"/>
      <c r="CB226" s="29" t="s">
        <v>14</v>
      </c>
      <c r="CC226" s="30" t="s">
        <v>11</v>
      </c>
      <c r="CD226" s="37"/>
      <c r="CE226" s="27"/>
      <c r="CF226" s="28"/>
      <c r="CG226" s="27"/>
      <c r="CH226" s="29" t="s">
        <v>15</v>
      </c>
      <c r="CI226" s="27"/>
      <c r="CJ226" s="27"/>
      <c r="CK226" s="25">
        <v>17</v>
      </c>
      <c r="CL226" s="33"/>
      <c r="CM226" s="33"/>
      <c r="CN226" s="33"/>
      <c r="CO226" s="33"/>
      <c r="CP226" s="33"/>
    </row>
    <row r="227" spans="1:94" x14ac:dyDescent="0.25">
      <c r="A227" s="25" t="s">
        <v>147</v>
      </c>
      <c r="B227" s="25" t="s">
        <v>351</v>
      </c>
      <c r="C227" s="25" t="s">
        <v>572</v>
      </c>
      <c r="D227" s="25">
        <v>214</v>
      </c>
      <c r="E227" s="35" cm="1">
        <f t="array" ref="E227">IFERROR(INDEX($J$5:$AVX$5, _xlfn.AGGREGATE(15,6, COLUMN(J227:AVX227)-COLUMN(J227)+1 / (J227:AVX227="T"), F227)), "")</f>
        <v>46018</v>
      </c>
      <c r="F227" s="76">
        <f t="shared" si="25"/>
        <v>2</v>
      </c>
      <c r="G227" s="35" cm="1">
        <f t="array" ref="G227">IFERROR(INDEX($J$5:$AVW$5,_xlfn.AGGREGATE(14,6,(COLUMN($J227:$AVW227)-COLUMN($J227)+1)/($J227:$AVW227="T"),1)),"")</f>
        <v>46018</v>
      </c>
      <c r="H227" s="79">
        <f t="shared" si="26"/>
        <v>2</v>
      </c>
      <c r="I227" s="38" t="s">
        <v>10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25" t="s">
        <v>12</v>
      </c>
      <c r="AM227" s="27"/>
      <c r="AN227" s="27"/>
      <c r="AO227" s="27"/>
      <c r="AP227" s="28"/>
      <c r="AQ227" s="27"/>
      <c r="AR227" s="27"/>
      <c r="AS227" s="29" t="s">
        <v>16</v>
      </c>
      <c r="AT227" s="30" t="s">
        <v>13</v>
      </c>
      <c r="AU227" s="27"/>
      <c r="AV227" s="27"/>
      <c r="AW227" s="28"/>
      <c r="AX227" s="27"/>
      <c r="AY227" s="27"/>
      <c r="AZ227" s="32" t="s">
        <v>14</v>
      </c>
      <c r="BA227" s="30" t="s">
        <v>11</v>
      </c>
      <c r="BB227" s="27"/>
      <c r="BC227" s="27"/>
      <c r="BD227" s="28"/>
      <c r="BE227" s="27"/>
      <c r="BF227" s="29" t="s">
        <v>15</v>
      </c>
      <c r="BG227" s="27"/>
      <c r="BH227" s="27"/>
      <c r="BI227" s="25">
        <v>17</v>
      </c>
      <c r="BJ227" s="33"/>
      <c r="BK227" s="33"/>
      <c r="BL227" s="33"/>
      <c r="BM227" s="33"/>
      <c r="BN227" s="25" t="s">
        <v>12</v>
      </c>
      <c r="BO227" s="27"/>
      <c r="BP227" s="27"/>
      <c r="BQ227" s="27"/>
      <c r="BR227" s="28"/>
      <c r="BS227" s="27"/>
      <c r="BT227" s="27"/>
      <c r="BU227" s="29" t="s">
        <v>16</v>
      </c>
      <c r="BV227" s="30" t="s">
        <v>13</v>
      </c>
      <c r="BW227" s="27"/>
      <c r="BX227" s="27"/>
      <c r="BY227" s="28"/>
      <c r="BZ227" s="27"/>
      <c r="CA227" s="27"/>
      <c r="CB227" s="29" t="s">
        <v>14</v>
      </c>
      <c r="CC227" s="30" t="s">
        <v>11</v>
      </c>
      <c r="CD227" s="37"/>
      <c r="CE227" s="27"/>
      <c r="CF227" s="28"/>
      <c r="CG227" s="27"/>
      <c r="CH227" s="29" t="s">
        <v>15</v>
      </c>
      <c r="CI227" s="27"/>
      <c r="CJ227" s="27"/>
      <c r="CK227" s="25">
        <v>17</v>
      </c>
      <c r="CL227" s="33"/>
      <c r="CM227" s="33"/>
      <c r="CN227" s="33"/>
      <c r="CO227" s="33"/>
      <c r="CP227" s="33"/>
    </row>
    <row r="228" spans="1:94" x14ac:dyDescent="0.25">
      <c r="A228" s="25" t="s">
        <v>147</v>
      </c>
      <c r="B228" s="25" t="s">
        <v>352</v>
      </c>
      <c r="C228" s="25" t="s">
        <v>573</v>
      </c>
      <c r="D228" s="25">
        <v>215</v>
      </c>
      <c r="E228" s="35" cm="1">
        <f t="array" ref="E228">IFERROR(INDEX($J$5:$AVX$5, _xlfn.AGGREGATE(15,6, COLUMN(J228:AVX228)-COLUMN(J228)+1 / (J228:AVX228="T"), F228)), "")</f>
        <v>46019</v>
      </c>
      <c r="F228" s="76">
        <f t="shared" si="25"/>
        <v>2</v>
      </c>
      <c r="G228" s="35" cm="1">
        <f t="array" ref="G228">IFERROR(INDEX($J$5:$AVW$5,_xlfn.AGGREGATE(14,6,(COLUMN($J228:$AVW228)-COLUMN($J228)+1)/($J228:$AVW228="T"),1)),"")</f>
        <v>46019</v>
      </c>
      <c r="H228" s="79">
        <f t="shared" si="26"/>
        <v>2</v>
      </c>
      <c r="I228" s="38" t="s">
        <v>10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25" t="s">
        <v>12</v>
      </c>
      <c r="AM228" s="27"/>
      <c r="AN228" s="27"/>
      <c r="AO228" s="27"/>
      <c r="AP228" s="28"/>
      <c r="AQ228" s="27"/>
      <c r="AR228" s="27"/>
      <c r="AS228" s="29" t="s">
        <v>16</v>
      </c>
      <c r="AT228" s="30" t="s">
        <v>13</v>
      </c>
      <c r="AU228" s="27"/>
      <c r="AV228" s="27"/>
      <c r="AW228" s="28"/>
      <c r="AX228" s="27"/>
      <c r="AY228" s="27"/>
      <c r="AZ228" s="32" t="s">
        <v>14</v>
      </c>
      <c r="BA228" s="30" t="s">
        <v>11</v>
      </c>
      <c r="BB228" s="27"/>
      <c r="BC228" s="27"/>
      <c r="BD228" s="28"/>
      <c r="BE228" s="27"/>
      <c r="BF228" s="29" t="s">
        <v>15</v>
      </c>
      <c r="BG228" s="27"/>
      <c r="BH228" s="27"/>
      <c r="BI228" s="25">
        <v>17</v>
      </c>
      <c r="BJ228" s="33"/>
      <c r="BK228" s="33"/>
      <c r="BL228" s="33"/>
      <c r="BM228" s="33"/>
      <c r="BN228" s="33"/>
      <c r="BO228" s="25" t="s">
        <v>12</v>
      </c>
      <c r="BP228" s="27"/>
      <c r="BQ228" s="27"/>
      <c r="BR228" s="27"/>
      <c r="BS228" s="28"/>
      <c r="BT228" s="27"/>
      <c r="BU228" s="27"/>
      <c r="BV228" s="29" t="s">
        <v>16</v>
      </c>
      <c r="BW228" s="30" t="s">
        <v>13</v>
      </c>
      <c r="BX228" s="27"/>
      <c r="BY228" s="27"/>
      <c r="BZ228" s="28"/>
      <c r="CA228" s="27"/>
      <c r="CB228" s="27"/>
      <c r="CC228" s="29" t="s">
        <v>14</v>
      </c>
      <c r="CD228" s="30" t="s">
        <v>11</v>
      </c>
      <c r="CE228" s="37"/>
      <c r="CF228" s="27"/>
      <c r="CG228" s="28"/>
      <c r="CH228" s="27"/>
      <c r="CI228" s="29" t="s">
        <v>15</v>
      </c>
      <c r="CJ228" s="27"/>
      <c r="CK228" s="27"/>
      <c r="CL228" s="25">
        <v>17</v>
      </c>
      <c r="CM228" s="33"/>
      <c r="CN228" s="33"/>
      <c r="CO228" s="33"/>
      <c r="CP228" s="33"/>
    </row>
    <row r="229" spans="1:94" x14ac:dyDescent="0.25">
      <c r="A229" s="25" t="s">
        <v>147</v>
      </c>
      <c r="B229" s="25" t="s">
        <v>353</v>
      </c>
      <c r="C229" s="25" t="s">
        <v>574</v>
      </c>
      <c r="D229" s="25">
        <v>216</v>
      </c>
      <c r="E229" s="35" cm="1">
        <f t="array" ref="E229">IFERROR(INDEX($J$5:$AVX$5, _xlfn.AGGREGATE(15,6, COLUMN(J229:AVX229)-COLUMN(J229)+1 / (J229:AVX229="T"), F229)), "")</f>
        <v>46019</v>
      </c>
      <c r="F229" s="76">
        <f t="shared" si="25"/>
        <v>2</v>
      </c>
      <c r="G229" s="35" cm="1">
        <f t="array" ref="G229">IFERROR(INDEX($J$5:$AVW$5,_xlfn.AGGREGATE(14,6,(COLUMN($J229:$AVW229)-COLUMN($J229)+1)/($J229:$AVW229="T"),1)),"")</f>
        <v>46019</v>
      </c>
      <c r="H229" s="79">
        <f t="shared" si="26"/>
        <v>2</v>
      </c>
      <c r="I229" s="38" t="s">
        <v>10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25" t="s">
        <v>12</v>
      </c>
      <c r="AM229" s="27"/>
      <c r="AN229" s="27"/>
      <c r="AO229" s="27"/>
      <c r="AP229" s="28"/>
      <c r="AQ229" s="27"/>
      <c r="AR229" s="27"/>
      <c r="AS229" s="29" t="s">
        <v>16</v>
      </c>
      <c r="AT229" s="30" t="s">
        <v>13</v>
      </c>
      <c r="AU229" s="27"/>
      <c r="AV229" s="27"/>
      <c r="AW229" s="28"/>
      <c r="AX229" s="27"/>
      <c r="AY229" s="27"/>
      <c r="AZ229" s="32" t="s">
        <v>14</v>
      </c>
      <c r="BA229" s="30" t="s">
        <v>11</v>
      </c>
      <c r="BB229" s="27"/>
      <c r="BC229" s="27"/>
      <c r="BD229" s="28"/>
      <c r="BE229" s="27"/>
      <c r="BF229" s="29" t="s">
        <v>15</v>
      </c>
      <c r="BG229" s="27"/>
      <c r="BH229" s="27"/>
      <c r="BI229" s="25">
        <v>17</v>
      </c>
      <c r="BJ229" s="33"/>
      <c r="BK229" s="33"/>
      <c r="BL229" s="33"/>
      <c r="BM229" s="33"/>
      <c r="BN229" s="33"/>
      <c r="BO229" s="25" t="s">
        <v>12</v>
      </c>
      <c r="BP229" s="27"/>
      <c r="BQ229" s="27"/>
      <c r="BR229" s="27"/>
      <c r="BS229" s="28"/>
      <c r="BT229" s="27"/>
      <c r="BU229" s="27"/>
      <c r="BV229" s="29" t="s">
        <v>16</v>
      </c>
      <c r="BW229" s="30" t="s">
        <v>13</v>
      </c>
      <c r="BX229" s="27"/>
      <c r="BY229" s="27"/>
      <c r="BZ229" s="28"/>
      <c r="CA229" s="27"/>
      <c r="CB229" s="27"/>
      <c r="CC229" s="29" t="s">
        <v>14</v>
      </c>
      <c r="CD229" s="30" t="s">
        <v>11</v>
      </c>
      <c r="CE229" s="37"/>
      <c r="CF229" s="27"/>
      <c r="CG229" s="28"/>
      <c r="CH229" s="27"/>
      <c r="CI229" s="29" t="s">
        <v>15</v>
      </c>
      <c r="CJ229" s="27"/>
      <c r="CK229" s="27"/>
      <c r="CL229" s="25">
        <v>17</v>
      </c>
      <c r="CM229" s="33"/>
      <c r="CN229" s="33"/>
      <c r="CO229" s="33"/>
      <c r="CP229" s="33"/>
    </row>
    <row r="230" spans="1:94" x14ac:dyDescent="0.25">
      <c r="A230" s="25" t="s">
        <v>147</v>
      </c>
      <c r="B230" s="25" t="s">
        <v>354</v>
      </c>
      <c r="C230" s="25" t="s">
        <v>575</v>
      </c>
      <c r="D230" s="25">
        <v>217</v>
      </c>
      <c r="E230" s="35" cm="1">
        <f t="array" ref="E230">IFERROR(INDEX($J$5:$AVX$5, _xlfn.AGGREGATE(15,6, COLUMN(J230:AVX230)-COLUMN(J230)+1 / (J230:AVX230="T"), F230)), "")</f>
        <v>46019</v>
      </c>
      <c r="F230" s="76">
        <f t="shared" si="25"/>
        <v>2</v>
      </c>
      <c r="G230" s="35" cm="1">
        <f t="array" ref="G230">IFERROR(INDEX($J$5:$AVW$5,_xlfn.AGGREGATE(14,6,(COLUMN($J230:$AVW230)-COLUMN($J230)+1)/($J230:$AVW230="T"),1)),"")</f>
        <v>46019</v>
      </c>
      <c r="H230" s="79">
        <f t="shared" si="26"/>
        <v>2</v>
      </c>
      <c r="I230" s="38" t="s">
        <v>10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25" t="s">
        <v>12</v>
      </c>
      <c r="AM230" s="27"/>
      <c r="AN230" s="27"/>
      <c r="AO230" s="27"/>
      <c r="AP230" s="28"/>
      <c r="AQ230" s="27"/>
      <c r="AR230" s="27"/>
      <c r="AS230" s="29" t="s">
        <v>16</v>
      </c>
      <c r="AT230" s="30" t="s">
        <v>13</v>
      </c>
      <c r="AU230" s="27"/>
      <c r="AV230" s="27"/>
      <c r="AW230" s="28"/>
      <c r="AX230" s="27"/>
      <c r="AY230" s="27"/>
      <c r="AZ230" s="32" t="s">
        <v>14</v>
      </c>
      <c r="BA230" s="30" t="s">
        <v>11</v>
      </c>
      <c r="BB230" s="27"/>
      <c r="BC230" s="27"/>
      <c r="BD230" s="28"/>
      <c r="BE230" s="27"/>
      <c r="BF230" s="29" t="s">
        <v>15</v>
      </c>
      <c r="BG230" s="27"/>
      <c r="BH230" s="27"/>
      <c r="BI230" s="25">
        <v>17</v>
      </c>
      <c r="BJ230" s="33"/>
      <c r="BK230" s="33"/>
      <c r="BL230" s="33"/>
      <c r="BM230" s="33"/>
      <c r="BN230" s="33"/>
      <c r="BO230" s="25" t="s">
        <v>12</v>
      </c>
      <c r="BP230" s="27"/>
      <c r="BQ230" s="27"/>
      <c r="BR230" s="27"/>
      <c r="BS230" s="28"/>
      <c r="BT230" s="27"/>
      <c r="BU230" s="27"/>
      <c r="BV230" s="29" t="s">
        <v>16</v>
      </c>
      <c r="BW230" s="30" t="s">
        <v>13</v>
      </c>
      <c r="BX230" s="27"/>
      <c r="BY230" s="27"/>
      <c r="BZ230" s="28"/>
      <c r="CA230" s="27"/>
      <c r="CB230" s="27"/>
      <c r="CC230" s="29" t="s">
        <v>14</v>
      </c>
      <c r="CD230" s="30" t="s">
        <v>11</v>
      </c>
      <c r="CE230" s="37"/>
      <c r="CF230" s="27"/>
      <c r="CG230" s="28"/>
      <c r="CH230" s="27"/>
      <c r="CI230" s="29" t="s">
        <v>15</v>
      </c>
      <c r="CJ230" s="27"/>
      <c r="CK230" s="27"/>
      <c r="CL230" s="25">
        <v>17</v>
      </c>
      <c r="CM230" s="33"/>
      <c r="CN230" s="33"/>
      <c r="CO230" s="33"/>
      <c r="CP230" s="33"/>
    </row>
    <row r="231" spans="1:94" x14ac:dyDescent="0.25">
      <c r="A231" s="25" t="s">
        <v>147</v>
      </c>
      <c r="B231" s="25" t="s">
        <v>355</v>
      </c>
      <c r="C231" s="25" t="s">
        <v>576</v>
      </c>
      <c r="D231" s="25">
        <v>218</v>
      </c>
      <c r="E231" s="35" cm="1">
        <f t="array" ref="E231">IFERROR(INDEX($J$5:$AVX$5, _xlfn.AGGREGATE(15,6, COLUMN(J231:AVX231)-COLUMN(J231)+1 / (J231:AVX231="T"), F231)), "")</f>
        <v>46019</v>
      </c>
      <c r="F231" s="76">
        <f t="shared" si="25"/>
        <v>2</v>
      </c>
      <c r="G231" s="35" cm="1">
        <f t="array" ref="G231">IFERROR(INDEX($J$5:$AVW$5,_xlfn.AGGREGATE(14,6,(COLUMN($J231:$AVW231)-COLUMN($J231)+1)/($J231:$AVW231="T"),1)),"")</f>
        <v>46019</v>
      </c>
      <c r="H231" s="79">
        <f t="shared" si="26"/>
        <v>2</v>
      </c>
      <c r="I231" s="38" t="s">
        <v>10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25" t="s">
        <v>12</v>
      </c>
      <c r="AM231" s="27"/>
      <c r="AN231" s="27"/>
      <c r="AO231" s="27"/>
      <c r="AP231" s="28"/>
      <c r="AQ231" s="27"/>
      <c r="AR231" s="27"/>
      <c r="AS231" s="29" t="s">
        <v>16</v>
      </c>
      <c r="AT231" s="30" t="s">
        <v>13</v>
      </c>
      <c r="AU231" s="27"/>
      <c r="AV231" s="27"/>
      <c r="AW231" s="28"/>
      <c r="AX231" s="27"/>
      <c r="AY231" s="27"/>
      <c r="AZ231" s="32" t="s">
        <v>14</v>
      </c>
      <c r="BA231" s="30" t="s">
        <v>11</v>
      </c>
      <c r="BB231" s="27"/>
      <c r="BC231" s="27"/>
      <c r="BD231" s="28"/>
      <c r="BE231" s="27"/>
      <c r="BF231" s="29" t="s">
        <v>15</v>
      </c>
      <c r="BG231" s="27"/>
      <c r="BH231" s="27"/>
      <c r="BI231" s="25">
        <v>17</v>
      </c>
      <c r="BJ231" s="33"/>
      <c r="BK231" s="33"/>
      <c r="BL231" s="33"/>
      <c r="BM231" s="33"/>
      <c r="BN231" s="33"/>
      <c r="BO231" s="25" t="s">
        <v>12</v>
      </c>
      <c r="BP231" s="27"/>
      <c r="BQ231" s="27"/>
      <c r="BR231" s="27"/>
      <c r="BS231" s="28"/>
      <c r="BT231" s="27"/>
      <c r="BU231" s="27"/>
      <c r="BV231" s="29" t="s">
        <v>16</v>
      </c>
      <c r="BW231" s="30" t="s">
        <v>13</v>
      </c>
      <c r="BX231" s="27"/>
      <c r="BY231" s="27"/>
      <c r="BZ231" s="28"/>
      <c r="CA231" s="27"/>
      <c r="CB231" s="27"/>
      <c r="CC231" s="29" t="s">
        <v>14</v>
      </c>
      <c r="CD231" s="30" t="s">
        <v>11</v>
      </c>
      <c r="CE231" s="37"/>
      <c r="CF231" s="27"/>
      <c r="CG231" s="28"/>
      <c r="CH231" s="27"/>
      <c r="CI231" s="29" t="s">
        <v>15</v>
      </c>
      <c r="CJ231" s="27"/>
      <c r="CK231" s="27"/>
      <c r="CL231" s="25">
        <v>17</v>
      </c>
      <c r="CM231" s="33"/>
      <c r="CN231" s="33"/>
      <c r="CO231" s="33"/>
      <c r="CP231" s="33"/>
    </row>
    <row r="232" spans="1:94" x14ac:dyDescent="0.25">
      <c r="A232" s="25" t="s">
        <v>147</v>
      </c>
      <c r="B232" s="25" t="s">
        <v>356</v>
      </c>
      <c r="C232" s="25" t="s">
        <v>577</v>
      </c>
      <c r="D232" s="25">
        <v>219</v>
      </c>
      <c r="E232" s="35" cm="1">
        <f t="array" ref="E232">IFERROR(INDEX($J$5:$AVX$5, _xlfn.AGGREGATE(15,6, COLUMN(J232:AVX232)-COLUMN(J232)+1 / (J232:AVX232="T"), F232)), "")</f>
        <v>46019</v>
      </c>
      <c r="F232" s="76">
        <f t="shared" si="25"/>
        <v>2</v>
      </c>
      <c r="G232" s="35" cm="1">
        <f t="array" ref="G232">IFERROR(INDEX($J$5:$AVW$5,_xlfn.AGGREGATE(14,6,(COLUMN($J232:$AVW232)-COLUMN($J232)+1)/($J232:$AVW232="T"),1)),"")</f>
        <v>46019</v>
      </c>
      <c r="H232" s="79">
        <f t="shared" si="26"/>
        <v>2</v>
      </c>
      <c r="I232" s="38" t="s">
        <v>10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25" t="s">
        <v>12</v>
      </c>
      <c r="AN232" s="27"/>
      <c r="AO232" s="27"/>
      <c r="AP232" s="27"/>
      <c r="AQ232" s="28"/>
      <c r="AR232" s="27"/>
      <c r="AS232" s="27"/>
      <c r="AT232" s="29" t="s">
        <v>16</v>
      </c>
      <c r="AU232" s="30" t="s">
        <v>13</v>
      </c>
      <c r="AV232" s="27"/>
      <c r="AW232" s="27"/>
      <c r="AX232" s="28"/>
      <c r="AY232" s="27"/>
      <c r="AZ232" s="27"/>
      <c r="BA232" s="32" t="s">
        <v>14</v>
      </c>
      <c r="BB232" s="30" t="s">
        <v>11</v>
      </c>
      <c r="BC232" s="27"/>
      <c r="BD232" s="27"/>
      <c r="BE232" s="28"/>
      <c r="BF232" s="27"/>
      <c r="BG232" s="29" t="s">
        <v>15</v>
      </c>
      <c r="BH232" s="27"/>
      <c r="BI232" s="27"/>
      <c r="BJ232" s="25">
        <v>17</v>
      </c>
      <c r="BK232" s="33"/>
      <c r="BL232" s="33"/>
      <c r="BM232" s="33"/>
      <c r="BN232" s="33"/>
      <c r="BO232" s="25" t="s">
        <v>12</v>
      </c>
      <c r="BP232" s="27"/>
      <c r="BQ232" s="27"/>
      <c r="BR232" s="27"/>
      <c r="BS232" s="28"/>
      <c r="BT232" s="27"/>
      <c r="BU232" s="27"/>
      <c r="BV232" s="29" t="s">
        <v>16</v>
      </c>
      <c r="BW232" s="30" t="s">
        <v>13</v>
      </c>
      <c r="BX232" s="27"/>
      <c r="BY232" s="27"/>
      <c r="BZ232" s="28"/>
      <c r="CA232" s="27"/>
      <c r="CB232" s="27"/>
      <c r="CC232" s="29" t="s">
        <v>14</v>
      </c>
      <c r="CD232" s="30" t="s">
        <v>11</v>
      </c>
      <c r="CE232" s="37"/>
      <c r="CF232" s="27"/>
      <c r="CG232" s="28"/>
      <c r="CH232" s="27"/>
      <c r="CI232" s="29" t="s">
        <v>15</v>
      </c>
      <c r="CJ232" s="27"/>
      <c r="CK232" s="27"/>
      <c r="CL232" s="25">
        <v>17</v>
      </c>
      <c r="CM232" s="33"/>
      <c r="CN232" s="33"/>
      <c r="CO232" s="33"/>
      <c r="CP232" s="33"/>
    </row>
    <row r="233" spans="1:94" x14ac:dyDescent="0.25">
      <c r="A233" s="25" t="s">
        <v>147</v>
      </c>
      <c r="B233" s="25" t="s">
        <v>357</v>
      </c>
      <c r="C233" s="25" t="s">
        <v>578</v>
      </c>
      <c r="D233" s="25">
        <v>220</v>
      </c>
      <c r="E233" s="35" cm="1">
        <f t="array" ref="E233">IFERROR(INDEX($J$5:$AVX$5, _xlfn.AGGREGATE(15,6, COLUMN(J233:AVX233)-COLUMN(J233)+1 / (J233:AVX233="T"), F233)), "")</f>
        <v>46019</v>
      </c>
      <c r="F233" s="76">
        <f t="shared" si="25"/>
        <v>2</v>
      </c>
      <c r="G233" s="35" cm="1">
        <f t="array" ref="G233">IFERROR(INDEX($J$5:$AVW$5,_xlfn.AGGREGATE(14,6,(COLUMN($J233:$AVW233)-COLUMN($J233)+1)/($J233:$AVW233="T"),1)),"")</f>
        <v>46019</v>
      </c>
      <c r="H233" s="79">
        <f t="shared" si="26"/>
        <v>2</v>
      </c>
      <c r="I233" s="38" t="s">
        <v>10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25" t="s">
        <v>12</v>
      </c>
      <c r="AN233" s="27"/>
      <c r="AO233" s="27"/>
      <c r="AP233" s="27"/>
      <c r="AQ233" s="28"/>
      <c r="AR233" s="27"/>
      <c r="AS233" s="27"/>
      <c r="AT233" s="29" t="s">
        <v>16</v>
      </c>
      <c r="AU233" s="30" t="s">
        <v>13</v>
      </c>
      <c r="AV233" s="27"/>
      <c r="AW233" s="27"/>
      <c r="AX233" s="28"/>
      <c r="AY233" s="27"/>
      <c r="AZ233" s="27"/>
      <c r="BA233" s="32" t="s">
        <v>14</v>
      </c>
      <c r="BB233" s="30" t="s">
        <v>11</v>
      </c>
      <c r="BC233" s="27"/>
      <c r="BD233" s="27"/>
      <c r="BE233" s="28"/>
      <c r="BF233" s="27"/>
      <c r="BG233" s="29" t="s">
        <v>15</v>
      </c>
      <c r="BH233" s="27"/>
      <c r="BI233" s="27"/>
      <c r="BJ233" s="25">
        <v>17</v>
      </c>
      <c r="BK233" s="33"/>
      <c r="BL233" s="33"/>
      <c r="BM233" s="33"/>
      <c r="BN233" s="33"/>
      <c r="BO233" s="25" t="s">
        <v>12</v>
      </c>
      <c r="BP233" s="27"/>
      <c r="BQ233" s="27"/>
      <c r="BR233" s="27"/>
      <c r="BS233" s="28"/>
      <c r="BT233" s="27"/>
      <c r="BU233" s="27"/>
      <c r="BV233" s="29" t="s">
        <v>16</v>
      </c>
      <c r="BW233" s="30" t="s">
        <v>13</v>
      </c>
      <c r="BX233" s="27"/>
      <c r="BY233" s="27"/>
      <c r="BZ233" s="28"/>
      <c r="CA233" s="27"/>
      <c r="CB233" s="27"/>
      <c r="CC233" s="29" t="s">
        <v>14</v>
      </c>
      <c r="CD233" s="30" t="s">
        <v>11</v>
      </c>
      <c r="CE233" s="37"/>
      <c r="CF233" s="27"/>
      <c r="CG233" s="28"/>
      <c r="CH233" s="27"/>
      <c r="CI233" s="29" t="s">
        <v>15</v>
      </c>
      <c r="CJ233" s="27"/>
      <c r="CK233" s="27"/>
      <c r="CL233" s="25">
        <v>17</v>
      </c>
      <c r="CM233" s="33"/>
      <c r="CN233" s="33"/>
      <c r="CO233" s="33"/>
      <c r="CP233" s="33"/>
    </row>
    <row r="234" spans="1:94" x14ac:dyDescent="0.25">
      <c r="A234" s="25" t="s">
        <v>147</v>
      </c>
      <c r="B234" s="25" t="s">
        <v>358</v>
      </c>
      <c r="C234" s="25" t="s">
        <v>579</v>
      </c>
      <c r="D234" s="25">
        <v>221</v>
      </c>
      <c r="E234" s="35" cm="1">
        <f t="array" ref="E234">IFERROR(INDEX($J$5:$AVX$5, _xlfn.AGGREGATE(15,6, COLUMN(J234:AVX234)-COLUMN(J234)+1 / (J234:AVX234="T"), F234)), "")</f>
        <v>46019</v>
      </c>
      <c r="F234" s="76">
        <f t="shared" si="25"/>
        <v>2</v>
      </c>
      <c r="G234" s="35" cm="1">
        <f t="array" ref="G234">IFERROR(INDEX($J$5:$AVW$5,_xlfn.AGGREGATE(14,6,(COLUMN($J234:$AVW234)-COLUMN($J234)+1)/($J234:$AVW234="T"),1)),"")</f>
        <v>46019</v>
      </c>
      <c r="H234" s="79">
        <f t="shared" si="26"/>
        <v>2</v>
      </c>
      <c r="I234" s="38" t="s">
        <v>10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25" t="s">
        <v>12</v>
      </c>
      <c r="AN234" s="27"/>
      <c r="AO234" s="27"/>
      <c r="AP234" s="27"/>
      <c r="AQ234" s="28"/>
      <c r="AR234" s="27"/>
      <c r="AS234" s="27"/>
      <c r="AT234" s="29" t="s">
        <v>16</v>
      </c>
      <c r="AU234" s="30" t="s">
        <v>13</v>
      </c>
      <c r="AV234" s="27"/>
      <c r="AW234" s="27"/>
      <c r="AX234" s="28"/>
      <c r="AY234" s="27"/>
      <c r="AZ234" s="27"/>
      <c r="BA234" s="32" t="s">
        <v>14</v>
      </c>
      <c r="BB234" s="30" t="s">
        <v>11</v>
      </c>
      <c r="BC234" s="27"/>
      <c r="BD234" s="27"/>
      <c r="BE234" s="28"/>
      <c r="BF234" s="27"/>
      <c r="BG234" s="29" t="s">
        <v>15</v>
      </c>
      <c r="BH234" s="27"/>
      <c r="BI234" s="27"/>
      <c r="BJ234" s="25">
        <v>17</v>
      </c>
      <c r="BK234" s="33"/>
      <c r="BL234" s="33"/>
      <c r="BM234" s="33"/>
      <c r="BN234" s="33"/>
      <c r="BO234" s="25" t="s">
        <v>12</v>
      </c>
      <c r="BP234" s="27"/>
      <c r="BQ234" s="27"/>
      <c r="BR234" s="27"/>
      <c r="BS234" s="28"/>
      <c r="BT234" s="27"/>
      <c r="BU234" s="27"/>
      <c r="BV234" s="29" t="s">
        <v>16</v>
      </c>
      <c r="BW234" s="30" t="s">
        <v>13</v>
      </c>
      <c r="BX234" s="27"/>
      <c r="BY234" s="27"/>
      <c r="BZ234" s="28"/>
      <c r="CA234" s="27"/>
      <c r="CB234" s="27"/>
      <c r="CC234" s="29" t="s">
        <v>14</v>
      </c>
      <c r="CD234" s="30" t="s">
        <v>11</v>
      </c>
      <c r="CE234" s="37"/>
      <c r="CF234" s="27"/>
      <c r="CG234" s="28"/>
      <c r="CH234" s="27"/>
      <c r="CI234" s="29" t="s">
        <v>15</v>
      </c>
      <c r="CJ234" s="27"/>
      <c r="CK234" s="27"/>
      <c r="CL234" s="25">
        <v>17</v>
      </c>
      <c r="CM234" s="33"/>
      <c r="CN234" s="33"/>
      <c r="CO234" s="33"/>
      <c r="CP234" s="33"/>
    </row>
  </sheetData>
  <autoFilter ref="A13:BS234" xr:uid="{B02859C0-7031-4F52-8D1A-FCBDF86448AE}">
    <sortState xmlns:xlrd2="http://schemas.microsoft.com/office/spreadsheetml/2017/richdata2" ref="A14:BS234">
      <sortCondition ref="D13:D234"/>
    </sortState>
  </autoFilter>
  <sortState xmlns:xlrd2="http://schemas.microsoft.com/office/spreadsheetml/2017/richdata2" ref="B54:B66">
    <sortCondition ref="B54:B66"/>
  </sortState>
  <mergeCells count="6">
    <mergeCell ref="B12:I12"/>
    <mergeCell ref="A1:B1"/>
    <mergeCell ref="B8:I8"/>
    <mergeCell ref="B9:I9"/>
    <mergeCell ref="B10:I10"/>
    <mergeCell ref="B11:I11"/>
  </mergeCells>
  <conditionalFormatting sqref="E14:H234">
    <cfRule type="containsBlanks" dxfId="1018" priority="911">
      <formula>LEN(TRIM(E14))=0</formula>
    </cfRule>
  </conditionalFormatting>
  <conditionalFormatting sqref="J114:J119 BT207:BV213 AW168:BA174 BZ168:CP174">
    <cfRule type="containsText" dxfId="1017" priority="906" operator="containsText" text="T">
      <formula>NOT(ISERROR(SEARCH("T",J114)))</formula>
    </cfRule>
  </conditionalFormatting>
  <conditionalFormatting sqref="J120:M126">
    <cfRule type="containsText" dxfId="1016" priority="447" operator="containsText" text="T">
      <formula>NOT(ISERROR(SEARCH("T",J120)))</formula>
    </cfRule>
  </conditionalFormatting>
  <conditionalFormatting sqref="J113:T113">
    <cfRule type="containsText" dxfId="1015" priority="898" operator="containsText" text="17">
      <formula>NOT(ISERROR(SEARCH("17",J113)))</formula>
    </cfRule>
    <cfRule type="containsText" dxfId="1014" priority="899" operator="containsText" text="T">
      <formula>NOT(ISERROR(SEARCH("T",J113)))</formula>
    </cfRule>
  </conditionalFormatting>
  <conditionalFormatting sqref="J67:X68 BT207:BV213">
    <cfRule type="containsText" dxfId="1013" priority="843" operator="containsText" text="17">
      <formula>NOT(ISERROR(SEARCH("17",J67)))</formula>
    </cfRule>
  </conditionalFormatting>
  <conditionalFormatting sqref="J97:X98">
    <cfRule type="containsText" dxfId="1012" priority="833" operator="containsText" text="17">
      <formula>NOT(ISERROR(SEARCH("17",J97)))</formula>
    </cfRule>
  </conditionalFormatting>
  <conditionalFormatting sqref="J67:Z68">
    <cfRule type="containsText" dxfId="1011" priority="837" operator="containsText" text="T">
      <formula>NOT(ISERROR(SEARCH("T",J67)))</formula>
    </cfRule>
  </conditionalFormatting>
  <conditionalFormatting sqref="J97:Z98">
    <cfRule type="containsText" dxfId="1010" priority="827" operator="containsText" text="T">
      <formula>NOT(ISERROR(SEARCH("T",J97)))</formula>
    </cfRule>
  </conditionalFormatting>
  <conditionalFormatting sqref="J127:Z130">
    <cfRule type="containsText" dxfId="1009" priority="807" operator="containsText" text="T">
      <formula>NOT(ISERROR(SEARCH("T",J127)))</formula>
    </cfRule>
  </conditionalFormatting>
  <conditionalFormatting sqref="J114:AD119 J113:R113">
    <cfRule type="containsText" dxfId="1008" priority="905" operator="containsText" text="17">
      <formula>NOT(ISERROR(SEARCH("17",J113)))</formula>
    </cfRule>
  </conditionalFormatting>
  <conditionalFormatting sqref="J48:AO49">
    <cfRule type="containsText" dxfId="1007" priority="580" operator="containsText" text="17">
      <formula>NOT(ISERROR(SEARCH("17",J48)))</formula>
    </cfRule>
  </conditionalFormatting>
  <conditionalFormatting sqref="J63:AP66">
    <cfRule type="containsText" dxfId="1006" priority="560" operator="containsText" text="17">
      <formula>NOT(ISERROR(SEARCH("17",J63)))</formula>
    </cfRule>
  </conditionalFormatting>
  <conditionalFormatting sqref="J48:AQ49">
    <cfRule type="containsText" dxfId="1005" priority="574" operator="containsText" text="T">
      <formula>NOT(ISERROR(SEARCH("T",J48)))</formula>
    </cfRule>
  </conditionalFormatting>
  <conditionalFormatting sqref="J59:AQ62">
    <cfRule type="containsText" dxfId="1004" priority="546" operator="containsText" text="17">
      <formula>NOT(ISERROR(SEARCH("17",J59)))</formula>
    </cfRule>
  </conditionalFormatting>
  <conditionalFormatting sqref="J86:AQ89">
    <cfRule type="containsText" dxfId="1003" priority="536" operator="containsText" text="17">
      <formula>NOT(ISERROR(SEARCH("17",J86)))</formula>
    </cfRule>
  </conditionalFormatting>
  <conditionalFormatting sqref="J50:AR53">
    <cfRule type="containsText" dxfId="1002" priority="564" operator="containsText" text="T">
      <formula>NOT(ISERROR(SEARCH("T",J50)))</formula>
    </cfRule>
  </conditionalFormatting>
  <conditionalFormatting sqref="J63:AR66">
    <cfRule type="containsText" dxfId="1001" priority="554" operator="containsText" text="T">
      <formula>NOT(ISERROR(SEARCH("T",J63)))</formula>
    </cfRule>
  </conditionalFormatting>
  <conditionalFormatting sqref="J83:AR85">
    <cfRule type="containsText" dxfId="1000" priority="526" operator="containsText" text="17">
      <formula>NOT(ISERROR(SEARCH("17",J83)))</formula>
    </cfRule>
  </conditionalFormatting>
  <conditionalFormatting sqref="J214:AR217">
    <cfRule type="containsText" dxfId="999" priority="516" operator="containsText" text="17">
      <formula>NOT(ISERROR(SEARCH("17",J214)))</formula>
    </cfRule>
  </conditionalFormatting>
  <conditionalFormatting sqref="J59:AS62">
    <cfRule type="containsText" dxfId="998" priority="540" operator="containsText" text="T">
      <formula>NOT(ISERROR(SEARCH("T",J59)))</formula>
    </cfRule>
  </conditionalFormatting>
  <conditionalFormatting sqref="J86:AS89">
    <cfRule type="containsText" dxfId="997" priority="530" operator="containsText" text="T">
      <formula>NOT(ISERROR(SEARCH("T",J86)))</formula>
    </cfRule>
  </conditionalFormatting>
  <conditionalFormatting sqref="J218:AS224">
    <cfRule type="containsText" dxfId="996" priority="506" operator="containsText" text="17">
      <formula>NOT(ISERROR(SEARCH("17",J218)))</formula>
    </cfRule>
  </conditionalFormatting>
  <conditionalFormatting sqref="J83:AT85">
    <cfRule type="containsText" dxfId="995" priority="520" operator="containsText" text="T">
      <formula>NOT(ISERROR(SEARCH("T",J83)))</formula>
    </cfRule>
  </conditionalFormatting>
  <conditionalFormatting sqref="J214:AT217">
    <cfRule type="containsText" dxfId="994" priority="510" operator="containsText" text="T">
      <formula>NOT(ISERROR(SEARCH("T",J214)))</formula>
    </cfRule>
  </conditionalFormatting>
  <conditionalFormatting sqref="J225:AT231">
    <cfRule type="containsText" dxfId="993" priority="496" operator="containsText" text="17">
      <formula>NOT(ISERROR(SEARCH("17",J225)))</formula>
    </cfRule>
  </conditionalFormatting>
  <conditionalFormatting sqref="J218:AU224">
    <cfRule type="containsText" dxfId="992" priority="500" operator="containsText" text="T">
      <formula>NOT(ISERROR(SEARCH("T",J218)))</formula>
    </cfRule>
  </conditionalFormatting>
  <conditionalFormatting sqref="J232:AU234">
    <cfRule type="containsText" dxfId="991" priority="486" operator="containsText" text="17">
      <formula>NOT(ISERROR(SEARCH("17",J232)))</formula>
    </cfRule>
  </conditionalFormatting>
  <conditionalFormatting sqref="J225:AV231">
    <cfRule type="containsText" dxfId="990" priority="490" operator="containsText" text="T">
      <formula>NOT(ISERROR(SEARCH("T",J225)))</formula>
    </cfRule>
  </conditionalFormatting>
  <conditionalFormatting sqref="J232:AW234">
    <cfRule type="containsText" dxfId="989" priority="480" operator="containsText" text="T">
      <formula>NOT(ISERROR(SEARCH("T",J232)))</formula>
    </cfRule>
  </conditionalFormatting>
  <conditionalFormatting sqref="J33:CP33">
    <cfRule type="containsText" dxfId="988" priority="1058" operator="containsText" text="T">
      <formula>NOT(ISERROR(SEARCH("T",J33)))</formula>
    </cfRule>
  </conditionalFormatting>
  <conditionalFormatting sqref="K77:K82">
    <cfRule type="containsText" dxfId="987" priority="893" operator="containsText" text="T">
      <formula>NOT(ISERROR(SEARCH("T",K77)))</formula>
    </cfRule>
  </conditionalFormatting>
  <conditionalFormatting sqref="K76:U76">
    <cfRule type="containsText" dxfId="986" priority="885" operator="containsText" text="17">
      <formula>NOT(ISERROR(SEARCH("17",K76)))</formula>
    </cfRule>
    <cfRule type="containsText" dxfId="985" priority="886" operator="containsText" text="T">
      <formula>NOT(ISERROR(SEARCH("T",K76)))</formula>
    </cfRule>
  </conditionalFormatting>
  <conditionalFormatting sqref="K77:AE82 K76:S76">
    <cfRule type="containsText" dxfId="984" priority="892" operator="containsText" text="17">
      <formula>NOT(ISERROR(SEARCH("17",K76)))</formula>
    </cfRule>
  </conditionalFormatting>
  <conditionalFormatting sqref="L107:L112">
    <cfRule type="containsText" dxfId="983" priority="880" operator="containsText" text="T">
      <formula>NOT(ISERROR(SEARCH("T",L107)))</formula>
    </cfRule>
  </conditionalFormatting>
  <conditionalFormatting sqref="L106:V106">
    <cfRule type="containsText" dxfId="982" priority="872" operator="containsText" text="17">
      <formula>NOT(ISERROR(SEARCH("17",L106)))</formula>
    </cfRule>
    <cfRule type="containsText" dxfId="981" priority="873" operator="containsText" text="T">
      <formula>NOT(ISERROR(SEARCH("T",L106)))</formula>
    </cfRule>
  </conditionalFormatting>
  <conditionalFormatting sqref="L107:AF112 L106:T106">
    <cfRule type="containsText" dxfId="980" priority="879" operator="containsText" text="17">
      <formula>NOT(ISERROR(SEARCH("17",L106)))</formula>
    </cfRule>
  </conditionalFormatting>
  <conditionalFormatting sqref="M120:AG126 AJ120:AJ126">
    <cfRule type="containsText" dxfId="979" priority="444" operator="containsText" text="T">
      <formula>NOT(ISERROR(SEARCH("T",M120)))</formula>
    </cfRule>
  </conditionalFormatting>
  <conditionalFormatting sqref="M120:AG126">
    <cfRule type="containsText" dxfId="978" priority="446" operator="containsText" text="17">
      <formula>NOT(ISERROR(SEARCH("17",M120)))</formula>
    </cfRule>
  </conditionalFormatting>
  <conditionalFormatting sqref="N70:N75">
    <cfRule type="containsText" dxfId="977" priority="867" operator="containsText" text="T">
      <formula>NOT(ISERROR(SEARCH("T",N70)))</formula>
    </cfRule>
  </conditionalFormatting>
  <conditionalFormatting sqref="N69:X69">
    <cfRule type="containsText" dxfId="976" priority="859" operator="containsText" text="17">
      <formula>NOT(ISERROR(SEARCH("17",N69)))</formula>
    </cfRule>
    <cfRule type="containsText" dxfId="975" priority="860" operator="containsText" text="T">
      <formula>NOT(ISERROR(SEARCH("T",N69)))</formula>
    </cfRule>
  </conditionalFormatting>
  <conditionalFormatting sqref="N70:AH75 N69:V69">
    <cfRule type="containsText" dxfId="974" priority="866" operator="containsText" text="17">
      <formula>NOT(ISERROR(SEARCH("17",N69)))</formula>
    </cfRule>
  </conditionalFormatting>
  <conditionalFormatting sqref="O100:O105">
    <cfRule type="containsText" dxfId="973" priority="854" operator="containsText" text="T">
      <formula>NOT(ISERROR(SEARCH("T",O100)))</formula>
    </cfRule>
  </conditionalFormatting>
  <conditionalFormatting sqref="O99:Y99">
    <cfRule type="containsText" dxfId="972" priority="846" operator="containsText" text="17">
      <formula>NOT(ISERROR(SEARCH("17",O99)))</formula>
    </cfRule>
    <cfRule type="containsText" dxfId="971" priority="847" operator="containsText" text="T">
      <formula>NOT(ISERROR(SEARCH("T",O99)))</formula>
    </cfRule>
  </conditionalFormatting>
  <conditionalFormatting sqref="O100:AI105 O99:W99">
    <cfRule type="containsText" dxfId="970" priority="853" operator="containsText" text="17">
      <formula>NOT(ISERROR(SEARCH("17",O99)))</formula>
    </cfRule>
  </conditionalFormatting>
  <conditionalFormatting sqref="P67:Z68">
    <cfRule type="containsText" dxfId="969" priority="836" operator="containsText" text="17">
      <formula>NOT(ISERROR(SEARCH("17",P67)))</formula>
    </cfRule>
  </conditionalFormatting>
  <conditionalFormatting sqref="P97:Z98">
    <cfRule type="containsText" dxfId="968" priority="826" operator="containsText" text="17">
      <formula>NOT(ISERROR(SEARCH("17",P97)))</formula>
    </cfRule>
  </conditionalFormatting>
  <conditionalFormatting sqref="P127:Z130">
    <cfRule type="containsText" dxfId="967" priority="806" operator="containsText" text="17">
      <formula>NOT(ISERROR(SEARCH("17",P127)))</formula>
    </cfRule>
  </conditionalFormatting>
  <conditionalFormatting sqref="Q132:Q137">
    <cfRule type="containsText" dxfId="966" priority="801" operator="containsText" text="T">
      <formula>NOT(ISERROR(SEARCH("T",Q132)))</formula>
    </cfRule>
  </conditionalFormatting>
  <conditionalFormatting sqref="Q131:AA131">
    <cfRule type="containsText" dxfId="965" priority="793" operator="containsText" text="17">
      <formula>NOT(ISERROR(SEARCH("17",Q131)))</formula>
    </cfRule>
    <cfRule type="containsText" dxfId="964" priority="794" operator="containsText" text="T">
      <formula>NOT(ISERROR(SEARCH("T",Q131)))</formula>
    </cfRule>
  </conditionalFormatting>
  <conditionalFormatting sqref="Q132:AK137 Q131:Y131">
    <cfRule type="containsText" dxfId="963" priority="800" operator="containsText" text="17">
      <formula>NOT(ISERROR(SEARCH("17",Q131)))</formula>
    </cfRule>
  </conditionalFormatting>
  <conditionalFormatting sqref="R139:R144">
    <cfRule type="containsText" dxfId="962" priority="788" operator="containsText" text="T">
      <formula>NOT(ISERROR(SEARCH("T",R139)))</formula>
    </cfRule>
  </conditionalFormatting>
  <conditionalFormatting sqref="R138:AB138">
    <cfRule type="containsText" dxfId="961" priority="780" operator="containsText" text="17">
      <formula>NOT(ISERROR(SEARCH("17",R138)))</formula>
    </cfRule>
    <cfRule type="containsText" dxfId="960" priority="781" operator="containsText" text="T">
      <formula>NOT(ISERROR(SEARCH("T",R138)))</formula>
    </cfRule>
  </conditionalFormatting>
  <conditionalFormatting sqref="R139:AL144 R138:Z138">
    <cfRule type="containsText" dxfId="959" priority="787" operator="containsText" text="17">
      <formula>NOT(ISERROR(SEARCH("17",R138)))</formula>
    </cfRule>
  </conditionalFormatting>
  <conditionalFormatting sqref="S146:S151">
    <cfRule type="containsText" dxfId="958" priority="775" operator="containsText" text="T">
      <formula>NOT(ISERROR(SEARCH("T",S146)))</formula>
    </cfRule>
  </conditionalFormatting>
  <conditionalFormatting sqref="S145:AC145">
    <cfRule type="containsText" dxfId="957" priority="767" operator="containsText" text="17">
      <formula>NOT(ISERROR(SEARCH("17",S145)))</formula>
    </cfRule>
    <cfRule type="containsText" dxfId="956" priority="768" operator="containsText" text="T">
      <formula>NOT(ISERROR(SEARCH("T",S145)))</formula>
    </cfRule>
  </conditionalFormatting>
  <conditionalFormatting sqref="S146:AM151 S145:AA145">
    <cfRule type="containsText" dxfId="955" priority="774" operator="containsText" text="17">
      <formula>NOT(ISERROR(SEARCH("17",S145)))</formula>
    </cfRule>
  </conditionalFormatting>
  <conditionalFormatting sqref="T153:T158">
    <cfRule type="containsText" dxfId="954" priority="762" operator="containsText" text="T">
      <formula>NOT(ISERROR(SEARCH("T",T153)))</formula>
    </cfRule>
  </conditionalFormatting>
  <conditionalFormatting sqref="T152:AD152">
    <cfRule type="containsText" dxfId="953" priority="754" operator="containsText" text="17">
      <formula>NOT(ISERROR(SEARCH("17",T152)))</formula>
    </cfRule>
    <cfRule type="containsText" dxfId="952" priority="755" operator="containsText" text="T">
      <formula>NOT(ISERROR(SEARCH("T",T152)))</formula>
    </cfRule>
  </conditionalFormatting>
  <conditionalFormatting sqref="T153:AN158 T152:AB152">
    <cfRule type="containsText" dxfId="951" priority="761" operator="containsText" text="17">
      <formula>NOT(ISERROR(SEARCH("17",T152)))</formula>
    </cfRule>
  </conditionalFormatting>
  <conditionalFormatting sqref="U160:U165">
    <cfRule type="containsText" dxfId="950" priority="749" operator="containsText" text="T">
      <formula>NOT(ISERROR(SEARCH("T",U160)))</formula>
    </cfRule>
  </conditionalFormatting>
  <conditionalFormatting sqref="U113:AA113">
    <cfRule type="containsText" dxfId="949" priority="907" operator="containsText" text="17">
      <formula>NOT(ISERROR(SEARCH("17",U113)))</formula>
    </cfRule>
    <cfRule type="containsText" dxfId="948" priority="908" operator="containsText" text="T">
      <formula>NOT(ISERROR(SEARCH("T",U113)))</formula>
    </cfRule>
  </conditionalFormatting>
  <conditionalFormatting sqref="U159:AE159">
    <cfRule type="containsText" dxfId="947" priority="741" operator="containsText" text="17">
      <formula>NOT(ISERROR(SEARCH("17",U159)))</formula>
    </cfRule>
    <cfRule type="containsText" dxfId="946" priority="742" operator="containsText" text="T">
      <formula>NOT(ISERROR(SEARCH("T",U159)))</formula>
    </cfRule>
  </conditionalFormatting>
  <conditionalFormatting sqref="U160:AO165 U159:AC159">
    <cfRule type="containsText" dxfId="945" priority="748" operator="containsText" text="17">
      <formula>NOT(ISERROR(SEARCH("17",U159)))</formula>
    </cfRule>
  </conditionalFormatting>
  <conditionalFormatting sqref="V113">
    <cfRule type="containsText" dxfId="944" priority="903" operator="containsText" text="17">
      <formula>NOT(ISERROR(SEARCH("17",V113)))</formula>
    </cfRule>
    <cfRule type="containsText" dxfId="943" priority="904" operator="containsText" text="T">
      <formula>NOT(ISERROR(SEARCH("T",V113)))</formula>
    </cfRule>
  </conditionalFormatting>
  <conditionalFormatting sqref="V208:V213">
    <cfRule type="containsText" dxfId="942" priority="736" operator="containsText" text="T">
      <formula>NOT(ISERROR(SEARCH("T",V208)))</formula>
    </cfRule>
  </conditionalFormatting>
  <conditionalFormatting sqref="V76:AB76">
    <cfRule type="containsText" dxfId="941" priority="894" operator="containsText" text="17">
      <formula>NOT(ISERROR(SEARCH("17",V76)))</formula>
    </cfRule>
    <cfRule type="containsText" dxfId="940" priority="895" operator="containsText" text="T">
      <formula>NOT(ISERROR(SEARCH("T",V76)))</formula>
    </cfRule>
  </conditionalFormatting>
  <conditionalFormatting sqref="V207:AF207">
    <cfRule type="containsText" dxfId="939" priority="728" operator="containsText" text="17">
      <formula>NOT(ISERROR(SEARCH("17",V207)))</formula>
    </cfRule>
    <cfRule type="containsText" dxfId="938" priority="729" operator="containsText" text="T">
      <formula>NOT(ISERROR(SEARCH("T",V207)))</formula>
    </cfRule>
  </conditionalFormatting>
  <conditionalFormatting sqref="V208:AP213 V207:AD207">
    <cfRule type="containsText" dxfId="937" priority="735" operator="containsText" text="17">
      <formula>NOT(ISERROR(SEARCH("17",V207)))</formula>
    </cfRule>
  </conditionalFormatting>
  <conditionalFormatting sqref="W76">
    <cfRule type="containsText" dxfId="936" priority="890" operator="containsText" text="17">
      <formula>NOT(ISERROR(SEARCH("17",W76)))</formula>
    </cfRule>
    <cfRule type="containsText" dxfId="935" priority="891" operator="containsText" text="T">
      <formula>NOT(ISERROR(SEARCH("T",W76)))</formula>
    </cfRule>
  </conditionalFormatting>
  <conditionalFormatting sqref="W201:W206">
    <cfRule type="containsText" dxfId="934" priority="723" operator="containsText" text="T">
      <formula>NOT(ISERROR(SEARCH("T",W201)))</formula>
    </cfRule>
  </conditionalFormatting>
  <conditionalFormatting sqref="W106:AC106">
    <cfRule type="containsText" dxfId="933" priority="881" operator="containsText" text="17">
      <formula>NOT(ISERROR(SEARCH("17",W106)))</formula>
    </cfRule>
    <cfRule type="containsText" dxfId="932" priority="882" operator="containsText" text="T">
      <formula>NOT(ISERROR(SEARCH("T",W106)))</formula>
    </cfRule>
  </conditionalFormatting>
  <conditionalFormatting sqref="W200:AG200">
    <cfRule type="containsText" dxfId="931" priority="715" operator="containsText" text="17">
      <formula>NOT(ISERROR(SEARCH("17",W200)))</formula>
    </cfRule>
    <cfRule type="containsText" dxfId="930" priority="716" operator="containsText" text="T">
      <formula>NOT(ISERROR(SEARCH("T",W200)))</formula>
    </cfRule>
  </conditionalFormatting>
  <conditionalFormatting sqref="W201:AQ206 W200:AE200">
    <cfRule type="containsText" dxfId="929" priority="722" operator="containsText" text="17">
      <formula>NOT(ISERROR(SEARCH("17",W200)))</formula>
    </cfRule>
  </conditionalFormatting>
  <conditionalFormatting sqref="X106">
    <cfRule type="containsText" dxfId="928" priority="877" operator="containsText" text="17">
      <formula>NOT(ISERROR(SEARCH("17",X106)))</formula>
    </cfRule>
    <cfRule type="containsText" dxfId="927" priority="878" operator="containsText" text="T">
      <formula>NOT(ISERROR(SEARCH("T",X106)))</formula>
    </cfRule>
  </conditionalFormatting>
  <conditionalFormatting sqref="X194:X199">
    <cfRule type="containsText" dxfId="926" priority="710" operator="containsText" text="T">
      <formula>NOT(ISERROR(SEARCH("T",X194)))</formula>
    </cfRule>
  </conditionalFormatting>
  <conditionalFormatting sqref="X192:AH193">
    <cfRule type="containsText" dxfId="925" priority="697" operator="containsText" text="17">
      <formula>NOT(ISERROR(SEARCH("17",X192)))</formula>
    </cfRule>
    <cfRule type="containsText" dxfId="924" priority="698" operator="containsText" text="T">
      <formula>NOT(ISERROR(SEARCH("T",X192)))</formula>
    </cfRule>
  </conditionalFormatting>
  <conditionalFormatting sqref="Y169:Y174">
    <cfRule type="containsText" dxfId="923" priority="692" operator="containsText" text="T">
      <formula>NOT(ISERROR(SEARCH("T",Y169)))</formula>
    </cfRule>
  </conditionalFormatting>
  <conditionalFormatting sqref="Y69:AE69">
    <cfRule type="containsText" dxfId="922" priority="868" operator="containsText" text="17">
      <formula>NOT(ISERROR(SEARCH("17",Y69)))</formula>
    </cfRule>
    <cfRule type="containsText" dxfId="921" priority="869" operator="containsText" text="T">
      <formula>NOT(ISERROR(SEARCH("T",Y69)))</formula>
    </cfRule>
  </conditionalFormatting>
  <conditionalFormatting sqref="Y168:AI168">
    <cfRule type="containsText" dxfId="920" priority="684" operator="containsText" text="17">
      <formula>NOT(ISERROR(SEARCH("17",Y168)))</formula>
    </cfRule>
    <cfRule type="containsText" dxfId="919" priority="685" operator="containsText" text="T">
      <formula>NOT(ISERROR(SEARCH("T",Y168)))</formula>
    </cfRule>
  </conditionalFormatting>
  <conditionalFormatting sqref="Y169:AS174 Y168:AG168">
    <cfRule type="containsText" dxfId="918" priority="691" operator="containsText" text="17">
      <formula>NOT(ISERROR(SEARCH("17",Y168)))</formula>
    </cfRule>
  </conditionalFormatting>
  <conditionalFormatting sqref="Z69">
    <cfRule type="containsText" dxfId="917" priority="864" operator="containsText" text="17">
      <formula>NOT(ISERROR(SEARCH("17",Z69)))</formula>
    </cfRule>
    <cfRule type="containsText" dxfId="916" priority="865" operator="containsText" text="T">
      <formula>NOT(ISERROR(SEARCH("T",Z69)))</formula>
    </cfRule>
  </conditionalFormatting>
  <conditionalFormatting sqref="Z176:Z181">
    <cfRule type="containsText" dxfId="915" priority="679" operator="containsText" text="T">
      <formula>NOT(ISERROR(SEARCH("T",Z176)))</formula>
    </cfRule>
  </conditionalFormatting>
  <conditionalFormatting sqref="Z99:AF99">
    <cfRule type="containsText" dxfId="914" priority="855" operator="containsText" text="17">
      <formula>NOT(ISERROR(SEARCH("17",Z99)))</formula>
    </cfRule>
    <cfRule type="containsText" dxfId="913" priority="856" operator="containsText" text="T">
      <formula>NOT(ISERROR(SEARCH("T",Z99)))</formula>
    </cfRule>
  </conditionalFormatting>
  <conditionalFormatting sqref="Z175:AJ175">
    <cfRule type="containsText" dxfId="912" priority="671" operator="containsText" text="17">
      <formula>NOT(ISERROR(SEARCH("17",Z175)))</formula>
    </cfRule>
    <cfRule type="containsText" dxfId="911" priority="672" operator="containsText" text="T">
      <formula>NOT(ISERROR(SEARCH("T",Z175)))</formula>
    </cfRule>
  </conditionalFormatting>
  <conditionalFormatting sqref="Z176:AT181 Z175:AH175">
    <cfRule type="containsText" dxfId="910" priority="678" operator="containsText" text="17">
      <formula>NOT(ISERROR(SEARCH("17",Z175)))</formula>
    </cfRule>
  </conditionalFormatting>
  <conditionalFormatting sqref="AA99">
    <cfRule type="containsText" dxfId="909" priority="851" operator="containsText" text="17">
      <formula>NOT(ISERROR(SEARCH("17",AA99)))</formula>
    </cfRule>
    <cfRule type="containsText" dxfId="908" priority="852" operator="containsText" text="T">
      <formula>NOT(ISERROR(SEARCH("T",AA99)))</formula>
    </cfRule>
  </conditionalFormatting>
  <conditionalFormatting sqref="AA113 AE113:AG113 J114:AD119 AG114:AG119">
    <cfRule type="containsText" dxfId="907" priority="900" operator="containsText" text="T">
      <formula>NOT(ISERROR(SEARCH("T",J113)))</formula>
    </cfRule>
  </conditionalFormatting>
  <conditionalFormatting sqref="AA183:AA190">
    <cfRule type="containsText" dxfId="906" priority="666" operator="containsText" text="T">
      <formula>NOT(ISERROR(SEARCH("T",AA183)))</formula>
    </cfRule>
  </conditionalFormatting>
  <conditionalFormatting sqref="AA113:AB113 AE113:AG113 AG114:AG119">
    <cfRule type="containsText" dxfId="905" priority="901" operator="containsText" text="17">
      <formula>NOT(ISERROR(SEARCH("17",AA113)))</formula>
    </cfRule>
  </conditionalFormatting>
  <conditionalFormatting sqref="AA67:AG68">
    <cfRule type="containsText" dxfId="904" priority="844" operator="containsText" text="17">
      <formula>NOT(ISERROR(SEARCH("17",AA67)))</formula>
    </cfRule>
    <cfRule type="containsText" dxfId="903" priority="845" operator="containsText" text="T">
      <formula>NOT(ISERROR(SEARCH("T",AA67)))</formula>
    </cfRule>
  </conditionalFormatting>
  <conditionalFormatting sqref="AA97:AG98">
    <cfRule type="containsText" dxfId="902" priority="834" operator="containsText" text="17">
      <formula>NOT(ISERROR(SEARCH("17",AA97)))</formula>
    </cfRule>
    <cfRule type="containsText" dxfId="901" priority="835" operator="containsText" text="T">
      <formula>NOT(ISERROR(SEARCH("T",AA97)))</formula>
    </cfRule>
  </conditionalFormatting>
  <conditionalFormatting sqref="AA127:AG130">
    <cfRule type="containsText" dxfId="900" priority="814" operator="containsText" text="17">
      <formula>NOT(ISERROR(SEARCH("17",AA127)))</formula>
    </cfRule>
    <cfRule type="containsText" dxfId="899" priority="815" operator="containsText" text="T">
      <formula>NOT(ISERROR(SEARCH("T",AA127)))</formula>
    </cfRule>
  </conditionalFormatting>
  <conditionalFormatting sqref="AA182:AK182">
    <cfRule type="containsText" dxfId="898" priority="658" operator="containsText" text="17">
      <formula>NOT(ISERROR(SEARCH("17",AA182)))</formula>
    </cfRule>
    <cfRule type="containsText" dxfId="897" priority="659" operator="containsText" text="T">
      <formula>NOT(ISERROR(SEARCH("T",AA182)))</formula>
    </cfRule>
  </conditionalFormatting>
  <conditionalFormatting sqref="AA183:AU190 AA182:AI182">
    <cfRule type="containsText" dxfId="896" priority="665" operator="containsText" text="17">
      <formula>NOT(ISERROR(SEARCH("17",AA182)))</formula>
    </cfRule>
  </conditionalFormatting>
  <conditionalFormatting sqref="AB67:AB68">
    <cfRule type="containsText" dxfId="895" priority="841" operator="containsText" text="17">
      <formula>NOT(ISERROR(SEARCH("17",AB67)))</formula>
    </cfRule>
    <cfRule type="containsText" dxfId="894" priority="842" operator="containsText" text="T">
      <formula>NOT(ISERROR(SEARCH("T",AB67)))</formula>
    </cfRule>
  </conditionalFormatting>
  <conditionalFormatting sqref="AB76 AF76:AH76 K77:AE82 AH77:AH82">
    <cfRule type="containsText" dxfId="893" priority="887" operator="containsText" text="T">
      <formula>NOT(ISERROR(SEARCH("T",K76)))</formula>
    </cfRule>
  </conditionalFormatting>
  <conditionalFormatting sqref="AB91:AB96">
    <cfRule type="containsText" dxfId="892" priority="653" operator="containsText" text="T">
      <formula>NOT(ISERROR(SEARCH("T",AB91)))</formula>
    </cfRule>
  </conditionalFormatting>
  <conditionalFormatting sqref="AB97:AB98">
    <cfRule type="containsText" dxfId="891" priority="831" operator="containsText" text="17">
      <formula>NOT(ISERROR(SEARCH("17",AB97)))</formula>
    </cfRule>
    <cfRule type="containsText" dxfId="890" priority="832" operator="containsText" text="T">
      <formula>NOT(ISERROR(SEARCH("T",AB97)))</formula>
    </cfRule>
  </conditionalFormatting>
  <conditionalFormatting sqref="AB113">
    <cfRule type="containsText" dxfId="889" priority="902" operator="containsText" text="T">
      <formula>NOT(ISERROR(SEARCH("T",AB113)))</formula>
    </cfRule>
  </conditionalFormatting>
  <conditionalFormatting sqref="AB127:AB130">
    <cfRule type="containsText" dxfId="888" priority="811" operator="containsText" text="17">
      <formula>NOT(ISERROR(SEARCH("17",AB127)))</formula>
    </cfRule>
    <cfRule type="containsText" dxfId="887" priority="812" operator="containsText" text="T">
      <formula>NOT(ISERROR(SEARCH("T",AB127)))</formula>
    </cfRule>
  </conditionalFormatting>
  <conditionalFormatting sqref="AB76:AC76 AF76:AH76 AH77:AH82">
    <cfRule type="containsText" dxfId="886" priority="888" operator="containsText" text="17">
      <formula>NOT(ISERROR(SEARCH("17",AB76)))</formula>
    </cfRule>
  </conditionalFormatting>
  <conditionalFormatting sqref="AB131:AH131">
    <cfRule type="containsText" dxfId="885" priority="802" operator="containsText" text="17">
      <formula>NOT(ISERROR(SEARCH("17",AB131)))</formula>
    </cfRule>
    <cfRule type="containsText" dxfId="884" priority="803" operator="containsText" text="T">
      <formula>NOT(ISERROR(SEARCH("T",AB131)))</formula>
    </cfRule>
  </conditionalFormatting>
  <conditionalFormatting sqref="AB90:AL90">
    <cfRule type="containsText" dxfId="883" priority="645" operator="containsText" text="17">
      <formula>NOT(ISERROR(SEARCH("17",AB90)))</formula>
    </cfRule>
    <cfRule type="containsText" dxfId="882" priority="646" operator="containsText" text="T">
      <formula>NOT(ISERROR(SEARCH("T",AB90)))</formula>
    </cfRule>
  </conditionalFormatting>
  <conditionalFormatting sqref="AB91:AV96 AB90:AJ90">
    <cfRule type="containsText" dxfId="881" priority="652" operator="containsText" text="17">
      <formula>NOT(ISERROR(SEARCH("17",AB90)))</formula>
    </cfRule>
  </conditionalFormatting>
  <conditionalFormatting sqref="AC15:AC20">
    <cfRule type="containsText" dxfId="880" priority="640" operator="containsText" text="T">
      <formula>NOT(ISERROR(SEARCH("T",AC15)))</formula>
    </cfRule>
  </conditionalFormatting>
  <conditionalFormatting sqref="AC76">
    <cfRule type="containsText" dxfId="879" priority="889" operator="containsText" text="T">
      <formula>NOT(ISERROR(SEARCH("T",AC76)))</formula>
    </cfRule>
  </conditionalFormatting>
  <conditionalFormatting sqref="AC106 L107:AF112 AI107:AI112">
    <cfRule type="containsText" dxfId="878" priority="874" operator="containsText" text="T">
      <formula>NOT(ISERROR(SEARCH("T",L106)))</formula>
    </cfRule>
  </conditionalFormatting>
  <conditionalFormatting sqref="AC131">
    <cfRule type="containsText" dxfId="877" priority="798" operator="containsText" text="17">
      <formula>NOT(ISERROR(SEARCH("17",AC131)))</formula>
    </cfRule>
    <cfRule type="containsText" dxfId="876" priority="799" operator="containsText" text="T">
      <formula>NOT(ISERROR(SEARCH("T",AC131)))</formula>
    </cfRule>
  </conditionalFormatting>
  <conditionalFormatting sqref="AC106:AD106 AI107:AI112">
    <cfRule type="containsText" dxfId="875" priority="875" operator="containsText" text="17">
      <formula>NOT(ISERROR(SEARCH("17",AC106)))</formula>
    </cfRule>
  </conditionalFormatting>
  <conditionalFormatting sqref="AC138:AI138">
    <cfRule type="containsText" dxfId="874" priority="789" operator="containsText" text="17">
      <formula>NOT(ISERROR(SEARCH("17",AC138)))</formula>
    </cfRule>
    <cfRule type="containsText" dxfId="873" priority="790" operator="containsText" text="T">
      <formula>NOT(ISERROR(SEARCH("T",AC138)))</formula>
    </cfRule>
  </conditionalFormatting>
  <conditionalFormatting sqref="AC14:AM14">
    <cfRule type="containsText" dxfId="872" priority="632" operator="containsText" text="17">
      <formula>NOT(ISERROR(SEARCH("17",AC14)))</formula>
    </cfRule>
    <cfRule type="containsText" dxfId="871" priority="633" operator="containsText" text="T">
      <formula>NOT(ISERROR(SEARCH("T",AC14)))</formula>
    </cfRule>
  </conditionalFormatting>
  <conditionalFormatting sqref="AC15:AW20 AC14:AK14">
    <cfRule type="containsText" dxfId="870" priority="639" operator="containsText" text="17">
      <formula>NOT(ISERROR(SEARCH("17",AC14)))</formula>
    </cfRule>
  </conditionalFormatting>
  <conditionalFormatting sqref="AD35:AD40">
    <cfRule type="containsText" dxfId="869" priority="627" operator="containsText" text="T">
      <formula>NOT(ISERROR(SEARCH("T",AD35)))</formula>
    </cfRule>
  </conditionalFormatting>
  <conditionalFormatting sqref="AD106">
    <cfRule type="containsText" dxfId="868" priority="876" operator="containsText" text="T">
      <formula>NOT(ISERROR(SEARCH("T",AD106)))</formula>
    </cfRule>
  </conditionalFormatting>
  <conditionalFormatting sqref="AD138">
    <cfRule type="containsText" dxfId="867" priority="785" operator="containsText" text="17">
      <formula>NOT(ISERROR(SEARCH("17",AD138)))</formula>
    </cfRule>
    <cfRule type="containsText" dxfId="866" priority="786" operator="containsText" text="T">
      <formula>NOT(ISERROR(SEARCH("T",AD138)))</formula>
    </cfRule>
  </conditionalFormatting>
  <conditionalFormatting sqref="AD145:AJ145">
    <cfRule type="containsText" dxfId="865" priority="776" operator="containsText" text="17">
      <formula>NOT(ISERROR(SEARCH("17",AD145)))</formula>
    </cfRule>
    <cfRule type="containsText" dxfId="864" priority="777" operator="containsText" text="T">
      <formula>NOT(ISERROR(SEARCH("T",AD145)))</formula>
    </cfRule>
  </conditionalFormatting>
  <conditionalFormatting sqref="AD34:AN34">
    <cfRule type="containsText" dxfId="863" priority="619" operator="containsText" text="17">
      <formula>NOT(ISERROR(SEARCH("17",AD34)))</formula>
    </cfRule>
    <cfRule type="containsText" dxfId="862" priority="620" operator="containsText" text="T">
      <formula>NOT(ISERROR(SEARCH("T",AD34)))</formula>
    </cfRule>
  </conditionalFormatting>
  <conditionalFormatting sqref="AD35:AX40 AD34:AL34">
    <cfRule type="containsText" dxfId="861" priority="626" operator="containsText" text="17">
      <formula>NOT(ISERROR(SEARCH("17",AD34)))</formula>
    </cfRule>
  </conditionalFormatting>
  <conditionalFormatting sqref="AE22:AE27">
    <cfRule type="containsText" dxfId="860" priority="614" operator="containsText" text="T">
      <formula>NOT(ISERROR(SEARCH("T",AE22)))</formula>
    </cfRule>
  </conditionalFormatting>
  <conditionalFormatting sqref="AE69 AI69:AK69 N70:AH75 AK70:AK75">
    <cfRule type="containsText" dxfId="859" priority="861" operator="containsText" text="T">
      <formula>NOT(ISERROR(SEARCH("T",N69)))</formula>
    </cfRule>
  </conditionalFormatting>
  <conditionalFormatting sqref="AE145">
    <cfRule type="containsText" dxfId="858" priority="772" operator="containsText" text="17">
      <formula>NOT(ISERROR(SEARCH("17",AE145)))</formula>
    </cfRule>
    <cfRule type="containsText" dxfId="857" priority="773" operator="containsText" text="T">
      <formula>NOT(ISERROR(SEARCH("T",AE145)))</formula>
    </cfRule>
  </conditionalFormatting>
  <conditionalFormatting sqref="AE69:AF69 AI69:AK69 AK70:AK75">
    <cfRule type="containsText" dxfId="856" priority="862" operator="containsText" text="17">
      <formula>NOT(ISERROR(SEARCH("17",AE69)))</formula>
    </cfRule>
  </conditionalFormatting>
  <conditionalFormatting sqref="AE152:AK152">
    <cfRule type="containsText" dxfId="855" priority="763" operator="containsText" text="17">
      <formula>NOT(ISERROR(SEARCH("17",AE152)))</formula>
    </cfRule>
    <cfRule type="containsText" dxfId="854" priority="764" operator="containsText" text="T">
      <formula>NOT(ISERROR(SEARCH("T",AE152)))</formula>
    </cfRule>
  </conditionalFormatting>
  <conditionalFormatting sqref="AE21:AO21">
    <cfRule type="containsText" dxfId="853" priority="606" operator="containsText" text="17">
      <formula>NOT(ISERROR(SEARCH("17",AE21)))</formula>
    </cfRule>
    <cfRule type="containsText" dxfId="852" priority="607" operator="containsText" text="T">
      <formula>NOT(ISERROR(SEARCH("T",AE21)))</formula>
    </cfRule>
  </conditionalFormatting>
  <conditionalFormatting sqref="AE22:AY27 AE21:AM21">
    <cfRule type="containsText" dxfId="851" priority="613" operator="containsText" text="17">
      <formula>NOT(ISERROR(SEARCH("17",AE21)))</formula>
    </cfRule>
  </conditionalFormatting>
  <conditionalFormatting sqref="AF42:AF47">
    <cfRule type="containsText" dxfId="850" priority="601" operator="containsText" text="T">
      <formula>NOT(ISERROR(SEARCH("T",AF42)))</formula>
    </cfRule>
  </conditionalFormatting>
  <conditionalFormatting sqref="AF69">
    <cfRule type="containsText" dxfId="849" priority="863" operator="containsText" text="T">
      <formula>NOT(ISERROR(SEARCH("T",AF69)))</formula>
    </cfRule>
  </conditionalFormatting>
  <conditionalFormatting sqref="AF99 AJ99:AL99 O100:AI105 AL100:AL105">
    <cfRule type="containsText" dxfId="848" priority="848" operator="containsText" text="T">
      <formula>NOT(ISERROR(SEARCH("T",O99)))</formula>
    </cfRule>
  </conditionalFormatting>
  <conditionalFormatting sqref="AF152">
    <cfRule type="containsText" dxfId="847" priority="759" operator="containsText" text="17">
      <formula>NOT(ISERROR(SEARCH("17",AF152)))</formula>
    </cfRule>
    <cfRule type="containsText" dxfId="846" priority="760" operator="containsText" text="T">
      <formula>NOT(ISERROR(SEARCH("T",AF152)))</formula>
    </cfRule>
  </conditionalFormatting>
  <conditionalFormatting sqref="AF99:AG99 AJ99:AL99 AL100:AL105">
    <cfRule type="containsText" dxfId="845" priority="849" operator="containsText" text="17">
      <formula>NOT(ISERROR(SEARCH("17",AF99)))</formula>
    </cfRule>
  </conditionalFormatting>
  <conditionalFormatting sqref="AF159:AL159">
    <cfRule type="containsText" dxfId="844" priority="750" operator="containsText" text="17">
      <formula>NOT(ISERROR(SEARCH("17",AF159)))</formula>
    </cfRule>
    <cfRule type="containsText" dxfId="843" priority="751" operator="containsText" text="T">
      <formula>NOT(ISERROR(SEARCH("T",AF159)))</formula>
    </cfRule>
  </conditionalFormatting>
  <conditionalFormatting sqref="AF41:AP41">
    <cfRule type="containsText" dxfId="842" priority="593" operator="containsText" text="17">
      <formula>NOT(ISERROR(SEARCH("17",AF41)))</formula>
    </cfRule>
    <cfRule type="containsText" dxfId="841" priority="594" operator="containsText" text="T">
      <formula>NOT(ISERROR(SEARCH("T",AF41)))</formula>
    </cfRule>
  </conditionalFormatting>
  <conditionalFormatting sqref="AF42:AZ47 AF41:AN41">
    <cfRule type="containsText" dxfId="840" priority="600" operator="containsText" text="17">
      <formula>NOT(ISERROR(SEARCH("17",AF41)))</formula>
    </cfRule>
  </conditionalFormatting>
  <conditionalFormatting sqref="AG67:AG68">
    <cfRule type="containsText" dxfId="839" priority="838" operator="containsText" text="T">
      <formula>NOT(ISERROR(SEARCH("T",AG67)))</formula>
    </cfRule>
  </conditionalFormatting>
  <conditionalFormatting sqref="AG97:AG98">
    <cfRule type="containsText" dxfId="838" priority="828" operator="containsText" text="T">
      <formula>NOT(ISERROR(SEARCH("T",AG97)))</formula>
    </cfRule>
  </conditionalFormatting>
  <conditionalFormatting sqref="AG99">
    <cfRule type="containsText" dxfId="837" priority="850" operator="containsText" text="T">
      <formula>NOT(ISERROR(SEARCH("T",AG99)))</formula>
    </cfRule>
  </conditionalFormatting>
  <conditionalFormatting sqref="AG114:AG119">
    <cfRule type="containsText" dxfId="836" priority="910" operator="containsText" text="T">
      <formula>NOT(ISERROR(SEARCH("T",AG114)))</formula>
    </cfRule>
  </conditionalFormatting>
  <conditionalFormatting sqref="AG127:AG130 AK127:AM130">
    <cfRule type="containsText" dxfId="835" priority="808" operator="containsText" text="T">
      <formula>NOT(ISERROR(SEARCH("T",AG127)))</formula>
    </cfRule>
  </conditionalFormatting>
  <conditionalFormatting sqref="AG159">
    <cfRule type="containsText" dxfId="834" priority="746" operator="containsText" text="17">
      <formula>NOT(ISERROR(SEARCH("17",AG159)))</formula>
    </cfRule>
    <cfRule type="containsText" dxfId="833" priority="747" operator="containsText" text="T">
      <formula>NOT(ISERROR(SEARCH("T",AG159)))</formula>
    </cfRule>
  </conditionalFormatting>
  <conditionalFormatting sqref="AG67:AH68">
    <cfRule type="containsText" dxfId="832" priority="839" operator="containsText" text="17">
      <formula>NOT(ISERROR(SEARCH("17",AG67)))</formula>
    </cfRule>
  </conditionalFormatting>
  <conditionalFormatting sqref="AG97:AH98">
    <cfRule type="containsText" dxfId="831" priority="829" operator="containsText" text="17">
      <formula>NOT(ISERROR(SEARCH("17",AG97)))</formula>
    </cfRule>
  </conditionalFormatting>
  <conditionalFormatting sqref="AG127:AH130 AK127:AM130">
    <cfRule type="containsText" dxfId="830" priority="809" operator="containsText" text="17">
      <formula>NOT(ISERROR(SEARCH("17",AG127)))</formula>
    </cfRule>
  </conditionalFormatting>
  <conditionalFormatting sqref="AG207:AM207">
    <cfRule type="containsText" dxfId="829" priority="737" operator="containsText" text="17">
      <formula>NOT(ISERROR(SEARCH("17",AG207)))</formula>
    </cfRule>
    <cfRule type="containsText" dxfId="828" priority="738" operator="containsText" text="T">
      <formula>NOT(ISERROR(SEARCH("T",AG207)))</formula>
    </cfRule>
  </conditionalFormatting>
  <conditionalFormatting sqref="AG28:AO32">
    <cfRule type="containsText" dxfId="827" priority="590" operator="containsText" text="17">
      <formula>NOT(ISERROR(SEARCH("17",AG28)))</formula>
    </cfRule>
  </conditionalFormatting>
  <conditionalFormatting sqref="AG28:AQ32">
    <cfRule type="containsText" dxfId="826" priority="583" operator="containsText" text="17">
      <formula>NOT(ISERROR(SEARCH("17",AG28)))</formula>
    </cfRule>
    <cfRule type="containsText" dxfId="825" priority="584" operator="containsText" text="T">
      <formula>NOT(ISERROR(SEARCH("T",AG28)))</formula>
    </cfRule>
  </conditionalFormatting>
  <conditionalFormatting sqref="AG48:AQ49">
    <cfRule type="containsText" dxfId="824" priority="573" operator="containsText" text="17">
      <formula>NOT(ISERROR(SEARCH("17",AG48)))</formula>
    </cfRule>
  </conditionalFormatting>
  <conditionalFormatting sqref="AG106:AY106">
    <cfRule type="containsText" dxfId="823" priority="411" operator="containsText" text="17">
      <formula>NOT(ISERROR(SEARCH("17",AG106)))</formula>
    </cfRule>
  </conditionalFormatting>
  <conditionalFormatting sqref="AG106:BA106">
    <cfRule type="containsText" dxfId="822" priority="405" operator="containsText" text="T">
      <formula>NOT(ISERROR(SEARCH("T",AG106)))</formula>
    </cfRule>
  </conditionalFormatting>
  <conditionalFormatting sqref="AH67:AH68">
    <cfRule type="containsText" dxfId="821" priority="840" operator="containsText" text="T">
      <formula>NOT(ISERROR(SEARCH("T",AH67)))</formula>
    </cfRule>
  </conditionalFormatting>
  <conditionalFormatting sqref="AH77:AH82">
    <cfRule type="containsText" dxfId="820" priority="897" operator="containsText" text="T">
      <formula>NOT(ISERROR(SEARCH("T",AH77)))</formula>
    </cfRule>
  </conditionalFormatting>
  <conditionalFormatting sqref="AH97:AH98">
    <cfRule type="containsText" dxfId="819" priority="830" operator="containsText" text="T">
      <formula>NOT(ISERROR(SEARCH("T",AH97)))</formula>
    </cfRule>
  </conditionalFormatting>
  <conditionalFormatting sqref="AH127:AH130">
    <cfRule type="containsText" dxfId="818" priority="810" operator="containsText" text="T">
      <formula>NOT(ISERROR(SEARCH("T",AH127)))</formula>
    </cfRule>
  </conditionalFormatting>
  <conditionalFormatting sqref="AH131 AL131:AN131 Q132:AK137 AN132:AN137">
    <cfRule type="containsText" dxfId="817" priority="795" operator="containsText" text="T">
      <formula>NOT(ISERROR(SEARCH("T",Q131)))</formula>
    </cfRule>
  </conditionalFormatting>
  <conditionalFormatting sqref="AH207">
    <cfRule type="containsText" dxfId="816" priority="733" operator="containsText" text="17">
      <formula>NOT(ISERROR(SEARCH("17",AH207)))</formula>
    </cfRule>
    <cfRule type="containsText" dxfId="815" priority="734" operator="containsText" text="T">
      <formula>NOT(ISERROR(SEARCH("T",AH207)))</formula>
    </cfRule>
  </conditionalFormatting>
  <conditionalFormatting sqref="AH131:AI131 AL131:AN131 AN132:AN137">
    <cfRule type="containsText" dxfId="814" priority="796" operator="containsText" text="17">
      <formula>NOT(ISERROR(SEARCH("17",AH131)))</formula>
    </cfRule>
  </conditionalFormatting>
  <conditionalFormatting sqref="AH200:AN200">
    <cfRule type="containsText" dxfId="813" priority="724" operator="containsText" text="17">
      <formula>NOT(ISERROR(SEARCH("17",AH200)))</formula>
    </cfRule>
    <cfRule type="containsText" dxfId="812" priority="725" operator="containsText" text="T">
      <formula>NOT(ISERROR(SEARCH("T",AH200)))</formula>
    </cfRule>
  </conditionalFormatting>
  <conditionalFormatting sqref="AH50:AP53">
    <cfRule type="containsText" dxfId="811" priority="570" operator="containsText" text="17">
      <formula>NOT(ISERROR(SEARCH("17",AH50)))</formula>
    </cfRule>
  </conditionalFormatting>
  <conditionalFormatting sqref="AH50:AR53">
    <cfRule type="containsText" dxfId="810" priority="563" operator="containsText" text="17">
      <formula>NOT(ISERROR(SEARCH("17",AH50)))</formula>
    </cfRule>
  </conditionalFormatting>
  <conditionalFormatting sqref="AH63:AR66">
    <cfRule type="containsText" dxfId="809" priority="553" operator="containsText" text="17">
      <formula>NOT(ISERROR(SEARCH("17",AH63)))</formula>
    </cfRule>
  </conditionalFormatting>
  <conditionalFormatting sqref="AH113:AU116">
    <cfRule type="containsText" dxfId="808" priority="476" operator="containsText" text="17">
      <formula>NOT(ISERROR(SEARCH("17",AH113)))</formula>
    </cfRule>
  </conditionalFormatting>
  <conditionalFormatting sqref="AH117:AV119">
    <cfRule type="containsText" dxfId="807" priority="466" operator="containsText" text="17">
      <formula>NOT(ISERROR(SEARCH("17",AH117)))</formula>
    </cfRule>
  </conditionalFormatting>
  <conditionalFormatting sqref="AH113:AW116">
    <cfRule type="containsText" dxfId="806" priority="470" operator="containsText" text="T">
      <formula>NOT(ISERROR(SEARCH("T",AH113)))</formula>
    </cfRule>
  </conditionalFormatting>
  <conditionalFormatting sqref="AH117:AX119">
    <cfRule type="containsText" dxfId="805" priority="460" operator="containsText" text="T">
      <formula>NOT(ISERROR(SEARCH("T",AH117)))</formula>
    </cfRule>
  </conditionalFormatting>
  <conditionalFormatting sqref="AI131">
    <cfRule type="containsText" dxfId="804" priority="797" operator="containsText" text="T">
      <formula>NOT(ISERROR(SEARCH("T",AI131)))</formula>
    </cfRule>
  </conditionalFormatting>
  <conditionalFormatting sqref="AI138 AM138:AO138 R139:AL144 AO139:AO144">
    <cfRule type="containsText" dxfId="803" priority="782" operator="containsText" text="T">
      <formula>NOT(ISERROR(SEARCH("T",R138)))</formula>
    </cfRule>
  </conditionalFormatting>
  <conditionalFormatting sqref="AI200">
    <cfRule type="containsText" dxfId="802" priority="720" operator="containsText" text="17">
      <formula>NOT(ISERROR(SEARCH("17",AI200)))</formula>
    </cfRule>
    <cfRule type="containsText" dxfId="801" priority="721" operator="containsText" text="T">
      <formula>NOT(ISERROR(SEARCH("T",AI200)))</formula>
    </cfRule>
  </conditionalFormatting>
  <conditionalFormatting sqref="AI138:AJ138 AM138:AO138 AO139:AO144">
    <cfRule type="containsText" dxfId="800" priority="783" operator="containsText" text="17">
      <formula>NOT(ISERROR(SEARCH("17",AI138)))</formula>
    </cfRule>
  </conditionalFormatting>
  <conditionalFormatting sqref="AI107:AO112">
    <cfRule type="containsText" dxfId="799" priority="884" operator="containsText" text="T">
      <formula>NOT(ISERROR(SEARCH("T",AI107)))</formula>
    </cfRule>
  </conditionalFormatting>
  <conditionalFormatting sqref="AI192:AO192">
    <cfRule type="containsText" dxfId="798" priority="701" operator="containsText" text="T">
      <formula>NOT(ISERROR(SEARCH("T",AI192)))</formula>
    </cfRule>
  </conditionalFormatting>
  <conditionalFormatting sqref="AI193:AO193">
    <cfRule type="containsText" dxfId="797" priority="711" operator="containsText" text="17">
      <formula>NOT(ISERROR(SEARCH("17",AI193)))</formula>
    </cfRule>
    <cfRule type="containsText" dxfId="796" priority="712" operator="containsText" text="T">
      <formula>NOT(ISERROR(SEARCH("T",AI193)))</formula>
    </cfRule>
  </conditionalFormatting>
  <conditionalFormatting sqref="AI192:AP192 AS192:AU192">
    <cfRule type="containsText" dxfId="795" priority="699" operator="containsText" text="17">
      <formula>NOT(ISERROR(SEARCH("17",AI192)))</formula>
    </cfRule>
  </conditionalFormatting>
  <conditionalFormatting sqref="AI59:AS62">
    <cfRule type="containsText" dxfId="794" priority="539" operator="containsText" text="17">
      <formula>NOT(ISERROR(SEARCH("17",AI59)))</formula>
    </cfRule>
  </conditionalFormatting>
  <conditionalFormatting sqref="AI86:AS89">
    <cfRule type="containsText" dxfId="793" priority="529" operator="containsText" text="17">
      <formula>NOT(ISERROR(SEARCH("17",AI86)))</formula>
    </cfRule>
  </conditionalFormatting>
  <conditionalFormatting sqref="AI79:AV82">
    <cfRule type="containsText" dxfId="792" priority="456" operator="containsText" text="17">
      <formula>NOT(ISERROR(SEARCH("17",AI79)))</formula>
    </cfRule>
  </conditionalFormatting>
  <conditionalFormatting sqref="AI76:AX78">
    <cfRule type="containsText" dxfId="791" priority="431" operator="containsText" text="17">
      <formula>NOT(ISERROR(SEARCH("17",AI76)))</formula>
    </cfRule>
  </conditionalFormatting>
  <conditionalFormatting sqref="AI79:AX82">
    <cfRule type="containsText" dxfId="790" priority="450" operator="containsText" text="T">
      <formula>NOT(ISERROR(SEARCH("T",AI79)))</formula>
    </cfRule>
  </conditionalFormatting>
  <conditionalFormatting sqref="AI76:AZ78">
    <cfRule type="containsText" dxfId="789" priority="425" operator="containsText" text="T">
      <formula>NOT(ISERROR(SEARCH("T",AI76)))</formula>
    </cfRule>
  </conditionalFormatting>
  <conditionalFormatting sqref="AJ120:AJ126">
    <cfRule type="containsText" dxfId="788" priority="445" operator="containsText" text="17">
      <formula>NOT(ISERROR(SEARCH("17",AJ120)))</formula>
    </cfRule>
    <cfRule type="containsText" dxfId="787" priority="448" operator="containsText" text="T">
      <formula>NOT(ISERROR(SEARCH("T",AJ120)))</formula>
    </cfRule>
  </conditionalFormatting>
  <conditionalFormatting sqref="AJ138">
    <cfRule type="containsText" dxfId="786" priority="784" operator="containsText" text="T">
      <formula>NOT(ISERROR(SEARCH("T",AJ138)))</formula>
    </cfRule>
  </conditionalFormatting>
  <conditionalFormatting sqref="AJ145 AN145:AP145 S146:AM151 AP146:AP151">
    <cfRule type="containsText" dxfId="785" priority="769" operator="containsText" text="T">
      <formula>NOT(ISERROR(SEARCH("T",S145)))</formula>
    </cfRule>
  </conditionalFormatting>
  <conditionalFormatting sqref="AJ192:AJ193">
    <cfRule type="containsText" dxfId="784" priority="707" operator="containsText" text="17">
      <formula>NOT(ISERROR(SEARCH("17",AJ192)))</formula>
    </cfRule>
    <cfRule type="containsText" dxfId="783" priority="708" operator="containsText" text="T">
      <formula>NOT(ISERROR(SEARCH("T",AJ192)))</formula>
    </cfRule>
  </conditionalFormatting>
  <conditionalFormatting sqref="AJ145:AK145 AN145:AP145 AP146:AP151">
    <cfRule type="containsText" dxfId="782" priority="770" operator="containsText" text="17">
      <formula>NOT(ISERROR(SEARCH("17",AJ145)))</formula>
    </cfRule>
  </conditionalFormatting>
  <conditionalFormatting sqref="AJ168:AP168">
    <cfRule type="containsText" dxfId="781" priority="693" operator="containsText" text="17">
      <formula>NOT(ISERROR(SEARCH("17",AJ168)))</formula>
    </cfRule>
    <cfRule type="containsText" dxfId="780" priority="694" operator="containsText" text="T">
      <formula>NOT(ISERROR(SEARCH("T",AJ168)))</formula>
    </cfRule>
  </conditionalFormatting>
  <conditionalFormatting sqref="AJ83:AT85">
    <cfRule type="containsText" dxfId="779" priority="519" operator="containsText" text="17">
      <formula>NOT(ISERROR(SEARCH("17",AJ83)))</formula>
    </cfRule>
  </conditionalFormatting>
  <conditionalFormatting sqref="AJ214:AT217">
    <cfRule type="containsText" dxfId="778" priority="509" operator="containsText" text="17">
      <formula>NOT(ISERROR(SEARCH("17",AJ214)))</formula>
    </cfRule>
  </conditionalFormatting>
  <conditionalFormatting sqref="AK70:AK75">
    <cfRule type="containsText" dxfId="777" priority="871" operator="containsText" text="T">
      <formula>NOT(ISERROR(SEARCH("T",AK70)))</formula>
    </cfRule>
  </conditionalFormatting>
  <conditionalFormatting sqref="AK129:AK130 P127:X130">
    <cfRule type="containsText" dxfId="776" priority="813" operator="containsText" text="17">
      <formula>NOT(ISERROR(SEARCH("17",P127)))</formula>
    </cfRule>
  </conditionalFormatting>
  <conditionalFormatting sqref="AK145">
    <cfRule type="containsText" dxfId="775" priority="771" operator="containsText" text="T">
      <formula>NOT(ISERROR(SEARCH("T",AK145)))</formula>
    </cfRule>
  </conditionalFormatting>
  <conditionalFormatting sqref="AK152 AO152:AQ152 T153:AN158 AQ153:AQ158">
    <cfRule type="containsText" dxfId="774" priority="756" operator="containsText" text="T">
      <formula>NOT(ISERROR(SEARCH("T",T152)))</formula>
    </cfRule>
  </conditionalFormatting>
  <conditionalFormatting sqref="AK168">
    <cfRule type="containsText" dxfId="773" priority="689" operator="containsText" text="17">
      <formula>NOT(ISERROR(SEARCH("17",AK168)))</formula>
    </cfRule>
    <cfRule type="containsText" dxfId="772" priority="690" operator="containsText" text="T">
      <formula>NOT(ISERROR(SEARCH("T",AK168)))</formula>
    </cfRule>
  </conditionalFormatting>
  <conditionalFormatting sqref="AK152:AL152 AO152:AQ152 AQ153:AQ158">
    <cfRule type="containsText" dxfId="771" priority="757" operator="containsText" text="17">
      <formula>NOT(ISERROR(SEARCH("17",AK152)))</formula>
    </cfRule>
  </conditionalFormatting>
  <conditionalFormatting sqref="AK175:AQ175">
    <cfRule type="containsText" dxfId="770" priority="680" operator="containsText" text="17">
      <formula>NOT(ISERROR(SEARCH("17",AK175)))</formula>
    </cfRule>
    <cfRule type="containsText" dxfId="769" priority="681" operator="containsText" text="T">
      <formula>NOT(ISERROR(SEARCH("T",AK175)))</formula>
    </cfRule>
  </conditionalFormatting>
  <conditionalFormatting sqref="AK218:AU224">
    <cfRule type="containsText" dxfId="768" priority="499" operator="containsText" text="17">
      <formula>NOT(ISERROR(SEARCH("17",AK218)))</formula>
    </cfRule>
  </conditionalFormatting>
  <conditionalFormatting sqref="AK120:AY120">
    <cfRule type="containsText" dxfId="767" priority="391" operator="containsText" text="17">
      <formula>NOT(ISERROR(SEARCH("17",AK120)))</formula>
    </cfRule>
  </conditionalFormatting>
  <conditionalFormatting sqref="AK122:AY122">
    <cfRule type="containsText" dxfId="766" priority="381" operator="containsText" text="17">
      <formula>NOT(ISERROR(SEARCH("17",AK122)))</formula>
    </cfRule>
  </conditionalFormatting>
  <conditionalFormatting sqref="AK124:AY126">
    <cfRule type="containsText" dxfId="765" priority="401" operator="containsText" text="17">
      <formula>NOT(ISERROR(SEARCH("17",AK124)))</formula>
    </cfRule>
  </conditionalFormatting>
  <conditionalFormatting sqref="AK121:AZ121">
    <cfRule type="containsText" dxfId="764" priority="361" operator="containsText" text="17">
      <formula>NOT(ISERROR(SEARCH("17",AK121)))</formula>
    </cfRule>
  </conditionalFormatting>
  <conditionalFormatting sqref="AK123:AZ123">
    <cfRule type="containsText" dxfId="763" priority="351" operator="containsText" text="17">
      <formula>NOT(ISERROR(SEARCH("17",AK123)))</formula>
    </cfRule>
  </conditionalFormatting>
  <conditionalFormatting sqref="AK67:BA68">
    <cfRule type="containsText" dxfId="762" priority="311" operator="containsText" text="17">
      <formula>NOT(ISERROR(SEARCH("17",AK67)))</formula>
    </cfRule>
  </conditionalFormatting>
  <conditionalFormatting sqref="AK120:BA120">
    <cfRule type="containsText" dxfId="761" priority="385" operator="containsText" text="T">
      <formula>NOT(ISERROR(SEARCH("T",AK120)))</formula>
    </cfRule>
  </conditionalFormatting>
  <conditionalFormatting sqref="AK122:BA122">
    <cfRule type="containsText" dxfId="760" priority="375" operator="containsText" text="T">
      <formula>NOT(ISERROR(SEARCH("T",AK122)))</formula>
    </cfRule>
  </conditionalFormatting>
  <conditionalFormatting sqref="AK124:BA126">
    <cfRule type="containsText" dxfId="759" priority="395" operator="containsText" text="T">
      <formula>NOT(ISERROR(SEARCH("T",AK124)))</formula>
    </cfRule>
  </conditionalFormatting>
  <conditionalFormatting sqref="AK97:BB98">
    <cfRule type="containsText" dxfId="758" priority="301" operator="containsText" text="17">
      <formula>NOT(ISERROR(SEARCH("17",AK97)))</formula>
    </cfRule>
  </conditionalFormatting>
  <conditionalFormatting sqref="AK121:BB121">
    <cfRule type="containsText" dxfId="757" priority="355" operator="containsText" text="T">
      <formula>NOT(ISERROR(SEARCH("T",AK121)))</formula>
    </cfRule>
  </conditionalFormatting>
  <conditionalFormatting sqref="AK123:BB123">
    <cfRule type="containsText" dxfId="756" priority="345" operator="containsText" text="T">
      <formula>NOT(ISERROR(SEARCH("T",AK123)))</formula>
    </cfRule>
  </conditionalFormatting>
  <conditionalFormatting sqref="AK67:BC68">
    <cfRule type="containsText" dxfId="755" priority="305" operator="containsText" text="T">
      <formula>NOT(ISERROR(SEARCH("T",AK67)))</formula>
    </cfRule>
  </conditionalFormatting>
  <conditionalFormatting sqref="AK97:BD98">
    <cfRule type="containsText" dxfId="754" priority="295" operator="containsText" text="T">
      <formula>NOT(ISERROR(SEARCH("T",AK97)))</formula>
    </cfRule>
  </conditionalFormatting>
  <conditionalFormatting sqref="AL100:AL105">
    <cfRule type="containsText" dxfId="753" priority="858" operator="containsText" text="T">
      <formula>NOT(ISERROR(SEARCH("T",AL100)))</formula>
    </cfRule>
  </conditionalFormatting>
  <conditionalFormatting sqref="AL152">
    <cfRule type="containsText" dxfId="752" priority="758" operator="containsText" text="T">
      <formula>NOT(ISERROR(SEARCH("T",AL152)))</formula>
    </cfRule>
  </conditionalFormatting>
  <conditionalFormatting sqref="AL159 AP159:AR159 U160:AO165 AR160:AR165">
    <cfRule type="containsText" dxfId="751" priority="743" operator="containsText" text="T">
      <formula>NOT(ISERROR(SEARCH("T",U159)))</formula>
    </cfRule>
  </conditionalFormatting>
  <conditionalFormatting sqref="AL175">
    <cfRule type="containsText" dxfId="750" priority="676" operator="containsText" text="17">
      <formula>NOT(ISERROR(SEARCH("17",AL175)))</formula>
    </cfRule>
    <cfRule type="containsText" dxfId="749" priority="677" operator="containsText" text="T">
      <formula>NOT(ISERROR(SEARCH("T",AL175)))</formula>
    </cfRule>
  </conditionalFormatting>
  <conditionalFormatting sqref="AL159:AM159 AP159:AR159 AR160:AR165">
    <cfRule type="containsText" dxfId="748" priority="744" operator="containsText" text="17">
      <formula>NOT(ISERROR(SEARCH("17",AL159)))</formula>
    </cfRule>
  </conditionalFormatting>
  <conditionalFormatting sqref="AL182:AR182">
    <cfRule type="containsText" dxfId="747" priority="667" operator="containsText" text="17">
      <formula>NOT(ISERROR(SEARCH("17",AL182)))</formula>
    </cfRule>
    <cfRule type="containsText" dxfId="746" priority="668" operator="containsText" text="T">
      <formula>NOT(ISERROR(SEARCH("T",AL182)))</formula>
    </cfRule>
  </conditionalFormatting>
  <conditionalFormatting sqref="AL225:AV231">
    <cfRule type="containsText" dxfId="745" priority="489" operator="containsText" text="17">
      <formula>NOT(ISERROR(SEARCH("17",AL225)))</formula>
    </cfRule>
  </conditionalFormatting>
  <conditionalFormatting sqref="AL72:AY75">
    <cfRule type="containsText" dxfId="744" priority="421" operator="containsText" text="17">
      <formula>NOT(ISERROR(SEARCH("17",AL72)))</formula>
    </cfRule>
  </conditionalFormatting>
  <conditionalFormatting sqref="AL69:AZ71">
    <cfRule type="containsText" dxfId="743" priority="341" operator="containsText" text="17">
      <formula>NOT(ISERROR(SEARCH("17",AL69)))</formula>
    </cfRule>
  </conditionalFormatting>
  <conditionalFormatting sqref="AL72:BA75">
    <cfRule type="containsText" dxfId="742" priority="415" operator="containsText" text="T">
      <formula>NOT(ISERROR(SEARCH("T",AL72)))</formula>
    </cfRule>
  </conditionalFormatting>
  <conditionalFormatting sqref="AL69:BB71">
    <cfRule type="containsText" dxfId="741" priority="335" operator="containsText" text="T">
      <formula>NOT(ISERROR(SEARCH("T",AL69)))</formula>
    </cfRule>
  </conditionalFormatting>
  <conditionalFormatting sqref="AM159">
    <cfRule type="containsText" dxfId="740" priority="745" operator="containsText" text="T">
      <formula>NOT(ISERROR(SEARCH("T",AM159)))</formula>
    </cfRule>
  </conditionalFormatting>
  <conditionalFormatting sqref="AM182">
    <cfRule type="containsText" dxfId="739" priority="663" operator="containsText" text="17">
      <formula>NOT(ISERROR(SEARCH("17",AM182)))</formula>
    </cfRule>
    <cfRule type="containsText" dxfId="738" priority="664" operator="containsText" text="T">
      <formula>NOT(ISERROR(SEARCH("T",AM182)))</formula>
    </cfRule>
  </conditionalFormatting>
  <conditionalFormatting sqref="AM207 AQ207:AS207 V208:AP213 AS208:AS213">
    <cfRule type="containsText" dxfId="737" priority="730" operator="containsText" text="T">
      <formula>NOT(ISERROR(SEARCH("T",V207)))</formula>
    </cfRule>
  </conditionalFormatting>
  <conditionalFormatting sqref="AM207:AN207 AQ207:AS207 AS208:AS213">
    <cfRule type="containsText" dxfId="736" priority="731" operator="containsText" text="17">
      <formula>NOT(ISERROR(SEARCH("17",AM207)))</formula>
    </cfRule>
  </conditionalFormatting>
  <conditionalFormatting sqref="AM90:AS90">
    <cfRule type="containsText" dxfId="735" priority="654" operator="containsText" text="17">
      <formula>NOT(ISERROR(SEARCH("17",AM90)))</formula>
    </cfRule>
    <cfRule type="containsText" dxfId="734" priority="655" operator="containsText" text="T">
      <formula>NOT(ISERROR(SEARCH("T",AM90)))</formula>
    </cfRule>
  </conditionalFormatting>
  <conditionalFormatting sqref="AM113:AW116">
    <cfRule type="containsText" dxfId="733" priority="469" operator="containsText" text="17">
      <formula>NOT(ISERROR(SEARCH("17",AM113)))</formula>
    </cfRule>
  </conditionalFormatting>
  <conditionalFormatting sqref="AM232:AW234">
    <cfRule type="containsText" dxfId="732" priority="479" operator="containsText" text="17">
      <formula>NOT(ISERROR(SEARCH("17",AM232)))</formula>
    </cfRule>
  </conditionalFormatting>
  <conditionalFormatting sqref="AM103:AZ104">
    <cfRule type="containsText" dxfId="731" priority="371" operator="containsText" text="17">
      <formula>NOT(ISERROR(SEARCH("17",AM103)))</formula>
    </cfRule>
  </conditionalFormatting>
  <conditionalFormatting sqref="AM99:BA102">
    <cfRule type="containsText" dxfId="730" priority="331" operator="containsText" text="17">
      <formula>NOT(ISERROR(SEARCH("17",AM99)))</formula>
    </cfRule>
  </conditionalFormatting>
  <conditionalFormatting sqref="AM105:BA105">
    <cfRule type="containsText" dxfId="729" priority="321" operator="containsText" text="17">
      <formula>NOT(ISERROR(SEARCH("17",AM105)))</formula>
    </cfRule>
  </conditionalFormatting>
  <conditionalFormatting sqref="AM103:BB104">
    <cfRule type="containsText" dxfId="728" priority="365" operator="containsText" text="T">
      <formula>NOT(ISERROR(SEARCH("T",AM103)))</formula>
    </cfRule>
  </conditionalFormatting>
  <conditionalFormatting sqref="AM99:BC102">
    <cfRule type="containsText" dxfId="727" priority="325" operator="containsText" text="T">
      <formula>NOT(ISERROR(SEARCH("T",AM99)))</formula>
    </cfRule>
  </conditionalFormatting>
  <conditionalFormatting sqref="AM105:BC105">
    <cfRule type="containsText" dxfId="726" priority="315" operator="containsText" text="T">
      <formula>NOT(ISERROR(SEARCH("T",AM105)))</formula>
    </cfRule>
  </conditionalFormatting>
  <conditionalFormatting sqref="AN90">
    <cfRule type="containsText" dxfId="725" priority="650" operator="containsText" text="17">
      <formula>NOT(ISERROR(SEARCH("17",AN90)))</formula>
    </cfRule>
    <cfRule type="containsText" dxfId="724" priority="651" operator="containsText" text="T">
      <formula>NOT(ISERROR(SEARCH("T",AN90)))</formula>
    </cfRule>
  </conditionalFormatting>
  <conditionalFormatting sqref="AN132:AN137">
    <cfRule type="containsText" dxfId="723" priority="805" operator="containsText" text="T">
      <formula>NOT(ISERROR(SEARCH("T",AN132)))</formula>
    </cfRule>
  </conditionalFormatting>
  <conditionalFormatting sqref="AN200 AR200:AT200 W201:AQ206 AT201:AT206">
    <cfRule type="containsText" dxfId="722" priority="717" operator="containsText" text="T">
      <formula>NOT(ISERROR(SEARCH("T",W200)))</formula>
    </cfRule>
  </conditionalFormatting>
  <conditionalFormatting sqref="AN207">
    <cfRule type="containsText" dxfId="721" priority="732" operator="containsText" text="T">
      <formula>NOT(ISERROR(SEARCH("T",AN207)))</formula>
    </cfRule>
  </conditionalFormatting>
  <conditionalFormatting sqref="AN200:AO200 AR200:AT200 AT201:AT206">
    <cfRule type="containsText" dxfId="720" priority="718" operator="containsText" text="17">
      <formula>NOT(ISERROR(SEARCH("17",AN200)))</formula>
    </cfRule>
  </conditionalFormatting>
  <conditionalFormatting sqref="AN14:AT14">
    <cfRule type="containsText" dxfId="719" priority="641" operator="containsText" text="17">
      <formula>NOT(ISERROR(SEARCH("17",AN14)))</formula>
    </cfRule>
    <cfRule type="containsText" dxfId="718" priority="642" operator="containsText" text="T">
      <formula>NOT(ISERROR(SEARCH("T",AN14)))</formula>
    </cfRule>
  </conditionalFormatting>
  <conditionalFormatting sqref="AN79:AX82">
    <cfRule type="containsText" dxfId="717" priority="449" operator="containsText" text="17">
      <formula>NOT(ISERROR(SEARCH("17",AN79)))</formula>
    </cfRule>
  </conditionalFormatting>
  <conditionalFormatting sqref="AN117:AX119">
    <cfRule type="containsText" dxfId="716" priority="459" operator="containsText" text="17">
      <formula>NOT(ISERROR(SEARCH("17",AN117)))</formula>
    </cfRule>
  </conditionalFormatting>
  <conditionalFormatting sqref="AO14">
    <cfRule type="containsText" dxfId="715" priority="637" operator="containsText" text="17">
      <formula>NOT(ISERROR(SEARCH("17",AO14)))</formula>
    </cfRule>
    <cfRule type="containsText" dxfId="714" priority="638" operator="containsText" text="T">
      <formula>NOT(ISERROR(SEARCH("T",AO14)))</formula>
    </cfRule>
  </conditionalFormatting>
  <conditionalFormatting sqref="AO139:AO144">
    <cfRule type="containsText" dxfId="713" priority="792" operator="containsText" text="T">
      <formula>NOT(ISERROR(SEARCH("T",AO139)))</formula>
    </cfRule>
  </conditionalFormatting>
  <conditionalFormatting sqref="AO192:AO193 AS192:AU193 X194:AR199 AU194:AU199">
    <cfRule type="containsText" dxfId="712" priority="704" operator="containsText" text="T">
      <formula>NOT(ISERROR(SEARCH("T",X192)))</formula>
    </cfRule>
  </conditionalFormatting>
  <conditionalFormatting sqref="AO200">
    <cfRule type="containsText" dxfId="711" priority="719" operator="containsText" text="T">
      <formula>NOT(ISERROR(SEARCH("T",AO200)))</formula>
    </cfRule>
  </conditionalFormatting>
  <conditionalFormatting sqref="AO193:AP193 AS193:AU193 AU194:AU199">
    <cfRule type="containsText" dxfId="710" priority="705" operator="containsText" text="17">
      <formula>NOT(ISERROR(SEARCH("17",AO193)))</formula>
    </cfRule>
  </conditionalFormatting>
  <conditionalFormatting sqref="AO34:AU34">
    <cfRule type="containsText" dxfId="709" priority="628" operator="containsText" text="17">
      <formula>NOT(ISERROR(SEARCH("17",AO34)))</formula>
    </cfRule>
    <cfRule type="containsText" dxfId="708" priority="629" operator="containsText" text="T">
      <formula>NOT(ISERROR(SEARCH("T",AO34)))</formula>
    </cfRule>
  </conditionalFormatting>
  <conditionalFormatting sqref="AO131:BB137">
    <cfRule type="containsText" dxfId="707" priority="291" operator="containsText" text="17">
      <formula>NOT(ISERROR(SEARCH("17",AO131)))</formula>
    </cfRule>
  </conditionalFormatting>
  <conditionalFormatting sqref="AO131:BD137">
    <cfRule type="containsText" dxfId="706" priority="285" operator="containsText" text="T">
      <formula>NOT(ISERROR(SEARCH("T",AO131)))</formula>
    </cfRule>
  </conditionalFormatting>
  <conditionalFormatting sqref="AP34">
    <cfRule type="containsText" dxfId="705" priority="624" operator="containsText" text="17">
      <formula>NOT(ISERROR(SEARCH("17",AP34)))</formula>
    </cfRule>
    <cfRule type="containsText" dxfId="704" priority="625" operator="containsText" text="T">
      <formula>NOT(ISERROR(SEARCH("T",AP34)))</formula>
    </cfRule>
  </conditionalFormatting>
  <conditionalFormatting sqref="AP146:AP151">
    <cfRule type="containsText" dxfId="703" priority="779" operator="containsText" text="T">
      <formula>NOT(ISERROR(SEARCH("T",AP146)))</formula>
    </cfRule>
  </conditionalFormatting>
  <conditionalFormatting sqref="AP168 AT168:AV168 Y169:AS174 AV169:AV174">
    <cfRule type="containsText" dxfId="702" priority="686" operator="containsText" text="T">
      <formula>NOT(ISERROR(SEARCH("T",Y168)))</formula>
    </cfRule>
  </conditionalFormatting>
  <conditionalFormatting sqref="AP192:AP193">
    <cfRule type="containsText" dxfId="701" priority="706" operator="containsText" text="T">
      <formula>NOT(ISERROR(SEARCH("T",AP192)))</formula>
    </cfRule>
  </conditionalFormatting>
  <conditionalFormatting sqref="AP168:AQ168 AT168:AV168 AV169:AV174">
    <cfRule type="containsText" dxfId="700" priority="687" operator="containsText" text="17">
      <formula>NOT(ISERROR(SEARCH("17",AP168)))</formula>
    </cfRule>
  </conditionalFormatting>
  <conditionalFormatting sqref="AP21:AV21">
    <cfRule type="containsText" dxfId="699" priority="615" operator="containsText" text="17">
      <formula>NOT(ISERROR(SEARCH("17",AP21)))</formula>
    </cfRule>
    <cfRule type="containsText" dxfId="698" priority="616" operator="containsText" text="T">
      <formula>NOT(ISERROR(SEARCH("T",AP21)))</formula>
    </cfRule>
  </conditionalFormatting>
  <conditionalFormatting sqref="AP107:AX112">
    <cfRule type="containsText" dxfId="697" priority="441" operator="containsText" text="17">
      <formula>NOT(ISERROR(SEARCH("17",AP107)))</formula>
    </cfRule>
  </conditionalFormatting>
  <conditionalFormatting sqref="AP76:AZ78">
    <cfRule type="containsText" dxfId="696" priority="424" operator="containsText" text="17">
      <formula>NOT(ISERROR(SEARCH("17",AP76)))</formula>
    </cfRule>
  </conditionalFormatting>
  <conditionalFormatting sqref="AP107:AZ112">
    <cfRule type="containsText" dxfId="695" priority="434" operator="containsText" text="17">
      <formula>NOT(ISERROR(SEARCH("17",AP107)))</formula>
    </cfRule>
    <cfRule type="containsText" dxfId="694" priority="435" operator="containsText" text="T">
      <formula>NOT(ISERROR(SEARCH("T",AP107)))</formula>
    </cfRule>
  </conditionalFormatting>
  <conditionalFormatting sqref="AP138:BC144">
    <cfRule type="containsText" dxfId="693" priority="281" operator="containsText" text="17">
      <formula>NOT(ISERROR(SEARCH("17",AP138)))</formula>
    </cfRule>
  </conditionalFormatting>
  <conditionalFormatting sqref="AP138:BE144">
    <cfRule type="containsText" dxfId="692" priority="275" operator="containsText" text="T">
      <formula>NOT(ISERROR(SEARCH("T",AP138)))</formula>
    </cfRule>
  </conditionalFormatting>
  <conditionalFormatting sqref="AQ21">
    <cfRule type="containsText" dxfId="691" priority="611" operator="containsText" text="17">
      <formula>NOT(ISERROR(SEARCH("17",AQ21)))</formula>
    </cfRule>
    <cfRule type="containsText" dxfId="690" priority="612" operator="containsText" text="T">
      <formula>NOT(ISERROR(SEARCH("T",AQ21)))</formula>
    </cfRule>
  </conditionalFormatting>
  <conditionalFormatting sqref="AQ153:AQ158">
    <cfRule type="containsText" dxfId="689" priority="766" operator="containsText" text="T">
      <formula>NOT(ISERROR(SEARCH("T",AQ153)))</formula>
    </cfRule>
  </conditionalFormatting>
  <conditionalFormatting sqref="AQ168">
    <cfRule type="containsText" dxfId="688" priority="688" operator="containsText" text="T">
      <formula>NOT(ISERROR(SEARCH("T",AQ168)))</formula>
    </cfRule>
  </conditionalFormatting>
  <conditionalFormatting sqref="AQ175 AU175:AW175 Z176:AT181 AW176:AW181">
    <cfRule type="containsText" dxfId="687" priority="673" operator="containsText" text="T">
      <formula>NOT(ISERROR(SEARCH("T",Z175)))</formula>
    </cfRule>
  </conditionalFormatting>
  <conditionalFormatting sqref="AQ175:AR175 AU175:AW175 AW176:AW181">
    <cfRule type="containsText" dxfId="686" priority="674" operator="containsText" text="17">
      <formula>NOT(ISERROR(SEARCH("17",AQ175)))</formula>
    </cfRule>
  </conditionalFormatting>
  <conditionalFormatting sqref="AQ41:AW41">
    <cfRule type="containsText" dxfId="685" priority="602" operator="containsText" text="17">
      <formula>NOT(ISERROR(SEARCH("17",AQ41)))</formula>
    </cfRule>
    <cfRule type="containsText" dxfId="684" priority="603" operator="containsText" text="T">
      <formula>NOT(ISERROR(SEARCH("T",AQ41)))</formula>
    </cfRule>
  </conditionalFormatting>
  <conditionalFormatting sqref="AQ72:BA75">
    <cfRule type="containsText" dxfId="683" priority="414" operator="containsText" text="17">
      <formula>NOT(ISERROR(SEARCH("17",AQ72)))</formula>
    </cfRule>
  </conditionalFormatting>
  <conditionalFormatting sqref="AQ106:BA106">
    <cfRule type="containsText" dxfId="682" priority="404" operator="containsText" text="17">
      <formula>NOT(ISERROR(SEARCH("17",AQ106)))</formula>
    </cfRule>
  </conditionalFormatting>
  <conditionalFormatting sqref="AQ120:BA120">
    <cfRule type="containsText" dxfId="681" priority="384" operator="containsText" text="17">
      <formula>NOT(ISERROR(SEARCH("17",AQ120)))</formula>
    </cfRule>
  </conditionalFormatting>
  <conditionalFormatting sqref="AQ122:BA122">
    <cfRule type="containsText" dxfId="680" priority="374" operator="containsText" text="17">
      <formula>NOT(ISERROR(SEARCH("17",AQ122)))</formula>
    </cfRule>
  </conditionalFormatting>
  <conditionalFormatting sqref="AQ124:BA126">
    <cfRule type="containsText" dxfId="679" priority="394" operator="containsText" text="17">
      <formula>NOT(ISERROR(SEARCH("17",AQ124)))</formula>
    </cfRule>
  </conditionalFormatting>
  <conditionalFormatting sqref="AQ145:BD151">
    <cfRule type="containsText" dxfId="678" priority="271" operator="containsText" text="17">
      <formula>NOT(ISERROR(SEARCH("17",AQ145)))</formula>
    </cfRule>
  </conditionalFormatting>
  <conditionalFormatting sqref="AQ145:BF151">
    <cfRule type="containsText" dxfId="677" priority="265" operator="containsText" text="T">
      <formula>NOT(ISERROR(SEARCH("T",AQ145)))</formula>
    </cfRule>
  </conditionalFormatting>
  <conditionalFormatting sqref="AR41">
    <cfRule type="containsText" dxfId="676" priority="598" operator="containsText" text="17">
      <formula>NOT(ISERROR(SEARCH("17",AR41)))</formula>
    </cfRule>
    <cfRule type="containsText" dxfId="675" priority="599" operator="containsText" text="T">
      <formula>NOT(ISERROR(SEARCH("T",AR41)))</formula>
    </cfRule>
  </conditionalFormatting>
  <conditionalFormatting sqref="AR160:AR165">
    <cfRule type="containsText" dxfId="674" priority="753" operator="containsText" text="T">
      <formula>NOT(ISERROR(SEARCH("T",AR160)))</formula>
    </cfRule>
  </conditionalFormatting>
  <conditionalFormatting sqref="AR175">
    <cfRule type="containsText" dxfId="673" priority="675" operator="containsText" text="T">
      <formula>NOT(ISERROR(SEARCH("T",AR175)))</formula>
    </cfRule>
  </conditionalFormatting>
  <conditionalFormatting sqref="AR182 AV182:AX182 AA183:AU190 AX183:AX190">
    <cfRule type="containsText" dxfId="672" priority="660" operator="containsText" text="T">
      <formula>NOT(ISERROR(SEARCH("T",AA182)))</formula>
    </cfRule>
  </conditionalFormatting>
  <conditionalFormatting sqref="AR182:AS182 AV182:AX182 AX183:AX190">
    <cfRule type="containsText" dxfId="671" priority="661" operator="containsText" text="17">
      <formula>NOT(ISERROR(SEARCH("17",AR182)))</formula>
    </cfRule>
  </conditionalFormatting>
  <conditionalFormatting sqref="AR28:AX32">
    <cfRule type="containsText" dxfId="670" priority="591" operator="containsText" text="17">
      <formula>NOT(ISERROR(SEARCH("17",AR28)))</formula>
    </cfRule>
    <cfRule type="containsText" dxfId="669" priority="592" operator="containsText" text="T">
      <formula>NOT(ISERROR(SEARCH("T",AR28)))</formula>
    </cfRule>
  </conditionalFormatting>
  <conditionalFormatting sqref="AR48:AX49">
    <cfRule type="containsText" dxfId="668" priority="581" operator="containsText" text="17">
      <formula>NOT(ISERROR(SEARCH("17",AR48)))</formula>
    </cfRule>
    <cfRule type="containsText" dxfId="667" priority="582" operator="containsText" text="T">
      <formula>NOT(ISERROR(SEARCH("T",AR48)))</formula>
    </cfRule>
  </conditionalFormatting>
  <conditionalFormatting sqref="AR69:BB71">
    <cfRule type="containsText" dxfId="666" priority="334" operator="containsText" text="17">
      <formula>NOT(ISERROR(SEARCH("17",AR69)))</formula>
    </cfRule>
  </conditionalFormatting>
  <conditionalFormatting sqref="AR103:BB104">
    <cfRule type="containsText" dxfId="665" priority="364" operator="containsText" text="17">
      <formula>NOT(ISERROR(SEARCH("17",AR103)))</formula>
    </cfRule>
  </conditionalFormatting>
  <conditionalFormatting sqref="AR121:BB121">
    <cfRule type="containsText" dxfId="664" priority="354" operator="containsText" text="17">
      <formula>NOT(ISERROR(SEARCH("17",AR121)))</formula>
    </cfRule>
  </conditionalFormatting>
  <conditionalFormatting sqref="AR123:BB123">
    <cfRule type="containsText" dxfId="663" priority="344" operator="containsText" text="17">
      <formula>NOT(ISERROR(SEARCH("17",AR123)))</formula>
    </cfRule>
  </conditionalFormatting>
  <conditionalFormatting sqref="AR152:BE158">
    <cfRule type="containsText" dxfId="662" priority="261" operator="containsText" text="17">
      <formula>NOT(ISERROR(SEARCH("17",AR152)))</formula>
    </cfRule>
  </conditionalFormatting>
  <conditionalFormatting sqref="AR152:BG158">
    <cfRule type="containsText" dxfId="661" priority="255" operator="containsText" text="T">
      <formula>NOT(ISERROR(SEARCH("T",AR152)))</formula>
    </cfRule>
  </conditionalFormatting>
  <conditionalFormatting sqref="AS28:AS32">
    <cfRule type="containsText" dxfId="660" priority="588" operator="containsText" text="17">
      <formula>NOT(ISERROR(SEARCH("17",AS28)))</formula>
    </cfRule>
    <cfRule type="containsText" dxfId="659" priority="589" operator="containsText" text="T">
      <formula>NOT(ISERROR(SEARCH("T",AS28)))</formula>
    </cfRule>
  </conditionalFormatting>
  <conditionalFormatting sqref="AS48:AS49">
    <cfRule type="containsText" dxfId="658" priority="578" operator="containsText" text="17">
      <formula>NOT(ISERROR(SEARCH("17",AS48)))</formula>
    </cfRule>
    <cfRule type="containsText" dxfId="657" priority="579" operator="containsText" text="T">
      <formula>NOT(ISERROR(SEARCH("T",AS48)))</formula>
    </cfRule>
  </conditionalFormatting>
  <conditionalFormatting sqref="AS90 AW90:AY90 AB91:AV96 AY91:AY96">
    <cfRule type="containsText" dxfId="656" priority="647" operator="containsText" text="T">
      <formula>NOT(ISERROR(SEARCH("T",AB90)))</formula>
    </cfRule>
  </conditionalFormatting>
  <conditionalFormatting sqref="AS182">
    <cfRule type="containsText" dxfId="655" priority="662" operator="containsText" text="T">
      <formula>NOT(ISERROR(SEARCH("T",AS182)))</formula>
    </cfRule>
  </conditionalFormatting>
  <conditionalFormatting sqref="AS192:AS193 X194:AR199 X192:AF193">
    <cfRule type="containsText" dxfId="654" priority="709" operator="containsText" text="17">
      <formula>NOT(ISERROR(SEARCH("17",X192)))</formula>
    </cfRule>
  </conditionalFormatting>
  <conditionalFormatting sqref="AS208:AS213">
    <cfRule type="containsText" dxfId="653" priority="740" operator="containsText" text="T">
      <formula>NOT(ISERROR(SEARCH("T",AS208)))</formula>
    </cfRule>
  </conditionalFormatting>
  <conditionalFormatting sqref="AS90:AT90 AW90:AY90 AY91:AY96">
    <cfRule type="containsText" dxfId="652" priority="648" operator="containsText" text="17">
      <formula>NOT(ISERROR(SEARCH("17",AS90)))</formula>
    </cfRule>
  </conditionalFormatting>
  <conditionalFormatting sqref="AS50:AY53">
    <cfRule type="containsText" dxfId="651" priority="571" operator="containsText" text="17">
      <formula>NOT(ISERROR(SEARCH("17",AS50)))</formula>
    </cfRule>
    <cfRule type="containsText" dxfId="650" priority="572" operator="containsText" text="T">
      <formula>NOT(ISERROR(SEARCH("T",AS50)))</formula>
    </cfRule>
  </conditionalFormatting>
  <conditionalFormatting sqref="AS63:AY66">
    <cfRule type="containsText" dxfId="649" priority="561" operator="containsText" text="17">
      <formula>NOT(ISERROR(SEARCH("17",AS63)))</formula>
    </cfRule>
    <cfRule type="containsText" dxfId="648" priority="562" operator="containsText" text="T">
      <formula>NOT(ISERROR(SEARCH("T",AS63)))</formula>
    </cfRule>
  </conditionalFormatting>
  <conditionalFormatting sqref="AS67:BC68">
    <cfRule type="containsText" dxfId="647" priority="304" operator="containsText" text="17">
      <formula>NOT(ISERROR(SEARCH("17",AS67)))</formula>
    </cfRule>
  </conditionalFormatting>
  <conditionalFormatting sqref="AS99:BC102">
    <cfRule type="containsText" dxfId="646" priority="324" operator="containsText" text="17">
      <formula>NOT(ISERROR(SEARCH("17",AS99)))</formula>
    </cfRule>
  </conditionalFormatting>
  <conditionalFormatting sqref="AS105:BC105">
    <cfRule type="containsText" dxfId="645" priority="314" operator="containsText" text="17">
      <formula>NOT(ISERROR(SEARCH("17",AS105)))</formula>
    </cfRule>
  </conditionalFormatting>
  <conditionalFormatting sqref="AS159:BF165">
    <cfRule type="containsText" dxfId="644" priority="251" operator="containsText" text="17">
      <formula>NOT(ISERROR(SEARCH("17",AS159)))</formula>
    </cfRule>
  </conditionalFormatting>
  <conditionalFormatting sqref="AS159:BH165">
    <cfRule type="containsText" dxfId="643" priority="245" operator="containsText" text="T">
      <formula>NOT(ISERROR(SEARCH("T",AS159)))</formula>
    </cfRule>
  </conditionalFormatting>
  <conditionalFormatting sqref="AT14 AX14:AZ14 AC15:AW20 AZ15:AZ20">
    <cfRule type="containsText" dxfId="642" priority="634" operator="containsText" text="T">
      <formula>NOT(ISERROR(SEARCH("T",AC14)))</formula>
    </cfRule>
  </conditionalFormatting>
  <conditionalFormatting sqref="AT50:AT53">
    <cfRule type="containsText" dxfId="641" priority="568" operator="containsText" text="17">
      <formula>NOT(ISERROR(SEARCH("17",AT50)))</formula>
    </cfRule>
    <cfRule type="containsText" dxfId="640" priority="569" operator="containsText" text="T">
      <formula>NOT(ISERROR(SEARCH("T",AT50)))</formula>
    </cfRule>
  </conditionalFormatting>
  <conditionalFormatting sqref="AT63:AT66">
    <cfRule type="containsText" dxfId="639" priority="558" operator="containsText" text="17">
      <formula>NOT(ISERROR(SEARCH("17",AT63)))</formula>
    </cfRule>
    <cfRule type="containsText" dxfId="638" priority="559" operator="containsText" text="T">
      <formula>NOT(ISERROR(SEARCH("T",AT63)))</formula>
    </cfRule>
  </conditionalFormatting>
  <conditionalFormatting sqref="AT90">
    <cfRule type="containsText" dxfId="637" priority="649" operator="containsText" text="T">
      <formula>NOT(ISERROR(SEARCH("T",AT90)))</formula>
    </cfRule>
  </conditionalFormatting>
  <conditionalFormatting sqref="AT201:AT206">
    <cfRule type="containsText" dxfId="636" priority="727" operator="containsText" text="T">
      <formula>NOT(ISERROR(SEARCH("T",AT201)))</formula>
    </cfRule>
  </conditionalFormatting>
  <conditionalFormatting sqref="AT14:AU14 AX14:AZ14 AZ15:AZ20">
    <cfRule type="containsText" dxfId="635" priority="635" operator="containsText" text="17">
      <formula>NOT(ISERROR(SEARCH("17",AT14)))</formula>
    </cfRule>
  </conditionalFormatting>
  <conditionalFormatting sqref="AT59:AZ62">
    <cfRule type="containsText" dxfId="634" priority="547" operator="containsText" text="17">
      <formula>NOT(ISERROR(SEARCH("17",AT59)))</formula>
    </cfRule>
    <cfRule type="containsText" dxfId="633" priority="548" operator="containsText" text="T">
      <formula>NOT(ISERROR(SEARCH("T",AT59)))</formula>
    </cfRule>
  </conditionalFormatting>
  <conditionalFormatting sqref="AT86:AZ89">
    <cfRule type="containsText" dxfId="632" priority="537" operator="containsText" text="17">
      <formula>NOT(ISERROR(SEARCH("17",AT86)))</formula>
    </cfRule>
    <cfRule type="containsText" dxfId="631" priority="538" operator="containsText" text="T">
      <formula>NOT(ISERROR(SEARCH("T",AT86)))</formula>
    </cfRule>
  </conditionalFormatting>
  <conditionalFormatting sqref="AT97:BD98">
    <cfRule type="containsText" dxfId="630" priority="294" operator="containsText" text="17">
      <formula>NOT(ISERROR(SEARCH("17",AT97)))</formula>
    </cfRule>
  </conditionalFormatting>
  <conditionalFormatting sqref="AT131:BD137">
    <cfRule type="containsText" dxfId="629" priority="284" operator="containsText" text="17">
      <formula>NOT(ISERROR(SEARCH("17",AT131)))</formula>
    </cfRule>
  </conditionalFormatting>
  <conditionalFormatting sqref="AU14">
    <cfRule type="containsText" dxfId="628" priority="636" operator="containsText" text="T">
      <formula>NOT(ISERROR(SEARCH("T",AU14)))</formula>
    </cfRule>
  </conditionalFormatting>
  <conditionalFormatting sqref="AU34 AY34:BA34 AD35:AX40 BA35:BA40">
    <cfRule type="containsText" dxfId="627" priority="621" operator="containsText" text="T">
      <formula>NOT(ISERROR(SEARCH("T",AD34)))</formula>
    </cfRule>
  </conditionalFormatting>
  <conditionalFormatting sqref="AU59:AU62">
    <cfRule type="containsText" dxfId="626" priority="544" operator="containsText" text="17">
      <formula>NOT(ISERROR(SEARCH("17",AU59)))</formula>
    </cfRule>
    <cfRule type="containsText" dxfId="625" priority="545" operator="containsText" text="T">
      <formula>NOT(ISERROR(SEARCH("T",AU59)))</formula>
    </cfRule>
  </conditionalFormatting>
  <conditionalFormatting sqref="AU86:AU89">
    <cfRule type="containsText" dxfId="624" priority="534" operator="containsText" text="17">
      <formula>NOT(ISERROR(SEARCH("17",AU86)))</formula>
    </cfRule>
    <cfRule type="containsText" dxfId="623" priority="535" operator="containsText" text="T">
      <formula>NOT(ISERROR(SEARCH("T",AU86)))</formula>
    </cfRule>
  </conditionalFormatting>
  <conditionalFormatting sqref="AU194:AU199">
    <cfRule type="containsText" dxfId="622" priority="714" operator="containsText" text="T">
      <formula>NOT(ISERROR(SEARCH("T",AU194)))</formula>
    </cfRule>
  </conditionalFormatting>
  <conditionalFormatting sqref="AU34:AV34 AY34:BA34 BA35:BA40">
    <cfRule type="containsText" dxfId="621" priority="622" operator="containsText" text="17">
      <formula>NOT(ISERROR(SEARCH("17",AU34)))</formula>
    </cfRule>
  </conditionalFormatting>
  <conditionalFormatting sqref="AU83:BA85">
    <cfRule type="containsText" dxfId="620" priority="527" operator="containsText" text="17">
      <formula>NOT(ISERROR(SEARCH("17",AU83)))</formula>
    </cfRule>
    <cfRule type="containsText" dxfId="619" priority="528" operator="containsText" text="T">
      <formula>NOT(ISERROR(SEARCH("T",AU83)))</formula>
    </cfRule>
  </conditionalFormatting>
  <conditionalFormatting sqref="AU214:BA217">
    <cfRule type="containsText" dxfId="618" priority="517" operator="containsText" text="17">
      <formula>NOT(ISERROR(SEARCH("17",AU214)))</formula>
    </cfRule>
    <cfRule type="containsText" dxfId="617" priority="518" operator="containsText" text="T">
      <formula>NOT(ISERROR(SEARCH("T",AU214)))</formula>
    </cfRule>
  </conditionalFormatting>
  <conditionalFormatting sqref="AU138:BE144">
    <cfRule type="containsText" dxfId="616" priority="274" operator="containsText" text="17">
      <formula>NOT(ISERROR(SEARCH("17",AU138)))</formula>
    </cfRule>
  </conditionalFormatting>
  <conditionalFormatting sqref="AU200:CP206 AT207:CP213 AY189:CP190 J191:CP191 J33:CP33 BB34:BE40 AX175:BB181 AY182:BC188 J14:AB20 BA14:BD20 CC14:CP20 J21:AD27 BC21:BF27 CE21:CP27 J28:AE32 BE28:BH32 AE28:AF33 J34:AC40 CD34:CP40 J41:AE47 BD41:BG47 BE48:BH49 J50:AG53 BF50:CP53 AG53:BG53 J54:CP58 BG59:CP59 BG60:BI62 BF63:BI66 BQ67:CP68 BP69:CP71 J69:M75 BO72:CP75 BN76:CP78 J76:J82 BL79:CP82 BH83:BK85 CJ83:CP89 BG86:BK89 J90:AA96 AZ90:BJ96 BQ99:CP102 J99:N105 BP103:CP104 BO106:CP106 J106:K112 BN107:CP112 BK113:BP116 BL117:BP119 BO120 BO124:BO126 J127:O130 AN127:CP130 O130:AO130 J131:P137 BR131:CP137 J138:Q144 BS138:CP144 J145:R151 BT145:CP151 J152:S158 BU152:CP158 J159:T165 BV159:CP165 J166:CP167 J168:X174 J175:Y181 J182:Z190 J192:W199 AV192:CP199 J200:V206 J207:U213 BH214:BL217 BI221:BM224 BJ225:BM227 BJ228:BN231 BK232:BN234 BI218:BL220 BQ105:CP105 AJ107:AO112 J120:L126 CG28:CP32 CF41:CP47 CG48:CP49 CH60:CP66 CI90:CP96 CK214:XFD220 CL221:CP227 CM228:CP234">
    <cfRule type="containsText" dxfId="615" priority="8533" operator="containsText" text="17">
      <formula>NOT(ISERROR(SEARCH("17",J14)))</formula>
    </cfRule>
  </conditionalFormatting>
  <conditionalFormatting sqref="AV21 AZ21:BB21 AE22:AY27">
    <cfRule type="containsText" dxfId="614" priority="608" operator="containsText" text="T">
      <formula>NOT(ISERROR(SEARCH("T",AE21)))</formula>
    </cfRule>
  </conditionalFormatting>
  <conditionalFormatting sqref="AV34">
    <cfRule type="containsText" dxfId="613" priority="623" operator="containsText" text="T">
      <formula>NOT(ISERROR(SEARCH("T",AV34)))</formula>
    </cfRule>
  </conditionalFormatting>
  <conditionalFormatting sqref="AV83:AV85">
    <cfRule type="containsText" dxfId="612" priority="524" operator="containsText" text="17">
      <formula>NOT(ISERROR(SEARCH("17",AV83)))</formula>
    </cfRule>
    <cfRule type="containsText" dxfId="611" priority="525" operator="containsText" text="T">
      <formula>NOT(ISERROR(SEARCH("T",AV83)))</formula>
    </cfRule>
  </conditionalFormatting>
  <conditionalFormatting sqref="AV169:AV174">
    <cfRule type="containsText" dxfId="610" priority="696" operator="containsText" text="T">
      <formula>NOT(ISERROR(SEARCH("T",AV169)))</formula>
    </cfRule>
  </conditionalFormatting>
  <conditionalFormatting sqref="AV214:AV217">
    <cfRule type="containsText" dxfId="609" priority="514" operator="containsText" text="17">
      <formula>NOT(ISERROR(SEARCH("17",AV214)))</formula>
    </cfRule>
    <cfRule type="containsText" dxfId="608" priority="515" operator="containsText" text="T">
      <formula>NOT(ISERROR(SEARCH("T",AV214)))</formula>
    </cfRule>
  </conditionalFormatting>
  <conditionalFormatting sqref="AV21:AW21 AZ21:BB21 BB22:BF27">
    <cfRule type="containsText" dxfId="607" priority="609" operator="containsText" text="17">
      <formula>NOT(ISERROR(SEARCH("17",AV21)))</formula>
    </cfRule>
  </conditionalFormatting>
  <conditionalFormatting sqref="AV218:BB224">
    <cfRule type="containsText" dxfId="606" priority="507" operator="containsText" text="17">
      <formula>NOT(ISERROR(SEARCH("17",AV218)))</formula>
    </cfRule>
    <cfRule type="containsText" dxfId="605" priority="508" operator="containsText" text="T">
      <formula>NOT(ISERROR(SEARCH("T",AV218)))</formula>
    </cfRule>
  </conditionalFormatting>
  <conditionalFormatting sqref="AV145:BF151">
    <cfRule type="containsText" dxfId="604" priority="264" operator="containsText" text="17">
      <formula>NOT(ISERROR(SEARCH("17",AV145)))</formula>
    </cfRule>
  </conditionalFormatting>
  <conditionalFormatting sqref="AV192:CP199 BH214:BL217 BI221:BM224 BJ225:BM227 AU200:CP206 AT207:CP213 AN127:CP130 AY189:CP190 BG86:BK89 AZ90:BJ96 BL79:CP82 BT145:CP151 BC21:BF27 BE28:BH32 BD41:BG47 BE48:BH49 BF50:CP53 AG53:BG53 J54:CP58 BG59:CP59 BG60:BI62 BF63:BI66 BQ67:CP68 BP69:CP71 BO72:CP75 BN76:CP78 CJ83:CP89 BH83:BK85 BQ99:CP102 BP103:CP104 BO106:CP106 BN107:CP112 BK113:BP116 BL117:BP119 BR131:CP137 BS138:CP144 BU152:CP158 BV159:CP165 AY182:BC188 O130:AO130 BO124:BO126 BO120 J14:AB20 BA14:BD20 CC14:CP20 J21:AD27 CE21:CP27 J28:AE32 AE28:AF33 J34:AC40 BB34:BE40 CD34:CP40 J41:AE47 J69:M75 J76:J82 J90:AA96 J99:N105 J106:K112 J131:P137 J138:Q144 J145:R151 J152:S158 J159:T165 J166:CP167 J168:X174 J175:Y181 J182:Z190 J191:CP191 J192:W199 J200:V206 J207:U213">
    <cfRule type="containsText" dxfId="603" priority="7303" operator="containsText" text="T">
      <formula>NOT(ISERROR(SEARCH("T",J14)))</formula>
    </cfRule>
  </conditionalFormatting>
  <conditionalFormatting sqref="AW21">
    <cfRule type="containsText" dxfId="602" priority="610" operator="containsText" text="T">
      <formula>NOT(ISERROR(SEARCH("T",AW21)))</formula>
    </cfRule>
  </conditionalFormatting>
  <conditionalFormatting sqref="AW41 BA41:BC41 AF42:AZ47 BC42:BC47">
    <cfRule type="containsText" dxfId="601" priority="595" operator="containsText" text="T">
      <formula>NOT(ISERROR(SEARCH("T",AF41)))</formula>
    </cfRule>
  </conditionalFormatting>
  <conditionalFormatting sqref="AW176:AW181">
    <cfRule type="containsText" dxfId="600" priority="683" operator="containsText" text="T">
      <formula>NOT(ISERROR(SEARCH("T",AW176)))</formula>
    </cfRule>
  </conditionalFormatting>
  <conditionalFormatting sqref="AW218:AW224">
    <cfRule type="containsText" dxfId="599" priority="504" operator="containsText" text="17">
      <formula>NOT(ISERROR(SEARCH("17",AW218)))</formula>
    </cfRule>
    <cfRule type="containsText" dxfId="598" priority="505" operator="containsText" text="T">
      <formula>NOT(ISERROR(SEARCH("T",AW218)))</formula>
    </cfRule>
  </conditionalFormatting>
  <conditionalFormatting sqref="AW41:AX41 BA41:BC41 BC42:BC47">
    <cfRule type="containsText" dxfId="597" priority="596" operator="containsText" text="17">
      <formula>NOT(ISERROR(SEARCH("17",AW41)))</formula>
    </cfRule>
  </conditionalFormatting>
  <conditionalFormatting sqref="AW225:BC231">
    <cfRule type="containsText" dxfId="596" priority="497" operator="containsText" text="17">
      <formula>NOT(ISERROR(SEARCH("17",AW225)))</formula>
    </cfRule>
    <cfRule type="containsText" dxfId="595" priority="498" operator="containsText" text="T">
      <formula>NOT(ISERROR(SEARCH("T",AW225)))</formula>
    </cfRule>
  </conditionalFormatting>
  <conditionalFormatting sqref="AW152:BG158">
    <cfRule type="containsText" dxfId="594" priority="254" operator="containsText" text="17">
      <formula>NOT(ISERROR(SEARCH("17",AW152)))</formula>
    </cfRule>
  </conditionalFormatting>
  <conditionalFormatting sqref="AW168:CP174">
    <cfRule type="containsText" dxfId="593" priority="205" operator="containsText" text="17">
      <formula>NOT(ISERROR(SEARCH("17",AW168)))</formula>
    </cfRule>
  </conditionalFormatting>
  <conditionalFormatting sqref="AX28:AX32 BB28:BD32">
    <cfRule type="containsText" dxfId="592" priority="585" operator="containsText" text="T">
      <formula>NOT(ISERROR(SEARCH("T",AX28)))</formula>
    </cfRule>
  </conditionalFormatting>
  <conditionalFormatting sqref="AX41">
    <cfRule type="containsText" dxfId="591" priority="597" operator="containsText" text="T">
      <formula>NOT(ISERROR(SEARCH("T",AX41)))</formula>
    </cfRule>
  </conditionalFormatting>
  <conditionalFormatting sqref="AX48:AX49 BB48:BD49">
    <cfRule type="containsText" dxfId="590" priority="575" operator="containsText" text="T">
      <formula>NOT(ISERROR(SEARCH("T",AX48)))</formula>
    </cfRule>
  </conditionalFormatting>
  <conditionalFormatting sqref="AX180:AX181 AY182:AY185 BM191 BU200:BU202 BV203:BV205">
    <cfRule type="containsText" dxfId="589" priority="7319" operator="containsText" text="T">
      <formula>NOT(ISERROR(SEARCH("T",AX180)))</formula>
    </cfRule>
    <cfRule type="containsText" dxfId="588" priority="7320" operator="containsText" text="17">
      <formula>NOT(ISERROR(SEARCH("17",AX180)))</formula>
    </cfRule>
    <cfRule type="containsText" dxfId="587" priority="7321" operator="containsText" text="T">
      <formula>NOT(ISERROR(SEARCH("T",AX180)))</formula>
    </cfRule>
  </conditionalFormatting>
  <conditionalFormatting sqref="AX183:AX190">
    <cfRule type="containsText" dxfId="586" priority="670" operator="containsText" text="T">
      <formula>NOT(ISERROR(SEARCH("T",AX183)))</formula>
    </cfRule>
  </conditionalFormatting>
  <conditionalFormatting sqref="AX192">
    <cfRule type="containsText" dxfId="585" priority="2369" operator="containsText" text="17">
      <formula>NOT(ISERROR(SEARCH("17",AX192)))</formula>
    </cfRule>
    <cfRule type="containsText" dxfId="584" priority="2370" operator="containsText" text="T">
      <formula>NOT(ISERROR(SEARCH("T",AX192)))</formula>
    </cfRule>
    <cfRule type="containsText" dxfId="583" priority="6266" operator="containsText" text="17">
      <formula>NOT(ISERROR(SEARCH("17",AX192)))</formula>
    </cfRule>
    <cfRule type="containsText" dxfId="582" priority="6267" operator="containsText" text="T">
      <formula>NOT(ISERROR(SEARCH("T",AX192)))</formula>
    </cfRule>
  </conditionalFormatting>
  <conditionalFormatting sqref="AX196:AX198">
    <cfRule type="containsText" dxfId="581" priority="7294" operator="containsText" text="17">
      <formula>NOT(ISERROR(SEARCH("17",AX196)))</formula>
    </cfRule>
    <cfRule type="containsText" dxfId="580" priority="7295" operator="containsText" text="T">
      <formula>NOT(ISERROR(SEARCH("T",AX196)))</formula>
    </cfRule>
  </conditionalFormatting>
  <conditionalFormatting sqref="AX225:AX231">
    <cfRule type="containsText" dxfId="579" priority="494" operator="containsText" text="17">
      <formula>NOT(ISERROR(SEARCH("17",AX225)))</formula>
    </cfRule>
    <cfRule type="containsText" dxfId="578" priority="495" operator="containsText" text="T">
      <formula>NOT(ISERROR(SEARCH("T",AX225)))</formula>
    </cfRule>
  </conditionalFormatting>
  <conditionalFormatting sqref="AX28:AY32 BB28:BD32">
    <cfRule type="containsText" dxfId="577" priority="586" operator="containsText" text="17">
      <formula>NOT(ISERROR(SEARCH("17",AX28)))</formula>
    </cfRule>
  </conditionalFormatting>
  <conditionalFormatting sqref="AX48:AY49 BB48:BD49">
    <cfRule type="containsText" dxfId="576" priority="576" operator="containsText" text="17">
      <formula>NOT(ISERROR(SEARCH("17",AX48)))</formula>
    </cfRule>
  </conditionalFormatting>
  <conditionalFormatting sqref="AX170:BA170">
    <cfRule type="containsText" dxfId="575" priority="8728" operator="containsText" text="17">
      <formula>NOT(ISERROR(SEARCH("17",AX170)))</formula>
    </cfRule>
    <cfRule type="containsText" dxfId="574" priority="8729" operator="containsText" text="T">
      <formula>NOT(ISERROR(SEARCH("T",AX170)))</formula>
    </cfRule>
  </conditionalFormatting>
  <conditionalFormatting sqref="AX199:BB199 AX206:BA206 BP199:BR199 BO206:BQ206 BT199 BS206 BV199 BU206 AX213">
    <cfRule type="containsText" dxfId="573" priority="5060" operator="containsText" text="17">
      <formula>NOT(ISERROR(SEARCH("17",AX199)))</formula>
    </cfRule>
  </conditionalFormatting>
  <conditionalFormatting sqref="AX199:BB199 BP199:BR199 BT199 BV199 AX206:BA206 BO206:BQ206 BS206 BU206 AX213">
    <cfRule type="containsText" dxfId="572" priority="5061" operator="containsText" text="T">
      <formula>NOT(ISERROR(SEARCH("T",AX199)))</formula>
    </cfRule>
  </conditionalFormatting>
  <conditionalFormatting sqref="AX33:BC33">
    <cfRule type="containsText" dxfId="571" priority="8832" operator="containsText" text="T">
      <formula>NOT(ISERROR(SEARCH("T",AX33)))</formula>
    </cfRule>
  </conditionalFormatting>
  <conditionalFormatting sqref="AX113:BD116">
    <cfRule type="containsText" dxfId="570" priority="477" operator="containsText" text="17">
      <formula>NOT(ISERROR(SEARCH("17",AX113)))</formula>
    </cfRule>
    <cfRule type="containsText" dxfId="569" priority="478" operator="containsText" text="T">
      <formula>NOT(ISERROR(SEARCH("T",AX113)))</formula>
    </cfRule>
  </conditionalFormatting>
  <conditionalFormatting sqref="AX232:BD234">
    <cfRule type="containsText" dxfId="568" priority="487" operator="containsText" text="17">
      <formula>NOT(ISERROR(SEARCH("17",AX232)))</formula>
    </cfRule>
    <cfRule type="containsText" dxfId="567" priority="488" operator="containsText" text="T">
      <formula>NOT(ISERROR(SEARCH("T",AX232)))</formula>
    </cfRule>
  </conditionalFormatting>
  <conditionalFormatting sqref="AX199:BE199 AX206:BD206 AX213">
    <cfRule type="containsText" dxfId="566" priority="5068" operator="containsText" text="17">
      <formula>NOT(ISERROR(SEARCH("17",AX199)))</formula>
    </cfRule>
    <cfRule type="containsText" dxfId="565" priority="5069" operator="containsText" text="T">
      <formula>NOT(ISERROR(SEARCH("T",AX199)))</formula>
    </cfRule>
  </conditionalFormatting>
  <conditionalFormatting sqref="AX159:BH165">
    <cfRule type="containsText" dxfId="564" priority="244" operator="containsText" text="17">
      <formula>NOT(ISERROR(SEARCH("17",AX159)))</formula>
    </cfRule>
  </conditionalFormatting>
  <conditionalFormatting sqref="AX175:CP181">
    <cfRule type="containsText" dxfId="563" priority="172" operator="containsText" text="T">
      <formula>NOT(ISERROR(SEARCH("T",AX175)))</formula>
    </cfRule>
  </conditionalFormatting>
  <conditionalFormatting sqref="AY28:AY32">
    <cfRule type="containsText" dxfId="562" priority="587" operator="containsText" text="T">
      <formula>NOT(ISERROR(SEARCH("T",AY28)))</formula>
    </cfRule>
  </conditionalFormatting>
  <conditionalFormatting sqref="AY33">
    <cfRule type="containsText" dxfId="561" priority="8206" operator="containsText" text="17">
      <formula>NOT(ISERROR(SEARCH("17",AY33)))</formula>
    </cfRule>
    <cfRule type="containsText" dxfId="560" priority="8207" operator="containsText" text="T">
      <formula>NOT(ISERROR(SEARCH("T",AY33)))</formula>
    </cfRule>
  </conditionalFormatting>
  <conditionalFormatting sqref="AY48:AY49">
    <cfRule type="containsText" dxfId="559" priority="577" operator="containsText" text="T">
      <formula>NOT(ISERROR(SEARCH("T",AY48)))</formula>
    </cfRule>
  </conditionalFormatting>
  <conditionalFormatting sqref="AY50:AY53 BC50:BE53">
    <cfRule type="containsText" dxfId="558" priority="565" operator="containsText" text="T">
      <formula>NOT(ISERROR(SEARCH("T",AY50)))</formula>
    </cfRule>
  </conditionalFormatting>
  <conditionalFormatting sqref="AY63:AY66 BC63:BI66">
    <cfRule type="containsText" dxfId="557" priority="555" operator="containsText" text="T">
      <formula>NOT(ISERROR(SEARCH("T",AY63)))</formula>
    </cfRule>
  </conditionalFormatting>
  <conditionalFormatting sqref="AY91:AY96">
    <cfRule type="containsText" dxfId="556" priority="657" operator="containsText" text="T">
      <formula>NOT(ISERROR(SEARCH("T",AY91)))</formula>
    </cfRule>
  </conditionalFormatting>
  <conditionalFormatting sqref="AY113:AY116">
    <cfRule type="containsText" dxfId="555" priority="474" operator="containsText" text="17">
      <formula>NOT(ISERROR(SEARCH("17",AY113)))</formula>
    </cfRule>
    <cfRule type="containsText" dxfId="554" priority="475" operator="containsText" text="T">
      <formula>NOT(ISERROR(SEARCH("T",AY113)))</formula>
    </cfRule>
  </conditionalFormatting>
  <conditionalFormatting sqref="AY182:AY185 BM191 BU200:BU202 BV203:BV205 AX180:AX181">
    <cfRule type="containsText" dxfId="553" priority="7318" operator="containsText" text="17">
      <formula>NOT(ISERROR(SEARCH("17",AX180)))</formula>
    </cfRule>
  </conditionalFormatting>
  <conditionalFormatting sqref="AY189">
    <cfRule type="containsText" dxfId="552" priority="4892" operator="containsText" text="17">
      <formula>NOT(ISERROR(SEARCH("17",AY189)))</formula>
    </cfRule>
    <cfRule type="containsText" dxfId="551" priority="4893" operator="containsText" text="T">
      <formula>NOT(ISERROR(SEARCH("T",AY189)))</formula>
    </cfRule>
    <cfRule type="containsText" dxfId="550" priority="4910" operator="containsText" text="17">
      <formula>NOT(ISERROR(SEARCH("17",AY189)))</formula>
    </cfRule>
    <cfRule type="containsText" dxfId="549" priority="4911" operator="containsText" text="T">
      <formula>NOT(ISERROR(SEARCH("T",AY189)))</formula>
    </cfRule>
  </conditionalFormatting>
  <conditionalFormatting sqref="AY190 AX191:BH191 BK191 BO191:BS191">
    <cfRule type="containsText" dxfId="548" priority="8514" operator="containsText" text="T">
      <formula>NOT(ISERROR(SEARCH("T",AX190)))</formula>
    </cfRule>
  </conditionalFormatting>
  <conditionalFormatting sqref="AY199 AX206">
    <cfRule type="containsText" dxfId="547" priority="2143" operator="containsText" text="17">
      <formula>NOT(ISERROR(SEARCH("17",AX199)))</formula>
    </cfRule>
    <cfRule type="containsText" dxfId="546" priority="2144" operator="containsText" text="T">
      <formula>NOT(ISERROR(SEARCH("T",AX199)))</formula>
    </cfRule>
  </conditionalFormatting>
  <conditionalFormatting sqref="AY232:AY234">
    <cfRule type="containsText" dxfId="545" priority="484" operator="containsText" text="17">
      <formula>NOT(ISERROR(SEARCH("17",AY232)))</formula>
    </cfRule>
    <cfRule type="containsText" dxfId="544" priority="485" operator="containsText" text="T">
      <formula>NOT(ISERROR(SEARCH("T",AY232)))</formula>
    </cfRule>
  </conditionalFormatting>
  <conditionalFormatting sqref="AY50:AZ53 BC50:BE53">
    <cfRule type="containsText" dxfId="543" priority="566" operator="containsText" text="17">
      <formula>NOT(ISERROR(SEARCH("17",AY50)))</formula>
    </cfRule>
  </conditionalFormatting>
  <conditionalFormatting sqref="AY63:AZ66 BC63:BE66">
    <cfRule type="containsText" dxfId="542" priority="556" operator="containsText" text="17">
      <formula>NOT(ISERROR(SEARCH("17",AY63)))</formula>
    </cfRule>
  </conditionalFormatting>
  <conditionalFormatting sqref="AY79:BE82">
    <cfRule type="containsText" dxfId="541" priority="457" operator="containsText" text="17">
      <formula>NOT(ISERROR(SEARCH("17",AY79)))</formula>
    </cfRule>
    <cfRule type="containsText" dxfId="540" priority="458" operator="containsText" text="T">
      <formula>NOT(ISERROR(SEARCH("T",AY79)))</formula>
    </cfRule>
  </conditionalFormatting>
  <conditionalFormatting sqref="AY117:BE119">
    <cfRule type="containsText" dxfId="539" priority="467" operator="containsText" text="17">
      <formula>NOT(ISERROR(SEARCH("17",AY117)))</formula>
    </cfRule>
    <cfRule type="containsText" dxfId="538" priority="468" operator="containsText" text="T">
      <formula>NOT(ISERROR(SEARCH("T",AY117)))</formula>
    </cfRule>
  </conditionalFormatting>
  <conditionalFormatting sqref="AY207:BI213">
    <cfRule type="containsText" dxfId="537" priority="234" operator="containsText" text="17">
      <formula>NOT(ISERROR(SEARCH("17",AY207)))</formula>
    </cfRule>
  </conditionalFormatting>
  <conditionalFormatting sqref="AY207:BP213">
    <cfRule type="containsText" dxfId="536" priority="243" operator="containsText" text="T">
      <formula>NOT(ISERROR(SEARCH("T",AY207)))</formula>
    </cfRule>
  </conditionalFormatting>
  <conditionalFormatting sqref="AY193:BV213 AX195:BV195 BH214:BL215">
    <cfRule type="containsText" dxfId="535" priority="914" operator="containsText" text="T">
      <formula>NOT(ISERROR(SEARCH("T",AX193)))</formula>
    </cfRule>
  </conditionalFormatting>
  <conditionalFormatting sqref="AZ15:AZ20">
    <cfRule type="containsText" dxfId="534" priority="644" operator="containsText" text="T">
      <formula>NOT(ISERROR(SEARCH("T",AZ15)))</formula>
    </cfRule>
  </conditionalFormatting>
  <conditionalFormatting sqref="AZ50:AZ53">
    <cfRule type="containsText" dxfId="533" priority="567" operator="containsText" text="T">
      <formula>NOT(ISERROR(SEARCH("T",AZ50)))</formula>
    </cfRule>
  </conditionalFormatting>
  <conditionalFormatting sqref="AZ63:AZ66">
    <cfRule type="containsText" dxfId="532" priority="557" operator="containsText" text="T">
      <formula>NOT(ISERROR(SEARCH("T",AZ63)))</formula>
    </cfRule>
  </conditionalFormatting>
  <conditionalFormatting sqref="AZ79:AZ82">
    <cfRule type="containsText" dxfId="531" priority="454" operator="containsText" text="17">
      <formula>NOT(ISERROR(SEARCH("17",AZ79)))</formula>
    </cfRule>
    <cfRule type="containsText" dxfId="530" priority="455" operator="containsText" text="T">
      <formula>NOT(ISERROR(SEARCH("T",AZ79)))</formula>
    </cfRule>
  </conditionalFormatting>
  <conditionalFormatting sqref="AZ86:AZ89 BD86:BF89">
    <cfRule type="containsText" dxfId="529" priority="531" operator="containsText" text="T">
      <formula>NOT(ISERROR(SEARCH("T",AZ86)))</formula>
    </cfRule>
  </conditionalFormatting>
  <conditionalFormatting sqref="AZ117:AZ119">
    <cfRule type="containsText" dxfId="528" priority="464" operator="containsText" text="17">
      <formula>NOT(ISERROR(SEARCH("17",AZ117)))</formula>
    </cfRule>
    <cfRule type="containsText" dxfId="527" priority="465" operator="containsText" text="T">
      <formula>NOT(ISERROR(SEARCH("T",AZ117)))</formula>
    </cfRule>
  </conditionalFormatting>
  <conditionalFormatting sqref="AZ59:BA62 BD59:BF62">
    <cfRule type="containsText" dxfId="526" priority="542" operator="containsText" text="17">
      <formula>NOT(ISERROR(SEARCH("17",AZ59)))</formula>
    </cfRule>
  </conditionalFormatting>
  <conditionalFormatting sqref="AZ86:BA89 BD86:BF89">
    <cfRule type="containsText" dxfId="525" priority="532" operator="containsText" text="17">
      <formula>NOT(ISERROR(SEARCH("17",AZ86)))</formula>
    </cfRule>
  </conditionalFormatting>
  <conditionalFormatting sqref="AZ93:BB93">
    <cfRule type="containsText" dxfId="524" priority="4056" operator="containsText" text="17">
      <formula>NOT(ISERROR(SEARCH("17",AZ93)))</formula>
    </cfRule>
    <cfRule type="containsText" dxfId="523" priority="4057" operator="containsText" text="T">
      <formula>NOT(ISERROR(SEARCH("T",AZ93)))</formula>
    </cfRule>
  </conditionalFormatting>
  <conditionalFormatting sqref="AZ175:BB178">
    <cfRule type="containsText" dxfId="522" priority="933" operator="containsText" text="T">
      <formula>NOT(ISERROR(SEARCH("T",AZ175)))</formula>
    </cfRule>
  </conditionalFormatting>
  <conditionalFormatting sqref="AZ180:BB181 AZ182:BC183">
    <cfRule type="containsText" dxfId="521" priority="927" operator="containsText" text="T">
      <formula>NOT(ISERROR(SEARCH("T",AZ180)))</formula>
    </cfRule>
  </conditionalFormatting>
  <conditionalFormatting sqref="AZ185:BC188 AZ189:BW190">
    <cfRule type="containsText" dxfId="520" priority="921" operator="containsText" text="T">
      <formula>NOT(ISERROR(SEARCH("T",AZ185)))</formula>
    </cfRule>
  </conditionalFormatting>
  <conditionalFormatting sqref="AZ200:BJ206">
    <cfRule type="containsText" dxfId="519" priority="223" operator="containsText" text="17">
      <formula>NOT(ISERROR(SEARCH("17",AZ200)))</formula>
    </cfRule>
  </conditionalFormatting>
  <conditionalFormatting sqref="AZ200:BW206">
    <cfRule type="containsText" dxfId="518" priority="232" operator="containsText" text="T">
      <formula>NOT(ISERROR(SEARCH("T",AZ200)))</formula>
    </cfRule>
  </conditionalFormatting>
  <conditionalFormatting sqref="BA22:BA27">
    <cfRule type="containsText" dxfId="517" priority="549" operator="containsText" text="T">
      <formula>NOT(ISERROR(SEARCH("T",BA22)))</formula>
    </cfRule>
    <cfRule type="containsText" dxfId="516" priority="550" operator="containsText" text="17">
      <formula>NOT(ISERROR(SEARCH("17",BA22)))</formula>
    </cfRule>
  </conditionalFormatting>
  <conditionalFormatting sqref="BA35:BA40">
    <cfRule type="containsText" dxfId="515" priority="631" operator="containsText" text="T">
      <formula>NOT(ISERROR(SEARCH("T",BA35)))</formula>
    </cfRule>
  </conditionalFormatting>
  <conditionalFormatting sqref="BA59:BA62">
    <cfRule type="containsText" dxfId="514" priority="543" operator="containsText" text="T">
      <formula>NOT(ISERROR(SEARCH("T",BA59)))</formula>
    </cfRule>
  </conditionalFormatting>
  <conditionalFormatting sqref="BA83:BA85 BE83:BG85">
    <cfRule type="containsText" dxfId="513" priority="521" operator="containsText" text="T">
      <formula>NOT(ISERROR(SEARCH("T",BA83)))</formula>
    </cfRule>
  </conditionalFormatting>
  <conditionalFormatting sqref="BA86:BA89">
    <cfRule type="containsText" dxfId="512" priority="533" operator="containsText" text="T">
      <formula>NOT(ISERROR(SEARCH("T",BA86)))</formula>
    </cfRule>
  </conditionalFormatting>
  <conditionalFormatting sqref="BA199 AZ206">
    <cfRule type="containsText" dxfId="511" priority="5056" operator="containsText" text="17">
      <formula>NOT(ISERROR(SEARCH("17",AZ199)))</formula>
    </cfRule>
    <cfRule type="containsText" dxfId="510" priority="5057" operator="containsText" text="T">
      <formula>NOT(ISERROR(SEARCH("T",AZ199)))</formula>
    </cfRule>
  </conditionalFormatting>
  <conditionalFormatting sqref="BA214:BA217 BE214:BG217">
    <cfRule type="containsText" dxfId="509" priority="511" operator="containsText" text="T">
      <formula>NOT(ISERROR(SEARCH("T",BA214)))</formula>
    </cfRule>
  </conditionalFormatting>
  <conditionalFormatting sqref="BA22:BB27">
    <cfRule type="containsText" dxfId="508" priority="552" operator="containsText" text="T">
      <formula>NOT(ISERROR(SEARCH("T",BA22)))</formula>
    </cfRule>
  </conditionalFormatting>
  <conditionalFormatting sqref="BA83:BB85 BE83:BG85">
    <cfRule type="containsText" dxfId="507" priority="522" operator="containsText" text="17">
      <formula>NOT(ISERROR(SEARCH("17",BA83)))</formula>
    </cfRule>
  </conditionalFormatting>
  <conditionalFormatting sqref="BA214:BB217 BE214:BG217">
    <cfRule type="containsText" dxfId="506" priority="512" operator="containsText" text="17">
      <formula>NOT(ISERROR(SEARCH("17",BA214)))</formula>
    </cfRule>
  </conditionalFormatting>
  <conditionalFormatting sqref="BA76:BG78">
    <cfRule type="containsText" dxfId="505" priority="432" operator="containsText" text="17">
      <formula>NOT(ISERROR(SEARCH("17",BA76)))</formula>
    </cfRule>
    <cfRule type="containsText" dxfId="504" priority="433" operator="containsText" text="T">
      <formula>NOT(ISERROR(SEARCH("T",BA76)))</formula>
    </cfRule>
  </conditionalFormatting>
  <conditionalFormatting sqref="BA107:BG112">
    <cfRule type="containsText" dxfId="503" priority="442" operator="containsText" text="17">
      <formula>NOT(ISERROR(SEARCH("17",BA107)))</formula>
    </cfRule>
    <cfRule type="containsText" dxfId="502" priority="443" operator="containsText" text="T">
      <formula>NOT(ISERROR(SEARCH("T",BA107)))</formula>
    </cfRule>
  </conditionalFormatting>
  <conditionalFormatting sqref="BA192:BK199">
    <cfRule type="containsText" dxfId="501" priority="206" operator="containsText" text="17">
      <formula>NOT(ISERROR(SEARCH("17",BA192)))</formula>
    </cfRule>
  </conditionalFormatting>
  <conditionalFormatting sqref="BA192:BR199">
    <cfRule type="containsText" dxfId="500" priority="213" operator="containsText" text="T">
      <formula>NOT(ISERROR(SEARCH("T",BA192)))</formula>
    </cfRule>
  </conditionalFormatting>
  <conditionalFormatting sqref="BA192:BX199 AY193:BV213 AX195:BV195 AZ200:BW206 BH214:BL215">
    <cfRule type="containsText" dxfId="499" priority="915" operator="containsText" text="17">
      <formula>NOT(ISERROR(SEARCH("17",AX192)))</formula>
    </cfRule>
  </conditionalFormatting>
  <conditionalFormatting sqref="BA192:BX199">
    <cfRule type="containsText" dxfId="498" priority="222" operator="containsText" text="T">
      <formula>NOT(ISERROR(SEARCH("T",BA192)))</formula>
    </cfRule>
  </conditionalFormatting>
  <conditionalFormatting sqref="BB22:BB27">
    <cfRule type="containsText" dxfId="497" priority="618" operator="containsText" text="T">
      <formula>NOT(ISERROR(SEARCH("T",BB22)))</formula>
    </cfRule>
  </conditionalFormatting>
  <conditionalFormatting sqref="BB76:BB78">
    <cfRule type="containsText" dxfId="496" priority="429" operator="containsText" text="17">
      <formula>NOT(ISERROR(SEARCH("17",BB76)))</formula>
    </cfRule>
    <cfRule type="containsText" dxfId="495" priority="430" operator="containsText" text="T">
      <formula>NOT(ISERROR(SEARCH("T",BB76)))</formula>
    </cfRule>
  </conditionalFormatting>
  <conditionalFormatting sqref="BB83:BB85">
    <cfRule type="containsText" dxfId="494" priority="523" operator="containsText" text="T">
      <formula>NOT(ISERROR(SEARCH("T",BB83)))</formula>
    </cfRule>
  </conditionalFormatting>
  <conditionalFormatting sqref="BB107:BB112">
    <cfRule type="containsText" dxfId="493" priority="439" operator="containsText" text="17">
      <formula>NOT(ISERROR(SEARCH("17",BB107)))</formula>
    </cfRule>
    <cfRule type="containsText" dxfId="492" priority="440" operator="containsText" text="T">
      <formula>NOT(ISERROR(SEARCH("T",BB107)))</formula>
    </cfRule>
  </conditionalFormatting>
  <conditionalFormatting sqref="BB199 BD199:BI199 BA206 BC206:BH206">
    <cfRule type="containsText" dxfId="491" priority="5070" operator="containsText" text="17">
      <formula>NOT(ISERROR(SEARCH("17",BA199)))</formula>
    </cfRule>
    <cfRule type="containsText" dxfId="490" priority="5071" operator="containsText" text="T">
      <formula>NOT(ISERROR(SEARCH("T",BA199)))</formula>
    </cfRule>
  </conditionalFormatting>
  <conditionalFormatting sqref="BB214:BB217">
    <cfRule type="containsText" dxfId="489" priority="513" operator="containsText" text="T">
      <formula>NOT(ISERROR(SEARCH("T",BB214)))</formula>
    </cfRule>
  </conditionalFormatting>
  <conditionalFormatting sqref="BB218:BB224 BF218:BH224">
    <cfRule type="containsText" dxfId="488" priority="501" operator="containsText" text="T">
      <formula>NOT(ISERROR(SEARCH("T",BB218)))</formula>
    </cfRule>
  </conditionalFormatting>
  <conditionalFormatting sqref="BB35:BC40 AX54:BC58 BB93:BC96 BF93:BF96 AX166:BI167 BL166:BM167 BP166:BS167 AX175:AX178 AX196:AX198 AX203:BT205 BV203:BV205 AX212 BS97:BT97">
    <cfRule type="containsText" dxfId="487" priority="8546" operator="containsText" text="T">
      <formula>NOT(ISERROR(SEARCH("T",AX35)))</formula>
    </cfRule>
  </conditionalFormatting>
  <conditionalFormatting sqref="BB218:BC224 BF218:BH224">
    <cfRule type="containsText" dxfId="486" priority="502" operator="containsText" text="17">
      <formula>NOT(ISERROR(SEARCH("17",BB218)))</formula>
    </cfRule>
  </conditionalFormatting>
  <conditionalFormatting sqref="BB72:BH75">
    <cfRule type="containsText" dxfId="485" priority="422" operator="containsText" text="17">
      <formula>NOT(ISERROR(SEARCH("17",BB72)))</formula>
    </cfRule>
    <cfRule type="containsText" dxfId="484" priority="423" operator="containsText" text="T">
      <formula>NOT(ISERROR(SEARCH("T",BB72)))</formula>
    </cfRule>
  </conditionalFormatting>
  <conditionalFormatting sqref="BB106:BH106">
    <cfRule type="containsText" dxfId="483" priority="412" operator="containsText" text="17">
      <formula>NOT(ISERROR(SEARCH("17",BB106)))</formula>
    </cfRule>
    <cfRule type="containsText" dxfId="482" priority="413" operator="containsText" text="T">
      <formula>NOT(ISERROR(SEARCH("T",BB106)))</formula>
    </cfRule>
  </conditionalFormatting>
  <conditionalFormatting sqref="BB120:BH120">
    <cfRule type="containsText" dxfId="481" priority="392" operator="containsText" text="17">
      <formula>NOT(ISERROR(SEARCH("17",BB120)))</formula>
    </cfRule>
    <cfRule type="containsText" dxfId="480" priority="393" operator="containsText" text="T">
      <formula>NOT(ISERROR(SEARCH("T",BB120)))</formula>
    </cfRule>
  </conditionalFormatting>
  <conditionalFormatting sqref="BB122:BH122">
    <cfRule type="containsText" dxfId="479" priority="382" operator="containsText" text="17">
      <formula>NOT(ISERROR(SEARCH("17",BB122)))</formula>
    </cfRule>
    <cfRule type="containsText" dxfId="478" priority="383" operator="containsText" text="T">
      <formula>NOT(ISERROR(SEARCH("T",BB122)))</formula>
    </cfRule>
  </conditionalFormatting>
  <conditionalFormatting sqref="BB124:BH126">
    <cfRule type="containsText" dxfId="477" priority="402" operator="containsText" text="17">
      <formula>NOT(ISERROR(SEARCH("17",BB124)))</formula>
    </cfRule>
    <cfRule type="containsText" dxfId="476" priority="403" operator="containsText" text="T">
      <formula>NOT(ISERROR(SEARCH("T",BB124)))</formula>
    </cfRule>
  </conditionalFormatting>
  <conditionalFormatting sqref="BB168:BL174">
    <cfRule type="containsText" dxfId="475" priority="182" operator="containsText" text="17">
      <formula>NOT(ISERROR(SEARCH("17",BB168)))</formula>
    </cfRule>
  </conditionalFormatting>
  <conditionalFormatting sqref="BB194:BN194 BB196:BN198">
    <cfRule type="containsText" dxfId="474" priority="916" operator="containsText" text="17">
      <formula>NOT(ISERROR(SEARCH("17",BB194)))</formula>
    </cfRule>
  </conditionalFormatting>
  <conditionalFormatting sqref="BB168:BY174">
    <cfRule type="containsText" dxfId="473" priority="191" operator="containsText" text="T">
      <formula>NOT(ISERROR(SEARCH("T",BB168)))</formula>
    </cfRule>
    <cfRule type="containsText" dxfId="472" priority="194" operator="containsText" text="17">
      <formula>NOT(ISERROR(SEARCH("17",BB168)))</formula>
    </cfRule>
    <cfRule type="containsText" dxfId="471" priority="196" operator="containsText" text="T">
      <formula>NOT(ISERROR(SEARCH("T",BB168)))</formula>
    </cfRule>
  </conditionalFormatting>
  <conditionalFormatting sqref="BC34">
    <cfRule type="containsText" dxfId="470" priority="8060" operator="containsText" text="17">
      <formula>NOT(ISERROR(SEARCH("17",BC34)))</formula>
    </cfRule>
    <cfRule type="containsText" dxfId="469" priority="8061" operator="containsText" text="T">
      <formula>NOT(ISERROR(SEARCH("T",BC34)))</formula>
    </cfRule>
    <cfRule type="containsText" dxfId="468" priority="8062" operator="containsText" text="17">
      <formula>NOT(ISERROR(SEARCH("17",BC34)))</formula>
    </cfRule>
    <cfRule type="containsText" dxfId="467" priority="8063" operator="containsText" text="T">
      <formula>NOT(ISERROR(SEARCH("T",BC34)))</formula>
    </cfRule>
  </conditionalFormatting>
  <conditionalFormatting sqref="BC42:BC47">
    <cfRule type="containsText" dxfId="466" priority="605" operator="containsText" text="T">
      <formula>NOT(ISERROR(SEARCH("T",BC42)))</formula>
    </cfRule>
  </conditionalFormatting>
  <conditionalFormatting sqref="BC72:BC75">
    <cfRule type="containsText" dxfId="465" priority="419" operator="containsText" text="17">
      <formula>NOT(ISERROR(SEARCH("17",BC72)))</formula>
    </cfRule>
    <cfRule type="containsText" dxfId="464" priority="420" operator="containsText" text="T">
      <formula>NOT(ISERROR(SEARCH("T",BC72)))</formula>
    </cfRule>
  </conditionalFormatting>
  <conditionalFormatting sqref="BC106">
    <cfRule type="containsText" dxfId="463" priority="409" operator="containsText" text="17">
      <formula>NOT(ISERROR(SEARCH("17",BC106)))</formula>
    </cfRule>
    <cfRule type="containsText" dxfId="462" priority="410" operator="containsText" text="T">
      <formula>NOT(ISERROR(SEARCH("T",BC106)))</formula>
    </cfRule>
  </conditionalFormatting>
  <conditionalFormatting sqref="BC120">
    <cfRule type="containsText" dxfId="461" priority="389" operator="containsText" text="17">
      <formula>NOT(ISERROR(SEARCH("17",BC120)))</formula>
    </cfRule>
    <cfRule type="containsText" dxfId="460" priority="390" operator="containsText" text="T">
      <formula>NOT(ISERROR(SEARCH("T",BC120)))</formula>
    </cfRule>
  </conditionalFormatting>
  <conditionalFormatting sqref="BC122">
    <cfRule type="containsText" dxfId="459" priority="379" operator="containsText" text="17">
      <formula>NOT(ISERROR(SEARCH("17",BC122)))</formula>
    </cfRule>
    <cfRule type="containsText" dxfId="458" priority="380" operator="containsText" text="T">
      <formula>NOT(ISERROR(SEARCH("T",BC122)))</formula>
    </cfRule>
  </conditionalFormatting>
  <conditionalFormatting sqref="BC124:BC126">
    <cfRule type="containsText" dxfId="457" priority="399" operator="containsText" text="17">
      <formula>NOT(ISERROR(SEARCH("17",BC124)))</formula>
    </cfRule>
    <cfRule type="containsText" dxfId="456" priority="400" operator="containsText" text="T">
      <formula>NOT(ISERROR(SEARCH("T",BC124)))</formula>
    </cfRule>
  </conditionalFormatting>
  <conditionalFormatting sqref="BC182:BC183">
    <cfRule type="containsText" dxfId="455" priority="928" operator="containsText" text="17">
      <formula>NOT(ISERROR(SEARCH("17",BC182)))</formula>
    </cfRule>
  </conditionalFormatting>
  <conditionalFormatting sqref="BC186:BC188 BC189:BV190">
    <cfRule type="containsText" dxfId="454" priority="922" operator="containsText" text="17">
      <formula>NOT(ISERROR(SEARCH("17",BC186)))</formula>
    </cfRule>
  </conditionalFormatting>
  <conditionalFormatting sqref="BC199 BB206 BS127">
    <cfRule type="containsText" dxfId="453" priority="2145" operator="containsText" text="17">
      <formula>NOT(ISERROR(SEARCH("17",BB127)))</formula>
    </cfRule>
  </conditionalFormatting>
  <conditionalFormatting sqref="BC218:BC224">
    <cfRule type="containsText" dxfId="452" priority="503" operator="containsText" text="T">
      <formula>NOT(ISERROR(SEARCH("T",BC218)))</formula>
    </cfRule>
  </conditionalFormatting>
  <conditionalFormatting sqref="BC225:BC231 BG225:BI231">
    <cfRule type="containsText" dxfId="451" priority="491" operator="containsText" text="T">
      <formula>NOT(ISERROR(SEARCH("T",BC225)))</formula>
    </cfRule>
  </conditionalFormatting>
  <conditionalFormatting sqref="BC16:BD20">
    <cfRule type="containsText" dxfId="450" priority="8379" operator="containsText" text="17">
      <formula>NOT(ISERROR(SEARCH("17",BC16)))</formula>
    </cfRule>
  </conditionalFormatting>
  <conditionalFormatting sqref="BC225:BD231 BG225:BI231">
    <cfRule type="containsText" dxfId="449" priority="492" operator="containsText" text="17">
      <formula>NOT(ISERROR(SEARCH("17",BC225)))</formula>
    </cfRule>
  </conditionalFormatting>
  <conditionalFormatting sqref="BC69:BI71">
    <cfRule type="containsText" dxfId="448" priority="342" operator="containsText" text="17">
      <formula>NOT(ISERROR(SEARCH("17",BC69)))</formula>
    </cfRule>
    <cfRule type="containsText" dxfId="447" priority="343" operator="containsText" text="T">
      <formula>NOT(ISERROR(SEARCH("T",BC69)))</formula>
    </cfRule>
  </conditionalFormatting>
  <conditionalFormatting sqref="BC103:BI104">
    <cfRule type="containsText" dxfId="446" priority="372" operator="containsText" text="17">
      <formula>NOT(ISERROR(SEARCH("17",BC103)))</formula>
    </cfRule>
    <cfRule type="containsText" dxfId="445" priority="373" operator="containsText" text="T">
      <formula>NOT(ISERROR(SEARCH("T",BC103)))</formula>
    </cfRule>
  </conditionalFormatting>
  <conditionalFormatting sqref="BC121:BI121">
    <cfRule type="containsText" dxfId="444" priority="362" operator="containsText" text="17">
      <formula>NOT(ISERROR(SEARCH("17",BC121)))</formula>
    </cfRule>
    <cfRule type="containsText" dxfId="443" priority="363" operator="containsText" text="T">
      <formula>NOT(ISERROR(SEARCH("T",BC121)))</formula>
    </cfRule>
  </conditionalFormatting>
  <conditionalFormatting sqref="BC123:BI123">
    <cfRule type="containsText" dxfId="442" priority="352" operator="containsText" text="17">
      <formula>NOT(ISERROR(SEARCH("17",BC123)))</formula>
    </cfRule>
    <cfRule type="containsText" dxfId="441" priority="353" operator="containsText" text="T">
      <formula>NOT(ISERROR(SEARCH("T",BC123)))</formula>
    </cfRule>
  </conditionalFormatting>
  <conditionalFormatting sqref="BC175:BM181">
    <cfRule type="containsText" dxfId="440" priority="158" operator="containsText" text="17">
      <formula>NOT(ISERROR(SEARCH("17",BC175)))</formula>
    </cfRule>
  </conditionalFormatting>
  <conditionalFormatting sqref="BC199:BR199 BB206:BQ206 BS127">
    <cfRule type="containsText" dxfId="439" priority="5050" operator="containsText" text="17">
      <formula>NOT(ISERROR(SEARCH("17",BB127)))</formula>
    </cfRule>
  </conditionalFormatting>
  <conditionalFormatting sqref="BC175:BZ181">
    <cfRule type="containsText" dxfId="438" priority="167" operator="containsText" text="T">
      <formula>NOT(ISERROR(SEARCH("T",BC175)))</formula>
    </cfRule>
    <cfRule type="containsText" dxfId="437" priority="170" operator="containsText" text="17">
      <formula>NOT(ISERROR(SEARCH("17",BC175)))</formula>
    </cfRule>
  </conditionalFormatting>
  <conditionalFormatting sqref="BC175:CP181">
    <cfRule type="containsText" dxfId="436" priority="181" operator="containsText" text="17">
      <formula>NOT(ISERROR(SEARCH("17",BC175)))</formula>
    </cfRule>
  </conditionalFormatting>
  <conditionalFormatting sqref="BD69:BD71">
    <cfRule type="containsText" dxfId="435" priority="339" operator="containsText" text="17">
      <formula>NOT(ISERROR(SEARCH("17",BD69)))</formula>
    </cfRule>
    <cfRule type="containsText" dxfId="434" priority="340" operator="containsText" text="T">
      <formula>NOT(ISERROR(SEARCH("T",BD69)))</formula>
    </cfRule>
  </conditionalFormatting>
  <conditionalFormatting sqref="BD103:BD104">
    <cfRule type="containsText" dxfId="433" priority="369" operator="containsText" text="17">
      <formula>NOT(ISERROR(SEARCH("17",BD103)))</formula>
    </cfRule>
    <cfRule type="containsText" dxfId="432" priority="370" operator="containsText" text="T">
      <formula>NOT(ISERROR(SEARCH("T",BD103)))</formula>
    </cfRule>
  </conditionalFormatting>
  <conditionalFormatting sqref="BD113:BD116 BH113:BJ116">
    <cfRule type="containsText" dxfId="431" priority="471" operator="containsText" text="T">
      <formula>NOT(ISERROR(SEARCH("T",BD113)))</formula>
    </cfRule>
  </conditionalFormatting>
  <conditionalFormatting sqref="BD121">
    <cfRule type="containsText" dxfId="430" priority="359" operator="containsText" text="17">
      <formula>NOT(ISERROR(SEARCH("17",BD121)))</formula>
    </cfRule>
    <cfRule type="containsText" dxfId="429" priority="360" operator="containsText" text="T">
      <formula>NOT(ISERROR(SEARCH("T",BD121)))</formula>
    </cfRule>
  </conditionalFormatting>
  <conditionalFormatting sqref="BD123">
    <cfRule type="containsText" dxfId="428" priority="349" operator="containsText" text="17">
      <formula>NOT(ISERROR(SEARCH("17",BD123)))</formula>
    </cfRule>
    <cfRule type="containsText" dxfId="427" priority="350" operator="containsText" text="T">
      <formula>NOT(ISERROR(SEARCH("T",BD123)))</formula>
    </cfRule>
  </conditionalFormatting>
  <conditionalFormatting sqref="BD225:BD231">
    <cfRule type="containsText" dxfId="426" priority="493" operator="containsText" text="T">
      <formula>NOT(ISERROR(SEARCH("T",BD225)))</formula>
    </cfRule>
  </conditionalFormatting>
  <conditionalFormatting sqref="BD232:BD234 BH232:BJ234">
    <cfRule type="containsText" dxfId="425" priority="481" operator="containsText" text="T">
      <formula>NOT(ISERROR(SEARCH("T",BD232)))</formula>
    </cfRule>
  </conditionalFormatting>
  <conditionalFormatting sqref="BD35:BE39">
    <cfRule type="containsText" dxfId="424" priority="1049" operator="containsText" text="T">
      <formula>NOT(ISERROR(SEARCH("T",BD35)))</formula>
    </cfRule>
  </conditionalFormatting>
  <conditionalFormatting sqref="BD113:BE116 BH113:BJ116">
    <cfRule type="containsText" dxfId="423" priority="472" operator="containsText" text="17">
      <formula>NOT(ISERROR(SEARCH("17",BD113)))</formula>
    </cfRule>
  </conditionalFormatting>
  <conditionalFormatting sqref="BD232:BE234 BH232:BN234">
    <cfRule type="containsText" dxfId="422" priority="482" operator="containsText" text="17">
      <formula>NOT(ISERROR(SEARCH("17",BD232)))</formula>
    </cfRule>
  </conditionalFormatting>
  <conditionalFormatting sqref="BD41:BG45">
    <cfRule type="containsText" dxfId="421" priority="1042" operator="containsText" text="T">
      <formula>NOT(ISERROR(SEARCH("T",BD41)))</formula>
    </cfRule>
  </conditionalFormatting>
  <conditionalFormatting sqref="BD47:BG47 BE48:BH48">
    <cfRule type="containsText" dxfId="420" priority="1037" operator="containsText" text="T">
      <formula>NOT(ISERROR(SEARCH("T",BD47)))</formula>
    </cfRule>
  </conditionalFormatting>
  <conditionalFormatting sqref="BD67:BJ68">
    <cfRule type="containsText" dxfId="419" priority="312" operator="containsText" text="17">
      <formula>NOT(ISERROR(SEARCH("17",BD67)))</formula>
    </cfRule>
    <cfRule type="containsText" dxfId="418" priority="313" operator="containsText" text="T">
      <formula>NOT(ISERROR(SEARCH("T",BD67)))</formula>
    </cfRule>
  </conditionalFormatting>
  <conditionalFormatting sqref="BD99:BJ102">
    <cfRule type="containsText" dxfId="417" priority="332" operator="containsText" text="17">
      <formula>NOT(ISERROR(SEARCH("17",BD99)))</formula>
    </cfRule>
    <cfRule type="containsText" dxfId="416" priority="333" operator="containsText" text="T">
      <formula>NOT(ISERROR(SEARCH("T",BD99)))</formula>
    </cfRule>
  </conditionalFormatting>
  <conditionalFormatting sqref="BD105:BJ105">
    <cfRule type="containsText" dxfId="415" priority="322" operator="containsText" text="17">
      <formula>NOT(ISERROR(SEARCH("17",BD105)))</formula>
    </cfRule>
    <cfRule type="containsText" dxfId="414" priority="323" operator="containsText" text="T">
      <formula>NOT(ISERROR(SEARCH("T",BD105)))</formula>
    </cfRule>
  </conditionalFormatting>
  <conditionalFormatting sqref="BD54:BN59 AZ59:AZ62 BD60:BI62">
    <cfRule type="containsText" dxfId="413" priority="541" operator="containsText" text="T">
      <formula>NOT(ISERROR(SEARCH("T",AZ54)))</formula>
    </cfRule>
  </conditionalFormatting>
  <conditionalFormatting sqref="BD182:BN188">
    <cfRule type="containsText" dxfId="412" priority="134" operator="containsText" text="17">
      <formula>NOT(ISERROR(SEARCH("17",BD182)))</formula>
    </cfRule>
  </conditionalFormatting>
  <conditionalFormatting sqref="BD182:CA188">
    <cfRule type="containsText" dxfId="411" priority="143" operator="containsText" text="T">
      <formula>NOT(ISERROR(SEARCH("T",BD182)))</formula>
    </cfRule>
    <cfRule type="containsText" dxfId="410" priority="146" operator="containsText" text="17">
      <formula>NOT(ISERROR(SEARCH("17",BD182)))</formula>
    </cfRule>
  </conditionalFormatting>
  <conditionalFormatting sqref="BD182:CP188">
    <cfRule type="containsText" dxfId="409" priority="148" operator="containsText" text="T">
      <formula>NOT(ISERROR(SEARCH("T",BD182)))</formula>
    </cfRule>
    <cfRule type="containsText" dxfId="408" priority="157" operator="containsText" text="17">
      <formula>NOT(ISERROR(SEARCH("17",BD182)))</formula>
    </cfRule>
  </conditionalFormatting>
  <conditionalFormatting sqref="BE15:BE20">
    <cfRule type="containsText" dxfId="407" priority="130" operator="containsText" text="T">
      <formula>NOT(ISERROR(SEARCH("T",BE15)))</formula>
    </cfRule>
  </conditionalFormatting>
  <conditionalFormatting sqref="BE67:BE68">
    <cfRule type="containsText" dxfId="406" priority="309" operator="containsText" text="17">
      <formula>NOT(ISERROR(SEARCH("17",BE67)))</formula>
    </cfRule>
    <cfRule type="containsText" dxfId="405" priority="310" operator="containsText" text="T">
      <formula>NOT(ISERROR(SEARCH("T",BE67)))</formula>
    </cfRule>
  </conditionalFormatting>
  <conditionalFormatting sqref="BE79:BE82 BI79:BK82">
    <cfRule type="containsText" dxfId="404" priority="451" operator="containsText" text="T">
      <formula>NOT(ISERROR(SEARCH("T",BE79)))</formula>
    </cfRule>
  </conditionalFormatting>
  <conditionalFormatting sqref="BE99:BE102">
    <cfRule type="containsText" dxfId="403" priority="329" operator="containsText" text="17">
      <formula>NOT(ISERROR(SEARCH("17",BE99)))</formula>
    </cfRule>
    <cfRule type="containsText" dxfId="402" priority="330" operator="containsText" text="T">
      <formula>NOT(ISERROR(SEARCH("T",BE99)))</formula>
    </cfRule>
  </conditionalFormatting>
  <conditionalFormatting sqref="BE105">
    <cfRule type="containsText" dxfId="401" priority="319" operator="containsText" text="17">
      <formula>NOT(ISERROR(SEARCH("17",BE105)))</formula>
    </cfRule>
    <cfRule type="containsText" dxfId="400" priority="320" operator="containsText" text="T">
      <formula>NOT(ISERROR(SEARCH("T",BE105)))</formula>
    </cfRule>
  </conditionalFormatting>
  <conditionalFormatting sqref="BE113:BE116">
    <cfRule type="containsText" dxfId="399" priority="473" operator="containsText" text="T">
      <formula>NOT(ISERROR(SEARCH("T",BE113)))</formula>
    </cfRule>
  </conditionalFormatting>
  <conditionalFormatting sqref="BE117:BE119 BI117:BK119">
    <cfRule type="containsText" dxfId="398" priority="461" operator="containsText" text="T">
      <formula>NOT(ISERROR(SEARCH("T",BE117)))</formula>
    </cfRule>
  </conditionalFormatting>
  <conditionalFormatting sqref="BE232:BE234">
    <cfRule type="containsText" dxfId="397" priority="483" operator="containsText" text="T">
      <formula>NOT(ISERROR(SEARCH("T",BE232)))</formula>
    </cfRule>
  </conditionalFormatting>
  <conditionalFormatting sqref="BE23:BF27">
    <cfRule type="containsText" dxfId="396" priority="1062" operator="containsText" text="17">
      <formula>NOT(ISERROR(SEARCH("17",BE23)))</formula>
    </cfRule>
  </conditionalFormatting>
  <conditionalFormatting sqref="BE79:BF82 BI79:BK82">
    <cfRule type="containsText" dxfId="395" priority="452" operator="containsText" text="17">
      <formula>NOT(ISERROR(SEARCH("17",BE79)))</formula>
    </cfRule>
  </conditionalFormatting>
  <conditionalFormatting sqref="BE117:BF119 BI117:BP119">
    <cfRule type="containsText" dxfId="394" priority="462" operator="containsText" text="17">
      <formula>NOT(ISERROR(SEARCH("17",BE117)))</formula>
    </cfRule>
  </conditionalFormatting>
  <conditionalFormatting sqref="BE199:BF199 BD206:BE206">
    <cfRule type="containsText" dxfId="393" priority="2141" operator="containsText" text="17">
      <formula>NOT(ISERROR(SEARCH("17",BD199)))</formula>
    </cfRule>
    <cfRule type="containsText" dxfId="392" priority="2142" operator="containsText" text="T">
      <formula>NOT(ISERROR(SEARCH("T",BD199)))</formula>
    </cfRule>
  </conditionalFormatting>
  <conditionalFormatting sqref="BE97:BK98">
    <cfRule type="containsText" dxfId="391" priority="302" operator="containsText" text="17">
      <formula>NOT(ISERROR(SEARCH("17",BE97)))</formula>
    </cfRule>
    <cfRule type="containsText" dxfId="390" priority="303" operator="containsText" text="T">
      <formula>NOT(ISERROR(SEARCH("T",BE97)))</formula>
    </cfRule>
  </conditionalFormatting>
  <conditionalFormatting sqref="BE131:BK137">
    <cfRule type="containsText" dxfId="389" priority="292" operator="containsText" text="17">
      <formula>NOT(ISERROR(SEARCH("17",BE131)))</formula>
    </cfRule>
    <cfRule type="containsText" dxfId="388" priority="293" operator="containsText" text="T">
      <formula>NOT(ISERROR(SEARCH("T",BE131)))</formula>
    </cfRule>
  </conditionalFormatting>
  <conditionalFormatting sqref="BE14:BO14">
    <cfRule type="containsText" dxfId="387" priority="122" operator="containsText" text="17">
      <formula>NOT(ISERROR(SEARCH("17",BE14)))</formula>
    </cfRule>
    <cfRule type="containsText" dxfId="386" priority="123" operator="containsText" text="T">
      <formula>NOT(ISERROR(SEARCH("T",BE14)))</formula>
    </cfRule>
  </conditionalFormatting>
  <conditionalFormatting sqref="BE15:BY20 BE14:BM14">
    <cfRule type="containsText" dxfId="385" priority="129" operator="containsText" text="17">
      <formula>NOT(ISERROR(SEARCH("17",BE14)))</formula>
    </cfRule>
  </conditionalFormatting>
  <conditionalFormatting sqref="BF35:BF40">
    <cfRule type="containsText" dxfId="384" priority="118" operator="containsText" text="T">
      <formula>NOT(ISERROR(SEARCH("T",BF35)))</formula>
    </cfRule>
  </conditionalFormatting>
  <conditionalFormatting sqref="BF79:BF82">
    <cfRule type="containsText" dxfId="383" priority="453" operator="containsText" text="T">
      <formula>NOT(ISERROR(SEARCH("T",BF79)))</formula>
    </cfRule>
  </conditionalFormatting>
  <conditionalFormatting sqref="BF93:BF96 AZ94:BB96 BG94:BI96 BS97 BM231:BN234">
    <cfRule type="containsText" dxfId="382" priority="8576" operator="containsText" text="T">
      <formula>NOT(ISERROR(SEARCH("T",AZ93)))</formula>
    </cfRule>
  </conditionalFormatting>
  <conditionalFormatting sqref="BF93:BF96 AZ94:BB96 BS97 BG94:BI96 BM231:BN234">
    <cfRule type="containsText" dxfId="381" priority="8575" operator="containsText" text="17">
      <formula>NOT(ISERROR(SEARCH("17",AZ93)))</formula>
    </cfRule>
  </conditionalFormatting>
  <conditionalFormatting sqref="BF97:BF98">
    <cfRule type="containsText" dxfId="380" priority="299" operator="containsText" text="17">
      <formula>NOT(ISERROR(SEARCH("17",BF97)))</formula>
    </cfRule>
    <cfRule type="containsText" dxfId="379" priority="300" operator="containsText" text="T">
      <formula>NOT(ISERROR(SEARCH("T",BF97)))</formula>
    </cfRule>
  </conditionalFormatting>
  <conditionalFormatting sqref="BF117:BF119">
    <cfRule type="containsText" dxfId="378" priority="463" operator="containsText" text="T">
      <formula>NOT(ISERROR(SEARCH("T",BF117)))</formula>
    </cfRule>
  </conditionalFormatting>
  <conditionalFormatting sqref="BF131:BF137">
    <cfRule type="containsText" dxfId="377" priority="289" operator="containsText" text="17">
      <formula>NOT(ISERROR(SEARCH("17",BF131)))</formula>
    </cfRule>
    <cfRule type="containsText" dxfId="376" priority="290" operator="containsText" text="T">
      <formula>NOT(ISERROR(SEARCH("T",BF131)))</formula>
    </cfRule>
  </conditionalFormatting>
  <conditionalFormatting sqref="BF138:BL144">
    <cfRule type="containsText" dxfId="375" priority="282" operator="containsText" text="17">
      <formula>NOT(ISERROR(SEARCH("17",BF138)))</formula>
    </cfRule>
    <cfRule type="containsText" dxfId="374" priority="283" operator="containsText" text="T">
      <formula>NOT(ISERROR(SEARCH("T",BF138)))</formula>
    </cfRule>
  </conditionalFormatting>
  <conditionalFormatting sqref="BF34:BP34">
    <cfRule type="containsText" dxfId="373" priority="110" operator="containsText" text="17">
      <formula>NOT(ISERROR(SEARCH("17",BF34)))</formula>
    </cfRule>
    <cfRule type="containsText" dxfId="372" priority="111" operator="containsText" text="T">
      <formula>NOT(ISERROR(SEARCH("T",BF34)))</formula>
    </cfRule>
  </conditionalFormatting>
  <conditionalFormatting sqref="BF35:BZ40 BF34:BN34">
    <cfRule type="containsText" dxfId="371" priority="117" operator="containsText" text="17">
      <formula>NOT(ISERROR(SEARCH("17",BF34)))</formula>
    </cfRule>
  </conditionalFormatting>
  <conditionalFormatting sqref="BF50:CA52 BF53:BN53">
    <cfRule type="containsText" dxfId="370" priority="1032" operator="containsText" text="T">
      <formula>NOT(ISERROR(SEARCH("T",BF50)))</formula>
    </cfRule>
  </conditionalFormatting>
  <conditionalFormatting sqref="BG22:BG27">
    <cfRule type="containsText" dxfId="369" priority="106" operator="containsText" text="T">
      <formula>NOT(ISERROR(SEARCH("T",BG22)))</formula>
    </cfRule>
  </conditionalFormatting>
  <conditionalFormatting sqref="BG41:BG45">
    <cfRule type="containsText" dxfId="368" priority="1043" operator="containsText" text="17">
      <formula>NOT(ISERROR(SEARCH("17",BG41)))</formula>
    </cfRule>
  </conditionalFormatting>
  <conditionalFormatting sqref="BG47">
    <cfRule type="containsText" dxfId="367" priority="1041" operator="containsText" text="17">
      <formula>NOT(ISERROR(SEARCH("17",BG47)))</formula>
    </cfRule>
  </conditionalFormatting>
  <conditionalFormatting sqref="BG76:BG78 BK76:BM78">
    <cfRule type="containsText" dxfId="366" priority="426" operator="containsText" text="T">
      <formula>NOT(ISERROR(SEARCH("T",BG76)))</formula>
    </cfRule>
  </conditionalFormatting>
  <conditionalFormatting sqref="BG86 BG93:BI93">
    <cfRule type="containsText" dxfId="365" priority="4100" operator="containsText" text="17">
      <formula>NOT(ISERROR(SEARCH("17",BG86)))</formula>
    </cfRule>
    <cfRule type="containsText" dxfId="364" priority="4101" operator="containsText" text="T">
      <formula>NOT(ISERROR(SEARCH("T",BG86)))</formula>
    </cfRule>
  </conditionalFormatting>
  <conditionalFormatting sqref="BG107:BG112 BK107:BM112">
    <cfRule type="containsText" dxfId="363" priority="436" operator="containsText" text="T">
      <formula>NOT(ISERROR(SEARCH("T",BG107)))</formula>
    </cfRule>
  </conditionalFormatting>
  <conditionalFormatting sqref="BG138:BG144">
    <cfRule type="containsText" dxfId="362" priority="279" operator="containsText" text="17">
      <formula>NOT(ISERROR(SEARCH("17",BG138)))</formula>
    </cfRule>
    <cfRule type="containsText" dxfId="361" priority="280" operator="containsText" text="T">
      <formula>NOT(ISERROR(SEARCH("T",BG138)))</formula>
    </cfRule>
  </conditionalFormatting>
  <conditionalFormatting sqref="BG30:BH32 BG33:BZ33">
    <cfRule type="containsText" dxfId="360" priority="1056" operator="containsText" text="17">
      <formula>NOT(ISERROR(SEARCH("17",BG30)))</formula>
    </cfRule>
  </conditionalFormatting>
  <conditionalFormatting sqref="BG48:BH48">
    <cfRule type="containsText" dxfId="359" priority="1038" operator="containsText" text="17">
      <formula>NOT(ISERROR(SEARCH("17",BG48)))</formula>
    </cfRule>
  </conditionalFormatting>
  <conditionalFormatting sqref="BG76:BH78 BK76:BM78">
    <cfRule type="containsText" dxfId="358" priority="427" operator="containsText" text="17">
      <formula>NOT(ISERROR(SEARCH("17",BG76)))</formula>
    </cfRule>
  </conditionalFormatting>
  <conditionalFormatting sqref="BG107:BH112 BK107:BM112">
    <cfRule type="containsText" dxfId="357" priority="437" operator="containsText" text="17">
      <formula>NOT(ISERROR(SEARCH("17",BG107)))</formula>
    </cfRule>
  </conditionalFormatting>
  <conditionalFormatting sqref="BG145:BM151">
    <cfRule type="containsText" dxfId="356" priority="272" operator="containsText" text="17">
      <formula>NOT(ISERROR(SEARCH("17",BG145)))</formula>
    </cfRule>
    <cfRule type="containsText" dxfId="355" priority="273" operator="containsText" text="T">
      <formula>NOT(ISERROR(SEARCH("T",BG145)))</formula>
    </cfRule>
  </conditionalFormatting>
  <conditionalFormatting sqref="BG21:BQ21">
    <cfRule type="containsText" dxfId="354" priority="98" operator="containsText" text="17">
      <formula>NOT(ISERROR(SEARCH("17",BG21)))</formula>
    </cfRule>
    <cfRule type="containsText" dxfId="353" priority="99" operator="containsText" text="T">
      <formula>NOT(ISERROR(SEARCH("T",BG21)))</formula>
    </cfRule>
  </conditionalFormatting>
  <conditionalFormatting sqref="BG50:BQ52">
    <cfRule type="containsText" dxfId="352" priority="1036" operator="containsText" text="17">
      <formula>NOT(ISERROR(SEARCH("17",BG50)))</formula>
    </cfRule>
  </conditionalFormatting>
  <conditionalFormatting sqref="BG51:BS52 BG53:BN59 BG60:BI66">
    <cfRule type="containsText" dxfId="351" priority="1033" operator="containsText" text="17">
      <formula>NOT(ISERROR(SEARCH("17",BG51)))</formula>
    </cfRule>
  </conditionalFormatting>
  <conditionalFormatting sqref="BG22:CA27 BG21:BO21">
    <cfRule type="containsText" dxfId="350" priority="105" operator="containsText" text="17">
      <formula>NOT(ISERROR(SEARCH("17",BG21)))</formula>
    </cfRule>
  </conditionalFormatting>
  <conditionalFormatting sqref="BH42:BH47">
    <cfRule type="containsText" dxfId="349" priority="94" operator="containsText" text="T">
      <formula>NOT(ISERROR(SEARCH("T",BH42)))</formula>
    </cfRule>
  </conditionalFormatting>
  <conditionalFormatting sqref="BH72:BH75 BL72:BN75">
    <cfRule type="containsText" dxfId="348" priority="416" operator="containsText" text="T">
      <formula>NOT(ISERROR(SEARCH("T",BH72)))</formula>
    </cfRule>
  </conditionalFormatting>
  <conditionalFormatting sqref="BH76:BH78">
    <cfRule type="containsText" dxfId="347" priority="428" operator="containsText" text="T">
      <formula>NOT(ISERROR(SEARCH("T",BH76)))</formula>
    </cfRule>
  </conditionalFormatting>
  <conditionalFormatting sqref="BH106 BL106:BN106">
    <cfRule type="containsText" dxfId="346" priority="406" operator="containsText" text="T">
      <formula>NOT(ISERROR(SEARCH("T",BH106)))</formula>
    </cfRule>
  </conditionalFormatting>
  <conditionalFormatting sqref="BH107:BH112">
    <cfRule type="containsText" dxfId="345" priority="438" operator="containsText" text="T">
      <formula>NOT(ISERROR(SEARCH("T",BH107)))</formula>
    </cfRule>
  </conditionalFormatting>
  <conditionalFormatting sqref="BH120 BL120:BN120">
    <cfRule type="containsText" dxfId="344" priority="386" operator="containsText" text="T">
      <formula>NOT(ISERROR(SEARCH("T",BH120)))</formula>
    </cfRule>
  </conditionalFormatting>
  <conditionalFormatting sqref="BH122 BL122:BO122">
    <cfRule type="containsText" dxfId="343" priority="376" operator="containsText" text="T">
      <formula>NOT(ISERROR(SEARCH("T",BH122)))</formula>
    </cfRule>
  </conditionalFormatting>
  <conditionalFormatting sqref="BH124:BH126 BL124:BN126">
    <cfRule type="containsText" dxfId="342" priority="396" operator="containsText" text="T">
      <formula>NOT(ISERROR(SEARCH("T",BH124)))</formula>
    </cfRule>
  </conditionalFormatting>
  <conditionalFormatting sqref="BH145:BH151">
    <cfRule type="containsText" dxfId="341" priority="269" operator="containsText" text="17">
      <formula>NOT(ISERROR(SEARCH("17",BH145)))</formula>
    </cfRule>
    <cfRule type="containsText" dxfId="340" priority="270" operator="containsText" text="T">
      <formula>NOT(ISERROR(SEARCH("T",BH145)))</formula>
    </cfRule>
  </conditionalFormatting>
  <conditionalFormatting sqref="BH72:BI75 BL72:BN75">
    <cfRule type="containsText" dxfId="339" priority="417" operator="containsText" text="17">
      <formula>NOT(ISERROR(SEARCH("17",BH72)))</formula>
    </cfRule>
  </conditionalFormatting>
  <conditionalFormatting sqref="BH106:BI106 BL106:CJ106">
    <cfRule type="containsText" dxfId="338" priority="407" operator="containsText" text="17">
      <formula>NOT(ISERROR(SEARCH("17",BH106)))</formula>
    </cfRule>
  </conditionalFormatting>
  <conditionalFormatting sqref="BH120:BI120 BL120:BO120">
    <cfRule type="containsText" dxfId="337" priority="387" operator="containsText" text="17">
      <formula>NOT(ISERROR(SEARCH("17",BH120)))</formula>
    </cfRule>
  </conditionalFormatting>
  <conditionalFormatting sqref="BH122:BI122 BL122:BO122">
    <cfRule type="containsText" dxfId="336" priority="377" operator="containsText" text="17">
      <formula>NOT(ISERROR(SEARCH("17",BH122)))</formula>
    </cfRule>
  </conditionalFormatting>
  <conditionalFormatting sqref="BH124:BI126 BL124:BO126">
    <cfRule type="containsText" dxfId="335" priority="397" operator="containsText" text="17">
      <formula>NOT(ISERROR(SEARCH("17",BH124)))</formula>
    </cfRule>
  </conditionalFormatting>
  <conditionalFormatting sqref="BH214:BI216">
    <cfRule type="containsText" dxfId="334" priority="5856" operator="containsText" text="17">
      <formula>NOT(ISERROR(SEARCH("17",BH214)))</formula>
    </cfRule>
    <cfRule type="containsText" dxfId="333" priority="5857" operator="containsText" text="T">
      <formula>NOT(ISERROR(SEARCH("T",BH214)))</formula>
    </cfRule>
  </conditionalFormatting>
  <conditionalFormatting sqref="BH84:BK89">
    <cfRule type="containsText" dxfId="332" priority="1009" operator="containsText" text="17">
      <formula>NOT(ISERROR(SEARCH("17",BH84)))</formula>
    </cfRule>
  </conditionalFormatting>
  <conditionalFormatting sqref="BH152:BN158">
    <cfRule type="containsText" dxfId="331" priority="262" operator="containsText" text="17">
      <formula>NOT(ISERROR(SEARCH("17",BH152)))</formula>
    </cfRule>
    <cfRule type="containsText" dxfId="330" priority="263" operator="containsText" text="T">
      <formula>NOT(ISERROR(SEARCH("T",BH152)))</formula>
    </cfRule>
  </conditionalFormatting>
  <conditionalFormatting sqref="BH41:BR41">
    <cfRule type="containsText" dxfId="329" priority="86" operator="containsText" text="17">
      <formula>NOT(ISERROR(SEARCH("17",BH41)))</formula>
    </cfRule>
    <cfRule type="containsText" dxfId="328" priority="87" operator="containsText" text="T">
      <formula>NOT(ISERROR(SEARCH("T",BH41)))</formula>
    </cfRule>
  </conditionalFormatting>
  <conditionalFormatting sqref="BH42:CB47 BH41:BP41">
    <cfRule type="containsText" dxfId="327" priority="93" operator="containsText" text="17">
      <formula>NOT(ISERROR(SEARCH("17",BH41)))</formula>
    </cfRule>
  </conditionalFormatting>
  <conditionalFormatting sqref="BI28:BI32">
    <cfRule type="containsText" dxfId="326" priority="79" operator="containsText" text="T">
      <formula>NOT(ISERROR(SEARCH("T",BI28)))</formula>
    </cfRule>
  </conditionalFormatting>
  <conditionalFormatting sqref="BI48:BI49">
    <cfRule type="containsText" dxfId="325" priority="74" operator="containsText" text="T">
      <formula>NOT(ISERROR(SEARCH("T",BI48)))</formula>
    </cfRule>
  </conditionalFormatting>
  <conditionalFormatting sqref="BI69:BI71 BM69:BO71">
    <cfRule type="containsText" dxfId="324" priority="336" operator="containsText" text="T">
      <formula>NOT(ISERROR(SEARCH("T",BI69)))</formula>
    </cfRule>
  </conditionalFormatting>
  <conditionalFormatting sqref="BI72:BI75">
    <cfRule type="containsText" dxfId="323" priority="418" operator="containsText" text="T">
      <formula>NOT(ISERROR(SEARCH("T",BI72)))</formula>
    </cfRule>
  </conditionalFormatting>
  <conditionalFormatting sqref="BI103:BI104 BM103:BO104">
    <cfRule type="containsText" dxfId="322" priority="366" operator="containsText" text="T">
      <formula>NOT(ISERROR(SEARCH("T",BI103)))</formula>
    </cfRule>
  </conditionalFormatting>
  <conditionalFormatting sqref="BI106">
    <cfRule type="containsText" dxfId="321" priority="408" operator="containsText" text="T">
      <formula>NOT(ISERROR(SEARCH("T",BI106)))</formula>
    </cfRule>
  </conditionalFormatting>
  <conditionalFormatting sqref="BI120">
    <cfRule type="containsText" dxfId="320" priority="388" operator="containsText" text="T">
      <formula>NOT(ISERROR(SEARCH("T",BI120)))</formula>
    </cfRule>
  </conditionalFormatting>
  <conditionalFormatting sqref="BI121 BM121:BO121">
    <cfRule type="containsText" dxfId="319" priority="356" operator="containsText" text="T">
      <formula>NOT(ISERROR(SEARCH("T",BI121)))</formula>
    </cfRule>
  </conditionalFormatting>
  <conditionalFormatting sqref="BI122">
    <cfRule type="containsText" dxfId="318" priority="378" operator="containsText" text="T">
      <formula>NOT(ISERROR(SEARCH("T",BI122)))</formula>
    </cfRule>
  </conditionalFormatting>
  <conditionalFormatting sqref="BI123 BM123:BO123">
    <cfRule type="containsText" dxfId="317" priority="346" operator="containsText" text="T">
      <formula>NOT(ISERROR(SEARCH("T",BI123)))</formula>
    </cfRule>
  </conditionalFormatting>
  <conditionalFormatting sqref="BI124:BI126">
    <cfRule type="containsText" dxfId="316" priority="398" operator="containsText" text="T">
      <formula>NOT(ISERROR(SEARCH("T",BI124)))</formula>
    </cfRule>
  </conditionalFormatting>
  <conditionalFormatting sqref="BI152:BI158">
    <cfRule type="containsText" dxfId="315" priority="259" operator="containsText" text="17">
      <formula>NOT(ISERROR(SEARCH("17",BI152)))</formula>
    </cfRule>
    <cfRule type="containsText" dxfId="314" priority="260" operator="containsText" text="T">
      <formula>NOT(ISERROR(SEARCH("T",BI152)))</formula>
    </cfRule>
  </conditionalFormatting>
  <conditionalFormatting sqref="BI69:BJ71 BM69:BO71">
    <cfRule type="containsText" dxfId="313" priority="337" operator="containsText" text="17">
      <formula>NOT(ISERROR(SEARCH("17",BI69)))</formula>
    </cfRule>
  </conditionalFormatting>
  <conditionalFormatting sqref="BI103:BJ104 BM103:BO104">
    <cfRule type="containsText" dxfId="312" priority="367" operator="containsText" text="17">
      <formula>NOT(ISERROR(SEARCH("17",BI103)))</formula>
    </cfRule>
  </conditionalFormatting>
  <conditionalFormatting sqref="BI121:BJ121 BM121:BO121">
    <cfRule type="containsText" dxfId="311" priority="357" operator="containsText" text="17">
      <formula>NOT(ISERROR(SEARCH("17",BI121)))</formula>
    </cfRule>
  </conditionalFormatting>
  <conditionalFormatting sqref="BI123:BJ123 BM123:BO123">
    <cfRule type="containsText" dxfId="310" priority="347" operator="containsText" text="17">
      <formula>NOT(ISERROR(SEARCH("17",BI123)))</formula>
    </cfRule>
  </conditionalFormatting>
  <conditionalFormatting sqref="BI214:BJ216">
    <cfRule type="containsText" dxfId="309" priority="5862" operator="containsText" text="17">
      <formula>NOT(ISERROR(SEARCH("17",BI214)))</formula>
    </cfRule>
    <cfRule type="containsText" dxfId="308" priority="5863" operator="containsText" text="T">
      <formula>NOT(ISERROR(SEARCH("T",BI214)))</formula>
    </cfRule>
  </conditionalFormatting>
  <conditionalFormatting sqref="BI218:BL220 BL221:BM223 BM224:BM227 BM228:BN230">
    <cfRule type="containsText" dxfId="307" priority="5627" operator="containsText" text="T">
      <formula>NOT(ISERROR(SEARCH("T",BI218)))</formula>
    </cfRule>
  </conditionalFormatting>
  <conditionalFormatting sqref="BI159:BO165">
    <cfRule type="containsText" dxfId="306" priority="252" operator="containsText" text="17">
      <formula>NOT(ISERROR(SEARCH("17",BI159)))</formula>
    </cfRule>
    <cfRule type="containsText" dxfId="305" priority="253" operator="containsText" text="T">
      <formula>NOT(ISERROR(SEARCH("T",BI159)))</formula>
    </cfRule>
  </conditionalFormatting>
  <conditionalFormatting sqref="BI28:CC32 CF28:CF32">
    <cfRule type="containsText" dxfId="304" priority="76" operator="containsText" text="T">
      <formula>NOT(ISERROR(SEARCH("T",BI28)))</formula>
    </cfRule>
  </conditionalFormatting>
  <conditionalFormatting sqref="BI28:CC32">
    <cfRule type="containsText" dxfId="303" priority="78" operator="containsText" text="17">
      <formula>NOT(ISERROR(SEARCH("17",BI28)))</formula>
    </cfRule>
  </conditionalFormatting>
  <conditionalFormatting sqref="BI48:CC49 CF48:CF49">
    <cfRule type="containsText" dxfId="302" priority="71" operator="containsText" text="T">
      <formula>NOT(ISERROR(SEARCH("T",BI48)))</formula>
    </cfRule>
  </conditionalFormatting>
  <conditionalFormatting sqref="BI48:CC49">
    <cfRule type="containsText" dxfId="301" priority="73" operator="containsText" text="17">
      <formula>NOT(ISERROR(SEARCH("17",BI48)))</formula>
    </cfRule>
  </conditionalFormatting>
  <conditionalFormatting sqref="BJ60:BJ68">
    <cfRule type="containsText" dxfId="300" priority="69" operator="containsText" text="T">
      <formula>NOT(ISERROR(SEARCH("T",BJ60)))</formula>
    </cfRule>
  </conditionalFormatting>
  <conditionalFormatting sqref="BJ69:BJ71">
    <cfRule type="containsText" dxfId="299" priority="338" operator="containsText" text="T">
      <formula>NOT(ISERROR(SEARCH("T",BJ69)))</formula>
    </cfRule>
  </conditionalFormatting>
  <conditionalFormatting sqref="BJ99:BJ102 BN99:BP102">
    <cfRule type="containsText" dxfId="298" priority="326" operator="containsText" text="T">
      <formula>NOT(ISERROR(SEARCH("T",BJ99)))</formula>
    </cfRule>
  </conditionalFormatting>
  <conditionalFormatting sqref="BJ103:BJ104">
    <cfRule type="containsText" dxfId="297" priority="368" operator="containsText" text="T">
      <formula>NOT(ISERROR(SEARCH("T",BJ103)))</formula>
    </cfRule>
  </conditionalFormatting>
  <conditionalFormatting sqref="BJ105 BN105:BP105">
    <cfRule type="containsText" dxfId="296" priority="316" operator="containsText" text="T">
      <formula>NOT(ISERROR(SEARCH("T",BJ105)))</formula>
    </cfRule>
  </conditionalFormatting>
  <conditionalFormatting sqref="BJ121">
    <cfRule type="containsText" dxfId="295" priority="358" operator="containsText" text="T">
      <formula>NOT(ISERROR(SEARCH("T",BJ121)))</formula>
    </cfRule>
  </conditionalFormatting>
  <conditionalFormatting sqref="BJ123">
    <cfRule type="containsText" dxfId="294" priority="348" operator="containsText" text="T">
      <formula>NOT(ISERROR(SEARCH("T",BJ123)))</formula>
    </cfRule>
  </conditionalFormatting>
  <conditionalFormatting sqref="BJ159:BJ165">
    <cfRule type="containsText" dxfId="293" priority="249" operator="containsText" text="17">
      <formula>NOT(ISERROR(SEARCH("17",BJ159)))</formula>
    </cfRule>
    <cfRule type="containsText" dxfId="292" priority="250" operator="containsText" text="T">
      <formula>NOT(ISERROR(SEARCH("T",BJ159)))</formula>
    </cfRule>
  </conditionalFormatting>
  <conditionalFormatting sqref="BJ199 BI206">
    <cfRule type="containsText" dxfId="291" priority="5048" operator="containsText" text="17">
      <formula>NOT(ISERROR(SEARCH("17",BI199)))</formula>
    </cfRule>
    <cfRule type="containsText" dxfId="290" priority="5049" operator="containsText" text="T">
      <formula>NOT(ISERROR(SEARCH("T",BI199)))</formula>
    </cfRule>
  </conditionalFormatting>
  <conditionalFormatting sqref="BJ99:BK102 BN99:BP102">
    <cfRule type="containsText" dxfId="289" priority="327" operator="containsText" text="17">
      <formula>NOT(ISERROR(SEARCH("17",BJ99)))</formula>
    </cfRule>
  </conditionalFormatting>
  <conditionalFormatting sqref="BJ105:BK105 BN105:CJ105">
    <cfRule type="containsText" dxfId="288" priority="317" operator="containsText" text="17">
      <formula>NOT(ISERROR(SEARCH("17",BJ105)))</formula>
    </cfRule>
  </conditionalFormatting>
  <conditionalFormatting sqref="BJ228:BN231 BK232:BN234">
    <cfRule type="containsText" dxfId="287" priority="5687" operator="containsText" text="T">
      <formula>NOT(ISERROR(SEARCH("T",BJ228)))</formula>
    </cfRule>
    <cfRule type="containsText" dxfId="286" priority="5690" operator="containsText" text="17">
      <formula>NOT(ISERROR(SEARCH("17",BJ228)))</formula>
    </cfRule>
    <cfRule type="containsText" dxfId="285" priority="5691" operator="containsText" text="T">
      <formula>NOT(ISERROR(SEARCH("T",BJ228)))</formula>
    </cfRule>
  </conditionalFormatting>
  <conditionalFormatting sqref="BJ228:BN231">
    <cfRule type="containsText" dxfId="284" priority="5686" operator="containsText" text="17">
      <formula>NOT(ISERROR(SEARCH("17",BJ228)))</formula>
    </cfRule>
  </conditionalFormatting>
  <conditionalFormatting sqref="BJ207:BP213">
    <cfRule type="containsText" dxfId="283" priority="242" operator="containsText" text="17">
      <formula>NOT(ISERROR(SEARCH("17",BJ207)))</formula>
    </cfRule>
  </conditionalFormatting>
  <conditionalFormatting sqref="BJ60:CD66 CG60:CG66">
    <cfRule type="containsText" dxfId="282" priority="66" operator="containsText" text="T">
      <formula>NOT(ISERROR(SEARCH("T",BJ60)))</formula>
    </cfRule>
  </conditionalFormatting>
  <conditionalFormatting sqref="BJ60:CD66">
    <cfRule type="containsText" dxfId="281" priority="68" operator="containsText" text="17">
      <formula>NOT(ISERROR(SEARCH("17",BJ60)))</formula>
    </cfRule>
  </conditionalFormatting>
  <conditionalFormatting sqref="BK67:BK68">
    <cfRule type="containsText" dxfId="280" priority="308" operator="containsText" text="T">
      <formula>NOT(ISERROR(SEARCH("T",BK67)))</formula>
    </cfRule>
  </conditionalFormatting>
  <conditionalFormatting sqref="BK85:BK89">
    <cfRule type="containsText" dxfId="279" priority="1010" operator="containsText" text="17">
      <formula>NOT(ISERROR(SEARCH("17",BK85)))</formula>
    </cfRule>
  </conditionalFormatting>
  <conditionalFormatting sqref="BK90:BK98">
    <cfRule type="containsText" dxfId="278" priority="64" operator="containsText" text="T">
      <formula>NOT(ISERROR(SEARCH("T",BK90)))</formula>
    </cfRule>
  </conditionalFormatting>
  <conditionalFormatting sqref="BK99:BK102">
    <cfRule type="containsText" dxfId="277" priority="328" operator="containsText" text="T">
      <formula>NOT(ISERROR(SEARCH("T",BK99)))</formula>
    </cfRule>
  </conditionalFormatting>
  <conditionalFormatting sqref="BK105">
    <cfRule type="containsText" dxfId="276" priority="318" operator="containsText" text="T">
      <formula>NOT(ISERROR(SEARCH("T",BK105)))</formula>
    </cfRule>
  </conditionalFormatting>
  <conditionalFormatting sqref="BK131:BK137 BO131:BQ137">
    <cfRule type="containsText" dxfId="275" priority="286" operator="containsText" text="T">
      <formula>NOT(ISERROR(SEARCH("T",BK131)))</formula>
    </cfRule>
  </conditionalFormatting>
  <conditionalFormatting sqref="BK199 BJ206">
    <cfRule type="containsText" dxfId="274" priority="5064" operator="containsText" text="17">
      <formula>NOT(ISERROR(SEARCH("17",BJ199)))</formula>
    </cfRule>
    <cfRule type="containsText" dxfId="273" priority="5065" operator="containsText" text="T">
      <formula>NOT(ISERROR(SEARCH("T",BJ199)))</formula>
    </cfRule>
  </conditionalFormatting>
  <conditionalFormatting sqref="BK207:BK213">
    <cfRule type="containsText" dxfId="272" priority="239" operator="containsText" text="17">
      <formula>NOT(ISERROR(SEARCH("17",BK207)))</formula>
    </cfRule>
    <cfRule type="containsText" dxfId="271" priority="240" operator="containsText" text="T">
      <formula>NOT(ISERROR(SEARCH("T",BK207)))</formula>
    </cfRule>
  </conditionalFormatting>
  <conditionalFormatting sqref="BK217:BK223 BL224:BL230">
    <cfRule type="containsText" dxfId="270" priority="5614" operator="containsText" text="17">
      <formula>NOT(ISERROR(SEARCH("17",BK217)))</formula>
    </cfRule>
    <cfRule type="containsText" dxfId="269" priority="5615" operator="containsText" text="T">
      <formula>NOT(ISERROR(SEARCH("T",BK217)))</formula>
    </cfRule>
  </conditionalFormatting>
  <conditionalFormatting sqref="BK131:BL137 BO131:BQ137">
    <cfRule type="containsText" dxfId="268" priority="287" operator="containsText" text="17">
      <formula>NOT(ISERROR(SEARCH("17",BK131)))</formula>
    </cfRule>
  </conditionalFormatting>
  <conditionalFormatting sqref="BK217:BL217">
    <cfRule type="containsText" dxfId="267" priority="5312" operator="containsText" text="17">
      <formula>NOT(ISERROR(SEARCH("17",BK217)))</formula>
    </cfRule>
    <cfRule type="containsText" dxfId="266" priority="5313" operator="containsText" text="T">
      <formula>NOT(ISERROR(SEARCH("T",BK217)))</formula>
    </cfRule>
  </conditionalFormatting>
  <conditionalFormatting sqref="BK218:BL220 BK221:BM223">
    <cfRule type="containsText" dxfId="265" priority="5620" operator="containsText" text="17">
      <formula>NOT(ISERROR(SEARCH("17",BK218)))</formula>
    </cfRule>
    <cfRule type="containsText" dxfId="264" priority="5621" operator="containsText" text="T">
      <formula>NOT(ISERROR(SEARCH("T",BK218)))</formula>
    </cfRule>
  </conditionalFormatting>
  <conditionalFormatting sqref="BK200:BQ206">
    <cfRule type="containsText" dxfId="263" priority="229" operator="containsText" text="17">
      <formula>NOT(ISERROR(SEARCH("17",BK200)))</formula>
    </cfRule>
    <cfRule type="containsText" dxfId="262" priority="230" operator="containsText" text="T">
      <formula>NOT(ISERROR(SEARCH("T",BK200)))</formula>
    </cfRule>
  </conditionalFormatting>
  <conditionalFormatting sqref="BK90:CE96 CH90:CH96">
    <cfRule type="containsText" dxfId="261" priority="61" operator="containsText" text="T">
      <formula>NOT(ISERROR(SEARCH("T",BK90)))</formula>
    </cfRule>
  </conditionalFormatting>
  <conditionalFormatting sqref="BK90:CE96">
    <cfRule type="containsText" dxfId="260" priority="63" operator="containsText" text="17">
      <formula>NOT(ISERROR(SEARCH("17",BK90)))</formula>
    </cfRule>
  </conditionalFormatting>
  <conditionalFormatting sqref="BL79">
    <cfRule type="containsText" dxfId="259" priority="3868" operator="containsText" text="17">
      <formula>NOT(ISERROR(SEARCH("17",BL79)))</formula>
    </cfRule>
    <cfRule type="containsText" dxfId="258" priority="3869" operator="containsText" text="T">
      <formula>NOT(ISERROR(SEARCH("T",BL79)))</formula>
    </cfRule>
  </conditionalFormatting>
  <conditionalFormatting sqref="BL83:BL89">
    <cfRule type="containsText" dxfId="257" priority="59" operator="containsText" text="T">
      <formula>NOT(ISERROR(SEARCH("T",BL83)))</formula>
    </cfRule>
  </conditionalFormatting>
  <conditionalFormatting sqref="BL97:BL98">
    <cfRule type="containsText" dxfId="256" priority="298" operator="containsText" text="T">
      <formula>NOT(ISERROR(SEARCH("T",BL97)))</formula>
    </cfRule>
  </conditionalFormatting>
  <conditionalFormatting sqref="BL131:BL137">
    <cfRule type="containsText" dxfId="255" priority="288" operator="containsText" text="T">
      <formula>NOT(ISERROR(SEARCH("T",BL131)))</formula>
    </cfRule>
  </conditionalFormatting>
  <conditionalFormatting sqref="BL138:BL144 BP138:BR144">
    <cfRule type="containsText" dxfId="254" priority="276" operator="containsText" text="T">
      <formula>NOT(ISERROR(SEARCH("T",BL138)))</formula>
    </cfRule>
  </conditionalFormatting>
  <conditionalFormatting sqref="BL200:BL206">
    <cfRule type="containsText" dxfId="253" priority="227" operator="containsText" text="17">
      <formula>NOT(ISERROR(SEARCH("17",BL200)))</formula>
    </cfRule>
    <cfRule type="containsText" dxfId="252" priority="228" operator="containsText" text="T">
      <formula>NOT(ISERROR(SEARCH("T",BL200)))</formula>
    </cfRule>
  </conditionalFormatting>
  <conditionalFormatting sqref="BL217">
    <cfRule type="containsText" dxfId="251" priority="5314" operator="containsText" text="17">
      <formula>NOT(ISERROR(SEARCH("17",BL217)))</formula>
    </cfRule>
    <cfRule type="containsText" dxfId="250" priority="5315" operator="containsText" text="T">
      <formula>NOT(ISERROR(SEARCH("T",BL217)))</formula>
    </cfRule>
  </conditionalFormatting>
  <conditionalFormatting sqref="BL218:BL220 BL221:BM223 BM224:BM227 BM228:BN230">
    <cfRule type="containsText" dxfId="249" priority="5626" operator="containsText" text="17">
      <formula>NOT(ISERROR(SEARCH("17",BL218)))</formula>
    </cfRule>
  </conditionalFormatting>
  <conditionalFormatting sqref="BL138:BM144 BP138:BR144">
    <cfRule type="containsText" dxfId="248" priority="277" operator="containsText" text="17">
      <formula>NOT(ISERROR(SEARCH("17",BL138)))</formula>
    </cfRule>
  </conditionalFormatting>
  <conditionalFormatting sqref="BL199:BM199 BK206:BL206">
    <cfRule type="containsText" dxfId="247" priority="2139" operator="containsText" text="17">
      <formula>NOT(ISERROR(SEARCH("17",BK199)))</formula>
    </cfRule>
    <cfRule type="containsText" dxfId="246" priority="2140" operator="containsText" text="T">
      <formula>NOT(ISERROR(SEARCH("T",BK199)))</formula>
    </cfRule>
  </conditionalFormatting>
  <conditionalFormatting sqref="BL224:BM227 BL228:BN230">
    <cfRule type="containsText" dxfId="245" priority="5618" operator="containsText" text="17">
      <formula>NOT(ISERROR(SEARCH("17",BL224)))</formula>
    </cfRule>
    <cfRule type="containsText" dxfId="244" priority="5619" operator="containsText" text="T">
      <formula>NOT(ISERROR(SEARCH("T",BL224)))</formula>
    </cfRule>
  </conditionalFormatting>
  <conditionalFormatting sqref="BL192:BR199">
    <cfRule type="containsText" dxfId="243" priority="212" operator="containsText" text="17">
      <formula>NOT(ISERROR(SEARCH("17",BL192)))</formula>
    </cfRule>
  </conditionalFormatting>
  <conditionalFormatting sqref="BL83:CF89 CI83:CI89">
    <cfRule type="containsText" dxfId="242" priority="56" operator="containsText" text="T">
      <formula>NOT(ISERROR(SEARCH("T",BL83)))</formula>
    </cfRule>
  </conditionalFormatting>
  <conditionalFormatting sqref="BL83:CF89">
    <cfRule type="containsText" dxfId="241" priority="58" operator="containsText" text="17">
      <formula>NOT(ISERROR(SEARCH("17",BL83)))</formula>
    </cfRule>
  </conditionalFormatting>
  <conditionalFormatting sqref="BM138:BM144">
    <cfRule type="containsText" dxfId="240" priority="278" operator="containsText" text="T">
      <formula>NOT(ISERROR(SEARCH("T",BM138)))</formula>
    </cfRule>
  </conditionalFormatting>
  <conditionalFormatting sqref="BM145:BM151 BQ145:BS151">
    <cfRule type="containsText" dxfId="239" priority="266" operator="containsText" text="T">
      <formula>NOT(ISERROR(SEARCH("T",BM145)))</formula>
    </cfRule>
  </conditionalFormatting>
  <conditionalFormatting sqref="BM192:BM199">
    <cfRule type="containsText" dxfId="238" priority="210" operator="containsText" text="17">
      <formula>NOT(ISERROR(SEARCH("17",BM192)))</formula>
    </cfRule>
    <cfRule type="containsText" dxfId="237" priority="211" operator="containsText" text="T">
      <formula>NOT(ISERROR(SEARCH("T",BM192)))</formula>
    </cfRule>
  </conditionalFormatting>
  <conditionalFormatting sqref="BM214:BM220">
    <cfRule type="containsText" dxfId="236" priority="54" operator="containsText" text="T">
      <formula>NOT(ISERROR(SEARCH("T",BM214)))</formula>
    </cfRule>
  </conditionalFormatting>
  <conditionalFormatting sqref="BM145:BN151 BQ145:BS151">
    <cfRule type="containsText" dxfId="235" priority="267" operator="containsText" text="17">
      <formula>NOT(ISERROR(SEARCH("17",BM145)))</formula>
    </cfRule>
  </conditionalFormatting>
  <conditionalFormatting sqref="BM168:BS174">
    <cfRule type="containsText" dxfId="234" priority="188" operator="containsText" text="17">
      <formula>NOT(ISERROR(SEARCH("17",BM168)))</formula>
    </cfRule>
    <cfRule type="containsText" dxfId="233" priority="189" operator="containsText" text="T">
      <formula>NOT(ISERROR(SEARCH("T",BM168)))</formula>
    </cfRule>
  </conditionalFormatting>
  <conditionalFormatting sqref="BM214:CG220 CJ214:CJ220">
    <cfRule type="containsText" dxfId="232" priority="51" operator="containsText" text="T">
      <formula>NOT(ISERROR(SEARCH("T",BM214)))</formula>
    </cfRule>
  </conditionalFormatting>
  <conditionalFormatting sqref="BM214:CG220">
    <cfRule type="containsText" dxfId="231" priority="53" operator="containsText" text="17">
      <formula>NOT(ISERROR(SEARCH("17",BM214)))</formula>
    </cfRule>
  </conditionalFormatting>
  <conditionalFormatting sqref="BM79:CJ82 CJ83:CJ84">
    <cfRule type="containsText" dxfId="230" priority="1015" operator="containsText" text="17">
      <formula>NOT(ISERROR(SEARCH("17",BM79)))</formula>
    </cfRule>
  </conditionalFormatting>
  <conditionalFormatting sqref="BN145:BN151">
    <cfRule type="containsText" dxfId="229" priority="268" operator="containsText" text="T">
      <formula>NOT(ISERROR(SEARCH("T",BN145)))</formula>
    </cfRule>
  </conditionalFormatting>
  <conditionalFormatting sqref="BN152:BN158 BR152:BT158">
    <cfRule type="containsText" dxfId="228" priority="256" operator="containsText" text="T">
      <formula>NOT(ISERROR(SEARCH("T",BN152)))</formula>
    </cfRule>
  </conditionalFormatting>
  <conditionalFormatting sqref="BN168:BN174">
    <cfRule type="containsText" dxfId="227" priority="186" operator="containsText" text="17">
      <formula>NOT(ISERROR(SEARCH("17",BN168)))</formula>
    </cfRule>
    <cfRule type="containsText" dxfId="226" priority="187" operator="containsText" text="T">
      <formula>NOT(ISERROR(SEARCH("T",BN168)))</formula>
    </cfRule>
  </conditionalFormatting>
  <conditionalFormatting sqref="BN221:BN227">
    <cfRule type="containsText" dxfId="225" priority="49" operator="containsText" text="T">
      <formula>NOT(ISERROR(SEARCH("T",BN221)))</formula>
    </cfRule>
  </conditionalFormatting>
  <conditionalFormatting sqref="BN152:BO158 BR152:BT158">
    <cfRule type="containsText" dxfId="224" priority="257" operator="containsText" text="17">
      <formula>NOT(ISERROR(SEARCH("17",BN152)))</formula>
    </cfRule>
  </conditionalFormatting>
  <conditionalFormatting sqref="BN67:BP68 BJ67:BK68">
    <cfRule type="containsText" dxfId="223" priority="307" operator="containsText" text="17">
      <formula>NOT(ISERROR(SEARCH("17",BJ67)))</formula>
    </cfRule>
  </conditionalFormatting>
  <conditionalFormatting sqref="BN67:BP68">
    <cfRule type="containsText" dxfId="222" priority="306" operator="containsText" text="T">
      <formula>NOT(ISERROR(SEARCH("T",BN67)))</formula>
    </cfRule>
  </conditionalFormatting>
  <conditionalFormatting sqref="BN175:BT181">
    <cfRule type="containsText" dxfId="221" priority="164" operator="containsText" text="17">
      <formula>NOT(ISERROR(SEARCH("17",BN175)))</formula>
    </cfRule>
    <cfRule type="containsText" dxfId="220" priority="165" operator="containsText" text="T">
      <formula>NOT(ISERROR(SEARCH("T",BN175)))</formula>
    </cfRule>
  </conditionalFormatting>
  <conditionalFormatting sqref="BN192:BW199 BM193:BN213 BP193:BU213 BN200:BO206 BQ200:BV206">
    <cfRule type="containsText" dxfId="219" priority="918" operator="containsText" text="T">
      <formula>NOT(ISERROR(SEARCH("T",BM192)))</formula>
    </cfRule>
  </conditionalFormatting>
  <conditionalFormatting sqref="BN221:CH227 CK221:CK227">
    <cfRule type="containsText" dxfId="218" priority="46" operator="containsText" text="T">
      <formula>NOT(ISERROR(SEARCH("T",BN221)))</formula>
    </cfRule>
  </conditionalFormatting>
  <conditionalFormatting sqref="BN221:CH227">
    <cfRule type="containsText" dxfId="217" priority="48" operator="containsText" text="17">
      <formula>NOT(ISERROR(SEARCH("17",BN221)))</formula>
    </cfRule>
  </conditionalFormatting>
  <conditionalFormatting sqref="BN107:CJ109">
    <cfRule type="containsText" dxfId="216" priority="993" operator="containsText" text="17">
      <formula>NOT(ISERROR(SEARCH("17",BN107)))</formula>
    </cfRule>
  </conditionalFormatting>
  <conditionalFormatting sqref="BN111:CJ112 BM113:BP115">
    <cfRule type="containsText" dxfId="215" priority="987" operator="containsText" text="17">
      <formula>NOT(ISERROR(SEARCH("17",BM111)))</formula>
    </cfRule>
  </conditionalFormatting>
  <conditionalFormatting sqref="BO152:BO158">
    <cfRule type="containsText" dxfId="214" priority="258" operator="containsText" text="T">
      <formula>NOT(ISERROR(SEARCH("T",BO152)))</formula>
    </cfRule>
  </conditionalFormatting>
  <conditionalFormatting sqref="BO159:BO165 BS159:BU165">
    <cfRule type="containsText" dxfId="213" priority="246" operator="containsText" text="T">
      <formula>NOT(ISERROR(SEARCH("T",BO159)))</formula>
    </cfRule>
  </conditionalFormatting>
  <conditionalFormatting sqref="BO175:BO181">
    <cfRule type="containsText" dxfId="212" priority="162" operator="containsText" text="17">
      <formula>NOT(ISERROR(SEARCH("17",BO175)))</formula>
    </cfRule>
    <cfRule type="containsText" dxfId="211" priority="163" operator="containsText" text="T">
      <formula>NOT(ISERROR(SEARCH("T",BO175)))</formula>
    </cfRule>
  </conditionalFormatting>
  <conditionalFormatting sqref="BO228:BO234">
    <cfRule type="containsText" dxfId="210" priority="44" operator="containsText" text="T">
      <formula>NOT(ISERROR(SEARCH("T",BO228)))</formula>
    </cfRule>
  </conditionalFormatting>
  <conditionalFormatting sqref="BO118:BP119">
    <cfRule type="containsText" dxfId="209" priority="982" operator="containsText" text="17">
      <formula>NOT(ISERROR(SEARCH("17",BO118)))</formula>
    </cfRule>
  </conditionalFormatting>
  <conditionalFormatting sqref="BO159:BP165 BS159:BU165">
    <cfRule type="containsText" dxfId="208" priority="247" operator="containsText" text="17">
      <formula>NOT(ISERROR(SEARCH("17",BO159)))</formula>
    </cfRule>
  </conditionalFormatting>
  <conditionalFormatting sqref="BO182:BU188">
    <cfRule type="containsText" dxfId="207" priority="140" operator="containsText" text="17">
      <formula>NOT(ISERROR(SEARCH("17",BO182)))</formula>
    </cfRule>
    <cfRule type="containsText" dxfId="206" priority="141" operator="containsText" text="T">
      <formula>NOT(ISERROR(SEARCH("T",BO182)))</formula>
    </cfRule>
  </conditionalFormatting>
  <conditionalFormatting sqref="BO228:CI234 CL228:CL234">
    <cfRule type="containsText" dxfId="205" priority="41" operator="containsText" text="T">
      <formula>NOT(ISERROR(SEARCH("T",BO228)))</formula>
    </cfRule>
  </conditionalFormatting>
  <conditionalFormatting sqref="BO228:CI234">
    <cfRule type="containsText" dxfId="204" priority="43" operator="containsText" text="17">
      <formula>NOT(ISERROR(SEARCH("17",BO228)))</formula>
    </cfRule>
  </conditionalFormatting>
  <conditionalFormatting sqref="BO73:CK75 BN76:CK77 CK78">
    <cfRule type="containsText" dxfId="203" priority="1021" operator="containsText" text="17">
      <formula>NOT(ISERROR(SEARCH("17",BN73)))</formula>
    </cfRule>
  </conditionalFormatting>
  <conditionalFormatting sqref="BO97:CP98 BK97:BL98">
    <cfRule type="containsText" dxfId="202" priority="297" operator="containsText" text="17">
      <formula>NOT(ISERROR(SEARCH("17",BK97)))</formula>
    </cfRule>
  </conditionalFormatting>
  <conditionalFormatting sqref="BO97:CP98">
    <cfRule type="containsText" dxfId="201" priority="296" operator="containsText" text="T">
      <formula>NOT(ISERROR(SEARCH("T",BO97)))</formula>
    </cfRule>
  </conditionalFormatting>
  <conditionalFormatting sqref="BP159:BP165">
    <cfRule type="containsText" dxfId="200" priority="248" operator="containsText" text="T">
      <formula>NOT(ISERROR(SEARCH("T",BP159)))</formula>
    </cfRule>
  </conditionalFormatting>
  <conditionalFormatting sqref="BP182:BP188">
    <cfRule type="containsText" dxfId="199" priority="138" operator="containsText" text="17">
      <formula>NOT(ISERROR(SEARCH("17",BP182)))</formula>
    </cfRule>
    <cfRule type="containsText" dxfId="198" priority="139" operator="containsText" text="T">
      <formula>NOT(ISERROR(SEARCH("T",BP182)))</formula>
    </cfRule>
  </conditionalFormatting>
  <conditionalFormatting sqref="BP192:BP199 BO193:BO213 BP194:BT194 BM195:BS195 BO196:BT198">
    <cfRule type="containsText" dxfId="197" priority="920" operator="containsText" text="T">
      <formula>NOT(ISERROR(SEARCH("T",BM192)))</formula>
    </cfRule>
  </conditionalFormatting>
  <conditionalFormatting sqref="BP200:BP213">
    <cfRule type="containsText" dxfId="196" priority="233" operator="containsText" text="T">
      <formula>NOT(ISERROR(SEARCH("T",BP200)))</formula>
    </cfRule>
  </conditionalFormatting>
  <conditionalFormatting sqref="BP207:BQ213">
    <cfRule type="containsText" dxfId="195" priority="237" operator="containsText" text="17">
      <formula>NOT(ISERROR(SEARCH("17",BP207)))</formula>
    </cfRule>
  </conditionalFormatting>
  <conditionalFormatting sqref="BP194:BT194 BM195:BS195 BO196:BT198">
    <cfRule type="containsText" dxfId="194" priority="919" operator="containsText" text="17">
      <formula>NOT(ISERROR(SEARCH("17",BM194)))</formula>
    </cfRule>
  </conditionalFormatting>
  <conditionalFormatting sqref="BP14:BV14">
    <cfRule type="containsText" dxfId="193" priority="131" operator="containsText" text="17">
      <formula>NOT(ISERROR(SEARCH("17",BP14)))</formula>
    </cfRule>
    <cfRule type="containsText" dxfId="192" priority="132" operator="containsText" text="T">
      <formula>NOT(ISERROR(SEARCH("T",BP14)))</formula>
    </cfRule>
  </conditionalFormatting>
  <conditionalFormatting sqref="BP189:BV190">
    <cfRule type="containsText" dxfId="191" priority="924" operator="containsText" text="T">
      <formula>NOT(ISERROR(SEARCH("T",BP189)))</formula>
    </cfRule>
  </conditionalFormatting>
  <conditionalFormatting sqref="BP120:BZ126">
    <cfRule type="containsText" dxfId="190" priority="21" operator="containsText" text="17">
      <formula>NOT(ISERROR(SEARCH("17",BP120)))</formula>
    </cfRule>
  </conditionalFormatting>
  <conditionalFormatting sqref="BP80:CB82">
    <cfRule type="containsText" dxfId="189" priority="1016" operator="containsText" text="17">
      <formula>NOT(ISERROR(SEARCH("17",BP80)))</formula>
    </cfRule>
  </conditionalFormatting>
  <conditionalFormatting sqref="BP106:CB109">
    <cfRule type="containsText" dxfId="188" priority="994" operator="containsText" text="17">
      <formula>NOT(ISERROR(SEARCH("17",BP106)))</formula>
    </cfRule>
  </conditionalFormatting>
  <conditionalFormatting sqref="BP112:CB112">
    <cfRule type="containsText" dxfId="187" priority="988" operator="containsText" text="17">
      <formula>NOT(ISERROR(SEARCH("17",BP112)))</formula>
    </cfRule>
  </conditionalFormatting>
  <conditionalFormatting sqref="BP120:CM126">
    <cfRule type="containsText" dxfId="186" priority="30" operator="containsText" text="T">
      <formula>NOT(ISERROR(SEARCH("T",BP120)))</formula>
    </cfRule>
    <cfRule type="containsText" dxfId="185" priority="32" operator="containsText" text="17">
      <formula>NOT(ISERROR(SEARCH("17",BP120)))</formula>
    </cfRule>
  </conditionalFormatting>
  <conditionalFormatting sqref="BP120:CP126">
    <cfRule type="containsText" dxfId="184" priority="33" operator="containsText" text="T">
      <formula>NOT(ISERROR(SEARCH("T",BP120)))</formula>
    </cfRule>
    <cfRule type="containsText" dxfId="183" priority="40" operator="containsText" text="17">
      <formula>NOT(ISERROR(SEARCH("17",BP120)))</formula>
    </cfRule>
  </conditionalFormatting>
  <conditionalFormatting sqref="BQ14">
    <cfRule type="containsText" dxfId="182" priority="127" operator="containsText" text="17">
      <formula>NOT(ISERROR(SEARCH("17",BQ14)))</formula>
    </cfRule>
    <cfRule type="containsText" dxfId="181" priority="128" operator="containsText" text="T">
      <formula>NOT(ISERROR(SEARCH("T",BQ14)))</formula>
    </cfRule>
  </conditionalFormatting>
  <conditionalFormatting sqref="BQ192:BQ206">
    <cfRule type="containsText" dxfId="180" priority="216" operator="containsText" text="T">
      <formula>NOT(ISERROR(SEARCH("T",BQ192)))</formula>
    </cfRule>
  </conditionalFormatting>
  <conditionalFormatting sqref="BQ207:BQ213">
    <cfRule type="containsText" dxfId="179" priority="238" operator="containsText" text="T">
      <formula>NOT(ISERROR(SEARCH("T",BQ207)))</formula>
    </cfRule>
  </conditionalFormatting>
  <conditionalFormatting sqref="BQ200:BR206">
    <cfRule type="containsText" dxfId="178" priority="225" operator="containsText" text="17">
      <formula>NOT(ISERROR(SEARCH("17",BQ200)))</formula>
    </cfRule>
  </conditionalFormatting>
  <conditionalFormatting sqref="BQ34:BW34">
    <cfRule type="containsText" dxfId="177" priority="119" operator="containsText" text="17">
      <formula>NOT(ISERROR(SEARCH("17",BQ34)))</formula>
    </cfRule>
    <cfRule type="containsText" dxfId="176" priority="120" operator="containsText" text="T">
      <formula>NOT(ISERROR(SEARCH("T",BQ34)))</formula>
    </cfRule>
  </conditionalFormatting>
  <conditionalFormatting sqref="BQ113:CA119">
    <cfRule type="containsText" dxfId="175" priority="1" operator="containsText" text="17">
      <formula>NOT(ISERROR(SEARCH("17",BQ113)))</formula>
    </cfRule>
  </conditionalFormatting>
  <conditionalFormatting sqref="BQ100:CB102 BP103:CB103">
    <cfRule type="containsText" dxfId="174" priority="999" operator="containsText" text="17">
      <formula>NOT(ISERROR(SEARCH("17",BP100)))</formula>
    </cfRule>
  </conditionalFormatting>
  <conditionalFormatting sqref="BQ113:CN119">
    <cfRule type="containsText" dxfId="173" priority="10" operator="containsText" text="T">
      <formula>NOT(ISERROR(SEARCH("T",BQ113)))</formula>
    </cfRule>
    <cfRule type="containsText" dxfId="172" priority="12" operator="containsText" text="17">
      <formula>NOT(ISERROR(SEARCH("17",BQ113)))</formula>
    </cfRule>
  </conditionalFormatting>
  <conditionalFormatting sqref="BQ113:CP119">
    <cfRule type="containsText" dxfId="171" priority="13" operator="containsText" text="T">
      <formula>NOT(ISERROR(SEARCH("T",BQ113)))</formula>
    </cfRule>
    <cfRule type="containsText" dxfId="170" priority="20" operator="containsText" text="17">
      <formula>NOT(ISERROR(SEARCH("17",BQ113)))</formula>
    </cfRule>
  </conditionalFormatting>
  <conditionalFormatting sqref="BR34">
    <cfRule type="containsText" dxfId="169" priority="115" operator="containsText" text="17">
      <formula>NOT(ISERROR(SEARCH("17",BR34)))</formula>
    </cfRule>
    <cfRule type="containsText" dxfId="168" priority="116" operator="containsText" text="T">
      <formula>NOT(ISERROR(SEARCH("T",BR34)))</formula>
    </cfRule>
  </conditionalFormatting>
  <conditionalFormatting sqref="BR192:BR199">
    <cfRule type="containsText" dxfId="167" priority="207" operator="containsText" text="T">
      <formula>NOT(ISERROR(SEARCH("T",BR192)))</formula>
    </cfRule>
  </conditionalFormatting>
  <conditionalFormatting sqref="BR200:BR206">
    <cfRule type="containsText" dxfId="166" priority="226" operator="containsText" text="T">
      <formula>NOT(ISERROR(SEARCH("T",BR200)))</formula>
    </cfRule>
  </conditionalFormatting>
  <conditionalFormatting sqref="BR50:BS50 BU50:BY50">
    <cfRule type="containsText" dxfId="165" priority="1034" operator="containsText" text="17">
      <formula>NOT(ISERROR(SEARCH("17",BR50)))</formula>
    </cfRule>
    <cfRule type="containsText" dxfId="164" priority="1035" operator="containsText" text="T">
      <formula>NOT(ISERROR(SEARCH("T",BR50)))</formula>
    </cfRule>
  </conditionalFormatting>
  <conditionalFormatting sqref="BR192:BS199">
    <cfRule type="containsText" dxfId="163" priority="208" operator="containsText" text="17">
      <formula>NOT(ISERROR(SEARCH("17",BR192)))</formula>
    </cfRule>
  </conditionalFormatting>
  <conditionalFormatting sqref="BR21:BX21">
    <cfRule type="containsText" dxfId="162" priority="107" operator="containsText" text="17">
      <formula>NOT(ISERROR(SEARCH("17",BR21)))</formula>
    </cfRule>
    <cfRule type="containsText" dxfId="161" priority="108" operator="containsText" text="T">
      <formula>NOT(ISERROR(SEARCH("T",BR21)))</formula>
    </cfRule>
  </conditionalFormatting>
  <conditionalFormatting sqref="BR68:CD71 BQ74:CC77">
    <cfRule type="containsText" dxfId="160" priority="1022" operator="containsText" text="17">
      <formula>NOT(ISERROR(SEARCH("17",BQ68)))</formula>
    </cfRule>
  </conditionalFormatting>
  <conditionalFormatting sqref="BS21">
    <cfRule type="containsText" dxfId="159" priority="103" operator="containsText" text="17">
      <formula>NOT(ISERROR(SEARCH("17",BS21)))</formula>
    </cfRule>
    <cfRule type="containsText" dxfId="158" priority="104" operator="containsText" text="T">
      <formula>NOT(ISERROR(SEARCH("T",BS21)))</formula>
    </cfRule>
  </conditionalFormatting>
  <conditionalFormatting sqref="BS127 BC199 BB206">
    <cfRule type="containsText" dxfId="157" priority="2146" operator="containsText" text="T">
      <formula>NOT(ISERROR(SEARCH("T",BB127)))</formula>
    </cfRule>
  </conditionalFormatting>
  <conditionalFormatting sqref="BS127 BC199:BR199 BB206:BQ206">
    <cfRule type="containsText" dxfId="156" priority="5051" operator="containsText" text="T">
      <formula>NOT(ISERROR(SEARCH("T",BB127)))</formula>
    </cfRule>
  </conditionalFormatting>
  <conditionalFormatting sqref="BS168:BS181">
    <cfRule type="containsText" dxfId="155" priority="168" operator="containsText" text="T">
      <formula>NOT(ISERROR(SEARCH("T",BS168)))</formula>
    </cfRule>
  </conditionalFormatting>
  <conditionalFormatting sqref="BS192:BS199">
    <cfRule type="containsText" dxfId="154" priority="209" operator="containsText" text="T">
      <formula>NOT(ISERROR(SEARCH("T",BS192)))</formula>
    </cfRule>
  </conditionalFormatting>
  <conditionalFormatting sqref="BS168:BT174">
    <cfRule type="containsText" dxfId="153" priority="184" operator="containsText" text="17">
      <formula>NOT(ISERROR(SEARCH("17",BS168)))</formula>
    </cfRule>
  </conditionalFormatting>
  <conditionalFormatting sqref="BS199:BT199 BR206:BS206">
    <cfRule type="containsText" dxfId="152" priority="2149" operator="containsText" text="17">
      <formula>NOT(ISERROR(SEARCH("17",BR199)))</formula>
    </cfRule>
    <cfRule type="containsText" dxfId="151" priority="2150" operator="containsText" text="T">
      <formula>NOT(ISERROR(SEARCH("T",BR199)))</formula>
    </cfRule>
  </conditionalFormatting>
  <conditionalFormatting sqref="BS41:BY41">
    <cfRule type="containsText" dxfId="150" priority="95" operator="containsText" text="17">
      <formula>NOT(ISERROR(SEARCH("17",BS41)))</formula>
    </cfRule>
    <cfRule type="containsText" dxfId="149" priority="96" operator="containsText" text="T">
      <formula>NOT(ISERROR(SEARCH("T",BS41)))</formula>
    </cfRule>
  </conditionalFormatting>
  <conditionalFormatting sqref="BT41">
    <cfRule type="containsText" dxfId="148" priority="91" operator="containsText" text="17">
      <formula>NOT(ISERROR(SEARCH("17",BT41)))</formula>
    </cfRule>
    <cfRule type="containsText" dxfId="147" priority="92" operator="containsText" text="T">
      <formula>NOT(ISERROR(SEARCH("T",BT41)))</formula>
    </cfRule>
  </conditionalFormatting>
  <conditionalFormatting sqref="BT50:BT52 BZ50:BZ52 BU51:BY52">
    <cfRule type="containsText" dxfId="146" priority="8559" operator="containsText" text="17">
      <formula>NOT(ISERROR(SEARCH("17",BT50)))</formula>
    </cfRule>
    <cfRule type="containsText" dxfId="145" priority="8560" operator="containsText" text="T">
      <formula>NOT(ISERROR(SEARCH("T",BT50)))</formula>
    </cfRule>
  </conditionalFormatting>
  <conditionalFormatting sqref="BT145:BT148">
    <cfRule type="containsText" dxfId="144" priority="1589" operator="containsText" text="17">
      <formula>NOT(ISERROR(SEARCH("17",BT145)))</formula>
    </cfRule>
    <cfRule type="containsText" dxfId="143" priority="1590" operator="containsText" text="T">
      <formula>NOT(ISERROR(SEARCH("T",BT145)))</formula>
    </cfRule>
    <cfRule type="containsText" dxfId="142" priority="8534" operator="containsText" text="T">
      <formula>NOT(ISERROR(SEARCH("T",BT145)))</formula>
    </cfRule>
  </conditionalFormatting>
  <conditionalFormatting sqref="BT168:BT174">
    <cfRule type="containsText" dxfId="141" priority="185" operator="containsText" text="T">
      <formula>NOT(ISERROR(SEARCH("T",BT168)))</formula>
    </cfRule>
  </conditionalFormatting>
  <conditionalFormatting sqref="BT175:BT188">
    <cfRule type="containsText" dxfId="140" priority="144" operator="containsText" text="T">
      <formula>NOT(ISERROR(SEARCH("T",BT175)))</formula>
    </cfRule>
  </conditionalFormatting>
  <conditionalFormatting sqref="BT175:BU181">
    <cfRule type="containsText" dxfId="139" priority="160" operator="containsText" text="17">
      <formula>NOT(ISERROR(SEARCH("17",BT175)))</formula>
    </cfRule>
  </conditionalFormatting>
  <conditionalFormatting sqref="BT139:CQ144">
    <cfRule type="containsText" dxfId="138" priority="965" operator="containsText" text="17">
      <formula>NOT(ISERROR(SEARCH("17",BT139)))</formula>
    </cfRule>
    <cfRule type="containsText" dxfId="137" priority="968" operator="containsText" text="T">
      <formula>NOT(ISERROR(SEARCH("T",BT139)))</formula>
    </cfRule>
  </conditionalFormatting>
  <conditionalFormatting sqref="BU175:BU181">
    <cfRule type="containsText" dxfId="136" priority="161" operator="containsText" text="T">
      <formula>NOT(ISERROR(SEARCH("T",BU175)))</formula>
    </cfRule>
  </conditionalFormatting>
  <conditionalFormatting sqref="BU182:BU188">
    <cfRule type="containsText" dxfId="135" priority="135" operator="containsText" text="T">
      <formula>NOT(ISERROR(SEARCH("T",BU182)))</formula>
    </cfRule>
  </conditionalFormatting>
  <conditionalFormatting sqref="BU200:BU202 AX210:AX211">
    <cfRule type="containsText" dxfId="134" priority="8520" operator="containsText" text="T">
      <formula>NOT(ISERROR(SEARCH("T",AX200)))</formula>
    </cfRule>
  </conditionalFormatting>
  <conditionalFormatting sqref="BU200:BU202 AY190 AX191:BH191 BK191 BO191:BS191">
    <cfRule type="containsText" dxfId="133" priority="8513" operator="containsText" text="17">
      <formula>NOT(ISERROR(SEARCH("17",AX190)))</formula>
    </cfRule>
  </conditionalFormatting>
  <conditionalFormatting sqref="BU182:BV188">
    <cfRule type="containsText" dxfId="132" priority="136" operator="containsText" text="17">
      <formula>NOT(ISERROR(SEARCH("17",BU182)))</formula>
    </cfRule>
  </conditionalFormatting>
  <conditionalFormatting sqref="BU200:BW206">
    <cfRule type="containsText" dxfId="131" priority="231" operator="containsText" text="17">
      <formula>NOT(ISERROR(SEARCH("17",BU200)))</formula>
    </cfRule>
  </conditionalFormatting>
  <conditionalFormatting sqref="BU153:CQ158">
    <cfRule type="containsText" dxfId="130" priority="952" operator="containsText" text="17">
      <formula>NOT(ISERROR(SEARCH("17",BU153)))</formula>
    </cfRule>
    <cfRule type="containsText" dxfId="129" priority="955" operator="containsText" text="T">
      <formula>NOT(ISERROR(SEARCH("T",BU153)))</formula>
    </cfRule>
  </conditionalFormatting>
  <conditionalFormatting sqref="BU146:CR151 BV160:CQ165">
    <cfRule type="containsText" dxfId="128" priority="8367" operator="containsText" text="17">
      <formula>NOT(ISERROR(SEARCH("17",BU146)))</formula>
    </cfRule>
  </conditionalFormatting>
  <conditionalFormatting sqref="BU146:CR151">
    <cfRule type="containsText" dxfId="127" priority="964" operator="containsText" text="T">
      <formula>NOT(ISERROR(SEARCH("T",BU146)))</formula>
    </cfRule>
  </conditionalFormatting>
  <conditionalFormatting sqref="BV14 BZ14:CB14 BE15:BY20 CB15:CB20">
    <cfRule type="containsText" dxfId="126" priority="124" operator="containsText" text="T">
      <formula>NOT(ISERROR(SEARCH("T",BE14)))</formula>
    </cfRule>
  </conditionalFormatting>
  <conditionalFormatting sqref="BV182:BV188">
    <cfRule type="containsText" dxfId="125" priority="137" operator="containsText" text="T">
      <formula>NOT(ISERROR(SEARCH("T",BV182)))</formula>
    </cfRule>
  </conditionalFormatting>
  <conditionalFormatting sqref="BV192:BV199">
    <cfRule type="containsText" dxfId="124" priority="217" operator="containsText" text="17">
      <formula>NOT(ISERROR(SEARCH("17",BV192)))</formula>
    </cfRule>
    <cfRule type="containsText" dxfId="123" priority="218" operator="containsText" text="T">
      <formula>NOT(ISERROR(SEARCH("T",BV192)))</formula>
    </cfRule>
    <cfRule type="containsText" dxfId="122" priority="219" operator="containsText" text="17">
      <formula>NOT(ISERROR(SEARCH("17",BV192)))</formula>
    </cfRule>
    <cfRule type="containsText" dxfId="121" priority="220" operator="containsText" text="T">
      <formula>NOT(ISERROR(SEARCH("T",BV192)))</formula>
    </cfRule>
    <cfRule type="containsText" dxfId="120" priority="221" operator="containsText" text="17">
      <formula>NOT(ISERROR(SEARCH("17",BV192)))</formula>
    </cfRule>
  </conditionalFormatting>
  <conditionalFormatting sqref="BV199 BU206">
    <cfRule type="containsText" dxfId="119" priority="2147" operator="containsText" text="17">
      <formula>NOT(ISERROR(SEARCH("17",BU199)))</formula>
    </cfRule>
    <cfRule type="containsText" dxfId="118" priority="2148" operator="containsText" text="T">
      <formula>NOT(ISERROR(SEARCH("T",BU199)))</formula>
    </cfRule>
  </conditionalFormatting>
  <conditionalFormatting sqref="BV14:BW14 BZ14:CB14 CB15:CB20">
    <cfRule type="containsText" dxfId="117" priority="125" operator="containsText" text="17">
      <formula>NOT(ISERROR(SEARCH("17",BV14)))</formula>
    </cfRule>
  </conditionalFormatting>
  <conditionalFormatting sqref="BV192:BX199">
    <cfRule type="containsText" dxfId="116" priority="214" operator="containsText" text="17">
      <formula>NOT(ISERROR(SEARCH("17",BV192)))</formula>
    </cfRule>
    <cfRule type="containsText" dxfId="115" priority="215" operator="containsText" text="T">
      <formula>NOT(ISERROR(SEARCH("T",BV192)))</formula>
    </cfRule>
  </conditionalFormatting>
  <conditionalFormatting sqref="BV133:CH137">
    <cfRule type="containsText" dxfId="114" priority="971" operator="containsText" text="17">
      <formula>NOT(ISERROR(SEARCH("17",BV133)))</formula>
    </cfRule>
  </conditionalFormatting>
  <conditionalFormatting sqref="BV160:CQ165">
    <cfRule type="containsText" dxfId="113" priority="951" operator="containsText" text="T">
      <formula>NOT(ISERROR(SEARCH("T",BV160)))</formula>
    </cfRule>
  </conditionalFormatting>
  <conditionalFormatting sqref="BW14">
    <cfRule type="containsText" dxfId="112" priority="126" operator="containsText" text="T">
      <formula>NOT(ISERROR(SEARCH("T",BW14)))</formula>
    </cfRule>
  </conditionalFormatting>
  <conditionalFormatting sqref="BW34 CA34:CC34 BF35:BZ40 CC35:CC40">
    <cfRule type="containsText" dxfId="111" priority="112" operator="containsText" text="T">
      <formula>NOT(ISERROR(SEARCH("T",BF34)))</formula>
    </cfRule>
  </conditionalFormatting>
  <conditionalFormatting sqref="BW168:BW174">
    <cfRule type="containsText" dxfId="110" priority="199" operator="containsText" text="17">
      <formula>NOT(ISERROR(SEARCH("17",BW168)))</formula>
    </cfRule>
    <cfRule type="containsText" dxfId="109" priority="200" operator="containsText" text="T">
      <formula>NOT(ISERROR(SEARCH("T",BW168)))</formula>
    </cfRule>
    <cfRule type="containsText" dxfId="108" priority="201" operator="containsText" text="17">
      <formula>NOT(ISERROR(SEARCH("17",BW168)))</formula>
    </cfRule>
    <cfRule type="containsText" dxfId="107" priority="202" operator="containsText" text="T">
      <formula>NOT(ISERROR(SEARCH("T",BW168)))</formula>
    </cfRule>
    <cfRule type="containsText" dxfId="106" priority="203" operator="containsText" text="17">
      <formula>NOT(ISERROR(SEARCH("17",BW168)))</formula>
    </cfRule>
    <cfRule type="containsText" dxfId="105" priority="204" operator="containsText" text="T">
      <formula>NOT(ISERROR(SEARCH("T",BW168)))</formula>
    </cfRule>
  </conditionalFormatting>
  <conditionalFormatting sqref="BW34:BX34 CA34:CC34 CC35:CC40">
    <cfRule type="containsText" dxfId="104" priority="113" operator="containsText" text="17">
      <formula>NOT(ISERROR(SEARCH("17",BW34)))</formula>
    </cfRule>
  </conditionalFormatting>
  <conditionalFormatting sqref="BW168:BY174">
    <cfRule type="containsText" dxfId="103" priority="190" operator="containsText" text="17">
      <formula>NOT(ISERROR(SEARCH("17",BW168)))</formula>
    </cfRule>
  </conditionalFormatting>
  <conditionalFormatting sqref="BW160:CG165">
    <cfRule type="containsText" dxfId="102" priority="949" operator="containsText" text="17">
      <formula>NOT(ISERROR(SEARCH("17",BW160)))</formula>
    </cfRule>
  </conditionalFormatting>
  <conditionalFormatting sqref="BW140:CI144">
    <cfRule type="containsText" dxfId="101" priority="966" operator="containsText" text="17">
      <formula>NOT(ISERROR(SEARCH("17",BW140)))</formula>
    </cfRule>
  </conditionalFormatting>
  <conditionalFormatting sqref="BW154:CI158">
    <cfRule type="containsText" dxfId="100" priority="953" operator="containsText" text="17">
      <formula>NOT(ISERROR(SEARCH("17",BW154)))</formula>
    </cfRule>
  </conditionalFormatting>
  <conditionalFormatting sqref="BW161:CI165">
    <cfRule type="containsText" dxfId="99" priority="946" operator="containsText" text="17">
      <formula>NOT(ISERROR(SEARCH("17",BW161)))</formula>
    </cfRule>
  </conditionalFormatting>
  <conditionalFormatting sqref="BX21 CB21:CD21 BG22:CA27 CD22:CD27">
    <cfRule type="containsText" dxfId="98" priority="100" operator="containsText" text="T">
      <formula>NOT(ISERROR(SEARCH("T",BG21)))</formula>
    </cfRule>
  </conditionalFormatting>
  <conditionalFormatting sqref="BX34">
    <cfRule type="containsText" dxfId="97" priority="114" operator="containsText" text="T">
      <formula>NOT(ISERROR(SEARCH("T",BX34)))</formula>
    </cfRule>
  </conditionalFormatting>
  <conditionalFormatting sqref="BX175:BX181">
    <cfRule type="containsText" dxfId="96" priority="175" operator="containsText" text="17">
      <formula>NOT(ISERROR(SEARCH("17",BX175)))</formula>
    </cfRule>
    <cfRule type="containsText" dxfId="95" priority="176" operator="containsText" text="T">
      <formula>NOT(ISERROR(SEARCH("T",BX175)))</formula>
    </cfRule>
    <cfRule type="containsText" dxfId="94" priority="177" operator="containsText" text="17">
      <formula>NOT(ISERROR(SEARCH("17",BX175)))</formula>
    </cfRule>
    <cfRule type="containsText" dxfId="93" priority="178" operator="containsText" text="T">
      <formula>NOT(ISERROR(SEARCH("T",BX175)))</formula>
    </cfRule>
    <cfRule type="containsText" dxfId="92" priority="179" operator="containsText" text="17">
      <formula>NOT(ISERROR(SEARCH("17",BX175)))</formula>
    </cfRule>
    <cfRule type="containsText" dxfId="91" priority="180" operator="containsText" text="T">
      <formula>NOT(ISERROR(SEARCH("T",BX175)))</formula>
    </cfRule>
  </conditionalFormatting>
  <conditionalFormatting sqref="BX21:BY21 CB21:CD21 CD22:CD27">
    <cfRule type="containsText" dxfId="90" priority="101" operator="containsText" text="17">
      <formula>NOT(ISERROR(SEARCH("17",BX21)))</formula>
    </cfRule>
  </conditionalFormatting>
  <conditionalFormatting sqref="BX175:BZ181">
    <cfRule type="containsText" dxfId="89" priority="166" operator="containsText" text="17">
      <formula>NOT(ISERROR(SEARCH("17",BX175)))</formula>
    </cfRule>
  </conditionalFormatting>
  <conditionalFormatting sqref="BX146:CH151">
    <cfRule type="containsText" dxfId="88" priority="962" operator="containsText" text="17">
      <formula>NOT(ISERROR(SEARCH("17",BX146)))</formula>
    </cfRule>
  </conditionalFormatting>
  <conditionalFormatting sqref="BX147:CJ151">
    <cfRule type="containsText" dxfId="87" priority="959" operator="containsText" text="17">
      <formula>NOT(ISERROR(SEARCH("17",BX147)))</formula>
    </cfRule>
  </conditionalFormatting>
  <conditionalFormatting sqref="BY21">
    <cfRule type="containsText" dxfId="86" priority="102" operator="containsText" text="T">
      <formula>NOT(ISERROR(SEARCH("T",BY21)))</formula>
    </cfRule>
  </conditionalFormatting>
  <conditionalFormatting sqref="BY41 CC41:CE41 BH42:CB47 CE42:CE47">
    <cfRule type="containsText" dxfId="85" priority="88" operator="containsText" text="T">
      <formula>NOT(ISERROR(SEARCH("T",BH41)))</formula>
    </cfRule>
  </conditionalFormatting>
  <conditionalFormatting sqref="BY182:BY188">
    <cfRule type="containsText" dxfId="84" priority="151" operator="containsText" text="17">
      <formula>NOT(ISERROR(SEARCH("17",BY182)))</formula>
    </cfRule>
    <cfRule type="containsText" dxfId="83" priority="152" operator="containsText" text="T">
      <formula>NOT(ISERROR(SEARCH("T",BY182)))</formula>
    </cfRule>
    <cfRule type="containsText" dxfId="82" priority="153" operator="containsText" text="17">
      <formula>NOT(ISERROR(SEARCH("17",BY182)))</formula>
    </cfRule>
    <cfRule type="containsText" dxfId="81" priority="154" operator="containsText" text="T">
      <formula>NOT(ISERROR(SEARCH("T",BY182)))</formula>
    </cfRule>
    <cfRule type="containsText" dxfId="80" priority="155" operator="containsText" text="17">
      <formula>NOT(ISERROR(SEARCH("17",BY182)))</formula>
    </cfRule>
    <cfRule type="containsText" dxfId="79" priority="156" operator="containsText" text="T">
      <formula>NOT(ISERROR(SEARCH("T",BY182)))</formula>
    </cfRule>
  </conditionalFormatting>
  <conditionalFormatting sqref="BY41:BZ41 CC41:CE41 CE42:CE47">
    <cfRule type="containsText" dxfId="78" priority="89" operator="containsText" text="17">
      <formula>NOT(ISERROR(SEARCH("17",BY41)))</formula>
    </cfRule>
  </conditionalFormatting>
  <conditionalFormatting sqref="BY182:CA188">
    <cfRule type="containsText" dxfId="77" priority="142" operator="containsText" text="17">
      <formula>NOT(ISERROR(SEARCH("17",BY182)))</formula>
    </cfRule>
  </conditionalFormatting>
  <conditionalFormatting sqref="BZ41">
    <cfRule type="containsText" dxfId="76" priority="90" operator="containsText" text="T">
      <formula>NOT(ISERROR(SEARCH("T",BZ41)))</formula>
    </cfRule>
  </conditionalFormatting>
  <conditionalFormatting sqref="CA79:CB79 CC79:CI82">
    <cfRule type="containsText" dxfId="75" priority="1018" operator="containsText" text="T">
      <formula>NOT(ISERROR(SEARCH("T",CA79)))</formula>
    </cfRule>
  </conditionalFormatting>
  <conditionalFormatting sqref="CA79:CB79">
    <cfRule type="containsText" dxfId="74" priority="1017" operator="containsText" text="17">
      <formula>NOT(ISERROR(SEARCH("17",CA79)))</formula>
    </cfRule>
  </conditionalFormatting>
  <conditionalFormatting sqref="CA99:CB99 CC99:CI103">
    <cfRule type="containsText" dxfId="73" priority="1000" operator="containsText" text="17">
      <formula>NOT(ISERROR(SEARCH("17",CA99)))</formula>
    </cfRule>
    <cfRule type="containsText" dxfId="72" priority="1001" operator="containsText" text="T">
      <formula>NOT(ISERROR(SEARCH("T",CA99)))</formula>
    </cfRule>
  </conditionalFormatting>
  <conditionalFormatting sqref="CA111:CB111 CC111:CI112">
    <cfRule type="containsText" dxfId="71" priority="990" operator="containsText" text="T">
      <formula>NOT(ISERROR(SEARCH("T",CA111)))</formula>
    </cfRule>
  </conditionalFormatting>
  <conditionalFormatting sqref="CA111:CB111">
    <cfRule type="containsText" dxfId="70" priority="989" operator="containsText" text="17">
      <formula>NOT(ISERROR(SEARCH("17",CA111)))</formula>
    </cfRule>
  </conditionalFormatting>
  <conditionalFormatting sqref="CA120:CG126">
    <cfRule type="containsText" dxfId="69" priority="27" operator="containsText" text="17">
      <formula>NOT(ISERROR(SEARCH("17",CA120)))</formula>
    </cfRule>
    <cfRule type="containsText" dxfId="68" priority="28" operator="containsText" text="T">
      <formula>NOT(ISERROR(SEARCH("T",CA120)))</formula>
    </cfRule>
  </conditionalFormatting>
  <conditionalFormatting sqref="CB15:CB20">
    <cfRule type="containsText" dxfId="67" priority="133" operator="containsText" text="T">
      <formula>NOT(ISERROR(SEARCH("T",CB15)))</formula>
    </cfRule>
  </conditionalFormatting>
  <conditionalFormatting sqref="CB120:CB126">
    <cfRule type="containsText" dxfId="66" priority="25" operator="containsText" text="17">
      <formula>NOT(ISERROR(SEARCH("17",CB120)))</formula>
    </cfRule>
    <cfRule type="containsText" dxfId="65" priority="26" operator="containsText" text="T">
      <formula>NOT(ISERROR(SEARCH("T",CB120)))</formula>
    </cfRule>
  </conditionalFormatting>
  <conditionalFormatting sqref="CB113:CH119">
    <cfRule type="containsText" dxfId="64" priority="7" operator="containsText" text="17">
      <formula>NOT(ISERROR(SEARCH("17",CB113)))</formula>
    </cfRule>
    <cfRule type="containsText" dxfId="63" priority="8" operator="containsText" text="T">
      <formula>NOT(ISERROR(SEARCH("T",CB113)))</formula>
    </cfRule>
  </conditionalFormatting>
  <conditionalFormatting sqref="CC35:CC40">
    <cfRule type="containsText" dxfId="62" priority="121" operator="containsText" text="T">
      <formula>NOT(ISERROR(SEARCH("T",CC35)))</formula>
    </cfRule>
  </conditionalFormatting>
  <conditionalFormatting sqref="CC113:CC119">
    <cfRule type="containsText" dxfId="61" priority="5" operator="containsText" text="17">
      <formula>NOT(ISERROR(SEARCH("17",CC113)))</formula>
    </cfRule>
    <cfRule type="containsText" dxfId="60" priority="6" operator="containsText" text="T">
      <formula>NOT(ISERROR(SEARCH("T",CC113)))</formula>
    </cfRule>
  </conditionalFormatting>
  <conditionalFormatting sqref="CC67:CD67 CE67:CK71 CB73:CC73 CD73:CJ77">
    <cfRule type="containsText" dxfId="59" priority="1024" operator="containsText" text="T">
      <formula>NOT(ISERROR(SEARCH("T",CB67)))</formula>
    </cfRule>
  </conditionalFormatting>
  <conditionalFormatting sqref="CC67:CD67 CE67:CK71 CB73:CC73">
    <cfRule type="containsText" dxfId="58" priority="1023" operator="containsText" text="17">
      <formula>NOT(ISERROR(SEARCH("17",CB67)))</formula>
    </cfRule>
  </conditionalFormatting>
  <conditionalFormatting sqref="CC105:CI109 BQ105:CP105">
    <cfRule type="containsText" dxfId="57" priority="996" operator="containsText" text="T">
      <formula>NOT(ISERROR(SEARCH("T",BQ105)))</formula>
    </cfRule>
  </conditionalFormatting>
  <conditionalFormatting sqref="CD22:CD27">
    <cfRule type="containsText" dxfId="56" priority="109" operator="containsText" text="T">
      <formula>NOT(ISERROR(SEARCH("T",CD22)))</formula>
    </cfRule>
  </conditionalFormatting>
  <conditionalFormatting sqref="CE42:CE47">
    <cfRule type="containsText" dxfId="55" priority="97" operator="containsText" text="T">
      <formula>NOT(ISERROR(SEARCH("T",CE42)))</formula>
    </cfRule>
  </conditionalFormatting>
  <conditionalFormatting sqref="CF28:CF32">
    <cfRule type="containsText" dxfId="54" priority="77" operator="containsText" text="17">
      <formula>NOT(ISERROR(SEARCH("17",CF28)))</formula>
    </cfRule>
  </conditionalFormatting>
  <conditionalFormatting sqref="CF48:CF49">
    <cfRule type="containsText" dxfId="53" priority="72" operator="containsText" text="17">
      <formula>NOT(ISERROR(SEARCH("17",CF48)))</formula>
    </cfRule>
  </conditionalFormatting>
  <conditionalFormatting sqref="CF28:CP32">
    <cfRule type="containsText" dxfId="52" priority="80" operator="containsText" text="T">
      <formula>NOT(ISERROR(SEARCH("T",CF28)))</formula>
    </cfRule>
  </conditionalFormatting>
  <conditionalFormatting sqref="CF41:CP49">
    <cfRule type="containsText" dxfId="51" priority="75" operator="containsText" text="T">
      <formula>NOT(ISERROR(SEARCH("T",CF41)))</formula>
    </cfRule>
  </conditionalFormatting>
  <conditionalFormatting sqref="CG60:CG66">
    <cfRule type="containsText" dxfId="50" priority="67" operator="containsText" text="17">
      <formula>NOT(ISERROR(SEARCH("17",CG60)))</formula>
    </cfRule>
  </conditionalFormatting>
  <conditionalFormatting sqref="CG113:CG126">
    <cfRule type="containsText" dxfId="49" priority="11" operator="containsText" text="T">
      <formula>NOT(ISERROR(SEARCH("T",CG113)))</formula>
    </cfRule>
  </conditionalFormatting>
  <conditionalFormatting sqref="CG120:CH126">
    <cfRule type="containsText" dxfId="48" priority="23" operator="containsText" text="17">
      <formula>NOT(ISERROR(SEARCH("17",CG120)))</formula>
    </cfRule>
  </conditionalFormatting>
  <conditionalFormatting sqref="CG132:CH132 CI132:CO137">
    <cfRule type="containsText" dxfId="47" priority="972" operator="containsText" text="17">
      <formula>NOT(ISERROR(SEARCH("17",CG132)))</formula>
    </cfRule>
    <cfRule type="containsText" dxfId="46" priority="973" operator="containsText" text="T">
      <formula>NOT(ISERROR(SEARCH("T",CG132)))</formula>
    </cfRule>
  </conditionalFormatting>
  <conditionalFormatting sqref="CG60:CP66">
    <cfRule type="containsText" dxfId="45" priority="70" operator="containsText" text="T">
      <formula>NOT(ISERROR(SEARCH("T",CG60)))</formula>
    </cfRule>
  </conditionalFormatting>
  <conditionalFormatting sqref="CH90:CH96">
    <cfRule type="containsText" dxfId="44" priority="62" operator="containsText" text="17">
      <formula>NOT(ISERROR(SEARCH("17",CH90)))</formula>
    </cfRule>
  </conditionalFormatting>
  <conditionalFormatting sqref="CH113:CH119">
    <cfRule type="containsText" dxfId="43" priority="2" operator="containsText" text="T">
      <formula>NOT(ISERROR(SEARCH("T",CH113)))</formula>
    </cfRule>
  </conditionalFormatting>
  <conditionalFormatting sqref="CH120:CH126">
    <cfRule type="containsText" dxfId="42" priority="24" operator="containsText" text="T">
      <formula>NOT(ISERROR(SEARCH("T",CH120)))</formula>
    </cfRule>
  </conditionalFormatting>
  <conditionalFormatting sqref="CH113:CI119">
    <cfRule type="containsText" dxfId="41" priority="3" operator="containsText" text="17">
      <formula>NOT(ISERROR(SEARCH("17",CH113)))</formula>
    </cfRule>
  </conditionalFormatting>
  <conditionalFormatting sqref="CH139:CI139">
    <cfRule type="containsText" dxfId="40" priority="967" operator="containsText" text="17">
      <formula>NOT(ISERROR(SEARCH("17",CH139)))</formula>
    </cfRule>
  </conditionalFormatting>
  <conditionalFormatting sqref="CH153:CI153">
    <cfRule type="containsText" dxfId="39" priority="954" operator="containsText" text="17">
      <formula>NOT(ISERROR(SEARCH("17",CH153)))</formula>
    </cfRule>
  </conditionalFormatting>
  <conditionalFormatting sqref="CH160:CI160 CJ160:CP165">
    <cfRule type="containsText" dxfId="38" priority="947" operator="containsText" text="17">
      <formula>NOT(ISERROR(SEARCH("17",CH160)))</formula>
    </cfRule>
  </conditionalFormatting>
  <conditionalFormatting sqref="CH160:CI160 CK160:CO165">
    <cfRule type="containsText" dxfId="37" priority="948" operator="containsText" text="T">
      <formula>NOT(ISERROR(SEARCH("T",CH160)))</formula>
    </cfRule>
  </conditionalFormatting>
  <conditionalFormatting sqref="CH90:CP96">
    <cfRule type="containsText" dxfId="36" priority="65" operator="containsText" text="T">
      <formula>NOT(ISERROR(SEARCH("T",CH90)))</formula>
    </cfRule>
  </conditionalFormatting>
  <conditionalFormatting sqref="CI83:CI89">
    <cfRule type="containsText" dxfId="35" priority="57" operator="containsText" text="17">
      <formula>NOT(ISERROR(SEARCH("17",CI83)))</formula>
    </cfRule>
    <cfRule type="containsText" dxfId="34" priority="60" operator="containsText" text="T">
      <formula>NOT(ISERROR(SEARCH("T",CI83)))</formula>
    </cfRule>
  </conditionalFormatting>
  <conditionalFormatting sqref="CI113:CI119">
    <cfRule type="containsText" dxfId="33" priority="4" operator="containsText" text="T">
      <formula>NOT(ISERROR(SEARCH("T",CI113)))</formula>
    </cfRule>
  </conditionalFormatting>
  <conditionalFormatting sqref="CI146:CJ146 CK146:CQ151">
    <cfRule type="containsText" dxfId="32" priority="960" operator="containsText" text="17">
      <formula>NOT(ISERROR(SEARCH("17",CI146)))</formula>
    </cfRule>
  </conditionalFormatting>
  <conditionalFormatting sqref="CI146:CJ146 CL146:CP151">
    <cfRule type="containsText" dxfId="31" priority="961" operator="containsText" text="T">
      <formula>NOT(ISERROR(SEARCH("T",CI146)))</formula>
    </cfRule>
  </conditionalFormatting>
  <conditionalFormatting sqref="CJ214:CJ220">
    <cfRule type="containsText" dxfId="30" priority="52" operator="containsText" text="17">
      <formula>NOT(ISERROR(SEARCH("17",CJ214)))</formula>
    </cfRule>
  </conditionalFormatting>
  <conditionalFormatting sqref="CJ214:XFD220">
    <cfRule type="containsText" dxfId="29" priority="55" operator="containsText" text="T">
      <formula>NOT(ISERROR(SEARCH("T",CJ214)))</formula>
    </cfRule>
  </conditionalFormatting>
  <conditionalFormatting sqref="CK120:CK126">
    <cfRule type="containsText" dxfId="28" priority="34" operator="containsText" text="17">
      <formula>NOT(ISERROR(SEARCH("17",CK120)))</formula>
    </cfRule>
    <cfRule type="containsText" dxfId="27" priority="35" operator="containsText" text="T">
      <formula>NOT(ISERROR(SEARCH("T",CK120)))</formula>
    </cfRule>
    <cfRule type="containsText" dxfId="26" priority="36" operator="containsText" text="17">
      <formula>NOT(ISERROR(SEARCH("17",CK120)))</formula>
    </cfRule>
    <cfRule type="containsText" dxfId="25" priority="37" operator="containsText" text="T">
      <formula>NOT(ISERROR(SEARCH("T",CK120)))</formula>
    </cfRule>
    <cfRule type="containsText" dxfId="24" priority="38" operator="containsText" text="17">
      <formula>NOT(ISERROR(SEARCH("17",CK120)))</formula>
    </cfRule>
    <cfRule type="containsText" dxfId="23" priority="39" operator="containsText" text="T">
      <formula>NOT(ISERROR(SEARCH("T",CK120)))</formula>
    </cfRule>
  </conditionalFormatting>
  <conditionalFormatting sqref="CK221:CK227">
    <cfRule type="containsText" dxfId="22" priority="47" operator="containsText" text="17">
      <formula>NOT(ISERROR(SEARCH("17",CK221)))</formula>
    </cfRule>
  </conditionalFormatting>
  <conditionalFormatting sqref="CK120:CM126">
    <cfRule type="containsText" dxfId="21" priority="29" operator="containsText" text="17">
      <formula>NOT(ISERROR(SEARCH("17",CK120)))</formula>
    </cfRule>
  </conditionalFormatting>
  <conditionalFormatting sqref="CK221:CP227">
    <cfRule type="containsText" dxfId="20" priority="50" operator="containsText" text="T">
      <formula>NOT(ISERROR(SEARCH("T",CK221)))</formula>
    </cfRule>
  </conditionalFormatting>
  <conditionalFormatting sqref="CL113:CL119">
    <cfRule type="containsText" dxfId="19" priority="14" operator="containsText" text="17">
      <formula>NOT(ISERROR(SEARCH("17",CL113)))</formula>
    </cfRule>
    <cfRule type="containsText" dxfId="18" priority="15" operator="containsText" text="T">
      <formula>NOT(ISERROR(SEARCH("T",CL113)))</formula>
    </cfRule>
    <cfRule type="containsText" dxfId="17" priority="16" operator="containsText" text="17">
      <formula>NOT(ISERROR(SEARCH("17",CL113)))</formula>
    </cfRule>
    <cfRule type="containsText" dxfId="16" priority="17" operator="containsText" text="T">
      <formula>NOT(ISERROR(SEARCH("T",CL113)))</formula>
    </cfRule>
    <cfRule type="containsText" dxfId="15" priority="18" operator="containsText" text="17">
      <formula>NOT(ISERROR(SEARCH("17",CL113)))</formula>
    </cfRule>
    <cfRule type="containsText" dxfId="14" priority="19" operator="containsText" text="T">
      <formula>NOT(ISERROR(SEARCH("T",CL113)))</formula>
    </cfRule>
  </conditionalFormatting>
  <conditionalFormatting sqref="CL228:CL234">
    <cfRule type="containsText" dxfId="13" priority="42" operator="containsText" text="17">
      <formula>NOT(ISERROR(SEARCH("17",CL228)))</formula>
    </cfRule>
  </conditionalFormatting>
  <conditionalFormatting sqref="CL113:CN119">
    <cfRule type="containsText" dxfId="12" priority="9" operator="containsText" text="17">
      <formula>NOT(ISERROR(SEARCH("17",CL113)))</formula>
    </cfRule>
  </conditionalFormatting>
  <conditionalFormatting sqref="CL228:CP234">
    <cfRule type="containsText" dxfId="11" priority="45" operator="containsText" text="T">
      <formula>NOT(ISERROR(SEARCH("T",CL228)))</formula>
    </cfRule>
  </conditionalFormatting>
  <pageMargins left="0.31496062992125984" right="0.31496062992125984" top="0.15748031496062992" bottom="0.15748031496062992" header="0" footer="0"/>
  <pageSetup paperSize="9" scale="8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N586"/>
  <sheetViews>
    <sheetView tabSelected="1" workbookViewId="0">
      <pane xSplit="2" ySplit="1" topLeftCell="H339" activePane="bottomRight" state="frozen"/>
      <selection pane="topRight" activeCell="C1" sqref="C1"/>
      <selection pane="bottomLeft" activeCell="A2" sqref="A2"/>
      <selection pane="bottomRight" activeCell="R355" sqref="R355"/>
    </sheetView>
  </sheetViews>
  <sheetFormatPr defaultRowHeight="15" x14ac:dyDescent="0.25"/>
  <cols>
    <col min="1" max="1" width="14" customWidth="1"/>
    <col min="2" max="2" width="10.42578125" customWidth="1"/>
    <col min="3" max="3" width="11.42578125" bestFit="1" customWidth="1"/>
    <col min="4" max="8" width="10.42578125" customWidth="1"/>
    <col min="9" max="9" width="13.140625" bestFit="1" customWidth="1"/>
    <col min="10" max="10" width="13.42578125" customWidth="1"/>
    <col min="11" max="13" width="10.42578125" customWidth="1"/>
    <col min="14" max="14" width="11.85546875" bestFit="1" customWidth="1"/>
    <col min="15" max="20" width="10.42578125" customWidth="1"/>
  </cols>
  <sheetData>
    <row r="1" spans="1:14" x14ac:dyDescent="0.25">
      <c r="A1" s="25" t="s">
        <v>212</v>
      </c>
      <c r="B1" s="25" t="s">
        <v>213</v>
      </c>
      <c r="C1" s="25" t="s">
        <v>585</v>
      </c>
      <c r="D1" s="25" t="s">
        <v>580</v>
      </c>
      <c r="E1" s="25" t="s">
        <v>581</v>
      </c>
      <c r="F1" s="25" t="s">
        <v>582</v>
      </c>
      <c r="G1" s="25" t="s">
        <v>583</v>
      </c>
      <c r="H1" s="25" t="s">
        <v>584</v>
      </c>
      <c r="I1" s="25" t="s">
        <v>586</v>
      </c>
      <c r="J1" s="25" t="s">
        <v>590</v>
      </c>
      <c r="K1" s="25" t="s">
        <v>587</v>
      </c>
      <c r="L1" s="25" t="s">
        <v>588</v>
      </c>
      <c r="M1" s="25" t="s">
        <v>589</v>
      </c>
      <c r="N1" s="25" t="s">
        <v>591</v>
      </c>
    </row>
    <row r="2" spans="1:14" x14ac:dyDescent="0.25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</row>
    <row r="3" spans="1:14" x14ac:dyDescent="0.25">
      <c r="A3" s="77">
        <v>45962</v>
      </c>
      <c r="B3" s="25" t="s">
        <v>458</v>
      </c>
      <c r="C3" s="77">
        <f t="shared" ref="C3:C66" si="0">A3+23</f>
        <v>45985</v>
      </c>
      <c r="D3" s="77">
        <f t="shared" ref="D3:D66" si="1">A3+7</f>
        <v>45969</v>
      </c>
      <c r="E3" s="77">
        <f t="shared" ref="E3:E66" si="2">A3+14</f>
        <v>45976</v>
      </c>
      <c r="F3" s="77">
        <f t="shared" ref="F3:F66" si="3">A3+20</f>
        <v>45982</v>
      </c>
      <c r="G3" s="77">
        <f t="shared" ref="G3:G66" si="4">A3+8</f>
        <v>45970</v>
      </c>
      <c r="H3" s="77">
        <f t="shared" ref="H3:H66" si="5">A3+15</f>
        <v>45977</v>
      </c>
      <c r="I3" s="77">
        <v>45991</v>
      </c>
      <c r="J3" s="78">
        <f t="shared" ref="J3:J34" si="6">I3-A3</f>
        <v>29</v>
      </c>
      <c r="K3" s="25">
        <v>19.739999999999998</v>
      </c>
      <c r="L3" s="25">
        <v>10.58</v>
      </c>
      <c r="M3" s="25">
        <f t="shared" ref="M3:M66" si="7">K3-L3</f>
        <v>9.1599999999999984</v>
      </c>
      <c r="N3" s="25" t="s">
        <v>592</v>
      </c>
    </row>
    <row r="4" spans="1:14" x14ac:dyDescent="0.25">
      <c r="A4" s="77">
        <v>45962</v>
      </c>
      <c r="B4" s="25" t="s">
        <v>459</v>
      </c>
      <c r="C4" s="77">
        <f t="shared" si="0"/>
        <v>45985</v>
      </c>
      <c r="D4" s="77">
        <f t="shared" si="1"/>
        <v>45969</v>
      </c>
      <c r="E4" s="77">
        <f t="shared" si="2"/>
        <v>45976</v>
      </c>
      <c r="F4" s="77">
        <f t="shared" si="3"/>
        <v>45982</v>
      </c>
      <c r="G4" s="77">
        <f t="shared" si="4"/>
        <v>45970</v>
      </c>
      <c r="H4" s="77">
        <f t="shared" si="5"/>
        <v>45977</v>
      </c>
      <c r="I4" s="77">
        <v>45991</v>
      </c>
      <c r="J4" s="78">
        <f t="shared" si="6"/>
        <v>29</v>
      </c>
      <c r="K4" s="25">
        <v>19.829999999999998</v>
      </c>
      <c r="L4" s="25">
        <v>10.97</v>
      </c>
      <c r="M4" s="25">
        <f t="shared" si="7"/>
        <v>8.8599999999999977</v>
      </c>
      <c r="N4" s="25" t="s">
        <v>592</v>
      </c>
    </row>
    <row r="5" spans="1:14" x14ac:dyDescent="0.25">
      <c r="A5" s="77">
        <v>45962</v>
      </c>
      <c r="B5" s="25" t="s">
        <v>460</v>
      </c>
      <c r="C5" s="77">
        <f t="shared" si="0"/>
        <v>45985</v>
      </c>
      <c r="D5" s="77">
        <f t="shared" si="1"/>
        <v>45969</v>
      </c>
      <c r="E5" s="77">
        <f t="shared" si="2"/>
        <v>45976</v>
      </c>
      <c r="F5" s="77">
        <f t="shared" si="3"/>
        <v>45982</v>
      </c>
      <c r="G5" s="77">
        <f t="shared" si="4"/>
        <v>45970</v>
      </c>
      <c r="H5" s="77">
        <f t="shared" si="5"/>
        <v>45977</v>
      </c>
      <c r="I5" s="77">
        <v>45991</v>
      </c>
      <c r="J5" s="78">
        <f t="shared" si="6"/>
        <v>29</v>
      </c>
      <c r="K5" s="25">
        <v>18.91</v>
      </c>
      <c r="L5" s="25">
        <v>18.420000000000002</v>
      </c>
      <c r="M5" s="25">
        <f t="shared" si="7"/>
        <v>0.48999999999999844</v>
      </c>
      <c r="N5" s="25" t="s">
        <v>593</v>
      </c>
    </row>
    <row r="6" spans="1:14" x14ac:dyDescent="0.25">
      <c r="A6" s="77">
        <v>45962</v>
      </c>
      <c r="B6" s="25" t="s">
        <v>461</v>
      </c>
      <c r="C6" s="77">
        <f t="shared" si="0"/>
        <v>45985</v>
      </c>
      <c r="D6" s="77">
        <f t="shared" si="1"/>
        <v>45969</v>
      </c>
      <c r="E6" s="77">
        <f t="shared" si="2"/>
        <v>45976</v>
      </c>
      <c r="F6" s="77">
        <f t="shared" si="3"/>
        <v>45982</v>
      </c>
      <c r="G6" s="77">
        <f t="shared" si="4"/>
        <v>45970</v>
      </c>
      <c r="H6" s="77">
        <f t="shared" si="5"/>
        <v>45977</v>
      </c>
      <c r="I6" s="77">
        <v>45991</v>
      </c>
      <c r="J6" s="78">
        <f t="shared" si="6"/>
        <v>29</v>
      </c>
      <c r="K6" s="25">
        <v>17.75</v>
      </c>
      <c r="L6" s="25">
        <v>16.28</v>
      </c>
      <c r="M6" s="25">
        <f t="shared" si="7"/>
        <v>1.4699999999999989</v>
      </c>
      <c r="N6" s="25" t="s">
        <v>593</v>
      </c>
    </row>
    <row r="7" spans="1:14" x14ac:dyDescent="0.25">
      <c r="A7" s="77">
        <v>45962</v>
      </c>
      <c r="B7" s="25" t="s">
        <v>462</v>
      </c>
      <c r="C7" s="77">
        <f t="shared" si="0"/>
        <v>45985</v>
      </c>
      <c r="D7" s="77">
        <f t="shared" si="1"/>
        <v>45969</v>
      </c>
      <c r="E7" s="77">
        <f t="shared" si="2"/>
        <v>45976</v>
      </c>
      <c r="F7" s="77">
        <f t="shared" si="3"/>
        <v>45982</v>
      </c>
      <c r="G7" s="77">
        <f t="shared" si="4"/>
        <v>45970</v>
      </c>
      <c r="H7" s="77">
        <f t="shared" si="5"/>
        <v>45977</v>
      </c>
      <c r="I7" s="77">
        <v>45991</v>
      </c>
      <c r="J7" s="78">
        <f t="shared" si="6"/>
        <v>29</v>
      </c>
      <c r="K7" s="25">
        <v>16.420000000000002</v>
      </c>
      <c r="L7" s="25">
        <v>15.72</v>
      </c>
      <c r="M7" s="25">
        <f t="shared" si="7"/>
        <v>0.70000000000000107</v>
      </c>
      <c r="N7" s="25" t="s">
        <v>593</v>
      </c>
    </row>
    <row r="8" spans="1:14" x14ac:dyDescent="0.25">
      <c r="A8" s="77">
        <v>45962</v>
      </c>
      <c r="B8" s="25" t="s">
        <v>464</v>
      </c>
      <c r="C8" s="77">
        <f t="shared" si="0"/>
        <v>45985</v>
      </c>
      <c r="D8" s="77">
        <f t="shared" si="1"/>
        <v>45969</v>
      </c>
      <c r="E8" s="77">
        <f t="shared" si="2"/>
        <v>45976</v>
      </c>
      <c r="F8" s="77">
        <f t="shared" si="3"/>
        <v>45982</v>
      </c>
      <c r="G8" s="77">
        <f t="shared" si="4"/>
        <v>45970</v>
      </c>
      <c r="H8" s="77">
        <f t="shared" si="5"/>
        <v>45977</v>
      </c>
      <c r="I8" s="77">
        <v>45991</v>
      </c>
      <c r="J8" s="78">
        <f t="shared" si="6"/>
        <v>29</v>
      </c>
      <c r="K8" s="25">
        <v>15.36</v>
      </c>
      <c r="L8" s="25">
        <v>14.51</v>
      </c>
      <c r="M8" s="25">
        <f t="shared" si="7"/>
        <v>0.84999999999999964</v>
      </c>
      <c r="N8" s="25" t="s">
        <v>593</v>
      </c>
    </row>
    <row r="9" spans="1:14" x14ac:dyDescent="0.25">
      <c r="A9" s="77">
        <v>45962</v>
      </c>
      <c r="B9" s="25" t="s">
        <v>463</v>
      </c>
      <c r="C9" s="77">
        <f t="shared" si="0"/>
        <v>45985</v>
      </c>
      <c r="D9" s="77">
        <f t="shared" si="1"/>
        <v>45969</v>
      </c>
      <c r="E9" s="77">
        <f t="shared" si="2"/>
        <v>45976</v>
      </c>
      <c r="F9" s="77">
        <f t="shared" si="3"/>
        <v>45982</v>
      </c>
      <c r="G9" s="77">
        <f t="shared" si="4"/>
        <v>45970</v>
      </c>
      <c r="H9" s="77">
        <f t="shared" si="5"/>
        <v>45977</v>
      </c>
      <c r="I9" s="77">
        <v>45992</v>
      </c>
      <c r="J9" s="78">
        <f t="shared" si="6"/>
        <v>30</v>
      </c>
      <c r="K9" s="25">
        <v>19.91</v>
      </c>
      <c r="L9" s="25">
        <v>10.84</v>
      </c>
      <c r="M9" s="25">
        <f t="shared" si="7"/>
        <v>9.07</v>
      </c>
      <c r="N9" s="25" t="s">
        <v>592</v>
      </c>
    </row>
    <row r="10" spans="1:14" x14ac:dyDescent="0.25">
      <c r="A10" s="77">
        <v>45963</v>
      </c>
      <c r="B10" s="25" t="s">
        <v>424</v>
      </c>
      <c r="C10" s="77">
        <f t="shared" si="0"/>
        <v>45986</v>
      </c>
      <c r="D10" s="77">
        <f t="shared" si="1"/>
        <v>45970</v>
      </c>
      <c r="E10" s="77">
        <f t="shared" si="2"/>
        <v>45977</v>
      </c>
      <c r="F10" s="77">
        <f t="shared" si="3"/>
        <v>45983</v>
      </c>
      <c r="G10" s="77">
        <f t="shared" si="4"/>
        <v>45971</v>
      </c>
      <c r="H10" s="77">
        <f t="shared" si="5"/>
        <v>45978</v>
      </c>
      <c r="I10" s="77">
        <v>45992</v>
      </c>
      <c r="J10" s="78">
        <f t="shared" si="6"/>
        <v>29</v>
      </c>
      <c r="K10" s="25">
        <v>16.170000000000002</v>
      </c>
      <c r="L10" s="25">
        <v>14.96</v>
      </c>
      <c r="M10" s="25">
        <f t="shared" si="7"/>
        <v>1.2100000000000009</v>
      </c>
      <c r="N10" s="25" t="s">
        <v>593</v>
      </c>
    </row>
    <row r="11" spans="1:14" x14ac:dyDescent="0.25">
      <c r="A11" s="77">
        <v>45963</v>
      </c>
      <c r="B11" s="25" t="s">
        <v>425</v>
      </c>
      <c r="C11" s="77">
        <f t="shared" si="0"/>
        <v>45986</v>
      </c>
      <c r="D11" s="77">
        <f t="shared" si="1"/>
        <v>45970</v>
      </c>
      <c r="E11" s="77">
        <f t="shared" si="2"/>
        <v>45977</v>
      </c>
      <c r="F11" s="77">
        <f t="shared" si="3"/>
        <v>45983</v>
      </c>
      <c r="G11" s="77">
        <f t="shared" si="4"/>
        <v>45971</v>
      </c>
      <c r="H11" s="77">
        <f t="shared" si="5"/>
        <v>45978</v>
      </c>
      <c r="I11" s="77">
        <v>45992</v>
      </c>
      <c r="J11" s="78">
        <f t="shared" si="6"/>
        <v>29</v>
      </c>
      <c r="K11" s="25">
        <v>17.53</v>
      </c>
      <c r="L11" s="25">
        <v>16.28</v>
      </c>
      <c r="M11" s="25">
        <f t="shared" si="7"/>
        <v>1.25</v>
      </c>
      <c r="N11" s="25" t="s">
        <v>593</v>
      </c>
    </row>
    <row r="12" spans="1:14" x14ac:dyDescent="0.25">
      <c r="A12" s="77">
        <v>45963</v>
      </c>
      <c r="B12" s="25" t="s">
        <v>426</v>
      </c>
      <c r="C12" s="77">
        <f t="shared" si="0"/>
        <v>45986</v>
      </c>
      <c r="D12" s="77">
        <f t="shared" si="1"/>
        <v>45970</v>
      </c>
      <c r="E12" s="77">
        <f t="shared" si="2"/>
        <v>45977</v>
      </c>
      <c r="F12" s="77">
        <f t="shared" si="3"/>
        <v>45983</v>
      </c>
      <c r="G12" s="77">
        <f t="shared" si="4"/>
        <v>45971</v>
      </c>
      <c r="H12" s="77">
        <f t="shared" si="5"/>
        <v>45978</v>
      </c>
      <c r="I12" s="77">
        <v>45992</v>
      </c>
      <c r="J12" s="78">
        <f t="shared" si="6"/>
        <v>29</v>
      </c>
      <c r="K12" s="25">
        <v>16.760000000000002</v>
      </c>
      <c r="L12" s="25">
        <v>15.35</v>
      </c>
      <c r="M12" s="25">
        <f t="shared" si="7"/>
        <v>1.4100000000000019</v>
      </c>
      <c r="N12" s="25" t="s">
        <v>593</v>
      </c>
    </row>
    <row r="13" spans="1:14" x14ac:dyDescent="0.25">
      <c r="A13" s="77">
        <v>45963</v>
      </c>
      <c r="B13" s="25" t="s">
        <v>427</v>
      </c>
      <c r="C13" s="77">
        <f t="shared" si="0"/>
        <v>45986</v>
      </c>
      <c r="D13" s="77">
        <f t="shared" si="1"/>
        <v>45970</v>
      </c>
      <c r="E13" s="77">
        <f t="shared" si="2"/>
        <v>45977</v>
      </c>
      <c r="F13" s="77">
        <f t="shared" si="3"/>
        <v>45983</v>
      </c>
      <c r="G13" s="77">
        <f t="shared" si="4"/>
        <v>45971</v>
      </c>
      <c r="H13" s="77">
        <f t="shared" si="5"/>
        <v>45978</v>
      </c>
      <c r="I13" s="77">
        <v>45992</v>
      </c>
      <c r="J13" s="78">
        <f t="shared" si="6"/>
        <v>29</v>
      </c>
      <c r="K13" s="25">
        <v>19.739999999999998</v>
      </c>
      <c r="L13" s="25">
        <v>10.51</v>
      </c>
      <c r="M13" s="25">
        <f t="shared" si="7"/>
        <v>9.2299999999999986</v>
      </c>
      <c r="N13" s="25" t="s">
        <v>592</v>
      </c>
    </row>
    <row r="14" spans="1:14" x14ac:dyDescent="0.25">
      <c r="A14" s="77">
        <v>45963</v>
      </c>
      <c r="B14" s="25" t="s">
        <v>421</v>
      </c>
      <c r="C14" s="77">
        <f t="shared" si="0"/>
        <v>45986</v>
      </c>
      <c r="D14" s="77">
        <f t="shared" si="1"/>
        <v>45970</v>
      </c>
      <c r="E14" s="77">
        <f t="shared" si="2"/>
        <v>45977</v>
      </c>
      <c r="F14" s="77">
        <f t="shared" si="3"/>
        <v>45983</v>
      </c>
      <c r="G14" s="77">
        <f t="shared" si="4"/>
        <v>45971</v>
      </c>
      <c r="H14" s="77">
        <f t="shared" si="5"/>
        <v>45978</v>
      </c>
      <c r="I14" s="77">
        <v>45993</v>
      </c>
      <c r="J14" s="78">
        <f t="shared" si="6"/>
        <v>30</v>
      </c>
      <c r="K14" s="25">
        <v>18.91</v>
      </c>
      <c r="L14" s="25">
        <v>17.62</v>
      </c>
      <c r="M14" s="25">
        <f t="shared" si="7"/>
        <v>1.2899999999999991</v>
      </c>
      <c r="N14" s="25" t="s">
        <v>593</v>
      </c>
    </row>
    <row r="15" spans="1:14" x14ac:dyDescent="0.25">
      <c r="A15" s="77">
        <v>45963</v>
      </c>
      <c r="B15" s="25" t="s">
        <v>422</v>
      </c>
      <c r="C15" s="77">
        <f t="shared" si="0"/>
        <v>45986</v>
      </c>
      <c r="D15" s="77">
        <f t="shared" si="1"/>
        <v>45970</v>
      </c>
      <c r="E15" s="77">
        <f t="shared" si="2"/>
        <v>45977</v>
      </c>
      <c r="F15" s="77">
        <f t="shared" si="3"/>
        <v>45983</v>
      </c>
      <c r="G15" s="77">
        <f t="shared" si="4"/>
        <v>45971</v>
      </c>
      <c r="H15" s="77">
        <f t="shared" si="5"/>
        <v>45978</v>
      </c>
      <c r="I15" s="77">
        <v>45993</v>
      </c>
      <c r="J15" s="78">
        <f t="shared" si="6"/>
        <v>30</v>
      </c>
      <c r="K15" s="25">
        <v>19.239999999999998</v>
      </c>
      <c r="L15" s="25">
        <v>9.73</v>
      </c>
      <c r="M15" s="25">
        <f t="shared" si="7"/>
        <v>9.509999999999998</v>
      </c>
      <c r="N15" s="25" t="s">
        <v>592</v>
      </c>
    </row>
    <row r="16" spans="1:14" x14ac:dyDescent="0.25">
      <c r="A16" s="77">
        <v>45963</v>
      </c>
      <c r="B16" s="25" t="s">
        <v>423</v>
      </c>
      <c r="C16" s="77">
        <f t="shared" si="0"/>
        <v>45986</v>
      </c>
      <c r="D16" s="77">
        <f t="shared" si="1"/>
        <v>45970</v>
      </c>
      <c r="E16" s="77">
        <f t="shared" si="2"/>
        <v>45977</v>
      </c>
      <c r="F16" s="77">
        <f t="shared" si="3"/>
        <v>45983</v>
      </c>
      <c r="G16" s="77">
        <f t="shared" si="4"/>
        <v>45971</v>
      </c>
      <c r="H16" s="77">
        <f t="shared" si="5"/>
        <v>45978</v>
      </c>
      <c r="I16" s="77">
        <v>45993</v>
      </c>
      <c r="J16" s="78">
        <f t="shared" si="6"/>
        <v>30</v>
      </c>
      <c r="K16" s="25">
        <v>17.579999999999998</v>
      </c>
      <c r="L16" s="25">
        <v>8.0399999999999991</v>
      </c>
      <c r="M16" s="25">
        <f t="shared" si="7"/>
        <v>9.5399999999999991</v>
      </c>
      <c r="N16" s="25" t="s">
        <v>592</v>
      </c>
    </row>
    <row r="17" spans="1:14" x14ac:dyDescent="0.25">
      <c r="A17" s="77">
        <v>45964</v>
      </c>
      <c r="B17" s="25" t="s">
        <v>452</v>
      </c>
      <c r="C17" s="77">
        <f t="shared" si="0"/>
        <v>45987</v>
      </c>
      <c r="D17" s="77">
        <f t="shared" si="1"/>
        <v>45971</v>
      </c>
      <c r="E17" s="77">
        <f t="shared" si="2"/>
        <v>45978</v>
      </c>
      <c r="F17" s="77">
        <f t="shared" si="3"/>
        <v>45984</v>
      </c>
      <c r="G17" s="77">
        <f t="shared" si="4"/>
        <v>45972</v>
      </c>
      <c r="H17" s="77">
        <f t="shared" si="5"/>
        <v>45979</v>
      </c>
      <c r="I17" s="77">
        <v>45994</v>
      </c>
      <c r="J17" s="78">
        <f t="shared" si="6"/>
        <v>30</v>
      </c>
      <c r="K17" s="25">
        <v>18.21</v>
      </c>
      <c r="L17" s="25">
        <v>17.809999999999999</v>
      </c>
      <c r="M17" s="25">
        <f t="shared" si="7"/>
        <v>0.40000000000000213</v>
      </c>
      <c r="N17" s="25" t="s">
        <v>593</v>
      </c>
    </row>
    <row r="18" spans="1:14" x14ac:dyDescent="0.25">
      <c r="A18" s="77">
        <v>45964</v>
      </c>
      <c r="B18" s="25" t="s">
        <v>453</v>
      </c>
      <c r="C18" s="77">
        <f t="shared" si="0"/>
        <v>45987</v>
      </c>
      <c r="D18" s="77">
        <f t="shared" si="1"/>
        <v>45971</v>
      </c>
      <c r="E18" s="77">
        <f t="shared" si="2"/>
        <v>45978</v>
      </c>
      <c r="F18" s="77">
        <f t="shared" si="3"/>
        <v>45984</v>
      </c>
      <c r="G18" s="77">
        <f t="shared" si="4"/>
        <v>45972</v>
      </c>
      <c r="H18" s="77">
        <f t="shared" si="5"/>
        <v>45979</v>
      </c>
      <c r="I18" s="77">
        <v>45994</v>
      </c>
      <c r="J18" s="78">
        <f t="shared" si="6"/>
        <v>30</v>
      </c>
      <c r="K18" s="25">
        <v>17.93</v>
      </c>
      <c r="L18" s="25">
        <v>16.579999999999998</v>
      </c>
      <c r="M18" s="25">
        <f t="shared" si="7"/>
        <v>1.3500000000000014</v>
      </c>
      <c r="N18" s="25" t="s">
        <v>593</v>
      </c>
    </row>
    <row r="19" spans="1:14" x14ac:dyDescent="0.25">
      <c r="A19" s="77">
        <v>45964</v>
      </c>
      <c r="B19" s="25" t="s">
        <v>454</v>
      </c>
      <c r="C19" s="77">
        <f t="shared" si="0"/>
        <v>45987</v>
      </c>
      <c r="D19" s="77">
        <f t="shared" si="1"/>
        <v>45971</v>
      </c>
      <c r="E19" s="77">
        <f t="shared" si="2"/>
        <v>45978</v>
      </c>
      <c r="F19" s="77">
        <f t="shared" si="3"/>
        <v>45984</v>
      </c>
      <c r="G19" s="77">
        <f t="shared" si="4"/>
        <v>45972</v>
      </c>
      <c r="H19" s="77">
        <f t="shared" si="5"/>
        <v>45979</v>
      </c>
      <c r="I19" s="77">
        <v>45994</v>
      </c>
      <c r="J19" s="78">
        <f t="shared" si="6"/>
        <v>30</v>
      </c>
      <c r="K19" s="25">
        <v>18.559999999999999</v>
      </c>
      <c r="L19" s="25">
        <v>17.21</v>
      </c>
      <c r="M19" s="25">
        <f t="shared" si="7"/>
        <v>1.3499999999999979</v>
      </c>
      <c r="N19" s="25" t="s">
        <v>593</v>
      </c>
    </row>
    <row r="20" spans="1:14" x14ac:dyDescent="0.25">
      <c r="A20" s="77">
        <v>45964</v>
      </c>
      <c r="B20" s="25" t="s">
        <v>455</v>
      </c>
      <c r="C20" s="77">
        <f t="shared" si="0"/>
        <v>45987</v>
      </c>
      <c r="D20" s="77">
        <f t="shared" si="1"/>
        <v>45971</v>
      </c>
      <c r="E20" s="77">
        <f t="shared" si="2"/>
        <v>45978</v>
      </c>
      <c r="F20" s="77">
        <f t="shared" si="3"/>
        <v>45984</v>
      </c>
      <c r="G20" s="77">
        <f t="shared" si="4"/>
        <v>45972</v>
      </c>
      <c r="H20" s="77">
        <f t="shared" si="5"/>
        <v>45979</v>
      </c>
      <c r="I20" s="77">
        <v>45994</v>
      </c>
      <c r="J20" s="78">
        <f t="shared" si="6"/>
        <v>30</v>
      </c>
      <c r="K20" s="25">
        <v>18.11</v>
      </c>
      <c r="L20" s="25">
        <v>8.76</v>
      </c>
      <c r="M20" s="25">
        <f t="shared" si="7"/>
        <v>9.35</v>
      </c>
      <c r="N20" s="25" t="s">
        <v>592</v>
      </c>
    </row>
    <row r="21" spans="1:14" x14ac:dyDescent="0.25">
      <c r="A21" s="77">
        <v>45964</v>
      </c>
      <c r="B21" s="25" t="s">
        <v>456</v>
      </c>
      <c r="C21" s="77">
        <f t="shared" si="0"/>
        <v>45987</v>
      </c>
      <c r="D21" s="77">
        <f t="shared" si="1"/>
        <v>45971</v>
      </c>
      <c r="E21" s="77">
        <f t="shared" si="2"/>
        <v>45978</v>
      </c>
      <c r="F21" s="77">
        <f t="shared" si="3"/>
        <v>45984</v>
      </c>
      <c r="G21" s="77">
        <f t="shared" si="4"/>
        <v>45972</v>
      </c>
      <c r="H21" s="77">
        <f t="shared" si="5"/>
        <v>45979</v>
      </c>
      <c r="I21" s="77">
        <v>45994</v>
      </c>
      <c r="J21" s="78">
        <f t="shared" si="6"/>
        <v>30</v>
      </c>
      <c r="K21" s="25">
        <v>17.510000000000002</v>
      </c>
      <c r="L21" s="25">
        <v>7.91</v>
      </c>
      <c r="M21" s="25">
        <f t="shared" si="7"/>
        <v>9.6000000000000014</v>
      </c>
      <c r="N21" s="25" t="s">
        <v>592</v>
      </c>
    </row>
    <row r="22" spans="1:14" x14ac:dyDescent="0.25">
      <c r="A22" s="77">
        <v>45964</v>
      </c>
      <c r="B22" s="25" t="s">
        <v>457</v>
      </c>
      <c r="C22" s="77">
        <f t="shared" si="0"/>
        <v>45987</v>
      </c>
      <c r="D22" s="77">
        <f t="shared" si="1"/>
        <v>45971</v>
      </c>
      <c r="E22" s="77">
        <f t="shared" si="2"/>
        <v>45978</v>
      </c>
      <c r="F22" s="77">
        <f t="shared" si="3"/>
        <v>45984</v>
      </c>
      <c r="G22" s="77">
        <f t="shared" si="4"/>
        <v>45972</v>
      </c>
      <c r="H22" s="77">
        <f t="shared" si="5"/>
        <v>45979</v>
      </c>
      <c r="I22" s="77">
        <v>45994</v>
      </c>
      <c r="J22" s="78">
        <f t="shared" si="6"/>
        <v>30</v>
      </c>
      <c r="K22" s="25">
        <v>16.59</v>
      </c>
      <c r="L22" s="25">
        <v>7.14</v>
      </c>
      <c r="M22" s="25">
        <f t="shared" si="7"/>
        <v>9.4499999999999993</v>
      </c>
      <c r="N22" s="25" t="s">
        <v>592</v>
      </c>
    </row>
    <row r="23" spans="1:14" x14ac:dyDescent="0.25">
      <c r="A23" s="77">
        <v>45964</v>
      </c>
      <c r="B23" s="25" t="s">
        <v>451</v>
      </c>
      <c r="C23" s="77">
        <f t="shared" si="0"/>
        <v>45987</v>
      </c>
      <c r="D23" s="77">
        <f t="shared" si="1"/>
        <v>45971</v>
      </c>
      <c r="E23" s="77">
        <f t="shared" si="2"/>
        <v>45978</v>
      </c>
      <c r="F23" s="77">
        <f t="shared" si="3"/>
        <v>45984</v>
      </c>
      <c r="G23" s="77">
        <f t="shared" si="4"/>
        <v>45972</v>
      </c>
      <c r="H23" s="77">
        <f t="shared" si="5"/>
        <v>45979</v>
      </c>
      <c r="I23" s="77">
        <v>45995</v>
      </c>
      <c r="J23" s="78">
        <f t="shared" si="6"/>
        <v>31</v>
      </c>
      <c r="K23" s="25">
        <v>16.28</v>
      </c>
      <c r="L23" s="25">
        <v>7.08</v>
      </c>
      <c r="M23" s="25">
        <f t="shared" si="7"/>
        <v>9.2000000000000011</v>
      </c>
      <c r="N23" s="25" t="s">
        <v>592</v>
      </c>
    </row>
    <row r="24" spans="1:14" x14ac:dyDescent="0.25">
      <c r="A24" s="77">
        <v>45965</v>
      </c>
      <c r="B24" s="25" t="s">
        <v>465</v>
      </c>
      <c r="C24" s="77">
        <f t="shared" si="0"/>
        <v>45988</v>
      </c>
      <c r="D24" s="77">
        <f t="shared" si="1"/>
        <v>45972</v>
      </c>
      <c r="E24" s="77">
        <f t="shared" si="2"/>
        <v>45979</v>
      </c>
      <c r="F24" s="77">
        <f t="shared" si="3"/>
        <v>45985</v>
      </c>
      <c r="G24" s="77">
        <f t="shared" si="4"/>
        <v>45973</v>
      </c>
      <c r="H24" s="77">
        <f t="shared" si="5"/>
        <v>45980</v>
      </c>
      <c r="I24" s="77">
        <v>45995</v>
      </c>
      <c r="J24" s="78">
        <f t="shared" si="6"/>
        <v>30</v>
      </c>
      <c r="K24" s="25">
        <v>16.21</v>
      </c>
      <c r="L24" s="25">
        <v>15.12</v>
      </c>
      <c r="M24" s="25">
        <f t="shared" si="7"/>
        <v>1.0900000000000016</v>
      </c>
      <c r="N24" s="25" t="s">
        <v>593</v>
      </c>
    </row>
    <row r="25" spans="1:14" x14ac:dyDescent="0.25">
      <c r="A25" s="77">
        <v>45965</v>
      </c>
      <c r="B25" s="25" t="s">
        <v>467</v>
      </c>
      <c r="C25" s="77">
        <f t="shared" si="0"/>
        <v>45988</v>
      </c>
      <c r="D25" s="77">
        <f t="shared" si="1"/>
        <v>45972</v>
      </c>
      <c r="E25" s="77">
        <f t="shared" si="2"/>
        <v>45979</v>
      </c>
      <c r="F25" s="77">
        <f t="shared" si="3"/>
        <v>45985</v>
      </c>
      <c r="G25" s="77">
        <f t="shared" si="4"/>
        <v>45973</v>
      </c>
      <c r="H25" s="77">
        <f t="shared" si="5"/>
        <v>45980</v>
      </c>
      <c r="I25" s="77">
        <v>45995</v>
      </c>
      <c r="J25" s="78">
        <f t="shared" si="6"/>
        <v>30</v>
      </c>
      <c r="K25" s="25">
        <v>14.28</v>
      </c>
      <c r="L25" s="25">
        <v>13.1</v>
      </c>
      <c r="M25" s="25">
        <f t="shared" si="7"/>
        <v>1.1799999999999997</v>
      </c>
      <c r="N25" s="25" t="s">
        <v>593</v>
      </c>
    </row>
    <row r="26" spans="1:14" x14ac:dyDescent="0.25">
      <c r="A26" s="77">
        <v>45965</v>
      </c>
      <c r="B26" s="25" t="s">
        <v>469</v>
      </c>
      <c r="C26" s="77">
        <f t="shared" si="0"/>
        <v>45988</v>
      </c>
      <c r="D26" s="77">
        <f t="shared" si="1"/>
        <v>45972</v>
      </c>
      <c r="E26" s="77">
        <f t="shared" si="2"/>
        <v>45979</v>
      </c>
      <c r="F26" s="77">
        <f t="shared" si="3"/>
        <v>45985</v>
      </c>
      <c r="G26" s="77">
        <f t="shared" si="4"/>
        <v>45973</v>
      </c>
      <c r="H26" s="77">
        <f t="shared" si="5"/>
        <v>45980</v>
      </c>
      <c r="I26" s="77">
        <v>45995</v>
      </c>
      <c r="J26" s="78">
        <f t="shared" si="6"/>
        <v>30</v>
      </c>
      <c r="K26" s="25">
        <v>15.74</v>
      </c>
      <c r="L26" s="25">
        <v>14.21</v>
      </c>
      <c r="M26" s="25">
        <f t="shared" si="7"/>
        <v>1.5299999999999994</v>
      </c>
      <c r="N26" s="25" t="s">
        <v>593</v>
      </c>
    </row>
    <row r="27" spans="1:14" x14ac:dyDescent="0.25">
      <c r="A27" s="77">
        <v>45965</v>
      </c>
      <c r="B27" s="25" t="s">
        <v>470</v>
      </c>
      <c r="C27" s="77">
        <f t="shared" si="0"/>
        <v>45988</v>
      </c>
      <c r="D27" s="77">
        <f t="shared" si="1"/>
        <v>45972</v>
      </c>
      <c r="E27" s="77">
        <f t="shared" si="2"/>
        <v>45979</v>
      </c>
      <c r="F27" s="77">
        <f t="shared" si="3"/>
        <v>45985</v>
      </c>
      <c r="G27" s="77">
        <f t="shared" si="4"/>
        <v>45973</v>
      </c>
      <c r="H27" s="77">
        <f t="shared" si="5"/>
        <v>45980</v>
      </c>
      <c r="I27" s="77">
        <v>45995</v>
      </c>
      <c r="J27" s="78">
        <f t="shared" si="6"/>
        <v>30</v>
      </c>
      <c r="K27" s="25">
        <v>15.02</v>
      </c>
      <c r="L27" s="25">
        <v>13.98</v>
      </c>
      <c r="M27" s="25">
        <f t="shared" si="7"/>
        <v>1.0399999999999991</v>
      </c>
      <c r="N27" s="25" t="s">
        <v>593</v>
      </c>
    </row>
    <row r="28" spans="1:14" x14ac:dyDescent="0.25">
      <c r="A28" s="77">
        <v>45965</v>
      </c>
      <c r="B28" s="25" t="s">
        <v>471</v>
      </c>
      <c r="C28" s="77">
        <f t="shared" si="0"/>
        <v>45988</v>
      </c>
      <c r="D28" s="77">
        <f t="shared" si="1"/>
        <v>45972</v>
      </c>
      <c r="E28" s="77">
        <f t="shared" si="2"/>
        <v>45979</v>
      </c>
      <c r="F28" s="77">
        <f t="shared" si="3"/>
        <v>45985</v>
      </c>
      <c r="G28" s="77">
        <f t="shared" si="4"/>
        <v>45973</v>
      </c>
      <c r="H28" s="77">
        <f t="shared" si="5"/>
        <v>45980</v>
      </c>
      <c r="I28" s="77">
        <v>45995</v>
      </c>
      <c r="J28" s="78">
        <f t="shared" si="6"/>
        <v>30</v>
      </c>
      <c r="K28" s="25">
        <v>17.21</v>
      </c>
      <c r="L28" s="25">
        <v>16.12</v>
      </c>
      <c r="M28" s="25">
        <f t="shared" si="7"/>
        <v>1.0899999999999999</v>
      </c>
      <c r="N28" s="25" t="s">
        <v>593</v>
      </c>
    </row>
    <row r="29" spans="1:14" x14ac:dyDescent="0.25">
      <c r="A29" s="77">
        <v>45965</v>
      </c>
      <c r="B29" s="25" t="s">
        <v>466</v>
      </c>
      <c r="C29" s="77">
        <f t="shared" si="0"/>
        <v>45988</v>
      </c>
      <c r="D29" s="77">
        <f t="shared" si="1"/>
        <v>45972</v>
      </c>
      <c r="E29" s="77">
        <f t="shared" si="2"/>
        <v>45979</v>
      </c>
      <c r="F29" s="77">
        <f t="shared" si="3"/>
        <v>45985</v>
      </c>
      <c r="G29" s="77">
        <f t="shared" si="4"/>
        <v>45973</v>
      </c>
      <c r="H29" s="77">
        <f t="shared" si="5"/>
        <v>45980</v>
      </c>
      <c r="I29" s="77">
        <v>45996</v>
      </c>
      <c r="J29" s="78">
        <f t="shared" si="6"/>
        <v>31</v>
      </c>
      <c r="K29" s="25">
        <v>12.51</v>
      </c>
      <c r="L29" s="25">
        <v>5.12</v>
      </c>
      <c r="M29" s="25">
        <f t="shared" si="7"/>
        <v>7.39</v>
      </c>
      <c r="N29" s="25" t="s">
        <v>592</v>
      </c>
    </row>
    <row r="30" spans="1:14" x14ac:dyDescent="0.25">
      <c r="A30" s="77">
        <v>45965</v>
      </c>
      <c r="B30" s="25" t="s">
        <v>468</v>
      </c>
      <c r="C30" s="77">
        <f t="shared" si="0"/>
        <v>45988</v>
      </c>
      <c r="D30" s="77">
        <f t="shared" si="1"/>
        <v>45972</v>
      </c>
      <c r="E30" s="77">
        <f t="shared" si="2"/>
        <v>45979</v>
      </c>
      <c r="F30" s="77">
        <f t="shared" si="3"/>
        <v>45985</v>
      </c>
      <c r="G30" s="77">
        <f t="shared" si="4"/>
        <v>45973</v>
      </c>
      <c r="H30" s="77">
        <f t="shared" si="5"/>
        <v>45980</v>
      </c>
      <c r="I30" s="77">
        <v>45996</v>
      </c>
      <c r="J30" s="78">
        <f t="shared" si="6"/>
        <v>31</v>
      </c>
      <c r="K30" s="25">
        <v>11.27</v>
      </c>
      <c r="L30" s="25">
        <v>4.8</v>
      </c>
      <c r="M30" s="25">
        <f t="shared" si="7"/>
        <v>6.47</v>
      </c>
      <c r="N30" s="25" t="s">
        <v>592</v>
      </c>
    </row>
    <row r="31" spans="1:14" x14ac:dyDescent="0.25">
      <c r="A31" s="77">
        <v>45966</v>
      </c>
      <c r="B31" s="25" t="s">
        <v>417</v>
      </c>
      <c r="C31" s="77">
        <f t="shared" si="0"/>
        <v>45989</v>
      </c>
      <c r="D31" s="77">
        <f t="shared" si="1"/>
        <v>45973</v>
      </c>
      <c r="E31" s="77">
        <f t="shared" si="2"/>
        <v>45980</v>
      </c>
      <c r="F31" s="77">
        <f t="shared" si="3"/>
        <v>45986</v>
      </c>
      <c r="G31" s="77">
        <f t="shared" si="4"/>
        <v>45974</v>
      </c>
      <c r="H31" s="77">
        <f t="shared" si="5"/>
        <v>45981</v>
      </c>
      <c r="I31" s="77">
        <v>45995</v>
      </c>
      <c r="J31" s="78">
        <f t="shared" si="6"/>
        <v>29</v>
      </c>
      <c r="K31" s="25">
        <v>17.510000000000002</v>
      </c>
      <c r="L31" s="25">
        <v>16.059999999999999</v>
      </c>
      <c r="M31" s="25">
        <f t="shared" si="7"/>
        <v>1.4500000000000028</v>
      </c>
      <c r="N31" s="25" t="s">
        <v>593</v>
      </c>
    </row>
    <row r="32" spans="1:14" x14ac:dyDescent="0.25">
      <c r="A32" s="77">
        <v>45966</v>
      </c>
      <c r="B32" s="25" t="s">
        <v>418</v>
      </c>
      <c r="C32" s="77">
        <f t="shared" si="0"/>
        <v>45989</v>
      </c>
      <c r="D32" s="77">
        <f t="shared" si="1"/>
        <v>45973</v>
      </c>
      <c r="E32" s="77">
        <f t="shared" si="2"/>
        <v>45980</v>
      </c>
      <c r="F32" s="77">
        <f t="shared" si="3"/>
        <v>45986</v>
      </c>
      <c r="G32" s="77">
        <f t="shared" si="4"/>
        <v>45974</v>
      </c>
      <c r="H32" s="77">
        <f t="shared" si="5"/>
        <v>45981</v>
      </c>
      <c r="I32" s="77">
        <v>45995</v>
      </c>
      <c r="J32" s="78">
        <f t="shared" si="6"/>
        <v>29</v>
      </c>
      <c r="K32" s="25">
        <v>15.24</v>
      </c>
      <c r="L32" s="25">
        <v>14.81</v>
      </c>
      <c r="M32" s="25">
        <f t="shared" si="7"/>
        <v>0.42999999999999972</v>
      </c>
      <c r="N32" s="25" t="s">
        <v>593</v>
      </c>
    </row>
    <row r="33" spans="1:14" x14ac:dyDescent="0.25">
      <c r="A33" s="77">
        <v>45966</v>
      </c>
      <c r="B33" s="25" t="s">
        <v>419</v>
      </c>
      <c r="C33" s="77">
        <f t="shared" si="0"/>
        <v>45989</v>
      </c>
      <c r="D33" s="77">
        <f t="shared" si="1"/>
        <v>45973</v>
      </c>
      <c r="E33" s="77">
        <f t="shared" si="2"/>
        <v>45980</v>
      </c>
      <c r="F33" s="77">
        <f t="shared" si="3"/>
        <v>45986</v>
      </c>
      <c r="G33" s="77">
        <f t="shared" si="4"/>
        <v>45974</v>
      </c>
      <c r="H33" s="77">
        <f t="shared" si="5"/>
        <v>45981</v>
      </c>
      <c r="I33" s="77">
        <v>45995</v>
      </c>
      <c r="J33" s="78">
        <f t="shared" si="6"/>
        <v>29</v>
      </c>
      <c r="K33" s="25">
        <v>16.91</v>
      </c>
      <c r="L33" s="25">
        <v>7.68</v>
      </c>
      <c r="M33" s="25">
        <f t="shared" si="7"/>
        <v>9.23</v>
      </c>
      <c r="N33" s="25" t="s">
        <v>592</v>
      </c>
    </row>
    <row r="34" spans="1:14" x14ac:dyDescent="0.25">
      <c r="A34" s="77">
        <v>45966</v>
      </c>
      <c r="B34" s="25" t="s">
        <v>420</v>
      </c>
      <c r="C34" s="77">
        <f t="shared" si="0"/>
        <v>45989</v>
      </c>
      <c r="D34" s="77">
        <f t="shared" si="1"/>
        <v>45973</v>
      </c>
      <c r="E34" s="77">
        <f t="shared" si="2"/>
        <v>45980</v>
      </c>
      <c r="F34" s="77">
        <f t="shared" si="3"/>
        <v>45986</v>
      </c>
      <c r="G34" s="77">
        <f t="shared" si="4"/>
        <v>45974</v>
      </c>
      <c r="H34" s="77">
        <f t="shared" si="5"/>
        <v>45981</v>
      </c>
      <c r="I34" s="77">
        <v>45995</v>
      </c>
      <c r="J34" s="78">
        <f t="shared" si="6"/>
        <v>29</v>
      </c>
      <c r="K34" s="25">
        <v>18.510000000000002</v>
      </c>
      <c r="L34" s="25">
        <v>8.51</v>
      </c>
      <c r="M34" s="25">
        <f t="shared" si="7"/>
        <v>10.000000000000002</v>
      </c>
      <c r="N34" s="25" t="s">
        <v>592</v>
      </c>
    </row>
    <row r="35" spans="1:14" x14ac:dyDescent="0.25">
      <c r="A35" s="77">
        <v>45966</v>
      </c>
      <c r="B35" s="25" t="s">
        <v>414</v>
      </c>
      <c r="C35" s="77">
        <f t="shared" si="0"/>
        <v>45989</v>
      </c>
      <c r="D35" s="77">
        <f t="shared" si="1"/>
        <v>45973</v>
      </c>
      <c r="E35" s="77">
        <f t="shared" si="2"/>
        <v>45980</v>
      </c>
      <c r="F35" s="77">
        <f t="shared" si="3"/>
        <v>45986</v>
      </c>
      <c r="G35" s="77">
        <f t="shared" si="4"/>
        <v>45974</v>
      </c>
      <c r="H35" s="77">
        <f t="shared" si="5"/>
        <v>45981</v>
      </c>
      <c r="I35" s="77">
        <v>45996</v>
      </c>
      <c r="J35" s="78">
        <f t="shared" ref="J35:J66" si="8">I35-A35</f>
        <v>30</v>
      </c>
      <c r="K35" s="25">
        <v>15.19</v>
      </c>
      <c r="L35" s="25">
        <v>14.76</v>
      </c>
      <c r="M35" s="25">
        <f t="shared" si="7"/>
        <v>0.42999999999999972</v>
      </c>
      <c r="N35" s="25" t="s">
        <v>593</v>
      </c>
    </row>
    <row r="36" spans="1:14" x14ac:dyDescent="0.25">
      <c r="A36" s="77">
        <v>45966</v>
      </c>
      <c r="B36" s="25" t="s">
        <v>415</v>
      </c>
      <c r="C36" s="77">
        <f t="shared" si="0"/>
        <v>45989</v>
      </c>
      <c r="D36" s="77">
        <f t="shared" si="1"/>
        <v>45973</v>
      </c>
      <c r="E36" s="77">
        <f t="shared" si="2"/>
        <v>45980</v>
      </c>
      <c r="F36" s="77">
        <f t="shared" si="3"/>
        <v>45986</v>
      </c>
      <c r="G36" s="77">
        <f t="shared" si="4"/>
        <v>45974</v>
      </c>
      <c r="H36" s="77">
        <f t="shared" si="5"/>
        <v>45981</v>
      </c>
      <c r="I36" s="77">
        <v>45996</v>
      </c>
      <c r="J36" s="78">
        <f t="shared" si="8"/>
        <v>30</v>
      </c>
      <c r="K36" s="25">
        <v>15.07</v>
      </c>
      <c r="L36" s="25">
        <v>13.91</v>
      </c>
      <c r="M36" s="25">
        <f t="shared" si="7"/>
        <v>1.1600000000000001</v>
      </c>
      <c r="N36" s="25" t="s">
        <v>593</v>
      </c>
    </row>
    <row r="37" spans="1:14" x14ac:dyDescent="0.25">
      <c r="A37" s="77">
        <v>45966</v>
      </c>
      <c r="B37" s="25" t="s">
        <v>416</v>
      </c>
      <c r="C37" s="77">
        <f t="shared" si="0"/>
        <v>45989</v>
      </c>
      <c r="D37" s="77">
        <f t="shared" si="1"/>
        <v>45973</v>
      </c>
      <c r="E37" s="77">
        <f t="shared" si="2"/>
        <v>45980</v>
      </c>
      <c r="F37" s="77">
        <f t="shared" si="3"/>
        <v>45986</v>
      </c>
      <c r="G37" s="77">
        <f t="shared" si="4"/>
        <v>45974</v>
      </c>
      <c r="H37" s="77">
        <f t="shared" si="5"/>
        <v>45981</v>
      </c>
      <c r="I37" s="77">
        <v>45996</v>
      </c>
      <c r="J37" s="78">
        <f t="shared" si="8"/>
        <v>30</v>
      </c>
      <c r="K37" s="25">
        <v>14.33</v>
      </c>
      <c r="L37" s="25">
        <v>13.12</v>
      </c>
      <c r="M37" s="25">
        <f t="shared" si="7"/>
        <v>1.2100000000000009</v>
      </c>
      <c r="N37" s="25" t="s">
        <v>593</v>
      </c>
    </row>
    <row r="38" spans="1:14" x14ac:dyDescent="0.25">
      <c r="A38" s="77">
        <v>45967</v>
      </c>
      <c r="B38" s="25" t="s">
        <v>448</v>
      </c>
      <c r="C38" s="77">
        <f t="shared" si="0"/>
        <v>45990</v>
      </c>
      <c r="D38" s="77">
        <f t="shared" si="1"/>
        <v>45974</v>
      </c>
      <c r="E38" s="77">
        <f t="shared" si="2"/>
        <v>45981</v>
      </c>
      <c r="F38" s="77">
        <f t="shared" si="3"/>
        <v>45987</v>
      </c>
      <c r="G38" s="77">
        <f t="shared" si="4"/>
        <v>45975</v>
      </c>
      <c r="H38" s="77">
        <f t="shared" si="5"/>
        <v>45982</v>
      </c>
      <c r="I38" s="77">
        <v>45996</v>
      </c>
      <c r="J38" s="78">
        <f t="shared" si="8"/>
        <v>29</v>
      </c>
      <c r="K38" s="25">
        <v>16.11</v>
      </c>
      <c r="L38" s="25">
        <v>14.97</v>
      </c>
      <c r="M38" s="25">
        <f t="shared" si="7"/>
        <v>1.1399999999999988</v>
      </c>
      <c r="N38" s="25" t="s">
        <v>593</v>
      </c>
    </row>
    <row r="39" spans="1:14" x14ac:dyDescent="0.25">
      <c r="A39" s="77">
        <v>45967</v>
      </c>
      <c r="B39" s="25" t="s">
        <v>449</v>
      </c>
      <c r="C39" s="77">
        <f t="shared" si="0"/>
        <v>45990</v>
      </c>
      <c r="D39" s="77">
        <f t="shared" si="1"/>
        <v>45974</v>
      </c>
      <c r="E39" s="77">
        <f t="shared" si="2"/>
        <v>45981</v>
      </c>
      <c r="F39" s="77">
        <f t="shared" si="3"/>
        <v>45987</v>
      </c>
      <c r="G39" s="77">
        <f t="shared" si="4"/>
        <v>45975</v>
      </c>
      <c r="H39" s="77">
        <f t="shared" si="5"/>
        <v>45982</v>
      </c>
      <c r="I39" s="77">
        <v>45996</v>
      </c>
      <c r="J39" s="78">
        <f t="shared" si="8"/>
        <v>29</v>
      </c>
      <c r="K39" s="25">
        <v>14.56</v>
      </c>
      <c r="L39" s="25">
        <v>13.82</v>
      </c>
      <c r="M39" s="25">
        <f t="shared" si="7"/>
        <v>0.74000000000000021</v>
      </c>
      <c r="N39" s="25" t="s">
        <v>593</v>
      </c>
    </row>
    <row r="40" spans="1:14" x14ac:dyDescent="0.25">
      <c r="A40" s="77">
        <v>45967</v>
      </c>
      <c r="B40" s="25" t="s">
        <v>444</v>
      </c>
      <c r="C40" s="77">
        <f t="shared" si="0"/>
        <v>45990</v>
      </c>
      <c r="D40" s="77">
        <f t="shared" si="1"/>
        <v>45974</v>
      </c>
      <c r="E40" s="77">
        <f t="shared" si="2"/>
        <v>45981</v>
      </c>
      <c r="F40" s="77">
        <f t="shared" si="3"/>
        <v>45987</v>
      </c>
      <c r="G40" s="77">
        <f t="shared" si="4"/>
        <v>45975</v>
      </c>
      <c r="H40" s="77">
        <f t="shared" si="5"/>
        <v>45982</v>
      </c>
      <c r="I40" s="77">
        <v>45997</v>
      </c>
      <c r="J40" s="78">
        <f t="shared" si="8"/>
        <v>30</v>
      </c>
      <c r="K40" s="25">
        <v>15.21</v>
      </c>
      <c r="L40" s="25">
        <v>6.98</v>
      </c>
      <c r="M40" s="25">
        <f t="shared" si="7"/>
        <v>8.23</v>
      </c>
      <c r="N40" s="25" t="s">
        <v>592</v>
      </c>
    </row>
    <row r="41" spans="1:14" x14ac:dyDescent="0.25">
      <c r="A41" s="77">
        <v>45967</v>
      </c>
      <c r="B41" s="25" t="s">
        <v>445</v>
      </c>
      <c r="C41" s="77">
        <f t="shared" si="0"/>
        <v>45990</v>
      </c>
      <c r="D41" s="77">
        <f t="shared" si="1"/>
        <v>45974</v>
      </c>
      <c r="E41" s="77">
        <f t="shared" si="2"/>
        <v>45981</v>
      </c>
      <c r="F41" s="77">
        <f t="shared" si="3"/>
        <v>45987</v>
      </c>
      <c r="G41" s="77">
        <f t="shared" si="4"/>
        <v>45975</v>
      </c>
      <c r="H41" s="77">
        <f t="shared" si="5"/>
        <v>45982</v>
      </c>
      <c r="I41" s="77">
        <v>45997</v>
      </c>
      <c r="J41" s="78">
        <f t="shared" si="8"/>
        <v>30</v>
      </c>
      <c r="K41" s="25">
        <v>13.98</v>
      </c>
      <c r="L41" s="25">
        <v>5.71</v>
      </c>
      <c r="M41" s="25">
        <f t="shared" si="7"/>
        <v>8.27</v>
      </c>
      <c r="N41" s="25" t="s">
        <v>592</v>
      </c>
    </row>
    <row r="42" spans="1:14" x14ac:dyDescent="0.25">
      <c r="A42" s="77">
        <v>45967</v>
      </c>
      <c r="B42" s="25" t="s">
        <v>446</v>
      </c>
      <c r="C42" s="77">
        <f t="shared" si="0"/>
        <v>45990</v>
      </c>
      <c r="D42" s="77">
        <f t="shared" si="1"/>
        <v>45974</v>
      </c>
      <c r="E42" s="77">
        <f t="shared" si="2"/>
        <v>45981</v>
      </c>
      <c r="F42" s="77">
        <f t="shared" si="3"/>
        <v>45987</v>
      </c>
      <c r="G42" s="77">
        <f t="shared" si="4"/>
        <v>45975</v>
      </c>
      <c r="H42" s="77">
        <f t="shared" si="5"/>
        <v>45982</v>
      </c>
      <c r="I42" s="77">
        <v>45997</v>
      </c>
      <c r="J42" s="78">
        <f t="shared" si="8"/>
        <v>30</v>
      </c>
      <c r="K42" s="25">
        <v>16.2</v>
      </c>
      <c r="L42" s="25">
        <v>8.1199999999999992</v>
      </c>
      <c r="M42" s="25">
        <f t="shared" si="7"/>
        <v>8.08</v>
      </c>
      <c r="N42" s="25" t="s">
        <v>592</v>
      </c>
    </row>
    <row r="43" spans="1:14" x14ac:dyDescent="0.25">
      <c r="A43" s="77">
        <v>45967</v>
      </c>
      <c r="B43" s="25" t="s">
        <v>447</v>
      </c>
      <c r="C43" s="77">
        <f t="shared" si="0"/>
        <v>45990</v>
      </c>
      <c r="D43" s="77">
        <f t="shared" si="1"/>
        <v>45974</v>
      </c>
      <c r="E43" s="77">
        <f t="shared" si="2"/>
        <v>45981</v>
      </c>
      <c r="F43" s="77">
        <f t="shared" si="3"/>
        <v>45987</v>
      </c>
      <c r="G43" s="77">
        <f t="shared" si="4"/>
        <v>45975</v>
      </c>
      <c r="H43" s="77">
        <f t="shared" si="5"/>
        <v>45982</v>
      </c>
      <c r="I43" s="77">
        <v>45997</v>
      </c>
      <c r="J43" s="78">
        <f t="shared" si="8"/>
        <v>30</v>
      </c>
      <c r="K43" s="25">
        <v>14.91</v>
      </c>
      <c r="L43" s="25">
        <v>7.08</v>
      </c>
      <c r="M43" s="25">
        <f t="shared" si="7"/>
        <v>7.83</v>
      </c>
      <c r="N43" s="25" t="s">
        <v>592</v>
      </c>
    </row>
    <row r="44" spans="1:14" x14ac:dyDescent="0.25">
      <c r="A44" s="77">
        <v>45967</v>
      </c>
      <c r="B44" s="25" t="s">
        <v>450</v>
      </c>
      <c r="C44" s="77">
        <f t="shared" si="0"/>
        <v>45990</v>
      </c>
      <c r="D44" s="77">
        <f t="shared" si="1"/>
        <v>45974</v>
      </c>
      <c r="E44" s="77">
        <f t="shared" si="2"/>
        <v>45981</v>
      </c>
      <c r="F44" s="77">
        <f t="shared" si="3"/>
        <v>45987</v>
      </c>
      <c r="G44" s="77">
        <f t="shared" si="4"/>
        <v>45975</v>
      </c>
      <c r="H44" s="77">
        <f t="shared" si="5"/>
        <v>45982</v>
      </c>
      <c r="I44" s="77">
        <v>45997</v>
      </c>
      <c r="J44" s="78">
        <f t="shared" si="8"/>
        <v>30</v>
      </c>
      <c r="K44" s="25">
        <v>15.24</v>
      </c>
      <c r="L44" s="25">
        <v>7.62</v>
      </c>
      <c r="M44" s="25">
        <f t="shared" si="7"/>
        <v>7.62</v>
      </c>
      <c r="N44" s="25" t="s">
        <v>592</v>
      </c>
    </row>
    <row r="45" spans="1:14" x14ac:dyDescent="0.25">
      <c r="A45" s="77">
        <v>45968</v>
      </c>
      <c r="B45" s="25" t="s">
        <v>412</v>
      </c>
      <c r="C45" s="77">
        <f t="shared" si="0"/>
        <v>45991</v>
      </c>
      <c r="D45" s="77">
        <f t="shared" si="1"/>
        <v>45975</v>
      </c>
      <c r="E45" s="77">
        <f t="shared" si="2"/>
        <v>45982</v>
      </c>
      <c r="F45" s="77">
        <f t="shared" si="3"/>
        <v>45988</v>
      </c>
      <c r="G45" s="77">
        <f t="shared" si="4"/>
        <v>45976</v>
      </c>
      <c r="H45" s="77">
        <f t="shared" si="5"/>
        <v>45983</v>
      </c>
      <c r="I45" s="77">
        <v>45997</v>
      </c>
      <c r="J45" s="78">
        <f t="shared" si="8"/>
        <v>29</v>
      </c>
      <c r="K45" s="25">
        <v>14.56</v>
      </c>
      <c r="L45" s="25">
        <v>7.03</v>
      </c>
      <c r="M45" s="25">
        <f t="shared" si="7"/>
        <v>7.53</v>
      </c>
      <c r="N45" s="25" t="s">
        <v>593</v>
      </c>
    </row>
    <row r="46" spans="1:14" x14ac:dyDescent="0.25">
      <c r="A46" s="77">
        <v>45968</v>
      </c>
      <c r="B46" s="25" t="s">
        <v>413</v>
      </c>
      <c r="C46" s="77">
        <f t="shared" si="0"/>
        <v>45991</v>
      </c>
      <c r="D46" s="77">
        <f t="shared" si="1"/>
        <v>45975</v>
      </c>
      <c r="E46" s="77">
        <f t="shared" si="2"/>
        <v>45982</v>
      </c>
      <c r="F46" s="77">
        <f t="shared" si="3"/>
        <v>45988</v>
      </c>
      <c r="G46" s="77">
        <f t="shared" si="4"/>
        <v>45976</v>
      </c>
      <c r="H46" s="77">
        <f t="shared" si="5"/>
        <v>45983</v>
      </c>
      <c r="I46" s="77">
        <v>45997</v>
      </c>
      <c r="J46" s="78">
        <f t="shared" si="8"/>
        <v>29</v>
      </c>
      <c r="K46" s="25">
        <v>15.27</v>
      </c>
      <c r="L46" s="25">
        <v>14.31</v>
      </c>
      <c r="M46" s="25">
        <f t="shared" si="7"/>
        <v>0.95999999999999908</v>
      </c>
      <c r="N46" s="25" t="s">
        <v>593</v>
      </c>
    </row>
    <row r="47" spans="1:14" x14ac:dyDescent="0.25">
      <c r="A47" s="77">
        <v>45968</v>
      </c>
      <c r="B47" s="25" t="s">
        <v>442</v>
      </c>
      <c r="C47" s="77">
        <f t="shared" si="0"/>
        <v>45991</v>
      </c>
      <c r="D47" s="77">
        <f t="shared" si="1"/>
        <v>45975</v>
      </c>
      <c r="E47" s="77">
        <f t="shared" si="2"/>
        <v>45982</v>
      </c>
      <c r="F47" s="77">
        <f t="shared" si="3"/>
        <v>45988</v>
      </c>
      <c r="G47" s="77">
        <f t="shared" si="4"/>
        <v>45976</v>
      </c>
      <c r="H47" s="77">
        <f t="shared" si="5"/>
        <v>45983</v>
      </c>
      <c r="I47" s="77">
        <v>45997</v>
      </c>
      <c r="J47" s="78">
        <f t="shared" si="8"/>
        <v>29</v>
      </c>
      <c r="K47" s="25">
        <v>14.32</v>
      </c>
      <c r="L47" s="25">
        <v>13.59</v>
      </c>
      <c r="M47" s="25">
        <f t="shared" si="7"/>
        <v>0.73000000000000043</v>
      </c>
      <c r="N47" s="25" t="s">
        <v>593</v>
      </c>
    </row>
    <row r="48" spans="1:14" x14ac:dyDescent="0.25">
      <c r="A48" s="77">
        <v>45968</v>
      </c>
      <c r="B48" s="25" t="s">
        <v>443</v>
      </c>
      <c r="C48" s="77">
        <f t="shared" si="0"/>
        <v>45991</v>
      </c>
      <c r="D48" s="77">
        <f t="shared" si="1"/>
        <v>45975</v>
      </c>
      <c r="E48" s="77">
        <f t="shared" si="2"/>
        <v>45982</v>
      </c>
      <c r="F48" s="77">
        <f t="shared" si="3"/>
        <v>45988</v>
      </c>
      <c r="G48" s="77">
        <f t="shared" si="4"/>
        <v>45976</v>
      </c>
      <c r="H48" s="77">
        <f t="shared" si="5"/>
        <v>45983</v>
      </c>
      <c r="I48" s="77">
        <v>45997</v>
      </c>
      <c r="J48" s="78">
        <f t="shared" si="8"/>
        <v>29</v>
      </c>
      <c r="K48" s="25">
        <v>15.29</v>
      </c>
      <c r="L48" s="25">
        <v>14.62</v>
      </c>
      <c r="M48" s="25">
        <f t="shared" si="7"/>
        <v>0.66999999999999993</v>
      </c>
      <c r="N48" s="25" t="s">
        <v>593</v>
      </c>
    </row>
    <row r="49" spans="1:14" x14ac:dyDescent="0.25">
      <c r="A49" s="77">
        <v>45968</v>
      </c>
      <c r="B49" s="25" t="s">
        <v>472</v>
      </c>
      <c r="C49" s="77">
        <f t="shared" si="0"/>
        <v>45991</v>
      </c>
      <c r="D49" s="77">
        <f t="shared" si="1"/>
        <v>45975</v>
      </c>
      <c r="E49" s="77">
        <f t="shared" si="2"/>
        <v>45982</v>
      </c>
      <c r="F49" s="77">
        <f t="shared" si="3"/>
        <v>45988</v>
      </c>
      <c r="G49" s="77">
        <f t="shared" si="4"/>
        <v>45976</v>
      </c>
      <c r="H49" s="77">
        <f t="shared" si="5"/>
        <v>45983</v>
      </c>
      <c r="I49" s="77">
        <v>45997</v>
      </c>
      <c r="J49" s="78">
        <f t="shared" si="8"/>
        <v>29</v>
      </c>
      <c r="K49" s="25">
        <v>11.74</v>
      </c>
      <c r="L49" s="25">
        <v>10.28</v>
      </c>
      <c r="M49" s="25">
        <f t="shared" si="7"/>
        <v>1.4600000000000009</v>
      </c>
      <c r="N49" s="25" t="s">
        <v>593</v>
      </c>
    </row>
    <row r="50" spans="1:14" x14ac:dyDescent="0.25">
      <c r="A50" s="77">
        <v>45968</v>
      </c>
      <c r="B50" s="25" t="s">
        <v>473</v>
      </c>
      <c r="C50" s="77">
        <f t="shared" si="0"/>
        <v>45991</v>
      </c>
      <c r="D50" s="77">
        <f t="shared" si="1"/>
        <v>45975</v>
      </c>
      <c r="E50" s="77">
        <f t="shared" si="2"/>
        <v>45982</v>
      </c>
      <c r="F50" s="77">
        <f t="shared" si="3"/>
        <v>45988</v>
      </c>
      <c r="G50" s="77">
        <f t="shared" si="4"/>
        <v>45976</v>
      </c>
      <c r="H50" s="77">
        <f t="shared" si="5"/>
        <v>45983</v>
      </c>
      <c r="I50" s="77">
        <v>45997</v>
      </c>
      <c r="J50" s="78">
        <f t="shared" si="8"/>
        <v>29</v>
      </c>
      <c r="K50" s="25">
        <v>11.28</v>
      </c>
      <c r="L50" s="25">
        <v>10.14</v>
      </c>
      <c r="M50" s="25">
        <f t="shared" si="7"/>
        <v>1.1399999999999988</v>
      </c>
      <c r="N50" s="25" t="s">
        <v>593</v>
      </c>
    </row>
    <row r="51" spans="1:14" x14ac:dyDescent="0.25">
      <c r="A51" s="77">
        <v>45968</v>
      </c>
      <c r="B51" s="25" t="s">
        <v>474</v>
      </c>
      <c r="C51" s="77">
        <f t="shared" si="0"/>
        <v>45991</v>
      </c>
      <c r="D51" s="77">
        <f t="shared" si="1"/>
        <v>45975</v>
      </c>
      <c r="E51" s="77">
        <f t="shared" si="2"/>
        <v>45982</v>
      </c>
      <c r="F51" s="77">
        <f t="shared" si="3"/>
        <v>45988</v>
      </c>
      <c r="G51" s="77">
        <f t="shared" si="4"/>
        <v>45976</v>
      </c>
      <c r="H51" s="77">
        <f t="shared" si="5"/>
        <v>45983</v>
      </c>
      <c r="I51" s="77">
        <v>45997</v>
      </c>
      <c r="J51" s="78">
        <f t="shared" si="8"/>
        <v>29</v>
      </c>
      <c r="K51" s="25">
        <v>8.2100000000000009</v>
      </c>
      <c r="L51" s="25">
        <v>7.05</v>
      </c>
      <c r="M51" s="25">
        <f t="shared" si="7"/>
        <v>1.160000000000001</v>
      </c>
      <c r="N51" s="25" t="s">
        <v>593</v>
      </c>
    </row>
    <row r="52" spans="1:14" x14ac:dyDescent="0.25">
      <c r="A52" s="77">
        <v>45969</v>
      </c>
      <c r="B52" s="25" t="s">
        <v>476</v>
      </c>
      <c r="C52" s="77">
        <f t="shared" si="0"/>
        <v>45992</v>
      </c>
      <c r="D52" s="77">
        <f t="shared" si="1"/>
        <v>45976</v>
      </c>
      <c r="E52" s="77">
        <f t="shared" si="2"/>
        <v>45983</v>
      </c>
      <c r="F52" s="77">
        <f t="shared" si="3"/>
        <v>45989</v>
      </c>
      <c r="G52" s="77">
        <f t="shared" si="4"/>
        <v>45977</v>
      </c>
      <c r="H52" s="77">
        <f t="shared" si="5"/>
        <v>45984</v>
      </c>
      <c r="I52" s="77">
        <v>45998</v>
      </c>
      <c r="J52" s="78">
        <f t="shared" si="8"/>
        <v>29</v>
      </c>
      <c r="K52" s="25">
        <v>14.21</v>
      </c>
      <c r="L52" s="25">
        <v>7.71</v>
      </c>
      <c r="M52" s="25">
        <f t="shared" si="7"/>
        <v>6.5000000000000009</v>
      </c>
      <c r="N52" s="25" t="s">
        <v>592</v>
      </c>
    </row>
    <row r="53" spans="1:14" x14ac:dyDescent="0.25">
      <c r="A53" s="77">
        <v>45969</v>
      </c>
      <c r="B53" s="25" t="s">
        <v>477</v>
      </c>
      <c r="C53" s="77">
        <f t="shared" si="0"/>
        <v>45992</v>
      </c>
      <c r="D53" s="77">
        <f t="shared" si="1"/>
        <v>45976</v>
      </c>
      <c r="E53" s="77">
        <f t="shared" si="2"/>
        <v>45983</v>
      </c>
      <c r="F53" s="77">
        <f t="shared" si="3"/>
        <v>45989</v>
      </c>
      <c r="G53" s="77">
        <f t="shared" si="4"/>
        <v>45977</v>
      </c>
      <c r="H53" s="77">
        <f t="shared" si="5"/>
        <v>45984</v>
      </c>
      <c r="I53" s="77">
        <v>45998</v>
      </c>
      <c r="J53" s="78">
        <f t="shared" si="8"/>
        <v>29</v>
      </c>
      <c r="K53" s="25">
        <v>13.68</v>
      </c>
      <c r="L53" s="25">
        <v>6.22</v>
      </c>
      <c r="M53" s="25">
        <f t="shared" si="7"/>
        <v>7.46</v>
      </c>
      <c r="N53" s="25" t="s">
        <v>592</v>
      </c>
    </row>
    <row r="54" spans="1:14" x14ac:dyDescent="0.25">
      <c r="A54" s="77">
        <v>45969</v>
      </c>
      <c r="B54" s="25" t="s">
        <v>478</v>
      </c>
      <c r="C54" s="77">
        <f t="shared" si="0"/>
        <v>45992</v>
      </c>
      <c r="D54" s="77">
        <f t="shared" si="1"/>
        <v>45976</v>
      </c>
      <c r="E54" s="77">
        <f t="shared" si="2"/>
        <v>45983</v>
      </c>
      <c r="F54" s="77">
        <f t="shared" si="3"/>
        <v>45989</v>
      </c>
      <c r="G54" s="77">
        <f t="shared" si="4"/>
        <v>45977</v>
      </c>
      <c r="H54" s="77">
        <f t="shared" si="5"/>
        <v>45984</v>
      </c>
      <c r="I54" s="77">
        <v>45998</v>
      </c>
      <c r="J54" s="78">
        <f t="shared" si="8"/>
        <v>29</v>
      </c>
      <c r="K54" s="25">
        <v>15.29</v>
      </c>
      <c r="L54" s="25">
        <v>8.69</v>
      </c>
      <c r="M54" s="25">
        <f t="shared" si="7"/>
        <v>6.6</v>
      </c>
      <c r="N54" s="25" t="s">
        <v>592</v>
      </c>
    </row>
    <row r="55" spans="1:14" x14ac:dyDescent="0.25">
      <c r="A55" s="77">
        <v>45969</v>
      </c>
      <c r="B55" s="25" t="s">
        <v>479</v>
      </c>
      <c r="C55" s="77">
        <f t="shared" si="0"/>
        <v>45992</v>
      </c>
      <c r="D55" s="77">
        <f t="shared" si="1"/>
        <v>45976</v>
      </c>
      <c r="E55" s="77">
        <f t="shared" si="2"/>
        <v>45983</v>
      </c>
      <c r="F55" s="77">
        <f t="shared" si="3"/>
        <v>45989</v>
      </c>
      <c r="G55" s="77">
        <f t="shared" si="4"/>
        <v>45977</v>
      </c>
      <c r="H55" s="77">
        <f t="shared" si="5"/>
        <v>45984</v>
      </c>
      <c r="I55" s="77">
        <v>45998</v>
      </c>
      <c r="J55" s="78">
        <f t="shared" si="8"/>
        <v>29</v>
      </c>
      <c r="K55" s="25">
        <v>11.52</v>
      </c>
      <c r="L55" s="25">
        <v>10.77</v>
      </c>
      <c r="M55" s="25">
        <f t="shared" si="7"/>
        <v>0.75</v>
      </c>
      <c r="N55" s="25" t="s">
        <v>593</v>
      </c>
    </row>
    <row r="56" spans="1:14" x14ac:dyDescent="0.25">
      <c r="A56" s="77">
        <v>45969</v>
      </c>
      <c r="B56" s="25" t="s">
        <v>480</v>
      </c>
      <c r="C56" s="77">
        <f t="shared" si="0"/>
        <v>45992</v>
      </c>
      <c r="D56" s="77">
        <f t="shared" si="1"/>
        <v>45976</v>
      </c>
      <c r="E56" s="77">
        <f t="shared" si="2"/>
        <v>45983</v>
      </c>
      <c r="F56" s="77">
        <f t="shared" si="3"/>
        <v>45989</v>
      </c>
      <c r="G56" s="77">
        <f t="shared" si="4"/>
        <v>45977</v>
      </c>
      <c r="H56" s="77">
        <f t="shared" si="5"/>
        <v>45984</v>
      </c>
      <c r="I56" s="77">
        <v>45998</v>
      </c>
      <c r="J56" s="78">
        <f t="shared" si="8"/>
        <v>29</v>
      </c>
      <c r="K56" s="25">
        <v>13.4</v>
      </c>
      <c r="L56" s="25">
        <v>12.19</v>
      </c>
      <c r="M56" s="25">
        <f t="shared" si="7"/>
        <v>1.2100000000000009</v>
      </c>
      <c r="N56" s="25" t="s">
        <v>593</v>
      </c>
    </row>
    <row r="57" spans="1:14" x14ac:dyDescent="0.25">
      <c r="A57" s="77">
        <v>45969</v>
      </c>
      <c r="B57" s="25" t="s">
        <v>481</v>
      </c>
      <c r="C57" s="77">
        <f t="shared" si="0"/>
        <v>45992</v>
      </c>
      <c r="D57" s="77">
        <f t="shared" si="1"/>
        <v>45976</v>
      </c>
      <c r="E57" s="77">
        <f t="shared" si="2"/>
        <v>45983</v>
      </c>
      <c r="F57" s="77">
        <f t="shared" si="3"/>
        <v>45989</v>
      </c>
      <c r="G57" s="77">
        <f t="shared" si="4"/>
        <v>45977</v>
      </c>
      <c r="H57" s="77">
        <f t="shared" si="5"/>
        <v>45984</v>
      </c>
      <c r="I57" s="77">
        <v>45998</v>
      </c>
      <c r="J57" s="78">
        <f t="shared" si="8"/>
        <v>29</v>
      </c>
      <c r="K57" s="25">
        <v>11.58</v>
      </c>
      <c r="L57" s="25">
        <v>10.71</v>
      </c>
      <c r="M57" s="25">
        <f t="shared" si="7"/>
        <v>0.86999999999999922</v>
      </c>
      <c r="N57" s="25" t="s">
        <v>593</v>
      </c>
    </row>
    <row r="58" spans="1:14" x14ac:dyDescent="0.25">
      <c r="A58" s="77">
        <v>45969</v>
      </c>
      <c r="B58" s="25" t="s">
        <v>482</v>
      </c>
      <c r="C58" s="77">
        <f t="shared" si="0"/>
        <v>45992</v>
      </c>
      <c r="D58" s="77">
        <f t="shared" si="1"/>
        <v>45976</v>
      </c>
      <c r="E58" s="77">
        <f t="shared" si="2"/>
        <v>45983</v>
      </c>
      <c r="F58" s="77">
        <f t="shared" si="3"/>
        <v>45989</v>
      </c>
      <c r="G58" s="77">
        <f t="shared" si="4"/>
        <v>45977</v>
      </c>
      <c r="H58" s="77">
        <f t="shared" si="5"/>
        <v>45984</v>
      </c>
      <c r="I58" s="77">
        <v>45998</v>
      </c>
      <c r="J58" s="78">
        <f t="shared" si="8"/>
        <v>29</v>
      </c>
      <c r="K58" s="25">
        <v>12.17</v>
      </c>
      <c r="L58" s="25">
        <v>11.59</v>
      </c>
      <c r="M58" s="25">
        <f t="shared" si="7"/>
        <v>0.58000000000000007</v>
      </c>
      <c r="N58" s="25" t="s">
        <v>593</v>
      </c>
    </row>
    <row r="59" spans="1:14" x14ac:dyDescent="0.25">
      <c r="A59" s="77">
        <v>45970</v>
      </c>
      <c r="B59" s="25" t="s">
        <v>483</v>
      </c>
      <c r="C59" s="77">
        <f t="shared" si="0"/>
        <v>45993</v>
      </c>
      <c r="D59" s="77">
        <f t="shared" si="1"/>
        <v>45977</v>
      </c>
      <c r="E59" s="77">
        <f t="shared" si="2"/>
        <v>45984</v>
      </c>
      <c r="F59" s="77">
        <f t="shared" si="3"/>
        <v>45990</v>
      </c>
      <c r="G59" s="77">
        <f t="shared" si="4"/>
        <v>45978</v>
      </c>
      <c r="H59" s="77">
        <f t="shared" si="5"/>
        <v>45985</v>
      </c>
      <c r="I59" s="77">
        <v>45998</v>
      </c>
      <c r="J59" s="78">
        <f t="shared" si="8"/>
        <v>28</v>
      </c>
      <c r="K59" s="25">
        <v>11.98</v>
      </c>
      <c r="L59" s="25">
        <v>10.01</v>
      </c>
      <c r="M59" s="25">
        <f t="shared" si="7"/>
        <v>1.9700000000000006</v>
      </c>
      <c r="N59" s="25" t="s">
        <v>593</v>
      </c>
    </row>
    <row r="60" spans="1:14" x14ac:dyDescent="0.25">
      <c r="A60" s="77">
        <v>45970</v>
      </c>
      <c r="B60" s="25" t="s">
        <v>484</v>
      </c>
      <c r="C60" s="77">
        <f t="shared" si="0"/>
        <v>45993</v>
      </c>
      <c r="D60" s="77">
        <f t="shared" si="1"/>
        <v>45977</v>
      </c>
      <c r="E60" s="77">
        <f t="shared" si="2"/>
        <v>45984</v>
      </c>
      <c r="F60" s="77">
        <f t="shared" si="3"/>
        <v>45990</v>
      </c>
      <c r="G60" s="77">
        <f t="shared" si="4"/>
        <v>45978</v>
      </c>
      <c r="H60" s="77">
        <f t="shared" si="5"/>
        <v>45985</v>
      </c>
      <c r="I60" s="77">
        <v>45998</v>
      </c>
      <c r="J60" s="78">
        <f t="shared" si="8"/>
        <v>28</v>
      </c>
      <c r="K60" s="25">
        <v>10.71</v>
      </c>
      <c r="L60" s="25">
        <v>9.84</v>
      </c>
      <c r="M60" s="25">
        <f t="shared" si="7"/>
        <v>0.87000000000000099</v>
      </c>
      <c r="N60" s="25" t="s">
        <v>593</v>
      </c>
    </row>
    <row r="61" spans="1:14" x14ac:dyDescent="0.25">
      <c r="A61" s="77">
        <v>45970</v>
      </c>
      <c r="B61" s="25" t="s">
        <v>485</v>
      </c>
      <c r="C61" s="77">
        <f t="shared" si="0"/>
        <v>45993</v>
      </c>
      <c r="D61" s="77">
        <f t="shared" si="1"/>
        <v>45977</v>
      </c>
      <c r="E61" s="77">
        <f t="shared" si="2"/>
        <v>45984</v>
      </c>
      <c r="F61" s="77">
        <f t="shared" si="3"/>
        <v>45990</v>
      </c>
      <c r="G61" s="77">
        <f t="shared" si="4"/>
        <v>45978</v>
      </c>
      <c r="H61" s="77">
        <f t="shared" si="5"/>
        <v>45985</v>
      </c>
      <c r="I61" s="77">
        <v>45998</v>
      </c>
      <c r="J61" s="78">
        <f t="shared" si="8"/>
        <v>28</v>
      </c>
      <c r="K61" s="25">
        <v>7.55</v>
      </c>
      <c r="L61" s="25">
        <v>6.64</v>
      </c>
      <c r="M61" s="25">
        <f t="shared" si="7"/>
        <v>0.91000000000000014</v>
      </c>
      <c r="N61" s="25" t="s">
        <v>593</v>
      </c>
    </row>
    <row r="62" spans="1:14" x14ac:dyDescent="0.25">
      <c r="A62" s="77">
        <v>45970</v>
      </c>
      <c r="B62" s="25" t="s">
        <v>486</v>
      </c>
      <c r="C62" s="77">
        <f t="shared" si="0"/>
        <v>45993</v>
      </c>
      <c r="D62" s="77">
        <f t="shared" si="1"/>
        <v>45977</v>
      </c>
      <c r="E62" s="77">
        <f t="shared" si="2"/>
        <v>45984</v>
      </c>
      <c r="F62" s="77">
        <f t="shared" si="3"/>
        <v>45990</v>
      </c>
      <c r="G62" s="77">
        <f t="shared" si="4"/>
        <v>45978</v>
      </c>
      <c r="H62" s="77">
        <f t="shared" si="5"/>
        <v>45985</v>
      </c>
      <c r="I62" s="77">
        <v>45998</v>
      </c>
      <c r="J62" s="78">
        <f t="shared" si="8"/>
        <v>28</v>
      </c>
      <c r="K62" s="25">
        <v>7.41</v>
      </c>
      <c r="L62" s="25">
        <v>6.28</v>
      </c>
      <c r="M62" s="25">
        <f t="shared" si="7"/>
        <v>1.1299999999999999</v>
      </c>
      <c r="N62" s="25" t="s">
        <v>593</v>
      </c>
    </row>
    <row r="63" spans="1:14" x14ac:dyDescent="0.25">
      <c r="A63" s="77">
        <v>45970</v>
      </c>
      <c r="B63" s="25" t="s">
        <v>487</v>
      </c>
      <c r="C63" s="77">
        <f t="shared" si="0"/>
        <v>45993</v>
      </c>
      <c r="D63" s="77">
        <f t="shared" si="1"/>
        <v>45977</v>
      </c>
      <c r="E63" s="77">
        <f t="shared" si="2"/>
        <v>45984</v>
      </c>
      <c r="F63" s="77">
        <f t="shared" si="3"/>
        <v>45990</v>
      </c>
      <c r="G63" s="77">
        <f t="shared" si="4"/>
        <v>45978</v>
      </c>
      <c r="H63" s="77">
        <f t="shared" si="5"/>
        <v>45985</v>
      </c>
      <c r="I63" s="77">
        <v>45998</v>
      </c>
      <c r="J63" s="78">
        <f t="shared" si="8"/>
        <v>28</v>
      </c>
      <c r="K63" s="25">
        <v>6.36</v>
      </c>
      <c r="L63" s="25">
        <v>5.71</v>
      </c>
      <c r="M63" s="25">
        <f t="shared" si="7"/>
        <v>0.65000000000000036</v>
      </c>
      <c r="N63" s="25" t="s">
        <v>593</v>
      </c>
    </row>
    <row r="64" spans="1:14" x14ac:dyDescent="0.25">
      <c r="A64" s="77">
        <v>45970</v>
      </c>
      <c r="B64" s="25" t="s">
        <v>488</v>
      </c>
      <c r="C64" s="77">
        <f t="shared" si="0"/>
        <v>45993</v>
      </c>
      <c r="D64" s="77">
        <f t="shared" si="1"/>
        <v>45977</v>
      </c>
      <c r="E64" s="77">
        <f t="shared" si="2"/>
        <v>45984</v>
      </c>
      <c r="F64" s="77">
        <f t="shared" si="3"/>
        <v>45990</v>
      </c>
      <c r="G64" s="77">
        <f t="shared" si="4"/>
        <v>45978</v>
      </c>
      <c r="H64" s="77">
        <f t="shared" si="5"/>
        <v>45985</v>
      </c>
      <c r="I64" s="77">
        <v>45999</v>
      </c>
      <c r="J64" s="78">
        <f t="shared" si="8"/>
        <v>29</v>
      </c>
      <c r="K64" s="25">
        <v>7.21</v>
      </c>
      <c r="L64" s="25">
        <v>3.42</v>
      </c>
      <c r="M64" s="25">
        <f t="shared" si="7"/>
        <v>3.79</v>
      </c>
      <c r="N64" s="25" t="s">
        <v>592</v>
      </c>
    </row>
    <row r="65" spans="1:14" x14ac:dyDescent="0.25">
      <c r="A65" s="77">
        <v>45970</v>
      </c>
      <c r="B65" s="25" t="s">
        <v>489</v>
      </c>
      <c r="C65" s="77">
        <f t="shared" si="0"/>
        <v>45993</v>
      </c>
      <c r="D65" s="77">
        <f t="shared" si="1"/>
        <v>45977</v>
      </c>
      <c r="E65" s="77">
        <f t="shared" si="2"/>
        <v>45984</v>
      </c>
      <c r="F65" s="77">
        <f t="shared" si="3"/>
        <v>45990</v>
      </c>
      <c r="G65" s="77">
        <f t="shared" si="4"/>
        <v>45978</v>
      </c>
      <c r="H65" s="77">
        <f t="shared" si="5"/>
        <v>45985</v>
      </c>
      <c r="I65" s="77">
        <v>45999</v>
      </c>
      <c r="J65" s="78">
        <f t="shared" si="8"/>
        <v>29</v>
      </c>
      <c r="K65" s="25">
        <v>6.13</v>
      </c>
      <c r="L65" s="25">
        <v>3.28</v>
      </c>
      <c r="M65" s="25">
        <f t="shared" si="7"/>
        <v>2.85</v>
      </c>
      <c r="N65" s="25" t="s">
        <v>592</v>
      </c>
    </row>
    <row r="66" spans="1:14" x14ac:dyDescent="0.25">
      <c r="A66" s="77">
        <v>45971</v>
      </c>
      <c r="B66" s="25" t="s">
        <v>490</v>
      </c>
      <c r="C66" s="77">
        <f t="shared" si="0"/>
        <v>45994</v>
      </c>
      <c r="D66" s="77">
        <f t="shared" si="1"/>
        <v>45978</v>
      </c>
      <c r="E66" s="77">
        <f t="shared" si="2"/>
        <v>45985</v>
      </c>
      <c r="F66" s="77">
        <f t="shared" si="3"/>
        <v>45991</v>
      </c>
      <c r="G66" s="77">
        <f t="shared" si="4"/>
        <v>45979</v>
      </c>
      <c r="H66" s="77">
        <f t="shared" si="5"/>
        <v>45986</v>
      </c>
      <c r="I66" s="77">
        <v>45999</v>
      </c>
      <c r="J66" s="78">
        <f t="shared" si="8"/>
        <v>28</v>
      </c>
      <c r="K66" s="25">
        <v>13.21</v>
      </c>
      <c r="L66" s="25">
        <v>6.51</v>
      </c>
      <c r="M66" s="25">
        <f t="shared" si="7"/>
        <v>6.7000000000000011</v>
      </c>
      <c r="N66" s="25" t="s">
        <v>592</v>
      </c>
    </row>
    <row r="67" spans="1:14" x14ac:dyDescent="0.25">
      <c r="A67" s="77">
        <v>45971</v>
      </c>
      <c r="B67" s="25" t="s">
        <v>491</v>
      </c>
      <c r="C67" s="77">
        <f t="shared" ref="C67:C130" si="9">A67+23</f>
        <v>45994</v>
      </c>
      <c r="D67" s="77">
        <f t="shared" ref="D67:D130" si="10">A67+7</f>
        <v>45978</v>
      </c>
      <c r="E67" s="77">
        <f t="shared" ref="E67:E130" si="11">A67+14</f>
        <v>45985</v>
      </c>
      <c r="F67" s="77">
        <f t="shared" ref="F67:F130" si="12">A67+20</f>
        <v>45991</v>
      </c>
      <c r="G67" s="77">
        <f t="shared" ref="G67:G130" si="13">A67+8</f>
        <v>45979</v>
      </c>
      <c r="H67" s="77">
        <f t="shared" ref="H67:H130" si="14">A67+15</f>
        <v>45986</v>
      </c>
      <c r="I67" s="77">
        <v>45999</v>
      </c>
      <c r="J67" s="78">
        <f t="shared" ref="J67:J98" si="15">I67-A67</f>
        <v>28</v>
      </c>
      <c r="K67" s="25">
        <v>14.17</v>
      </c>
      <c r="L67" s="25">
        <v>8.17</v>
      </c>
      <c r="M67" s="25">
        <f t="shared" ref="M67:M133" si="16">K67-L67</f>
        <v>6</v>
      </c>
      <c r="N67" s="25" t="s">
        <v>592</v>
      </c>
    </row>
    <row r="68" spans="1:14" x14ac:dyDescent="0.25">
      <c r="A68" s="77">
        <v>45971</v>
      </c>
      <c r="B68" s="25" t="s">
        <v>492</v>
      </c>
      <c r="C68" s="77">
        <f t="shared" si="9"/>
        <v>45994</v>
      </c>
      <c r="D68" s="77">
        <f t="shared" si="10"/>
        <v>45978</v>
      </c>
      <c r="E68" s="77">
        <f t="shared" si="11"/>
        <v>45985</v>
      </c>
      <c r="F68" s="77">
        <f t="shared" si="12"/>
        <v>45991</v>
      </c>
      <c r="G68" s="77">
        <f t="shared" si="13"/>
        <v>45979</v>
      </c>
      <c r="H68" s="77">
        <f t="shared" si="14"/>
        <v>45986</v>
      </c>
      <c r="I68" s="77">
        <v>45999</v>
      </c>
      <c r="J68" s="78">
        <f t="shared" si="15"/>
        <v>28</v>
      </c>
      <c r="K68" s="25">
        <v>14.36</v>
      </c>
      <c r="L68" s="25">
        <v>8.24</v>
      </c>
      <c r="M68" s="25">
        <f t="shared" si="16"/>
        <v>6.1199999999999992</v>
      </c>
      <c r="N68" s="25" t="s">
        <v>592</v>
      </c>
    </row>
    <row r="69" spans="1:14" x14ac:dyDescent="0.25">
      <c r="A69" s="77">
        <v>45971</v>
      </c>
      <c r="B69" s="25" t="s">
        <v>493</v>
      </c>
      <c r="C69" s="77">
        <f t="shared" si="9"/>
        <v>45994</v>
      </c>
      <c r="D69" s="77">
        <f t="shared" si="10"/>
        <v>45978</v>
      </c>
      <c r="E69" s="77">
        <f t="shared" si="11"/>
        <v>45985</v>
      </c>
      <c r="F69" s="77">
        <f t="shared" si="12"/>
        <v>45991</v>
      </c>
      <c r="G69" s="77">
        <f t="shared" si="13"/>
        <v>45979</v>
      </c>
      <c r="H69" s="77">
        <f t="shared" si="14"/>
        <v>45986</v>
      </c>
      <c r="I69" s="77">
        <v>45999</v>
      </c>
      <c r="J69" s="78">
        <f t="shared" si="15"/>
        <v>28</v>
      </c>
      <c r="K69" s="25">
        <v>12.71</v>
      </c>
      <c r="L69" s="25">
        <v>11.28</v>
      </c>
      <c r="M69" s="25">
        <f t="shared" si="16"/>
        <v>1.4300000000000015</v>
      </c>
      <c r="N69" s="25" t="s">
        <v>593</v>
      </c>
    </row>
    <row r="70" spans="1:14" x14ac:dyDescent="0.25">
      <c r="A70" s="77">
        <v>45971</v>
      </c>
      <c r="B70" s="25" t="s">
        <v>494</v>
      </c>
      <c r="C70" s="77">
        <f t="shared" si="9"/>
        <v>45994</v>
      </c>
      <c r="D70" s="77">
        <f t="shared" si="10"/>
        <v>45978</v>
      </c>
      <c r="E70" s="77">
        <f t="shared" si="11"/>
        <v>45985</v>
      </c>
      <c r="F70" s="77">
        <f t="shared" si="12"/>
        <v>45991</v>
      </c>
      <c r="G70" s="77">
        <f t="shared" si="13"/>
        <v>45979</v>
      </c>
      <c r="H70" s="77">
        <f t="shared" si="14"/>
        <v>45986</v>
      </c>
      <c r="I70" s="77">
        <v>45999</v>
      </c>
      <c r="J70" s="78">
        <f t="shared" si="15"/>
        <v>28</v>
      </c>
      <c r="K70" s="25">
        <v>13.9</v>
      </c>
      <c r="L70" s="25">
        <v>12.01</v>
      </c>
      <c r="M70" s="25">
        <f t="shared" si="16"/>
        <v>1.8900000000000006</v>
      </c>
      <c r="N70" s="25" t="s">
        <v>593</v>
      </c>
    </row>
    <row r="71" spans="1:14" x14ac:dyDescent="0.25">
      <c r="A71" s="77">
        <v>45971</v>
      </c>
      <c r="B71" s="25" t="s">
        <v>495</v>
      </c>
      <c r="C71" s="77">
        <f t="shared" si="9"/>
        <v>45994</v>
      </c>
      <c r="D71" s="77">
        <f t="shared" si="10"/>
        <v>45978</v>
      </c>
      <c r="E71" s="77">
        <f t="shared" si="11"/>
        <v>45985</v>
      </c>
      <c r="F71" s="77">
        <f t="shared" si="12"/>
        <v>45991</v>
      </c>
      <c r="G71" s="77">
        <f t="shared" si="13"/>
        <v>45979</v>
      </c>
      <c r="H71" s="77">
        <f t="shared" si="14"/>
        <v>45986</v>
      </c>
      <c r="I71" s="77">
        <v>45999</v>
      </c>
      <c r="J71" s="78">
        <f t="shared" si="15"/>
        <v>28</v>
      </c>
      <c r="K71" s="25">
        <v>10.77</v>
      </c>
      <c r="L71" s="25">
        <v>9.06</v>
      </c>
      <c r="M71" s="25">
        <f t="shared" si="16"/>
        <v>1.7099999999999991</v>
      </c>
      <c r="N71" s="25" t="s">
        <v>593</v>
      </c>
    </row>
    <row r="72" spans="1:14" x14ac:dyDescent="0.25">
      <c r="A72" s="77">
        <v>45971</v>
      </c>
      <c r="B72" s="25" t="s">
        <v>496</v>
      </c>
      <c r="C72" s="77">
        <f t="shared" si="9"/>
        <v>45994</v>
      </c>
      <c r="D72" s="77">
        <f t="shared" si="10"/>
        <v>45978</v>
      </c>
      <c r="E72" s="77">
        <f t="shared" si="11"/>
        <v>45985</v>
      </c>
      <c r="F72" s="77">
        <f t="shared" si="12"/>
        <v>45991</v>
      </c>
      <c r="G72" s="77">
        <f t="shared" si="13"/>
        <v>45979</v>
      </c>
      <c r="H72" s="77">
        <f t="shared" si="14"/>
        <v>45986</v>
      </c>
      <c r="I72" s="77">
        <v>45999</v>
      </c>
      <c r="J72" s="78">
        <f t="shared" si="15"/>
        <v>28</v>
      </c>
      <c r="K72" s="25">
        <v>11.28</v>
      </c>
      <c r="L72" s="25">
        <v>10.51</v>
      </c>
      <c r="M72" s="25">
        <f t="shared" si="16"/>
        <v>0.76999999999999957</v>
      </c>
      <c r="N72" s="25" t="s">
        <v>593</v>
      </c>
    </row>
    <row r="73" spans="1:14" x14ac:dyDescent="0.25">
      <c r="A73" s="77">
        <v>45972</v>
      </c>
      <c r="B73" s="25" t="s">
        <v>497</v>
      </c>
      <c r="C73" s="77">
        <f t="shared" si="9"/>
        <v>45995</v>
      </c>
      <c r="D73" s="77">
        <f t="shared" si="10"/>
        <v>45979</v>
      </c>
      <c r="E73" s="77">
        <f t="shared" si="11"/>
        <v>45986</v>
      </c>
      <c r="F73" s="77">
        <f t="shared" si="12"/>
        <v>45992</v>
      </c>
      <c r="G73" s="77">
        <f t="shared" si="13"/>
        <v>45980</v>
      </c>
      <c r="H73" s="77">
        <f t="shared" si="14"/>
        <v>45987</v>
      </c>
      <c r="I73" s="77">
        <v>45999</v>
      </c>
      <c r="J73" s="78">
        <f t="shared" si="15"/>
        <v>27</v>
      </c>
      <c r="K73" s="25">
        <v>9.64</v>
      </c>
      <c r="L73" s="25">
        <v>8.1199999999999992</v>
      </c>
      <c r="M73" s="25">
        <f t="shared" si="16"/>
        <v>1.5200000000000014</v>
      </c>
      <c r="N73" s="25" t="s">
        <v>593</v>
      </c>
    </row>
    <row r="74" spans="1:14" x14ac:dyDescent="0.25">
      <c r="A74" s="77">
        <v>45972</v>
      </c>
      <c r="B74" s="25" t="s">
        <v>498</v>
      </c>
      <c r="C74" s="77">
        <f t="shared" si="9"/>
        <v>45995</v>
      </c>
      <c r="D74" s="77">
        <f t="shared" si="10"/>
        <v>45979</v>
      </c>
      <c r="E74" s="77">
        <f t="shared" si="11"/>
        <v>45986</v>
      </c>
      <c r="F74" s="77">
        <f t="shared" si="12"/>
        <v>45992</v>
      </c>
      <c r="G74" s="77">
        <f t="shared" si="13"/>
        <v>45980</v>
      </c>
      <c r="H74" s="77">
        <f t="shared" si="14"/>
        <v>45987</v>
      </c>
      <c r="I74" s="77">
        <v>46000</v>
      </c>
      <c r="J74" s="78">
        <f t="shared" si="15"/>
        <v>28</v>
      </c>
      <c r="K74" s="25">
        <v>12.72</v>
      </c>
      <c r="L74" s="25">
        <v>6.36</v>
      </c>
      <c r="M74" s="25">
        <f t="shared" si="16"/>
        <v>6.36</v>
      </c>
      <c r="N74" s="25" t="s">
        <v>592</v>
      </c>
    </row>
    <row r="75" spans="1:14" x14ac:dyDescent="0.25">
      <c r="A75" s="77">
        <v>45972</v>
      </c>
      <c r="B75" s="25" t="s">
        <v>499</v>
      </c>
      <c r="C75" s="77">
        <f t="shared" si="9"/>
        <v>45995</v>
      </c>
      <c r="D75" s="77">
        <f t="shared" si="10"/>
        <v>45979</v>
      </c>
      <c r="E75" s="77">
        <f t="shared" si="11"/>
        <v>45986</v>
      </c>
      <c r="F75" s="77">
        <f t="shared" si="12"/>
        <v>45992</v>
      </c>
      <c r="G75" s="77">
        <f t="shared" si="13"/>
        <v>45980</v>
      </c>
      <c r="H75" s="77">
        <f t="shared" si="14"/>
        <v>45987</v>
      </c>
      <c r="I75" s="77">
        <v>46000</v>
      </c>
      <c r="J75" s="78">
        <f t="shared" si="15"/>
        <v>28</v>
      </c>
      <c r="K75" s="25">
        <v>8.32</v>
      </c>
      <c r="L75" s="25">
        <v>4.1900000000000004</v>
      </c>
      <c r="M75" s="25">
        <f t="shared" si="16"/>
        <v>4.13</v>
      </c>
      <c r="N75" s="25" t="s">
        <v>592</v>
      </c>
    </row>
    <row r="76" spans="1:14" x14ac:dyDescent="0.25">
      <c r="A76" s="77">
        <v>45972</v>
      </c>
      <c r="B76" s="25" t="s">
        <v>500</v>
      </c>
      <c r="C76" s="77">
        <f t="shared" si="9"/>
        <v>45995</v>
      </c>
      <c r="D76" s="77">
        <f t="shared" si="10"/>
        <v>45979</v>
      </c>
      <c r="E76" s="77">
        <f t="shared" si="11"/>
        <v>45986</v>
      </c>
      <c r="F76" s="77">
        <f t="shared" si="12"/>
        <v>45992</v>
      </c>
      <c r="G76" s="77">
        <f t="shared" si="13"/>
        <v>45980</v>
      </c>
      <c r="H76" s="77">
        <f t="shared" si="14"/>
        <v>45987</v>
      </c>
      <c r="I76" s="77">
        <v>46000</v>
      </c>
      <c r="J76" s="78">
        <f t="shared" si="15"/>
        <v>28</v>
      </c>
      <c r="K76" s="25">
        <v>11.98</v>
      </c>
      <c r="L76" s="25">
        <v>7.94</v>
      </c>
      <c r="M76" s="25">
        <f t="shared" si="16"/>
        <v>4.04</v>
      </c>
      <c r="N76" s="25" t="s">
        <v>592</v>
      </c>
    </row>
    <row r="77" spans="1:14" x14ac:dyDescent="0.25">
      <c r="A77" s="77">
        <v>45972</v>
      </c>
      <c r="B77" s="25" t="s">
        <v>501</v>
      </c>
      <c r="C77" s="77">
        <f t="shared" si="9"/>
        <v>45995</v>
      </c>
      <c r="D77" s="77">
        <f t="shared" si="10"/>
        <v>45979</v>
      </c>
      <c r="E77" s="77">
        <f t="shared" si="11"/>
        <v>45986</v>
      </c>
      <c r="F77" s="77">
        <f t="shared" si="12"/>
        <v>45992</v>
      </c>
      <c r="G77" s="77">
        <f t="shared" si="13"/>
        <v>45980</v>
      </c>
      <c r="H77" s="77">
        <f t="shared" si="14"/>
        <v>45987</v>
      </c>
      <c r="I77" s="77">
        <v>46000</v>
      </c>
      <c r="J77" s="78">
        <f t="shared" si="15"/>
        <v>28</v>
      </c>
      <c r="K77" s="25">
        <v>9.1199999999999992</v>
      </c>
      <c r="L77" s="25">
        <v>6.7</v>
      </c>
      <c r="M77" s="25">
        <f t="shared" si="16"/>
        <v>2.419999999999999</v>
      </c>
      <c r="N77" s="25" t="s">
        <v>593</v>
      </c>
    </row>
    <row r="78" spans="1:14" x14ac:dyDescent="0.25">
      <c r="A78" s="77">
        <v>45972</v>
      </c>
      <c r="B78" s="25" t="s">
        <v>502</v>
      </c>
      <c r="C78" s="77">
        <f t="shared" si="9"/>
        <v>45995</v>
      </c>
      <c r="D78" s="77">
        <f t="shared" si="10"/>
        <v>45979</v>
      </c>
      <c r="E78" s="77">
        <f t="shared" si="11"/>
        <v>45986</v>
      </c>
      <c r="F78" s="77">
        <f t="shared" si="12"/>
        <v>45992</v>
      </c>
      <c r="G78" s="77">
        <f t="shared" si="13"/>
        <v>45980</v>
      </c>
      <c r="H78" s="77">
        <f t="shared" si="14"/>
        <v>45987</v>
      </c>
      <c r="I78" s="77">
        <v>46000</v>
      </c>
      <c r="J78" s="78">
        <f t="shared" si="15"/>
        <v>28</v>
      </c>
      <c r="K78" s="25">
        <v>5.32</v>
      </c>
      <c r="L78" s="25">
        <v>4.12</v>
      </c>
      <c r="M78" s="25">
        <f t="shared" si="16"/>
        <v>1.2000000000000002</v>
      </c>
      <c r="N78" s="25" t="s">
        <v>593</v>
      </c>
    </row>
    <row r="79" spans="1:14" x14ac:dyDescent="0.25">
      <c r="A79" s="77">
        <v>45972</v>
      </c>
      <c r="B79" s="25" t="s">
        <v>503</v>
      </c>
      <c r="C79" s="77">
        <f t="shared" si="9"/>
        <v>45995</v>
      </c>
      <c r="D79" s="77">
        <f t="shared" si="10"/>
        <v>45979</v>
      </c>
      <c r="E79" s="77">
        <f t="shared" si="11"/>
        <v>45986</v>
      </c>
      <c r="F79" s="77">
        <f t="shared" si="12"/>
        <v>45992</v>
      </c>
      <c r="G79" s="77">
        <f t="shared" si="13"/>
        <v>45980</v>
      </c>
      <c r="H79" s="77">
        <f t="shared" si="14"/>
        <v>45987</v>
      </c>
      <c r="I79" s="77">
        <v>46000</v>
      </c>
      <c r="J79" s="78">
        <f t="shared" si="15"/>
        <v>28</v>
      </c>
      <c r="K79" s="25">
        <v>8.58</v>
      </c>
      <c r="L79" s="25">
        <v>6.29</v>
      </c>
      <c r="M79" s="25">
        <f t="shared" si="16"/>
        <v>2.29</v>
      </c>
      <c r="N79" s="25" t="s">
        <v>593</v>
      </c>
    </row>
    <row r="80" spans="1:14" x14ac:dyDescent="0.25">
      <c r="A80" s="77">
        <v>45973</v>
      </c>
      <c r="B80" s="25" t="s">
        <v>504</v>
      </c>
      <c r="C80" s="77">
        <f t="shared" si="9"/>
        <v>45996</v>
      </c>
      <c r="D80" s="77">
        <f t="shared" si="10"/>
        <v>45980</v>
      </c>
      <c r="E80" s="77">
        <f t="shared" si="11"/>
        <v>45987</v>
      </c>
      <c r="F80" s="77">
        <f t="shared" si="12"/>
        <v>45993</v>
      </c>
      <c r="G80" s="77">
        <f t="shared" si="13"/>
        <v>45981</v>
      </c>
      <c r="H80" s="77">
        <f t="shared" si="14"/>
        <v>45988</v>
      </c>
      <c r="I80" s="77">
        <v>46000</v>
      </c>
      <c r="J80" s="78">
        <f t="shared" si="15"/>
        <v>27</v>
      </c>
      <c r="K80" s="25">
        <v>9.23</v>
      </c>
      <c r="L80" s="25">
        <v>5.23</v>
      </c>
      <c r="M80" s="25">
        <f t="shared" si="16"/>
        <v>4</v>
      </c>
      <c r="N80" s="25" t="s">
        <v>593</v>
      </c>
    </row>
    <row r="81" spans="1:14" x14ac:dyDescent="0.25">
      <c r="A81" s="77">
        <v>45973</v>
      </c>
      <c r="B81" s="25" t="s">
        <v>505</v>
      </c>
      <c r="C81" s="77">
        <f t="shared" si="9"/>
        <v>45996</v>
      </c>
      <c r="D81" s="77">
        <f t="shared" si="10"/>
        <v>45980</v>
      </c>
      <c r="E81" s="77">
        <f t="shared" si="11"/>
        <v>45987</v>
      </c>
      <c r="F81" s="77">
        <f t="shared" si="12"/>
        <v>45993</v>
      </c>
      <c r="G81" s="77">
        <f t="shared" si="13"/>
        <v>45981</v>
      </c>
      <c r="H81" s="77">
        <f t="shared" si="14"/>
        <v>45988</v>
      </c>
      <c r="I81" s="77">
        <v>46001</v>
      </c>
      <c r="J81" s="78">
        <f t="shared" si="15"/>
        <v>28</v>
      </c>
      <c r="K81" s="25">
        <v>12.21</v>
      </c>
      <c r="L81" s="25">
        <v>6.01</v>
      </c>
      <c r="M81" s="25">
        <f t="shared" si="16"/>
        <v>6.2000000000000011</v>
      </c>
      <c r="N81" s="25" t="s">
        <v>592</v>
      </c>
    </row>
    <row r="82" spans="1:14" x14ac:dyDescent="0.25">
      <c r="A82" s="77">
        <v>45973</v>
      </c>
      <c r="B82" s="25" t="s">
        <v>506</v>
      </c>
      <c r="C82" s="77">
        <f t="shared" si="9"/>
        <v>45996</v>
      </c>
      <c r="D82" s="77">
        <f t="shared" si="10"/>
        <v>45980</v>
      </c>
      <c r="E82" s="77">
        <f t="shared" si="11"/>
        <v>45987</v>
      </c>
      <c r="F82" s="77">
        <f t="shared" si="12"/>
        <v>45993</v>
      </c>
      <c r="G82" s="77">
        <f t="shared" si="13"/>
        <v>45981</v>
      </c>
      <c r="H82" s="77">
        <f t="shared" si="14"/>
        <v>45988</v>
      </c>
      <c r="I82" s="77">
        <v>46001</v>
      </c>
      <c r="J82" s="78">
        <f t="shared" si="15"/>
        <v>28</v>
      </c>
      <c r="K82" s="25">
        <v>12.57</v>
      </c>
      <c r="L82" s="25">
        <v>6.24</v>
      </c>
      <c r="M82" s="25">
        <f t="shared" si="16"/>
        <v>6.33</v>
      </c>
      <c r="N82" s="25" t="s">
        <v>592</v>
      </c>
    </row>
    <row r="83" spans="1:14" x14ac:dyDescent="0.25">
      <c r="A83" s="77">
        <v>45973</v>
      </c>
      <c r="B83" s="25" t="s">
        <v>507</v>
      </c>
      <c r="C83" s="77">
        <f t="shared" si="9"/>
        <v>45996</v>
      </c>
      <c r="D83" s="77">
        <f t="shared" si="10"/>
        <v>45980</v>
      </c>
      <c r="E83" s="77">
        <f t="shared" si="11"/>
        <v>45987</v>
      </c>
      <c r="F83" s="77">
        <f t="shared" si="12"/>
        <v>45993</v>
      </c>
      <c r="G83" s="77">
        <f t="shared" si="13"/>
        <v>45981</v>
      </c>
      <c r="H83" s="77">
        <f t="shared" si="14"/>
        <v>45988</v>
      </c>
      <c r="I83" s="77">
        <v>46001</v>
      </c>
      <c r="J83" s="78">
        <f t="shared" si="15"/>
        <v>28</v>
      </c>
      <c r="K83" s="25">
        <v>11.12</v>
      </c>
      <c r="L83" s="25">
        <v>5.17</v>
      </c>
      <c r="M83" s="25">
        <f t="shared" si="16"/>
        <v>5.9499999999999993</v>
      </c>
      <c r="N83" s="25" t="s">
        <v>592</v>
      </c>
    </row>
    <row r="84" spans="1:14" x14ac:dyDescent="0.25">
      <c r="A84" s="77">
        <v>45973</v>
      </c>
      <c r="B84" s="25" t="s">
        <v>508</v>
      </c>
      <c r="C84" s="77">
        <f t="shared" si="9"/>
        <v>45996</v>
      </c>
      <c r="D84" s="77">
        <f t="shared" si="10"/>
        <v>45980</v>
      </c>
      <c r="E84" s="77">
        <f t="shared" si="11"/>
        <v>45987</v>
      </c>
      <c r="F84" s="77">
        <f t="shared" si="12"/>
        <v>45993</v>
      </c>
      <c r="G84" s="77">
        <f t="shared" si="13"/>
        <v>45981</v>
      </c>
      <c r="H84" s="77">
        <f t="shared" si="14"/>
        <v>45988</v>
      </c>
      <c r="I84" s="77">
        <v>46001</v>
      </c>
      <c r="J84" s="78">
        <f t="shared" si="15"/>
        <v>28</v>
      </c>
      <c r="K84" s="25">
        <v>11.63</v>
      </c>
      <c r="L84" s="25">
        <v>10.210000000000001</v>
      </c>
      <c r="M84" s="25">
        <f t="shared" si="16"/>
        <v>1.42</v>
      </c>
      <c r="N84" s="25" t="s">
        <v>593</v>
      </c>
    </row>
    <row r="85" spans="1:14" x14ac:dyDescent="0.25">
      <c r="A85" s="77">
        <v>45973</v>
      </c>
      <c r="B85" s="25" t="s">
        <v>509</v>
      </c>
      <c r="C85" s="77">
        <f t="shared" si="9"/>
        <v>45996</v>
      </c>
      <c r="D85" s="77">
        <f t="shared" si="10"/>
        <v>45980</v>
      </c>
      <c r="E85" s="77">
        <f t="shared" si="11"/>
        <v>45987</v>
      </c>
      <c r="F85" s="77">
        <f t="shared" si="12"/>
        <v>45993</v>
      </c>
      <c r="G85" s="77">
        <f t="shared" si="13"/>
        <v>45981</v>
      </c>
      <c r="H85" s="77">
        <f t="shared" si="14"/>
        <v>45988</v>
      </c>
      <c r="I85" s="77">
        <v>46001</v>
      </c>
      <c r="J85" s="78">
        <f t="shared" si="15"/>
        <v>28</v>
      </c>
      <c r="K85" s="25">
        <v>10.71</v>
      </c>
      <c r="L85" s="25">
        <v>9.89</v>
      </c>
      <c r="M85" s="25">
        <f t="shared" si="16"/>
        <v>0.82000000000000028</v>
      </c>
      <c r="N85" s="25" t="s">
        <v>593</v>
      </c>
    </row>
    <row r="86" spans="1:14" x14ac:dyDescent="0.25">
      <c r="A86" s="77">
        <v>45973</v>
      </c>
      <c r="B86" s="25" t="s">
        <v>510</v>
      </c>
      <c r="C86" s="77">
        <f t="shared" si="9"/>
        <v>45996</v>
      </c>
      <c r="D86" s="77">
        <f t="shared" si="10"/>
        <v>45980</v>
      </c>
      <c r="E86" s="77">
        <f t="shared" si="11"/>
        <v>45987</v>
      </c>
      <c r="F86" s="77">
        <f t="shared" si="12"/>
        <v>45993</v>
      </c>
      <c r="G86" s="77">
        <f t="shared" si="13"/>
        <v>45981</v>
      </c>
      <c r="H86" s="77">
        <f t="shared" si="14"/>
        <v>45988</v>
      </c>
      <c r="I86" s="77">
        <v>46001</v>
      </c>
      <c r="J86" s="78">
        <f t="shared" si="15"/>
        <v>28</v>
      </c>
      <c r="K86" s="25">
        <v>10.66</v>
      </c>
      <c r="L86" s="25">
        <v>9.27</v>
      </c>
      <c r="M86" s="25">
        <f t="shared" si="16"/>
        <v>1.3900000000000006</v>
      </c>
      <c r="N86" s="25" t="s">
        <v>593</v>
      </c>
    </row>
    <row r="87" spans="1:14" x14ac:dyDescent="0.25">
      <c r="A87" s="77">
        <v>45974</v>
      </c>
      <c r="B87" s="25" t="s">
        <v>557</v>
      </c>
      <c r="C87" s="77">
        <f t="shared" si="9"/>
        <v>45997</v>
      </c>
      <c r="D87" s="77">
        <f t="shared" si="10"/>
        <v>45981</v>
      </c>
      <c r="E87" s="77">
        <f t="shared" si="11"/>
        <v>45988</v>
      </c>
      <c r="F87" s="77">
        <f t="shared" si="12"/>
        <v>45994</v>
      </c>
      <c r="G87" s="77">
        <f t="shared" si="13"/>
        <v>45982</v>
      </c>
      <c r="H87" s="77">
        <f t="shared" si="14"/>
        <v>45989</v>
      </c>
      <c r="I87" s="77">
        <v>46001</v>
      </c>
      <c r="J87" s="78">
        <f t="shared" si="15"/>
        <v>27</v>
      </c>
      <c r="K87" s="25">
        <v>15.82</v>
      </c>
      <c r="L87" s="25">
        <v>14.25</v>
      </c>
      <c r="M87" s="25">
        <f t="shared" si="16"/>
        <v>1.5700000000000003</v>
      </c>
      <c r="N87" s="25" t="s">
        <v>593</v>
      </c>
    </row>
    <row r="88" spans="1:14" x14ac:dyDescent="0.25">
      <c r="A88" s="77">
        <v>45974</v>
      </c>
      <c r="B88" s="25" t="s">
        <v>558</v>
      </c>
      <c r="C88" s="77">
        <f t="shared" si="9"/>
        <v>45997</v>
      </c>
      <c r="D88" s="77">
        <f t="shared" si="10"/>
        <v>45981</v>
      </c>
      <c r="E88" s="77">
        <f t="shared" si="11"/>
        <v>45988</v>
      </c>
      <c r="F88" s="77">
        <f t="shared" si="12"/>
        <v>45994</v>
      </c>
      <c r="G88" s="77">
        <f t="shared" si="13"/>
        <v>45982</v>
      </c>
      <c r="H88" s="77">
        <f t="shared" si="14"/>
        <v>45989</v>
      </c>
      <c r="I88" s="77">
        <v>46001</v>
      </c>
      <c r="J88" s="78">
        <f t="shared" si="15"/>
        <v>27</v>
      </c>
      <c r="K88" s="25">
        <v>16.89</v>
      </c>
      <c r="L88" s="25">
        <v>15.28</v>
      </c>
      <c r="M88" s="25">
        <f t="shared" si="16"/>
        <v>1.6100000000000012</v>
      </c>
      <c r="N88" s="25" t="s">
        <v>593</v>
      </c>
    </row>
    <row r="89" spans="1:14" x14ac:dyDescent="0.25">
      <c r="A89" s="77">
        <v>45974</v>
      </c>
      <c r="B89" s="25" t="s">
        <v>552</v>
      </c>
      <c r="C89" s="77">
        <f t="shared" si="9"/>
        <v>45997</v>
      </c>
      <c r="D89" s="77">
        <f t="shared" si="10"/>
        <v>45981</v>
      </c>
      <c r="E89" s="77">
        <f t="shared" si="11"/>
        <v>45988</v>
      </c>
      <c r="F89" s="77">
        <f t="shared" si="12"/>
        <v>45994</v>
      </c>
      <c r="G89" s="77">
        <f t="shared" si="13"/>
        <v>45982</v>
      </c>
      <c r="H89" s="77">
        <f t="shared" si="14"/>
        <v>45989</v>
      </c>
      <c r="I89" s="77">
        <v>46002</v>
      </c>
      <c r="J89" s="78">
        <f t="shared" si="15"/>
        <v>28</v>
      </c>
      <c r="K89" s="25">
        <v>13.73</v>
      </c>
      <c r="L89" s="25">
        <v>12.51</v>
      </c>
      <c r="M89" s="25">
        <f t="shared" si="16"/>
        <v>1.2200000000000006</v>
      </c>
      <c r="N89" s="25" t="s">
        <v>593</v>
      </c>
    </row>
    <row r="90" spans="1:14" x14ac:dyDescent="0.25">
      <c r="A90" s="77">
        <v>45974</v>
      </c>
      <c r="B90" s="25" t="s">
        <v>553</v>
      </c>
      <c r="C90" s="77">
        <f t="shared" si="9"/>
        <v>45997</v>
      </c>
      <c r="D90" s="77">
        <f t="shared" si="10"/>
        <v>45981</v>
      </c>
      <c r="E90" s="77">
        <f t="shared" si="11"/>
        <v>45988</v>
      </c>
      <c r="F90" s="77">
        <f t="shared" si="12"/>
        <v>45994</v>
      </c>
      <c r="G90" s="77">
        <f t="shared" si="13"/>
        <v>45982</v>
      </c>
      <c r="H90" s="77">
        <f t="shared" si="14"/>
        <v>45989</v>
      </c>
      <c r="I90" s="77">
        <v>46002</v>
      </c>
      <c r="J90" s="78">
        <f t="shared" si="15"/>
        <v>28</v>
      </c>
      <c r="K90" s="25">
        <v>14.51</v>
      </c>
      <c r="L90" s="25">
        <v>7.39</v>
      </c>
      <c r="M90" s="25">
        <f t="shared" si="16"/>
        <v>7.12</v>
      </c>
      <c r="N90" s="25" t="s">
        <v>592</v>
      </c>
    </row>
    <row r="91" spans="1:14" x14ac:dyDescent="0.25">
      <c r="A91" s="77">
        <v>45974</v>
      </c>
      <c r="B91" s="25" t="s">
        <v>554</v>
      </c>
      <c r="C91" s="77">
        <f t="shared" si="9"/>
        <v>45997</v>
      </c>
      <c r="D91" s="77">
        <f t="shared" si="10"/>
        <v>45981</v>
      </c>
      <c r="E91" s="77">
        <f t="shared" si="11"/>
        <v>45988</v>
      </c>
      <c r="F91" s="77">
        <f t="shared" si="12"/>
        <v>45994</v>
      </c>
      <c r="G91" s="77">
        <f t="shared" si="13"/>
        <v>45982</v>
      </c>
      <c r="H91" s="77">
        <f t="shared" si="14"/>
        <v>45989</v>
      </c>
      <c r="I91" s="77">
        <v>46002</v>
      </c>
      <c r="J91" s="78">
        <f t="shared" si="15"/>
        <v>28</v>
      </c>
      <c r="K91" s="25">
        <v>14.39</v>
      </c>
      <c r="L91" s="25">
        <v>7.21</v>
      </c>
      <c r="M91" s="25">
        <f t="shared" si="16"/>
        <v>7.1800000000000006</v>
      </c>
      <c r="N91" s="25" t="s">
        <v>592</v>
      </c>
    </row>
    <row r="92" spans="1:14" x14ac:dyDescent="0.25">
      <c r="A92" s="77">
        <v>45974</v>
      </c>
      <c r="B92" s="25" t="s">
        <v>555</v>
      </c>
      <c r="C92" s="77">
        <f t="shared" si="9"/>
        <v>45997</v>
      </c>
      <c r="D92" s="77">
        <f t="shared" si="10"/>
        <v>45981</v>
      </c>
      <c r="E92" s="77">
        <f t="shared" si="11"/>
        <v>45988</v>
      </c>
      <c r="F92" s="77">
        <f t="shared" si="12"/>
        <v>45994</v>
      </c>
      <c r="G92" s="77">
        <f t="shared" si="13"/>
        <v>45982</v>
      </c>
      <c r="H92" s="77">
        <f t="shared" si="14"/>
        <v>45989</v>
      </c>
      <c r="I92" s="77">
        <v>46002</v>
      </c>
      <c r="J92" s="78">
        <f t="shared" si="15"/>
        <v>28</v>
      </c>
      <c r="K92" s="25">
        <v>11.19</v>
      </c>
      <c r="L92" s="25">
        <v>5.15</v>
      </c>
      <c r="M92" s="25">
        <f t="shared" si="16"/>
        <v>6.0399999999999991</v>
      </c>
      <c r="N92" s="25" t="s">
        <v>592</v>
      </c>
    </row>
    <row r="93" spans="1:14" x14ac:dyDescent="0.25">
      <c r="A93" s="77">
        <v>45974</v>
      </c>
      <c r="B93" s="25" t="s">
        <v>556</v>
      </c>
      <c r="C93" s="77">
        <f t="shared" si="9"/>
        <v>45997</v>
      </c>
      <c r="D93" s="77">
        <f t="shared" si="10"/>
        <v>45981</v>
      </c>
      <c r="E93" s="77">
        <f t="shared" si="11"/>
        <v>45988</v>
      </c>
      <c r="F93" s="77">
        <f t="shared" si="12"/>
        <v>45994</v>
      </c>
      <c r="G93" s="77">
        <f t="shared" si="13"/>
        <v>45982</v>
      </c>
      <c r="H93" s="77">
        <f t="shared" si="14"/>
        <v>45989</v>
      </c>
      <c r="I93" s="77">
        <v>46002</v>
      </c>
      <c r="J93" s="78">
        <f t="shared" si="15"/>
        <v>28</v>
      </c>
      <c r="K93" s="25">
        <v>12.47</v>
      </c>
      <c r="L93" s="25">
        <v>6.28</v>
      </c>
      <c r="M93" s="25">
        <f t="shared" si="16"/>
        <v>6.19</v>
      </c>
      <c r="N93" s="25" t="s">
        <v>592</v>
      </c>
    </row>
    <row r="94" spans="1:14" x14ac:dyDescent="0.25">
      <c r="A94" s="77">
        <v>45975</v>
      </c>
      <c r="B94" s="25" t="s">
        <v>549</v>
      </c>
      <c r="C94" s="77">
        <f t="shared" si="9"/>
        <v>45998</v>
      </c>
      <c r="D94" s="77">
        <f t="shared" si="10"/>
        <v>45982</v>
      </c>
      <c r="E94" s="77">
        <f t="shared" si="11"/>
        <v>45989</v>
      </c>
      <c r="F94" s="77">
        <f t="shared" si="12"/>
        <v>45995</v>
      </c>
      <c r="G94" s="77">
        <f t="shared" si="13"/>
        <v>45983</v>
      </c>
      <c r="H94" s="77">
        <f t="shared" si="14"/>
        <v>45990</v>
      </c>
      <c r="I94" s="77">
        <v>46002</v>
      </c>
      <c r="J94" s="78">
        <f t="shared" si="15"/>
        <v>27</v>
      </c>
      <c r="K94" s="25">
        <v>13.66</v>
      </c>
      <c r="L94" s="25">
        <v>12.73</v>
      </c>
      <c r="M94" s="25">
        <f t="shared" si="16"/>
        <v>0.92999999999999972</v>
      </c>
      <c r="N94" s="25" t="s">
        <v>593</v>
      </c>
    </row>
    <row r="95" spans="1:14" x14ac:dyDescent="0.25">
      <c r="A95" s="77">
        <v>45975</v>
      </c>
      <c r="B95" s="25" t="s">
        <v>550</v>
      </c>
      <c r="C95" s="77">
        <f t="shared" si="9"/>
        <v>45998</v>
      </c>
      <c r="D95" s="77">
        <f t="shared" si="10"/>
        <v>45982</v>
      </c>
      <c r="E95" s="77">
        <f t="shared" si="11"/>
        <v>45989</v>
      </c>
      <c r="F95" s="77">
        <f t="shared" si="12"/>
        <v>45995</v>
      </c>
      <c r="G95" s="77">
        <f t="shared" si="13"/>
        <v>45983</v>
      </c>
      <c r="H95" s="77">
        <f t="shared" si="14"/>
        <v>45990</v>
      </c>
      <c r="I95" s="77">
        <v>46002</v>
      </c>
      <c r="J95" s="78">
        <f t="shared" si="15"/>
        <v>27</v>
      </c>
      <c r="K95" s="25">
        <v>15.17</v>
      </c>
      <c r="L95" s="25">
        <v>14.58</v>
      </c>
      <c r="M95" s="25">
        <f t="shared" si="16"/>
        <v>0.58999999999999986</v>
      </c>
      <c r="N95" s="25" t="s">
        <v>593</v>
      </c>
    </row>
    <row r="96" spans="1:14" x14ac:dyDescent="0.25">
      <c r="A96" s="77">
        <v>45975</v>
      </c>
      <c r="B96" s="25" t="s">
        <v>551</v>
      </c>
      <c r="C96" s="77">
        <f t="shared" si="9"/>
        <v>45998</v>
      </c>
      <c r="D96" s="77">
        <f t="shared" si="10"/>
        <v>45982</v>
      </c>
      <c r="E96" s="77">
        <f t="shared" si="11"/>
        <v>45989</v>
      </c>
      <c r="F96" s="77">
        <f t="shared" si="12"/>
        <v>45995</v>
      </c>
      <c r="G96" s="77">
        <f t="shared" si="13"/>
        <v>45983</v>
      </c>
      <c r="H96" s="77">
        <f t="shared" si="14"/>
        <v>45990</v>
      </c>
      <c r="I96" s="77">
        <v>46002</v>
      </c>
      <c r="J96" s="78">
        <f t="shared" si="15"/>
        <v>27</v>
      </c>
      <c r="K96" s="25">
        <v>14.25</v>
      </c>
      <c r="L96" s="25">
        <v>13.1</v>
      </c>
      <c r="M96" s="25">
        <f t="shared" si="16"/>
        <v>1.1500000000000004</v>
      </c>
      <c r="N96" s="25" t="s">
        <v>593</v>
      </c>
    </row>
    <row r="97" spans="1:14" x14ac:dyDescent="0.25">
      <c r="A97" s="77">
        <v>45975</v>
      </c>
      <c r="B97" s="25" t="s">
        <v>545</v>
      </c>
      <c r="C97" s="77">
        <f t="shared" si="9"/>
        <v>45998</v>
      </c>
      <c r="D97" s="77">
        <f t="shared" si="10"/>
        <v>45982</v>
      </c>
      <c r="E97" s="77">
        <f t="shared" si="11"/>
        <v>45989</v>
      </c>
      <c r="F97" s="77">
        <f t="shared" si="12"/>
        <v>45995</v>
      </c>
      <c r="G97" s="77">
        <f t="shared" si="13"/>
        <v>45983</v>
      </c>
      <c r="H97" s="77">
        <f t="shared" si="14"/>
        <v>45990</v>
      </c>
      <c r="I97" s="77">
        <v>46003</v>
      </c>
      <c r="J97" s="78">
        <f t="shared" si="15"/>
        <v>28</v>
      </c>
      <c r="K97" s="25">
        <v>10.98</v>
      </c>
      <c r="L97" s="25">
        <v>4.1100000000000003</v>
      </c>
      <c r="M97" s="25">
        <f t="shared" si="16"/>
        <v>6.87</v>
      </c>
      <c r="N97" s="25" t="s">
        <v>592</v>
      </c>
    </row>
    <row r="98" spans="1:14" x14ac:dyDescent="0.25">
      <c r="A98" s="77">
        <v>45975</v>
      </c>
      <c r="B98" s="25" t="s">
        <v>546</v>
      </c>
      <c r="C98" s="77">
        <f t="shared" si="9"/>
        <v>45998</v>
      </c>
      <c r="D98" s="77">
        <f t="shared" si="10"/>
        <v>45982</v>
      </c>
      <c r="E98" s="77">
        <f t="shared" si="11"/>
        <v>45989</v>
      </c>
      <c r="F98" s="77">
        <f t="shared" si="12"/>
        <v>45995</v>
      </c>
      <c r="G98" s="77">
        <f t="shared" si="13"/>
        <v>45983</v>
      </c>
      <c r="H98" s="77">
        <f t="shared" si="14"/>
        <v>45990</v>
      </c>
      <c r="I98" s="77">
        <v>46003</v>
      </c>
      <c r="J98" s="78">
        <f t="shared" si="15"/>
        <v>28</v>
      </c>
      <c r="K98" s="25">
        <v>11.61</v>
      </c>
      <c r="L98" s="25">
        <v>5.21</v>
      </c>
      <c r="M98" s="25">
        <f t="shared" si="16"/>
        <v>6.3999999999999995</v>
      </c>
      <c r="N98" s="25" t="s">
        <v>592</v>
      </c>
    </row>
    <row r="99" spans="1:14" x14ac:dyDescent="0.25">
      <c r="A99" s="77">
        <v>45975</v>
      </c>
      <c r="B99" s="25" t="s">
        <v>547</v>
      </c>
      <c r="C99" s="77">
        <f t="shared" si="9"/>
        <v>45998</v>
      </c>
      <c r="D99" s="77">
        <f t="shared" si="10"/>
        <v>45982</v>
      </c>
      <c r="E99" s="77">
        <f t="shared" si="11"/>
        <v>45989</v>
      </c>
      <c r="F99" s="77">
        <f t="shared" si="12"/>
        <v>45995</v>
      </c>
      <c r="G99" s="77">
        <f t="shared" si="13"/>
        <v>45983</v>
      </c>
      <c r="H99" s="77">
        <f t="shared" si="14"/>
        <v>45990</v>
      </c>
      <c r="I99" s="77">
        <v>46003</v>
      </c>
      <c r="J99" s="78">
        <f t="shared" ref="J99:J162" si="17">I99-A99</f>
        <v>28</v>
      </c>
      <c r="K99" s="25">
        <v>10.43</v>
      </c>
      <c r="L99" s="25">
        <v>4.6399999999999997</v>
      </c>
      <c r="M99" s="25">
        <f t="shared" si="16"/>
        <v>5.79</v>
      </c>
      <c r="N99" s="25" t="s">
        <v>592</v>
      </c>
    </row>
    <row r="100" spans="1:14" x14ac:dyDescent="0.25">
      <c r="A100" s="77">
        <v>45975</v>
      </c>
      <c r="B100" s="25" t="s">
        <v>548</v>
      </c>
      <c r="C100" s="77">
        <f t="shared" si="9"/>
        <v>45998</v>
      </c>
      <c r="D100" s="77">
        <f t="shared" si="10"/>
        <v>45982</v>
      </c>
      <c r="E100" s="77">
        <f t="shared" si="11"/>
        <v>45989</v>
      </c>
      <c r="F100" s="77">
        <f t="shared" si="12"/>
        <v>45995</v>
      </c>
      <c r="G100" s="77">
        <f t="shared" si="13"/>
        <v>45983</v>
      </c>
      <c r="H100" s="77">
        <f t="shared" si="14"/>
        <v>45990</v>
      </c>
      <c r="I100" s="77">
        <v>46003</v>
      </c>
      <c r="J100" s="78">
        <f t="shared" si="17"/>
        <v>28</v>
      </c>
      <c r="K100" s="25">
        <v>11.82</v>
      </c>
      <c r="L100" s="25">
        <v>5.71</v>
      </c>
      <c r="M100" s="25">
        <f t="shared" si="16"/>
        <v>6.11</v>
      </c>
      <c r="N100" s="25" t="s">
        <v>592</v>
      </c>
    </row>
    <row r="101" spans="1:14" x14ac:dyDescent="0.25">
      <c r="A101" s="77">
        <v>45976</v>
      </c>
      <c r="B101" s="25" t="s">
        <v>537</v>
      </c>
      <c r="C101" s="77">
        <f t="shared" si="9"/>
        <v>45999</v>
      </c>
      <c r="D101" s="77">
        <f t="shared" si="10"/>
        <v>45983</v>
      </c>
      <c r="E101" s="77">
        <f t="shared" si="11"/>
        <v>45990</v>
      </c>
      <c r="F101" s="77">
        <f t="shared" si="12"/>
        <v>45996</v>
      </c>
      <c r="G101" s="77">
        <f t="shared" si="13"/>
        <v>45984</v>
      </c>
      <c r="H101" s="77">
        <f t="shared" si="14"/>
        <v>45991</v>
      </c>
      <c r="I101" s="77">
        <v>46003</v>
      </c>
      <c r="J101" s="78">
        <f t="shared" si="17"/>
        <v>27</v>
      </c>
      <c r="K101" s="25">
        <v>9.76</v>
      </c>
      <c r="L101" s="25">
        <v>8.6199999999999992</v>
      </c>
      <c r="M101" s="25">
        <f t="shared" si="16"/>
        <v>1.1400000000000006</v>
      </c>
      <c r="N101" s="25" t="s">
        <v>593</v>
      </c>
    </row>
    <row r="102" spans="1:14" x14ac:dyDescent="0.25">
      <c r="A102" s="77">
        <v>45976</v>
      </c>
      <c r="B102" s="25" t="s">
        <v>538</v>
      </c>
      <c r="C102" s="77">
        <f t="shared" si="9"/>
        <v>45999</v>
      </c>
      <c r="D102" s="77">
        <f t="shared" si="10"/>
        <v>45983</v>
      </c>
      <c r="E102" s="77">
        <f t="shared" si="11"/>
        <v>45990</v>
      </c>
      <c r="F102" s="77">
        <f t="shared" si="12"/>
        <v>45996</v>
      </c>
      <c r="G102" s="77">
        <f t="shared" si="13"/>
        <v>45984</v>
      </c>
      <c r="H102" s="77">
        <f t="shared" si="14"/>
        <v>45991</v>
      </c>
      <c r="I102" s="77">
        <v>46003</v>
      </c>
      <c r="J102" s="78">
        <f t="shared" si="17"/>
        <v>27</v>
      </c>
      <c r="K102" s="25">
        <v>9.81</v>
      </c>
      <c r="L102" s="25">
        <v>8.76</v>
      </c>
      <c r="M102" s="25">
        <f t="shared" si="16"/>
        <v>1.0500000000000007</v>
      </c>
      <c r="N102" s="25" t="s">
        <v>593</v>
      </c>
    </row>
    <row r="103" spans="1:14" x14ac:dyDescent="0.25">
      <c r="A103" s="77">
        <v>45976</v>
      </c>
      <c r="B103" s="25" t="s">
        <v>539</v>
      </c>
      <c r="C103" s="77">
        <f t="shared" si="9"/>
        <v>45999</v>
      </c>
      <c r="D103" s="77">
        <f t="shared" si="10"/>
        <v>45983</v>
      </c>
      <c r="E103" s="77">
        <f t="shared" si="11"/>
        <v>45990</v>
      </c>
      <c r="F103" s="77">
        <f t="shared" si="12"/>
        <v>45996</v>
      </c>
      <c r="G103" s="77">
        <f t="shared" si="13"/>
        <v>45984</v>
      </c>
      <c r="H103" s="77">
        <f t="shared" si="14"/>
        <v>45991</v>
      </c>
      <c r="I103" s="77">
        <v>46003</v>
      </c>
      <c r="J103" s="78">
        <f t="shared" si="17"/>
        <v>27</v>
      </c>
      <c r="K103" s="25">
        <v>13.25</v>
      </c>
      <c r="L103" s="25">
        <v>12.15</v>
      </c>
      <c r="M103" s="25">
        <f t="shared" si="16"/>
        <v>1.0999999999999996</v>
      </c>
      <c r="N103" s="25" t="s">
        <v>593</v>
      </c>
    </row>
    <row r="104" spans="1:14" x14ac:dyDescent="0.25">
      <c r="A104" s="77">
        <v>45976</v>
      </c>
      <c r="B104" s="25" t="s">
        <v>540</v>
      </c>
      <c r="C104" s="77">
        <f t="shared" si="9"/>
        <v>45999</v>
      </c>
      <c r="D104" s="77">
        <f t="shared" si="10"/>
        <v>45983</v>
      </c>
      <c r="E104" s="77">
        <f t="shared" si="11"/>
        <v>45990</v>
      </c>
      <c r="F104" s="77">
        <f t="shared" si="12"/>
        <v>45996</v>
      </c>
      <c r="G104" s="77">
        <f t="shared" si="13"/>
        <v>45984</v>
      </c>
      <c r="H104" s="77">
        <f t="shared" si="14"/>
        <v>45991</v>
      </c>
      <c r="I104" s="77">
        <v>46003</v>
      </c>
      <c r="J104" s="78">
        <f t="shared" si="17"/>
        <v>27</v>
      </c>
      <c r="K104" s="25">
        <v>13.53</v>
      </c>
      <c r="L104" s="25">
        <v>12.37</v>
      </c>
      <c r="M104" s="25">
        <f t="shared" si="16"/>
        <v>1.1600000000000001</v>
      </c>
      <c r="N104" s="25" t="s">
        <v>593</v>
      </c>
    </row>
    <row r="105" spans="1:14" x14ac:dyDescent="0.25">
      <c r="A105" s="77">
        <v>45976</v>
      </c>
      <c r="B105" s="25" t="s">
        <v>541</v>
      </c>
      <c r="C105" s="77">
        <f t="shared" si="9"/>
        <v>45999</v>
      </c>
      <c r="D105" s="77">
        <f t="shared" si="10"/>
        <v>45983</v>
      </c>
      <c r="E105" s="77">
        <f t="shared" si="11"/>
        <v>45990</v>
      </c>
      <c r="F105" s="77">
        <f t="shared" si="12"/>
        <v>45996</v>
      </c>
      <c r="G105" s="77">
        <f t="shared" si="13"/>
        <v>45984</v>
      </c>
      <c r="H105" s="77">
        <f t="shared" si="14"/>
        <v>45991</v>
      </c>
      <c r="I105" s="77">
        <v>46003</v>
      </c>
      <c r="J105" s="78">
        <f t="shared" si="17"/>
        <v>27</v>
      </c>
      <c r="K105" s="25">
        <v>12.49</v>
      </c>
      <c r="L105" s="25">
        <v>11.21</v>
      </c>
      <c r="M105" s="25">
        <f t="shared" si="16"/>
        <v>1.2799999999999994</v>
      </c>
      <c r="N105" s="25" t="s">
        <v>593</v>
      </c>
    </row>
    <row r="106" spans="1:14" x14ac:dyDescent="0.25">
      <c r="A106" s="77">
        <v>45976</v>
      </c>
      <c r="B106" s="25" t="s">
        <v>542</v>
      </c>
      <c r="C106" s="77">
        <f t="shared" si="9"/>
        <v>45999</v>
      </c>
      <c r="D106" s="77">
        <f t="shared" si="10"/>
        <v>45983</v>
      </c>
      <c r="E106" s="77">
        <f t="shared" si="11"/>
        <v>45990</v>
      </c>
      <c r="F106" s="77">
        <f t="shared" si="12"/>
        <v>45996</v>
      </c>
      <c r="G106" s="77">
        <f t="shared" si="13"/>
        <v>45984</v>
      </c>
      <c r="H106" s="77">
        <f t="shared" si="14"/>
        <v>45991</v>
      </c>
      <c r="I106" s="77">
        <v>46003</v>
      </c>
      <c r="J106" s="78">
        <f t="shared" si="17"/>
        <v>27</v>
      </c>
      <c r="K106" s="25">
        <v>13.17</v>
      </c>
      <c r="L106" s="25">
        <v>12.56</v>
      </c>
      <c r="M106" s="25">
        <f t="shared" si="16"/>
        <v>0.60999999999999943</v>
      </c>
      <c r="N106" s="25" t="s">
        <v>593</v>
      </c>
    </row>
    <row r="107" spans="1:14" x14ac:dyDescent="0.25">
      <c r="A107" s="77">
        <v>45976</v>
      </c>
      <c r="B107" s="25" t="s">
        <v>543</v>
      </c>
      <c r="C107" s="77">
        <f t="shared" si="9"/>
        <v>45999</v>
      </c>
      <c r="D107" s="77">
        <f t="shared" si="10"/>
        <v>45983</v>
      </c>
      <c r="E107" s="77">
        <f t="shared" si="11"/>
        <v>45990</v>
      </c>
      <c r="F107" s="77">
        <f t="shared" si="12"/>
        <v>45996</v>
      </c>
      <c r="G107" s="77">
        <f t="shared" si="13"/>
        <v>45984</v>
      </c>
      <c r="H107" s="77">
        <f t="shared" si="14"/>
        <v>45991</v>
      </c>
      <c r="I107" s="77">
        <v>46003</v>
      </c>
      <c r="J107" s="78">
        <f t="shared" si="17"/>
        <v>27</v>
      </c>
      <c r="K107" s="25">
        <v>10.56</v>
      </c>
      <c r="L107" s="25">
        <v>4.71</v>
      </c>
      <c r="M107" s="25">
        <f t="shared" si="16"/>
        <v>5.8500000000000005</v>
      </c>
      <c r="N107" s="25" t="s">
        <v>593</v>
      </c>
    </row>
    <row r="108" spans="1:14" x14ac:dyDescent="0.25">
      <c r="A108" s="77">
        <v>45976</v>
      </c>
      <c r="B108" s="25" t="s">
        <v>544</v>
      </c>
      <c r="C108" s="77">
        <f t="shared" si="9"/>
        <v>45999</v>
      </c>
      <c r="D108" s="77">
        <f t="shared" si="10"/>
        <v>45983</v>
      </c>
      <c r="E108" s="77">
        <f t="shared" si="11"/>
        <v>45990</v>
      </c>
      <c r="F108" s="77">
        <f t="shared" si="12"/>
        <v>45996</v>
      </c>
      <c r="G108" s="77">
        <f t="shared" si="13"/>
        <v>45984</v>
      </c>
      <c r="H108" s="77">
        <f t="shared" si="14"/>
        <v>45991</v>
      </c>
      <c r="I108" s="77">
        <v>46003</v>
      </c>
      <c r="J108" s="78">
        <f t="shared" si="17"/>
        <v>27</v>
      </c>
      <c r="K108" s="25">
        <v>11.09</v>
      </c>
      <c r="L108" s="25">
        <v>5.04</v>
      </c>
      <c r="M108" s="25">
        <f t="shared" si="16"/>
        <v>6.05</v>
      </c>
      <c r="N108" s="25" t="s">
        <v>593</v>
      </c>
    </row>
    <row r="109" spans="1:14" x14ac:dyDescent="0.25">
      <c r="A109" s="77">
        <v>45977</v>
      </c>
      <c r="B109" s="25" t="s">
        <v>513</v>
      </c>
      <c r="C109" s="77">
        <f t="shared" si="9"/>
        <v>46000</v>
      </c>
      <c r="D109" s="77">
        <f t="shared" si="10"/>
        <v>45984</v>
      </c>
      <c r="E109" s="77">
        <f t="shared" si="11"/>
        <v>45991</v>
      </c>
      <c r="F109" s="77">
        <f t="shared" si="12"/>
        <v>45997</v>
      </c>
      <c r="G109" s="77">
        <f t="shared" si="13"/>
        <v>45985</v>
      </c>
      <c r="H109" s="77">
        <f t="shared" si="14"/>
        <v>45992</v>
      </c>
      <c r="I109" s="77">
        <v>46004</v>
      </c>
      <c r="J109" s="78">
        <f t="shared" si="17"/>
        <v>27</v>
      </c>
      <c r="K109" s="25">
        <v>12.55</v>
      </c>
      <c r="L109" s="25">
        <v>6.07</v>
      </c>
      <c r="M109" s="25">
        <f t="shared" si="16"/>
        <v>6.48</v>
      </c>
      <c r="N109" s="25" t="s">
        <v>592</v>
      </c>
    </row>
    <row r="110" spans="1:14" x14ac:dyDescent="0.25">
      <c r="A110" s="77">
        <v>45977</v>
      </c>
      <c r="B110" s="25" t="s">
        <v>514</v>
      </c>
      <c r="C110" s="77">
        <f t="shared" si="9"/>
        <v>46000</v>
      </c>
      <c r="D110" s="77">
        <f t="shared" si="10"/>
        <v>45984</v>
      </c>
      <c r="E110" s="77">
        <f t="shared" si="11"/>
        <v>45991</v>
      </c>
      <c r="F110" s="77">
        <f t="shared" si="12"/>
        <v>45997</v>
      </c>
      <c r="G110" s="77">
        <f t="shared" si="13"/>
        <v>45985</v>
      </c>
      <c r="H110" s="77">
        <f t="shared" si="14"/>
        <v>45992</v>
      </c>
      <c r="I110" s="77">
        <v>46004</v>
      </c>
      <c r="J110" s="78">
        <f t="shared" si="17"/>
        <v>27</v>
      </c>
      <c r="K110" s="25">
        <v>11.71</v>
      </c>
      <c r="L110" s="25">
        <v>5.58</v>
      </c>
      <c r="M110" s="25">
        <f t="shared" si="16"/>
        <v>6.1300000000000008</v>
      </c>
      <c r="N110" s="25" t="s">
        <v>592</v>
      </c>
    </row>
    <row r="111" spans="1:14" x14ac:dyDescent="0.25">
      <c r="A111" s="77">
        <v>45977</v>
      </c>
      <c r="B111" s="25" t="s">
        <v>515</v>
      </c>
      <c r="C111" s="77">
        <f t="shared" si="9"/>
        <v>46000</v>
      </c>
      <c r="D111" s="77">
        <f t="shared" si="10"/>
        <v>45984</v>
      </c>
      <c r="E111" s="77">
        <f t="shared" si="11"/>
        <v>45991</v>
      </c>
      <c r="F111" s="77">
        <f t="shared" si="12"/>
        <v>45997</v>
      </c>
      <c r="G111" s="77">
        <f t="shared" si="13"/>
        <v>45985</v>
      </c>
      <c r="H111" s="77">
        <f t="shared" si="14"/>
        <v>45992</v>
      </c>
      <c r="I111" s="77">
        <v>46004</v>
      </c>
      <c r="J111" s="78">
        <f t="shared" si="17"/>
        <v>27</v>
      </c>
      <c r="K111" s="25">
        <v>11.62</v>
      </c>
      <c r="L111" s="25">
        <v>5.22</v>
      </c>
      <c r="M111" s="25">
        <f t="shared" si="16"/>
        <v>6.3999999999999995</v>
      </c>
      <c r="N111" s="25" t="s">
        <v>592</v>
      </c>
    </row>
    <row r="112" spans="1:14" x14ac:dyDescent="0.25">
      <c r="A112" s="77">
        <v>45977</v>
      </c>
      <c r="B112" s="25" t="s">
        <v>516</v>
      </c>
      <c r="C112" s="77">
        <f t="shared" si="9"/>
        <v>46000</v>
      </c>
      <c r="D112" s="77">
        <f t="shared" si="10"/>
        <v>45984</v>
      </c>
      <c r="E112" s="77">
        <f t="shared" si="11"/>
        <v>45991</v>
      </c>
      <c r="F112" s="77">
        <f t="shared" si="12"/>
        <v>45997</v>
      </c>
      <c r="G112" s="77">
        <f t="shared" si="13"/>
        <v>45985</v>
      </c>
      <c r="H112" s="77">
        <f t="shared" si="14"/>
        <v>45992</v>
      </c>
      <c r="I112" s="77">
        <v>46004</v>
      </c>
      <c r="J112" s="78">
        <f t="shared" si="17"/>
        <v>27</v>
      </c>
      <c r="K112" s="25">
        <v>12.47</v>
      </c>
      <c r="L112" s="25">
        <v>11.29</v>
      </c>
      <c r="M112" s="25">
        <f t="shared" si="16"/>
        <v>1.1800000000000015</v>
      </c>
      <c r="N112" s="25" t="s">
        <v>593</v>
      </c>
    </row>
    <row r="113" spans="1:14" x14ac:dyDescent="0.25">
      <c r="A113" s="77">
        <v>45977</v>
      </c>
      <c r="B113" s="25" t="s">
        <v>517</v>
      </c>
      <c r="C113" s="77">
        <f t="shared" si="9"/>
        <v>46000</v>
      </c>
      <c r="D113" s="77">
        <f t="shared" si="10"/>
        <v>45984</v>
      </c>
      <c r="E113" s="77">
        <f t="shared" si="11"/>
        <v>45991</v>
      </c>
      <c r="F113" s="77">
        <f t="shared" si="12"/>
        <v>45997</v>
      </c>
      <c r="G113" s="77">
        <f t="shared" si="13"/>
        <v>45985</v>
      </c>
      <c r="H113" s="77">
        <f t="shared" si="14"/>
        <v>45992</v>
      </c>
      <c r="I113" s="77">
        <v>46004</v>
      </c>
      <c r="J113" s="78">
        <f t="shared" si="17"/>
        <v>27</v>
      </c>
      <c r="K113" s="25">
        <v>11.81</v>
      </c>
      <c r="L113" s="25">
        <v>10.76</v>
      </c>
      <c r="M113" s="25">
        <f t="shared" si="16"/>
        <v>1.0500000000000007</v>
      </c>
      <c r="N113" s="25" t="s">
        <v>593</v>
      </c>
    </row>
    <row r="114" spans="1:14" x14ac:dyDescent="0.25">
      <c r="A114" s="77">
        <v>45977</v>
      </c>
      <c r="B114" s="25" t="s">
        <v>518</v>
      </c>
      <c r="C114" s="77">
        <f t="shared" si="9"/>
        <v>46000</v>
      </c>
      <c r="D114" s="77">
        <f t="shared" si="10"/>
        <v>45984</v>
      </c>
      <c r="E114" s="77">
        <f t="shared" si="11"/>
        <v>45991</v>
      </c>
      <c r="F114" s="77">
        <f t="shared" si="12"/>
        <v>45997</v>
      </c>
      <c r="G114" s="77">
        <f t="shared" si="13"/>
        <v>45985</v>
      </c>
      <c r="H114" s="77">
        <f t="shared" si="14"/>
        <v>45992</v>
      </c>
      <c r="I114" s="77">
        <v>46004</v>
      </c>
      <c r="J114" s="78">
        <f t="shared" si="17"/>
        <v>27</v>
      </c>
      <c r="K114" s="25">
        <v>13.49</v>
      </c>
      <c r="L114" s="25">
        <v>12.15</v>
      </c>
      <c r="M114" s="25">
        <f t="shared" si="16"/>
        <v>1.3399999999999999</v>
      </c>
      <c r="N114" s="25" t="s">
        <v>593</v>
      </c>
    </row>
    <row r="115" spans="1:14" x14ac:dyDescent="0.25">
      <c r="A115" s="77">
        <v>45977</v>
      </c>
      <c r="B115" s="25" t="s">
        <v>519</v>
      </c>
      <c r="C115" s="77">
        <f t="shared" si="9"/>
        <v>46000</v>
      </c>
      <c r="D115" s="77">
        <f t="shared" si="10"/>
        <v>45984</v>
      </c>
      <c r="E115" s="77">
        <f t="shared" si="11"/>
        <v>45991</v>
      </c>
      <c r="F115" s="77">
        <f t="shared" si="12"/>
        <v>45997</v>
      </c>
      <c r="G115" s="77">
        <f t="shared" si="13"/>
        <v>45985</v>
      </c>
      <c r="H115" s="77">
        <f t="shared" si="14"/>
        <v>45992</v>
      </c>
      <c r="I115" s="77">
        <v>46004</v>
      </c>
      <c r="J115" s="78">
        <f t="shared" si="17"/>
        <v>27</v>
      </c>
      <c r="K115" s="25">
        <v>12.68</v>
      </c>
      <c r="L115" s="25">
        <v>11.33</v>
      </c>
      <c r="M115" s="25">
        <f t="shared" si="16"/>
        <v>1.3499999999999996</v>
      </c>
      <c r="N115" s="25" t="s">
        <v>593</v>
      </c>
    </row>
    <row r="116" spans="1:14" x14ac:dyDescent="0.25">
      <c r="A116" s="77">
        <v>45978</v>
      </c>
      <c r="B116" s="25" t="s">
        <v>520</v>
      </c>
      <c r="C116" s="77">
        <f t="shared" si="9"/>
        <v>46001</v>
      </c>
      <c r="D116" s="77">
        <f t="shared" si="10"/>
        <v>45985</v>
      </c>
      <c r="E116" s="77">
        <f t="shared" si="11"/>
        <v>45992</v>
      </c>
      <c r="F116" s="77">
        <f t="shared" si="12"/>
        <v>45998</v>
      </c>
      <c r="G116" s="77">
        <f t="shared" si="13"/>
        <v>45986</v>
      </c>
      <c r="H116" s="77">
        <f t="shared" si="14"/>
        <v>45993</v>
      </c>
      <c r="I116" s="77">
        <v>46005</v>
      </c>
      <c r="J116" s="78">
        <f t="shared" si="17"/>
        <v>27</v>
      </c>
      <c r="K116" s="25">
        <v>12.74</v>
      </c>
      <c r="L116" s="25">
        <v>6.28</v>
      </c>
      <c r="M116" s="25">
        <f t="shared" si="16"/>
        <v>6.46</v>
      </c>
      <c r="N116" s="25" t="s">
        <v>592</v>
      </c>
    </row>
    <row r="117" spans="1:14" x14ac:dyDescent="0.25">
      <c r="A117" s="77">
        <v>45978</v>
      </c>
      <c r="B117" s="25" t="s">
        <v>521</v>
      </c>
      <c r="C117" s="77">
        <f t="shared" si="9"/>
        <v>46001</v>
      </c>
      <c r="D117" s="77">
        <f t="shared" si="10"/>
        <v>45985</v>
      </c>
      <c r="E117" s="77">
        <f t="shared" si="11"/>
        <v>45992</v>
      </c>
      <c r="F117" s="77">
        <f t="shared" si="12"/>
        <v>45998</v>
      </c>
      <c r="G117" s="77">
        <f t="shared" si="13"/>
        <v>45986</v>
      </c>
      <c r="H117" s="77">
        <f t="shared" si="14"/>
        <v>45993</v>
      </c>
      <c r="I117" s="77">
        <v>46005</v>
      </c>
      <c r="J117" s="78">
        <f t="shared" si="17"/>
        <v>27</v>
      </c>
      <c r="K117" s="25">
        <v>14.52</v>
      </c>
      <c r="L117" s="25">
        <v>7.31</v>
      </c>
      <c r="M117" s="25">
        <f t="shared" si="16"/>
        <v>7.21</v>
      </c>
      <c r="N117" s="25" t="s">
        <v>592</v>
      </c>
    </row>
    <row r="118" spans="1:14" x14ac:dyDescent="0.25">
      <c r="A118" s="77">
        <v>45978</v>
      </c>
      <c r="B118" s="25" t="s">
        <v>522</v>
      </c>
      <c r="C118" s="77">
        <f t="shared" si="9"/>
        <v>46001</v>
      </c>
      <c r="D118" s="77">
        <f t="shared" si="10"/>
        <v>45985</v>
      </c>
      <c r="E118" s="77">
        <f t="shared" si="11"/>
        <v>45992</v>
      </c>
      <c r="F118" s="77">
        <f t="shared" si="12"/>
        <v>45998</v>
      </c>
      <c r="G118" s="77">
        <f t="shared" si="13"/>
        <v>45986</v>
      </c>
      <c r="H118" s="77">
        <f t="shared" si="14"/>
        <v>45993</v>
      </c>
      <c r="I118" s="77">
        <v>46005</v>
      </c>
      <c r="J118" s="78">
        <f t="shared" si="17"/>
        <v>27</v>
      </c>
      <c r="K118" s="25">
        <v>14.81</v>
      </c>
      <c r="L118" s="25">
        <v>7.52</v>
      </c>
      <c r="M118" s="25">
        <f t="shared" si="16"/>
        <v>7.2900000000000009</v>
      </c>
      <c r="N118" s="25" t="s">
        <v>592</v>
      </c>
    </row>
    <row r="119" spans="1:14" x14ac:dyDescent="0.25">
      <c r="A119" s="77">
        <v>45978</v>
      </c>
      <c r="B119" s="25" t="s">
        <v>523</v>
      </c>
      <c r="C119" s="77">
        <f t="shared" si="9"/>
        <v>46001</v>
      </c>
      <c r="D119" s="77">
        <f t="shared" si="10"/>
        <v>45985</v>
      </c>
      <c r="E119" s="77">
        <f t="shared" si="11"/>
        <v>45992</v>
      </c>
      <c r="F119" s="77">
        <f t="shared" si="12"/>
        <v>45998</v>
      </c>
      <c r="G119" s="77">
        <f t="shared" si="13"/>
        <v>45986</v>
      </c>
      <c r="H119" s="77">
        <f t="shared" si="14"/>
        <v>45993</v>
      </c>
      <c r="I119" s="77">
        <v>46005</v>
      </c>
      <c r="J119" s="78">
        <f t="shared" si="17"/>
        <v>27</v>
      </c>
      <c r="K119" s="25">
        <v>13.1</v>
      </c>
      <c r="L119" s="25">
        <v>6.98</v>
      </c>
      <c r="M119" s="25">
        <f t="shared" si="16"/>
        <v>6.1199999999999992</v>
      </c>
      <c r="N119" s="25" t="s">
        <v>592</v>
      </c>
    </row>
    <row r="120" spans="1:14" x14ac:dyDescent="0.25">
      <c r="A120" s="77">
        <v>45978</v>
      </c>
      <c r="B120" s="25" t="s">
        <v>524</v>
      </c>
      <c r="C120" s="77">
        <f t="shared" si="9"/>
        <v>46001</v>
      </c>
      <c r="D120" s="77">
        <f t="shared" si="10"/>
        <v>45985</v>
      </c>
      <c r="E120" s="77">
        <f t="shared" si="11"/>
        <v>45992</v>
      </c>
      <c r="F120" s="77">
        <f t="shared" si="12"/>
        <v>45998</v>
      </c>
      <c r="G120" s="77">
        <f t="shared" si="13"/>
        <v>45986</v>
      </c>
      <c r="H120" s="77">
        <f t="shared" si="14"/>
        <v>45993</v>
      </c>
      <c r="I120" s="77">
        <v>46005</v>
      </c>
      <c r="J120" s="78">
        <f t="shared" si="17"/>
        <v>27</v>
      </c>
      <c r="K120" s="25">
        <v>11.66</v>
      </c>
      <c r="L120" s="25">
        <v>10.210000000000001</v>
      </c>
      <c r="M120" s="25">
        <f t="shared" si="16"/>
        <v>1.4499999999999993</v>
      </c>
      <c r="N120" s="25" t="s">
        <v>593</v>
      </c>
    </row>
    <row r="121" spans="1:14" x14ac:dyDescent="0.25">
      <c r="A121" s="77">
        <v>45978</v>
      </c>
      <c r="B121" s="25" t="s">
        <v>525</v>
      </c>
      <c r="C121" s="77">
        <f t="shared" si="9"/>
        <v>46001</v>
      </c>
      <c r="D121" s="77">
        <f t="shared" si="10"/>
        <v>45985</v>
      </c>
      <c r="E121" s="77">
        <f t="shared" si="11"/>
        <v>45992</v>
      </c>
      <c r="F121" s="77">
        <f t="shared" si="12"/>
        <v>45998</v>
      </c>
      <c r="G121" s="77">
        <f t="shared" si="13"/>
        <v>45986</v>
      </c>
      <c r="H121" s="77">
        <f t="shared" si="14"/>
        <v>45993</v>
      </c>
      <c r="I121" s="77">
        <v>46005</v>
      </c>
      <c r="J121" s="78">
        <f t="shared" si="17"/>
        <v>27</v>
      </c>
      <c r="K121" s="25">
        <v>13.79</v>
      </c>
      <c r="L121" s="25">
        <v>12.17</v>
      </c>
      <c r="M121" s="25">
        <f t="shared" si="16"/>
        <v>1.6199999999999992</v>
      </c>
      <c r="N121" s="25" t="s">
        <v>593</v>
      </c>
    </row>
    <row r="122" spans="1:14" x14ac:dyDescent="0.25">
      <c r="A122" s="77">
        <v>45978</v>
      </c>
      <c r="B122" s="25" t="s">
        <v>526</v>
      </c>
      <c r="C122" s="77">
        <f t="shared" si="9"/>
        <v>46001</v>
      </c>
      <c r="D122" s="77">
        <f t="shared" si="10"/>
        <v>45985</v>
      </c>
      <c r="E122" s="77">
        <f t="shared" si="11"/>
        <v>45992</v>
      </c>
      <c r="F122" s="77">
        <f t="shared" si="12"/>
        <v>45998</v>
      </c>
      <c r="G122" s="77">
        <f t="shared" si="13"/>
        <v>45986</v>
      </c>
      <c r="H122" s="77">
        <f t="shared" si="14"/>
        <v>45993</v>
      </c>
      <c r="I122" s="77">
        <v>46005</v>
      </c>
      <c r="J122" s="78">
        <f t="shared" si="17"/>
        <v>27</v>
      </c>
      <c r="K122" s="25">
        <v>11.82</v>
      </c>
      <c r="L122" s="25">
        <v>10.58</v>
      </c>
      <c r="M122" s="25">
        <f t="shared" si="16"/>
        <v>1.2400000000000002</v>
      </c>
      <c r="N122" s="25" t="s">
        <v>593</v>
      </c>
    </row>
    <row r="123" spans="1:14" x14ac:dyDescent="0.25">
      <c r="A123" s="77">
        <v>45979</v>
      </c>
      <c r="B123" s="25" t="s">
        <v>527</v>
      </c>
      <c r="C123" s="77">
        <f t="shared" si="9"/>
        <v>46002</v>
      </c>
      <c r="D123" s="77">
        <f t="shared" si="10"/>
        <v>45986</v>
      </c>
      <c r="E123" s="77">
        <f t="shared" si="11"/>
        <v>45993</v>
      </c>
      <c r="F123" s="77">
        <f t="shared" si="12"/>
        <v>45999</v>
      </c>
      <c r="G123" s="77">
        <f t="shared" si="13"/>
        <v>45987</v>
      </c>
      <c r="H123" s="77">
        <f t="shared" si="14"/>
        <v>45994</v>
      </c>
      <c r="I123" s="77">
        <v>46005</v>
      </c>
      <c r="J123" s="78">
        <f t="shared" si="17"/>
        <v>26</v>
      </c>
      <c r="K123" s="25">
        <v>12.75</v>
      </c>
      <c r="L123" s="25">
        <v>11.07</v>
      </c>
      <c r="M123" s="25">
        <f t="shared" si="16"/>
        <v>1.6799999999999997</v>
      </c>
      <c r="N123" s="25" t="s">
        <v>593</v>
      </c>
    </row>
    <row r="124" spans="1:14" x14ac:dyDescent="0.25">
      <c r="A124" s="77">
        <v>45979</v>
      </c>
      <c r="B124" s="25" t="s">
        <v>528</v>
      </c>
      <c r="C124" s="77">
        <f t="shared" si="9"/>
        <v>46002</v>
      </c>
      <c r="D124" s="77">
        <f t="shared" si="10"/>
        <v>45986</v>
      </c>
      <c r="E124" s="77">
        <f t="shared" si="11"/>
        <v>45993</v>
      </c>
      <c r="F124" s="77">
        <f t="shared" si="12"/>
        <v>45999</v>
      </c>
      <c r="G124" s="77">
        <f t="shared" si="13"/>
        <v>45987</v>
      </c>
      <c r="H124" s="77">
        <f t="shared" si="14"/>
        <v>45994</v>
      </c>
      <c r="I124" s="77">
        <v>46005</v>
      </c>
      <c r="J124" s="78">
        <f t="shared" si="17"/>
        <v>26</v>
      </c>
      <c r="K124" s="25">
        <v>12.88</v>
      </c>
      <c r="L124" s="25">
        <v>11.16</v>
      </c>
      <c r="M124" s="25">
        <f t="shared" si="16"/>
        <v>1.7200000000000006</v>
      </c>
      <c r="N124" s="25" t="s">
        <v>593</v>
      </c>
    </row>
    <row r="125" spans="1:14" x14ac:dyDescent="0.25">
      <c r="A125" s="77">
        <v>45979</v>
      </c>
      <c r="B125" s="25" t="s">
        <v>529</v>
      </c>
      <c r="C125" s="77">
        <f t="shared" si="9"/>
        <v>46002</v>
      </c>
      <c r="D125" s="77">
        <f t="shared" si="10"/>
        <v>45986</v>
      </c>
      <c r="E125" s="77">
        <f t="shared" si="11"/>
        <v>45993</v>
      </c>
      <c r="F125" s="77">
        <f t="shared" si="12"/>
        <v>45999</v>
      </c>
      <c r="G125" s="77">
        <f t="shared" si="13"/>
        <v>45987</v>
      </c>
      <c r="H125" s="77">
        <f t="shared" si="14"/>
        <v>45994</v>
      </c>
      <c r="I125" s="77">
        <v>46005</v>
      </c>
      <c r="J125" s="78">
        <f t="shared" si="17"/>
        <v>26</v>
      </c>
      <c r="K125" s="25">
        <v>13.54</v>
      </c>
      <c r="L125" s="25">
        <v>12.42</v>
      </c>
      <c r="M125" s="25">
        <f t="shared" si="16"/>
        <v>1.1199999999999992</v>
      </c>
      <c r="N125" s="25" t="s">
        <v>593</v>
      </c>
    </row>
    <row r="126" spans="1:14" x14ac:dyDescent="0.25">
      <c r="A126" s="77">
        <v>45979</v>
      </c>
      <c r="B126" s="25" t="s">
        <v>530</v>
      </c>
      <c r="C126" s="77">
        <f t="shared" si="9"/>
        <v>46002</v>
      </c>
      <c r="D126" s="77">
        <f t="shared" si="10"/>
        <v>45986</v>
      </c>
      <c r="E126" s="77">
        <f t="shared" si="11"/>
        <v>45993</v>
      </c>
      <c r="F126" s="77">
        <f t="shared" si="12"/>
        <v>45999</v>
      </c>
      <c r="G126" s="77">
        <f t="shared" si="13"/>
        <v>45987</v>
      </c>
      <c r="H126" s="77">
        <f t="shared" si="14"/>
        <v>45994</v>
      </c>
      <c r="I126" s="77">
        <v>46006</v>
      </c>
      <c r="J126" s="78">
        <f t="shared" si="17"/>
        <v>27</v>
      </c>
      <c r="K126" s="25">
        <v>13.52</v>
      </c>
      <c r="L126" s="25">
        <v>5.91</v>
      </c>
      <c r="M126" s="25">
        <f t="shared" si="16"/>
        <v>7.6099999999999994</v>
      </c>
      <c r="N126" s="25" t="s">
        <v>592</v>
      </c>
    </row>
    <row r="127" spans="1:14" x14ac:dyDescent="0.25">
      <c r="A127" s="77">
        <v>45979</v>
      </c>
      <c r="B127" s="25" t="s">
        <v>531</v>
      </c>
      <c r="C127" s="77">
        <f t="shared" si="9"/>
        <v>46002</v>
      </c>
      <c r="D127" s="77">
        <f t="shared" si="10"/>
        <v>45986</v>
      </c>
      <c r="E127" s="77">
        <f t="shared" si="11"/>
        <v>45993</v>
      </c>
      <c r="F127" s="77">
        <f t="shared" si="12"/>
        <v>45999</v>
      </c>
      <c r="G127" s="77">
        <f t="shared" si="13"/>
        <v>45987</v>
      </c>
      <c r="H127" s="77">
        <f t="shared" si="14"/>
        <v>45994</v>
      </c>
      <c r="I127" s="77">
        <v>46006</v>
      </c>
      <c r="J127" s="78">
        <f t="shared" si="17"/>
        <v>27</v>
      </c>
      <c r="K127" s="25">
        <v>12.96</v>
      </c>
      <c r="L127" s="25">
        <v>5.86</v>
      </c>
      <c r="M127" s="25">
        <f t="shared" si="16"/>
        <v>7.1000000000000005</v>
      </c>
      <c r="N127" s="25" t="s">
        <v>592</v>
      </c>
    </row>
    <row r="128" spans="1:14" x14ac:dyDescent="0.25">
      <c r="A128" s="77">
        <v>45979</v>
      </c>
      <c r="B128" s="25" t="s">
        <v>532</v>
      </c>
      <c r="C128" s="77">
        <f t="shared" si="9"/>
        <v>46002</v>
      </c>
      <c r="D128" s="77">
        <f t="shared" si="10"/>
        <v>45986</v>
      </c>
      <c r="E128" s="77">
        <f t="shared" si="11"/>
        <v>45993</v>
      </c>
      <c r="F128" s="77">
        <f t="shared" si="12"/>
        <v>45999</v>
      </c>
      <c r="G128" s="77">
        <f t="shared" si="13"/>
        <v>45987</v>
      </c>
      <c r="H128" s="77">
        <f t="shared" si="14"/>
        <v>45994</v>
      </c>
      <c r="I128" s="77">
        <v>46006</v>
      </c>
      <c r="J128" s="78">
        <f t="shared" si="17"/>
        <v>27</v>
      </c>
      <c r="K128" s="25">
        <v>12.25</v>
      </c>
      <c r="L128" s="25">
        <v>5.1100000000000003</v>
      </c>
      <c r="M128" s="25">
        <f t="shared" si="16"/>
        <v>7.14</v>
      </c>
      <c r="N128" s="25" t="s">
        <v>592</v>
      </c>
    </row>
    <row r="129" spans="1:14" x14ac:dyDescent="0.25">
      <c r="A129" s="77">
        <v>45979</v>
      </c>
      <c r="B129" s="25" t="s">
        <v>533</v>
      </c>
      <c r="C129" s="77">
        <f t="shared" si="9"/>
        <v>46002</v>
      </c>
      <c r="D129" s="77">
        <f t="shared" si="10"/>
        <v>45986</v>
      </c>
      <c r="E129" s="77">
        <f t="shared" si="11"/>
        <v>45993</v>
      </c>
      <c r="F129" s="77">
        <f t="shared" si="12"/>
        <v>45999</v>
      </c>
      <c r="G129" s="77">
        <f t="shared" si="13"/>
        <v>45987</v>
      </c>
      <c r="H129" s="77">
        <f t="shared" si="14"/>
        <v>45994</v>
      </c>
      <c r="I129" s="77">
        <v>46006</v>
      </c>
      <c r="J129" s="78">
        <f t="shared" si="17"/>
        <v>27</v>
      </c>
      <c r="K129" s="25">
        <v>11.81</v>
      </c>
      <c r="L129" s="25">
        <v>4.75</v>
      </c>
      <c r="M129" s="25">
        <f t="shared" si="16"/>
        <v>7.0600000000000005</v>
      </c>
      <c r="N129" s="25" t="s">
        <v>592</v>
      </c>
    </row>
    <row r="130" spans="1:14" x14ac:dyDescent="0.25">
      <c r="A130" s="77">
        <v>45980</v>
      </c>
      <c r="B130" s="25" t="s">
        <v>435</v>
      </c>
      <c r="C130" s="77">
        <f t="shared" si="9"/>
        <v>46003</v>
      </c>
      <c r="D130" s="77">
        <f t="shared" si="10"/>
        <v>45987</v>
      </c>
      <c r="E130" s="77">
        <f t="shared" si="11"/>
        <v>45994</v>
      </c>
      <c r="F130" s="77">
        <f t="shared" si="12"/>
        <v>46000</v>
      </c>
      <c r="G130" s="77">
        <f t="shared" si="13"/>
        <v>45988</v>
      </c>
      <c r="H130" s="77">
        <f t="shared" si="14"/>
        <v>45995</v>
      </c>
      <c r="I130" s="77">
        <v>46008</v>
      </c>
      <c r="J130" s="78">
        <f t="shared" si="17"/>
        <v>28</v>
      </c>
      <c r="K130" s="25">
        <v>11.28</v>
      </c>
      <c r="L130" s="25">
        <v>6.56</v>
      </c>
      <c r="M130" s="25">
        <f t="shared" si="16"/>
        <v>4.72</v>
      </c>
      <c r="N130" s="25" t="s">
        <v>592</v>
      </c>
    </row>
    <row r="131" spans="1:14" x14ac:dyDescent="0.25">
      <c r="A131" s="77">
        <v>45980</v>
      </c>
      <c r="B131" s="25" t="s">
        <v>436</v>
      </c>
      <c r="C131" s="77">
        <f t="shared" ref="C131:C194" si="18">A131+23</f>
        <v>46003</v>
      </c>
      <c r="D131" s="77">
        <f t="shared" ref="D131:D194" si="19">A131+7</f>
        <v>45987</v>
      </c>
      <c r="E131" s="77">
        <f t="shared" ref="E131:E194" si="20">A131+14</f>
        <v>45994</v>
      </c>
      <c r="F131" s="77">
        <f t="shared" ref="F131:F194" si="21">A131+20</f>
        <v>46000</v>
      </c>
      <c r="G131" s="77">
        <f t="shared" ref="G131:G194" si="22">A131+8</f>
        <v>45988</v>
      </c>
      <c r="H131" s="77">
        <f t="shared" ref="H131:H194" si="23">A131+15</f>
        <v>45995</v>
      </c>
      <c r="I131" s="77">
        <v>46008</v>
      </c>
      <c r="J131" s="78">
        <f t="shared" si="17"/>
        <v>28</v>
      </c>
      <c r="K131" s="25">
        <v>10.76</v>
      </c>
      <c r="L131" s="25">
        <v>5.17</v>
      </c>
      <c r="M131" s="25">
        <f t="shared" si="16"/>
        <v>5.59</v>
      </c>
      <c r="N131" s="25" t="s">
        <v>592</v>
      </c>
    </row>
    <row r="132" spans="1:14" x14ac:dyDescent="0.25">
      <c r="A132" s="77">
        <v>45980</v>
      </c>
      <c r="B132" s="25" t="s">
        <v>437</v>
      </c>
      <c r="C132" s="77">
        <f t="shared" si="18"/>
        <v>46003</v>
      </c>
      <c r="D132" s="77">
        <f t="shared" si="19"/>
        <v>45987</v>
      </c>
      <c r="E132" s="77">
        <f t="shared" si="20"/>
        <v>45994</v>
      </c>
      <c r="F132" s="77">
        <f t="shared" si="21"/>
        <v>46000</v>
      </c>
      <c r="G132" s="77">
        <f t="shared" si="22"/>
        <v>45988</v>
      </c>
      <c r="H132" s="77">
        <f t="shared" si="23"/>
        <v>45995</v>
      </c>
      <c r="I132" s="77">
        <v>46008</v>
      </c>
      <c r="J132" s="78">
        <f t="shared" si="17"/>
        <v>28</v>
      </c>
      <c r="K132" s="25">
        <v>11.19</v>
      </c>
      <c r="L132" s="25">
        <v>5.91</v>
      </c>
      <c r="M132" s="25">
        <f t="shared" si="16"/>
        <v>5.2799999999999994</v>
      </c>
      <c r="N132" s="25" t="s">
        <v>592</v>
      </c>
    </row>
    <row r="133" spans="1:14" x14ac:dyDescent="0.25">
      <c r="A133" s="77">
        <v>45980</v>
      </c>
      <c r="B133" s="25" t="s">
        <v>438</v>
      </c>
      <c r="C133" s="77">
        <f t="shared" si="18"/>
        <v>46003</v>
      </c>
      <c r="D133" s="77">
        <f t="shared" si="19"/>
        <v>45987</v>
      </c>
      <c r="E133" s="77">
        <f t="shared" si="20"/>
        <v>45994</v>
      </c>
      <c r="F133" s="77">
        <f t="shared" si="21"/>
        <v>46000</v>
      </c>
      <c r="G133" s="77">
        <f t="shared" si="22"/>
        <v>45988</v>
      </c>
      <c r="H133" s="77">
        <f t="shared" si="23"/>
        <v>45995</v>
      </c>
      <c r="I133" s="77">
        <v>46008</v>
      </c>
      <c r="J133" s="78">
        <f t="shared" si="17"/>
        <v>28</v>
      </c>
      <c r="K133" s="25">
        <v>9.91</v>
      </c>
      <c r="L133" s="25">
        <v>4.38</v>
      </c>
      <c r="M133" s="25">
        <f t="shared" si="16"/>
        <v>5.53</v>
      </c>
      <c r="N133" s="25" t="s">
        <v>592</v>
      </c>
    </row>
    <row r="134" spans="1:14" x14ac:dyDescent="0.25">
      <c r="A134" s="77">
        <v>45980</v>
      </c>
      <c r="B134" s="25" t="s">
        <v>439</v>
      </c>
      <c r="C134" s="77">
        <f t="shared" si="18"/>
        <v>46003</v>
      </c>
      <c r="D134" s="77">
        <f t="shared" si="19"/>
        <v>45987</v>
      </c>
      <c r="E134" s="77">
        <f t="shared" si="20"/>
        <v>45994</v>
      </c>
      <c r="F134" s="77">
        <f t="shared" si="21"/>
        <v>46000</v>
      </c>
      <c r="G134" s="77">
        <f t="shared" si="22"/>
        <v>45988</v>
      </c>
      <c r="H134" s="77">
        <f t="shared" si="23"/>
        <v>45995</v>
      </c>
      <c r="I134" s="77">
        <v>46007</v>
      </c>
      <c r="J134" s="78">
        <f t="shared" si="17"/>
        <v>27</v>
      </c>
      <c r="K134" s="25">
        <v>9.1999999999999993</v>
      </c>
      <c r="L134" s="25">
        <v>7.21</v>
      </c>
      <c r="M134" s="25">
        <f t="shared" ref="M134:M169" si="24">K134-L134</f>
        <v>1.9899999999999993</v>
      </c>
      <c r="N134" s="25" t="s">
        <v>593</v>
      </c>
    </row>
    <row r="135" spans="1:14" x14ac:dyDescent="0.25">
      <c r="A135" s="77">
        <v>45980</v>
      </c>
      <c r="B135" s="25" t="s">
        <v>440</v>
      </c>
      <c r="C135" s="77">
        <f t="shared" si="18"/>
        <v>46003</v>
      </c>
      <c r="D135" s="77">
        <f t="shared" si="19"/>
        <v>45987</v>
      </c>
      <c r="E135" s="77">
        <f t="shared" si="20"/>
        <v>45994</v>
      </c>
      <c r="F135" s="77">
        <f t="shared" si="21"/>
        <v>46000</v>
      </c>
      <c r="G135" s="77">
        <f t="shared" si="22"/>
        <v>45988</v>
      </c>
      <c r="H135" s="77">
        <f t="shared" si="23"/>
        <v>45995</v>
      </c>
      <c r="I135" s="77">
        <v>46007</v>
      </c>
      <c r="J135" s="78">
        <f t="shared" si="17"/>
        <v>27</v>
      </c>
      <c r="K135" s="25">
        <v>10.51</v>
      </c>
      <c r="L135" s="25">
        <v>8.76</v>
      </c>
      <c r="M135" s="25">
        <f t="shared" si="24"/>
        <v>1.75</v>
      </c>
      <c r="N135" s="25" t="s">
        <v>593</v>
      </c>
    </row>
    <row r="136" spans="1:14" x14ac:dyDescent="0.25">
      <c r="A136" s="77">
        <v>45980</v>
      </c>
      <c r="B136" s="25" t="s">
        <v>441</v>
      </c>
      <c r="C136" s="77">
        <f t="shared" si="18"/>
        <v>46003</v>
      </c>
      <c r="D136" s="77">
        <f t="shared" si="19"/>
        <v>45987</v>
      </c>
      <c r="E136" s="77">
        <f t="shared" si="20"/>
        <v>45994</v>
      </c>
      <c r="F136" s="77">
        <f t="shared" si="21"/>
        <v>46000</v>
      </c>
      <c r="G136" s="77">
        <f t="shared" si="22"/>
        <v>45988</v>
      </c>
      <c r="H136" s="77">
        <f t="shared" si="23"/>
        <v>45995</v>
      </c>
      <c r="I136" s="77">
        <v>46007</v>
      </c>
      <c r="J136" s="78">
        <f t="shared" si="17"/>
        <v>27</v>
      </c>
      <c r="K136" s="25">
        <v>14.81</v>
      </c>
      <c r="L136" s="25">
        <v>6.98</v>
      </c>
      <c r="M136" s="25">
        <f t="shared" si="24"/>
        <v>7.83</v>
      </c>
      <c r="N136" s="25" t="s">
        <v>592</v>
      </c>
    </row>
    <row r="137" spans="1:14" x14ac:dyDescent="0.25">
      <c r="A137" s="77">
        <v>45981</v>
      </c>
      <c r="B137" s="25" t="s">
        <v>359</v>
      </c>
      <c r="C137" s="77">
        <f t="shared" si="18"/>
        <v>46004</v>
      </c>
      <c r="D137" s="77">
        <f t="shared" si="19"/>
        <v>45988</v>
      </c>
      <c r="E137" s="77">
        <f t="shared" si="20"/>
        <v>45995</v>
      </c>
      <c r="F137" s="77">
        <f t="shared" si="21"/>
        <v>46001</v>
      </c>
      <c r="G137" s="77">
        <f t="shared" si="22"/>
        <v>45989</v>
      </c>
      <c r="H137" s="77">
        <f t="shared" si="23"/>
        <v>45996</v>
      </c>
      <c r="I137" s="77">
        <v>46006</v>
      </c>
      <c r="J137" s="78">
        <f t="shared" si="17"/>
        <v>25</v>
      </c>
      <c r="K137" s="25">
        <v>16.739999999999998</v>
      </c>
      <c r="L137" s="25">
        <v>12.16</v>
      </c>
      <c r="M137" s="25">
        <f t="shared" si="24"/>
        <v>4.5799999999999983</v>
      </c>
      <c r="N137" s="25" t="s">
        <v>593</v>
      </c>
    </row>
    <row r="138" spans="1:14" x14ac:dyDescent="0.25">
      <c r="A138" s="77">
        <v>45981</v>
      </c>
      <c r="B138" s="25" t="s">
        <v>360</v>
      </c>
      <c r="C138" s="77">
        <f t="shared" si="18"/>
        <v>46004</v>
      </c>
      <c r="D138" s="77">
        <f t="shared" si="19"/>
        <v>45988</v>
      </c>
      <c r="E138" s="77">
        <f t="shared" si="20"/>
        <v>45995</v>
      </c>
      <c r="F138" s="77">
        <f t="shared" si="21"/>
        <v>46001</v>
      </c>
      <c r="G138" s="77">
        <f t="shared" si="22"/>
        <v>45989</v>
      </c>
      <c r="H138" s="77">
        <f t="shared" si="23"/>
        <v>45996</v>
      </c>
      <c r="I138" s="77">
        <v>46006</v>
      </c>
      <c r="J138" s="78">
        <f t="shared" si="17"/>
        <v>25</v>
      </c>
      <c r="K138" s="25">
        <v>18.91</v>
      </c>
      <c r="L138" s="25">
        <v>16.38</v>
      </c>
      <c r="M138" s="25">
        <f t="shared" si="24"/>
        <v>2.5300000000000011</v>
      </c>
      <c r="N138" s="25" t="s">
        <v>593</v>
      </c>
    </row>
    <row r="139" spans="1:14" x14ac:dyDescent="0.25">
      <c r="A139" s="77">
        <v>45981</v>
      </c>
      <c r="B139" s="25" t="s">
        <v>361</v>
      </c>
      <c r="C139" s="77">
        <f t="shared" si="18"/>
        <v>46004</v>
      </c>
      <c r="D139" s="77">
        <f t="shared" si="19"/>
        <v>45988</v>
      </c>
      <c r="E139" s="77">
        <f t="shared" si="20"/>
        <v>45995</v>
      </c>
      <c r="F139" s="77">
        <f t="shared" si="21"/>
        <v>46001</v>
      </c>
      <c r="G139" s="77">
        <f t="shared" si="22"/>
        <v>45989</v>
      </c>
      <c r="H139" s="77">
        <f t="shared" si="23"/>
        <v>45996</v>
      </c>
      <c r="I139" s="77">
        <v>46006</v>
      </c>
      <c r="J139" s="78">
        <f t="shared" si="17"/>
        <v>25</v>
      </c>
      <c r="K139" s="25">
        <v>18.27</v>
      </c>
      <c r="L139" s="25">
        <v>15.14</v>
      </c>
      <c r="M139" s="25">
        <f t="shared" si="24"/>
        <v>3.129999999999999</v>
      </c>
      <c r="N139" s="25" t="s">
        <v>593</v>
      </c>
    </row>
    <row r="140" spans="1:14" x14ac:dyDescent="0.25">
      <c r="A140" s="77">
        <v>45981</v>
      </c>
      <c r="B140" s="25" t="s">
        <v>362</v>
      </c>
      <c r="C140" s="77">
        <f t="shared" si="18"/>
        <v>46004</v>
      </c>
      <c r="D140" s="77">
        <f t="shared" si="19"/>
        <v>45988</v>
      </c>
      <c r="E140" s="77">
        <f t="shared" si="20"/>
        <v>45995</v>
      </c>
      <c r="F140" s="77">
        <f t="shared" si="21"/>
        <v>46001</v>
      </c>
      <c r="G140" s="77">
        <f t="shared" si="22"/>
        <v>45989</v>
      </c>
      <c r="H140" s="77">
        <f t="shared" si="23"/>
        <v>45996</v>
      </c>
      <c r="I140" s="77">
        <v>46006</v>
      </c>
      <c r="J140" s="78">
        <f t="shared" si="17"/>
        <v>25</v>
      </c>
      <c r="K140" s="25">
        <v>16.100000000000001</v>
      </c>
      <c r="L140" s="25">
        <v>13.47</v>
      </c>
      <c r="M140" s="25">
        <f t="shared" si="24"/>
        <v>2.6300000000000008</v>
      </c>
      <c r="N140" s="25" t="s">
        <v>593</v>
      </c>
    </row>
    <row r="141" spans="1:14" x14ac:dyDescent="0.25">
      <c r="A141" s="77">
        <v>45981</v>
      </c>
      <c r="B141" s="25" t="s">
        <v>363</v>
      </c>
      <c r="C141" s="77">
        <f t="shared" si="18"/>
        <v>46004</v>
      </c>
      <c r="D141" s="77">
        <f t="shared" si="19"/>
        <v>45988</v>
      </c>
      <c r="E141" s="77">
        <f t="shared" si="20"/>
        <v>45995</v>
      </c>
      <c r="F141" s="77">
        <f t="shared" si="21"/>
        <v>46001</v>
      </c>
      <c r="G141" s="77">
        <f t="shared" si="22"/>
        <v>45989</v>
      </c>
      <c r="H141" s="77">
        <f t="shared" si="23"/>
        <v>45996</v>
      </c>
      <c r="I141" s="77">
        <v>46006</v>
      </c>
      <c r="J141" s="78">
        <f t="shared" si="17"/>
        <v>25</v>
      </c>
      <c r="K141" s="25">
        <v>16.190000000000001</v>
      </c>
      <c r="L141" s="25">
        <v>12.1</v>
      </c>
      <c r="M141" s="25">
        <f t="shared" si="24"/>
        <v>4.0900000000000016</v>
      </c>
      <c r="N141" s="25" t="s">
        <v>593</v>
      </c>
    </row>
    <row r="142" spans="1:14" x14ac:dyDescent="0.25">
      <c r="A142" s="77">
        <v>45981</v>
      </c>
      <c r="B142" s="25" t="s">
        <v>364</v>
      </c>
      <c r="C142" s="77">
        <f t="shared" si="18"/>
        <v>46004</v>
      </c>
      <c r="D142" s="77">
        <f t="shared" si="19"/>
        <v>45988</v>
      </c>
      <c r="E142" s="77">
        <f t="shared" si="20"/>
        <v>45995</v>
      </c>
      <c r="F142" s="77">
        <f t="shared" si="21"/>
        <v>46001</v>
      </c>
      <c r="G142" s="77">
        <f t="shared" si="22"/>
        <v>45989</v>
      </c>
      <c r="H142" s="77">
        <f t="shared" si="23"/>
        <v>45996</v>
      </c>
      <c r="I142" s="77">
        <v>46007</v>
      </c>
      <c r="J142" s="78">
        <f t="shared" si="17"/>
        <v>26</v>
      </c>
      <c r="K142" s="25">
        <v>16.670000000000002</v>
      </c>
      <c r="L142" s="25">
        <v>7.1</v>
      </c>
      <c r="M142" s="25">
        <f t="shared" si="24"/>
        <v>9.5700000000000021</v>
      </c>
      <c r="N142" s="25" t="s">
        <v>592</v>
      </c>
    </row>
    <row r="143" spans="1:14" x14ac:dyDescent="0.25">
      <c r="A143" s="77">
        <v>45981</v>
      </c>
      <c r="B143" s="25" t="s">
        <v>365</v>
      </c>
      <c r="C143" s="77">
        <f t="shared" si="18"/>
        <v>46004</v>
      </c>
      <c r="D143" s="77">
        <f t="shared" si="19"/>
        <v>45988</v>
      </c>
      <c r="E143" s="77">
        <f t="shared" si="20"/>
        <v>45995</v>
      </c>
      <c r="F143" s="77">
        <f t="shared" si="21"/>
        <v>46001</v>
      </c>
      <c r="G143" s="77">
        <f t="shared" si="22"/>
        <v>45989</v>
      </c>
      <c r="H143" s="77">
        <f t="shared" si="23"/>
        <v>45996</v>
      </c>
      <c r="I143" s="77">
        <v>46007</v>
      </c>
      <c r="J143" s="78">
        <f t="shared" si="17"/>
        <v>26</v>
      </c>
      <c r="K143" s="25">
        <v>17.100000000000001</v>
      </c>
      <c r="L143" s="25">
        <v>7.33</v>
      </c>
      <c r="M143" s="25">
        <f t="shared" si="24"/>
        <v>9.7700000000000014</v>
      </c>
      <c r="N143" s="25" t="s">
        <v>592</v>
      </c>
    </row>
    <row r="144" spans="1:14" x14ac:dyDescent="0.25">
      <c r="A144" s="77">
        <v>45982</v>
      </c>
      <c r="B144" s="25" t="s">
        <v>379</v>
      </c>
      <c r="C144" s="77">
        <f t="shared" si="18"/>
        <v>46005</v>
      </c>
      <c r="D144" s="77">
        <f t="shared" si="19"/>
        <v>45989</v>
      </c>
      <c r="E144" s="77">
        <f t="shared" si="20"/>
        <v>45996</v>
      </c>
      <c r="F144" s="77">
        <f t="shared" si="21"/>
        <v>46002</v>
      </c>
      <c r="G144" s="77">
        <f t="shared" si="22"/>
        <v>45990</v>
      </c>
      <c r="H144" s="77">
        <f t="shared" si="23"/>
        <v>45997</v>
      </c>
      <c r="I144" s="77">
        <v>46008</v>
      </c>
      <c r="J144" s="78">
        <f t="shared" si="17"/>
        <v>26</v>
      </c>
      <c r="K144" s="81">
        <v>16.13</v>
      </c>
      <c r="L144" s="82">
        <v>14.08</v>
      </c>
      <c r="M144" s="25">
        <f t="shared" si="24"/>
        <v>2.0499999999999989</v>
      </c>
      <c r="N144" s="25" t="s">
        <v>593</v>
      </c>
    </row>
    <row r="145" spans="1:14" x14ac:dyDescent="0.25">
      <c r="A145" s="77">
        <v>45982</v>
      </c>
      <c r="B145" s="25" t="s">
        <v>380</v>
      </c>
      <c r="C145" s="77">
        <f t="shared" si="18"/>
        <v>46005</v>
      </c>
      <c r="D145" s="77">
        <f t="shared" si="19"/>
        <v>45989</v>
      </c>
      <c r="E145" s="77">
        <f t="shared" si="20"/>
        <v>45996</v>
      </c>
      <c r="F145" s="77">
        <f t="shared" si="21"/>
        <v>46002</v>
      </c>
      <c r="G145" s="77">
        <f t="shared" si="22"/>
        <v>45990</v>
      </c>
      <c r="H145" s="77">
        <f t="shared" si="23"/>
        <v>45997</v>
      </c>
      <c r="I145" s="77">
        <v>46008</v>
      </c>
      <c r="J145" s="78">
        <f t="shared" si="17"/>
        <v>26</v>
      </c>
      <c r="K145" s="81">
        <v>17.260000000000002</v>
      </c>
      <c r="L145" s="82">
        <v>15.21</v>
      </c>
      <c r="M145" s="25">
        <f t="shared" si="24"/>
        <v>2.0500000000000007</v>
      </c>
      <c r="N145" s="25" t="s">
        <v>593</v>
      </c>
    </row>
    <row r="146" spans="1:14" x14ac:dyDescent="0.25">
      <c r="A146" s="77">
        <v>45982</v>
      </c>
      <c r="B146" s="25" t="s">
        <v>381</v>
      </c>
      <c r="C146" s="77">
        <f t="shared" si="18"/>
        <v>46005</v>
      </c>
      <c r="D146" s="77">
        <f t="shared" si="19"/>
        <v>45989</v>
      </c>
      <c r="E146" s="77">
        <f t="shared" si="20"/>
        <v>45996</v>
      </c>
      <c r="F146" s="77">
        <f t="shared" si="21"/>
        <v>46002</v>
      </c>
      <c r="G146" s="77">
        <f t="shared" si="22"/>
        <v>45990</v>
      </c>
      <c r="H146" s="77">
        <f t="shared" si="23"/>
        <v>45997</v>
      </c>
      <c r="I146" s="77">
        <v>46008</v>
      </c>
      <c r="J146" s="78">
        <f t="shared" si="17"/>
        <v>26</v>
      </c>
      <c r="K146" s="81">
        <v>17.8</v>
      </c>
      <c r="L146" s="82">
        <v>15.56</v>
      </c>
      <c r="M146" s="25">
        <f t="shared" si="24"/>
        <v>2.2400000000000002</v>
      </c>
      <c r="N146" s="25" t="s">
        <v>593</v>
      </c>
    </row>
    <row r="147" spans="1:14" x14ac:dyDescent="0.25">
      <c r="A147" s="77">
        <v>45982</v>
      </c>
      <c r="B147" s="25" t="s">
        <v>382</v>
      </c>
      <c r="C147" s="77">
        <f t="shared" si="18"/>
        <v>46005</v>
      </c>
      <c r="D147" s="77">
        <f t="shared" si="19"/>
        <v>45989</v>
      </c>
      <c r="E147" s="77">
        <f t="shared" si="20"/>
        <v>45996</v>
      </c>
      <c r="F147" s="77">
        <f t="shared" si="21"/>
        <v>46002</v>
      </c>
      <c r="G147" s="77">
        <f t="shared" si="22"/>
        <v>45990</v>
      </c>
      <c r="H147" s="77">
        <f t="shared" si="23"/>
        <v>45997</v>
      </c>
      <c r="I147" s="77">
        <v>46008</v>
      </c>
      <c r="J147" s="78">
        <f t="shared" si="17"/>
        <v>26</v>
      </c>
      <c r="K147" s="81">
        <v>18.149999999999999</v>
      </c>
      <c r="L147" s="82">
        <v>16.2</v>
      </c>
      <c r="M147" s="25">
        <f t="shared" si="24"/>
        <v>1.9499999999999993</v>
      </c>
      <c r="N147" s="25" t="s">
        <v>593</v>
      </c>
    </row>
    <row r="148" spans="1:14" x14ac:dyDescent="0.25">
      <c r="A148" s="77">
        <v>45982</v>
      </c>
      <c r="B148" s="25" t="s">
        <v>383</v>
      </c>
      <c r="C148" s="77">
        <f t="shared" si="18"/>
        <v>46005</v>
      </c>
      <c r="D148" s="77">
        <f t="shared" si="19"/>
        <v>45989</v>
      </c>
      <c r="E148" s="77">
        <f t="shared" si="20"/>
        <v>45996</v>
      </c>
      <c r="F148" s="77">
        <f t="shared" si="21"/>
        <v>46002</v>
      </c>
      <c r="G148" s="77">
        <f t="shared" si="22"/>
        <v>45990</v>
      </c>
      <c r="H148" s="77">
        <f t="shared" si="23"/>
        <v>45997</v>
      </c>
      <c r="I148" s="77">
        <v>46008</v>
      </c>
      <c r="J148" s="78">
        <f t="shared" si="17"/>
        <v>26</v>
      </c>
      <c r="K148" s="81">
        <v>17.010000000000002</v>
      </c>
      <c r="L148" s="82">
        <v>14.88</v>
      </c>
      <c r="M148" s="25">
        <f t="shared" si="24"/>
        <v>2.1300000000000008</v>
      </c>
      <c r="N148" s="25" t="s">
        <v>593</v>
      </c>
    </row>
    <row r="149" spans="1:14" x14ac:dyDescent="0.25">
      <c r="A149" s="77">
        <v>45982</v>
      </c>
      <c r="B149" s="25" t="s">
        <v>384</v>
      </c>
      <c r="C149" s="77">
        <f t="shared" si="18"/>
        <v>46005</v>
      </c>
      <c r="D149" s="77">
        <f t="shared" si="19"/>
        <v>45989</v>
      </c>
      <c r="E149" s="77">
        <f t="shared" si="20"/>
        <v>45996</v>
      </c>
      <c r="F149" s="77">
        <f t="shared" si="21"/>
        <v>46002</v>
      </c>
      <c r="G149" s="77">
        <f t="shared" si="22"/>
        <v>45990</v>
      </c>
      <c r="H149" s="77">
        <f t="shared" si="23"/>
        <v>45997</v>
      </c>
      <c r="I149" s="77">
        <v>46009</v>
      </c>
      <c r="J149" s="78">
        <f t="shared" si="17"/>
        <v>27</v>
      </c>
      <c r="K149" s="25">
        <v>14.23</v>
      </c>
      <c r="L149" s="25">
        <v>7.06</v>
      </c>
      <c r="M149" s="25">
        <f t="shared" si="24"/>
        <v>7.1700000000000008</v>
      </c>
      <c r="N149" s="25" t="s">
        <v>592</v>
      </c>
    </row>
    <row r="150" spans="1:14" x14ac:dyDescent="0.25">
      <c r="A150" s="77">
        <v>45982</v>
      </c>
      <c r="B150" s="25" t="s">
        <v>385</v>
      </c>
      <c r="C150" s="77">
        <f t="shared" si="18"/>
        <v>46005</v>
      </c>
      <c r="D150" s="77">
        <f t="shared" si="19"/>
        <v>45989</v>
      </c>
      <c r="E150" s="77">
        <f t="shared" si="20"/>
        <v>45996</v>
      </c>
      <c r="F150" s="77">
        <f t="shared" si="21"/>
        <v>46002</v>
      </c>
      <c r="G150" s="77">
        <f t="shared" si="22"/>
        <v>45990</v>
      </c>
      <c r="H150" s="77">
        <f t="shared" si="23"/>
        <v>45997</v>
      </c>
      <c r="I150" s="77">
        <v>46009</v>
      </c>
      <c r="J150" s="78">
        <f t="shared" si="17"/>
        <v>27</v>
      </c>
      <c r="K150" s="25">
        <v>14.51</v>
      </c>
      <c r="L150" s="25">
        <v>7.12</v>
      </c>
      <c r="M150" s="25">
        <f t="shared" si="24"/>
        <v>7.39</v>
      </c>
      <c r="N150" s="25" t="s">
        <v>592</v>
      </c>
    </row>
    <row r="151" spans="1:14" x14ac:dyDescent="0.25">
      <c r="A151" s="77">
        <v>45983</v>
      </c>
      <c r="B151" s="25" t="s">
        <v>366</v>
      </c>
      <c r="C151" s="77">
        <f t="shared" si="18"/>
        <v>46006</v>
      </c>
      <c r="D151" s="77">
        <f t="shared" si="19"/>
        <v>45990</v>
      </c>
      <c r="E151" s="77">
        <f t="shared" si="20"/>
        <v>45997</v>
      </c>
      <c r="F151" s="77">
        <f t="shared" si="21"/>
        <v>46003</v>
      </c>
      <c r="G151" s="77">
        <f t="shared" si="22"/>
        <v>45991</v>
      </c>
      <c r="H151" s="77">
        <f t="shared" si="23"/>
        <v>45998</v>
      </c>
      <c r="I151" s="77">
        <v>46009</v>
      </c>
      <c r="J151" s="78">
        <f t="shared" si="17"/>
        <v>26</v>
      </c>
      <c r="K151" s="25">
        <v>16.899999999999999</v>
      </c>
      <c r="L151" s="25">
        <v>14.19</v>
      </c>
      <c r="M151" s="25">
        <f t="shared" si="24"/>
        <v>2.7099999999999991</v>
      </c>
      <c r="N151" s="25" t="s">
        <v>593</v>
      </c>
    </row>
    <row r="152" spans="1:14" x14ac:dyDescent="0.25">
      <c r="A152" s="77">
        <v>45983</v>
      </c>
      <c r="B152" s="25" t="s">
        <v>367</v>
      </c>
      <c r="C152" s="77">
        <f t="shared" si="18"/>
        <v>46006</v>
      </c>
      <c r="D152" s="77">
        <f t="shared" si="19"/>
        <v>45990</v>
      </c>
      <c r="E152" s="77">
        <f t="shared" si="20"/>
        <v>45997</v>
      </c>
      <c r="F152" s="77">
        <f t="shared" si="21"/>
        <v>46003</v>
      </c>
      <c r="G152" s="77">
        <f t="shared" si="22"/>
        <v>45991</v>
      </c>
      <c r="H152" s="77">
        <f t="shared" si="23"/>
        <v>45998</v>
      </c>
      <c r="I152" s="77">
        <v>46009</v>
      </c>
      <c r="J152" s="78">
        <f t="shared" si="17"/>
        <v>26</v>
      </c>
      <c r="K152" s="25">
        <v>17.96</v>
      </c>
      <c r="L152" s="25">
        <v>15.06</v>
      </c>
      <c r="M152" s="25">
        <f t="shared" si="24"/>
        <v>2.9000000000000004</v>
      </c>
      <c r="N152" s="25" t="s">
        <v>593</v>
      </c>
    </row>
    <row r="153" spans="1:14" x14ac:dyDescent="0.25">
      <c r="A153" s="77">
        <v>45983</v>
      </c>
      <c r="B153" s="25" t="s">
        <v>368</v>
      </c>
      <c r="C153" s="77">
        <f t="shared" si="18"/>
        <v>46006</v>
      </c>
      <c r="D153" s="77">
        <f t="shared" si="19"/>
        <v>45990</v>
      </c>
      <c r="E153" s="77">
        <f t="shared" si="20"/>
        <v>45997</v>
      </c>
      <c r="F153" s="77">
        <f t="shared" si="21"/>
        <v>46003</v>
      </c>
      <c r="G153" s="77">
        <f t="shared" si="22"/>
        <v>45991</v>
      </c>
      <c r="H153" s="77">
        <f t="shared" si="23"/>
        <v>45998</v>
      </c>
      <c r="I153" s="77">
        <v>46009</v>
      </c>
      <c r="J153" s="78">
        <f t="shared" si="17"/>
        <v>26</v>
      </c>
      <c r="K153" s="25">
        <v>16.03</v>
      </c>
      <c r="L153" s="25">
        <v>13.98</v>
      </c>
      <c r="M153" s="25">
        <f t="shared" si="24"/>
        <v>2.0500000000000007</v>
      </c>
      <c r="N153" s="25" t="s">
        <v>593</v>
      </c>
    </row>
    <row r="154" spans="1:14" x14ac:dyDescent="0.25">
      <c r="A154" s="77">
        <v>45983</v>
      </c>
      <c r="B154" s="25" t="s">
        <v>369</v>
      </c>
      <c r="C154" s="77">
        <f t="shared" si="18"/>
        <v>46006</v>
      </c>
      <c r="D154" s="77">
        <f t="shared" si="19"/>
        <v>45990</v>
      </c>
      <c r="E154" s="77">
        <f t="shared" si="20"/>
        <v>45997</v>
      </c>
      <c r="F154" s="77">
        <f t="shared" si="21"/>
        <v>46003</v>
      </c>
      <c r="G154" s="77">
        <f t="shared" si="22"/>
        <v>45991</v>
      </c>
      <c r="H154" s="77">
        <f t="shared" si="23"/>
        <v>45998</v>
      </c>
      <c r="I154" s="77">
        <v>46009</v>
      </c>
      <c r="J154" s="78">
        <f t="shared" si="17"/>
        <v>26</v>
      </c>
      <c r="K154" s="25">
        <v>17.190000000000001</v>
      </c>
      <c r="L154" s="25">
        <v>14.57</v>
      </c>
      <c r="M154" s="25">
        <f t="shared" si="24"/>
        <v>2.620000000000001</v>
      </c>
      <c r="N154" s="25" t="s">
        <v>593</v>
      </c>
    </row>
    <row r="155" spans="1:14" x14ac:dyDescent="0.25">
      <c r="A155" s="77">
        <v>45983</v>
      </c>
      <c r="B155" s="25" t="s">
        <v>370</v>
      </c>
      <c r="C155" s="77">
        <f t="shared" si="18"/>
        <v>46006</v>
      </c>
      <c r="D155" s="77">
        <f t="shared" si="19"/>
        <v>45990</v>
      </c>
      <c r="E155" s="77">
        <f t="shared" si="20"/>
        <v>45997</v>
      </c>
      <c r="F155" s="77">
        <f t="shared" si="21"/>
        <v>46003</v>
      </c>
      <c r="G155" s="77">
        <f t="shared" si="22"/>
        <v>45991</v>
      </c>
      <c r="H155" s="77">
        <f t="shared" si="23"/>
        <v>45998</v>
      </c>
      <c r="I155" s="77">
        <v>46010</v>
      </c>
      <c r="J155" s="78">
        <f t="shared" si="17"/>
        <v>27</v>
      </c>
      <c r="K155" s="81">
        <v>19.37</v>
      </c>
      <c r="L155" s="82">
        <v>10.11</v>
      </c>
      <c r="M155" s="25">
        <f t="shared" si="24"/>
        <v>9.2600000000000016</v>
      </c>
      <c r="N155" s="82" t="s">
        <v>592</v>
      </c>
    </row>
    <row r="156" spans="1:14" x14ac:dyDescent="0.25">
      <c r="A156" s="77">
        <v>45983</v>
      </c>
      <c r="B156" s="25" t="s">
        <v>371</v>
      </c>
      <c r="C156" s="77">
        <f t="shared" si="18"/>
        <v>46006</v>
      </c>
      <c r="D156" s="77">
        <f t="shared" si="19"/>
        <v>45990</v>
      </c>
      <c r="E156" s="77">
        <f t="shared" si="20"/>
        <v>45997</v>
      </c>
      <c r="F156" s="77">
        <f t="shared" si="21"/>
        <v>46003</v>
      </c>
      <c r="G156" s="77">
        <f t="shared" si="22"/>
        <v>45991</v>
      </c>
      <c r="H156" s="77">
        <f t="shared" si="23"/>
        <v>45998</v>
      </c>
      <c r="I156" s="77">
        <v>46010</v>
      </c>
      <c r="J156" s="78">
        <f t="shared" si="17"/>
        <v>27</v>
      </c>
      <c r="K156" s="81">
        <v>16.52</v>
      </c>
      <c r="L156" s="82">
        <v>8.27</v>
      </c>
      <c r="M156" s="25">
        <f t="shared" si="24"/>
        <v>8.25</v>
      </c>
      <c r="N156" s="82" t="s">
        <v>592</v>
      </c>
    </row>
    <row r="157" spans="1:14" x14ac:dyDescent="0.25">
      <c r="A157" s="77">
        <v>45983</v>
      </c>
      <c r="B157" s="25" t="s">
        <v>372</v>
      </c>
      <c r="C157" s="77">
        <f t="shared" si="18"/>
        <v>46006</v>
      </c>
      <c r="D157" s="77">
        <f t="shared" si="19"/>
        <v>45990</v>
      </c>
      <c r="E157" s="77">
        <f t="shared" si="20"/>
        <v>45997</v>
      </c>
      <c r="F157" s="77">
        <f t="shared" si="21"/>
        <v>46003</v>
      </c>
      <c r="G157" s="77">
        <f t="shared" si="22"/>
        <v>45991</v>
      </c>
      <c r="H157" s="77">
        <f t="shared" si="23"/>
        <v>45998</v>
      </c>
      <c r="I157" s="77">
        <v>46010</v>
      </c>
      <c r="J157" s="78">
        <f t="shared" si="17"/>
        <v>27</v>
      </c>
      <c r="K157" s="81">
        <v>15.76</v>
      </c>
      <c r="L157" s="82">
        <v>13.89</v>
      </c>
      <c r="M157" s="25">
        <f t="shared" si="24"/>
        <v>1.8699999999999992</v>
      </c>
      <c r="N157" s="82" t="s">
        <v>593</v>
      </c>
    </row>
    <row r="158" spans="1:14" x14ac:dyDescent="0.25">
      <c r="A158" s="77">
        <v>45984</v>
      </c>
      <c r="B158" s="25" t="s">
        <v>386</v>
      </c>
      <c r="C158" s="77">
        <f t="shared" si="18"/>
        <v>46007</v>
      </c>
      <c r="D158" s="77">
        <f t="shared" si="19"/>
        <v>45991</v>
      </c>
      <c r="E158" s="77">
        <f t="shared" si="20"/>
        <v>45998</v>
      </c>
      <c r="F158" s="77">
        <f t="shared" si="21"/>
        <v>46004</v>
      </c>
      <c r="G158" s="77">
        <f t="shared" si="22"/>
        <v>45992</v>
      </c>
      <c r="H158" s="77">
        <f t="shared" si="23"/>
        <v>45999</v>
      </c>
      <c r="I158" s="77">
        <v>46010</v>
      </c>
      <c r="J158" s="78">
        <f t="shared" si="17"/>
        <v>26</v>
      </c>
      <c r="K158" s="81">
        <v>17.02</v>
      </c>
      <c r="L158" s="82">
        <v>15.12</v>
      </c>
      <c r="M158" s="25">
        <f t="shared" si="24"/>
        <v>1.9000000000000004</v>
      </c>
      <c r="N158" s="82" t="s">
        <v>593</v>
      </c>
    </row>
    <row r="159" spans="1:14" x14ac:dyDescent="0.25">
      <c r="A159" s="77">
        <v>45984</v>
      </c>
      <c r="B159" s="25" t="s">
        <v>387</v>
      </c>
      <c r="C159" s="77">
        <f t="shared" si="18"/>
        <v>46007</v>
      </c>
      <c r="D159" s="77">
        <f t="shared" si="19"/>
        <v>45991</v>
      </c>
      <c r="E159" s="77">
        <f t="shared" si="20"/>
        <v>45998</v>
      </c>
      <c r="F159" s="77">
        <f t="shared" si="21"/>
        <v>46004</v>
      </c>
      <c r="G159" s="77">
        <f t="shared" si="22"/>
        <v>45992</v>
      </c>
      <c r="H159" s="77">
        <f t="shared" si="23"/>
        <v>45999</v>
      </c>
      <c r="I159" s="77">
        <v>46010</v>
      </c>
      <c r="J159" s="78">
        <f t="shared" si="17"/>
        <v>26</v>
      </c>
      <c r="K159" s="81">
        <v>16.170000000000002</v>
      </c>
      <c r="L159" s="82">
        <v>14.59</v>
      </c>
      <c r="M159" s="25">
        <f t="shared" si="24"/>
        <v>1.5800000000000018</v>
      </c>
      <c r="N159" s="82" t="s">
        <v>593</v>
      </c>
    </row>
    <row r="160" spans="1:14" x14ac:dyDescent="0.25">
      <c r="A160" s="77">
        <v>45984</v>
      </c>
      <c r="B160" s="25" t="s">
        <v>388</v>
      </c>
      <c r="C160" s="77">
        <f t="shared" si="18"/>
        <v>46007</v>
      </c>
      <c r="D160" s="77">
        <f t="shared" si="19"/>
        <v>45991</v>
      </c>
      <c r="E160" s="77">
        <f t="shared" si="20"/>
        <v>45998</v>
      </c>
      <c r="F160" s="77">
        <f t="shared" si="21"/>
        <v>46004</v>
      </c>
      <c r="G160" s="77">
        <f t="shared" si="22"/>
        <v>45992</v>
      </c>
      <c r="H160" s="77">
        <f t="shared" si="23"/>
        <v>45999</v>
      </c>
      <c r="I160" s="77">
        <v>46010</v>
      </c>
      <c r="J160" s="78">
        <f t="shared" si="17"/>
        <v>26</v>
      </c>
      <c r="K160" s="81">
        <v>16.89</v>
      </c>
      <c r="L160" s="82">
        <v>15.28</v>
      </c>
      <c r="M160" s="25">
        <f t="shared" si="24"/>
        <v>1.6100000000000012</v>
      </c>
      <c r="N160" s="82" t="s">
        <v>593</v>
      </c>
    </row>
    <row r="161" spans="1:14" x14ac:dyDescent="0.25">
      <c r="A161" s="77">
        <v>45984</v>
      </c>
      <c r="B161" s="25" t="s">
        <v>389</v>
      </c>
      <c r="C161" s="77">
        <f t="shared" si="18"/>
        <v>46007</v>
      </c>
      <c r="D161" s="77">
        <f t="shared" si="19"/>
        <v>45991</v>
      </c>
      <c r="E161" s="77">
        <f t="shared" si="20"/>
        <v>45998</v>
      </c>
      <c r="F161" s="77">
        <f t="shared" si="21"/>
        <v>46004</v>
      </c>
      <c r="G161" s="77">
        <f t="shared" si="22"/>
        <v>45992</v>
      </c>
      <c r="H161" s="77">
        <f t="shared" si="23"/>
        <v>45999</v>
      </c>
      <c r="I161" s="77">
        <v>46010</v>
      </c>
      <c r="J161" s="78">
        <f t="shared" si="17"/>
        <v>26</v>
      </c>
      <c r="K161" s="81">
        <v>18.55</v>
      </c>
      <c r="L161" s="82">
        <v>16.36</v>
      </c>
      <c r="M161" s="25">
        <f t="shared" si="24"/>
        <v>2.1900000000000013</v>
      </c>
      <c r="N161" s="82" t="s">
        <v>593</v>
      </c>
    </row>
    <row r="162" spans="1:14" x14ac:dyDescent="0.25">
      <c r="A162" s="77">
        <v>45984</v>
      </c>
      <c r="B162" s="25" t="s">
        <v>390</v>
      </c>
      <c r="C162" s="77">
        <f t="shared" si="18"/>
        <v>46007</v>
      </c>
      <c r="D162" s="77">
        <f t="shared" si="19"/>
        <v>45991</v>
      </c>
      <c r="E162" s="77">
        <f t="shared" si="20"/>
        <v>45998</v>
      </c>
      <c r="F162" s="77">
        <f t="shared" si="21"/>
        <v>46004</v>
      </c>
      <c r="G162" s="77">
        <f t="shared" si="22"/>
        <v>45992</v>
      </c>
      <c r="H162" s="77">
        <f t="shared" si="23"/>
        <v>45999</v>
      </c>
      <c r="I162" s="77">
        <v>46011</v>
      </c>
      <c r="J162" s="78">
        <f t="shared" si="17"/>
        <v>27</v>
      </c>
      <c r="K162" s="25">
        <v>18.93</v>
      </c>
      <c r="L162" s="25">
        <v>9.1300000000000008</v>
      </c>
      <c r="M162" s="25">
        <f t="shared" si="24"/>
        <v>9.7999999999999989</v>
      </c>
      <c r="N162" s="25" t="s">
        <v>592</v>
      </c>
    </row>
    <row r="163" spans="1:14" x14ac:dyDescent="0.25">
      <c r="A163" s="77">
        <v>45984</v>
      </c>
      <c r="B163" s="25" t="s">
        <v>391</v>
      </c>
      <c r="C163" s="77">
        <f t="shared" si="18"/>
        <v>46007</v>
      </c>
      <c r="D163" s="77">
        <f t="shared" si="19"/>
        <v>45991</v>
      </c>
      <c r="E163" s="77">
        <f t="shared" si="20"/>
        <v>45998</v>
      </c>
      <c r="F163" s="77">
        <f t="shared" si="21"/>
        <v>46004</v>
      </c>
      <c r="G163" s="77">
        <f t="shared" si="22"/>
        <v>45992</v>
      </c>
      <c r="H163" s="77">
        <f t="shared" si="23"/>
        <v>45999</v>
      </c>
      <c r="I163" s="77">
        <v>46011</v>
      </c>
      <c r="J163" s="78">
        <f t="shared" ref="J163:J169" si="25">I163-A163</f>
        <v>27</v>
      </c>
      <c r="K163" s="25">
        <v>17.239999999999998</v>
      </c>
      <c r="L163" s="25">
        <v>8.7200000000000006</v>
      </c>
      <c r="M163" s="25">
        <f t="shared" si="24"/>
        <v>8.5199999999999978</v>
      </c>
      <c r="N163" s="25" t="s">
        <v>592</v>
      </c>
    </row>
    <row r="164" spans="1:14" x14ac:dyDescent="0.25">
      <c r="A164" s="77">
        <v>45984</v>
      </c>
      <c r="B164" s="25" t="s">
        <v>392</v>
      </c>
      <c r="C164" s="77">
        <f t="shared" si="18"/>
        <v>46007</v>
      </c>
      <c r="D164" s="77">
        <f t="shared" si="19"/>
        <v>45991</v>
      </c>
      <c r="E164" s="77">
        <f t="shared" si="20"/>
        <v>45998</v>
      </c>
      <c r="F164" s="77">
        <f t="shared" si="21"/>
        <v>46004</v>
      </c>
      <c r="G164" s="77">
        <f t="shared" si="22"/>
        <v>45992</v>
      </c>
      <c r="H164" s="77">
        <f t="shared" si="23"/>
        <v>45999</v>
      </c>
      <c r="I164" s="77">
        <v>46011</v>
      </c>
      <c r="J164" s="78">
        <f t="shared" si="25"/>
        <v>27</v>
      </c>
      <c r="K164" s="25">
        <v>16.22</v>
      </c>
      <c r="L164" s="25">
        <v>8.1199999999999992</v>
      </c>
      <c r="M164" s="25">
        <f t="shared" si="24"/>
        <v>8.1</v>
      </c>
      <c r="N164" s="25" t="s">
        <v>592</v>
      </c>
    </row>
    <row r="165" spans="1:14" x14ac:dyDescent="0.25">
      <c r="A165" s="77">
        <v>45985</v>
      </c>
      <c r="B165" s="25" t="s">
        <v>373</v>
      </c>
      <c r="C165" s="77">
        <f t="shared" si="18"/>
        <v>46008</v>
      </c>
      <c r="D165" s="77">
        <f t="shared" si="19"/>
        <v>45992</v>
      </c>
      <c r="E165" s="77">
        <f t="shared" si="20"/>
        <v>45999</v>
      </c>
      <c r="F165" s="77">
        <f t="shared" si="21"/>
        <v>46005</v>
      </c>
      <c r="G165" s="77">
        <f t="shared" si="22"/>
        <v>45993</v>
      </c>
      <c r="H165" s="77">
        <f t="shared" si="23"/>
        <v>46000</v>
      </c>
      <c r="I165" s="77">
        <v>46011</v>
      </c>
      <c r="J165" s="78">
        <f t="shared" si="25"/>
        <v>26</v>
      </c>
      <c r="K165" s="25">
        <v>15.2</v>
      </c>
      <c r="L165" s="25">
        <v>8.43</v>
      </c>
      <c r="M165" s="25">
        <f t="shared" si="24"/>
        <v>6.77</v>
      </c>
      <c r="N165" s="25" t="s">
        <v>592</v>
      </c>
    </row>
    <row r="166" spans="1:14" x14ac:dyDescent="0.25">
      <c r="A166" s="77">
        <v>45985</v>
      </c>
      <c r="B166" s="25" t="s">
        <v>374</v>
      </c>
      <c r="C166" s="77">
        <f t="shared" si="18"/>
        <v>46008</v>
      </c>
      <c r="D166" s="77">
        <f t="shared" si="19"/>
        <v>45992</v>
      </c>
      <c r="E166" s="77">
        <f t="shared" si="20"/>
        <v>45999</v>
      </c>
      <c r="F166" s="77">
        <f t="shared" si="21"/>
        <v>46005</v>
      </c>
      <c r="G166" s="77">
        <f t="shared" si="22"/>
        <v>45993</v>
      </c>
      <c r="H166" s="77">
        <f t="shared" si="23"/>
        <v>46000</v>
      </c>
      <c r="I166" s="77">
        <v>46011</v>
      </c>
      <c r="J166" s="78">
        <f t="shared" si="25"/>
        <v>26</v>
      </c>
      <c r="K166" s="25">
        <v>17.41</v>
      </c>
      <c r="L166" s="25">
        <v>15.35</v>
      </c>
      <c r="M166" s="25">
        <f t="shared" si="24"/>
        <v>2.0600000000000005</v>
      </c>
      <c r="N166" s="25" t="s">
        <v>593</v>
      </c>
    </row>
    <row r="167" spans="1:14" x14ac:dyDescent="0.25">
      <c r="A167" s="77">
        <v>45985</v>
      </c>
      <c r="B167" s="25" t="s">
        <v>375</v>
      </c>
      <c r="C167" s="77">
        <f t="shared" si="18"/>
        <v>46008</v>
      </c>
      <c r="D167" s="77">
        <f t="shared" si="19"/>
        <v>45992</v>
      </c>
      <c r="E167" s="77">
        <f t="shared" si="20"/>
        <v>45999</v>
      </c>
      <c r="F167" s="77">
        <f t="shared" si="21"/>
        <v>46005</v>
      </c>
      <c r="G167" s="77">
        <f t="shared" si="22"/>
        <v>45993</v>
      </c>
      <c r="H167" s="77">
        <f t="shared" si="23"/>
        <v>46000</v>
      </c>
      <c r="I167" s="77">
        <v>46011</v>
      </c>
      <c r="J167" s="78">
        <f t="shared" si="25"/>
        <v>26</v>
      </c>
      <c r="K167" s="25">
        <v>15.87</v>
      </c>
      <c r="L167" s="25">
        <v>14.92</v>
      </c>
      <c r="M167" s="25">
        <f t="shared" si="24"/>
        <v>0.94999999999999929</v>
      </c>
      <c r="N167" s="25" t="s">
        <v>593</v>
      </c>
    </row>
    <row r="168" spans="1:14" x14ac:dyDescent="0.25">
      <c r="A168" s="77">
        <v>45985</v>
      </c>
      <c r="B168" s="25" t="s">
        <v>376</v>
      </c>
      <c r="C168" s="77">
        <f t="shared" si="18"/>
        <v>46008</v>
      </c>
      <c r="D168" s="77">
        <f t="shared" si="19"/>
        <v>45992</v>
      </c>
      <c r="E168" s="77">
        <f t="shared" si="20"/>
        <v>45999</v>
      </c>
      <c r="F168" s="77">
        <f t="shared" si="21"/>
        <v>46005</v>
      </c>
      <c r="G168" s="77">
        <f t="shared" si="22"/>
        <v>45993</v>
      </c>
      <c r="H168" s="77">
        <f t="shared" si="23"/>
        <v>46000</v>
      </c>
      <c r="I168" s="77">
        <v>46011</v>
      </c>
      <c r="J168" s="78">
        <f t="shared" si="25"/>
        <v>26</v>
      </c>
      <c r="K168" s="25">
        <v>14.73</v>
      </c>
      <c r="L168" s="25">
        <v>13.63</v>
      </c>
      <c r="M168" s="25">
        <f t="shared" si="24"/>
        <v>1.0999999999999996</v>
      </c>
      <c r="N168" s="25" t="s">
        <v>593</v>
      </c>
    </row>
    <row r="169" spans="1:14" x14ac:dyDescent="0.25">
      <c r="A169" s="77">
        <v>45985</v>
      </c>
      <c r="B169" s="25" t="s">
        <v>377</v>
      </c>
      <c r="C169" s="77">
        <f t="shared" si="18"/>
        <v>46008</v>
      </c>
      <c r="D169" s="77">
        <f t="shared" si="19"/>
        <v>45992</v>
      </c>
      <c r="E169" s="77">
        <f t="shared" si="20"/>
        <v>45999</v>
      </c>
      <c r="F169" s="77">
        <f t="shared" si="21"/>
        <v>46005</v>
      </c>
      <c r="G169" s="77">
        <f t="shared" si="22"/>
        <v>45993</v>
      </c>
      <c r="H169" s="77">
        <f t="shared" si="23"/>
        <v>46000</v>
      </c>
      <c r="I169" s="77">
        <v>46011</v>
      </c>
      <c r="J169" s="78">
        <f t="shared" si="25"/>
        <v>26</v>
      </c>
      <c r="K169" s="25">
        <v>15.84</v>
      </c>
      <c r="L169" s="25">
        <v>13.82</v>
      </c>
      <c r="M169" s="25">
        <f t="shared" si="24"/>
        <v>2.0199999999999996</v>
      </c>
      <c r="N169" s="25" t="s">
        <v>593</v>
      </c>
    </row>
    <row r="170" spans="1:14" x14ac:dyDescent="0.25">
      <c r="A170" s="77">
        <v>45985</v>
      </c>
      <c r="B170" s="25" t="s">
        <v>393</v>
      </c>
      <c r="C170" s="77">
        <f t="shared" ref="C170:C188" si="26">A170+23</f>
        <v>46008</v>
      </c>
      <c r="D170" s="77">
        <f t="shared" ref="D170:D188" si="27">A170+7</f>
        <v>45992</v>
      </c>
      <c r="E170" s="77">
        <f t="shared" ref="E170:E188" si="28">A170+14</f>
        <v>45999</v>
      </c>
      <c r="F170" s="77">
        <f t="shared" ref="F170:F188" si="29">A170+20</f>
        <v>46005</v>
      </c>
      <c r="G170" s="77">
        <f t="shared" ref="G170:G188" si="30">A170+8</f>
        <v>45993</v>
      </c>
      <c r="H170" s="77">
        <f t="shared" ref="H170:H188" si="31">A170+15</f>
        <v>46000</v>
      </c>
      <c r="I170" s="77">
        <v>46012</v>
      </c>
      <c r="J170" s="83">
        <f t="shared" ref="J170:J186" si="32">I170-A170</f>
        <v>27</v>
      </c>
      <c r="K170" s="81">
        <v>19.52</v>
      </c>
      <c r="L170" s="82">
        <v>9.18</v>
      </c>
      <c r="M170" s="25">
        <f t="shared" ref="M170:M211" si="33">K170-L170</f>
        <v>10.34</v>
      </c>
      <c r="N170" s="82" t="s">
        <v>592</v>
      </c>
    </row>
    <row r="171" spans="1:14" x14ac:dyDescent="0.25">
      <c r="A171" s="77">
        <v>45985</v>
      </c>
      <c r="B171" s="25" t="s">
        <v>394</v>
      </c>
      <c r="C171" s="77">
        <f t="shared" si="26"/>
        <v>46008</v>
      </c>
      <c r="D171" s="77">
        <f t="shared" si="27"/>
        <v>45992</v>
      </c>
      <c r="E171" s="77">
        <f t="shared" si="28"/>
        <v>45999</v>
      </c>
      <c r="F171" s="77">
        <f t="shared" si="29"/>
        <v>46005</v>
      </c>
      <c r="G171" s="77">
        <f t="shared" si="30"/>
        <v>45993</v>
      </c>
      <c r="H171" s="77">
        <f t="shared" si="31"/>
        <v>46000</v>
      </c>
      <c r="I171" s="77">
        <v>46012</v>
      </c>
      <c r="J171" s="83">
        <f t="shared" si="32"/>
        <v>27</v>
      </c>
      <c r="K171" s="81">
        <v>18.739999999999998</v>
      </c>
      <c r="L171" s="82">
        <v>8.36</v>
      </c>
      <c r="M171" s="25">
        <f t="shared" si="33"/>
        <v>10.379999999999999</v>
      </c>
      <c r="N171" s="82" t="s">
        <v>592</v>
      </c>
    </row>
    <row r="172" spans="1:14" x14ac:dyDescent="0.25">
      <c r="A172" s="77">
        <v>45986</v>
      </c>
      <c r="B172" s="25" t="s">
        <v>395</v>
      </c>
      <c r="C172" s="77">
        <f t="shared" si="26"/>
        <v>46009</v>
      </c>
      <c r="D172" s="77">
        <f t="shared" si="27"/>
        <v>45993</v>
      </c>
      <c r="E172" s="77">
        <f t="shared" si="28"/>
        <v>46000</v>
      </c>
      <c r="F172" s="77">
        <f t="shared" si="29"/>
        <v>46006</v>
      </c>
      <c r="G172" s="77">
        <f t="shared" si="30"/>
        <v>45994</v>
      </c>
      <c r="H172" s="77">
        <f t="shared" si="31"/>
        <v>46001</v>
      </c>
      <c r="I172" s="77">
        <v>46012</v>
      </c>
      <c r="J172" s="83">
        <f t="shared" si="32"/>
        <v>26</v>
      </c>
      <c r="K172" s="81">
        <v>14.17</v>
      </c>
      <c r="L172" s="82">
        <v>12.51</v>
      </c>
      <c r="M172" s="25">
        <f t="shared" si="33"/>
        <v>1.6600000000000001</v>
      </c>
      <c r="N172" s="82" t="s">
        <v>593</v>
      </c>
    </row>
    <row r="173" spans="1:14" x14ac:dyDescent="0.25">
      <c r="A173" s="77">
        <v>45986</v>
      </c>
      <c r="B173" s="25" t="s">
        <v>396</v>
      </c>
      <c r="C173" s="77">
        <f t="shared" si="26"/>
        <v>46009</v>
      </c>
      <c r="D173" s="77">
        <f t="shared" si="27"/>
        <v>45993</v>
      </c>
      <c r="E173" s="77">
        <f t="shared" si="28"/>
        <v>46000</v>
      </c>
      <c r="F173" s="77">
        <f t="shared" si="29"/>
        <v>46006</v>
      </c>
      <c r="G173" s="77">
        <f t="shared" si="30"/>
        <v>45994</v>
      </c>
      <c r="H173" s="77">
        <f t="shared" si="31"/>
        <v>46001</v>
      </c>
      <c r="I173" s="77">
        <v>46012</v>
      </c>
      <c r="J173" s="83">
        <f t="shared" si="32"/>
        <v>26</v>
      </c>
      <c r="K173" s="81">
        <v>15.21</v>
      </c>
      <c r="L173" s="82">
        <v>13.78</v>
      </c>
      <c r="M173" s="25">
        <f t="shared" si="33"/>
        <v>1.4300000000000015</v>
      </c>
      <c r="N173" s="25" t="s">
        <v>593</v>
      </c>
    </row>
    <row r="174" spans="1:14" x14ac:dyDescent="0.25">
      <c r="A174" s="77">
        <v>45986</v>
      </c>
      <c r="B174" s="25" t="s">
        <v>397</v>
      </c>
      <c r="C174" s="77">
        <f t="shared" si="26"/>
        <v>46009</v>
      </c>
      <c r="D174" s="77">
        <f t="shared" si="27"/>
        <v>45993</v>
      </c>
      <c r="E174" s="77">
        <f t="shared" si="28"/>
        <v>46000</v>
      </c>
      <c r="F174" s="77">
        <f t="shared" si="29"/>
        <v>46006</v>
      </c>
      <c r="G174" s="77">
        <f t="shared" si="30"/>
        <v>45994</v>
      </c>
      <c r="H174" s="77">
        <f t="shared" si="31"/>
        <v>46001</v>
      </c>
      <c r="I174" s="77">
        <v>46012</v>
      </c>
      <c r="J174" s="83">
        <f t="shared" si="32"/>
        <v>26</v>
      </c>
      <c r="K174" s="81">
        <v>17.86</v>
      </c>
      <c r="L174" s="82">
        <v>15.14</v>
      </c>
      <c r="M174" s="25">
        <f t="shared" si="33"/>
        <v>2.7199999999999989</v>
      </c>
      <c r="N174" s="25" t="s">
        <v>593</v>
      </c>
    </row>
    <row r="175" spans="1:14" x14ac:dyDescent="0.25">
      <c r="A175" s="77">
        <v>45986</v>
      </c>
      <c r="B175" s="25" t="s">
        <v>408</v>
      </c>
      <c r="C175" s="77">
        <f t="shared" si="26"/>
        <v>46009</v>
      </c>
      <c r="D175" s="77">
        <f t="shared" si="27"/>
        <v>45993</v>
      </c>
      <c r="E175" s="77">
        <f t="shared" si="28"/>
        <v>46000</v>
      </c>
      <c r="F175" s="77">
        <f t="shared" si="29"/>
        <v>46006</v>
      </c>
      <c r="G175" s="77">
        <f t="shared" si="30"/>
        <v>45994</v>
      </c>
      <c r="H175" s="77">
        <f t="shared" si="31"/>
        <v>46001</v>
      </c>
      <c r="I175" s="77">
        <v>46013</v>
      </c>
      <c r="J175" s="83">
        <f t="shared" si="32"/>
        <v>27</v>
      </c>
      <c r="K175" s="81">
        <v>18.809999999999999</v>
      </c>
      <c r="L175" s="82">
        <v>8.51</v>
      </c>
      <c r="M175" s="25">
        <f t="shared" si="33"/>
        <v>10.299999999999999</v>
      </c>
      <c r="N175" s="25" t="s">
        <v>592</v>
      </c>
    </row>
    <row r="176" spans="1:14" x14ac:dyDescent="0.25">
      <c r="A176" s="77">
        <v>45986</v>
      </c>
      <c r="B176" s="25" t="s">
        <v>409</v>
      </c>
      <c r="C176" s="77">
        <f t="shared" si="26"/>
        <v>46009</v>
      </c>
      <c r="D176" s="77">
        <f t="shared" si="27"/>
        <v>45993</v>
      </c>
      <c r="E176" s="77">
        <f t="shared" si="28"/>
        <v>46000</v>
      </c>
      <c r="F176" s="77">
        <f t="shared" si="29"/>
        <v>46006</v>
      </c>
      <c r="G176" s="77">
        <f t="shared" si="30"/>
        <v>45994</v>
      </c>
      <c r="H176" s="77">
        <f t="shared" si="31"/>
        <v>46001</v>
      </c>
      <c r="I176" s="77">
        <v>46013</v>
      </c>
      <c r="J176" s="83">
        <f t="shared" si="32"/>
        <v>27</v>
      </c>
      <c r="K176" s="81">
        <v>18.64</v>
      </c>
      <c r="L176" s="82">
        <v>8.49</v>
      </c>
      <c r="M176" s="25">
        <f t="shared" si="33"/>
        <v>10.15</v>
      </c>
      <c r="N176" s="25" t="s">
        <v>592</v>
      </c>
    </row>
    <row r="177" spans="1:14" x14ac:dyDescent="0.25">
      <c r="A177" s="77">
        <v>45986</v>
      </c>
      <c r="B177" s="25" t="s">
        <v>410</v>
      </c>
      <c r="C177" s="77">
        <f t="shared" si="26"/>
        <v>46009</v>
      </c>
      <c r="D177" s="77">
        <f t="shared" si="27"/>
        <v>45993</v>
      </c>
      <c r="E177" s="77">
        <f t="shared" si="28"/>
        <v>46000</v>
      </c>
      <c r="F177" s="77">
        <f t="shared" si="29"/>
        <v>46006</v>
      </c>
      <c r="G177" s="77">
        <f t="shared" si="30"/>
        <v>45994</v>
      </c>
      <c r="H177" s="77">
        <f t="shared" si="31"/>
        <v>46001</v>
      </c>
      <c r="I177" s="77">
        <v>46012</v>
      </c>
      <c r="J177" s="83">
        <f t="shared" si="32"/>
        <v>26</v>
      </c>
      <c r="K177" s="81">
        <v>16.73</v>
      </c>
      <c r="L177" s="82">
        <v>14.42</v>
      </c>
      <c r="M177" s="25">
        <f t="shared" si="33"/>
        <v>2.3100000000000005</v>
      </c>
      <c r="N177" s="25" t="s">
        <v>593</v>
      </c>
    </row>
    <row r="178" spans="1:14" x14ac:dyDescent="0.25">
      <c r="A178" s="77">
        <v>45986</v>
      </c>
      <c r="B178" s="25" t="s">
        <v>411</v>
      </c>
      <c r="C178" s="77">
        <f t="shared" si="26"/>
        <v>46009</v>
      </c>
      <c r="D178" s="77">
        <f t="shared" si="27"/>
        <v>45993</v>
      </c>
      <c r="E178" s="77">
        <f t="shared" si="28"/>
        <v>46000</v>
      </c>
      <c r="F178" s="77">
        <f t="shared" si="29"/>
        <v>46006</v>
      </c>
      <c r="G178" s="77">
        <f t="shared" si="30"/>
        <v>45994</v>
      </c>
      <c r="H178" s="77">
        <f t="shared" si="31"/>
        <v>46001</v>
      </c>
      <c r="I178" s="77">
        <v>46012</v>
      </c>
      <c r="J178" s="83">
        <f t="shared" si="32"/>
        <v>26</v>
      </c>
      <c r="K178" s="81">
        <v>18.89</v>
      </c>
      <c r="L178" s="82">
        <v>16.29</v>
      </c>
      <c r="M178" s="25">
        <f t="shared" si="33"/>
        <v>2.6000000000000014</v>
      </c>
      <c r="N178" s="25" t="s">
        <v>593</v>
      </c>
    </row>
    <row r="179" spans="1:14" x14ac:dyDescent="0.25">
      <c r="A179" s="77">
        <v>45987</v>
      </c>
      <c r="B179" s="25" t="s">
        <v>404</v>
      </c>
      <c r="C179" s="77">
        <f t="shared" si="26"/>
        <v>46010</v>
      </c>
      <c r="D179" s="77">
        <f t="shared" si="27"/>
        <v>45994</v>
      </c>
      <c r="E179" s="77">
        <f t="shared" si="28"/>
        <v>46001</v>
      </c>
      <c r="F179" s="77">
        <f t="shared" si="29"/>
        <v>46007</v>
      </c>
      <c r="G179" s="77">
        <f t="shared" si="30"/>
        <v>45995</v>
      </c>
      <c r="H179" s="77">
        <f t="shared" si="31"/>
        <v>46002</v>
      </c>
      <c r="I179" s="77">
        <v>46013</v>
      </c>
      <c r="J179" s="83">
        <f t="shared" si="32"/>
        <v>26</v>
      </c>
      <c r="K179" s="81">
        <v>17.559999999999999</v>
      </c>
      <c r="L179" s="82">
        <v>15.3</v>
      </c>
      <c r="M179" s="25">
        <f t="shared" si="33"/>
        <v>2.259999999999998</v>
      </c>
      <c r="N179" s="25" t="s">
        <v>593</v>
      </c>
    </row>
    <row r="180" spans="1:14" x14ac:dyDescent="0.25">
      <c r="A180" s="77">
        <v>45987</v>
      </c>
      <c r="B180" s="25" t="s">
        <v>405</v>
      </c>
      <c r="C180" s="77">
        <f t="shared" si="26"/>
        <v>46010</v>
      </c>
      <c r="D180" s="77">
        <f t="shared" si="27"/>
        <v>45994</v>
      </c>
      <c r="E180" s="77">
        <f t="shared" si="28"/>
        <v>46001</v>
      </c>
      <c r="F180" s="77">
        <f t="shared" si="29"/>
        <v>46007</v>
      </c>
      <c r="G180" s="77">
        <f t="shared" si="30"/>
        <v>45995</v>
      </c>
      <c r="H180" s="77">
        <f t="shared" si="31"/>
        <v>46002</v>
      </c>
      <c r="I180" s="77">
        <v>46013</v>
      </c>
      <c r="J180" s="83">
        <f t="shared" si="32"/>
        <v>26</v>
      </c>
      <c r="K180" s="81">
        <v>17.25</v>
      </c>
      <c r="L180" s="82">
        <v>15.19</v>
      </c>
      <c r="M180" s="25">
        <f t="shared" si="33"/>
        <v>2.0600000000000005</v>
      </c>
      <c r="N180" s="25" t="s">
        <v>593</v>
      </c>
    </row>
    <row r="181" spans="1:14" x14ac:dyDescent="0.25">
      <c r="A181" s="77">
        <v>45987</v>
      </c>
      <c r="B181" s="25" t="s">
        <v>406</v>
      </c>
      <c r="C181" s="77">
        <f t="shared" si="26"/>
        <v>46010</v>
      </c>
      <c r="D181" s="77">
        <f t="shared" si="27"/>
        <v>45994</v>
      </c>
      <c r="E181" s="77">
        <f t="shared" si="28"/>
        <v>46001</v>
      </c>
      <c r="F181" s="77">
        <f t="shared" si="29"/>
        <v>46007</v>
      </c>
      <c r="G181" s="77">
        <f t="shared" si="30"/>
        <v>45995</v>
      </c>
      <c r="H181" s="77">
        <f t="shared" si="31"/>
        <v>46002</v>
      </c>
      <c r="I181" s="77">
        <v>46013</v>
      </c>
      <c r="J181" s="83">
        <f t="shared" si="32"/>
        <v>26</v>
      </c>
      <c r="K181" s="81">
        <v>16.12</v>
      </c>
      <c r="L181" s="82">
        <v>14.35</v>
      </c>
      <c r="M181" s="25">
        <f t="shared" si="33"/>
        <v>1.7700000000000014</v>
      </c>
      <c r="N181" s="25" t="s">
        <v>593</v>
      </c>
    </row>
    <row r="182" spans="1:14" x14ac:dyDescent="0.25">
      <c r="A182" s="77">
        <v>45987</v>
      </c>
      <c r="B182" s="25" t="s">
        <v>407</v>
      </c>
      <c r="C182" s="77">
        <f t="shared" si="26"/>
        <v>46010</v>
      </c>
      <c r="D182" s="77">
        <f t="shared" si="27"/>
        <v>45994</v>
      </c>
      <c r="E182" s="77">
        <f t="shared" si="28"/>
        <v>46001</v>
      </c>
      <c r="F182" s="77">
        <f t="shared" si="29"/>
        <v>46007</v>
      </c>
      <c r="G182" s="77">
        <f t="shared" si="30"/>
        <v>45995</v>
      </c>
      <c r="H182" s="77">
        <f t="shared" si="31"/>
        <v>46002</v>
      </c>
      <c r="I182" s="77">
        <v>46013</v>
      </c>
      <c r="J182" s="83">
        <f t="shared" si="32"/>
        <v>26</v>
      </c>
      <c r="K182" s="81">
        <v>19.329999999999998</v>
      </c>
      <c r="L182" s="82">
        <v>9.27</v>
      </c>
      <c r="M182" s="25">
        <f t="shared" si="33"/>
        <v>10.059999999999999</v>
      </c>
      <c r="N182" s="25" t="s">
        <v>592</v>
      </c>
    </row>
    <row r="183" spans="1:14" x14ac:dyDescent="0.25">
      <c r="A183" s="77">
        <v>45987</v>
      </c>
      <c r="B183" s="25" t="s">
        <v>431</v>
      </c>
      <c r="C183" s="77">
        <f t="shared" si="26"/>
        <v>46010</v>
      </c>
      <c r="D183" s="77">
        <f t="shared" si="27"/>
        <v>45994</v>
      </c>
      <c r="E183" s="77">
        <f t="shared" si="28"/>
        <v>46001</v>
      </c>
      <c r="F183" s="77">
        <f t="shared" si="29"/>
        <v>46007</v>
      </c>
      <c r="G183" s="77">
        <f t="shared" si="30"/>
        <v>45995</v>
      </c>
      <c r="H183" s="77">
        <f t="shared" si="31"/>
        <v>46002</v>
      </c>
      <c r="I183" s="77">
        <v>46014</v>
      </c>
      <c r="J183" s="83">
        <f t="shared" si="32"/>
        <v>27</v>
      </c>
      <c r="K183" s="25">
        <v>13.11</v>
      </c>
      <c r="L183" s="25">
        <v>5.99</v>
      </c>
      <c r="M183" s="25">
        <f t="shared" si="33"/>
        <v>7.1199999999999992</v>
      </c>
      <c r="N183" s="25" t="s">
        <v>592</v>
      </c>
    </row>
    <row r="184" spans="1:14" x14ac:dyDescent="0.25">
      <c r="A184" s="77">
        <v>45987</v>
      </c>
      <c r="B184" s="25" t="s">
        <v>432</v>
      </c>
      <c r="C184" s="77">
        <f t="shared" si="26"/>
        <v>46010</v>
      </c>
      <c r="D184" s="77">
        <f t="shared" si="27"/>
        <v>45994</v>
      </c>
      <c r="E184" s="77">
        <f t="shared" si="28"/>
        <v>46001</v>
      </c>
      <c r="F184" s="77">
        <f t="shared" si="29"/>
        <v>46007</v>
      </c>
      <c r="G184" s="77">
        <f t="shared" si="30"/>
        <v>45995</v>
      </c>
      <c r="H184" s="77">
        <f t="shared" si="31"/>
        <v>46002</v>
      </c>
      <c r="I184" s="77">
        <v>46014</v>
      </c>
      <c r="J184" s="83">
        <f t="shared" si="32"/>
        <v>27</v>
      </c>
      <c r="K184" s="25">
        <v>14.26</v>
      </c>
      <c r="L184" s="25">
        <v>7.27</v>
      </c>
      <c r="M184" s="25">
        <f t="shared" si="33"/>
        <v>6.99</v>
      </c>
      <c r="N184" s="25" t="s">
        <v>592</v>
      </c>
    </row>
    <row r="185" spans="1:14" x14ac:dyDescent="0.25">
      <c r="A185" s="77">
        <v>45987</v>
      </c>
      <c r="B185" s="25" t="s">
        <v>433</v>
      </c>
      <c r="C185" s="77">
        <f t="shared" si="26"/>
        <v>46010</v>
      </c>
      <c r="D185" s="77">
        <f t="shared" si="27"/>
        <v>45994</v>
      </c>
      <c r="E185" s="77">
        <f t="shared" si="28"/>
        <v>46001</v>
      </c>
      <c r="F185" s="77">
        <f t="shared" si="29"/>
        <v>46007</v>
      </c>
      <c r="G185" s="77">
        <f t="shared" si="30"/>
        <v>45995</v>
      </c>
      <c r="H185" s="77">
        <f t="shared" si="31"/>
        <v>46002</v>
      </c>
      <c r="I185" s="77">
        <v>46014</v>
      </c>
      <c r="J185" s="83">
        <f t="shared" si="32"/>
        <v>27</v>
      </c>
      <c r="K185" s="25">
        <v>15.03</v>
      </c>
      <c r="L185" s="25">
        <v>7.81</v>
      </c>
      <c r="M185" s="25">
        <f t="shared" si="33"/>
        <v>7.22</v>
      </c>
      <c r="N185" s="25" t="s">
        <v>592</v>
      </c>
    </row>
    <row r="186" spans="1:14" x14ac:dyDescent="0.25">
      <c r="A186" s="77">
        <v>45987</v>
      </c>
      <c r="B186" s="25" t="s">
        <v>434</v>
      </c>
      <c r="C186" s="77">
        <f t="shared" si="26"/>
        <v>46010</v>
      </c>
      <c r="D186" s="77">
        <f t="shared" si="27"/>
        <v>45994</v>
      </c>
      <c r="E186" s="77">
        <f t="shared" si="28"/>
        <v>46001</v>
      </c>
      <c r="F186" s="77">
        <f t="shared" si="29"/>
        <v>46007</v>
      </c>
      <c r="G186" s="77">
        <f t="shared" si="30"/>
        <v>45995</v>
      </c>
      <c r="H186" s="77">
        <f t="shared" si="31"/>
        <v>46002</v>
      </c>
      <c r="I186" s="77">
        <v>46014</v>
      </c>
      <c r="J186" s="83">
        <f t="shared" si="32"/>
        <v>27</v>
      </c>
      <c r="K186" s="25">
        <v>13.78</v>
      </c>
      <c r="L186" s="25">
        <v>10.34</v>
      </c>
      <c r="M186" s="25">
        <f t="shared" si="33"/>
        <v>3.4399999999999995</v>
      </c>
      <c r="N186" s="25" t="s">
        <v>593</v>
      </c>
    </row>
    <row r="187" spans="1:14" x14ac:dyDescent="0.25">
      <c r="A187" s="77">
        <v>45988</v>
      </c>
      <c r="B187" s="25" t="s">
        <v>428</v>
      </c>
      <c r="C187" s="77">
        <f t="shared" si="26"/>
        <v>46011</v>
      </c>
      <c r="D187" s="77">
        <f t="shared" si="27"/>
        <v>45995</v>
      </c>
      <c r="E187" s="77">
        <f t="shared" si="28"/>
        <v>46002</v>
      </c>
      <c r="F187" s="77">
        <f t="shared" si="29"/>
        <v>46008</v>
      </c>
      <c r="G187" s="77">
        <f t="shared" si="30"/>
        <v>45996</v>
      </c>
      <c r="H187" s="77">
        <f t="shared" si="31"/>
        <v>46003</v>
      </c>
      <c r="I187" s="77">
        <v>46013</v>
      </c>
      <c r="J187" s="83">
        <f>I187-A187</f>
        <v>25</v>
      </c>
      <c r="K187" s="81">
        <v>14.13</v>
      </c>
      <c r="L187" s="82">
        <v>12.72</v>
      </c>
      <c r="M187" s="25">
        <f t="shared" si="33"/>
        <v>1.4100000000000001</v>
      </c>
      <c r="N187" s="25" t="s">
        <v>593</v>
      </c>
    </row>
    <row r="188" spans="1:14" x14ac:dyDescent="0.25">
      <c r="A188" s="77">
        <v>45988</v>
      </c>
      <c r="B188" s="25" t="s">
        <v>429</v>
      </c>
      <c r="C188" s="77">
        <f t="shared" si="26"/>
        <v>46011</v>
      </c>
      <c r="D188" s="77">
        <f t="shared" si="27"/>
        <v>45995</v>
      </c>
      <c r="E188" s="77">
        <f t="shared" si="28"/>
        <v>46002</v>
      </c>
      <c r="F188" s="77">
        <f t="shared" si="29"/>
        <v>46008</v>
      </c>
      <c r="G188" s="77">
        <f t="shared" si="30"/>
        <v>45996</v>
      </c>
      <c r="H188" s="77">
        <f t="shared" si="31"/>
        <v>46003</v>
      </c>
      <c r="I188" s="77">
        <v>46013</v>
      </c>
      <c r="J188" s="83">
        <f>I188-A188</f>
        <v>25</v>
      </c>
      <c r="K188" s="81">
        <v>14.02</v>
      </c>
      <c r="L188" s="82">
        <v>12.68</v>
      </c>
      <c r="M188" s="25">
        <f t="shared" si="33"/>
        <v>1.3399999999999999</v>
      </c>
      <c r="N188" s="25" t="s">
        <v>593</v>
      </c>
    </row>
    <row r="189" spans="1:14" x14ac:dyDescent="0.25">
      <c r="A189" s="77">
        <v>45988</v>
      </c>
      <c r="B189" s="25" t="s">
        <v>430</v>
      </c>
      <c r="C189" s="77">
        <f t="shared" si="18"/>
        <v>46011</v>
      </c>
      <c r="D189" s="77">
        <f t="shared" si="19"/>
        <v>45995</v>
      </c>
      <c r="E189" s="77">
        <f t="shared" si="20"/>
        <v>46002</v>
      </c>
      <c r="F189" s="77">
        <f t="shared" si="21"/>
        <v>46008</v>
      </c>
      <c r="G189" s="77">
        <f t="shared" si="22"/>
        <v>45996</v>
      </c>
      <c r="H189" s="77">
        <f t="shared" si="23"/>
        <v>46003</v>
      </c>
      <c r="I189" s="77">
        <v>46014</v>
      </c>
      <c r="J189" s="83">
        <f>I189-A189</f>
        <v>26</v>
      </c>
      <c r="K189" s="25">
        <v>12.49</v>
      </c>
      <c r="L189" s="25">
        <v>5.65</v>
      </c>
      <c r="M189" s="25">
        <f t="shared" si="33"/>
        <v>6.84</v>
      </c>
      <c r="N189" s="25" t="s">
        <v>592</v>
      </c>
    </row>
    <row r="190" spans="1:14" x14ac:dyDescent="0.25">
      <c r="A190" s="77">
        <v>45988</v>
      </c>
      <c r="B190" s="25" t="s">
        <v>559</v>
      </c>
      <c r="C190" s="77">
        <f t="shared" si="18"/>
        <v>46011</v>
      </c>
      <c r="D190" s="77">
        <f t="shared" si="19"/>
        <v>45995</v>
      </c>
      <c r="E190" s="77">
        <f t="shared" si="20"/>
        <v>46002</v>
      </c>
      <c r="F190" s="77">
        <f t="shared" si="21"/>
        <v>46008</v>
      </c>
      <c r="G190" s="77">
        <f t="shared" si="22"/>
        <v>45996</v>
      </c>
      <c r="H190" s="77">
        <f t="shared" si="23"/>
        <v>46003</v>
      </c>
      <c r="I190" s="77">
        <v>46014</v>
      </c>
      <c r="J190" s="83">
        <f>I190-A190</f>
        <v>26</v>
      </c>
      <c r="K190" s="25">
        <v>10.42</v>
      </c>
      <c r="L190" s="25">
        <v>8.56</v>
      </c>
      <c r="M190" s="25">
        <f t="shared" si="33"/>
        <v>1.8599999999999994</v>
      </c>
      <c r="N190" s="25" t="s">
        <v>593</v>
      </c>
    </row>
    <row r="191" spans="1:14" x14ac:dyDescent="0.25">
      <c r="A191" s="77">
        <v>45988</v>
      </c>
      <c r="B191" s="25" t="s">
        <v>560</v>
      </c>
      <c r="C191" s="77">
        <f t="shared" si="18"/>
        <v>46011</v>
      </c>
      <c r="D191" s="77">
        <f t="shared" si="19"/>
        <v>45995</v>
      </c>
      <c r="E191" s="77">
        <f t="shared" si="20"/>
        <v>46002</v>
      </c>
      <c r="F191" s="77">
        <f t="shared" si="21"/>
        <v>46008</v>
      </c>
      <c r="G191" s="77">
        <f t="shared" si="22"/>
        <v>45996</v>
      </c>
      <c r="H191" s="77">
        <f t="shared" si="23"/>
        <v>46003</v>
      </c>
      <c r="I191" s="77">
        <v>46015</v>
      </c>
      <c r="J191" s="78">
        <f>I191-A191</f>
        <v>27</v>
      </c>
      <c r="K191" s="25">
        <v>15.79</v>
      </c>
      <c r="L191" s="25">
        <v>8.07</v>
      </c>
      <c r="M191" s="25">
        <f t="shared" si="33"/>
        <v>7.7199999999999989</v>
      </c>
      <c r="N191" s="25" t="s">
        <v>592</v>
      </c>
    </row>
    <row r="192" spans="1:14" x14ac:dyDescent="0.25">
      <c r="A192" s="77">
        <v>45988</v>
      </c>
      <c r="B192" s="25" t="s">
        <v>561</v>
      </c>
      <c r="C192" s="77">
        <f t="shared" si="18"/>
        <v>46011</v>
      </c>
      <c r="D192" s="77">
        <f t="shared" si="19"/>
        <v>45995</v>
      </c>
      <c r="E192" s="77">
        <f t="shared" si="20"/>
        <v>46002</v>
      </c>
      <c r="F192" s="77">
        <f t="shared" si="21"/>
        <v>46008</v>
      </c>
      <c r="G192" s="77">
        <f t="shared" si="22"/>
        <v>45996</v>
      </c>
      <c r="H192" s="77">
        <f t="shared" si="23"/>
        <v>46003</v>
      </c>
      <c r="I192" s="77">
        <v>46015</v>
      </c>
      <c r="J192" s="78">
        <f t="shared" ref="J192:J207" si="34">I192-A192</f>
        <v>27</v>
      </c>
      <c r="K192" s="25">
        <v>15.83</v>
      </c>
      <c r="L192" s="25">
        <v>8.2100000000000009</v>
      </c>
      <c r="M192" s="25">
        <f t="shared" si="33"/>
        <v>7.6199999999999992</v>
      </c>
      <c r="N192" s="25" t="s">
        <v>592</v>
      </c>
    </row>
    <row r="193" spans="1:14" x14ac:dyDescent="0.25">
      <c r="A193" s="77">
        <v>45988</v>
      </c>
      <c r="B193" s="25" t="s">
        <v>562</v>
      </c>
      <c r="C193" s="77">
        <f t="shared" si="18"/>
        <v>46011</v>
      </c>
      <c r="D193" s="77">
        <f t="shared" si="19"/>
        <v>45995</v>
      </c>
      <c r="E193" s="77">
        <f t="shared" si="20"/>
        <v>46002</v>
      </c>
      <c r="F193" s="77">
        <f t="shared" si="21"/>
        <v>46008</v>
      </c>
      <c r="G193" s="77">
        <f t="shared" si="22"/>
        <v>45996</v>
      </c>
      <c r="H193" s="77">
        <f t="shared" si="23"/>
        <v>46003</v>
      </c>
      <c r="I193" s="77">
        <v>46015</v>
      </c>
      <c r="J193" s="78">
        <f t="shared" si="34"/>
        <v>27</v>
      </c>
      <c r="K193" s="25">
        <v>9.31</v>
      </c>
      <c r="L193" s="25">
        <v>7.16</v>
      </c>
      <c r="M193" s="25">
        <f t="shared" si="33"/>
        <v>2.1500000000000004</v>
      </c>
      <c r="N193" s="25" t="s">
        <v>593</v>
      </c>
    </row>
    <row r="194" spans="1:14" x14ac:dyDescent="0.25">
      <c r="A194" s="77">
        <v>45989</v>
      </c>
      <c r="B194" s="25" t="s">
        <v>563</v>
      </c>
      <c r="C194" s="77">
        <f t="shared" si="18"/>
        <v>46012</v>
      </c>
      <c r="D194" s="77">
        <f t="shared" si="19"/>
        <v>45996</v>
      </c>
      <c r="E194" s="77">
        <f t="shared" si="20"/>
        <v>46003</v>
      </c>
      <c r="F194" s="77">
        <f t="shared" si="21"/>
        <v>46009</v>
      </c>
      <c r="G194" s="77">
        <f t="shared" si="22"/>
        <v>45997</v>
      </c>
      <c r="H194" s="77">
        <f t="shared" si="23"/>
        <v>46004</v>
      </c>
      <c r="I194" s="77">
        <v>46015</v>
      </c>
      <c r="J194" s="78">
        <f t="shared" si="34"/>
        <v>26</v>
      </c>
      <c r="K194" s="25">
        <v>10.17</v>
      </c>
      <c r="L194" s="25">
        <v>8.31</v>
      </c>
      <c r="M194" s="25">
        <f t="shared" si="33"/>
        <v>1.8599999999999994</v>
      </c>
      <c r="N194" s="25" t="s">
        <v>593</v>
      </c>
    </row>
    <row r="195" spans="1:14" x14ac:dyDescent="0.25">
      <c r="A195" s="77">
        <v>45989</v>
      </c>
      <c r="B195" s="25" t="s">
        <v>564</v>
      </c>
      <c r="C195" s="77">
        <f t="shared" ref="C195:C258" si="35">A195+23</f>
        <v>46012</v>
      </c>
      <c r="D195" s="77">
        <f t="shared" ref="D195:D258" si="36">A195+7</f>
        <v>45996</v>
      </c>
      <c r="E195" s="77">
        <f t="shared" ref="E195:E258" si="37">A195+14</f>
        <v>46003</v>
      </c>
      <c r="F195" s="77">
        <f t="shared" ref="F195:F258" si="38">A195+20</f>
        <v>46009</v>
      </c>
      <c r="G195" s="77">
        <f t="shared" ref="G195:G258" si="39">A195+8</f>
        <v>45997</v>
      </c>
      <c r="H195" s="77">
        <f t="shared" ref="H195:H258" si="40">A195+15</f>
        <v>46004</v>
      </c>
      <c r="I195" s="77">
        <v>46015</v>
      </c>
      <c r="J195" s="78">
        <f t="shared" si="34"/>
        <v>26</v>
      </c>
      <c r="K195" s="25">
        <v>9.6199999999999992</v>
      </c>
      <c r="L195" s="25">
        <v>7.56</v>
      </c>
      <c r="M195" s="25">
        <f t="shared" si="33"/>
        <v>2.0599999999999996</v>
      </c>
      <c r="N195" s="25" t="s">
        <v>593</v>
      </c>
    </row>
    <row r="196" spans="1:14" x14ac:dyDescent="0.25">
      <c r="A196" s="77">
        <v>45989</v>
      </c>
      <c r="B196" s="25" t="s">
        <v>565</v>
      </c>
      <c r="C196" s="77">
        <f t="shared" si="35"/>
        <v>46012</v>
      </c>
      <c r="D196" s="77">
        <f t="shared" si="36"/>
        <v>45996</v>
      </c>
      <c r="E196" s="77">
        <f t="shared" si="37"/>
        <v>46003</v>
      </c>
      <c r="F196" s="77">
        <f t="shared" si="38"/>
        <v>46009</v>
      </c>
      <c r="G196" s="77">
        <f t="shared" si="39"/>
        <v>45997</v>
      </c>
      <c r="H196" s="77">
        <f t="shared" si="40"/>
        <v>46004</v>
      </c>
      <c r="I196" s="77">
        <v>46015</v>
      </c>
      <c r="J196" s="78">
        <f t="shared" si="34"/>
        <v>26</v>
      </c>
      <c r="K196" s="25">
        <v>10.45</v>
      </c>
      <c r="L196" s="25">
        <v>8.61</v>
      </c>
      <c r="M196" s="25">
        <f t="shared" si="33"/>
        <v>1.8399999999999999</v>
      </c>
      <c r="N196" s="25" t="s">
        <v>593</v>
      </c>
    </row>
    <row r="197" spans="1:14" x14ac:dyDescent="0.25">
      <c r="A197" s="77">
        <v>45989</v>
      </c>
      <c r="B197" s="25" t="s">
        <v>566</v>
      </c>
      <c r="C197" s="77">
        <f t="shared" si="35"/>
        <v>46012</v>
      </c>
      <c r="D197" s="77">
        <f t="shared" si="36"/>
        <v>45996</v>
      </c>
      <c r="E197" s="77">
        <f t="shared" si="37"/>
        <v>46003</v>
      </c>
      <c r="F197" s="77">
        <f t="shared" si="38"/>
        <v>46009</v>
      </c>
      <c r="G197" s="77">
        <f t="shared" si="39"/>
        <v>45997</v>
      </c>
      <c r="H197" s="77">
        <f t="shared" si="40"/>
        <v>46004</v>
      </c>
      <c r="I197" s="77">
        <v>46015</v>
      </c>
      <c r="J197" s="78">
        <f t="shared" si="34"/>
        <v>26</v>
      </c>
      <c r="K197" s="25">
        <v>12.2</v>
      </c>
      <c r="L197" s="25">
        <v>10.18</v>
      </c>
      <c r="M197" s="25">
        <f t="shared" si="33"/>
        <v>2.0199999999999996</v>
      </c>
      <c r="N197" s="25" t="s">
        <v>593</v>
      </c>
    </row>
    <row r="198" spans="1:14" x14ac:dyDescent="0.25">
      <c r="A198" s="77">
        <v>45989</v>
      </c>
      <c r="B198" s="25" t="s">
        <v>567</v>
      </c>
      <c r="C198" s="77">
        <f t="shared" si="35"/>
        <v>46012</v>
      </c>
      <c r="D198" s="77">
        <f t="shared" si="36"/>
        <v>45996</v>
      </c>
      <c r="E198" s="77">
        <f t="shared" si="37"/>
        <v>46003</v>
      </c>
      <c r="F198" s="77">
        <f t="shared" si="38"/>
        <v>46009</v>
      </c>
      <c r="G198" s="77">
        <f t="shared" si="39"/>
        <v>45997</v>
      </c>
      <c r="H198" s="77">
        <f t="shared" si="40"/>
        <v>46004</v>
      </c>
      <c r="I198" s="77">
        <v>46015</v>
      </c>
      <c r="J198" s="78">
        <f t="shared" si="34"/>
        <v>26</v>
      </c>
      <c r="K198" s="25">
        <v>14.91</v>
      </c>
      <c r="L198" s="25">
        <v>13.24</v>
      </c>
      <c r="M198" s="25">
        <f t="shared" si="33"/>
        <v>1.67</v>
      </c>
      <c r="N198" s="25" t="s">
        <v>593</v>
      </c>
    </row>
    <row r="199" spans="1:14" x14ac:dyDescent="0.25">
      <c r="A199" s="77">
        <v>45989</v>
      </c>
      <c r="B199" s="25" t="s">
        <v>568</v>
      </c>
      <c r="C199" s="77">
        <f t="shared" si="35"/>
        <v>46012</v>
      </c>
      <c r="D199" s="77">
        <f t="shared" si="36"/>
        <v>45996</v>
      </c>
      <c r="E199" s="77">
        <f t="shared" si="37"/>
        <v>46003</v>
      </c>
      <c r="F199" s="77">
        <f t="shared" si="38"/>
        <v>46009</v>
      </c>
      <c r="G199" s="77">
        <f t="shared" si="39"/>
        <v>45997</v>
      </c>
      <c r="H199" s="77">
        <f t="shared" si="40"/>
        <v>46004</v>
      </c>
      <c r="I199" s="77">
        <v>46015</v>
      </c>
      <c r="J199" s="78">
        <f t="shared" si="34"/>
        <v>26</v>
      </c>
      <c r="K199" s="25">
        <v>15.18</v>
      </c>
      <c r="L199" s="25">
        <v>13.67</v>
      </c>
      <c r="M199" s="25">
        <f t="shared" si="33"/>
        <v>1.5099999999999998</v>
      </c>
      <c r="N199" s="25" t="s">
        <v>593</v>
      </c>
    </row>
    <row r="200" spans="1:14" x14ac:dyDescent="0.25">
      <c r="A200" s="77">
        <v>45989</v>
      </c>
      <c r="B200" s="25" t="s">
        <v>569</v>
      </c>
      <c r="C200" s="77">
        <f t="shared" si="35"/>
        <v>46012</v>
      </c>
      <c r="D200" s="77">
        <f t="shared" si="36"/>
        <v>45996</v>
      </c>
      <c r="E200" s="77">
        <f t="shared" si="37"/>
        <v>46003</v>
      </c>
      <c r="F200" s="77">
        <f t="shared" si="38"/>
        <v>46009</v>
      </c>
      <c r="G200" s="77">
        <f t="shared" si="39"/>
        <v>45997</v>
      </c>
      <c r="H200" s="77">
        <f t="shared" si="40"/>
        <v>46004</v>
      </c>
      <c r="I200" s="77">
        <v>46015</v>
      </c>
      <c r="J200" s="78">
        <f t="shared" si="34"/>
        <v>26</v>
      </c>
      <c r="K200" s="25">
        <v>14.07</v>
      </c>
      <c r="L200" s="25">
        <v>13.58</v>
      </c>
      <c r="M200" s="25">
        <f t="shared" si="33"/>
        <v>0.49000000000000021</v>
      </c>
      <c r="N200" s="25" t="s">
        <v>593</v>
      </c>
    </row>
    <row r="201" spans="1:14" x14ac:dyDescent="0.25">
      <c r="A201" s="77">
        <v>45990</v>
      </c>
      <c r="B201" s="25" t="s">
        <v>570</v>
      </c>
      <c r="C201" s="77">
        <f t="shared" si="35"/>
        <v>46013</v>
      </c>
      <c r="D201" s="77">
        <f t="shared" si="36"/>
        <v>45997</v>
      </c>
      <c r="E201" s="77">
        <f t="shared" si="37"/>
        <v>46004</v>
      </c>
      <c r="F201" s="77">
        <f t="shared" si="38"/>
        <v>46010</v>
      </c>
      <c r="G201" s="77">
        <f t="shared" si="39"/>
        <v>45998</v>
      </c>
      <c r="H201" s="77">
        <f t="shared" si="40"/>
        <v>46005</v>
      </c>
      <c r="I201" s="77">
        <v>46015</v>
      </c>
      <c r="J201" s="78">
        <f t="shared" si="34"/>
        <v>25</v>
      </c>
      <c r="K201" s="25">
        <v>16.100000000000001</v>
      </c>
      <c r="L201" s="25">
        <v>14.09</v>
      </c>
      <c r="M201" s="25">
        <f t="shared" si="33"/>
        <v>2.0100000000000016</v>
      </c>
      <c r="N201" s="25" t="s">
        <v>593</v>
      </c>
    </row>
    <row r="202" spans="1:14" x14ac:dyDescent="0.25">
      <c r="A202" s="77">
        <v>45990</v>
      </c>
      <c r="B202" s="25" t="s">
        <v>571</v>
      </c>
      <c r="C202" s="77">
        <f t="shared" si="35"/>
        <v>46013</v>
      </c>
      <c r="D202" s="77">
        <f t="shared" si="36"/>
        <v>45997</v>
      </c>
      <c r="E202" s="77">
        <f t="shared" si="37"/>
        <v>46004</v>
      </c>
      <c r="F202" s="77">
        <f t="shared" si="38"/>
        <v>46010</v>
      </c>
      <c r="G202" s="77">
        <f t="shared" si="39"/>
        <v>45998</v>
      </c>
      <c r="H202" s="77">
        <f t="shared" si="40"/>
        <v>46005</v>
      </c>
      <c r="I202" s="77">
        <v>46015</v>
      </c>
      <c r="J202" s="78">
        <f t="shared" si="34"/>
        <v>25</v>
      </c>
      <c r="K202" s="25">
        <v>13.26</v>
      </c>
      <c r="L202" s="25">
        <v>11.12</v>
      </c>
      <c r="M202" s="25">
        <f t="shared" si="33"/>
        <v>2.1400000000000006</v>
      </c>
      <c r="N202" s="25" t="s">
        <v>593</v>
      </c>
    </row>
    <row r="203" spans="1:14" x14ac:dyDescent="0.25">
      <c r="A203" s="77">
        <v>45990</v>
      </c>
      <c r="B203" s="25" t="s">
        <v>572</v>
      </c>
      <c r="C203" s="77">
        <f t="shared" si="35"/>
        <v>46013</v>
      </c>
      <c r="D203" s="77">
        <f t="shared" si="36"/>
        <v>45997</v>
      </c>
      <c r="E203" s="77">
        <f t="shared" si="37"/>
        <v>46004</v>
      </c>
      <c r="F203" s="77">
        <f t="shared" si="38"/>
        <v>46010</v>
      </c>
      <c r="G203" s="77">
        <f t="shared" si="39"/>
        <v>45998</v>
      </c>
      <c r="H203" s="77">
        <f t="shared" si="40"/>
        <v>46005</v>
      </c>
      <c r="I203" s="77">
        <v>46016</v>
      </c>
      <c r="J203" s="78">
        <f t="shared" si="34"/>
        <v>26</v>
      </c>
      <c r="K203" s="25">
        <v>16.39</v>
      </c>
      <c r="L203" s="25">
        <v>9.01</v>
      </c>
      <c r="M203" s="25">
        <f t="shared" si="33"/>
        <v>7.3800000000000008</v>
      </c>
      <c r="N203" s="25" t="s">
        <v>592</v>
      </c>
    </row>
    <row r="204" spans="1:14" x14ac:dyDescent="0.25">
      <c r="A204" s="77">
        <v>45990</v>
      </c>
      <c r="B204" s="25" t="s">
        <v>573</v>
      </c>
      <c r="C204" s="77">
        <f t="shared" si="35"/>
        <v>46013</v>
      </c>
      <c r="D204" s="77">
        <f t="shared" si="36"/>
        <v>45997</v>
      </c>
      <c r="E204" s="77">
        <f t="shared" si="37"/>
        <v>46004</v>
      </c>
      <c r="F204" s="77">
        <f t="shared" si="38"/>
        <v>46010</v>
      </c>
      <c r="G204" s="77">
        <f t="shared" si="39"/>
        <v>45998</v>
      </c>
      <c r="H204" s="77">
        <f t="shared" si="40"/>
        <v>46005</v>
      </c>
      <c r="I204" s="77">
        <v>46016</v>
      </c>
      <c r="J204" s="78">
        <f t="shared" si="34"/>
        <v>26</v>
      </c>
      <c r="K204" s="25">
        <v>15.17</v>
      </c>
      <c r="L204" s="25">
        <v>8.24</v>
      </c>
      <c r="M204" s="25">
        <f t="shared" si="33"/>
        <v>6.93</v>
      </c>
      <c r="N204" s="25" t="s">
        <v>592</v>
      </c>
    </row>
    <row r="205" spans="1:14" x14ac:dyDescent="0.25">
      <c r="A205" s="77">
        <v>45990</v>
      </c>
      <c r="B205" s="25" t="s">
        <v>574</v>
      </c>
      <c r="C205" s="77">
        <f t="shared" si="35"/>
        <v>46013</v>
      </c>
      <c r="D205" s="77">
        <f t="shared" si="36"/>
        <v>45997</v>
      </c>
      <c r="E205" s="77">
        <f t="shared" si="37"/>
        <v>46004</v>
      </c>
      <c r="F205" s="77">
        <f t="shared" si="38"/>
        <v>46010</v>
      </c>
      <c r="G205" s="77">
        <f t="shared" si="39"/>
        <v>45998</v>
      </c>
      <c r="H205" s="77">
        <f t="shared" si="40"/>
        <v>46005</v>
      </c>
      <c r="I205" s="77">
        <v>46016</v>
      </c>
      <c r="J205" s="78">
        <f t="shared" si="34"/>
        <v>26</v>
      </c>
      <c r="K205" s="25">
        <v>15.92</v>
      </c>
      <c r="L205" s="25">
        <v>8.76</v>
      </c>
      <c r="M205" s="25">
        <f t="shared" si="33"/>
        <v>7.16</v>
      </c>
      <c r="N205" s="25" t="s">
        <v>592</v>
      </c>
    </row>
    <row r="206" spans="1:14" x14ac:dyDescent="0.25">
      <c r="A206" s="77">
        <v>45990</v>
      </c>
      <c r="B206" s="25" t="s">
        <v>575</v>
      </c>
      <c r="C206" s="77">
        <f t="shared" si="35"/>
        <v>46013</v>
      </c>
      <c r="D206" s="77">
        <f t="shared" si="36"/>
        <v>45997</v>
      </c>
      <c r="E206" s="77">
        <f t="shared" si="37"/>
        <v>46004</v>
      </c>
      <c r="F206" s="77">
        <f t="shared" si="38"/>
        <v>46010</v>
      </c>
      <c r="G206" s="77">
        <f t="shared" si="39"/>
        <v>45998</v>
      </c>
      <c r="H206" s="77">
        <f t="shared" si="40"/>
        <v>46005</v>
      </c>
      <c r="I206" s="77">
        <v>46016</v>
      </c>
      <c r="J206" s="78">
        <f t="shared" si="34"/>
        <v>26</v>
      </c>
      <c r="K206" s="25">
        <v>16.850000000000001</v>
      </c>
      <c r="L206" s="25">
        <v>9.8699999999999992</v>
      </c>
      <c r="M206" s="25">
        <f t="shared" si="33"/>
        <v>6.9800000000000022</v>
      </c>
      <c r="N206" s="25" t="s">
        <v>592</v>
      </c>
    </row>
    <row r="207" spans="1:14" x14ac:dyDescent="0.25">
      <c r="A207" s="77">
        <v>45990</v>
      </c>
      <c r="B207" s="25" t="s">
        <v>576</v>
      </c>
      <c r="C207" s="77">
        <f t="shared" si="35"/>
        <v>46013</v>
      </c>
      <c r="D207" s="77">
        <f t="shared" si="36"/>
        <v>45997</v>
      </c>
      <c r="E207" s="77">
        <f t="shared" si="37"/>
        <v>46004</v>
      </c>
      <c r="F207" s="77">
        <f t="shared" si="38"/>
        <v>46010</v>
      </c>
      <c r="G207" s="77">
        <f t="shared" si="39"/>
        <v>45998</v>
      </c>
      <c r="H207" s="77">
        <f t="shared" si="40"/>
        <v>46005</v>
      </c>
      <c r="I207" s="77">
        <v>46016</v>
      </c>
      <c r="J207" s="78">
        <f t="shared" si="34"/>
        <v>26</v>
      </c>
      <c r="K207" s="25">
        <v>14.33</v>
      </c>
      <c r="L207" s="25">
        <v>12.78</v>
      </c>
      <c r="M207" s="25">
        <f t="shared" si="33"/>
        <v>1.5500000000000007</v>
      </c>
      <c r="N207" s="25" t="s">
        <v>593</v>
      </c>
    </row>
    <row r="208" spans="1:14" x14ac:dyDescent="0.25">
      <c r="A208" s="77">
        <v>45991</v>
      </c>
      <c r="B208" s="25" t="s">
        <v>458</v>
      </c>
      <c r="C208" s="77">
        <f t="shared" si="35"/>
        <v>46014</v>
      </c>
      <c r="D208" s="77">
        <f t="shared" si="36"/>
        <v>45998</v>
      </c>
      <c r="E208" s="77">
        <f t="shared" si="37"/>
        <v>46005</v>
      </c>
      <c r="F208" s="77">
        <f t="shared" si="38"/>
        <v>46011</v>
      </c>
      <c r="G208" s="77">
        <f t="shared" si="39"/>
        <v>45999</v>
      </c>
      <c r="H208" s="77">
        <f t="shared" si="40"/>
        <v>46006</v>
      </c>
      <c r="I208" s="77">
        <v>46016</v>
      </c>
      <c r="J208" s="78">
        <f t="shared" ref="J208:J209" si="41">I208-A208</f>
        <v>25</v>
      </c>
      <c r="K208" s="25">
        <v>17.11</v>
      </c>
      <c r="L208" s="25">
        <v>14.27</v>
      </c>
      <c r="M208" s="25">
        <f t="shared" si="33"/>
        <v>2.84</v>
      </c>
      <c r="N208" s="25" t="s">
        <v>593</v>
      </c>
    </row>
    <row r="209" spans="1:14" x14ac:dyDescent="0.25">
      <c r="A209" s="77">
        <v>45991</v>
      </c>
      <c r="B209" s="25" t="s">
        <v>459</v>
      </c>
      <c r="C209" s="77">
        <f t="shared" si="35"/>
        <v>46014</v>
      </c>
      <c r="D209" s="77">
        <f t="shared" si="36"/>
        <v>45998</v>
      </c>
      <c r="E209" s="77">
        <f t="shared" si="37"/>
        <v>46005</v>
      </c>
      <c r="F209" s="77">
        <f t="shared" si="38"/>
        <v>46011</v>
      </c>
      <c r="G209" s="77">
        <f t="shared" si="39"/>
        <v>45999</v>
      </c>
      <c r="H209" s="77">
        <f t="shared" si="40"/>
        <v>46006</v>
      </c>
      <c r="I209" s="77">
        <v>46017</v>
      </c>
      <c r="J209" s="78">
        <f t="shared" si="41"/>
        <v>26</v>
      </c>
      <c r="K209" s="25">
        <v>17.510000000000002</v>
      </c>
      <c r="L209" s="25">
        <v>9.84</v>
      </c>
      <c r="M209" s="25">
        <f t="shared" si="33"/>
        <v>7.6700000000000017</v>
      </c>
      <c r="N209" s="25" t="s">
        <v>592</v>
      </c>
    </row>
    <row r="210" spans="1:14" x14ac:dyDescent="0.25">
      <c r="A210" s="77">
        <v>45991</v>
      </c>
      <c r="B210" s="25" t="s">
        <v>460</v>
      </c>
      <c r="C210" s="77">
        <f t="shared" si="35"/>
        <v>46014</v>
      </c>
      <c r="D210" s="77">
        <f t="shared" si="36"/>
        <v>45998</v>
      </c>
      <c r="E210" s="77">
        <f t="shared" si="37"/>
        <v>46005</v>
      </c>
      <c r="F210" s="77">
        <f t="shared" si="38"/>
        <v>46011</v>
      </c>
      <c r="G210" s="77">
        <f t="shared" si="39"/>
        <v>45999</v>
      </c>
      <c r="H210" s="77">
        <f t="shared" si="40"/>
        <v>46006</v>
      </c>
      <c r="I210" s="77">
        <v>46017</v>
      </c>
      <c r="J210" s="78">
        <f t="shared" ref="J210:J211" si="42">I210-A210</f>
        <v>26</v>
      </c>
      <c r="K210" s="25">
        <v>17.36</v>
      </c>
      <c r="L210" s="25">
        <v>9.56</v>
      </c>
      <c r="M210" s="25">
        <f t="shared" si="33"/>
        <v>7.7999999999999989</v>
      </c>
      <c r="N210" s="25" t="s">
        <v>592</v>
      </c>
    </row>
    <row r="211" spans="1:14" x14ac:dyDescent="0.25">
      <c r="A211" s="77">
        <v>45991</v>
      </c>
      <c r="B211" s="25" t="s">
        <v>461</v>
      </c>
      <c r="C211" s="77">
        <f t="shared" si="35"/>
        <v>46014</v>
      </c>
      <c r="D211" s="77">
        <f t="shared" si="36"/>
        <v>45998</v>
      </c>
      <c r="E211" s="77">
        <f t="shared" si="37"/>
        <v>46005</v>
      </c>
      <c r="F211" s="77">
        <f t="shared" si="38"/>
        <v>46011</v>
      </c>
      <c r="G211" s="77">
        <f t="shared" si="39"/>
        <v>45999</v>
      </c>
      <c r="H211" s="77">
        <f t="shared" si="40"/>
        <v>46006</v>
      </c>
      <c r="I211" s="77">
        <v>46017</v>
      </c>
      <c r="J211" s="78">
        <f t="shared" si="42"/>
        <v>26</v>
      </c>
      <c r="K211" s="25">
        <v>16.91</v>
      </c>
      <c r="L211" s="25">
        <v>15.76</v>
      </c>
      <c r="M211" s="25">
        <f t="shared" si="33"/>
        <v>1.1500000000000004</v>
      </c>
      <c r="N211" s="25" t="s">
        <v>593</v>
      </c>
    </row>
    <row r="212" spans="1:14" x14ac:dyDescent="0.25">
      <c r="A212" s="77">
        <v>45991</v>
      </c>
      <c r="B212" s="25" t="s">
        <v>577</v>
      </c>
      <c r="C212" s="77">
        <f t="shared" si="35"/>
        <v>46014</v>
      </c>
      <c r="D212" s="77">
        <f t="shared" si="36"/>
        <v>45998</v>
      </c>
      <c r="E212" s="77">
        <f t="shared" si="37"/>
        <v>46005</v>
      </c>
      <c r="F212" s="77">
        <f t="shared" si="38"/>
        <v>46011</v>
      </c>
      <c r="G212" s="77">
        <f t="shared" si="39"/>
        <v>45999</v>
      </c>
      <c r="H212" s="77">
        <f t="shared" si="40"/>
        <v>46006</v>
      </c>
      <c r="I212" s="77">
        <v>46016</v>
      </c>
      <c r="J212" s="78">
        <f t="shared" ref="J212:J218" si="43">I212-A212</f>
        <v>25</v>
      </c>
      <c r="K212" s="25">
        <v>15.16</v>
      </c>
      <c r="L212" s="25">
        <v>13.56</v>
      </c>
      <c r="M212" s="25">
        <f t="shared" ref="M212:M218" si="44">K212-L212</f>
        <v>1.5999999999999996</v>
      </c>
      <c r="N212" s="25" t="s">
        <v>593</v>
      </c>
    </row>
    <row r="213" spans="1:14" x14ac:dyDescent="0.25">
      <c r="A213" s="77">
        <v>45991</v>
      </c>
      <c r="B213" s="25" t="s">
        <v>578</v>
      </c>
      <c r="C213" s="77">
        <f t="shared" si="35"/>
        <v>46014</v>
      </c>
      <c r="D213" s="77">
        <f t="shared" si="36"/>
        <v>45998</v>
      </c>
      <c r="E213" s="77">
        <f t="shared" si="37"/>
        <v>46005</v>
      </c>
      <c r="F213" s="77">
        <f t="shared" si="38"/>
        <v>46011</v>
      </c>
      <c r="G213" s="77">
        <f t="shared" si="39"/>
        <v>45999</v>
      </c>
      <c r="H213" s="77">
        <f t="shared" si="40"/>
        <v>46006</v>
      </c>
      <c r="I213" s="77">
        <v>46016</v>
      </c>
      <c r="J213" s="78">
        <f t="shared" si="43"/>
        <v>25</v>
      </c>
      <c r="K213" s="25">
        <v>14.18</v>
      </c>
      <c r="L213" s="25">
        <v>12.21</v>
      </c>
      <c r="M213" s="25">
        <f t="shared" si="44"/>
        <v>1.9699999999999989</v>
      </c>
      <c r="N213" s="25" t="s">
        <v>593</v>
      </c>
    </row>
    <row r="214" spans="1:14" x14ac:dyDescent="0.25">
      <c r="A214" s="77">
        <v>45991</v>
      </c>
      <c r="B214" s="25" t="s">
        <v>1144</v>
      </c>
      <c r="C214" s="77">
        <f t="shared" si="35"/>
        <v>46014</v>
      </c>
      <c r="D214" s="77">
        <f t="shared" si="36"/>
        <v>45998</v>
      </c>
      <c r="E214" s="77">
        <f t="shared" si="37"/>
        <v>46005</v>
      </c>
      <c r="F214" s="77">
        <f t="shared" si="38"/>
        <v>46011</v>
      </c>
      <c r="G214" s="77">
        <f t="shared" si="39"/>
        <v>45999</v>
      </c>
      <c r="H214" s="77">
        <f t="shared" si="40"/>
        <v>46006</v>
      </c>
      <c r="I214" s="77">
        <v>46016</v>
      </c>
      <c r="J214" s="78">
        <f t="shared" si="43"/>
        <v>25</v>
      </c>
      <c r="K214" s="25">
        <v>16.5</v>
      </c>
      <c r="L214" s="25">
        <v>14.19</v>
      </c>
      <c r="M214" s="25">
        <f t="shared" si="44"/>
        <v>2.3100000000000005</v>
      </c>
      <c r="N214" s="25" t="s">
        <v>593</v>
      </c>
    </row>
    <row r="215" spans="1:14" x14ac:dyDescent="0.25">
      <c r="A215" s="77">
        <v>45992</v>
      </c>
      <c r="B215" s="25" t="s">
        <v>462</v>
      </c>
      <c r="C215" s="77">
        <f t="shared" si="35"/>
        <v>46015</v>
      </c>
      <c r="D215" s="77">
        <f t="shared" si="36"/>
        <v>45999</v>
      </c>
      <c r="E215" s="77">
        <f t="shared" si="37"/>
        <v>46006</v>
      </c>
      <c r="F215" s="77">
        <f t="shared" si="38"/>
        <v>46012</v>
      </c>
      <c r="G215" s="77">
        <f t="shared" si="39"/>
        <v>46000</v>
      </c>
      <c r="H215" s="77">
        <f t="shared" si="40"/>
        <v>46007</v>
      </c>
      <c r="I215" s="77">
        <v>46017</v>
      </c>
      <c r="J215" s="78">
        <f t="shared" si="43"/>
        <v>25</v>
      </c>
      <c r="K215" s="25">
        <v>15.8</v>
      </c>
      <c r="L215" s="25">
        <v>14.92</v>
      </c>
      <c r="M215" s="25">
        <f t="shared" si="44"/>
        <v>0.88000000000000078</v>
      </c>
      <c r="N215" s="25" t="s">
        <v>593</v>
      </c>
    </row>
    <row r="216" spans="1:14" x14ac:dyDescent="0.25">
      <c r="A216" s="77">
        <v>45992</v>
      </c>
      <c r="B216" s="25" t="s">
        <v>463</v>
      </c>
      <c r="C216" s="77">
        <f t="shared" si="35"/>
        <v>46015</v>
      </c>
      <c r="D216" s="77">
        <f t="shared" si="36"/>
        <v>45999</v>
      </c>
      <c r="E216" s="77">
        <f t="shared" si="37"/>
        <v>46006</v>
      </c>
      <c r="F216" s="77">
        <f t="shared" si="38"/>
        <v>46012</v>
      </c>
      <c r="G216" s="77">
        <f t="shared" si="39"/>
        <v>46000</v>
      </c>
      <c r="H216" s="77">
        <f t="shared" si="40"/>
        <v>46007</v>
      </c>
      <c r="I216" s="77">
        <v>46017</v>
      </c>
      <c r="J216" s="78">
        <f t="shared" si="43"/>
        <v>25</v>
      </c>
      <c r="K216" s="25">
        <v>16.68</v>
      </c>
      <c r="L216" s="25">
        <v>15.51</v>
      </c>
      <c r="M216" s="25">
        <f t="shared" si="44"/>
        <v>1.17</v>
      </c>
      <c r="N216" s="25" t="s">
        <v>593</v>
      </c>
    </row>
    <row r="217" spans="1:14" x14ac:dyDescent="0.25">
      <c r="A217" s="77">
        <v>45992</v>
      </c>
      <c r="B217" s="25" t="s">
        <v>464</v>
      </c>
      <c r="C217" s="77">
        <f t="shared" si="35"/>
        <v>46015</v>
      </c>
      <c r="D217" s="77">
        <f t="shared" si="36"/>
        <v>45999</v>
      </c>
      <c r="E217" s="77">
        <f t="shared" si="37"/>
        <v>46006</v>
      </c>
      <c r="F217" s="77">
        <f t="shared" si="38"/>
        <v>46012</v>
      </c>
      <c r="G217" s="77">
        <f t="shared" si="39"/>
        <v>46000</v>
      </c>
      <c r="H217" s="77">
        <f t="shared" si="40"/>
        <v>46007</v>
      </c>
      <c r="I217" s="77">
        <v>46017</v>
      </c>
      <c r="J217" s="78">
        <f t="shared" si="43"/>
        <v>25</v>
      </c>
      <c r="K217" s="25">
        <v>14.62</v>
      </c>
      <c r="L217" s="25">
        <v>13.04</v>
      </c>
      <c r="M217" s="25">
        <f t="shared" si="44"/>
        <v>1.58</v>
      </c>
      <c r="N217" s="25" t="s">
        <v>593</v>
      </c>
    </row>
    <row r="218" spans="1:14" x14ac:dyDescent="0.25">
      <c r="A218" s="77">
        <v>45992</v>
      </c>
      <c r="B218" s="25" t="s">
        <v>424</v>
      </c>
      <c r="C218" s="77">
        <f t="shared" si="35"/>
        <v>46015</v>
      </c>
      <c r="D218" s="77">
        <f t="shared" si="36"/>
        <v>45999</v>
      </c>
      <c r="E218" s="77">
        <f t="shared" si="37"/>
        <v>46006</v>
      </c>
      <c r="F218" s="77">
        <f t="shared" si="38"/>
        <v>46012</v>
      </c>
      <c r="G218" s="77">
        <f t="shared" si="39"/>
        <v>46000</v>
      </c>
      <c r="H218" s="77">
        <f t="shared" si="40"/>
        <v>46007</v>
      </c>
      <c r="I218" s="77">
        <v>46018</v>
      </c>
      <c r="J218" s="78">
        <f t="shared" si="43"/>
        <v>26</v>
      </c>
      <c r="K218" s="25">
        <v>16.28</v>
      </c>
      <c r="L218" s="25">
        <v>8.23</v>
      </c>
      <c r="M218" s="25">
        <f t="shared" si="44"/>
        <v>8.0500000000000007</v>
      </c>
      <c r="N218" s="25" t="s">
        <v>592</v>
      </c>
    </row>
    <row r="219" spans="1:14" x14ac:dyDescent="0.25">
      <c r="A219" s="77">
        <v>45992</v>
      </c>
      <c r="B219" s="25" t="s">
        <v>425</v>
      </c>
      <c r="C219" s="77">
        <f t="shared" si="35"/>
        <v>46015</v>
      </c>
      <c r="D219" s="77">
        <f t="shared" si="36"/>
        <v>45999</v>
      </c>
      <c r="E219" s="77">
        <f t="shared" si="37"/>
        <v>46006</v>
      </c>
      <c r="F219" s="77">
        <f t="shared" si="38"/>
        <v>46012</v>
      </c>
      <c r="G219" s="77">
        <f t="shared" si="39"/>
        <v>46000</v>
      </c>
      <c r="H219" s="77">
        <f t="shared" si="40"/>
        <v>46007</v>
      </c>
      <c r="I219" s="77">
        <v>46017</v>
      </c>
      <c r="J219" s="78">
        <f t="shared" ref="J219:J222" si="45">I219-A219</f>
        <v>25</v>
      </c>
      <c r="K219" s="25">
        <v>14.43</v>
      </c>
      <c r="L219" s="25">
        <v>12.77</v>
      </c>
      <c r="M219" s="25">
        <f t="shared" ref="M219:M230" si="46">K219-L219</f>
        <v>1.6600000000000001</v>
      </c>
      <c r="N219" s="25" t="s">
        <v>593</v>
      </c>
    </row>
    <row r="220" spans="1:14" x14ac:dyDescent="0.25">
      <c r="A220" s="77">
        <v>45992</v>
      </c>
      <c r="B220" s="25" t="s">
        <v>426</v>
      </c>
      <c r="C220" s="77">
        <f t="shared" si="35"/>
        <v>46015</v>
      </c>
      <c r="D220" s="77">
        <f t="shared" si="36"/>
        <v>45999</v>
      </c>
      <c r="E220" s="77">
        <f t="shared" si="37"/>
        <v>46006</v>
      </c>
      <c r="F220" s="77">
        <f t="shared" si="38"/>
        <v>46012</v>
      </c>
      <c r="G220" s="77">
        <f t="shared" si="39"/>
        <v>46000</v>
      </c>
      <c r="H220" s="77">
        <f t="shared" si="40"/>
        <v>46007</v>
      </c>
      <c r="I220" s="77">
        <v>46017</v>
      </c>
      <c r="J220" s="78">
        <f t="shared" si="45"/>
        <v>25</v>
      </c>
      <c r="K220" s="25">
        <v>16.77</v>
      </c>
      <c r="L220" s="25">
        <v>14.85</v>
      </c>
      <c r="M220" s="25">
        <f t="shared" si="46"/>
        <v>1.92</v>
      </c>
      <c r="N220" s="25" t="s">
        <v>593</v>
      </c>
    </row>
    <row r="221" spans="1:14" x14ac:dyDescent="0.25">
      <c r="A221" s="77">
        <v>45992</v>
      </c>
      <c r="B221" s="25" t="s">
        <v>427</v>
      </c>
      <c r="C221" s="77">
        <f t="shared" si="35"/>
        <v>46015</v>
      </c>
      <c r="D221" s="77">
        <f t="shared" si="36"/>
        <v>45999</v>
      </c>
      <c r="E221" s="77">
        <f t="shared" si="37"/>
        <v>46006</v>
      </c>
      <c r="F221" s="77">
        <f t="shared" si="38"/>
        <v>46012</v>
      </c>
      <c r="G221" s="77">
        <f t="shared" si="39"/>
        <v>46000</v>
      </c>
      <c r="H221" s="77">
        <f t="shared" si="40"/>
        <v>46007</v>
      </c>
      <c r="I221" s="77">
        <v>46017</v>
      </c>
      <c r="J221" s="78">
        <f t="shared" si="45"/>
        <v>25</v>
      </c>
      <c r="K221" s="25">
        <v>15.11</v>
      </c>
      <c r="L221" s="25">
        <v>13.79</v>
      </c>
      <c r="M221" s="25">
        <f t="shared" si="46"/>
        <v>1.3200000000000003</v>
      </c>
      <c r="N221" s="25" t="s">
        <v>593</v>
      </c>
    </row>
    <row r="222" spans="1:14" x14ac:dyDescent="0.25">
      <c r="A222" s="77">
        <v>45994</v>
      </c>
      <c r="B222" s="25" t="s">
        <v>421</v>
      </c>
      <c r="C222" s="77">
        <f t="shared" si="35"/>
        <v>46017</v>
      </c>
      <c r="D222" s="77">
        <f t="shared" si="36"/>
        <v>46001</v>
      </c>
      <c r="E222" s="77">
        <f t="shared" si="37"/>
        <v>46008</v>
      </c>
      <c r="F222" s="77">
        <f t="shared" si="38"/>
        <v>46014</v>
      </c>
      <c r="G222" s="77">
        <f t="shared" si="39"/>
        <v>46002</v>
      </c>
      <c r="H222" s="77">
        <f t="shared" si="40"/>
        <v>46009</v>
      </c>
      <c r="I222" s="77">
        <v>46018</v>
      </c>
      <c r="J222" s="78">
        <f t="shared" si="45"/>
        <v>24</v>
      </c>
      <c r="K222" s="25">
        <v>16.170000000000002</v>
      </c>
      <c r="L222" s="25">
        <v>8.19</v>
      </c>
      <c r="M222" s="25">
        <f t="shared" si="46"/>
        <v>7.9800000000000022</v>
      </c>
      <c r="N222" s="25" t="s">
        <v>592</v>
      </c>
    </row>
    <row r="223" spans="1:14" x14ac:dyDescent="0.25">
      <c r="A223" s="77">
        <v>45994</v>
      </c>
      <c r="B223" s="25" t="s">
        <v>422</v>
      </c>
      <c r="C223" s="77">
        <f t="shared" si="35"/>
        <v>46017</v>
      </c>
      <c r="D223" s="77">
        <f t="shared" si="36"/>
        <v>46001</v>
      </c>
      <c r="E223" s="77">
        <f t="shared" si="37"/>
        <v>46008</v>
      </c>
      <c r="F223" s="77">
        <f t="shared" si="38"/>
        <v>46014</v>
      </c>
      <c r="G223" s="77">
        <f t="shared" si="39"/>
        <v>46002</v>
      </c>
      <c r="H223" s="77">
        <f t="shared" si="40"/>
        <v>46009</v>
      </c>
      <c r="I223" s="77">
        <v>46018</v>
      </c>
      <c r="J223" s="78">
        <f t="shared" ref="J223:J224" si="47">I223-A223</f>
        <v>24</v>
      </c>
      <c r="K223" s="25">
        <v>15.22</v>
      </c>
      <c r="L223" s="25">
        <v>7.81</v>
      </c>
      <c r="M223" s="25">
        <f t="shared" si="46"/>
        <v>7.410000000000001</v>
      </c>
      <c r="N223" s="25" t="s">
        <v>592</v>
      </c>
    </row>
    <row r="224" spans="1:14" x14ac:dyDescent="0.25">
      <c r="A224" s="77">
        <v>45994</v>
      </c>
      <c r="B224" s="25" t="s">
        <v>423</v>
      </c>
      <c r="C224" s="77">
        <f t="shared" si="35"/>
        <v>46017</v>
      </c>
      <c r="D224" s="77">
        <f t="shared" si="36"/>
        <v>46001</v>
      </c>
      <c r="E224" s="77">
        <f t="shared" si="37"/>
        <v>46008</v>
      </c>
      <c r="F224" s="77">
        <f t="shared" si="38"/>
        <v>46014</v>
      </c>
      <c r="G224" s="77">
        <f t="shared" si="39"/>
        <v>46002</v>
      </c>
      <c r="H224" s="77">
        <f t="shared" si="40"/>
        <v>46009</v>
      </c>
      <c r="I224" s="77">
        <v>46018</v>
      </c>
      <c r="J224" s="78">
        <f t="shared" si="47"/>
        <v>24</v>
      </c>
      <c r="K224" s="25">
        <v>15.1</v>
      </c>
      <c r="L224" s="25">
        <v>7.56</v>
      </c>
      <c r="M224" s="25">
        <f t="shared" si="46"/>
        <v>7.54</v>
      </c>
      <c r="N224" s="25" t="s">
        <v>592</v>
      </c>
    </row>
    <row r="225" spans="1:14" x14ac:dyDescent="0.25">
      <c r="A225" s="77">
        <v>45994</v>
      </c>
      <c r="B225" s="25" t="s">
        <v>452</v>
      </c>
      <c r="C225" s="77">
        <f t="shared" si="35"/>
        <v>46017</v>
      </c>
      <c r="D225" s="77">
        <f t="shared" si="36"/>
        <v>46001</v>
      </c>
      <c r="E225" s="77">
        <f t="shared" si="37"/>
        <v>46008</v>
      </c>
      <c r="F225" s="77">
        <f t="shared" si="38"/>
        <v>46014</v>
      </c>
      <c r="G225" s="77">
        <f t="shared" si="39"/>
        <v>46002</v>
      </c>
      <c r="H225" s="77">
        <f t="shared" si="40"/>
        <v>46009</v>
      </c>
      <c r="I225" s="77">
        <v>46018</v>
      </c>
      <c r="J225" s="78">
        <f t="shared" ref="J225" si="48">I225-A225</f>
        <v>24</v>
      </c>
      <c r="K225" s="25">
        <v>16.41</v>
      </c>
      <c r="L225" s="25">
        <v>14.18</v>
      </c>
      <c r="M225" s="25">
        <f t="shared" si="46"/>
        <v>2.2300000000000004</v>
      </c>
      <c r="N225" s="25" t="s">
        <v>593</v>
      </c>
    </row>
    <row r="226" spans="1:14" x14ac:dyDescent="0.25">
      <c r="A226" s="77">
        <v>45994</v>
      </c>
      <c r="B226" s="25" t="s">
        <v>453</v>
      </c>
      <c r="C226" s="77">
        <f t="shared" si="35"/>
        <v>46017</v>
      </c>
      <c r="D226" s="77">
        <f t="shared" si="36"/>
        <v>46001</v>
      </c>
      <c r="E226" s="77">
        <f t="shared" si="37"/>
        <v>46008</v>
      </c>
      <c r="F226" s="77">
        <f t="shared" si="38"/>
        <v>46014</v>
      </c>
      <c r="G226" s="77">
        <f t="shared" si="39"/>
        <v>46002</v>
      </c>
      <c r="H226" s="77">
        <f t="shared" si="40"/>
        <v>46009</v>
      </c>
      <c r="I226" s="77">
        <v>46018</v>
      </c>
      <c r="J226" s="78">
        <f t="shared" ref="J226:J235" si="49">I226-A226</f>
        <v>24</v>
      </c>
      <c r="K226" s="25">
        <v>15.28</v>
      </c>
      <c r="L226" s="25">
        <v>13.98</v>
      </c>
      <c r="M226" s="25">
        <f t="shared" si="46"/>
        <v>1.2999999999999989</v>
      </c>
      <c r="N226" s="25" t="s">
        <v>593</v>
      </c>
    </row>
    <row r="227" spans="1:14" x14ac:dyDescent="0.25">
      <c r="A227" s="77">
        <v>45994</v>
      </c>
      <c r="B227" s="25" t="s">
        <v>454</v>
      </c>
      <c r="C227" s="77">
        <f t="shared" si="35"/>
        <v>46017</v>
      </c>
      <c r="D227" s="77">
        <f t="shared" si="36"/>
        <v>46001</v>
      </c>
      <c r="E227" s="77">
        <f t="shared" si="37"/>
        <v>46008</v>
      </c>
      <c r="F227" s="77">
        <f t="shared" si="38"/>
        <v>46014</v>
      </c>
      <c r="G227" s="77">
        <f t="shared" si="39"/>
        <v>46002</v>
      </c>
      <c r="H227" s="77">
        <f t="shared" si="40"/>
        <v>46009</v>
      </c>
      <c r="I227" s="77">
        <v>46018</v>
      </c>
      <c r="J227" s="78">
        <f t="shared" si="49"/>
        <v>24</v>
      </c>
      <c r="K227" s="25">
        <v>17.36</v>
      </c>
      <c r="L227" s="25">
        <v>15.86</v>
      </c>
      <c r="M227" s="25">
        <f t="shared" si="46"/>
        <v>1.5</v>
      </c>
      <c r="N227" s="25" t="s">
        <v>593</v>
      </c>
    </row>
    <row r="228" spans="1:14" x14ac:dyDescent="0.25">
      <c r="A228" s="77">
        <v>45994</v>
      </c>
      <c r="B228" s="25" t="s">
        <v>455</v>
      </c>
      <c r="C228" s="77">
        <f t="shared" si="35"/>
        <v>46017</v>
      </c>
      <c r="D228" s="77">
        <f t="shared" si="36"/>
        <v>46001</v>
      </c>
      <c r="E228" s="77">
        <f t="shared" si="37"/>
        <v>46008</v>
      </c>
      <c r="F228" s="77">
        <f t="shared" si="38"/>
        <v>46014</v>
      </c>
      <c r="G228" s="77">
        <f t="shared" si="39"/>
        <v>46002</v>
      </c>
      <c r="H228" s="77">
        <f t="shared" si="40"/>
        <v>46009</v>
      </c>
      <c r="I228" s="77">
        <v>46018</v>
      </c>
      <c r="J228" s="78">
        <f t="shared" si="49"/>
        <v>24</v>
      </c>
      <c r="K228" s="25">
        <v>15.13</v>
      </c>
      <c r="L228" s="25">
        <v>13.74</v>
      </c>
      <c r="M228" s="25">
        <f t="shared" si="46"/>
        <v>1.3900000000000006</v>
      </c>
      <c r="N228" s="25" t="s">
        <v>593</v>
      </c>
    </row>
    <row r="229" spans="1:14" x14ac:dyDescent="0.25">
      <c r="A229" s="77">
        <v>45994</v>
      </c>
      <c r="B229" s="25" t="s">
        <v>456</v>
      </c>
      <c r="C229" s="77">
        <f t="shared" si="35"/>
        <v>46017</v>
      </c>
      <c r="D229" s="77">
        <f t="shared" si="36"/>
        <v>46001</v>
      </c>
      <c r="E229" s="77">
        <f t="shared" si="37"/>
        <v>46008</v>
      </c>
      <c r="F229" s="77">
        <f t="shared" si="38"/>
        <v>46014</v>
      </c>
      <c r="G229" s="77">
        <f t="shared" si="39"/>
        <v>46002</v>
      </c>
      <c r="H229" s="77">
        <f t="shared" si="40"/>
        <v>46009</v>
      </c>
      <c r="I229" s="77">
        <v>46018</v>
      </c>
      <c r="J229" s="78">
        <f t="shared" si="49"/>
        <v>24</v>
      </c>
      <c r="K229" s="25">
        <v>17.079999999999998</v>
      </c>
      <c r="L229" s="25">
        <v>14.91</v>
      </c>
      <c r="M229" s="25">
        <f t="shared" si="46"/>
        <v>2.1699999999999982</v>
      </c>
      <c r="N229" s="25" t="s">
        <v>593</v>
      </c>
    </row>
    <row r="230" spans="1:14" x14ac:dyDescent="0.25">
      <c r="A230" s="77">
        <v>45994</v>
      </c>
      <c r="B230" s="25" t="s">
        <v>457</v>
      </c>
      <c r="C230" s="77">
        <f t="shared" si="35"/>
        <v>46017</v>
      </c>
      <c r="D230" s="77">
        <f t="shared" si="36"/>
        <v>46001</v>
      </c>
      <c r="E230" s="77">
        <f t="shared" si="37"/>
        <v>46008</v>
      </c>
      <c r="F230" s="77">
        <f t="shared" si="38"/>
        <v>46014</v>
      </c>
      <c r="G230" s="77">
        <f t="shared" si="39"/>
        <v>46002</v>
      </c>
      <c r="H230" s="77">
        <f t="shared" si="40"/>
        <v>46009</v>
      </c>
      <c r="I230" s="77">
        <v>46018</v>
      </c>
      <c r="J230" s="78">
        <f t="shared" si="49"/>
        <v>24</v>
      </c>
      <c r="K230" s="25">
        <v>16.850000000000001</v>
      </c>
      <c r="L230" s="25">
        <v>14.58</v>
      </c>
      <c r="M230" s="25">
        <f t="shared" si="46"/>
        <v>2.2700000000000014</v>
      </c>
      <c r="N230" s="25" t="s">
        <v>593</v>
      </c>
    </row>
    <row r="231" spans="1:14" x14ac:dyDescent="0.25">
      <c r="A231" s="77">
        <v>45995</v>
      </c>
      <c r="B231" s="25" t="s">
        <v>417</v>
      </c>
      <c r="C231" s="77">
        <f t="shared" si="35"/>
        <v>46018</v>
      </c>
      <c r="D231" s="77">
        <f t="shared" si="36"/>
        <v>46002</v>
      </c>
      <c r="E231" s="77">
        <f t="shared" si="37"/>
        <v>46009</v>
      </c>
      <c r="F231" s="77">
        <f t="shared" si="38"/>
        <v>46015</v>
      </c>
      <c r="G231" s="77">
        <f t="shared" si="39"/>
        <v>46003</v>
      </c>
      <c r="H231" s="77">
        <f t="shared" si="40"/>
        <v>46010</v>
      </c>
      <c r="I231" s="77">
        <v>46019</v>
      </c>
      <c r="J231" s="78">
        <f t="shared" si="49"/>
        <v>24</v>
      </c>
      <c r="K231" s="25">
        <v>14.27</v>
      </c>
      <c r="L231" s="25">
        <v>7.16</v>
      </c>
      <c r="M231" s="25">
        <f>K231-L231</f>
        <v>7.1099999999999994</v>
      </c>
      <c r="N231" s="25" t="s">
        <v>592</v>
      </c>
    </row>
    <row r="232" spans="1:14" x14ac:dyDescent="0.25">
      <c r="A232" s="77">
        <v>45995</v>
      </c>
      <c r="B232" s="25" t="s">
        <v>418</v>
      </c>
      <c r="C232" s="77">
        <f t="shared" si="35"/>
        <v>46018</v>
      </c>
      <c r="D232" s="77">
        <f t="shared" si="36"/>
        <v>46002</v>
      </c>
      <c r="E232" s="77">
        <f t="shared" si="37"/>
        <v>46009</v>
      </c>
      <c r="F232" s="77">
        <f t="shared" si="38"/>
        <v>46015</v>
      </c>
      <c r="G232" s="77">
        <f t="shared" si="39"/>
        <v>46003</v>
      </c>
      <c r="H232" s="77">
        <f t="shared" si="40"/>
        <v>46010</v>
      </c>
      <c r="I232" s="77">
        <v>46019</v>
      </c>
      <c r="J232" s="78">
        <f t="shared" si="49"/>
        <v>24</v>
      </c>
      <c r="K232" s="25">
        <v>14.39</v>
      </c>
      <c r="L232" s="25">
        <v>7.2</v>
      </c>
      <c r="M232" s="25">
        <f t="shared" ref="M232:M235" si="50">K232-L232</f>
        <v>7.19</v>
      </c>
      <c r="N232" s="25" t="s">
        <v>592</v>
      </c>
    </row>
    <row r="233" spans="1:14" x14ac:dyDescent="0.25">
      <c r="A233" s="77">
        <v>45995</v>
      </c>
      <c r="B233" s="25" t="s">
        <v>419</v>
      </c>
      <c r="C233" s="77">
        <f t="shared" si="35"/>
        <v>46018</v>
      </c>
      <c r="D233" s="77">
        <f t="shared" si="36"/>
        <v>46002</v>
      </c>
      <c r="E233" s="77">
        <f t="shared" si="37"/>
        <v>46009</v>
      </c>
      <c r="F233" s="77">
        <f t="shared" si="38"/>
        <v>46015</v>
      </c>
      <c r="G233" s="77">
        <f t="shared" si="39"/>
        <v>46003</v>
      </c>
      <c r="H233" s="77">
        <f t="shared" si="40"/>
        <v>46010</v>
      </c>
      <c r="I233" s="77">
        <v>46019</v>
      </c>
      <c r="J233" s="78">
        <f t="shared" si="49"/>
        <v>24</v>
      </c>
      <c r="K233" s="25">
        <v>13.56</v>
      </c>
      <c r="L233" s="25">
        <v>6.92</v>
      </c>
      <c r="M233" s="25">
        <f t="shared" si="50"/>
        <v>6.6400000000000006</v>
      </c>
      <c r="N233" s="25" t="s">
        <v>592</v>
      </c>
    </row>
    <row r="234" spans="1:14" x14ac:dyDescent="0.25">
      <c r="A234" s="77">
        <v>45995</v>
      </c>
      <c r="B234" s="25" t="s">
        <v>420</v>
      </c>
      <c r="C234" s="77">
        <f t="shared" si="35"/>
        <v>46018</v>
      </c>
      <c r="D234" s="77">
        <f t="shared" si="36"/>
        <v>46002</v>
      </c>
      <c r="E234" s="77">
        <f t="shared" si="37"/>
        <v>46009</v>
      </c>
      <c r="F234" s="77">
        <f t="shared" si="38"/>
        <v>46015</v>
      </c>
      <c r="G234" s="77">
        <f t="shared" si="39"/>
        <v>46003</v>
      </c>
      <c r="H234" s="77">
        <f t="shared" si="40"/>
        <v>46010</v>
      </c>
      <c r="I234" s="77">
        <v>46019</v>
      </c>
      <c r="J234" s="78">
        <f t="shared" si="49"/>
        <v>24</v>
      </c>
      <c r="K234" s="25">
        <v>14.16</v>
      </c>
      <c r="L234" s="25">
        <v>7.03</v>
      </c>
      <c r="M234" s="25">
        <f t="shared" si="50"/>
        <v>7.13</v>
      </c>
      <c r="N234" s="25" t="s">
        <v>592</v>
      </c>
    </row>
    <row r="235" spans="1:14" x14ac:dyDescent="0.25">
      <c r="A235" s="77">
        <v>45995</v>
      </c>
      <c r="B235" s="25" t="s">
        <v>451</v>
      </c>
      <c r="C235" s="77">
        <f t="shared" si="35"/>
        <v>46018</v>
      </c>
      <c r="D235" s="77">
        <f t="shared" si="36"/>
        <v>46002</v>
      </c>
      <c r="E235" s="77">
        <f t="shared" si="37"/>
        <v>46009</v>
      </c>
      <c r="F235" s="77">
        <f t="shared" si="38"/>
        <v>46015</v>
      </c>
      <c r="G235" s="77">
        <f t="shared" si="39"/>
        <v>46003</v>
      </c>
      <c r="H235" s="77">
        <f t="shared" si="40"/>
        <v>46010</v>
      </c>
      <c r="I235" s="77">
        <v>46019</v>
      </c>
      <c r="J235" s="78">
        <f t="shared" si="49"/>
        <v>24</v>
      </c>
      <c r="K235" s="25">
        <v>11.73</v>
      </c>
      <c r="L235" s="25">
        <v>5.56</v>
      </c>
      <c r="M235" s="25">
        <f t="shared" si="50"/>
        <v>6.1700000000000008</v>
      </c>
      <c r="N235" s="25" t="s">
        <v>592</v>
      </c>
    </row>
    <row r="236" spans="1:14" x14ac:dyDescent="0.25">
      <c r="A236" s="77">
        <v>45995</v>
      </c>
      <c r="B236" s="25" t="s">
        <v>465</v>
      </c>
      <c r="C236" s="77">
        <f t="shared" ref="C236:C251" si="51">A236+23</f>
        <v>46018</v>
      </c>
      <c r="D236" s="77">
        <f t="shared" ref="D236:D251" si="52">A236+7</f>
        <v>46002</v>
      </c>
      <c r="E236" s="77">
        <f t="shared" ref="E236:E251" si="53">A236+14</f>
        <v>46009</v>
      </c>
      <c r="F236" s="77">
        <f t="shared" ref="F236:F251" si="54">A236+20</f>
        <v>46015</v>
      </c>
      <c r="G236" s="77">
        <f t="shared" ref="G236:G251" si="55">A236+8</f>
        <v>46003</v>
      </c>
      <c r="H236" s="77">
        <f t="shared" ref="H236:H251" si="56">A236+15</f>
        <v>46010</v>
      </c>
      <c r="I236" s="77">
        <v>46020</v>
      </c>
      <c r="J236" s="78">
        <f t="shared" ref="J236:J247" si="57">I236-A236</f>
        <v>25</v>
      </c>
      <c r="K236" s="25">
        <v>11.39</v>
      </c>
      <c r="L236" s="25">
        <v>5.25</v>
      </c>
      <c r="M236" s="25">
        <f t="shared" ref="M236:M249" si="58">K236-L236</f>
        <v>6.1400000000000006</v>
      </c>
      <c r="N236" s="25" t="s">
        <v>592</v>
      </c>
    </row>
    <row r="237" spans="1:14" x14ac:dyDescent="0.25">
      <c r="A237" s="77">
        <v>45995</v>
      </c>
      <c r="B237" s="25" t="s">
        <v>467</v>
      </c>
      <c r="C237" s="77">
        <f t="shared" si="51"/>
        <v>46018</v>
      </c>
      <c r="D237" s="77">
        <f t="shared" si="52"/>
        <v>46002</v>
      </c>
      <c r="E237" s="77">
        <f t="shared" si="53"/>
        <v>46009</v>
      </c>
      <c r="F237" s="77">
        <f t="shared" si="54"/>
        <v>46015</v>
      </c>
      <c r="G237" s="77">
        <f t="shared" si="55"/>
        <v>46003</v>
      </c>
      <c r="H237" s="77">
        <f t="shared" si="56"/>
        <v>46010</v>
      </c>
      <c r="I237" s="77">
        <v>46020</v>
      </c>
      <c r="J237" s="78">
        <f t="shared" si="57"/>
        <v>25</v>
      </c>
      <c r="K237" s="25">
        <v>10.67</v>
      </c>
      <c r="L237" s="25">
        <v>4.1399999999999997</v>
      </c>
      <c r="M237" s="25">
        <f t="shared" si="58"/>
        <v>6.53</v>
      </c>
      <c r="N237" s="25" t="s">
        <v>592</v>
      </c>
    </row>
    <row r="238" spans="1:14" x14ac:dyDescent="0.25">
      <c r="A238" s="77">
        <v>45995</v>
      </c>
      <c r="B238" s="25" t="s">
        <v>469</v>
      </c>
      <c r="C238" s="77">
        <f t="shared" si="51"/>
        <v>46018</v>
      </c>
      <c r="D238" s="77">
        <f t="shared" si="52"/>
        <v>46002</v>
      </c>
      <c r="E238" s="77">
        <f t="shared" si="53"/>
        <v>46009</v>
      </c>
      <c r="F238" s="77">
        <f t="shared" si="54"/>
        <v>46015</v>
      </c>
      <c r="G238" s="77">
        <f t="shared" si="55"/>
        <v>46003</v>
      </c>
      <c r="H238" s="77">
        <f t="shared" si="56"/>
        <v>46010</v>
      </c>
      <c r="I238" s="77">
        <v>46020</v>
      </c>
      <c r="J238" s="78">
        <f t="shared" si="57"/>
        <v>25</v>
      </c>
      <c r="K238" s="25">
        <v>10.210000000000001</v>
      </c>
      <c r="L238" s="25">
        <v>3.81</v>
      </c>
      <c r="M238" s="25">
        <f t="shared" si="58"/>
        <v>6.4</v>
      </c>
      <c r="N238" s="25" t="s">
        <v>592</v>
      </c>
    </row>
    <row r="239" spans="1:14" x14ac:dyDescent="0.25">
      <c r="A239" s="77">
        <v>45996</v>
      </c>
      <c r="B239" s="25" t="s">
        <v>466</v>
      </c>
      <c r="C239" s="77">
        <f t="shared" si="51"/>
        <v>46019</v>
      </c>
      <c r="D239" s="77">
        <f t="shared" si="52"/>
        <v>46003</v>
      </c>
      <c r="E239" s="77">
        <f t="shared" si="53"/>
        <v>46010</v>
      </c>
      <c r="F239" s="77">
        <f t="shared" si="54"/>
        <v>46016</v>
      </c>
      <c r="G239" s="77">
        <f t="shared" si="55"/>
        <v>46004</v>
      </c>
      <c r="H239" s="77">
        <f t="shared" si="56"/>
        <v>46011</v>
      </c>
      <c r="I239" s="77">
        <v>46020</v>
      </c>
      <c r="J239" s="78">
        <f t="shared" si="57"/>
        <v>24</v>
      </c>
      <c r="K239" s="25">
        <v>11.12</v>
      </c>
      <c r="L239" s="25">
        <v>5.15</v>
      </c>
      <c r="M239" s="25">
        <f t="shared" si="58"/>
        <v>5.9699999999999989</v>
      </c>
      <c r="N239" s="25" t="s">
        <v>592</v>
      </c>
    </row>
    <row r="240" spans="1:14" x14ac:dyDescent="0.25">
      <c r="A240" s="77">
        <v>45996</v>
      </c>
      <c r="B240" s="25" t="s">
        <v>468</v>
      </c>
      <c r="C240" s="77">
        <f t="shared" si="51"/>
        <v>46019</v>
      </c>
      <c r="D240" s="77">
        <f t="shared" si="52"/>
        <v>46003</v>
      </c>
      <c r="E240" s="77">
        <f t="shared" si="53"/>
        <v>46010</v>
      </c>
      <c r="F240" s="77">
        <f t="shared" si="54"/>
        <v>46016</v>
      </c>
      <c r="G240" s="77">
        <f t="shared" si="55"/>
        <v>46004</v>
      </c>
      <c r="H240" s="77">
        <f t="shared" si="56"/>
        <v>46011</v>
      </c>
      <c r="I240" s="77">
        <v>46020</v>
      </c>
      <c r="J240" s="78">
        <f t="shared" si="57"/>
        <v>24</v>
      </c>
      <c r="K240" s="25">
        <v>10.06</v>
      </c>
      <c r="L240" s="25">
        <v>3.38</v>
      </c>
      <c r="M240" s="25">
        <f t="shared" si="58"/>
        <v>6.6800000000000006</v>
      </c>
      <c r="N240" s="25" t="s">
        <v>592</v>
      </c>
    </row>
    <row r="241" spans="1:14" x14ac:dyDescent="0.25">
      <c r="A241" s="77">
        <v>45996</v>
      </c>
      <c r="B241" s="25" t="s">
        <v>414</v>
      </c>
      <c r="C241" s="77">
        <f t="shared" si="51"/>
        <v>46019</v>
      </c>
      <c r="D241" s="77">
        <f t="shared" si="52"/>
        <v>46003</v>
      </c>
      <c r="E241" s="77">
        <f t="shared" si="53"/>
        <v>46010</v>
      </c>
      <c r="F241" s="77">
        <f t="shared" si="54"/>
        <v>46016</v>
      </c>
      <c r="G241" s="77">
        <f t="shared" si="55"/>
        <v>46004</v>
      </c>
      <c r="H241" s="77">
        <f t="shared" si="56"/>
        <v>46011</v>
      </c>
      <c r="I241" s="77">
        <v>46019</v>
      </c>
      <c r="J241" s="78">
        <f t="shared" si="57"/>
        <v>23</v>
      </c>
      <c r="K241" s="25">
        <v>14.46</v>
      </c>
      <c r="L241" s="25">
        <v>12.66</v>
      </c>
      <c r="M241" s="25">
        <f t="shared" si="58"/>
        <v>1.8000000000000007</v>
      </c>
      <c r="N241" s="25" t="s">
        <v>593</v>
      </c>
    </row>
    <row r="242" spans="1:14" x14ac:dyDescent="0.25">
      <c r="A242" s="77">
        <v>45996</v>
      </c>
      <c r="B242" s="25" t="s">
        <v>415</v>
      </c>
      <c r="C242" s="77">
        <f t="shared" si="51"/>
        <v>46019</v>
      </c>
      <c r="D242" s="77">
        <f t="shared" si="52"/>
        <v>46003</v>
      </c>
      <c r="E242" s="77">
        <f t="shared" si="53"/>
        <v>46010</v>
      </c>
      <c r="F242" s="77">
        <f t="shared" si="54"/>
        <v>46016</v>
      </c>
      <c r="G242" s="77">
        <f t="shared" si="55"/>
        <v>46004</v>
      </c>
      <c r="H242" s="77">
        <f t="shared" si="56"/>
        <v>46011</v>
      </c>
      <c r="I242" s="77">
        <v>46019</v>
      </c>
      <c r="J242" s="78">
        <f t="shared" si="57"/>
        <v>23</v>
      </c>
      <c r="K242" s="25">
        <v>15.28</v>
      </c>
      <c r="L242" s="25">
        <v>13.36</v>
      </c>
      <c r="M242" s="25">
        <f t="shared" si="58"/>
        <v>1.92</v>
      </c>
      <c r="N242" s="25" t="s">
        <v>593</v>
      </c>
    </row>
    <row r="243" spans="1:14" x14ac:dyDescent="0.25">
      <c r="A243" s="77">
        <v>45996</v>
      </c>
      <c r="B243" s="25" t="s">
        <v>416</v>
      </c>
      <c r="C243" s="77">
        <f t="shared" si="51"/>
        <v>46019</v>
      </c>
      <c r="D243" s="77">
        <f t="shared" si="52"/>
        <v>46003</v>
      </c>
      <c r="E243" s="77">
        <f t="shared" si="53"/>
        <v>46010</v>
      </c>
      <c r="F243" s="77">
        <f t="shared" si="54"/>
        <v>46016</v>
      </c>
      <c r="G243" s="77">
        <f t="shared" si="55"/>
        <v>46004</v>
      </c>
      <c r="H243" s="77">
        <f t="shared" si="56"/>
        <v>46011</v>
      </c>
      <c r="I243" s="77">
        <v>46019</v>
      </c>
      <c r="J243" s="78">
        <f t="shared" si="57"/>
        <v>23</v>
      </c>
      <c r="K243" s="25">
        <v>15.41</v>
      </c>
      <c r="L243" s="25">
        <v>13.51</v>
      </c>
      <c r="M243" s="25">
        <f t="shared" si="58"/>
        <v>1.9000000000000004</v>
      </c>
      <c r="N243" s="25" t="s">
        <v>593</v>
      </c>
    </row>
    <row r="244" spans="1:14" x14ac:dyDescent="0.25">
      <c r="A244" s="77">
        <v>45996</v>
      </c>
      <c r="B244" s="25" t="s">
        <v>448</v>
      </c>
      <c r="C244" s="77">
        <f t="shared" si="51"/>
        <v>46019</v>
      </c>
      <c r="D244" s="77">
        <f t="shared" si="52"/>
        <v>46003</v>
      </c>
      <c r="E244" s="77">
        <f t="shared" si="53"/>
        <v>46010</v>
      </c>
      <c r="F244" s="77">
        <f t="shared" si="54"/>
        <v>46016</v>
      </c>
      <c r="G244" s="77">
        <f t="shared" si="55"/>
        <v>46004</v>
      </c>
      <c r="H244" s="77">
        <f t="shared" si="56"/>
        <v>46011</v>
      </c>
      <c r="I244" s="77">
        <v>46019</v>
      </c>
      <c r="J244" s="78">
        <f t="shared" si="57"/>
        <v>23</v>
      </c>
      <c r="K244" s="25">
        <v>15.19</v>
      </c>
      <c r="L244" s="25">
        <v>13.29</v>
      </c>
      <c r="M244" s="25">
        <f t="shared" si="58"/>
        <v>1.9000000000000004</v>
      </c>
      <c r="N244" s="25" t="s">
        <v>593</v>
      </c>
    </row>
    <row r="245" spans="1:14" x14ac:dyDescent="0.25">
      <c r="A245" s="77">
        <v>45996</v>
      </c>
      <c r="B245" s="25" t="s">
        <v>449</v>
      </c>
      <c r="C245" s="77">
        <f t="shared" si="51"/>
        <v>46019</v>
      </c>
      <c r="D245" s="77">
        <f t="shared" si="52"/>
        <v>46003</v>
      </c>
      <c r="E245" s="77">
        <f t="shared" si="53"/>
        <v>46010</v>
      </c>
      <c r="F245" s="77">
        <f t="shared" si="54"/>
        <v>46016</v>
      </c>
      <c r="G245" s="77">
        <f t="shared" si="55"/>
        <v>46004</v>
      </c>
      <c r="H245" s="77">
        <f t="shared" si="56"/>
        <v>46011</v>
      </c>
      <c r="I245" s="77">
        <v>46019</v>
      </c>
      <c r="J245" s="78">
        <f t="shared" si="57"/>
        <v>23</v>
      </c>
      <c r="K245" s="25">
        <v>14.25</v>
      </c>
      <c r="L245" s="25">
        <v>12.54</v>
      </c>
      <c r="M245" s="25">
        <f t="shared" si="58"/>
        <v>1.7100000000000009</v>
      </c>
      <c r="N245" s="25" t="s">
        <v>593</v>
      </c>
    </row>
    <row r="246" spans="1:14" x14ac:dyDescent="0.25">
      <c r="A246" s="77">
        <v>45995</v>
      </c>
      <c r="B246" s="25" t="s">
        <v>470</v>
      </c>
      <c r="C246" s="77">
        <f t="shared" si="51"/>
        <v>46018</v>
      </c>
      <c r="D246" s="77">
        <f t="shared" si="52"/>
        <v>46002</v>
      </c>
      <c r="E246" s="77">
        <f t="shared" si="53"/>
        <v>46009</v>
      </c>
      <c r="F246" s="77">
        <f t="shared" si="54"/>
        <v>46015</v>
      </c>
      <c r="G246" s="77">
        <f t="shared" si="55"/>
        <v>46003</v>
      </c>
      <c r="H246" s="77">
        <f t="shared" si="56"/>
        <v>46010</v>
      </c>
      <c r="I246" s="77">
        <v>46020</v>
      </c>
      <c r="J246" s="78">
        <f t="shared" si="57"/>
        <v>25</v>
      </c>
      <c r="K246" s="25">
        <v>12.43</v>
      </c>
      <c r="L246" s="25">
        <v>10.59</v>
      </c>
      <c r="M246" s="25">
        <f t="shared" si="58"/>
        <v>1.8399999999999999</v>
      </c>
      <c r="N246" s="25" t="s">
        <v>593</v>
      </c>
    </row>
    <row r="247" spans="1:14" x14ac:dyDescent="0.25">
      <c r="A247" s="77">
        <v>45995</v>
      </c>
      <c r="B247" s="25" t="s">
        <v>471</v>
      </c>
      <c r="C247" s="77">
        <f t="shared" si="51"/>
        <v>46018</v>
      </c>
      <c r="D247" s="77">
        <f t="shared" si="52"/>
        <v>46002</v>
      </c>
      <c r="E247" s="77">
        <f t="shared" si="53"/>
        <v>46009</v>
      </c>
      <c r="F247" s="77">
        <f t="shared" si="54"/>
        <v>46015</v>
      </c>
      <c r="G247" s="77">
        <f t="shared" si="55"/>
        <v>46003</v>
      </c>
      <c r="H247" s="77">
        <f t="shared" si="56"/>
        <v>46010</v>
      </c>
      <c r="I247" s="77">
        <v>46020</v>
      </c>
      <c r="J247" s="78">
        <f t="shared" si="57"/>
        <v>25</v>
      </c>
      <c r="K247" s="25">
        <v>14.85</v>
      </c>
      <c r="L247" s="25">
        <v>12.71</v>
      </c>
      <c r="M247" s="25">
        <f t="shared" si="58"/>
        <v>2.1399999999999988</v>
      </c>
      <c r="N247" s="25" t="s">
        <v>593</v>
      </c>
    </row>
    <row r="248" spans="1:14" x14ac:dyDescent="0.25">
      <c r="A248" s="77">
        <v>45997</v>
      </c>
      <c r="B248" s="25" t="s">
        <v>412</v>
      </c>
      <c r="C248" s="77">
        <f t="shared" si="51"/>
        <v>46020</v>
      </c>
      <c r="D248" s="77">
        <f t="shared" si="52"/>
        <v>46004</v>
      </c>
      <c r="E248" s="77">
        <f t="shared" si="53"/>
        <v>46011</v>
      </c>
      <c r="F248" s="77">
        <f t="shared" si="54"/>
        <v>46017</v>
      </c>
      <c r="G248" s="77">
        <f t="shared" si="55"/>
        <v>46005</v>
      </c>
      <c r="H248" s="77">
        <f t="shared" si="56"/>
        <v>46012</v>
      </c>
      <c r="I248" s="77">
        <v>46021</v>
      </c>
      <c r="J248" s="78">
        <f>I249-A248</f>
        <v>24</v>
      </c>
      <c r="K248" s="25">
        <v>13.24</v>
      </c>
      <c r="L248" s="25">
        <v>6.67</v>
      </c>
      <c r="M248" s="25">
        <f t="shared" si="58"/>
        <v>6.57</v>
      </c>
      <c r="N248" s="25" t="s">
        <v>592</v>
      </c>
    </row>
    <row r="249" spans="1:14" x14ac:dyDescent="0.25">
      <c r="A249" s="77">
        <v>45997</v>
      </c>
      <c r="B249" s="25" t="s">
        <v>413</v>
      </c>
      <c r="C249" s="77">
        <f t="shared" si="51"/>
        <v>46020</v>
      </c>
      <c r="D249" s="77">
        <f t="shared" si="52"/>
        <v>46004</v>
      </c>
      <c r="E249" s="77">
        <f t="shared" si="53"/>
        <v>46011</v>
      </c>
      <c r="F249" s="77">
        <f t="shared" si="54"/>
        <v>46017</v>
      </c>
      <c r="G249" s="77">
        <f t="shared" si="55"/>
        <v>46005</v>
      </c>
      <c r="H249" s="77">
        <f t="shared" si="56"/>
        <v>46012</v>
      </c>
      <c r="I249" s="77">
        <v>46021</v>
      </c>
      <c r="J249" s="78">
        <f>I250-A249</f>
        <v>23</v>
      </c>
      <c r="K249" s="25">
        <v>14.2</v>
      </c>
      <c r="L249" s="25">
        <v>7.52</v>
      </c>
      <c r="M249" s="25">
        <f t="shared" si="58"/>
        <v>6.68</v>
      </c>
      <c r="N249" s="25" t="s">
        <v>592</v>
      </c>
    </row>
    <row r="250" spans="1:14" x14ac:dyDescent="0.25">
      <c r="A250" s="77">
        <v>45997</v>
      </c>
      <c r="B250" s="25" t="s">
        <v>444</v>
      </c>
      <c r="C250" s="77">
        <f t="shared" si="51"/>
        <v>46020</v>
      </c>
      <c r="D250" s="77">
        <f t="shared" si="52"/>
        <v>46004</v>
      </c>
      <c r="E250" s="77">
        <f t="shared" si="53"/>
        <v>46011</v>
      </c>
      <c r="F250" s="77">
        <f t="shared" si="54"/>
        <v>46017</v>
      </c>
      <c r="G250" s="77">
        <f t="shared" si="55"/>
        <v>46005</v>
      </c>
      <c r="H250" s="77">
        <f t="shared" si="56"/>
        <v>46012</v>
      </c>
      <c r="I250" s="77">
        <v>46020</v>
      </c>
      <c r="J250" s="78">
        <f>I250-A250</f>
        <v>23</v>
      </c>
      <c r="K250" s="25">
        <v>16.63</v>
      </c>
      <c r="L250" s="25">
        <v>14.74</v>
      </c>
      <c r="M250" s="25">
        <f>K250-L250</f>
        <v>1.8899999999999988</v>
      </c>
      <c r="N250" s="25" t="s">
        <v>593</v>
      </c>
    </row>
    <row r="251" spans="1:14" x14ac:dyDescent="0.25">
      <c r="A251" s="77">
        <v>45997</v>
      </c>
      <c r="B251" s="25" t="s">
        <v>445</v>
      </c>
      <c r="C251" s="77">
        <f t="shared" si="51"/>
        <v>46020</v>
      </c>
      <c r="D251" s="77">
        <f t="shared" si="52"/>
        <v>46004</v>
      </c>
      <c r="E251" s="77">
        <f t="shared" si="53"/>
        <v>46011</v>
      </c>
      <c r="F251" s="77">
        <f t="shared" si="54"/>
        <v>46017</v>
      </c>
      <c r="G251" s="77">
        <f t="shared" si="55"/>
        <v>46005</v>
      </c>
      <c r="H251" s="77">
        <f t="shared" si="56"/>
        <v>46012</v>
      </c>
      <c r="I251" s="77">
        <v>46020</v>
      </c>
      <c r="J251" s="78">
        <f>I251-A251</f>
        <v>23</v>
      </c>
      <c r="K251" s="25">
        <v>16.39</v>
      </c>
      <c r="L251" s="25">
        <v>14.19</v>
      </c>
      <c r="M251" s="25">
        <f>K251-L251</f>
        <v>2.2000000000000011</v>
      </c>
      <c r="N251" s="25" t="s">
        <v>593</v>
      </c>
    </row>
    <row r="252" spans="1:14" x14ac:dyDescent="0.25">
      <c r="A252" s="77">
        <v>45997</v>
      </c>
      <c r="B252" s="25" t="s">
        <v>446</v>
      </c>
      <c r="C252" s="77">
        <f t="shared" si="35"/>
        <v>46020</v>
      </c>
      <c r="D252" s="77">
        <f t="shared" si="36"/>
        <v>46004</v>
      </c>
      <c r="E252" s="77">
        <f t="shared" si="37"/>
        <v>46011</v>
      </c>
      <c r="F252" s="77">
        <f t="shared" si="38"/>
        <v>46017</v>
      </c>
      <c r="G252" s="77">
        <f t="shared" si="39"/>
        <v>46005</v>
      </c>
      <c r="H252" s="77">
        <f t="shared" si="40"/>
        <v>46012</v>
      </c>
      <c r="I252" s="77">
        <v>46019</v>
      </c>
      <c r="J252" s="78">
        <f t="shared" ref="J252:J315" si="59">I252-A252</f>
        <v>22</v>
      </c>
      <c r="K252" s="25">
        <v>13.06</v>
      </c>
      <c r="L252" s="25">
        <v>11.31</v>
      </c>
      <c r="M252" s="25">
        <f t="shared" ref="M252:M315" si="60">K252-L252</f>
        <v>1.75</v>
      </c>
      <c r="N252" s="25" t="s">
        <v>593</v>
      </c>
    </row>
    <row r="253" spans="1:14" x14ac:dyDescent="0.25">
      <c r="A253" s="77">
        <v>45997</v>
      </c>
      <c r="B253" s="25" t="s">
        <v>447</v>
      </c>
      <c r="C253" s="77">
        <f t="shared" si="35"/>
        <v>46020</v>
      </c>
      <c r="D253" s="77">
        <f t="shared" si="36"/>
        <v>46004</v>
      </c>
      <c r="E253" s="77">
        <f t="shared" si="37"/>
        <v>46011</v>
      </c>
      <c r="F253" s="77">
        <f t="shared" si="38"/>
        <v>46017</v>
      </c>
      <c r="G253" s="77">
        <f t="shared" si="39"/>
        <v>46005</v>
      </c>
      <c r="H253" s="77">
        <f t="shared" si="40"/>
        <v>46012</v>
      </c>
      <c r="I253" s="77">
        <v>46019</v>
      </c>
      <c r="J253" s="78">
        <f t="shared" si="59"/>
        <v>22</v>
      </c>
      <c r="K253" s="25">
        <v>14.18</v>
      </c>
      <c r="L253" s="25">
        <v>12.48</v>
      </c>
      <c r="M253" s="25">
        <f t="shared" si="60"/>
        <v>1.6999999999999993</v>
      </c>
      <c r="N253" s="25" t="s">
        <v>593</v>
      </c>
    </row>
    <row r="254" spans="1:14" x14ac:dyDescent="0.25">
      <c r="A254" s="77">
        <v>45997</v>
      </c>
      <c r="B254" s="25" t="s">
        <v>450</v>
      </c>
      <c r="C254" s="77">
        <f t="shared" si="35"/>
        <v>46020</v>
      </c>
      <c r="D254" s="77">
        <f t="shared" si="36"/>
        <v>46004</v>
      </c>
      <c r="E254" s="77">
        <f t="shared" si="37"/>
        <v>46011</v>
      </c>
      <c r="F254" s="77">
        <f t="shared" si="38"/>
        <v>46017</v>
      </c>
      <c r="G254" s="77">
        <f t="shared" si="39"/>
        <v>46005</v>
      </c>
      <c r="H254" s="77">
        <f t="shared" si="40"/>
        <v>46012</v>
      </c>
      <c r="I254" s="77">
        <v>46019</v>
      </c>
      <c r="J254" s="78">
        <f t="shared" si="59"/>
        <v>22</v>
      </c>
      <c r="K254" s="25">
        <v>13.18</v>
      </c>
      <c r="L254" s="25">
        <v>11.73</v>
      </c>
      <c r="M254" s="25">
        <f t="shared" si="60"/>
        <v>1.4499999999999993</v>
      </c>
      <c r="N254" s="25" t="s">
        <v>593</v>
      </c>
    </row>
    <row r="255" spans="1:14" x14ac:dyDescent="0.25">
      <c r="A255" s="77">
        <v>45998</v>
      </c>
      <c r="B255" s="25" t="s">
        <v>442</v>
      </c>
      <c r="C255" s="77">
        <f t="shared" si="35"/>
        <v>46021</v>
      </c>
      <c r="D255" s="77">
        <f t="shared" si="36"/>
        <v>46005</v>
      </c>
      <c r="E255" s="77">
        <f t="shared" si="37"/>
        <v>46012</v>
      </c>
      <c r="F255" s="77">
        <f t="shared" si="38"/>
        <v>46018</v>
      </c>
      <c r="G255" s="77">
        <f t="shared" si="39"/>
        <v>46006</v>
      </c>
      <c r="H255" s="77">
        <f t="shared" si="40"/>
        <v>46013</v>
      </c>
      <c r="I255" s="77">
        <v>46021</v>
      </c>
      <c r="J255" s="78">
        <f t="shared" si="59"/>
        <v>23</v>
      </c>
      <c r="K255" s="25">
        <v>14.11</v>
      </c>
      <c r="L255" s="25">
        <v>7.59</v>
      </c>
      <c r="M255" s="25">
        <f t="shared" si="60"/>
        <v>6.52</v>
      </c>
      <c r="N255" s="25" t="s">
        <v>592</v>
      </c>
    </row>
    <row r="256" spans="1:14" x14ac:dyDescent="0.25">
      <c r="A256" s="77">
        <v>45998</v>
      </c>
      <c r="B256" s="25" t="s">
        <v>443</v>
      </c>
      <c r="C256" s="77">
        <f t="shared" si="35"/>
        <v>46021</v>
      </c>
      <c r="D256" s="77">
        <f t="shared" si="36"/>
        <v>46005</v>
      </c>
      <c r="E256" s="77">
        <f t="shared" si="37"/>
        <v>46012</v>
      </c>
      <c r="F256" s="77">
        <f t="shared" si="38"/>
        <v>46018</v>
      </c>
      <c r="G256" s="77">
        <f t="shared" si="39"/>
        <v>46006</v>
      </c>
      <c r="H256" s="77">
        <f t="shared" si="40"/>
        <v>46013</v>
      </c>
      <c r="I256" s="77">
        <v>46021</v>
      </c>
      <c r="J256" s="78">
        <f t="shared" si="59"/>
        <v>23</v>
      </c>
      <c r="K256" s="25">
        <v>14.67</v>
      </c>
      <c r="L256" s="25">
        <v>12.51</v>
      </c>
      <c r="M256" s="25">
        <f t="shared" si="60"/>
        <v>2.16</v>
      </c>
      <c r="N256" s="25" t="s">
        <v>593</v>
      </c>
    </row>
    <row r="257" spans="1:14" x14ac:dyDescent="0.25">
      <c r="A257" s="77">
        <v>45998</v>
      </c>
      <c r="B257" s="25" t="s">
        <v>476</v>
      </c>
      <c r="C257" s="77">
        <f t="shared" si="35"/>
        <v>46021</v>
      </c>
      <c r="D257" s="77">
        <f t="shared" si="36"/>
        <v>46005</v>
      </c>
      <c r="E257" s="77">
        <f t="shared" si="37"/>
        <v>46012</v>
      </c>
      <c r="F257" s="77">
        <f t="shared" si="38"/>
        <v>46018</v>
      </c>
      <c r="G257" s="77">
        <f t="shared" si="39"/>
        <v>46006</v>
      </c>
      <c r="H257" s="77">
        <f t="shared" si="40"/>
        <v>46013</v>
      </c>
      <c r="I257" s="77">
        <v>46021</v>
      </c>
      <c r="J257" s="78">
        <f t="shared" si="59"/>
        <v>23</v>
      </c>
      <c r="K257" s="25">
        <v>12.38</v>
      </c>
      <c r="L257" s="25">
        <v>10.74</v>
      </c>
      <c r="M257" s="25">
        <f t="shared" si="60"/>
        <v>1.6400000000000006</v>
      </c>
      <c r="N257" s="25" t="s">
        <v>593</v>
      </c>
    </row>
    <row r="258" spans="1:14" x14ac:dyDescent="0.25">
      <c r="A258" s="77">
        <v>45998</v>
      </c>
      <c r="B258" s="25" t="s">
        <v>477</v>
      </c>
      <c r="C258" s="77">
        <f t="shared" si="35"/>
        <v>46021</v>
      </c>
      <c r="D258" s="77">
        <f t="shared" si="36"/>
        <v>46005</v>
      </c>
      <c r="E258" s="77">
        <f t="shared" si="37"/>
        <v>46012</v>
      </c>
      <c r="F258" s="77">
        <f t="shared" si="38"/>
        <v>46018</v>
      </c>
      <c r="G258" s="77">
        <f t="shared" si="39"/>
        <v>46006</v>
      </c>
      <c r="H258" s="77">
        <f t="shared" si="40"/>
        <v>46013</v>
      </c>
      <c r="I258" s="77">
        <v>46021</v>
      </c>
      <c r="J258" s="78">
        <f t="shared" si="59"/>
        <v>23</v>
      </c>
      <c r="K258" s="25">
        <v>14.47</v>
      </c>
      <c r="L258" s="25">
        <v>12.58</v>
      </c>
      <c r="M258" s="25">
        <f t="shared" si="60"/>
        <v>1.8900000000000006</v>
      </c>
      <c r="N258" s="25" t="s">
        <v>593</v>
      </c>
    </row>
    <row r="259" spans="1:14" x14ac:dyDescent="0.25">
      <c r="A259" s="77">
        <v>45998</v>
      </c>
      <c r="B259" s="25" t="s">
        <v>478</v>
      </c>
      <c r="C259" s="77">
        <f t="shared" ref="C259:C322" si="61">A259+23</f>
        <v>46021</v>
      </c>
      <c r="D259" s="77">
        <f t="shared" ref="D259:D322" si="62">A259+7</f>
        <v>46005</v>
      </c>
      <c r="E259" s="77">
        <f t="shared" ref="E259:E322" si="63">A259+14</f>
        <v>46012</v>
      </c>
      <c r="F259" s="77">
        <f t="shared" ref="F259:F322" si="64">A259+20</f>
        <v>46018</v>
      </c>
      <c r="G259" s="77">
        <f t="shared" ref="G259:G322" si="65">A259+8</f>
        <v>46006</v>
      </c>
      <c r="H259" s="77">
        <f t="shared" ref="H259:H322" si="66">A259+15</f>
        <v>46013</v>
      </c>
      <c r="I259" s="77">
        <v>46021</v>
      </c>
      <c r="J259" s="78">
        <f t="shared" si="59"/>
        <v>23</v>
      </c>
      <c r="K259" s="25">
        <v>13.56</v>
      </c>
      <c r="L259" s="25">
        <v>11.86</v>
      </c>
      <c r="M259" s="25">
        <f t="shared" si="60"/>
        <v>1.7000000000000011</v>
      </c>
      <c r="N259" s="25" t="s">
        <v>593</v>
      </c>
    </row>
    <row r="260" spans="1:14" x14ac:dyDescent="0.25">
      <c r="A260" s="77">
        <v>45998</v>
      </c>
      <c r="B260" s="25" t="s">
        <v>479</v>
      </c>
      <c r="C260" s="77">
        <f t="shared" si="61"/>
        <v>46021</v>
      </c>
      <c r="D260" s="77">
        <f t="shared" si="62"/>
        <v>46005</v>
      </c>
      <c r="E260" s="77">
        <f t="shared" si="63"/>
        <v>46012</v>
      </c>
      <c r="F260" s="77">
        <f t="shared" si="64"/>
        <v>46018</v>
      </c>
      <c r="G260" s="77">
        <f t="shared" si="65"/>
        <v>46006</v>
      </c>
      <c r="H260" s="77">
        <f t="shared" si="66"/>
        <v>46013</v>
      </c>
      <c r="I260" s="77">
        <v>46021</v>
      </c>
      <c r="J260" s="78">
        <f t="shared" si="59"/>
        <v>23</v>
      </c>
      <c r="K260" s="25">
        <v>14.19</v>
      </c>
      <c r="L260" s="25">
        <v>12.1</v>
      </c>
      <c r="M260" s="25">
        <f t="shared" si="60"/>
        <v>2.09</v>
      </c>
      <c r="N260" s="25" t="s">
        <v>593</v>
      </c>
    </row>
    <row r="261" spans="1:14" x14ac:dyDescent="0.25">
      <c r="A261" s="77">
        <v>45998</v>
      </c>
      <c r="B261" s="25" t="s">
        <v>480</v>
      </c>
      <c r="C261" s="77">
        <f t="shared" si="61"/>
        <v>46021</v>
      </c>
      <c r="D261" s="77">
        <f t="shared" si="62"/>
        <v>46005</v>
      </c>
      <c r="E261" s="77">
        <f t="shared" si="63"/>
        <v>46012</v>
      </c>
      <c r="F261" s="77">
        <f t="shared" si="64"/>
        <v>46018</v>
      </c>
      <c r="G261" s="77">
        <f t="shared" si="65"/>
        <v>46006</v>
      </c>
      <c r="H261" s="77">
        <f t="shared" si="66"/>
        <v>46013</v>
      </c>
      <c r="I261" s="77">
        <v>46023</v>
      </c>
      <c r="J261" s="78">
        <f t="shared" si="59"/>
        <v>25</v>
      </c>
      <c r="K261" s="25">
        <v>13.37</v>
      </c>
      <c r="L261" s="25">
        <v>11.24</v>
      </c>
      <c r="M261" s="25">
        <f t="shared" si="60"/>
        <v>2.129999999999999</v>
      </c>
      <c r="N261" s="25" t="s">
        <v>593</v>
      </c>
    </row>
    <row r="262" spans="1:14" x14ac:dyDescent="0.25">
      <c r="A262" s="77">
        <v>45998</v>
      </c>
      <c r="B262" s="25" t="s">
        <v>481</v>
      </c>
      <c r="C262" s="77">
        <f t="shared" si="61"/>
        <v>46021</v>
      </c>
      <c r="D262" s="77">
        <f t="shared" si="62"/>
        <v>46005</v>
      </c>
      <c r="E262" s="77">
        <f t="shared" si="63"/>
        <v>46012</v>
      </c>
      <c r="F262" s="77">
        <f t="shared" si="64"/>
        <v>46018</v>
      </c>
      <c r="G262" s="77">
        <f t="shared" si="65"/>
        <v>46006</v>
      </c>
      <c r="H262" s="77">
        <f t="shared" si="66"/>
        <v>46013</v>
      </c>
      <c r="I262" s="77">
        <v>46023</v>
      </c>
      <c r="J262" s="78">
        <f t="shared" si="59"/>
        <v>25</v>
      </c>
      <c r="K262" s="25">
        <v>12.68</v>
      </c>
      <c r="L262" s="25">
        <v>10.37</v>
      </c>
      <c r="M262" s="25">
        <f t="shared" si="60"/>
        <v>2.3100000000000005</v>
      </c>
      <c r="N262" s="25" t="s">
        <v>593</v>
      </c>
    </row>
    <row r="263" spans="1:14" x14ac:dyDescent="0.25">
      <c r="A263" s="77">
        <v>45998</v>
      </c>
      <c r="B263" s="25" t="s">
        <v>482</v>
      </c>
      <c r="C263" s="77">
        <f t="shared" si="61"/>
        <v>46021</v>
      </c>
      <c r="D263" s="77">
        <f t="shared" si="62"/>
        <v>46005</v>
      </c>
      <c r="E263" s="77">
        <f t="shared" si="63"/>
        <v>46012</v>
      </c>
      <c r="F263" s="77">
        <f t="shared" si="64"/>
        <v>46018</v>
      </c>
      <c r="G263" s="77">
        <f t="shared" si="65"/>
        <v>46006</v>
      </c>
      <c r="H263" s="77">
        <f t="shared" si="66"/>
        <v>46013</v>
      </c>
      <c r="I263" s="77">
        <v>46024</v>
      </c>
      <c r="J263" s="78">
        <f t="shared" si="59"/>
        <v>26</v>
      </c>
      <c r="K263" s="25">
        <v>8.5399999999999991</v>
      </c>
      <c r="L263" s="25">
        <v>7.42</v>
      </c>
      <c r="M263" s="25">
        <f t="shared" si="60"/>
        <v>1.1199999999999992</v>
      </c>
      <c r="N263" s="25" t="s">
        <v>593</v>
      </c>
    </row>
    <row r="264" spans="1:14" x14ac:dyDescent="0.25">
      <c r="A264" s="77">
        <v>45999</v>
      </c>
      <c r="B264" s="25" t="s">
        <v>483</v>
      </c>
      <c r="C264" s="77">
        <f t="shared" si="61"/>
        <v>46022</v>
      </c>
      <c r="D264" s="77">
        <f t="shared" si="62"/>
        <v>46006</v>
      </c>
      <c r="E264" s="77">
        <f t="shared" si="63"/>
        <v>46013</v>
      </c>
      <c r="F264" s="77">
        <f t="shared" si="64"/>
        <v>46019</v>
      </c>
      <c r="G264" s="77">
        <f t="shared" si="65"/>
        <v>46007</v>
      </c>
      <c r="H264" s="77">
        <f t="shared" si="66"/>
        <v>46014</v>
      </c>
      <c r="I264" s="77">
        <v>46024</v>
      </c>
      <c r="J264" s="78">
        <f t="shared" si="59"/>
        <v>25</v>
      </c>
      <c r="K264" s="25">
        <v>6.81</v>
      </c>
      <c r="L264" s="25">
        <v>6.7</v>
      </c>
      <c r="M264" s="25">
        <f t="shared" si="60"/>
        <v>0.10999999999999943</v>
      </c>
      <c r="N264" s="25" t="s">
        <v>593</v>
      </c>
    </row>
    <row r="265" spans="1:14" x14ac:dyDescent="0.25">
      <c r="A265" s="77">
        <v>45999</v>
      </c>
      <c r="B265" s="25" t="s">
        <v>484</v>
      </c>
      <c r="C265" s="77">
        <f t="shared" si="61"/>
        <v>46022</v>
      </c>
      <c r="D265" s="77">
        <f t="shared" si="62"/>
        <v>46006</v>
      </c>
      <c r="E265" s="77">
        <f t="shared" si="63"/>
        <v>46013</v>
      </c>
      <c r="F265" s="77">
        <f t="shared" si="64"/>
        <v>46019</v>
      </c>
      <c r="G265" s="77">
        <f t="shared" si="65"/>
        <v>46007</v>
      </c>
      <c r="H265" s="77">
        <f t="shared" si="66"/>
        <v>46014</v>
      </c>
      <c r="I265" s="77">
        <v>46024</v>
      </c>
      <c r="J265" s="78">
        <f t="shared" si="59"/>
        <v>25</v>
      </c>
      <c r="K265" s="25">
        <v>8.26</v>
      </c>
      <c r="L265" s="25">
        <v>7.23</v>
      </c>
      <c r="M265" s="25">
        <f t="shared" si="60"/>
        <v>1.0299999999999994</v>
      </c>
      <c r="N265" s="25" t="s">
        <v>593</v>
      </c>
    </row>
    <row r="266" spans="1:14" x14ac:dyDescent="0.25">
      <c r="A266" s="77">
        <v>45999</v>
      </c>
      <c r="B266" s="25" t="s">
        <v>485</v>
      </c>
      <c r="C266" s="77">
        <f t="shared" si="61"/>
        <v>46022</v>
      </c>
      <c r="D266" s="77">
        <f t="shared" si="62"/>
        <v>46006</v>
      </c>
      <c r="E266" s="77">
        <f t="shared" si="63"/>
        <v>46013</v>
      </c>
      <c r="F266" s="77">
        <f t="shared" si="64"/>
        <v>46019</v>
      </c>
      <c r="G266" s="77">
        <f t="shared" si="65"/>
        <v>46007</v>
      </c>
      <c r="H266" s="77">
        <f t="shared" si="66"/>
        <v>46014</v>
      </c>
      <c r="I266" s="77">
        <v>46024</v>
      </c>
      <c r="J266" s="78">
        <f t="shared" si="59"/>
        <v>25</v>
      </c>
      <c r="K266" s="25">
        <v>7.63</v>
      </c>
      <c r="L266" s="25">
        <v>7.12</v>
      </c>
      <c r="M266" s="25">
        <f t="shared" si="60"/>
        <v>0.50999999999999979</v>
      </c>
      <c r="N266" s="25" t="s">
        <v>593</v>
      </c>
    </row>
    <row r="267" spans="1:14" x14ac:dyDescent="0.25">
      <c r="A267" s="77">
        <v>45999</v>
      </c>
      <c r="B267" s="25" t="s">
        <v>486</v>
      </c>
      <c r="C267" s="77">
        <f t="shared" si="61"/>
        <v>46022</v>
      </c>
      <c r="D267" s="77">
        <f t="shared" si="62"/>
        <v>46006</v>
      </c>
      <c r="E267" s="77">
        <f t="shared" si="63"/>
        <v>46013</v>
      </c>
      <c r="F267" s="77">
        <f t="shared" si="64"/>
        <v>46019</v>
      </c>
      <c r="G267" s="77">
        <f t="shared" si="65"/>
        <v>46007</v>
      </c>
      <c r="H267" s="77">
        <f t="shared" si="66"/>
        <v>46014</v>
      </c>
      <c r="I267" s="77">
        <v>46025</v>
      </c>
      <c r="J267" s="78">
        <f t="shared" si="59"/>
        <v>26</v>
      </c>
      <c r="K267" s="25">
        <v>7.26</v>
      </c>
      <c r="L267" s="25">
        <v>5.54</v>
      </c>
      <c r="M267" s="25">
        <f t="shared" si="60"/>
        <v>1.7199999999999998</v>
      </c>
      <c r="N267" s="25" t="s">
        <v>593</v>
      </c>
    </row>
    <row r="268" spans="1:14" x14ac:dyDescent="0.25">
      <c r="A268" s="77">
        <v>45999</v>
      </c>
      <c r="B268" s="25" t="s">
        <v>487</v>
      </c>
      <c r="C268" s="77">
        <f t="shared" si="61"/>
        <v>46022</v>
      </c>
      <c r="D268" s="77">
        <f t="shared" si="62"/>
        <v>46006</v>
      </c>
      <c r="E268" s="77">
        <f t="shared" si="63"/>
        <v>46013</v>
      </c>
      <c r="F268" s="77">
        <f t="shared" si="64"/>
        <v>46019</v>
      </c>
      <c r="G268" s="77">
        <f t="shared" si="65"/>
        <v>46007</v>
      </c>
      <c r="H268" s="77">
        <f t="shared" si="66"/>
        <v>46014</v>
      </c>
      <c r="I268" s="77">
        <v>46025</v>
      </c>
      <c r="J268" s="78">
        <f t="shared" si="59"/>
        <v>26</v>
      </c>
      <c r="K268" s="25">
        <v>6.93</v>
      </c>
      <c r="L268" s="25">
        <v>5.21</v>
      </c>
      <c r="M268" s="25">
        <f t="shared" si="60"/>
        <v>1.7199999999999998</v>
      </c>
      <c r="N268" s="25" t="s">
        <v>593</v>
      </c>
    </row>
    <row r="269" spans="1:14" x14ac:dyDescent="0.25">
      <c r="A269" s="77">
        <v>45999</v>
      </c>
      <c r="B269" s="25" t="s">
        <v>488</v>
      </c>
      <c r="C269" s="77">
        <f t="shared" si="61"/>
        <v>46022</v>
      </c>
      <c r="D269" s="77">
        <f t="shared" si="62"/>
        <v>46006</v>
      </c>
      <c r="E269" s="77">
        <f t="shared" si="63"/>
        <v>46013</v>
      </c>
      <c r="F269" s="77">
        <f t="shared" si="64"/>
        <v>46019</v>
      </c>
      <c r="G269" s="77">
        <f t="shared" si="65"/>
        <v>46007</v>
      </c>
      <c r="H269" s="77">
        <f t="shared" si="66"/>
        <v>46014</v>
      </c>
      <c r="I269" s="77">
        <v>46025</v>
      </c>
      <c r="J269" s="78">
        <f t="shared" si="59"/>
        <v>26</v>
      </c>
      <c r="K269" s="25">
        <v>12.09</v>
      </c>
      <c r="L269" s="25">
        <v>12.09</v>
      </c>
      <c r="M269" s="25">
        <f t="shared" si="60"/>
        <v>0</v>
      </c>
      <c r="N269" s="25" t="s">
        <v>593</v>
      </c>
    </row>
    <row r="270" spans="1:14" x14ac:dyDescent="0.25">
      <c r="A270" s="77">
        <v>45999</v>
      </c>
      <c r="B270" s="25" t="s">
        <v>489</v>
      </c>
      <c r="C270" s="77">
        <f t="shared" si="61"/>
        <v>46022</v>
      </c>
      <c r="D270" s="77">
        <f t="shared" si="62"/>
        <v>46006</v>
      </c>
      <c r="E270" s="77">
        <f t="shared" si="63"/>
        <v>46013</v>
      </c>
      <c r="F270" s="77">
        <f t="shared" si="64"/>
        <v>46019</v>
      </c>
      <c r="G270" s="77">
        <f t="shared" si="65"/>
        <v>46007</v>
      </c>
      <c r="H270" s="77">
        <f t="shared" si="66"/>
        <v>46014</v>
      </c>
      <c r="I270" s="77">
        <v>46026</v>
      </c>
      <c r="J270" s="78">
        <f t="shared" si="59"/>
        <v>27</v>
      </c>
      <c r="K270" s="25">
        <v>12.51</v>
      </c>
      <c r="L270" s="25">
        <v>10.26</v>
      </c>
      <c r="M270" s="25">
        <f t="shared" si="60"/>
        <v>2.25</v>
      </c>
      <c r="N270" s="25" t="s">
        <v>593</v>
      </c>
    </row>
    <row r="271" spans="1:14" x14ac:dyDescent="0.25">
      <c r="A271" s="77">
        <v>46000</v>
      </c>
      <c r="B271" s="25" t="s">
        <v>490</v>
      </c>
      <c r="C271" s="77">
        <f t="shared" si="61"/>
        <v>46023</v>
      </c>
      <c r="D271" s="77">
        <f t="shared" si="62"/>
        <v>46007</v>
      </c>
      <c r="E271" s="77">
        <f t="shared" si="63"/>
        <v>46014</v>
      </c>
      <c r="F271" s="77">
        <f t="shared" si="64"/>
        <v>46020</v>
      </c>
      <c r="G271" s="77">
        <f t="shared" si="65"/>
        <v>46008</v>
      </c>
      <c r="H271" s="77">
        <f t="shared" si="66"/>
        <v>46015</v>
      </c>
      <c r="I271" s="77">
        <v>46027</v>
      </c>
      <c r="J271" s="78">
        <f t="shared" si="59"/>
        <v>27</v>
      </c>
      <c r="K271" s="25">
        <v>7.3</v>
      </c>
      <c r="L271" s="25">
        <v>7</v>
      </c>
      <c r="M271" s="25">
        <f t="shared" si="60"/>
        <v>0.29999999999999982</v>
      </c>
      <c r="N271" s="25" t="s">
        <v>593</v>
      </c>
    </row>
    <row r="272" spans="1:14" x14ac:dyDescent="0.25">
      <c r="A272" s="77">
        <v>46000</v>
      </c>
      <c r="B272" s="25" t="s">
        <v>491</v>
      </c>
      <c r="C272" s="77">
        <f t="shared" si="61"/>
        <v>46023</v>
      </c>
      <c r="D272" s="77">
        <f t="shared" si="62"/>
        <v>46007</v>
      </c>
      <c r="E272" s="77">
        <f t="shared" si="63"/>
        <v>46014</v>
      </c>
      <c r="F272" s="77">
        <f t="shared" si="64"/>
        <v>46020</v>
      </c>
      <c r="G272" s="77">
        <f t="shared" si="65"/>
        <v>46008</v>
      </c>
      <c r="H272" s="77">
        <f t="shared" si="66"/>
        <v>46015</v>
      </c>
      <c r="I272" s="77">
        <v>46027</v>
      </c>
      <c r="J272" s="78">
        <f t="shared" si="59"/>
        <v>27</v>
      </c>
      <c r="K272" s="25">
        <v>9.17</v>
      </c>
      <c r="L272" s="25">
        <v>8.92</v>
      </c>
      <c r="M272" s="25">
        <f t="shared" si="60"/>
        <v>0.25</v>
      </c>
      <c r="N272" s="25" t="s">
        <v>593</v>
      </c>
    </row>
    <row r="273" spans="1:14" x14ac:dyDescent="0.25">
      <c r="A273" s="77">
        <v>46000</v>
      </c>
      <c r="B273" s="25" t="s">
        <v>492</v>
      </c>
      <c r="C273" s="77">
        <f t="shared" si="61"/>
        <v>46023</v>
      </c>
      <c r="D273" s="77">
        <f t="shared" si="62"/>
        <v>46007</v>
      </c>
      <c r="E273" s="77">
        <f t="shared" si="63"/>
        <v>46014</v>
      </c>
      <c r="F273" s="77">
        <f t="shared" si="64"/>
        <v>46020</v>
      </c>
      <c r="G273" s="77">
        <f t="shared" si="65"/>
        <v>46008</v>
      </c>
      <c r="H273" s="77">
        <f t="shared" si="66"/>
        <v>46015</v>
      </c>
      <c r="I273" s="77">
        <v>46029</v>
      </c>
      <c r="J273" s="78">
        <f t="shared" si="59"/>
        <v>29</v>
      </c>
      <c r="K273" s="84">
        <v>12.67</v>
      </c>
      <c r="L273" s="82">
        <v>6.58</v>
      </c>
      <c r="M273" s="25">
        <f t="shared" si="60"/>
        <v>6.09</v>
      </c>
      <c r="N273" s="25" t="s">
        <v>592</v>
      </c>
    </row>
    <row r="274" spans="1:14" x14ac:dyDescent="0.25">
      <c r="A274" s="77">
        <v>46000</v>
      </c>
      <c r="B274" s="25" t="s">
        <v>493</v>
      </c>
      <c r="C274" s="77">
        <f t="shared" si="61"/>
        <v>46023</v>
      </c>
      <c r="D274" s="77">
        <f t="shared" si="62"/>
        <v>46007</v>
      </c>
      <c r="E274" s="77">
        <f t="shared" si="63"/>
        <v>46014</v>
      </c>
      <c r="F274" s="77">
        <f t="shared" si="64"/>
        <v>46020</v>
      </c>
      <c r="G274" s="77">
        <f t="shared" si="65"/>
        <v>46008</v>
      </c>
      <c r="H274" s="77">
        <f t="shared" si="66"/>
        <v>46015</v>
      </c>
      <c r="I274" s="77">
        <v>46029</v>
      </c>
      <c r="J274" s="78">
        <f t="shared" si="59"/>
        <v>29</v>
      </c>
      <c r="K274" s="84">
        <v>13.73</v>
      </c>
      <c r="L274" s="82">
        <v>7.52</v>
      </c>
      <c r="M274" s="25">
        <f t="shared" si="60"/>
        <v>6.2100000000000009</v>
      </c>
      <c r="N274" s="25" t="s">
        <v>592</v>
      </c>
    </row>
    <row r="275" spans="1:14" x14ac:dyDescent="0.25">
      <c r="A275" s="77">
        <v>46000</v>
      </c>
      <c r="B275" s="25" t="s">
        <v>494</v>
      </c>
      <c r="C275" s="77">
        <f t="shared" si="61"/>
        <v>46023</v>
      </c>
      <c r="D275" s="77">
        <f t="shared" si="62"/>
        <v>46007</v>
      </c>
      <c r="E275" s="77">
        <f t="shared" si="63"/>
        <v>46014</v>
      </c>
      <c r="F275" s="77">
        <f t="shared" si="64"/>
        <v>46020</v>
      </c>
      <c r="G275" s="77">
        <f t="shared" si="65"/>
        <v>46008</v>
      </c>
      <c r="H275" s="77">
        <f t="shared" si="66"/>
        <v>46015</v>
      </c>
      <c r="I275" s="77">
        <v>46029</v>
      </c>
      <c r="J275" s="78">
        <f t="shared" si="59"/>
        <v>29</v>
      </c>
      <c r="K275" s="84">
        <v>14.11</v>
      </c>
      <c r="L275" s="82">
        <v>7.8</v>
      </c>
      <c r="M275" s="25">
        <f t="shared" si="60"/>
        <v>6.31</v>
      </c>
      <c r="N275" s="25" t="s">
        <v>592</v>
      </c>
    </row>
    <row r="276" spans="1:14" x14ac:dyDescent="0.25">
      <c r="A276" s="77">
        <v>46000</v>
      </c>
      <c r="B276" s="25" t="s">
        <v>495</v>
      </c>
      <c r="C276" s="77">
        <f t="shared" si="61"/>
        <v>46023</v>
      </c>
      <c r="D276" s="77">
        <f t="shared" si="62"/>
        <v>46007</v>
      </c>
      <c r="E276" s="77">
        <f t="shared" si="63"/>
        <v>46014</v>
      </c>
      <c r="F276" s="77">
        <f t="shared" si="64"/>
        <v>46020</v>
      </c>
      <c r="G276" s="77">
        <f t="shared" si="65"/>
        <v>46008</v>
      </c>
      <c r="H276" s="77">
        <f t="shared" si="66"/>
        <v>46015</v>
      </c>
      <c r="I276" s="77">
        <v>46029</v>
      </c>
      <c r="J276" s="78">
        <f t="shared" si="59"/>
        <v>29</v>
      </c>
      <c r="K276" s="84">
        <v>13.82</v>
      </c>
      <c r="L276" s="82">
        <v>12.54</v>
      </c>
      <c r="M276" s="25">
        <f t="shared" si="60"/>
        <v>1.2800000000000011</v>
      </c>
      <c r="N276" s="25" t="s">
        <v>593</v>
      </c>
    </row>
    <row r="277" spans="1:14" x14ac:dyDescent="0.25">
      <c r="A277" s="77">
        <v>46000</v>
      </c>
      <c r="B277" s="25" t="s">
        <v>496</v>
      </c>
      <c r="C277" s="77">
        <f t="shared" si="61"/>
        <v>46023</v>
      </c>
      <c r="D277" s="77">
        <f t="shared" si="62"/>
        <v>46007</v>
      </c>
      <c r="E277" s="77">
        <f t="shared" si="63"/>
        <v>46014</v>
      </c>
      <c r="F277" s="77">
        <f t="shared" si="64"/>
        <v>46020</v>
      </c>
      <c r="G277" s="77">
        <f t="shared" si="65"/>
        <v>46008</v>
      </c>
      <c r="H277" s="77">
        <f t="shared" si="66"/>
        <v>46015</v>
      </c>
      <c r="I277" s="77">
        <v>46029</v>
      </c>
      <c r="J277" s="78">
        <f t="shared" si="59"/>
        <v>29</v>
      </c>
      <c r="K277" s="84">
        <v>14.75</v>
      </c>
      <c r="L277" s="82">
        <v>13.21</v>
      </c>
      <c r="M277" s="25">
        <f t="shared" si="60"/>
        <v>1.5399999999999991</v>
      </c>
      <c r="N277" s="25" t="s">
        <v>593</v>
      </c>
    </row>
    <row r="278" spans="1:14" x14ac:dyDescent="0.25">
      <c r="A278" s="77">
        <v>46001</v>
      </c>
      <c r="B278" s="25" t="s">
        <v>497</v>
      </c>
      <c r="C278" s="77">
        <f t="shared" si="61"/>
        <v>46024</v>
      </c>
      <c r="D278" s="77">
        <f t="shared" si="62"/>
        <v>46008</v>
      </c>
      <c r="E278" s="77">
        <f t="shared" si="63"/>
        <v>46015</v>
      </c>
      <c r="F278" s="77">
        <f t="shared" si="64"/>
        <v>46021</v>
      </c>
      <c r="G278" s="77">
        <f t="shared" si="65"/>
        <v>46009</v>
      </c>
      <c r="H278" s="77">
        <f t="shared" si="66"/>
        <v>46016</v>
      </c>
      <c r="I278" s="77">
        <v>46029</v>
      </c>
      <c r="J278" s="78">
        <f t="shared" si="59"/>
        <v>28</v>
      </c>
      <c r="K278" s="84">
        <v>14.06</v>
      </c>
      <c r="L278" s="82">
        <v>12.88</v>
      </c>
      <c r="M278" s="25">
        <f t="shared" si="60"/>
        <v>1.1799999999999997</v>
      </c>
      <c r="N278" s="25" t="s">
        <v>593</v>
      </c>
    </row>
    <row r="279" spans="1:14" x14ac:dyDescent="0.25">
      <c r="A279" s="77">
        <v>46001</v>
      </c>
      <c r="B279" s="25" t="s">
        <v>498</v>
      </c>
      <c r="C279" s="77">
        <f t="shared" si="61"/>
        <v>46024</v>
      </c>
      <c r="D279" s="77">
        <f t="shared" si="62"/>
        <v>46008</v>
      </c>
      <c r="E279" s="77">
        <f t="shared" si="63"/>
        <v>46015</v>
      </c>
      <c r="F279" s="77">
        <f t="shared" si="64"/>
        <v>46021</v>
      </c>
      <c r="G279" s="77">
        <f t="shared" si="65"/>
        <v>46009</v>
      </c>
      <c r="H279" s="77">
        <f t="shared" si="66"/>
        <v>46016</v>
      </c>
      <c r="I279" s="77">
        <v>46029</v>
      </c>
      <c r="J279" s="78">
        <f t="shared" si="59"/>
        <v>28</v>
      </c>
      <c r="K279" s="84">
        <v>12.3</v>
      </c>
      <c r="L279" s="82">
        <v>11.1</v>
      </c>
      <c r="M279" s="25">
        <f t="shared" si="60"/>
        <v>1.2000000000000011</v>
      </c>
      <c r="N279" s="25" t="s">
        <v>593</v>
      </c>
    </row>
    <row r="280" spans="1:14" x14ac:dyDescent="0.25">
      <c r="A280" s="77">
        <v>46001</v>
      </c>
      <c r="B280" s="25" t="s">
        <v>499</v>
      </c>
      <c r="C280" s="77">
        <f t="shared" si="61"/>
        <v>46024</v>
      </c>
      <c r="D280" s="77">
        <f t="shared" si="62"/>
        <v>46008</v>
      </c>
      <c r="E280" s="77">
        <f t="shared" si="63"/>
        <v>46015</v>
      </c>
      <c r="F280" s="77">
        <f t="shared" si="64"/>
        <v>46021</v>
      </c>
      <c r="G280" s="77">
        <f t="shared" si="65"/>
        <v>46009</v>
      </c>
      <c r="H280" s="77">
        <f t="shared" si="66"/>
        <v>46016</v>
      </c>
      <c r="I280" s="77">
        <v>46029</v>
      </c>
      <c r="J280" s="78">
        <f t="shared" si="59"/>
        <v>28</v>
      </c>
      <c r="K280" s="84">
        <v>11.18</v>
      </c>
      <c r="L280" s="82">
        <v>9.2799999999999994</v>
      </c>
      <c r="M280" s="25">
        <f t="shared" si="60"/>
        <v>1.9000000000000004</v>
      </c>
      <c r="N280" s="25" t="s">
        <v>593</v>
      </c>
    </row>
    <row r="281" spans="1:14" x14ac:dyDescent="0.25">
      <c r="A281" s="77">
        <v>46001</v>
      </c>
      <c r="B281" s="25" t="s">
        <v>500</v>
      </c>
      <c r="C281" s="77">
        <f t="shared" si="61"/>
        <v>46024</v>
      </c>
      <c r="D281" s="77">
        <f t="shared" si="62"/>
        <v>46008</v>
      </c>
      <c r="E281" s="77">
        <f t="shared" si="63"/>
        <v>46015</v>
      </c>
      <c r="F281" s="77">
        <f t="shared" si="64"/>
        <v>46021</v>
      </c>
      <c r="G281" s="77">
        <f t="shared" si="65"/>
        <v>46009</v>
      </c>
      <c r="H281" s="77">
        <f t="shared" si="66"/>
        <v>46016</v>
      </c>
      <c r="I281" s="77">
        <v>46030</v>
      </c>
      <c r="J281" s="78">
        <f t="shared" si="59"/>
        <v>29</v>
      </c>
      <c r="K281" s="84">
        <v>11.36</v>
      </c>
      <c r="L281" s="82">
        <v>5.21</v>
      </c>
      <c r="M281" s="25">
        <f t="shared" si="60"/>
        <v>6.1499999999999995</v>
      </c>
      <c r="N281" s="25" t="s">
        <v>592</v>
      </c>
    </row>
    <row r="282" spans="1:14" x14ac:dyDescent="0.25">
      <c r="A282" s="77">
        <v>46001</v>
      </c>
      <c r="B282" s="25" t="s">
        <v>501</v>
      </c>
      <c r="C282" s="77">
        <f t="shared" si="61"/>
        <v>46024</v>
      </c>
      <c r="D282" s="77">
        <f t="shared" si="62"/>
        <v>46008</v>
      </c>
      <c r="E282" s="77">
        <f t="shared" si="63"/>
        <v>46015</v>
      </c>
      <c r="F282" s="77">
        <f t="shared" si="64"/>
        <v>46021</v>
      </c>
      <c r="G282" s="77">
        <f t="shared" si="65"/>
        <v>46009</v>
      </c>
      <c r="H282" s="77">
        <f t="shared" si="66"/>
        <v>46016</v>
      </c>
      <c r="I282" s="77">
        <v>46030</v>
      </c>
      <c r="J282" s="78">
        <f t="shared" si="59"/>
        <v>29</v>
      </c>
      <c r="K282" s="84">
        <v>10.85</v>
      </c>
      <c r="L282" s="82">
        <v>4.57</v>
      </c>
      <c r="M282" s="25">
        <f t="shared" si="60"/>
        <v>6.2799999999999994</v>
      </c>
      <c r="N282" s="25" t="s">
        <v>592</v>
      </c>
    </row>
    <row r="283" spans="1:14" x14ac:dyDescent="0.25">
      <c r="A283" s="77">
        <v>46001</v>
      </c>
      <c r="B283" s="25" t="s">
        <v>502</v>
      </c>
      <c r="C283" s="77">
        <f t="shared" si="61"/>
        <v>46024</v>
      </c>
      <c r="D283" s="77">
        <f t="shared" si="62"/>
        <v>46008</v>
      </c>
      <c r="E283" s="77">
        <f t="shared" si="63"/>
        <v>46015</v>
      </c>
      <c r="F283" s="77">
        <f t="shared" si="64"/>
        <v>46021</v>
      </c>
      <c r="G283" s="77">
        <f t="shared" si="65"/>
        <v>46009</v>
      </c>
      <c r="H283" s="77">
        <f t="shared" si="66"/>
        <v>46016</v>
      </c>
      <c r="I283" s="77">
        <v>46030</v>
      </c>
      <c r="J283" s="78">
        <f t="shared" si="59"/>
        <v>29</v>
      </c>
      <c r="K283" s="84">
        <v>9.7899999999999991</v>
      </c>
      <c r="L283" s="82">
        <v>4.1500000000000004</v>
      </c>
      <c r="M283" s="25">
        <f t="shared" si="60"/>
        <v>5.6399999999999988</v>
      </c>
      <c r="N283" s="25" t="s">
        <v>592</v>
      </c>
    </row>
    <row r="284" spans="1:14" x14ac:dyDescent="0.25">
      <c r="A284" s="77">
        <v>46001</v>
      </c>
      <c r="B284" s="25" t="s">
        <v>503</v>
      </c>
      <c r="C284" s="77">
        <f t="shared" si="61"/>
        <v>46024</v>
      </c>
      <c r="D284" s="77">
        <f t="shared" si="62"/>
        <v>46008</v>
      </c>
      <c r="E284" s="77">
        <f t="shared" si="63"/>
        <v>46015</v>
      </c>
      <c r="F284" s="77">
        <f t="shared" si="64"/>
        <v>46021</v>
      </c>
      <c r="G284" s="77">
        <f t="shared" si="65"/>
        <v>46009</v>
      </c>
      <c r="H284" s="77">
        <f t="shared" si="66"/>
        <v>46016</v>
      </c>
      <c r="I284" s="77">
        <v>46030</v>
      </c>
      <c r="J284" s="78">
        <f t="shared" si="59"/>
        <v>29</v>
      </c>
      <c r="K284" s="84">
        <v>11.68</v>
      </c>
      <c r="L284" s="82">
        <v>5.73</v>
      </c>
      <c r="M284" s="25">
        <f t="shared" si="60"/>
        <v>5.9499999999999993</v>
      </c>
      <c r="N284" s="25" t="s">
        <v>592</v>
      </c>
    </row>
    <row r="285" spans="1:14" x14ac:dyDescent="0.25">
      <c r="A285" s="77">
        <v>46002</v>
      </c>
      <c r="B285" s="25" t="s">
        <v>504</v>
      </c>
      <c r="C285" s="77">
        <f t="shared" si="61"/>
        <v>46025</v>
      </c>
      <c r="D285" s="77">
        <f t="shared" si="62"/>
        <v>46009</v>
      </c>
      <c r="E285" s="77">
        <f t="shared" si="63"/>
        <v>46016</v>
      </c>
      <c r="F285" s="77">
        <f t="shared" si="64"/>
        <v>46022</v>
      </c>
      <c r="G285" s="77">
        <f t="shared" si="65"/>
        <v>46010</v>
      </c>
      <c r="H285" s="77">
        <f t="shared" si="66"/>
        <v>46017</v>
      </c>
      <c r="I285" s="77">
        <v>46030</v>
      </c>
      <c r="J285" s="78">
        <f t="shared" si="59"/>
        <v>28</v>
      </c>
      <c r="K285" s="84">
        <v>10.11</v>
      </c>
      <c r="L285" s="82">
        <v>8.59</v>
      </c>
      <c r="M285" s="25">
        <f t="shared" si="60"/>
        <v>1.5199999999999996</v>
      </c>
      <c r="N285" s="25" t="s">
        <v>593</v>
      </c>
    </row>
    <row r="286" spans="1:14" x14ac:dyDescent="0.25">
      <c r="A286" s="77">
        <v>46002</v>
      </c>
      <c r="B286" s="25" t="s">
        <v>505</v>
      </c>
      <c r="C286" s="77">
        <f t="shared" si="61"/>
        <v>46025</v>
      </c>
      <c r="D286" s="77">
        <f t="shared" si="62"/>
        <v>46009</v>
      </c>
      <c r="E286" s="77">
        <f t="shared" si="63"/>
        <v>46016</v>
      </c>
      <c r="F286" s="77">
        <f t="shared" si="64"/>
        <v>46022</v>
      </c>
      <c r="G286" s="77">
        <f t="shared" si="65"/>
        <v>46010</v>
      </c>
      <c r="H286" s="77">
        <f t="shared" si="66"/>
        <v>46017</v>
      </c>
      <c r="I286" s="77">
        <v>46030</v>
      </c>
      <c r="J286" s="78">
        <f t="shared" si="59"/>
        <v>28</v>
      </c>
      <c r="K286" s="84">
        <v>11.57</v>
      </c>
      <c r="L286" s="82">
        <v>9.1199999999999992</v>
      </c>
      <c r="M286" s="25">
        <f t="shared" si="60"/>
        <v>2.4500000000000011</v>
      </c>
      <c r="N286" s="25" t="s">
        <v>593</v>
      </c>
    </row>
    <row r="287" spans="1:14" x14ac:dyDescent="0.25">
      <c r="A287" s="77">
        <v>46002</v>
      </c>
      <c r="B287" s="25" t="s">
        <v>506</v>
      </c>
      <c r="C287" s="77">
        <f t="shared" si="61"/>
        <v>46025</v>
      </c>
      <c r="D287" s="77">
        <f t="shared" si="62"/>
        <v>46009</v>
      </c>
      <c r="E287" s="77">
        <f t="shared" si="63"/>
        <v>46016</v>
      </c>
      <c r="F287" s="77">
        <f t="shared" si="64"/>
        <v>46022</v>
      </c>
      <c r="G287" s="77">
        <f t="shared" si="65"/>
        <v>46010</v>
      </c>
      <c r="H287" s="77">
        <f t="shared" si="66"/>
        <v>46017</v>
      </c>
      <c r="I287" s="77">
        <v>46030</v>
      </c>
      <c r="J287" s="78">
        <f t="shared" si="59"/>
        <v>28</v>
      </c>
      <c r="K287" s="84">
        <v>10.98</v>
      </c>
      <c r="L287" s="82">
        <v>9.31</v>
      </c>
      <c r="M287" s="25">
        <f t="shared" si="60"/>
        <v>1.67</v>
      </c>
      <c r="N287" s="25" t="s">
        <v>593</v>
      </c>
    </row>
    <row r="288" spans="1:14" x14ac:dyDescent="0.25">
      <c r="A288" s="77">
        <v>46002</v>
      </c>
      <c r="B288" s="25" t="s">
        <v>507</v>
      </c>
      <c r="C288" s="77">
        <f t="shared" si="61"/>
        <v>46025</v>
      </c>
      <c r="D288" s="77">
        <f t="shared" si="62"/>
        <v>46009</v>
      </c>
      <c r="E288" s="77">
        <f t="shared" si="63"/>
        <v>46016</v>
      </c>
      <c r="F288" s="77">
        <f t="shared" si="64"/>
        <v>46022</v>
      </c>
      <c r="G288" s="77">
        <f t="shared" si="65"/>
        <v>46010</v>
      </c>
      <c r="H288" s="77">
        <f t="shared" si="66"/>
        <v>46017</v>
      </c>
      <c r="I288" s="77">
        <v>46030</v>
      </c>
      <c r="J288" s="78">
        <f t="shared" si="59"/>
        <v>28</v>
      </c>
      <c r="K288" s="84">
        <v>13.24</v>
      </c>
      <c r="L288" s="82">
        <v>10.47</v>
      </c>
      <c r="M288" s="25">
        <f t="shared" si="60"/>
        <v>2.7699999999999996</v>
      </c>
      <c r="N288" s="25" t="s">
        <v>593</v>
      </c>
    </row>
    <row r="289" spans="1:14" x14ac:dyDescent="0.25">
      <c r="A289" s="77">
        <v>46002</v>
      </c>
      <c r="B289" s="25" t="s">
        <v>508</v>
      </c>
      <c r="C289" s="77">
        <f t="shared" si="61"/>
        <v>46025</v>
      </c>
      <c r="D289" s="77">
        <f t="shared" si="62"/>
        <v>46009</v>
      </c>
      <c r="E289" s="77">
        <f t="shared" si="63"/>
        <v>46016</v>
      </c>
      <c r="F289" s="77">
        <f t="shared" si="64"/>
        <v>46022</v>
      </c>
      <c r="G289" s="77">
        <f t="shared" si="65"/>
        <v>46010</v>
      </c>
      <c r="H289" s="77">
        <f t="shared" si="66"/>
        <v>46017</v>
      </c>
      <c r="I289" s="77">
        <v>46031</v>
      </c>
      <c r="J289" s="78">
        <f t="shared" si="59"/>
        <v>29</v>
      </c>
      <c r="K289" s="25">
        <v>10.91</v>
      </c>
      <c r="L289" s="25">
        <v>5.69</v>
      </c>
      <c r="M289" s="25">
        <f t="shared" si="60"/>
        <v>5.22</v>
      </c>
      <c r="N289" s="25" t="s">
        <v>592</v>
      </c>
    </row>
    <row r="290" spans="1:14" x14ac:dyDescent="0.25">
      <c r="A290" s="77">
        <v>46002</v>
      </c>
      <c r="B290" s="25" t="s">
        <v>509</v>
      </c>
      <c r="C290" s="77">
        <f t="shared" si="61"/>
        <v>46025</v>
      </c>
      <c r="D290" s="77">
        <f t="shared" si="62"/>
        <v>46009</v>
      </c>
      <c r="E290" s="77">
        <f t="shared" si="63"/>
        <v>46016</v>
      </c>
      <c r="F290" s="77">
        <f t="shared" si="64"/>
        <v>46022</v>
      </c>
      <c r="G290" s="77">
        <f t="shared" si="65"/>
        <v>46010</v>
      </c>
      <c r="H290" s="77">
        <f t="shared" si="66"/>
        <v>46017</v>
      </c>
      <c r="I290" s="77">
        <v>46031</v>
      </c>
      <c r="J290" s="78">
        <f t="shared" si="59"/>
        <v>29</v>
      </c>
      <c r="K290" s="25">
        <v>11.19</v>
      </c>
      <c r="L290" s="25">
        <v>5.87</v>
      </c>
      <c r="M290" s="25">
        <f t="shared" si="60"/>
        <v>5.3199999999999994</v>
      </c>
      <c r="N290" s="25" t="s">
        <v>592</v>
      </c>
    </row>
    <row r="291" spans="1:14" x14ac:dyDescent="0.25">
      <c r="A291" s="77">
        <v>46002</v>
      </c>
      <c r="B291" s="25" t="s">
        <v>510</v>
      </c>
      <c r="C291" s="77">
        <f t="shared" si="61"/>
        <v>46025</v>
      </c>
      <c r="D291" s="77">
        <f t="shared" si="62"/>
        <v>46009</v>
      </c>
      <c r="E291" s="77">
        <f t="shared" si="63"/>
        <v>46016</v>
      </c>
      <c r="F291" s="77">
        <f t="shared" si="64"/>
        <v>46022</v>
      </c>
      <c r="G291" s="77">
        <f t="shared" si="65"/>
        <v>46010</v>
      </c>
      <c r="H291" s="77">
        <f t="shared" si="66"/>
        <v>46017</v>
      </c>
      <c r="I291" s="77">
        <v>46031</v>
      </c>
      <c r="J291" s="78">
        <f t="shared" si="59"/>
        <v>29</v>
      </c>
      <c r="K291" s="25">
        <v>10.24</v>
      </c>
      <c r="L291" s="25">
        <v>4.96</v>
      </c>
      <c r="M291" s="25">
        <f t="shared" si="60"/>
        <v>5.28</v>
      </c>
      <c r="N291" s="25" t="s">
        <v>592</v>
      </c>
    </row>
    <row r="292" spans="1:14" x14ac:dyDescent="0.25">
      <c r="A292" s="77">
        <v>46003</v>
      </c>
      <c r="B292" s="25" t="s">
        <v>552</v>
      </c>
      <c r="C292" s="77">
        <f t="shared" si="61"/>
        <v>46026</v>
      </c>
      <c r="D292" s="77">
        <f t="shared" si="62"/>
        <v>46010</v>
      </c>
      <c r="E292" s="77">
        <f t="shared" si="63"/>
        <v>46017</v>
      </c>
      <c r="F292" s="77">
        <f t="shared" si="64"/>
        <v>46023</v>
      </c>
      <c r="G292" s="77">
        <f t="shared" si="65"/>
        <v>46011</v>
      </c>
      <c r="H292" s="77">
        <f t="shared" si="66"/>
        <v>46018</v>
      </c>
      <c r="I292" s="77">
        <v>46032</v>
      </c>
      <c r="J292" s="78">
        <f t="shared" si="59"/>
        <v>29</v>
      </c>
      <c r="K292" s="25">
        <v>12.74</v>
      </c>
      <c r="L292" s="25">
        <v>6.18</v>
      </c>
      <c r="M292" s="25">
        <f t="shared" si="60"/>
        <v>6.5600000000000005</v>
      </c>
      <c r="N292" s="25" t="s">
        <v>592</v>
      </c>
    </row>
    <row r="293" spans="1:14" x14ac:dyDescent="0.25">
      <c r="A293" s="77">
        <v>46003</v>
      </c>
      <c r="B293" s="25" t="s">
        <v>553</v>
      </c>
      <c r="C293" s="77">
        <f t="shared" si="61"/>
        <v>46026</v>
      </c>
      <c r="D293" s="77">
        <f t="shared" si="62"/>
        <v>46010</v>
      </c>
      <c r="E293" s="77">
        <f t="shared" si="63"/>
        <v>46017</v>
      </c>
      <c r="F293" s="77">
        <f t="shared" si="64"/>
        <v>46023</v>
      </c>
      <c r="G293" s="77">
        <f t="shared" si="65"/>
        <v>46011</v>
      </c>
      <c r="H293" s="77">
        <f t="shared" si="66"/>
        <v>46018</v>
      </c>
      <c r="I293" s="77">
        <v>46031</v>
      </c>
      <c r="J293" s="78">
        <f t="shared" si="59"/>
        <v>28</v>
      </c>
      <c r="K293" s="25">
        <v>15.17</v>
      </c>
      <c r="L293" s="25">
        <v>14.81</v>
      </c>
      <c r="M293" s="25">
        <f t="shared" si="60"/>
        <v>0.35999999999999943</v>
      </c>
      <c r="N293" s="25" t="s">
        <v>593</v>
      </c>
    </row>
    <row r="294" spans="1:14" x14ac:dyDescent="0.25">
      <c r="A294" s="77">
        <v>46003</v>
      </c>
      <c r="B294" s="25" t="s">
        <v>554</v>
      </c>
      <c r="C294" s="77">
        <f t="shared" si="61"/>
        <v>46026</v>
      </c>
      <c r="D294" s="77">
        <f t="shared" si="62"/>
        <v>46010</v>
      </c>
      <c r="E294" s="77">
        <f t="shared" si="63"/>
        <v>46017</v>
      </c>
      <c r="F294" s="77">
        <f t="shared" si="64"/>
        <v>46023</v>
      </c>
      <c r="G294" s="77">
        <f t="shared" si="65"/>
        <v>46011</v>
      </c>
      <c r="H294" s="77">
        <f t="shared" si="66"/>
        <v>46018</v>
      </c>
      <c r="I294" s="77">
        <v>46031</v>
      </c>
      <c r="J294" s="78">
        <f t="shared" si="59"/>
        <v>28</v>
      </c>
      <c r="K294" s="25">
        <v>13.98</v>
      </c>
      <c r="L294" s="25">
        <v>12.77</v>
      </c>
      <c r="M294" s="25">
        <f t="shared" si="60"/>
        <v>1.2100000000000009</v>
      </c>
      <c r="N294" s="25" t="s">
        <v>593</v>
      </c>
    </row>
    <row r="295" spans="1:14" x14ac:dyDescent="0.25">
      <c r="A295" s="77">
        <v>46003</v>
      </c>
      <c r="B295" s="25" t="s">
        <v>555</v>
      </c>
      <c r="C295" s="77">
        <f t="shared" si="61"/>
        <v>46026</v>
      </c>
      <c r="D295" s="77">
        <f t="shared" si="62"/>
        <v>46010</v>
      </c>
      <c r="E295" s="77">
        <f t="shared" si="63"/>
        <v>46017</v>
      </c>
      <c r="F295" s="77">
        <f t="shared" si="64"/>
        <v>46023</v>
      </c>
      <c r="G295" s="77">
        <f t="shared" si="65"/>
        <v>46011</v>
      </c>
      <c r="H295" s="77">
        <f t="shared" si="66"/>
        <v>46018</v>
      </c>
      <c r="I295" s="77">
        <v>46031</v>
      </c>
      <c r="J295" s="78">
        <f t="shared" si="59"/>
        <v>28</v>
      </c>
      <c r="K295" s="25">
        <v>13.41</v>
      </c>
      <c r="L295" s="25">
        <v>12.1</v>
      </c>
      <c r="M295" s="25">
        <f t="shared" si="60"/>
        <v>1.3100000000000005</v>
      </c>
      <c r="N295" s="25" t="s">
        <v>593</v>
      </c>
    </row>
    <row r="296" spans="1:14" x14ac:dyDescent="0.25">
      <c r="A296" s="77">
        <v>46003</v>
      </c>
      <c r="B296" s="25" t="s">
        <v>556</v>
      </c>
      <c r="C296" s="77">
        <f t="shared" si="61"/>
        <v>46026</v>
      </c>
      <c r="D296" s="77">
        <f t="shared" si="62"/>
        <v>46010</v>
      </c>
      <c r="E296" s="77">
        <f t="shared" si="63"/>
        <v>46017</v>
      </c>
      <c r="F296" s="77">
        <f t="shared" si="64"/>
        <v>46023</v>
      </c>
      <c r="G296" s="77">
        <f t="shared" si="65"/>
        <v>46011</v>
      </c>
      <c r="H296" s="77">
        <f t="shared" si="66"/>
        <v>46018</v>
      </c>
      <c r="I296" s="77">
        <v>46031</v>
      </c>
      <c r="J296" s="78">
        <f t="shared" si="59"/>
        <v>28</v>
      </c>
      <c r="K296" s="25">
        <v>12.86</v>
      </c>
      <c r="L296" s="25">
        <v>11.69</v>
      </c>
      <c r="M296" s="25">
        <f t="shared" si="60"/>
        <v>1.17</v>
      </c>
      <c r="N296" s="25" t="s">
        <v>593</v>
      </c>
    </row>
    <row r="297" spans="1:14" x14ac:dyDescent="0.25">
      <c r="A297" s="77">
        <v>46003</v>
      </c>
      <c r="B297" s="25" t="s">
        <v>557</v>
      </c>
      <c r="C297" s="77">
        <f t="shared" si="61"/>
        <v>46026</v>
      </c>
      <c r="D297" s="77">
        <f t="shared" si="62"/>
        <v>46010</v>
      </c>
      <c r="E297" s="77">
        <f t="shared" si="63"/>
        <v>46017</v>
      </c>
      <c r="F297" s="77">
        <f t="shared" si="64"/>
        <v>46023</v>
      </c>
      <c r="G297" s="77">
        <f t="shared" si="65"/>
        <v>46011</v>
      </c>
      <c r="H297" s="77">
        <f t="shared" si="66"/>
        <v>46018</v>
      </c>
      <c r="I297" s="77">
        <v>46031</v>
      </c>
      <c r="J297" s="78">
        <f t="shared" si="59"/>
        <v>28</v>
      </c>
      <c r="K297" s="25">
        <v>13.47</v>
      </c>
      <c r="L297" s="25">
        <v>7.39</v>
      </c>
      <c r="M297" s="25">
        <f t="shared" si="60"/>
        <v>6.080000000000001</v>
      </c>
      <c r="N297" s="25" t="s">
        <v>592</v>
      </c>
    </row>
    <row r="298" spans="1:14" x14ac:dyDescent="0.25">
      <c r="A298" s="77">
        <v>46003</v>
      </c>
      <c r="B298" s="25" t="s">
        <v>558</v>
      </c>
      <c r="C298" s="77">
        <f t="shared" si="61"/>
        <v>46026</v>
      </c>
      <c r="D298" s="77">
        <f t="shared" si="62"/>
        <v>46010</v>
      </c>
      <c r="E298" s="77">
        <f t="shared" si="63"/>
        <v>46017</v>
      </c>
      <c r="F298" s="77">
        <f t="shared" si="64"/>
        <v>46023</v>
      </c>
      <c r="G298" s="77">
        <f t="shared" si="65"/>
        <v>46011</v>
      </c>
      <c r="H298" s="77">
        <f t="shared" si="66"/>
        <v>46018</v>
      </c>
      <c r="I298" s="77">
        <v>46031</v>
      </c>
      <c r="J298" s="78">
        <f t="shared" si="59"/>
        <v>28</v>
      </c>
      <c r="K298" s="25">
        <v>11.58</v>
      </c>
      <c r="L298" s="25">
        <v>6.73</v>
      </c>
      <c r="M298" s="25">
        <f t="shared" si="60"/>
        <v>4.8499999999999996</v>
      </c>
      <c r="N298" s="25" t="s">
        <v>592</v>
      </c>
    </row>
    <row r="299" spans="1:14" x14ac:dyDescent="0.25">
      <c r="A299" s="77">
        <v>46004</v>
      </c>
      <c r="B299" s="25" t="s">
        <v>545</v>
      </c>
      <c r="C299" s="77">
        <f t="shared" si="61"/>
        <v>46027</v>
      </c>
      <c r="D299" s="77">
        <f t="shared" si="62"/>
        <v>46011</v>
      </c>
      <c r="E299" s="77">
        <f t="shared" si="63"/>
        <v>46018</v>
      </c>
      <c r="F299" s="77">
        <f t="shared" si="64"/>
        <v>46024</v>
      </c>
      <c r="G299" s="77">
        <f t="shared" si="65"/>
        <v>46012</v>
      </c>
      <c r="H299" s="77">
        <f t="shared" si="66"/>
        <v>46019</v>
      </c>
      <c r="I299" s="77">
        <v>46032</v>
      </c>
      <c r="J299" s="78">
        <f t="shared" si="59"/>
        <v>28</v>
      </c>
      <c r="K299" s="25">
        <v>12.15</v>
      </c>
      <c r="L299" s="25">
        <v>10.96</v>
      </c>
      <c r="M299" s="25">
        <f t="shared" si="60"/>
        <v>1.1899999999999995</v>
      </c>
      <c r="N299" s="25" t="s">
        <v>593</v>
      </c>
    </row>
    <row r="300" spans="1:14" x14ac:dyDescent="0.25">
      <c r="A300" s="77">
        <v>46004</v>
      </c>
      <c r="B300" s="25" t="s">
        <v>546</v>
      </c>
      <c r="C300" s="77">
        <f t="shared" si="61"/>
        <v>46027</v>
      </c>
      <c r="D300" s="77">
        <f t="shared" si="62"/>
        <v>46011</v>
      </c>
      <c r="E300" s="77">
        <f t="shared" si="63"/>
        <v>46018</v>
      </c>
      <c r="F300" s="77">
        <f t="shared" si="64"/>
        <v>46024</v>
      </c>
      <c r="G300" s="77">
        <f t="shared" si="65"/>
        <v>46012</v>
      </c>
      <c r="H300" s="77">
        <f t="shared" si="66"/>
        <v>46019</v>
      </c>
      <c r="I300" s="77">
        <v>46032</v>
      </c>
      <c r="J300" s="78">
        <f t="shared" si="59"/>
        <v>28</v>
      </c>
      <c r="K300" s="25">
        <v>12.91</v>
      </c>
      <c r="L300" s="25">
        <v>11.81</v>
      </c>
      <c r="M300" s="25">
        <f t="shared" si="60"/>
        <v>1.0999999999999996</v>
      </c>
      <c r="N300" s="25" t="s">
        <v>593</v>
      </c>
    </row>
    <row r="301" spans="1:14" x14ac:dyDescent="0.25">
      <c r="A301" s="77">
        <v>46004</v>
      </c>
      <c r="B301" s="25" t="s">
        <v>547</v>
      </c>
      <c r="C301" s="77">
        <f t="shared" si="61"/>
        <v>46027</v>
      </c>
      <c r="D301" s="77">
        <f t="shared" si="62"/>
        <v>46011</v>
      </c>
      <c r="E301" s="77">
        <f t="shared" si="63"/>
        <v>46018</v>
      </c>
      <c r="F301" s="77">
        <f t="shared" si="64"/>
        <v>46024</v>
      </c>
      <c r="G301" s="77">
        <f t="shared" si="65"/>
        <v>46012</v>
      </c>
      <c r="H301" s="77">
        <f t="shared" si="66"/>
        <v>46019</v>
      </c>
      <c r="I301" s="77">
        <v>46032</v>
      </c>
      <c r="J301" s="78">
        <f t="shared" si="59"/>
        <v>28</v>
      </c>
      <c r="K301" s="25">
        <v>11.86</v>
      </c>
      <c r="L301" s="25">
        <v>10.54</v>
      </c>
      <c r="M301" s="25">
        <f t="shared" si="60"/>
        <v>1.3200000000000003</v>
      </c>
      <c r="N301" s="25" t="s">
        <v>593</v>
      </c>
    </row>
    <row r="302" spans="1:14" x14ac:dyDescent="0.25">
      <c r="A302" s="77">
        <v>46004</v>
      </c>
      <c r="B302" s="25" t="s">
        <v>548</v>
      </c>
      <c r="C302" s="77">
        <f t="shared" si="61"/>
        <v>46027</v>
      </c>
      <c r="D302" s="77">
        <f t="shared" si="62"/>
        <v>46011</v>
      </c>
      <c r="E302" s="77">
        <f t="shared" si="63"/>
        <v>46018</v>
      </c>
      <c r="F302" s="77">
        <f t="shared" si="64"/>
        <v>46024</v>
      </c>
      <c r="G302" s="77">
        <f t="shared" si="65"/>
        <v>46012</v>
      </c>
      <c r="H302" s="77">
        <f t="shared" si="66"/>
        <v>46019</v>
      </c>
      <c r="I302" s="77">
        <v>46032</v>
      </c>
      <c r="J302" s="78">
        <f t="shared" si="59"/>
        <v>28</v>
      </c>
      <c r="K302" s="25">
        <v>11.17</v>
      </c>
      <c r="L302" s="25">
        <v>9.2799999999999994</v>
      </c>
      <c r="M302" s="25">
        <f t="shared" si="60"/>
        <v>1.8900000000000006</v>
      </c>
      <c r="N302" s="25" t="s">
        <v>593</v>
      </c>
    </row>
    <row r="303" spans="1:14" x14ac:dyDescent="0.25">
      <c r="A303" s="77">
        <v>46004</v>
      </c>
      <c r="B303" s="25" t="s">
        <v>549</v>
      </c>
      <c r="C303" s="77">
        <f t="shared" si="61"/>
        <v>46027</v>
      </c>
      <c r="D303" s="77">
        <f t="shared" si="62"/>
        <v>46011</v>
      </c>
      <c r="E303" s="77">
        <f t="shared" si="63"/>
        <v>46018</v>
      </c>
      <c r="F303" s="77">
        <f t="shared" si="64"/>
        <v>46024</v>
      </c>
      <c r="G303" s="77">
        <f t="shared" si="65"/>
        <v>46012</v>
      </c>
      <c r="H303" s="77">
        <f t="shared" si="66"/>
        <v>46019</v>
      </c>
      <c r="I303" s="77">
        <v>46032</v>
      </c>
      <c r="J303" s="78">
        <f t="shared" si="59"/>
        <v>28</v>
      </c>
      <c r="K303" s="25">
        <v>10.98</v>
      </c>
      <c r="L303" s="25">
        <v>5.09</v>
      </c>
      <c r="M303" s="25">
        <f t="shared" si="60"/>
        <v>5.8900000000000006</v>
      </c>
      <c r="N303" s="25" t="s">
        <v>592</v>
      </c>
    </row>
    <row r="304" spans="1:14" x14ac:dyDescent="0.25">
      <c r="A304" s="77">
        <v>46004</v>
      </c>
      <c r="B304" s="25" t="s">
        <v>550</v>
      </c>
      <c r="C304" s="77">
        <f t="shared" si="61"/>
        <v>46027</v>
      </c>
      <c r="D304" s="77">
        <f t="shared" si="62"/>
        <v>46011</v>
      </c>
      <c r="E304" s="77">
        <f t="shared" si="63"/>
        <v>46018</v>
      </c>
      <c r="F304" s="77">
        <f t="shared" si="64"/>
        <v>46024</v>
      </c>
      <c r="G304" s="77">
        <f t="shared" si="65"/>
        <v>46012</v>
      </c>
      <c r="H304" s="77">
        <f t="shared" si="66"/>
        <v>46019</v>
      </c>
      <c r="I304" s="77">
        <v>46032</v>
      </c>
      <c r="J304" s="78">
        <f t="shared" si="59"/>
        <v>28</v>
      </c>
      <c r="K304" s="25">
        <v>10.31</v>
      </c>
      <c r="L304" s="25">
        <v>4.17</v>
      </c>
      <c r="M304" s="25">
        <f t="shared" si="60"/>
        <v>6.1400000000000006</v>
      </c>
      <c r="N304" s="25" t="s">
        <v>592</v>
      </c>
    </row>
    <row r="305" spans="1:14" x14ac:dyDescent="0.25">
      <c r="A305" s="77">
        <v>46004</v>
      </c>
      <c r="B305" s="25" t="s">
        <v>551</v>
      </c>
      <c r="C305" s="77">
        <f t="shared" si="61"/>
        <v>46027</v>
      </c>
      <c r="D305" s="77">
        <f t="shared" si="62"/>
        <v>46011</v>
      </c>
      <c r="E305" s="77">
        <f t="shared" si="63"/>
        <v>46018</v>
      </c>
      <c r="F305" s="77">
        <f t="shared" si="64"/>
        <v>46024</v>
      </c>
      <c r="G305" s="77">
        <f t="shared" si="65"/>
        <v>46012</v>
      </c>
      <c r="H305" s="77">
        <f t="shared" si="66"/>
        <v>46019</v>
      </c>
      <c r="I305" s="77">
        <v>46032</v>
      </c>
      <c r="J305" s="78">
        <f t="shared" si="59"/>
        <v>28</v>
      </c>
      <c r="K305" s="25">
        <v>11.45</v>
      </c>
      <c r="L305" s="25">
        <v>5.26</v>
      </c>
      <c r="M305" s="25">
        <f t="shared" si="60"/>
        <v>6.1899999999999995</v>
      </c>
      <c r="N305" s="25" t="s">
        <v>592</v>
      </c>
    </row>
    <row r="306" spans="1:14" x14ac:dyDescent="0.25">
      <c r="A306" s="77">
        <v>46005</v>
      </c>
      <c r="B306" s="25" t="s">
        <v>537</v>
      </c>
      <c r="C306" s="77">
        <f t="shared" si="61"/>
        <v>46028</v>
      </c>
      <c r="D306" s="77">
        <f t="shared" si="62"/>
        <v>46012</v>
      </c>
      <c r="E306" s="77">
        <f t="shared" si="63"/>
        <v>46019</v>
      </c>
      <c r="F306" s="77">
        <f t="shared" si="64"/>
        <v>46025</v>
      </c>
      <c r="G306" s="77">
        <f t="shared" si="65"/>
        <v>46013</v>
      </c>
      <c r="H306" s="77">
        <f t="shared" si="66"/>
        <v>46020</v>
      </c>
      <c r="I306" s="77">
        <v>46033</v>
      </c>
      <c r="J306" s="78">
        <f t="shared" si="59"/>
        <v>28</v>
      </c>
      <c r="K306" s="25">
        <v>12.07</v>
      </c>
      <c r="L306" s="25">
        <v>10.78</v>
      </c>
      <c r="M306" s="25">
        <f t="shared" si="60"/>
        <v>1.2900000000000009</v>
      </c>
      <c r="N306" s="25" t="s">
        <v>593</v>
      </c>
    </row>
    <row r="307" spans="1:14" x14ac:dyDescent="0.25">
      <c r="A307" s="77">
        <v>46005</v>
      </c>
      <c r="B307" s="25" t="s">
        <v>538</v>
      </c>
      <c r="C307" s="77">
        <f t="shared" si="61"/>
        <v>46028</v>
      </c>
      <c r="D307" s="77">
        <f t="shared" si="62"/>
        <v>46012</v>
      </c>
      <c r="E307" s="77">
        <f t="shared" si="63"/>
        <v>46019</v>
      </c>
      <c r="F307" s="77">
        <f t="shared" si="64"/>
        <v>46025</v>
      </c>
      <c r="G307" s="77">
        <f t="shared" si="65"/>
        <v>46013</v>
      </c>
      <c r="H307" s="77">
        <f t="shared" si="66"/>
        <v>46020</v>
      </c>
      <c r="I307" s="77">
        <v>46033</v>
      </c>
      <c r="J307" s="78">
        <f t="shared" si="59"/>
        <v>28</v>
      </c>
      <c r="K307" s="25">
        <v>12.51</v>
      </c>
      <c r="L307" s="25">
        <v>11.89</v>
      </c>
      <c r="M307" s="25">
        <f t="shared" si="60"/>
        <v>0.61999999999999922</v>
      </c>
      <c r="N307" s="25" t="s">
        <v>593</v>
      </c>
    </row>
    <row r="308" spans="1:14" x14ac:dyDescent="0.25">
      <c r="A308" s="77">
        <v>46005</v>
      </c>
      <c r="B308" s="25" t="s">
        <v>539</v>
      </c>
      <c r="C308" s="77">
        <f t="shared" si="61"/>
        <v>46028</v>
      </c>
      <c r="D308" s="77">
        <f t="shared" si="62"/>
        <v>46012</v>
      </c>
      <c r="E308" s="77">
        <f t="shared" si="63"/>
        <v>46019</v>
      </c>
      <c r="F308" s="77">
        <f t="shared" si="64"/>
        <v>46025</v>
      </c>
      <c r="G308" s="77">
        <f t="shared" si="65"/>
        <v>46013</v>
      </c>
      <c r="H308" s="77">
        <f t="shared" si="66"/>
        <v>46020</v>
      </c>
      <c r="I308" s="77">
        <v>46033</v>
      </c>
      <c r="J308" s="78">
        <f t="shared" si="59"/>
        <v>28</v>
      </c>
      <c r="K308" s="25">
        <v>14.98</v>
      </c>
      <c r="L308" s="25">
        <v>13.51</v>
      </c>
      <c r="M308" s="25">
        <f t="shared" si="60"/>
        <v>1.4700000000000006</v>
      </c>
      <c r="N308" s="25" t="s">
        <v>593</v>
      </c>
    </row>
    <row r="309" spans="1:14" x14ac:dyDescent="0.25">
      <c r="A309" s="77">
        <v>46005</v>
      </c>
      <c r="B309" s="25" t="s">
        <v>540</v>
      </c>
      <c r="C309" s="77">
        <f t="shared" si="61"/>
        <v>46028</v>
      </c>
      <c r="D309" s="77">
        <f t="shared" si="62"/>
        <v>46012</v>
      </c>
      <c r="E309" s="77">
        <f t="shared" si="63"/>
        <v>46019</v>
      </c>
      <c r="F309" s="77">
        <f t="shared" si="64"/>
        <v>46025</v>
      </c>
      <c r="G309" s="77">
        <f t="shared" si="65"/>
        <v>46013</v>
      </c>
      <c r="H309" s="77">
        <f t="shared" si="66"/>
        <v>46020</v>
      </c>
      <c r="I309" s="77">
        <v>46033</v>
      </c>
      <c r="J309" s="78">
        <f t="shared" si="59"/>
        <v>28</v>
      </c>
      <c r="K309" s="25">
        <v>14.08</v>
      </c>
      <c r="L309" s="25">
        <v>12.76</v>
      </c>
      <c r="M309" s="25">
        <f t="shared" si="60"/>
        <v>1.3200000000000003</v>
      </c>
      <c r="N309" s="25" t="s">
        <v>593</v>
      </c>
    </row>
    <row r="310" spans="1:14" x14ac:dyDescent="0.25">
      <c r="A310" s="77">
        <v>46005</v>
      </c>
      <c r="B310" s="25" t="s">
        <v>541</v>
      </c>
      <c r="C310" s="77">
        <f t="shared" si="61"/>
        <v>46028</v>
      </c>
      <c r="D310" s="77">
        <f t="shared" si="62"/>
        <v>46012</v>
      </c>
      <c r="E310" s="77">
        <f t="shared" si="63"/>
        <v>46019</v>
      </c>
      <c r="F310" s="77">
        <f t="shared" si="64"/>
        <v>46025</v>
      </c>
      <c r="G310" s="77">
        <f t="shared" si="65"/>
        <v>46013</v>
      </c>
      <c r="H310" s="77">
        <f t="shared" si="66"/>
        <v>46020</v>
      </c>
      <c r="I310" s="77">
        <v>46033</v>
      </c>
      <c r="J310" s="78">
        <f t="shared" si="59"/>
        <v>28</v>
      </c>
      <c r="K310" s="25">
        <v>13.28</v>
      </c>
      <c r="L310" s="25">
        <v>6.42</v>
      </c>
      <c r="M310" s="25">
        <f t="shared" si="60"/>
        <v>6.8599999999999994</v>
      </c>
      <c r="N310" s="25" t="s">
        <v>592</v>
      </c>
    </row>
    <row r="311" spans="1:14" x14ac:dyDescent="0.25">
      <c r="A311" s="77">
        <v>46005</v>
      </c>
      <c r="B311" s="25" t="s">
        <v>542</v>
      </c>
      <c r="C311" s="77">
        <f t="shared" si="61"/>
        <v>46028</v>
      </c>
      <c r="D311" s="77">
        <f t="shared" si="62"/>
        <v>46012</v>
      </c>
      <c r="E311" s="77">
        <f t="shared" si="63"/>
        <v>46019</v>
      </c>
      <c r="F311" s="77">
        <f t="shared" si="64"/>
        <v>46025</v>
      </c>
      <c r="G311" s="77">
        <f t="shared" si="65"/>
        <v>46013</v>
      </c>
      <c r="H311" s="77">
        <f t="shared" si="66"/>
        <v>46020</v>
      </c>
      <c r="I311" s="77">
        <v>46033</v>
      </c>
      <c r="J311" s="78">
        <f t="shared" si="59"/>
        <v>28</v>
      </c>
      <c r="K311" s="25">
        <v>11.13</v>
      </c>
      <c r="L311" s="25">
        <v>5.87</v>
      </c>
      <c r="M311" s="25">
        <f t="shared" si="60"/>
        <v>5.2600000000000007</v>
      </c>
      <c r="N311" s="25" t="s">
        <v>592</v>
      </c>
    </row>
    <row r="312" spans="1:14" x14ac:dyDescent="0.25">
      <c r="A312" s="77">
        <v>46005</v>
      </c>
      <c r="B312" s="25" t="s">
        <v>543</v>
      </c>
      <c r="C312" s="77">
        <f t="shared" si="61"/>
        <v>46028</v>
      </c>
      <c r="D312" s="77">
        <f t="shared" si="62"/>
        <v>46012</v>
      </c>
      <c r="E312" s="77">
        <f t="shared" si="63"/>
        <v>46019</v>
      </c>
      <c r="F312" s="77">
        <f t="shared" si="64"/>
        <v>46025</v>
      </c>
      <c r="G312" s="77">
        <f t="shared" si="65"/>
        <v>46013</v>
      </c>
      <c r="H312" s="77">
        <f t="shared" si="66"/>
        <v>46020</v>
      </c>
      <c r="I312" s="77">
        <v>46033</v>
      </c>
      <c r="J312" s="78">
        <f t="shared" si="59"/>
        <v>28</v>
      </c>
      <c r="K312" s="25">
        <v>13.91</v>
      </c>
      <c r="L312" s="25">
        <v>7.11</v>
      </c>
      <c r="M312" s="25">
        <f t="shared" si="60"/>
        <v>6.8</v>
      </c>
      <c r="N312" s="25" t="s">
        <v>592</v>
      </c>
    </row>
    <row r="313" spans="1:14" x14ac:dyDescent="0.25">
      <c r="A313" s="77">
        <v>46005</v>
      </c>
      <c r="B313" s="25" t="s">
        <v>544</v>
      </c>
      <c r="C313" s="77">
        <f t="shared" si="61"/>
        <v>46028</v>
      </c>
      <c r="D313" s="77">
        <f t="shared" si="62"/>
        <v>46012</v>
      </c>
      <c r="E313" s="77">
        <f t="shared" si="63"/>
        <v>46019</v>
      </c>
      <c r="F313" s="77">
        <f t="shared" si="64"/>
        <v>46025</v>
      </c>
      <c r="G313" s="77">
        <f t="shared" si="65"/>
        <v>46013</v>
      </c>
      <c r="H313" s="77">
        <f t="shared" si="66"/>
        <v>46020</v>
      </c>
      <c r="I313" s="77">
        <v>46033</v>
      </c>
      <c r="J313" s="78">
        <f t="shared" si="59"/>
        <v>28</v>
      </c>
      <c r="K313" s="25">
        <v>12.84</v>
      </c>
      <c r="L313" s="25">
        <v>6.25</v>
      </c>
      <c r="M313" s="25">
        <f t="shared" si="60"/>
        <v>6.59</v>
      </c>
      <c r="N313" s="25" t="s">
        <v>592</v>
      </c>
    </row>
    <row r="314" spans="1:14" x14ac:dyDescent="0.25">
      <c r="A314" s="77">
        <v>46006</v>
      </c>
      <c r="B314" s="25" t="s">
        <v>513</v>
      </c>
      <c r="C314" s="77">
        <f t="shared" si="61"/>
        <v>46029</v>
      </c>
      <c r="D314" s="77">
        <f t="shared" si="62"/>
        <v>46013</v>
      </c>
      <c r="E314" s="77">
        <f t="shared" si="63"/>
        <v>46020</v>
      </c>
      <c r="F314" s="77">
        <f t="shared" si="64"/>
        <v>46026</v>
      </c>
      <c r="G314" s="77">
        <f t="shared" si="65"/>
        <v>46014</v>
      </c>
      <c r="H314" s="77">
        <f t="shared" si="66"/>
        <v>46021</v>
      </c>
      <c r="I314" s="77">
        <v>46034</v>
      </c>
      <c r="J314" s="78">
        <f t="shared" si="59"/>
        <v>28</v>
      </c>
      <c r="K314" s="84">
        <v>10.38</v>
      </c>
      <c r="L314" s="82">
        <v>5.17</v>
      </c>
      <c r="M314" s="25">
        <f t="shared" si="60"/>
        <v>5.2100000000000009</v>
      </c>
      <c r="N314" s="82" t="s">
        <v>592</v>
      </c>
    </row>
    <row r="315" spans="1:14" x14ac:dyDescent="0.25">
      <c r="A315" s="77">
        <v>46006</v>
      </c>
      <c r="B315" s="25" t="s">
        <v>514</v>
      </c>
      <c r="C315" s="77">
        <f t="shared" si="61"/>
        <v>46029</v>
      </c>
      <c r="D315" s="77">
        <f t="shared" si="62"/>
        <v>46013</v>
      </c>
      <c r="E315" s="77">
        <f t="shared" si="63"/>
        <v>46020</v>
      </c>
      <c r="F315" s="77">
        <f t="shared" si="64"/>
        <v>46026</v>
      </c>
      <c r="G315" s="77">
        <f t="shared" si="65"/>
        <v>46014</v>
      </c>
      <c r="H315" s="77">
        <f t="shared" si="66"/>
        <v>46021</v>
      </c>
      <c r="I315" s="77">
        <v>46034</v>
      </c>
      <c r="J315" s="78">
        <f t="shared" si="59"/>
        <v>28</v>
      </c>
      <c r="K315" s="84">
        <v>11.52</v>
      </c>
      <c r="L315" s="82">
        <v>6.31</v>
      </c>
      <c r="M315" s="25">
        <f t="shared" si="60"/>
        <v>5.21</v>
      </c>
      <c r="N315" s="82" t="s">
        <v>592</v>
      </c>
    </row>
    <row r="316" spans="1:14" x14ac:dyDescent="0.25">
      <c r="A316" s="77">
        <v>46006</v>
      </c>
      <c r="B316" s="25" t="s">
        <v>515</v>
      </c>
      <c r="C316" s="77">
        <f t="shared" si="61"/>
        <v>46029</v>
      </c>
      <c r="D316" s="77">
        <f t="shared" si="62"/>
        <v>46013</v>
      </c>
      <c r="E316" s="77">
        <f t="shared" si="63"/>
        <v>46020</v>
      </c>
      <c r="F316" s="77">
        <f t="shared" si="64"/>
        <v>46026</v>
      </c>
      <c r="G316" s="77">
        <f t="shared" si="65"/>
        <v>46014</v>
      </c>
      <c r="H316" s="77">
        <f t="shared" si="66"/>
        <v>46021</v>
      </c>
      <c r="I316" s="77">
        <v>46034</v>
      </c>
      <c r="J316" s="78">
        <f t="shared" ref="J316:J341" si="67">I316-A316</f>
        <v>28</v>
      </c>
      <c r="K316" s="84">
        <v>10.29</v>
      </c>
      <c r="L316" s="82">
        <v>5.0999999999999996</v>
      </c>
      <c r="M316" s="25">
        <f t="shared" ref="M316:M366" si="68">K316-L316</f>
        <v>5.1899999999999995</v>
      </c>
      <c r="N316" s="82" t="s">
        <v>592</v>
      </c>
    </row>
    <row r="317" spans="1:14" x14ac:dyDescent="0.25">
      <c r="A317" s="77">
        <v>46006</v>
      </c>
      <c r="B317" s="25" t="s">
        <v>516</v>
      </c>
      <c r="C317" s="77">
        <f t="shared" si="61"/>
        <v>46029</v>
      </c>
      <c r="D317" s="77">
        <f t="shared" si="62"/>
        <v>46013</v>
      </c>
      <c r="E317" s="77">
        <f t="shared" si="63"/>
        <v>46020</v>
      </c>
      <c r="F317" s="77">
        <f t="shared" si="64"/>
        <v>46026</v>
      </c>
      <c r="G317" s="77">
        <f t="shared" si="65"/>
        <v>46014</v>
      </c>
      <c r="H317" s="77">
        <f t="shared" si="66"/>
        <v>46021</v>
      </c>
      <c r="I317" s="77">
        <v>46034</v>
      </c>
      <c r="J317" s="78">
        <f t="shared" si="67"/>
        <v>28</v>
      </c>
      <c r="K317" s="84">
        <v>10.07</v>
      </c>
      <c r="L317" s="82">
        <v>4.5199999999999996</v>
      </c>
      <c r="M317" s="25">
        <f t="shared" si="68"/>
        <v>5.5500000000000007</v>
      </c>
      <c r="N317" s="82" t="s">
        <v>592</v>
      </c>
    </row>
    <row r="318" spans="1:14" x14ac:dyDescent="0.25">
      <c r="A318" s="77">
        <v>46006</v>
      </c>
      <c r="B318" s="25" t="s">
        <v>517</v>
      </c>
      <c r="C318" s="77">
        <f t="shared" si="61"/>
        <v>46029</v>
      </c>
      <c r="D318" s="77">
        <f t="shared" si="62"/>
        <v>46013</v>
      </c>
      <c r="E318" s="77">
        <f t="shared" si="63"/>
        <v>46020</v>
      </c>
      <c r="F318" s="77">
        <f t="shared" si="64"/>
        <v>46026</v>
      </c>
      <c r="G318" s="77">
        <f t="shared" si="65"/>
        <v>46014</v>
      </c>
      <c r="H318" s="77">
        <f t="shared" si="66"/>
        <v>46021</v>
      </c>
      <c r="I318" s="77">
        <v>46034</v>
      </c>
      <c r="J318" s="78">
        <f t="shared" si="67"/>
        <v>28</v>
      </c>
      <c r="K318" s="84">
        <v>13.24</v>
      </c>
      <c r="L318" s="82">
        <v>11.71</v>
      </c>
      <c r="M318" s="25">
        <f t="shared" si="68"/>
        <v>1.5299999999999994</v>
      </c>
      <c r="N318" s="82" t="s">
        <v>593</v>
      </c>
    </row>
    <row r="319" spans="1:14" x14ac:dyDescent="0.25">
      <c r="A319" s="77">
        <v>46006</v>
      </c>
      <c r="B319" s="25" t="s">
        <v>518</v>
      </c>
      <c r="C319" s="77">
        <f t="shared" si="61"/>
        <v>46029</v>
      </c>
      <c r="D319" s="77">
        <f t="shared" si="62"/>
        <v>46013</v>
      </c>
      <c r="E319" s="77">
        <f t="shared" si="63"/>
        <v>46020</v>
      </c>
      <c r="F319" s="77">
        <f t="shared" si="64"/>
        <v>46026</v>
      </c>
      <c r="G319" s="77">
        <f t="shared" si="65"/>
        <v>46014</v>
      </c>
      <c r="H319" s="77">
        <f t="shared" si="66"/>
        <v>46021</v>
      </c>
      <c r="I319" s="77">
        <v>46034</v>
      </c>
      <c r="J319" s="78">
        <f t="shared" si="67"/>
        <v>28</v>
      </c>
      <c r="K319" s="84">
        <v>12.03</v>
      </c>
      <c r="L319" s="82">
        <v>10.86</v>
      </c>
      <c r="M319" s="25">
        <f t="shared" si="68"/>
        <v>1.17</v>
      </c>
      <c r="N319" s="82" t="s">
        <v>593</v>
      </c>
    </row>
    <row r="320" spans="1:14" x14ac:dyDescent="0.25">
      <c r="A320" s="77">
        <v>46006</v>
      </c>
      <c r="B320" s="25" t="s">
        <v>519</v>
      </c>
      <c r="C320" s="77">
        <f t="shared" si="61"/>
        <v>46029</v>
      </c>
      <c r="D320" s="77">
        <f t="shared" si="62"/>
        <v>46013</v>
      </c>
      <c r="E320" s="77">
        <f t="shared" si="63"/>
        <v>46020</v>
      </c>
      <c r="F320" s="77">
        <f t="shared" si="64"/>
        <v>46026</v>
      </c>
      <c r="G320" s="77">
        <f t="shared" si="65"/>
        <v>46014</v>
      </c>
      <c r="H320" s="77">
        <f t="shared" si="66"/>
        <v>46021</v>
      </c>
      <c r="I320" s="77">
        <v>46034</v>
      </c>
      <c r="J320" s="78">
        <f t="shared" si="67"/>
        <v>28</v>
      </c>
      <c r="K320" s="84">
        <v>13.98</v>
      </c>
      <c r="L320" s="82">
        <v>12.14</v>
      </c>
      <c r="M320" s="25">
        <f t="shared" si="68"/>
        <v>1.8399999999999999</v>
      </c>
      <c r="N320" s="82" t="s">
        <v>593</v>
      </c>
    </row>
    <row r="321" spans="1:14" x14ac:dyDescent="0.25">
      <c r="A321" s="77">
        <v>46007</v>
      </c>
      <c r="B321" s="25" t="s">
        <v>520</v>
      </c>
      <c r="C321" s="77">
        <f t="shared" si="61"/>
        <v>46030</v>
      </c>
      <c r="D321" s="77">
        <f t="shared" si="62"/>
        <v>46014</v>
      </c>
      <c r="E321" s="77">
        <f t="shared" si="63"/>
        <v>46021</v>
      </c>
      <c r="F321" s="77">
        <f t="shared" si="64"/>
        <v>46027</v>
      </c>
      <c r="G321" s="77">
        <f t="shared" si="65"/>
        <v>46015</v>
      </c>
      <c r="H321" s="77">
        <f t="shared" si="66"/>
        <v>46022</v>
      </c>
      <c r="I321" s="77">
        <v>46034</v>
      </c>
      <c r="J321" s="78">
        <f t="shared" si="67"/>
        <v>27</v>
      </c>
      <c r="K321" s="84">
        <v>12.55</v>
      </c>
      <c r="L321" s="82">
        <v>11.39</v>
      </c>
      <c r="M321" s="25">
        <f t="shared" si="68"/>
        <v>1.1600000000000001</v>
      </c>
      <c r="N321" s="82" t="s">
        <v>593</v>
      </c>
    </row>
    <row r="322" spans="1:14" x14ac:dyDescent="0.25">
      <c r="A322" s="77">
        <v>46007</v>
      </c>
      <c r="B322" s="25" t="s">
        <v>521</v>
      </c>
      <c r="C322" s="77">
        <f t="shared" si="61"/>
        <v>46030</v>
      </c>
      <c r="D322" s="77">
        <f t="shared" si="62"/>
        <v>46014</v>
      </c>
      <c r="E322" s="77">
        <f t="shared" si="63"/>
        <v>46021</v>
      </c>
      <c r="F322" s="77">
        <f t="shared" si="64"/>
        <v>46027</v>
      </c>
      <c r="G322" s="77">
        <f t="shared" si="65"/>
        <v>46015</v>
      </c>
      <c r="H322" s="77">
        <f t="shared" si="66"/>
        <v>46022</v>
      </c>
      <c r="I322" s="77">
        <v>46035</v>
      </c>
      <c r="J322" s="78">
        <f t="shared" si="67"/>
        <v>28</v>
      </c>
      <c r="K322" s="84">
        <v>9.51</v>
      </c>
      <c r="L322" s="82">
        <v>4.12</v>
      </c>
      <c r="M322" s="25">
        <f t="shared" si="68"/>
        <v>5.39</v>
      </c>
      <c r="N322" s="82" t="s">
        <v>592</v>
      </c>
    </row>
    <row r="323" spans="1:14" x14ac:dyDescent="0.25">
      <c r="A323" s="77">
        <v>46007</v>
      </c>
      <c r="B323" s="25" t="s">
        <v>522</v>
      </c>
      <c r="C323" s="77">
        <f t="shared" ref="C323:C334" si="69">A323+23</f>
        <v>46030</v>
      </c>
      <c r="D323" s="77">
        <f t="shared" ref="D323:D334" si="70">A323+7</f>
        <v>46014</v>
      </c>
      <c r="E323" s="77">
        <f t="shared" ref="E323:E334" si="71">A323+14</f>
        <v>46021</v>
      </c>
      <c r="F323" s="77">
        <f t="shared" ref="F323:F334" si="72">A323+20</f>
        <v>46027</v>
      </c>
      <c r="G323" s="77">
        <f t="shared" ref="G323:G334" si="73">A323+8</f>
        <v>46015</v>
      </c>
      <c r="H323" s="77">
        <f t="shared" ref="H323:H334" si="74">A323+15</f>
        <v>46022</v>
      </c>
      <c r="I323" s="77">
        <v>46035</v>
      </c>
      <c r="J323" s="78">
        <f t="shared" si="67"/>
        <v>28</v>
      </c>
      <c r="K323" s="84">
        <v>10.75</v>
      </c>
      <c r="L323" s="82">
        <v>5.24</v>
      </c>
      <c r="M323" s="25">
        <f t="shared" si="68"/>
        <v>5.51</v>
      </c>
      <c r="N323" s="82" t="s">
        <v>592</v>
      </c>
    </row>
    <row r="324" spans="1:14" x14ac:dyDescent="0.25">
      <c r="A324" s="77">
        <v>46007</v>
      </c>
      <c r="B324" s="25" t="s">
        <v>523</v>
      </c>
      <c r="C324" s="77">
        <f t="shared" si="69"/>
        <v>46030</v>
      </c>
      <c r="D324" s="77">
        <f t="shared" si="70"/>
        <v>46014</v>
      </c>
      <c r="E324" s="77">
        <f t="shared" si="71"/>
        <v>46021</v>
      </c>
      <c r="F324" s="77">
        <f t="shared" si="72"/>
        <v>46027</v>
      </c>
      <c r="G324" s="77">
        <f t="shared" si="73"/>
        <v>46015</v>
      </c>
      <c r="H324" s="77">
        <f t="shared" si="74"/>
        <v>46022</v>
      </c>
      <c r="I324" s="77">
        <v>46035</v>
      </c>
      <c r="J324" s="78">
        <f t="shared" si="67"/>
        <v>28</v>
      </c>
      <c r="K324" s="84">
        <v>11.18</v>
      </c>
      <c r="L324" s="82">
        <v>5.58</v>
      </c>
      <c r="M324" s="25">
        <f t="shared" si="68"/>
        <v>5.6</v>
      </c>
      <c r="N324" s="82" t="s">
        <v>592</v>
      </c>
    </row>
    <row r="325" spans="1:14" x14ac:dyDescent="0.25">
      <c r="A325" s="77">
        <v>46007</v>
      </c>
      <c r="B325" s="25" t="s">
        <v>524</v>
      </c>
      <c r="C325" s="77">
        <f t="shared" si="69"/>
        <v>46030</v>
      </c>
      <c r="D325" s="77">
        <f t="shared" si="70"/>
        <v>46014</v>
      </c>
      <c r="E325" s="77">
        <f t="shared" si="71"/>
        <v>46021</v>
      </c>
      <c r="F325" s="77">
        <f t="shared" si="72"/>
        <v>46027</v>
      </c>
      <c r="G325" s="77">
        <f t="shared" si="73"/>
        <v>46015</v>
      </c>
      <c r="H325" s="77">
        <f t="shared" si="74"/>
        <v>46022</v>
      </c>
      <c r="I325" s="77">
        <v>46035</v>
      </c>
      <c r="J325" s="78">
        <f t="shared" si="67"/>
        <v>28</v>
      </c>
      <c r="K325" s="84">
        <v>8.27</v>
      </c>
      <c r="L325" s="82">
        <v>7.17</v>
      </c>
      <c r="M325" s="25">
        <f t="shared" si="68"/>
        <v>1.0999999999999996</v>
      </c>
      <c r="N325" s="82" t="s">
        <v>593</v>
      </c>
    </row>
    <row r="326" spans="1:14" x14ac:dyDescent="0.25">
      <c r="A326" s="77">
        <v>46007</v>
      </c>
      <c r="B326" s="25" t="s">
        <v>525</v>
      </c>
      <c r="C326" s="77">
        <f t="shared" si="69"/>
        <v>46030</v>
      </c>
      <c r="D326" s="77">
        <f t="shared" si="70"/>
        <v>46014</v>
      </c>
      <c r="E326" s="77">
        <f t="shared" si="71"/>
        <v>46021</v>
      </c>
      <c r="F326" s="77">
        <f t="shared" si="72"/>
        <v>46027</v>
      </c>
      <c r="G326" s="77">
        <f t="shared" si="73"/>
        <v>46015</v>
      </c>
      <c r="H326" s="77">
        <f t="shared" si="74"/>
        <v>46022</v>
      </c>
      <c r="I326" s="77">
        <v>46036</v>
      </c>
      <c r="J326" s="78">
        <f t="shared" si="67"/>
        <v>29</v>
      </c>
      <c r="K326" s="84">
        <v>9.73</v>
      </c>
      <c r="L326" s="82">
        <v>4.3</v>
      </c>
      <c r="M326" s="25">
        <f t="shared" si="68"/>
        <v>5.4300000000000006</v>
      </c>
      <c r="N326" s="82" t="s">
        <v>592</v>
      </c>
    </row>
    <row r="327" spans="1:14" x14ac:dyDescent="0.25">
      <c r="A327" s="77">
        <v>46007</v>
      </c>
      <c r="B327" s="25" t="s">
        <v>526</v>
      </c>
      <c r="C327" s="77">
        <f t="shared" si="69"/>
        <v>46030</v>
      </c>
      <c r="D327" s="77">
        <f t="shared" si="70"/>
        <v>46014</v>
      </c>
      <c r="E327" s="77">
        <f t="shared" si="71"/>
        <v>46021</v>
      </c>
      <c r="F327" s="77">
        <f t="shared" si="72"/>
        <v>46027</v>
      </c>
      <c r="G327" s="77">
        <f t="shared" si="73"/>
        <v>46015</v>
      </c>
      <c r="H327" s="77">
        <f t="shared" si="74"/>
        <v>46022</v>
      </c>
      <c r="I327" s="77">
        <v>46036</v>
      </c>
      <c r="J327" s="78">
        <f t="shared" si="67"/>
        <v>29</v>
      </c>
      <c r="K327" s="84">
        <v>11.28</v>
      </c>
      <c r="L327" s="82">
        <v>5.58</v>
      </c>
      <c r="M327" s="25">
        <f t="shared" si="68"/>
        <v>5.6999999999999993</v>
      </c>
      <c r="N327" s="82" t="s">
        <v>592</v>
      </c>
    </row>
    <row r="328" spans="1:14" x14ac:dyDescent="0.25">
      <c r="A328" s="77">
        <v>46008</v>
      </c>
      <c r="B328" s="25" t="s">
        <v>527</v>
      </c>
      <c r="C328" s="77">
        <f t="shared" si="69"/>
        <v>46031</v>
      </c>
      <c r="D328" s="77">
        <f t="shared" si="70"/>
        <v>46015</v>
      </c>
      <c r="E328" s="77">
        <f t="shared" si="71"/>
        <v>46022</v>
      </c>
      <c r="F328" s="77">
        <f t="shared" si="72"/>
        <v>46028</v>
      </c>
      <c r="G328" s="77">
        <f t="shared" si="73"/>
        <v>46016</v>
      </c>
      <c r="H328" s="77">
        <f t="shared" si="74"/>
        <v>46023</v>
      </c>
      <c r="I328" s="77">
        <v>46036</v>
      </c>
      <c r="J328" s="78">
        <f t="shared" si="67"/>
        <v>28</v>
      </c>
      <c r="K328" s="84">
        <v>10.91</v>
      </c>
      <c r="L328" s="82">
        <v>5.13</v>
      </c>
      <c r="M328" s="25">
        <f t="shared" si="68"/>
        <v>5.78</v>
      </c>
      <c r="N328" s="82" t="s">
        <v>592</v>
      </c>
    </row>
    <row r="329" spans="1:14" x14ac:dyDescent="0.25">
      <c r="A329" s="77">
        <v>46008</v>
      </c>
      <c r="B329" s="25" t="s">
        <v>528</v>
      </c>
      <c r="C329" s="77">
        <f t="shared" si="69"/>
        <v>46031</v>
      </c>
      <c r="D329" s="77">
        <f t="shared" si="70"/>
        <v>46015</v>
      </c>
      <c r="E329" s="77">
        <f t="shared" si="71"/>
        <v>46022</v>
      </c>
      <c r="F329" s="77">
        <f t="shared" si="72"/>
        <v>46028</v>
      </c>
      <c r="G329" s="77">
        <f t="shared" si="73"/>
        <v>46016</v>
      </c>
      <c r="H329" s="77">
        <f t="shared" si="74"/>
        <v>46023</v>
      </c>
      <c r="I329" s="77">
        <v>46036</v>
      </c>
      <c r="J329" s="78">
        <f t="shared" si="67"/>
        <v>28</v>
      </c>
      <c r="K329" s="84">
        <v>10.06</v>
      </c>
      <c r="L329" s="82">
        <v>4.72</v>
      </c>
      <c r="M329" s="25">
        <f t="shared" si="68"/>
        <v>5.3400000000000007</v>
      </c>
      <c r="N329" s="82" t="s">
        <v>592</v>
      </c>
    </row>
    <row r="330" spans="1:14" x14ac:dyDescent="0.25">
      <c r="A330" s="77">
        <v>46008</v>
      </c>
      <c r="B330" s="25" t="s">
        <v>529</v>
      </c>
      <c r="C330" s="77">
        <f t="shared" si="69"/>
        <v>46031</v>
      </c>
      <c r="D330" s="77">
        <f t="shared" si="70"/>
        <v>46015</v>
      </c>
      <c r="E330" s="77">
        <f t="shared" si="71"/>
        <v>46022</v>
      </c>
      <c r="F330" s="77">
        <f t="shared" si="72"/>
        <v>46028</v>
      </c>
      <c r="G330" s="77">
        <f t="shared" si="73"/>
        <v>46016</v>
      </c>
      <c r="H330" s="77">
        <f t="shared" si="74"/>
        <v>46023</v>
      </c>
      <c r="I330" s="77">
        <v>46036</v>
      </c>
      <c r="J330" s="78">
        <f t="shared" si="67"/>
        <v>28</v>
      </c>
      <c r="K330" s="84">
        <v>11.81</v>
      </c>
      <c r="L330" s="82">
        <v>10.51</v>
      </c>
      <c r="M330" s="25">
        <f t="shared" si="68"/>
        <v>1.3000000000000007</v>
      </c>
      <c r="N330" s="82" t="s">
        <v>593</v>
      </c>
    </row>
    <row r="331" spans="1:14" x14ac:dyDescent="0.25">
      <c r="A331" s="77">
        <v>46008</v>
      </c>
      <c r="B331" s="25" t="s">
        <v>530</v>
      </c>
      <c r="C331" s="77">
        <f t="shared" si="69"/>
        <v>46031</v>
      </c>
      <c r="D331" s="77">
        <f t="shared" si="70"/>
        <v>46015</v>
      </c>
      <c r="E331" s="77">
        <f t="shared" si="71"/>
        <v>46022</v>
      </c>
      <c r="F331" s="77">
        <f t="shared" si="72"/>
        <v>46028</v>
      </c>
      <c r="G331" s="77">
        <f t="shared" si="73"/>
        <v>46016</v>
      </c>
      <c r="H331" s="77">
        <f t="shared" si="74"/>
        <v>46023</v>
      </c>
      <c r="I331" s="77">
        <v>46036</v>
      </c>
      <c r="J331" s="78">
        <f t="shared" si="67"/>
        <v>28</v>
      </c>
      <c r="K331" s="84">
        <v>12.75</v>
      </c>
      <c r="L331" s="82">
        <v>11.27</v>
      </c>
      <c r="M331" s="25">
        <f t="shared" si="68"/>
        <v>1.4800000000000004</v>
      </c>
      <c r="N331" s="82" t="s">
        <v>593</v>
      </c>
    </row>
    <row r="332" spans="1:14" x14ac:dyDescent="0.25">
      <c r="A332" s="77">
        <v>46008</v>
      </c>
      <c r="B332" s="25" t="s">
        <v>531</v>
      </c>
      <c r="C332" s="77">
        <f t="shared" si="69"/>
        <v>46031</v>
      </c>
      <c r="D332" s="77">
        <f t="shared" si="70"/>
        <v>46015</v>
      </c>
      <c r="E332" s="77">
        <f t="shared" si="71"/>
        <v>46022</v>
      </c>
      <c r="F332" s="77">
        <f t="shared" si="72"/>
        <v>46028</v>
      </c>
      <c r="G332" s="77">
        <f t="shared" si="73"/>
        <v>46016</v>
      </c>
      <c r="H332" s="77">
        <f t="shared" si="74"/>
        <v>46023</v>
      </c>
      <c r="I332" s="77">
        <v>46036</v>
      </c>
      <c r="J332" s="78">
        <f t="shared" si="67"/>
        <v>28</v>
      </c>
      <c r="K332" s="84">
        <v>12.11</v>
      </c>
      <c r="L332" s="82">
        <v>10.73</v>
      </c>
      <c r="M332" s="25">
        <f t="shared" si="68"/>
        <v>1.379999999999999</v>
      </c>
      <c r="N332" s="82" t="s">
        <v>593</v>
      </c>
    </row>
    <row r="333" spans="1:14" x14ac:dyDescent="0.25">
      <c r="A333" s="77">
        <v>46008</v>
      </c>
      <c r="B333" s="25" t="s">
        <v>532</v>
      </c>
      <c r="C333" s="77">
        <f t="shared" si="69"/>
        <v>46031</v>
      </c>
      <c r="D333" s="77">
        <f t="shared" si="70"/>
        <v>46015</v>
      </c>
      <c r="E333" s="77">
        <f t="shared" si="71"/>
        <v>46022</v>
      </c>
      <c r="F333" s="77">
        <f t="shared" si="72"/>
        <v>46028</v>
      </c>
      <c r="G333" s="77">
        <f t="shared" si="73"/>
        <v>46016</v>
      </c>
      <c r="H333" s="77">
        <f t="shared" si="74"/>
        <v>46023</v>
      </c>
      <c r="I333" s="77">
        <v>46036</v>
      </c>
      <c r="J333" s="78">
        <f t="shared" si="67"/>
        <v>28</v>
      </c>
      <c r="K333" s="84">
        <v>13.59</v>
      </c>
      <c r="L333" s="82">
        <v>12.54</v>
      </c>
      <c r="M333" s="25">
        <f t="shared" si="68"/>
        <v>1.0500000000000007</v>
      </c>
      <c r="N333" s="82" t="s">
        <v>593</v>
      </c>
    </row>
    <row r="334" spans="1:14" x14ac:dyDescent="0.25">
      <c r="A334" s="77">
        <v>46008</v>
      </c>
      <c r="B334" s="25" t="s">
        <v>533</v>
      </c>
      <c r="C334" s="77">
        <f t="shared" si="69"/>
        <v>46031</v>
      </c>
      <c r="D334" s="77">
        <f t="shared" si="70"/>
        <v>46015</v>
      </c>
      <c r="E334" s="77">
        <f t="shared" si="71"/>
        <v>46022</v>
      </c>
      <c r="F334" s="77">
        <f t="shared" si="72"/>
        <v>46028</v>
      </c>
      <c r="G334" s="77">
        <f t="shared" si="73"/>
        <v>46016</v>
      </c>
      <c r="H334" s="77">
        <f t="shared" si="74"/>
        <v>46023</v>
      </c>
      <c r="I334" s="77">
        <v>46036</v>
      </c>
      <c r="J334" s="78">
        <f t="shared" si="67"/>
        <v>28</v>
      </c>
      <c r="K334" s="84">
        <v>11.42</v>
      </c>
      <c r="L334" s="82">
        <v>10.25</v>
      </c>
      <c r="M334" s="25">
        <f t="shared" si="68"/>
        <v>1.17</v>
      </c>
      <c r="N334" s="82" t="s">
        <v>593</v>
      </c>
    </row>
    <row r="335" spans="1:14" x14ac:dyDescent="0.25">
      <c r="A335" s="77">
        <v>46009</v>
      </c>
      <c r="B335" s="25" t="s">
        <v>359</v>
      </c>
      <c r="C335" s="77">
        <f t="shared" ref="C335:C348" si="75">A335+23</f>
        <v>46032</v>
      </c>
      <c r="D335" s="77">
        <f t="shared" ref="D335:D348" si="76">A335+7</f>
        <v>46016</v>
      </c>
      <c r="E335" s="77">
        <f t="shared" ref="E335:E348" si="77">A335+14</f>
        <v>46023</v>
      </c>
      <c r="F335" s="77">
        <f t="shared" ref="F335:F348" si="78">A335+20</f>
        <v>46029</v>
      </c>
      <c r="G335" s="77">
        <f t="shared" ref="G335:G348" si="79">A335+8</f>
        <v>46017</v>
      </c>
      <c r="H335" s="77">
        <f t="shared" ref="H335:H348" si="80">A335+15</f>
        <v>46024</v>
      </c>
      <c r="I335" s="77">
        <v>46036</v>
      </c>
      <c r="J335" s="78">
        <f t="shared" si="67"/>
        <v>27</v>
      </c>
      <c r="K335" s="84">
        <v>14.66</v>
      </c>
      <c r="L335" s="82">
        <v>13.86</v>
      </c>
      <c r="M335" s="25">
        <f t="shared" si="68"/>
        <v>0.80000000000000071</v>
      </c>
      <c r="N335" s="82" t="s">
        <v>593</v>
      </c>
    </row>
    <row r="336" spans="1:14" x14ac:dyDescent="0.25">
      <c r="A336" s="77">
        <v>46009</v>
      </c>
      <c r="B336" s="25" t="s">
        <v>360</v>
      </c>
      <c r="C336" s="77">
        <f t="shared" si="75"/>
        <v>46032</v>
      </c>
      <c r="D336" s="77">
        <f t="shared" si="76"/>
        <v>46016</v>
      </c>
      <c r="E336" s="77">
        <f t="shared" si="77"/>
        <v>46023</v>
      </c>
      <c r="F336" s="77">
        <f t="shared" si="78"/>
        <v>46029</v>
      </c>
      <c r="G336" s="77">
        <f t="shared" si="79"/>
        <v>46017</v>
      </c>
      <c r="H336" s="77">
        <f t="shared" si="80"/>
        <v>46024</v>
      </c>
      <c r="I336" s="77">
        <v>46037</v>
      </c>
      <c r="J336" s="78">
        <f t="shared" si="67"/>
        <v>28</v>
      </c>
      <c r="K336" s="84">
        <v>15.24</v>
      </c>
      <c r="L336" s="82">
        <v>7.38</v>
      </c>
      <c r="M336" s="25">
        <f t="shared" si="68"/>
        <v>7.86</v>
      </c>
      <c r="N336" s="82" t="s">
        <v>592</v>
      </c>
    </row>
    <row r="337" spans="1:14" x14ac:dyDescent="0.25">
      <c r="A337" s="77">
        <v>46009</v>
      </c>
      <c r="B337" s="25" t="s">
        <v>361</v>
      </c>
      <c r="C337" s="77">
        <f t="shared" si="75"/>
        <v>46032</v>
      </c>
      <c r="D337" s="77">
        <f t="shared" si="76"/>
        <v>46016</v>
      </c>
      <c r="E337" s="77">
        <f t="shared" si="77"/>
        <v>46023</v>
      </c>
      <c r="F337" s="77">
        <f t="shared" si="78"/>
        <v>46029</v>
      </c>
      <c r="G337" s="77">
        <f t="shared" si="79"/>
        <v>46017</v>
      </c>
      <c r="H337" s="77">
        <f t="shared" si="80"/>
        <v>46024</v>
      </c>
      <c r="I337" s="77">
        <v>46037</v>
      </c>
      <c r="J337" s="78">
        <f t="shared" si="67"/>
        <v>28</v>
      </c>
      <c r="K337" s="84">
        <v>16.59</v>
      </c>
      <c r="L337" s="82">
        <v>8.86</v>
      </c>
      <c r="M337" s="25">
        <f t="shared" si="68"/>
        <v>7.73</v>
      </c>
      <c r="N337" s="82" t="s">
        <v>592</v>
      </c>
    </row>
    <row r="338" spans="1:14" x14ac:dyDescent="0.25">
      <c r="A338" s="77">
        <v>46009</v>
      </c>
      <c r="B338" s="25" t="s">
        <v>362</v>
      </c>
      <c r="C338" s="77">
        <f t="shared" si="75"/>
        <v>46032</v>
      </c>
      <c r="D338" s="77">
        <f t="shared" si="76"/>
        <v>46016</v>
      </c>
      <c r="E338" s="77">
        <f t="shared" si="77"/>
        <v>46023</v>
      </c>
      <c r="F338" s="77">
        <f t="shared" si="78"/>
        <v>46029</v>
      </c>
      <c r="G338" s="77">
        <f t="shared" si="79"/>
        <v>46017</v>
      </c>
      <c r="H338" s="77">
        <f t="shared" si="80"/>
        <v>46024</v>
      </c>
      <c r="I338" s="77">
        <v>46037</v>
      </c>
      <c r="J338" s="78">
        <f t="shared" si="67"/>
        <v>28</v>
      </c>
      <c r="K338" s="84">
        <v>15.82</v>
      </c>
      <c r="L338" s="82">
        <v>14.96</v>
      </c>
      <c r="M338" s="25">
        <f t="shared" si="68"/>
        <v>0.85999999999999943</v>
      </c>
      <c r="N338" s="82" t="s">
        <v>593</v>
      </c>
    </row>
    <row r="339" spans="1:14" x14ac:dyDescent="0.25">
      <c r="A339" s="77">
        <v>46009</v>
      </c>
      <c r="B339" s="25" t="s">
        <v>363</v>
      </c>
      <c r="C339" s="77">
        <f t="shared" si="75"/>
        <v>46032</v>
      </c>
      <c r="D339" s="77">
        <f t="shared" si="76"/>
        <v>46016</v>
      </c>
      <c r="E339" s="77">
        <f t="shared" si="77"/>
        <v>46023</v>
      </c>
      <c r="F339" s="77">
        <f t="shared" si="78"/>
        <v>46029</v>
      </c>
      <c r="G339" s="77">
        <f t="shared" si="79"/>
        <v>46017</v>
      </c>
      <c r="H339" s="77">
        <f t="shared" si="80"/>
        <v>46024</v>
      </c>
      <c r="I339" s="77">
        <v>46037</v>
      </c>
      <c r="J339" s="78">
        <f t="shared" si="67"/>
        <v>28</v>
      </c>
      <c r="K339" s="84">
        <v>18.16</v>
      </c>
      <c r="L339" s="82">
        <v>16.579999999999998</v>
      </c>
      <c r="M339" s="25">
        <f t="shared" si="68"/>
        <v>1.5800000000000018</v>
      </c>
      <c r="N339" s="82" t="s">
        <v>593</v>
      </c>
    </row>
    <row r="340" spans="1:14" x14ac:dyDescent="0.25">
      <c r="A340" s="77">
        <v>46009</v>
      </c>
      <c r="B340" s="25" t="s">
        <v>364</v>
      </c>
      <c r="C340" s="77">
        <f t="shared" si="75"/>
        <v>46032</v>
      </c>
      <c r="D340" s="77">
        <f t="shared" si="76"/>
        <v>46016</v>
      </c>
      <c r="E340" s="77">
        <f t="shared" si="77"/>
        <v>46023</v>
      </c>
      <c r="F340" s="77">
        <f t="shared" si="78"/>
        <v>46029</v>
      </c>
      <c r="G340" s="77">
        <f t="shared" si="79"/>
        <v>46017</v>
      </c>
      <c r="H340" s="77">
        <f t="shared" si="80"/>
        <v>46024</v>
      </c>
      <c r="I340" s="77">
        <v>46037</v>
      </c>
      <c r="J340" s="78">
        <f t="shared" si="67"/>
        <v>28</v>
      </c>
      <c r="K340" s="84">
        <v>16.37</v>
      </c>
      <c r="L340" s="82">
        <v>15.49</v>
      </c>
      <c r="M340" s="25">
        <f t="shared" si="68"/>
        <v>0.88000000000000078</v>
      </c>
      <c r="N340" s="82" t="s">
        <v>593</v>
      </c>
    </row>
    <row r="341" spans="1:14" x14ac:dyDescent="0.25">
      <c r="A341" s="77">
        <v>46009</v>
      </c>
      <c r="B341" s="25" t="s">
        <v>365</v>
      </c>
      <c r="C341" s="77">
        <f t="shared" si="75"/>
        <v>46032</v>
      </c>
      <c r="D341" s="77">
        <f t="shared" si="76"/>
        <v>46016</v>
      </c>
      <c r="E341" s="77">
        <f t="shared" si="77"/>
        <v>46023</v>
      </c>
      <c r="F341" s="77">
        <f t="shared" si="78"/>
        <v>46029</v>
      </c>
      <c r="G341" s="77">
        <f t="shared" si="79"/>
        <v>46017</v>
      </c>
      <c r="H341" s="77">
        <f t="shared" si="80"/>
        <v>46024</v>
      </c>
      <c r="I341" s="77">
        <v>46038</v>
      </c>
      <c r="J341" s="78">
        <f t="shared" si="67"/>
        <v>29</v>
      </c>
      <c r="K341" s="84">
        <v>13.71</v>
      </c>
      <c r="L341" s="82">
        <v>6.26</v>
      </c>
      <c r="M341" s="25">
        <f t="shared" si="68"/>
        <v>7.4500000000000011</v>
      </c>
      <c r="N341" s="82" t="s">
        <v>592</v>
      </c>
    </row>
    <row r="342" spans="1:14" x14ac:dyDescent="0.25">
      <c r="A342" s="77">
        <v>46010</v>
      </c>
      <c r="B342" s="25" t="s">
        <v>379</v>
      </c>
      <c r="C342" s="77">
        <f t="shared" si="75"/>
        <v>46033</v>
      </c>
      <c r="D342" s="77">
        <f t="shared" si="76"/>
        <v>46017</v>
      </c>
      <c r="E342" s="77">
        <f t="shared" si="77"/>
        <v>46024</v>
      </c>
      <c r="F342" s="77">
        <f t="shared" si="78"/>
        <v>46030</v>
      </c>
      <c r="G342" s="77">
        <f t="shared" si="79"/>
        <v>46018</v>
      </c>
      <c r="H342" s="77">
        <f t="shared" si="80"/>
        <v>46025</v>
      </c>
      <c r="I342" s="77">
        <v>46038</v>
      </c>
      <c r="J342" s="78">
        <f t="shared" ref="J342:J349" si="81">I342-A342</f>
        <v>28</v>
      </c>
      <c r="K342" s="84">
        <v>13.68</v>
      </c>
      <c r="L342" s="82">
        <v>6.21</v>
      </c>
      <c r="M342" s="25">
        <f t="shared" si="68"/>
        <v>7.47</v>
      </c>
      <c r="N342" s="82" t="s">
        <v>592</v>
      </c>
    </row>
    <row r="343" spans="1:14" x14ac:dyDescent="0.25">
      <c r="A343" s="77">
        <v>46010</v>
      </c>
      <c r="B343" s="25" t="s">
        <v>380</v>
      </c>
      <c r="C343" s="77">
        <f t="shared" si="75"/>
        <v>46033</v>
      </c>
      <c r="D343" s="77">
        <f t="shared" si="76"/>
        <v>46017</v>
      </c>
      <c r="E343" s="77">
        <f t="shared" si="77"/>
        <v>46024</v>
      </c>
      <c r="F343" s="77">
        <f t="shared" si="78"/>
        <v>46030</v>
      </c>
      <c r="G343" s="77">
        <f t="shared" si="79"/>
        <v>46018</v>
      </c>
      <c r="H343" s="77">
        <f t="shared" si="80"/>
        <v>46025</v>
      </c>
      <c r="I343" s="77">
        <v>46038</v>
      </c>
      <c r="J343" s="78">
        <f t="shared" si="81"/>
        <v>28</v>
      </c>
      <c r="K343" s="84">
        <v>15.26</v>
      </c>
      <c r="L343" s="82">
        <v>7.1</v>
      </c>
      <c r="M343" s="25">
        <f t="shared" si="68"/>
        <v>8.16</v>
      </c>
      <c r="N343" s="82" t="s">
        <v>592</v>
      </c>
    </row>
    <row r="344" spans="1:14" x14ac:dyDescent="0.25">
      <c r="A344" s="77">
        <v>46010</v>
      </c>
      <c r="B344" s="25" t="s">
        <v>381</v>
      </c>
      <c r="C344" s="77">
        <f t="shared" si="75"/>
        <v>46033</v>
      </c>
      <c r="D344" s="77">
        <f t="shared" si="76"/>
        <v>46017</v>
      </c>
      <c r="E344" s="77">
        <f t="shared" si="77"/>
        <v>46024</v>
      </c>
      <c r="F344" s="77">
        <f t="shared" si="78"/>
        <v>46030</v>
      </c>
      <c r="G344" s="77">
        <f t="shared" si="79"/>
        <v>46018</v>
      </c>
      <c r="H344" s="77">
        <f t="shared" si="80"/>
        <v>46025</v>
      </c>
      <c r="I344" s="77">
        <v>46038</v>
      </c>
      <c r="J344" s="78">
        <f t="shared" si="81"/>
        <v>28</v>
      </c>
      <c r="K344" s="84">
        <v>15.34</v>
      </c>
      <c r="L344" s="82">
        <v>7.13</v>
      </c>
      <c r="M344" s="25">
        <f t="shared" si="68"/>
        <v>8.2100000000000009</v>
      </c>
      <c r="N344" s="82" t="s">
        <v>592</v>
      </c>
    </row>
    <row r="345" spans="1:14" x14ac:dyDescent="0.25">
      <c r="A345" s="77">
        <v>46010</v>
      </c>
      <c r="B345" s="25" t="s">
        <v>382</v>
      </c>
      <c r="C345" s="77">
        <f t="shared" si="75"/>
        <v>46033</v>
      </c>
      <c r="D345" s="77">
        <f t="shared" si="76"/>
        <v>46017</v>
      </c>
      <c r="E345" s="77">
        <f t="shared" si="77"/>
        <v>46024</v>
      </c>
      <c r="F345" s="77">
        <f t="shared" si="78"/>
        <v>46030</v>
      </c>
      <c r="G345" s="77">
        <f t="shared" si="79"/>
        <v>46018</v>
      </c>
      <c r="H345" s="77">
        <f t="shared" si="80"/>
        <v>46025</v>
      </c>
      <c r="I345" s="77">
        <v>46038</v>
      </c>
      <c r="J345" s="78">
        <f t="shared" si="81"/>
        <v>28</v>
      </c>
      <c r="K345" s="84">
        <v>15.67</v>
      </c>
      <c r="L345" s="82">
        <v>14.32</v>
      </c>
      <c r="M345" s="25">
        <f t="shared" si="68"/>
        <v>1.3499999999999996</v>
      </c>
      <c r="N345" s="82" t="s">
        <v>593</v>
      </c>
    </row>
    <row r="346" spans="1:14" x14ac:dyDescent="0.25">
      <c r="A346" s="77">
        <v>46010</v>
      </c>
      <c r="B346" s="25" t="s">
        <v>383</v>
      </c>
      <c r="C346" s="77">
        <f t="shared" si="75"/>
        <v>46033</v>
      </c>
      <c r="D346" s="77">
        <f t="shared" si="76"/>
        <v>46017</v>
      </c>
      <c r="E346" s="77">
        <f t="shared" si="77"/>
        <v>46024</v>
      </c>
      <c r="F346" s="77">
        <f t="shared" si="78"/>
        <v>46030</v>
      </c>
      <c r="G346" s="77">
        <f t="shared" si="79"/>
        <v>46018</v>
      </c>
      <c r="H346" s="77">
        <f t="shared" si="80"/>
        <v>46025</v>
      </c>
      <c r="I346" s="77">
        <v>46038</v>
      </c>
      <c r="J346" s="78">
        <f t="shared" si="81"/>
        <v>28</v>
      </c>
      <c r="K346" s="84">
        <v>16.12</v>
      </c>
      <c r="L346" s="82">
        <v>14.78</v>
      </c>
      <c r="M346" s="25">
        <f t="shared" si="68"/>
        <v>1.3400000000000016</v>
      </c>
      <c r="N346" s="82" t="s">
        <v>593</v>
      </c>
    </row>
    <row r="347" spans="1:14" x14ac:dyDescent="0.25">
      <c r="A347" s="77">
        <v>46010</v>
      </c>
      <c r="B347" s="25" t="s">
        <v>384</v>
      </c>
      <c r="C347" s="77">
        <f t="shared" si="75"/>
        <v>46033</v>
      </c>
      <c r="D347" s="77">
        <f t="shared" si="76"/>
        <v>46017</v>
      </c>
      <c r="E347" s="77">
        <f t="shared" si="77"/>
        <v>46024</v>
      </c>
      <c r="F347" s="77">
        <f t="shared" si="78"/>
        <v>46030</v>
      </c>
      <c r="G347" s="77">
        <f t="shared" si="79"/>
        <v>46018</v>
      </c>
      <c r="H347" s="77">
        <f t="shared" si="80"/>
        <v>46025</v>
      </c>
      <c r="I347" s="77">
        <v>46038</v>
      </c>
      <c r="J347" s="78">
        <f t="shared" si="81"/>
        <v>28</v>
      </c>
      <c r="K347" s="84">
        <v>16.18</v>
      </c>
      <c r="L347" s="82">
        <v>15.03</v>
      </c>
      <c r="M347" s="25">
        <f t="shared" si="68"/>
        <v>1.1500000000000004</v>
      </c>
      <c r="N347" s="82" t="s">
        <v>593</v>
      </c>
    </row>
    <row r="348" spans="1:14" x14ac:dyDescent="0.25">
      <c r="A348" s="77">
        <v>46010</v>
      </c>
      <c r="B348" s="25" t="s">
        <v>385</v>
      </c>
      <c r="C348" s="77">
        <f t="shared" si="75"/>
        <v>46033</v>
      </c>
      <c r="D348" s="77">
        <f t="shared" si="76"/>
        <v>46017</v>
      </c>
      <c r="E348" s="77">
        <f t="shared" si="77"/>
        <v>46024</v>
      </c>
      <c r="F348" s="77">
        <f t="shared" si="78"/>
        <v>46030</v>
      </c>
      <c r="G348" s="77">
        <f t="shared" si="79"/>
        <v>46018</v>
      </c>
      <c r="H348" s="77">
        <f t="shared" si="80"/>
        <v>46025</v>
      </c>
      <c r="I348" s="77">
        <v>46038</v>
      </c>
      <c r="J348" s="78">
        <f t="shared" si="81"/>
        <v>28</v>
      </c>
      <c r="K348" s="84">
        <v>17.059999999999999</v>
      </c>
      <c r="L348" s="82">
        <v>15.27</v>
      </c>
      <c r="M348" s="25">
        <f t="shared" si="68"/>
        <v>1.7899999999999991</v>
      </c>
      <c r="N348" s="82" t="s">
        <v>593</v>
      </c>
    </row>
    <row r="349" spans="1:14" x14ac:dyDescent="0.25">
      <c r="A349" s="77">
        <v>46011</v>
      </c>
      <c r="B349" s="25" t="s">
        <v>366</v>
      </c>
      <c r="C349" s="77">
        <f t="shared" ref="C349:C362" si="82">A349+23</f>
        <v>46034</v>
      </c>
      <c r="D349" s="77">
        <f t="shared" ref="D349:D362" si="83">A349+7</f>
        <v>46018</v>
      </c>
      <c r="E349" s="77">
        <f t="shared" ref="E349:E362" si="84">A349+14</f>
        <v>46025</v>
      </c>
      <c r="F349" s="77">
        <f t="shared" ref="F349:F362" si="85">A349+20</f>
        <v>46031</v>
      </c>
      <c r="G349" s="77">
        <f t="shared" ref="G349:G362" si="86">A349+8</f>
        <v>46019</v>
      </c>
      <c r="H349" s="77">
        <f t="shared" ref="H349:H362" si="87">A349+15</f>
        <v>46026</v>
      </c>
      <c r="I349" s="77">
        <v>46039</v>
      </c>
      <c r="J349" s="78">
        <f t="shared" si="81"/>
        <v>28</v>
      </c>
      <c r="K349" s="84">
        <v>14.3</v>
      </c>
      <c r="L349" s="82">
        <v>7.58</v>
      </c>
      <c r="M349" s="25">
        <f t="shared" si="68"/>
        <v>6.7200000000000006</v>
      </c>
      <c r="N349" s="82" t="s">
        <v>592</v>
      </c>
    </row>
    <row r="350" spans="1:14" x14ac:dyDescent="0.25">
      <c r="A350" s="77">
        <v>46011</v>
      </c>
      <c r="B350" s="25" t="s">
        <v>367</v>
      </c>
      <c r="C350" s="77">
        <f t="shared" si="82"/>
        <v>46034</v>
      </c>
      <c r="D350" s="77">
        <f t="shared" si="83"/>
        <v>46018</v>
      </c>
      <c r="E350" s="77">
        <f t="shared" si="84"/>
        <v>46025</v>
      </c>
      <c r="F350" s="77">
        <f t="shared" si="85"/>
        <v>46031</v>
      </c>
      <c r="G350" s="77">
        <f t="shared" si="86"/>
        <v>46019</v>
      </c>
      <c r="H350" s="77">
        <f t="shared" si="87"/>
        <v>46026</v>
      </c>
      <c r="I350" s="77">
        <v>46039</v>
      </c>
      <c r="J350" s="78">
        <f t="shared" ref="J350:J354" si="88">I350-A350</f>
        <v>28</v>
      </c>
      <c r="K350" s="84">
        <v>15.28</v>
      </c>
      <c r="L350" s="82">
        <v>8.69</v>
      </c>
      <c r="M350" s="25">
        <f t="shared" si="68"/>
        <v>6.59</v>
      </c>
      <c r="N350" s="82" t="s">
        <v>592</v>
      </c>
    </row>
    <row r="351" spans="1:14" x14ac:dyDescent="0.25">
      <c r="A351" s="77">
        <v>46011</v>
      </c>
      <c r="B351" s="25" t="s">
        <v>368</v>
      </c>
      <c r="C351" s="77">
        <f t="shared" si="82"/>
        <v>46034</v>
      </c>
      <c r="D351" s="77">
        <f t="shared" si="83"/>
        <v>46018</v>
      </c>
      <c r="E351" s="77">
        <f t="shared" si="84"/>
        <v>46025</v>
      </c>
      <c r="F351" s="77">
        <f t="shared" si="85"/>
        <v>46031</v>
      </c>
      <c r="G351" s="77">
        <f t="shared" si="86"/>
        <v>46019</v>
      </c>
      <c r="H351" s="77">
        <f t="shared" si="87"/>
        <v>46026</v>
      </c>
      <c r="I351" s="77">
        <v>46039</v>
      </c>
      <c r="J351" s="78">
        <f t="shared" si="88"/>
        <v>28</v>
      </c>
      <c r="K351" s="84">
        <v>15.45</v>
      </c>
      <c r="L351" s="82">
        <v>8.7100000000000009</v>
      </c>
      <c r="M351" s="25">
        <f t="shared" si="68"/>
        <v>6.7399999999999984</v>
      </c>
      <c r="N351" s="82" t="s">
        <v>592</v>
      </c>
    </row>
    <row r="352" spans="1:14" x14ac:dyDescent="0.25">
      <c r="A352" s="77">
        <v>46011</v>
      </c>
      <c r="B352" s="25" t="s">
        <v>369</v>
      </c>
      <c r="C352" s="77">
        <f t="shared" si="82"/>
        <v>46034</v>
      </c>
      <c r="D352" s="77">
        <f t="shared" si="83"/>
        <v>46018</v>
      </c>
      <c r="E352" s="77">
        <f t="shared" si="84"/>
        <v>46025</v>
      </c>
      <c r="F352" s="77">
        <f t="shared" si="85"/>
        <v>46031</v>
      </c>
      <c r="G352" s="77">
        <f t="shared" si="86"/>
        <v>46019</v>
      </c>
      <c r="H352" s="77">
        <f t="shared" si="87"/>
        <v>46026</v>
      </c>
      <c r="I352" s="77">
        <v>46039</v>
      </c>
      <c r="J352" s="78">
        <f t="shared" si="88"/>
        <v>28</v>
      </c>
      <c r="K352" s="84">
        <v>16.89</v>
      </c>
      <c r="L352" s="82">
        <v>15.32</v>
      </c>
      <c r="M352" s="25">
        <f t="shared" si="68"/>
        <v>1.5700000000000003</v>
      </c>
      <c r="N352" s="82" t="s">
        <v>593</v>
      </c>
    </row>
    <row r="353" spans="1:14" x14ac:dyDescent="0.25">
      <c r="A353" s="77">
        <v>46011</v>
      </c>
      <c r="B353" s="25" t="s">
        <v>370</v>
      </c>
      <c r="C353" s="77">
        <f t="shared" si="82"/>
        <v>46034</v>
      </c>
      <c r="D353" s="77">
        <f t="shared" si="83"/>
        <v>46018</v>
      </c>
      <c r="E353" s="77">
        <f t="shared" si="84"/>
        <v>46025</v>
      </c>
      <c r="F353" s="77">
        <f t="shared" si="85"/>
        <v>46031</v>
      </c>
      <c r="G353" s="77">
        <f t="shared" si="86"/>
        <v>46019</v>
      </c>
      <c r="H353" s="77">
        <f t="shared" si="87"/>
        <v>46026</v>
      </c>
      <c r="I353" s="77">
        <v>46039</v>
      </c>
      <c r="J353" s="78">
        <f t="shared" si="88"/>
        <v>28</v>
      </c>
      <c r="K353" s="84">
        <v>15.63</v>
      </c>
      <c r="L353" s="82">
        <v>14.76</v>
      </c>
      <c r="M353" s="25">
        <f t="shared" si="68"/>
        <v>0.87000000000000099</v>
      </c>
      <c r="N353" s="82" t="s">
        <v>593</v>
      </c>
    </row>
    <row r="354" spans="1:14" x14ac:dyDescent="0.25">
      <c r="A354" s="77">
        <v>46011</v>
      </c>
      <c r="B354" s="25" t="s">
        <v>371</v>
      </c>
      <c r="C354" s="77">
        <f t="shared" si="82"/>
        <v>46034</v>
      </c>
      <c r="D354" s="77">
        <f t="shared" si="83"/>
        <v>46018</v>
      </c>
      <c r="E354" s="77">
        <f t="shared" si="84"/>
        <v>46025</v>
      </c>
      <c r="F354" s="77">
        <f t="shared" si="85"/>
        <v>46031</v>
      </c>
      <c r="G354" s="77">
        <f t="shared" si="86"/>
        <v>46019</v>
      </c>
      <c r="H354" s="77">
        <f t="shared" si="87"/>
        <v>46026</v>
      </c>
      <c r="I354" s="77">
        <v>46039</v>
      </c>
      <c r="J354" s="78">
        <f t="shared" si="88"/>
        <v>28</v>
      </c>
      <c r="K354" s="84">
        <v>16.91</v>
      </c>
      <c r="L354" s="82">
        <v>15.89</v>
      </c>
      <c r="M354" s="25">
        <f t="shared" si="68"/>
        <v>1.0199999999999996</v>
      </c>
      <c r="N354" s="82" t="s">
        <v>593</v>
      </c>
    </row>
    <row r="355" spans="1:14" x14ac:dyDescent="0.25">
      <c r="A355" s="77">
        <v>46011</v>
      </c>
      <c r="B355" s="25" t="s">
        <v>372</v>
      </c>
      <c r="C355" s="77">
        <f t="shared" si="82"/>
        <v>46034</v>
      </c>
      <c r="D355" s="77">
        <f t="shared" si="83"/>
        <v>46018</v>
      </c>
      <c r="E355" s="77">
        <f t="shared" si="84"/>
        <v>46025</v>
      </c>
      <c r="F355" s="77">
        <f t="shared" si="85"/>
        <v>46031</v>
      </c>
      <c r="G355" s="77">
        <f t="shared" si="86"/>
        <v>46019</v>
      </c>
      <c r="H355" s="77">
        <f t="shared" si="87"/>
        <v>46026</v>
      </c>
      <c r="I355" s="77">
        <v>46040</v>
      </c>
      <c r="J355" s="78">
        <f t="shared" ref="J355:J366" si="89">I355-A355</f>
        <v>29</v>
      </c>
      <c r="K355" s="84">
        <v>16.52</v>
      </c>
      <c r="L355" s="82">
        <v>9.2100000000000009</v>
      </c>
      <c r="M355" s="25">
        <f t="shared" si="68"/>
        <v>7.3099999999999987</v>
      </c>
      <c r="N355" s="82" t="s">
        <v>592</v>
      </c>
    </row>
    <row r="356" spans="1:14" x14ac:dyDescent="0.25">
      <c r="A356" s="77">
        <v>46012</v>
      </c>
      <c r="B356" s="25" t="s">
        <v>386</v>
      </c>
      <c r="C356" s="77">
        <f t="shared" si="82"/>
        <v>46035</v>
      </c>
      <c r="D356" s="77">
        <f t="shared" si="83"/>
        <v>46019</v>
      </c>
      <c r="E356" s="77">
        <f t="shared" si="84"/>
        <v>46026</v>
      </c>
      <c r="F356" s="77">
        <f t="shared" si="85"/>
        <v>46032</v>
      </c>
      <c r="G356" s="77">
        <f t="shared" si="86"/>
        <v>46020</v>
      </c>
      <c r="H356" s="77">
        <f t="shared" si="87"/>
        <v>46027</v>
      </c>
      <c r="I356" s="77">
        <v>46040</v>
      </c>
      <c r="J356" s="78">
        <f t="shared" si="89"/>
        <v>28</v>
      </c>
      <c r="K356" s="84">
        <v>17.34</v>
      </c>
      <c r="L356" s="82">
        <v>10.32</v>
      </c>
      <c r="M356" s="25">
        <f t="shared" si="68"/>
        <v>7.02</v>
      </c>
      <c r="N356" s="82" t="s">
        <v>592</v>
      </c>
    </row>
    <row r="357" spans="1:14" x14ac:dyDescent="0.25">
      <c r="A357" s="77">
        <v>46012</v>
      </c>
      <c r="B357" s="25" t="s">
        <v>387</v>
      </c>
      <c r="C357" s="77">
        <f t="shared" si="82"/>
        <v>46035</v>
      </c>
      <c r="D357" s="77">
        <f t="shared" si="83"/>
        <v>46019</v>
      </c>
      <c r="E357" s="77">
        <f t="shared" si="84"/>
        <v>46026</v>
      </c>
      <c r="F357" s="77">
        <f t="shared" si="85"/>
        <v>46032</v>
      </c>
      <c r="G357" s="77">
        <f t="shared" si="86"/>
        <v>46020</v>
      </c>
      <c r="H357" s="77">
        <f t="shared" si="87"/>
        <v>46027</v>
      </c>
      <c r="I357" s="77">
        <v>46040</v>
      </c>
      <c r="J357" s="78">
        <f t="shared" si="89"/>
        <v>28</v>
      </c>
      <c r="K357" s="84">
        <v>17.850000000000001</v>
      </c>
      <c r="L357" s="82">
        <v>11.7</v>
      </c>
      <c r="M357" s="25">
        <f t="shared" si="68"/>
        <v>6.1500000000000021</v>
      </c>
      <c r="N357" s="82" t="s">
        <v>592</v>
      </c>
    </row>
    <row r="358" spans="1:14" x14ac:dyDescent="0.25">
      <c r="A358" s="77">
        <v>46012</v>
      </c>
      <c r="B358" s="25" t="s">
        <v>388</v>
      </c>
      <c r="C358" s="77">
        <f t="shared" si="82"/>
        <v>46035</v>
      </c>
      <c r="D358" s="77">
        <f t="shared" si="83"/>
        <v>46019</v>
      </c>
      <c r="E358" s="77">
        <f t="shared" si="84"/>
        <v>46026</v>
      </c>
      <c r="F358" s="77">
        <f t="shared" si="85"/>
        <v>46032</v>
      </c>
      <c r="G358" s="77">
        <f t="shared" si="86"/>
        <v>46020</v>
      </c>
      <c r="H358" s="77">
        <f t="shared" si="87"/>
        <v>46027</v>
      </c>
      <c r="I358" s="77">
        <v>46040</v>
      </c>
      <c r="J358" s="78">
        <f t="shared" si="89"/>
        <v>28</v>
      </c>
      <c r="K358" s="84">
        <v>18.190000000000001</v>
      </c>
      <c r="L358" s="82">
        <v>10.18</v>
      </c>
      <c r="M358" s="25">
        <f t="shared" si="68"/>
        <v>8.0100000000000016</v>
      </c>
      <c r="N358" s="82" t="s">
        <v>592</v>
      </c>
    </row>
    <row r="359" spans="1:14" x14ac:dyDescent="0.25">
      <c r="A359" s="77">
        <v>46012</v>
      </c>
      <c r="B359" s="25" t="s">
        <v>389</v>
      </c>
      <c r="C359" s="77">
        <f t="shared" si="82"/>
        <v>46035</v>
      </c>
      <c r="D359" s="77">
        <f t="shared" si="83"/>
        <v>46019</v>
      </c>
      <c r="E359" s="77">
        <f t="shared" si="84"/>
        <v>46026</v>
      </c>
      <c r="F359" s="77">
        <f t="shared" si="85"/>
        <v>46032</v>
      </c>
      <c r="G359" s="77">
        <f t="shared" si="86"/>
        <v>46020</v>
      </c>
      <c r="H359" s="77">
        <f t="shared" si="87"/>
        <v>46027</v>
      </c>
      <c r="I359" s="77">
        <v>46040</v>
      </c>
      <c r="J359" s="78">
        <f t="shared" si="89"/>
        <v>28</v>
      </c>
      <c r="K359" s="84">
        <v>18.03</v>
      </c>
      <c r="L359" s="82">
        <v>9.99</v>
      </c>
      <c r="M359" s="25">
        <f t="shared" si="68"/>
        <v>8.0400000000000009</v>
      </c>
      <c r="N359" s="82" t="s">
        <v>592</v>
      </c>
    </row>
    <row r="360" spans="1:14" x14ac:dyDescent="0.25">
      <c r="A360" s="77">
        <v>46012</v>
      </c>
      <c r="B360" s="25" t="s">
        <v>390</v>
      </c>
      <c r="C360" s="77">
        <f t="shared" si="82"/>
        <v>46035</v>
      </c>
      <c r="D360" s="77">
        <f t="shared" si="83"/>
        <v>46019</v>
      </c>
      <c r="E360" s="77">
        <f t="shared" si="84"/>
        <v>46026</v>
      </c>
      <c r="F360" s="77">
        <f t="shared" si="85"/>
        <v>46032</v>
      </c>
      <c r="G360" s="77">
        <f t="shared" si="86"/>
        <v>46020</v>
      </c>
      <c r="H360" s="77">
        <f t="shared" si="87"/>
        <v>46027</v>
      </c>
      <c r="I360" s="77">
        <v>46040</v>
      </c>
      <c r="J360" s="78">
        <f t="shared" si="89"/>
        <v>28</v>
      </c>
      <c r="K360" s="84">
        <v>17.16</v>
      </c>
      <c r="L360" s="82">
        <v>9.89</v>
      </c>
      <c r="M360" s="25">
        <f t="shared" si="68"/>
        <v>7.27</v>
      </c>
      <c r="N360" s="82" t="s">
        <v>592</v>
      </c>
    </row>
    <row r="361" spans="1:14" x14ac:dyDescent="0.25">
      <c r="A361" s="77">
        <v>46012</v>
      </c>
      <c r="B361" s="25" t="s">
        <v>391</v>
      </c>
      <c r="C361" s="77">
        <f t="shared" si="82"/>
        <v>46035</v>
      </c>
      <c r="D361" s="77">
        <f t="shared" si="83"/>
        <v>46019</v>
      </c>
      <c r="E361" s="77">
        <f t="shared" si="84"/>
        <v>46026</v>
      </c>
      <c r="F361" s="77">
        <f t="shared" si="85"/>
        <v>46032</v>
      </c>
      <c r="G361" s="77">
        <f t="shared" si="86"/>
        <v>46020</v>
      </c>
      <c r="H361" s="77">
        <f t="shared" si="87"/>
        <v>46027</v>
      </c>
      <c r="I361" s="77">
        <v>46040</v>
      </c>
      <c r="J361" s="78">
        <f t="shared" si="89"/>
        <v>28</v>
      </c>
      <c r="K361" s="84">
        <v>19.82</v>
      </c>
      <c r="L361" s="82">
        <v>18.54</v>
      </c>
      <c r="M361" s="25">
        <f t="shared" si="68"/>
        <v>1.2800000000000011</v>
      </c>
      <c r="N361" s="82" t="s">
        <v>593</v>
      </c>
    </row>
    <row r="362" spans="1:14" x14ac:dyDescent="0.25">
      <c r="A362" s="77">
        <v>46012</v>
      </c>
      <c r="B362" s="25" t="s">
        <v>392</v>
      </c>
      <c r="C362" s="77">
        <f t="shared" si="82"/>
        <v>46035</v>
      </c>
      <c r="D362" s="77">
        <f t="shared" si="83"/>
        <v>46019</v>
      </c>
      <c r="E362" s="77">
        <f t="shared" si="84"/>
        <v>46026</v>
      </c>
      <c r="F362" s="77">
        <f t="shared" si="85"/>
        <v>46032</v>
      </c>
      <c r="G362" s="77">
        <f t="shared" si="86"/>
        <v>46020</v>
      </c>
      <c r="H362" s="77">
        <f t="shared" si="87"/>
        <v>46027</v>
      </c>
      <c r="I362" s="77">
        <v>46040</v>
      </c>
      <c r="J362" s="78">
        <f t="shared" si="89"/>
        <v>28</v>
      </c>
      <c r="K362" s="84">
        <v>18.91</v>
      </c>
      <c r="L362" s="82">
        <v>17.32</v>
      </c>
      <c r="M362" s="25">
        <f t="shared" si="68"/>
        <v>1.5899999999999999</v>
      </c>
      <c r="N362" s="82" t="s">
        <v>593</v>
      </c>
    </row>
    <row r="363" spans="1:14" x14ac:dyDescent="0.25">
      <c r="A363" s="77">
        <v>46013</v>
      </c>
      <c r="B363" s="25" t="s">
        <v>393</v>
      </c>
      <c r="C363" s="77">
        <f t="shared" ref="C363:C367" si="90">A363+23</f>
        <v>46036</v>
      </c>
      <c r="D363" s="77">
        <f t="shared" ref="D363:D367" si="91">A363+7</f>
        <v>46020</v>
      </c>
      <c r="E363" s="77">
        <f t="shared" ref="E363:E367" si="92">A363+14</f>
        <v>46027</v>
      </c>
      <c r="F363" s="77">
        <f t="shared" ref="F363:F367" si="93">A363+20</f>
        <v>46033</v>
      </c>
      <c r="G363" s="77">
        <f t="shared" ref="G363:G367" si="94">A363+8</f>
        <v>46021</v>
      </c>
      <c r="H363" s="77">
        <f t="shared" ref="H363:H367" si="95">A363+15</f>
        <v>46028</v>
      </c>
      <c r="I363" s="77">
        <v>46040</v>
      </c>
      <c r="J363" s="78">
        <f t="shared" si="89"/>
        <v>27</v>
      </c>
      <c r="K363" s="84">
        <v>18.670000000000002</v>
      </c>
      <c r="L363" s="82">
        <v>17.18</v>
      </c>
      <c r="M363" s="25">
        <f t="shared" si="68"/>
        <v>1.490000000000002</v>
      </c>
      <c r="N363" s="82" t="s">
        <v>593</v>
      </c>
    </row>
    <row r="364" spans="1:14" x14ac:dyDescent="0.25">
      <c r="A364" s="77">
        <v>46013</v>
      </c>
      <c r="B364" s="25" t="s">
        <v>394</v>
      </c>
      <c r="C364" s="77">
        <f t="shared" si="90"/>
        <v>46036</v>
      </c>
      <c r="D364" s="77">
        <f t="shared" si="91"/>
        <v>46020</v>
      </c>
      <c r="E364" s="77">
        <f t="shared" si="92"/>
        <v>46027</v>
      </c>
      <c r="F364" s="77">
        <f t="shared" si="93"/>
        <v>46033</v>
      </c>
      <c r="G364" s="77">
        <f t="shared" si="94"/>
        <v>46021</v>
      </c>
      <c r="H364" s="77">
        <f t="shared" si="95"/>
        <v>46028</v>
      </c>
      <c r="I364" s="77">
        <v>46040</v>
      </c>
      <c r="J364" s="78">
        <f t="shared" si="89"/>
        <v>27</v>
      </c>
      <c r="K364" s="84">
        <v>19.78</v>
      </c>
      <c r="L364" s="82">
        <v>18.100000000000001</v>
      </c>
      <c r="M364" s="25">
        <f t="shared" si="68"/>
        <v>1.6799999999999997</v>
      </c>
      <c r="N364" s="82" t="s">
        <v>593</v>
      </c>
    </row>
    <row r="365" spans="1:14" x14ac:dyDescent="0.25">
      <c r="A365" s="77">
        <v>46013</v>
      </c>
      <c r="B365" s="25" t="s">
        <v>373</v>
      </c>
      <c r="C365" s="77">
        <f t="shared" si="90"/>
        <v>46036</v>
      </c>
      <c r="D365" s="77">
        <f t="shared" si="91"/>
        <v>46020</v>
      </c>
      <c r="E365" s="77">
        <f t="shared" si="92"/>
        <v>46027</v>
      </c>
      <c r="F365" s="77">
        <f t="shared" si="93"/>
        <v>46033</v>
      </c>
      <c r="G365" s="77">
        <f t="shared" si="94"/>
        <v>46021</v>
      </c>
      <c r="H365" s="77">
        <f t="shared" si="95"/>
        <v>46028</v>
      </c>
      <c r="I365" s="77">
        <v>46042</v>
      </c>
      <c r="J365" s="78">
        <f t="shared" si="89"/>
        <v>29</v>
      </c>
      <c r="K365" s="84">
        <v>16.73</v>
      </c>
      <c r="L365" s="82">
        <v>8.5399999999999991</v>
      </c>
      <c r="M365" s="25">
        <f t="shared" si="68"/>
        <v>8.1900000000000013</v>
      </c>
      <c r="N365" s="25" t="s">
        <v>592</v>
      </c>
    </row>
    <row r="366" spans="1:14" x14ac:dyDescent="0.25">
      <c r="A366" s="77">
        <v>46013</v>
      </c>
      <c r="B366" s="25" t="s">
        <v>374</v>
      </c>
      <c r="C366" s="77">
        <f t="shared" si="90"/>
        <v>46036</v>
      </c>
      <c r="D366" s="77">
        <f t="shared" si="91"/>
        <v>46020</v>
      </c>
      <c r="E366" s="77">
        <f t="shared" si="92"/>
        <v>46027</v>
      </c>
      <c r="F366" s="77">
        <f t="shared" si="93"/>
        <v>46033</v>
      </c>
      <c r="G366" s="77">
        <f t="shared" si="94"/>
        <v>46021</v>
      </c>
      <c r="H366" s="77">
        <f t="shared" si="95"/>
        <v>46028</v>
      </c>
      <c r="I366" s="77">
        <v>46042</v>
      </c>
      <c r="J366" s="78">
        <f t="shared" si="89"/>
        <v>29</v>
      </c>
      <c r="K366" s="84">
        <v>17.059999999999999</v>
      </c>
      <c r="L366" s="82">
        <v>8.9700000000000006</v>
      </c>
      <c r="M366" s="25">
        <f t="shared" si="68"/>
        <v>8.0899999999999981</v>
      </c>
      <c r="N366" s="25" t="s">
        <v>592</v>
      </c>
    </row>
    <row r="367" spans="1:14" x14ac:dyDescent="0.25">
      <c r="A367" s="77">
        <v>46013</v>
      </c>
      <c r="B367" s="25" t="s">
        <v>375</v>
      </c>
      <c r="C367" s="77">
        <f t="shared" si="90"/>
        <v>46036</v>
      </c>
      <c r="D367" s="77">
        <f t="shared" si="91"/>
        <v>46020</v>
      </c>
      <c r="E367" s="77">
        <f t="shared" si="92"/>
        <v>46027</v>
      </c>
      <c r="F367" s="77">
        <f t="shared" si="93"/>
        <v>46033</v>
      </c>
      <c r="G367" s="77">
        <f t="shared" si="94"/>
        <v>46021</v>
      </c>
      <c r="H367" s="77">
        <f t="shared" si="95"/>
        <v>46028</v>
      </c>
      <c r="I367" s="77">
        <v>46041</v>
      </c>
      <c r="J367" s="78">
        <f t="shared" ref="J367:J370" si="96">I367-A367</f>
        <v>28</v>
      </c>
      <c r="K367" s="84">
        <v>18.54</v>
      </c>
      <c r="L367" s="82">
        <v>17.21</v>
      </c>
      <c r="M367" s="25">
        <f t="shared" ref="M367:M369" si="97">K367-L367</f>
        <v>1.3299999999999983</v>
      </c>
      <c r="N367" s="82" t="s">
        <v>593</v>
      </c>
    </row>
    <row r="368" spans="1:14" x14ac:dyDescent="0.25">
      <c r="A368" s="77">
        <v>46013</v>
      </c>
      <c r="B368" s="25" t="s">
        <v>376</v>
      </c>
      <c r="C368" s="77">
        <f>A368+23</f>
        <v>46036</v>
      </c>
      <c r="D368" s="77">
        <f>A368+7</f>
        <v>46020</v>
      </c>
      <c r="E368" s="77">
        <f>A368+14</f>
        <v>46027</v>
      </c>
      <c r="F368" s="77">
        <f>A368+20</f>
        <v>46033</v>
      </c>
      <c r="G368" s="77">
        <f>A368+8</f>
        <v>46021</v>
      </c>
      <c r="H368" s="77">
        <f>A368+15</f>
        <v>46028</v>
      </c>
      <c r="I368" s="77">
        <v>46041</v>
      </c>
      <c r="J368" s="78">
        <f t="shared" si="96"/>
        <v>28</v>
      </c>
      <c r="K368" s="84">
        <v>19.78</v>
      </c>
      <c r="L368" s="82">
        <v>18.829999999999998</v>
      </c>
      <c r="M368" s="25">
        <f t="shared" si="97"/>
        <v>0.95000000000000284</v>
      </c>
      <c r="N368" s="82" t="s">
        <v>593</v>
      </c>
    </row>
    <row r="369" spans="1:14" x14ac:dyDescent="0.25">
      <c r="A369" s="77">
        <v>46013</v>
      </c>
      <c r="B369" s="25" t="s">
        <v>377</v>
      </c>
      <c r="C369" s="77">
        <f>A369+23</f>
        <v>46036</v>
      </c>
      <c r="D369" s="77">
        <f>A369+7</f>
        <v>46020</v>
      </c>
      <c r="E369" s="77">
        <f>A369+14</f>
        <v>46027</v>
      </c>
      <c r="F369" s="77">
        <f>A369+20</f>
        <v>46033</v>
      </c>
      <c r="G369" s="77">
        <f>A369+8</f>
        <v>46021</v>
      </c>
      <c r="H369" s="77">
        <f>A369+15</f>
        <v>46028</v>
      </c>
      <c r="I369" s="77">
        <v>46041</v>
      </c>
      <c r="J369" s="78">
        <f t="shared" si="96"/>
        <v>28</v>
      </c>
      <c r="K369" s="84">
        <v>18.059999999999999</v>
      </c>
      <c r="L369" s="82">
        <v>16.98</v>
      </c>
      <c r="M369" s="25">
        <f t="shared" si="97"/>
        <v>1.0799999999999983</v>
      </c>
      <c r="N369" s="82" t="s">
        <v>593</v>
      </c>
    </row>
    <row r="370" spans="1:14" x14ac:dyDescent="0.25">
      <c r="A370" s="77">
        <v>46014</v>
      </c>
      <c r="B370" s="25" t="s">
        <v>395</v>
      </c>
      <c r="C370" s="77">
        <f t="shared" ref="C370" si="98">A370+23</f>
        <v>46037</v>
      </c>
      <c r="D370" s="77">
        <f t="shared" ref="D370" si="99">A370+7</f>
        <v>46021</v>
      </c>
      <c r="E370" s="77">
        <f t="shared" ref="E370" si="100">A370+14</f>
        <v>46028</v>
      </c>
      <c r="F370" s="77">
        <f t="shared" ref="F370" si="101">A370+20</f>
        <v>46034</v>
      </c>
      <c r="G370" s="77">
        <f t="shared" ref="G370" si="102">A370+8</f>
        <v>46022</v>
      </c>
      <c r="H370" s="77">
        <f t="shared" ref="H370" si="103">A370+15</f>
        <v>46029</v>
      </c>
      <c r="I370" s="77">
        <v>46042</v>
      </c>
      <c r="J370" s="78">
        <f t="shared" si="96"/>
        <v>28</v>
      </c>
      <c r="K370" s="107">
        <v>16.25</v>
      </c>
      <c r="L370" s="108">
        <v>7.81</v>
      </c>
      <c r="M370" s="25">
        <f t="shared" ref="M370" si="104">K370-L370</f>
        <v>8.4400000000000013</v>
      </c>
      <c r="N370" s="82" t="s">
        <v>592</v>
      </c>
    </row>
    <row r="371" spans="1:14" x14ac:dyDescent="0.25">
      <c r="A371" s="77">
        <v>46014</v>
      </c>
      <c r="B371" s="25" t="s">
        <v>396</v>
      </c>
      <c r="C371" s="77">
        <f t="shared" ref="C371:C372" si="105">A371+23</f>
        <v>46037</v>
      </c>
      <c r="D371" s="77">
        <f t="shared" ref="D371:D372" si="106">A371+7</f>
        <v>46021</v>
      </c>
      <c r="E371" s="77">
        <f t="shared" ref="E371:E372" si="107">A371+14</f>
        <v>46028</v>
      </c>
      <c r="F371" s="77">
        <f t="shared" ref="F371:F372" si="108">A371+20</f>
        <v>46034</v>
      </c>
      <c r="G371" s="77">
        <f t="shared" ref="G371:G372" si="109">A371+8</f>
        <v>46022</v>
      </c>
      <c r="H371" s="77">
        <f t="shared" ref="H371:H372" si="110">A371+15</f>
        <v>46029</v>
      </c>
      <c r="I371" s="77"/>
      <c r="J371" s="78"/>
      <c r="K371" s="25"/>
      <c r="L371" s="25"/>
      <c r="M371" s="25"/>
      <c r="N371" s="25"/>
    </row>
    <row r="372" spans="1:14" x14ac:dyDescent="0.25">
      <c r="A372" s="77">
        <v>46014</v>
      </c>
      <c r="B372" s="25" t="s">
        <v>397</v>
      </c>
      <c r="C372" s="77">
        <f t="shared" si="105"/>
        <v>46037</v>
      </c>
      <c r="D372" s="77">
        <f t="shared" si="106"/>
        <v>46021</v>
      </c>
      <c r="E372" s="77">
        <f t="shared" si="107"/>
        <v>46028</v>
      </c>
      <c r="F372" s="77">
        <f t="shared" si="108"/>
        <v>46034</v>
      </c>
      <c r="G372" s="77">
        <f t="shared" si="109"/>
        <v>46022</v>
      </c>
      <c r="H372" s="77">
        <f t="shared" si="110"/>
        <v>46029</v>
      </c>
      <c r="I372" s="77"/>
      <c r="J372" s="78"/>
      <c r="K372" s="25"/>
      <c r="L372" s="25"/>
      <c r="M372" s="25"/>
      <c r="N372" s="25"/>
    </row>
    <row r="373" spans="1:14" x14ac:dyDescent="0.25">
      <c r="A373" s="77">
        <v>46014</v>
      </c>
      <c r="B373" s="25" t="s">
        <v>404</v>
      </c>
      <c r="C373" s="77">
        <f t="shared" ref="C373" si="111">A373+23</f>
        <v>46037</v>
      </c>
      <c r="D373" s="77">
        <f t="shared" ref="D373" si="112">A373+7</f>
        <v>46021</v>
      </c>
      <c r="E373" s="77">
        <f t="shared" ref="E373" si="113">A373+14</f>
        <v>46028</v>
      </c>
      <c r="F373" s="77">
        <f t="shared" ref="F373" si="114">A373+20</f>
        <v>46034</v>
      </c>
      <c r="G373" s="77">
        <f t="shared" ref="G373" si="115">A373+8</f>
        <v>46022</v>
      </c>
      <c r="H373" s="77">
        <f t="shared" ref="H373" si="116">A373+15</f>
        <v>46029</v>
      </c>
      <c r="I373" s="77"/>
      <c r="J373" s="78"/>
      <c r="K373" s="25"/>
      <c r="L373" s="25"/>
      <c r="M373" s="25"/>
      <c r="N373" s="25"/>
    </row>
    <row r="374" spans="1:14" x14ac:dyDescent="0.25">
      <c r="A374" s="77">
        <v>46014</v>
      </c>
      <c r="B374" s="25" t="s">
        <v>405</v>
      </c>
      <c r="C374" s="77">
        <f t="shared" ref="C374:C380" si="117">A374+23</f>
        <v>46037</v>
      </c>
      <c r="D374" s="77">
        <f t="shared" ref="D374:D380" si="118">A374+7</f>
        <v>46021</v>
      </c>
      <c r="E374" s="77">
        <f t="shared" ref="E374:E380" si="119">A374+14</f>
        <v>46028</v>
      </c>
      <c r="F374" s="77">
        <f t="shared" ref="F374:F380" si="120">A374+20</f>
        <v>46034</v>
      </c>
      <c r="G374" s="77">
        <f t="shared" ref="G374:G380" si="121">A374+8</f>
        <v>46022</v>
      </c>
      <c r="H374" s="77">
        <f t="shared" ref="H374:H380" si="122">A374+15</f>
        <v>46029</v>
      </c>
      <c r="I374" s="77"/>
      <c r="J374" s="78"/>
      <c r="K374" s="25"/>
      <c r="L374" s="25"/>
      <c r="M374" s="25"/>
      <c r="N374" s="25"/>
    </row>
    <row r="375" spans="1:14" x14ac:dyDescent="0.25">
      <c r="A375" s="77">
        <v>46014</v>
      </c>
      <c r="B375" s="25" t="s">
        <v>406</v>
      </c>
      <c r="C375" s="77">
        <f t="shared" si="117"/>
        <v>46037</v>
      </c>
      <c r="D375" s="77">
        <f t="shared" si="118"/>
        <v>46021</v>
      </c>
      <c r="E375" s="77">
        <f t="shared" si="119"/>
        <v>46028</v>
      </c>
      <c r="F375" s="77">
        <f t="shared" si="120"/>
        <v>46034</v>
      </c>
      <c r="G375" s="77">
        <f t="shared" si="121"/>
        <v>46022</v>
      </c>
      <c r="H375" s="77">
        <f t="shared" si="122"/>
        <v>46029</v>
      </c>
      <c r="I375" s="77"/>
      <c r="J375" s="78"/>
      <c r="K375" s="25"/>
      <c r="L375" s="25"/>
      <c r="M375" s="25"/>
      <c r="N375" s="25"/>
    </row>
    <row r="376" spans="1:14" x14ac:dyDescent="0.25">
      <c r="A376" s="77">
        <v>46014</v>
      </c>
      <c r="B376" s="25" t="s">
        <v>407</v>
      </c>
      <c r="C376" s="77">
        <f t="shared" si="117"/>
        <v>46037</v>
      </c>
      <c r="D376" s="77">
        <f t="shared" si="118"/>
        <v>46021</v>
      </c>
      <c r="E376" s="77">
        <f t="shared" si="119"/>
        <v>46028</v>
      </c>
      <c r="F376" s="77">
        <f t="shared" si="120"/>
        <v>46034</v>
      </c>
      <c r="G376" s="77">
        <f t="shared" si="121"/>
        <v>46022</v>
      </c>
      <c r="H376" s="77">
        <f t="shared" si="122"/>
        <v>46029</v>
      </c>
      <c r="I376" s="77"/>
      <c r="J376" s="78"/>
      <c r="K376" s="25"/>
      <c r="L376" s="25"/>
      <c r="M376" s="25"/>
      <c r="N376" s="25"/>
    </row>
    <row r="377" spans="1:14" x14ac:dyDescent="0.25">
      <c r="A377" s="77">
        <v>46014</v>
      </c>
      <c r="B377" s="25" t="s">
        <v>408</v>
      </c>
      <c r="C377" s="77">
        <f t="shared" si="117"/>
        <v>46037</v>
      </c>
      <c r="D377" s="77">
        <f t="shared" si="118"/>
        <v>46021</v>
      </c>
      <c r="E377" s="77">
        <f t="shared" si="119"/>
        <v>46028</v>
      </c>
      <c r="F377" s="77">
        <f t="shared" si="120"/>
        <v>46034</v>
      </c>
      <c r="G377" s="77">
        <f t="shared" si="121"/>
        <v>46022</v>
      </c>
      <c r="H377" s="77">
        <f t="shared" si="122"/>
        <v>46029</v>
      </c>
      <c r="I377" s="77"/>
      <c r="J377" s="78"/>
      <c r="K377" s="25"/>
      <c r="L377" s="25"/>
      <c r="M377" s="25"/>
      <c r="N377" s="25"/>
    </row>
    <row r="378" spans="1:14" x14ac:dyDescent="0.25">
      <c r="A378" s="77">
        <v>46014</v>
      </c>
      <c r="B378" s="25" t="s">
        <v>409</v>
      </c>
      <c r="C378" s="77">
        <f t="shared" si="117"/>
        <v>46037</v>
      </c>
      <c r="D378" s="77">
        <f t="shared" si="118"/>
        <v>46021</v>
      </c>
      <c r="E378" s="77">
        <f t="shared" si="119"/>
        <v>46028</v>
      </c>
      <c r="F378" s="77">
        <f t="shared" si="120"/>
        <v>46034</v>
      </c>
      <c r="G378" s="77">
        <f t="shared" si="121"/>
        <v>46022</v>
      </c>
      <c r="H378" s="77">
        <f t="shared" si="122"/>
        <v>46029</v>
      </c>
      <c r="I378" s="77"/>
      <c r="J378" s="78"/>
      <c r="K378" s="25"/>
      <c r="L378" s="25"/>
      <c r="M378" s="25"/>
      <c r="N378" s="25"/>
    </row>
    <row r="379" spans="1:14" x14ac:dyDescent="0.25">
      <c r="A379" s="77">
        <v>46014</v>
      </c>
      <c r="B379" s="25" t="s">
        <v>410</v>
      </c>
      <c r="C379" s="77">
        <f t="shared" si="117"/>
        <v>46037</v>
      </c>
      <c r="D379" s="77">
        <f t="shared" si="118"/>
        <v>46021</v>
      </c>
      <c r="E379" s="77">
        <f t="shared" si="119"/>
        <v>46028</v>
      </c>
      <c r="F379" s="77">
        <f t="shared" si="120"/>
        <v>46034</v>
      </c>
      <c r="G379" s="77">
        <f t="shared" si="121"/>
        <v>46022</v>
      </c>
      <c r="H379" s="77">
        <f t="shared" si="122"/>
        <v>46029</v>
      </c>
      <c r="I379" s="77"/>
      <c r="J379" s="78"/>
      <c r="K379" s="25"/>
      <c r="L379" s="25"/>
      <c r="M379" s="25"/>
      <c r="N379" s="25"/>
    </row>
    <row r="380" spans="1:14" x14ac:dyDescent="0.25">
      <c r="A380" s="77">
        <v>46014</v>
      </c>
      <c r="B380" s="25" t="s">
        <v>411</v>
      </c>
      <c r="C380" s="77">
        <f t="shared" si="117"/>
        <v>46037</v>
      </c>
      <c r="D380" s="77">
        <f t="shared" si="118"/>
        <v>46021</v>
      </c>
      <c r="E380" s="77">
        <f t="shared" si="119"/>
        <v>46028</v>
      </c>
      <c r="F380" s="77">
        <f t="shared" si="120"/>
        <v>46034</v>
      </c>
      <c r="G380" s="77">
        <f t="shared" si="121"/>
        <v>46022</v>
      </c>
      <c r="H380" s="77">
        <f t="shared" si="122"/>
        <v>46029</v>
      </c>
      <c r="I380" s="77"/>
      <c r="J380" s="78"/>
      <c r="K380" s="25"/>
      <c r="L380" s="25"/>
      <c r="M380" s="25"/>
      <c r="N380" s="25"/>
    </row>
    <row r="381" spans="1:14" x14ac:dyDescent="0.25">
      <c r="A381" s="77">
        <v>46015</v>
      </c>
      <c r="B381" s="25" t="s">
        <v>435</v>
      </c>
      <c r="C381" s="77">
        <f t="shared" ref="C381:C394" si="123">A381+23</f>
        <v>46038</v>
      </c>
      <c r="D381" s="77">
        <f t="shared" ref="D381:D394" si="124">A381+7</f>
        <v>46022</v>
      </c>
      <c r="E381" s="77">
        <f t="shared" ref="E381:E394" si="125">A381+14</f>
        <v>46029</v>
      </c>
      <c r="F381" s="77">
        <f t="shared" ref="F381:F387" si="126">A381+20</f>
        <v>46035</v>
      </c>
      <c r="G381" s="77">
        <f t="shared" ref="G381:G387" si="127">A381+8</f>
        <v>46023</v>
      </c>
      <c r="H381" s="77">
        <f t="shared" ref="H381:H387" si="128">A381+15</f>
        <v>46030</v>
      </c>
      <c r="I381" s="77"/>
      <c r="J381" s="78"/>
      <c r="K381" s="25"/>
      <c r="L381" s="25"/>
      <c r="M381" s="25"/>
      <c r="N381" s="25"/>
    </row>
    <row r="382" spans="1:14" x14ac:dyDescent="0.25">
      <c r="A382" s="77">
        <v>46015</v>
      </c>
      <c r="B382" s="25" t="s">
        <v>436</v>
      </c>
      <c r="C382" s="77">
        <f t="shared" si="123"/>
        <v>46038</v>
      </c>
      <c r="D382" s="77">
        <f t="shared" si="124"/>
        <v>46022</v>
      </c>
      <c r="E382" s="77">
        <f t="shared" si="125"/>
        <v>46029</v>
      </c>
      <c r="F382" s="77">
        <f t="shared" si="126"/>
        <v>46035</v>
      </c>
      <c r="G382" s="77">
        <f t="shared" si="127"/>
        <v>46023</v>
      </c>
      <c r="H382" s="77">
        <f t="shared" si="128"/>
        <v>46030</v>
      </c>
      <c r="I382" s="77"/>
      <c r="J382" s="78"/>
      <c r="K382" s="25"/>
      <c r="L382" s="25"/>
      <c r="M382" s="25"/>
      <c r="N382" s="25"/>
    </row>
    <row r="383" spans="1:14" x14ac:dyDescent="0.25">
      <c r="A383" s="77">
        <v>46015</v>
      </c>
      <c r="B383" s="25" t="s">
        <v>437</v>
      </c>
      <c r="C383" s="77">
        <f t="shared" si="123"/>
        <v>46038</v>
      </c>
      <c r="D383" s="77">
        <f t="shared" si="124"/>
        <v>46022</v>
      </c>
      <c r="E383" s="77">
        <f t="shared" si="125"/>
        <v>46029</v>
      </c>
      <c r="F383" s="77">
        <f t="shared" si="126"/>
        <v>46035</v>
      </c>
      <c r="G383" s="77">
        <f t="shared" si="127"/>
        <v>46023</v>
      </c>
      <c r="H383" s="77">
        <f t="shared" si="128"/>
        <v>46030</v>
      </c>
      <c r="I383" s="77"/>
      <c r="J383" s="78"/>
      <c r="K383" s="25"/>
      <c r="L383" s="25"/>
      <c r="M383" s="25"/>
      <c r="N383" s="25"/>
    </row>
    <row r="384" spans="1:14" x14ac:dyDescent="0.25">
      <c r="A384" s="77">
        <v>46015</v>
      </c>
      <c r="B384" s="25" t="s">
        <v>438</v>
      </c>
      <c r="C384" s="77">
        <f t="shared" si="123"/>
        <v>46038</v>
      </c>
      <c r="D384" s="77">
        <f t="shared" si="124"/>
        <v>46022</v>
      </c>
      <c r="E384" s="77">
        <f t="shared" si="125"/>
        <v>46029</v>
      </c>
      <c r="F384" s="77">
        <f t="shared" si="126"/>
        <v>46035</v>
      </c>
      <c r="G384" s="77">
        <f t="shared" si="127"/>
        <v>46023</v>
      </c>
      <c r="H384" s="77">
        <f t="shared" si="128"/>
        <v>46030</v>
      </c>
      <c r="I384" s="77"/>
      <c r="J384" s="78"/>
      <c r="K384" s="25"/>
      <c r="L384" s="25"/>
      <c r="M384" s="25"/>
      <c r="N384" s="25"/>
    </row>
    <row r="385" spans="1:14" x14ac:dyDescent="0.25">
      <c r="A385" s="77">
        <v>46015</v>
      </c>
      <c r="B385" s="25" t="s">
        <v>439</v>
      </c>
      <c r="C385" s="77">
        <f t="shared" si="123"/>
        <v>46038</v>
      </c>
      <c r="D385" s="77">
        <f t="shared" si="124"/>
        <v>46022</v>
      </c>
      <c r="E385" s="77">
        <f t="shared" si="125"/>
        <v>46029</v>
      </c>
      <c r="F385" s="77">
        <f t="shared" si="126"/>
        <v>46035</v>
      </c>
      <c r="G385" s="77">
        <f t="shared" si="127"/>
        <v>46023</v>
      </c>
      <c r="H385" s="77">
        <f t="shared" si="128"/>
        <v>46030</v>
      </c>
      <c r="I385" s="77"/>
      <c r="J385" s="78"/>
      <c r="K385" s="25"/>
      <c r="L385" s="25"/>
      <c r="M385" s="25"/>
      <c r="N385" s="25"/>
    </row>
    <row r="386" spans="1:14" x14ac:dyDescent="0.25">
      <c r="A386" s="77">
        <v>46015</v>
      </c>
      <c r="B386" s="25" t="s">
        <v>440</v>
      </c>
      <c r="C386" s="77">
        <f t="shared" si="123"/>
        <v>46038</v>
      </c>
      <c r="D386" s="77">
        <f t="shared" si="124"/>
        <v>46022</v>
      </c>
      <c r="E386" s="77">
        <f t="shared" si="125"/>
        <v>46029</v>
      </c>
      <c r="F386" s="77">
        <f t="shared" si="126"/>
        <v>46035</v>
      </c>
      <c r="G386" s="77">
        <f t="shared" si="127"/>
        <v>46023</v>
      </c>
      <c r="H386" s="77">
        <f t="shared" si="128"/>
        <v>46030</v>
      </c>
      <c r="I386" s="77"/>
      <c r="J386" s="78"/>
      <c r="K386" s="25"/>
      <c r="L386" s="25"/>
      <c r="M386" s="25"/>
      <c r="N386" s="25"/>
    </row>
    <row r="387" spans="1:14" x14ac:dyDescent="0.25">
      <c r="A387" s="77">
        <v>46015</v>
      </c>
      <c r="B387" s="25" t="s">
        <v>441</v>
      </c>
      <c r="C387" s="77">
        <f t="shared" si="123"/>
        <v>46038</v>
      </c>
      <c r="D387" s="77">
        <f t="shared" si="124"/>
        <v>46022</v>
      </c>
      <c r="E387" s="77">
        <f t="shared" si="125"/>
        <v>46029</v>
      </c>
      <c r="F387" s="77">
        <f t="shared" si="126"/>
        <v>46035</v>
      </c>
      <c r="G387" s="77">
        <f t="shared" si="127"/>
        <v>46023</v>
      </c>
      <c r="H387" s="77">
        <f t="shared" si="128"/>
        <v>46030</v>
      </c>
      <c r="I387" s="77"/>
      <c r="J387" s="78"/>
      <c r="K387" s="25"/>
      <c r="L387" s="25"/>
      <c r="M387" s="25"/>
      <c r="N387" s="25"/>
    </row>
    <row r="388" spans="1:14" x14ac:dyDescent="0.25">
      <c r="A388" s="77">
        <v>46016</v>
      </c>
      <c r="B388" s="25" t="s">
        <v>428</v>
      </c>
      <c r="C388" s="77">
        <f t="shared" si="123"/>
        <v>46039</v>
      </c>
      <c r="D388" s="77">
        <f t="shared" si="124"/>
        <v>46023</v>
      </c>
      <c r="E388" s="77">
        <f t="shared" si="125"/>
        <v>46030</v>
      </c>
      <c r="F388" s="77">
        <f t="shared" ref="F388:F394" si="129">A388+20</f>
        <v>46036</v>
      </c>
      <c r="G388" s="77">
        <f t="shared" ref="G388:G394" si="130">A388+8</f>
        <v>46024</v>
      </c>
      <c r="H388" s="77">
        <f t="shared" ref="H388:H394" si="131">A388+15</f>
        <v>46031</v>
      </c>
      <c r="I388" s="77"/>
      <c r="J388" s="78"/>
      <c r="K388" s="25"/>
      <c r="L388" s="25"/>
      <c r="M388" s="25"/>
      <c r="N388" s="25"/>
    </row>
    <row r="389" spans="1:14" x14ac:dyDescent="0.25">
      <c r="A389" s="77">
        <v>46016</v>
      </c>
      <c r="B389" s="25" t="s">
        <v>429</v>
      </c>
      <c r="C389" s="77">
        <f t="shared" si="123"/>
        <v>46039</v>
      </c>
      <c r="D389" s="77">
        <f t="shared" si="124"/>
        <v>46023</v>
      </c>
      <c r="E389" s="77">
        <f t="shared" si="125"/>
        <v>46030</v>
      </c>
      <c r="F389" s="77">
        <f t="shared" si="129"/>
        <v>46036</v>
      </c>
      <c r="G389" s="77">
        <f t="shared" si="130"/>
        <v>46024</v>
      </c>
      <c r="H389" s="77">
        <f t="shared" si="131"/>
        <v>46031</v>
      </c>
      <c r="I389" s="77"/>
      <c r="J389" s="78"/>
      <c r="K389" s="25"/>
      <c r="L389" s="25"/>
      <c r="M389" s="25"/>
      <c r="N389" s="25"/>
    </row>
    <row r="390" spans="1:14" x14ac:dyDescent="0.25">
      <c r="A390" s="77">
        <v>46016</v>
      </c>
      <c r="B390" s="25" t="s">
        <v>430</v>
      </c>
      <c r="C390" s="77">
        <f t="shared" si="123"/>
        <v>46039</v>
      </c>
      <c r="D390" s="77">
        <f t="shared" si="124"/>
        <v>46023</v>
      </c>
      <c r="E390" s="77">
        <f t="shared" si="125"/>
        <v>46030</v>
      </c>
      <c r="F390" s="77">
        <f t="shared" si="129"/>
        <v>46036</v>
      </c>
      <c r="G390" s="77">
        <f t="shared" si="130"/>
        <v>46024</v>
      </c>
      <c r="H390" s="77">
        <f t="shared" si="131"/>
        <v>46031</v>
      </c>
      <c r="I390" s="77"/>
      <c r="J390" s="78"/>
      <c r="K390" s="25"/>
      <c r="L390" s="25"/>
      <c r="M390" s="25"/>
      <c r="N390" s="25"/>
    </row>
    <row r="391" spans="1:14" x14ac:dyDescent="0.25">
      <c r="A391" s="77">
        <v>46016</v>
      </c>
      <c r="B391" s="25" t="s">
        <v>431</v>
      </c>
      <c r="C391" s="77">
        <f t="shared" si="123"/>
        <v>46039</v>
      </c>
      <c r="D391" s="77">
        <f t="shared" si="124"/>
        <v>46023</v>
      </c>
      <c r="E391" s="77">
        <f t="shared" si="125"/>
        <v>46030</v>
      </c>
      <c r="F391" s="77">
        <f t="shared" si="129"/>
        <v>46036</v>
      </c>
      <c r="G391" s="77">
        <f t="shared" si="130"/>
        <v>46024</v>
      </c>
      <c r="H391" s="77">
        <f t="shared" si="131"/>
        <v>46031</v>
      </c>
      <c r="I391" s="77"/>
      <c r="J391" s="78"/>
      <c r="K391" s="25"/>
      <c r="L391" s="25"/>
      <c r="M391" s="25"/>
      <c r="N391" s="25"/>
    </row>
    <row r="392" spans="1:14" x14ac:dyDescent="0.25">
      <c r="A392" s="77">
        <v>46016</v>
      </c>
      <c r="B392" s="25" t="s">
        <v>432</v>
      </c>
      <c r="C392" s="77">
        <f t="shared" si="123"/>
        <v>46039</v>
      </c>
      <c r="D392" s="77">
        <f t="shared" si="124"/>
        <v>46023</v>
      </c>
      <c r="E392" s="77">
        <f t="shared" si="125"/>
        <v>46030</v>
      </c>
      <c r="F392" s="77">
        <f t="shared" si="129"/>
        <v>46036</v>
      </c>
      <c r="G392" s="77">
        <f t="shared" si="130"/>
        <v>46024</v>
      </c>
      <c r="H392" s="77">
        <f t="shared" si="131"/>
        <v>46031</v>
      </c>
      <c r="I392" s="77"/>
      <c r="J392" s="78"/>
      <c r="K392" s="25"/>
      <c r="L392" s="25"/>
      <c r="M392" s="25"/>
      <c r="N392" s="25"/>
    </row>
    <row r="393" spans="1:14" x14ac:dyDescent="0.25">
      <c r="A393" s="77">
        <v>46016</v>
      </c>
      <c r="B393" s="25" t="s">
        <v>433</v>
      </c>
      <c r="C393" s="77">
        <f t="shared" si="123"/>
        <v>46039</v>
      </c>
      <c r="D393" s="77">
        <f t="shared" si="124"/>
        <v>46023</v>
      </c>
      <c r="E393" s="77">
        <f t="shared" si="125"/>
        <v>46030</v>
      </c>
      <c r="F393" s="77">
        <f t="shared" si="129"/>
        <v>46036</v>
      </c>
      <c r="G393" s="77">
        <f t="shared" si="130"/>
        <v>46024</v>
      </c>
      <c r="H393" s="77">
        <f t="shared" si="131"/>
        <v>46031</v>
      </c>
      <c r="I393" s="77"/>
      <c r="J393" s="78"/>
      <c r="K393" s="25"/>
      <c r="L393" s="25"/>
      <c r="M393" s="25"/>
      <c r="N393" s="25"/>
    </row>
    <row r="394" spans="1:14" x14ac:dyDescent="0.25">
      <c r="A394" s="77">
        <v>46016</v>
      </c>
      <c r="B394" s="25" t="s">
        <v>434</v>
      </c>
      <c r="C394" s="77">
        <f t="shared" si="123"/>
        <v>46039</v>
      </c>
      <c r="D394" s="77">
        <f t="shared" si="124"/>
        <v>46023</v>
      </c>
      <c r="E394" s="77">
        <f t="shared" si="125"/>
        <v>46030</v>
      </c>
      <c r="F394" s="77">
        <f t="shared" si="129"/>
        <v>46036</v>
      </c>
      <c r="G394" s="77">
        <f t="shared" si="130"/>
        <v>46024</v>
      </c>
      <c r="H394" s="77">
        <f t="shared" si="131"/>
        <v>46031</v>
      </c>
      <c r="I394" s="77"/>
      <c r="J394" s="78"/>
      <c r="K394" s="25"/>
      <c r="L394" s="25"/>
      <c r="M394" s="25"/>
      <c r="N394" s="25"/>
    </row>
    <row r="395" spans="1:14" x14ac:dyDescent="0.25">
      <c r="A395" s="77">
        <v>46017</v>
      </c>
      <c r="B395" s="25" t="s">
        <v>559</v>
      </c>
      <c r="C395" s="77">
        <f t="shared" ref="C395:C401" si="132">A395+23</f>
        <v>46040</v>
      </c>
      <c r="D395" s="77">
        <f t="shared" ref="D395:D401" si="133">A395+7</f>
        <v>46024</v>
      </c>
      <c r="E395" s="77">
        <f t="shared" ref="E395:E401" si="134">A395+14</f>
        <v>46031</v>
      </c>
      <c r="F395" s="77">
        <f t="shared" ref="F395:F401" si="135">A395+20</f>
        <v>46037</v>
      </c>
      <c r="G395" s="77">
        <f t="shared" ref="G395:G401" si="136">A395+8</f>
        <v>46025</v>
      </c>
      <c r="H395" s="77">
        <f t="shared" ref="H395:H401" si="137">A395+15</f>
        <v>46032</v>
      </c>
      <c r="I395" s="77"/>
      <c r="J395" s="78"/>
      <c r="K395" s="25"/>
      <c r="L395" s="25"/>
      <c r="M395" s="25"/>
      <c r="N395" s="25"/>
    </row>
    <row r="396" spans="1:14" x14ac:dyDescent="0.25">
      <c r="A396" s="77">
        <v>46017</v>
      </c>
      <c r="B396" s="25" t="s">
        <v>560</v>
      </c>
      <c r="C396" s="77">
        <f t="shared" si="132"/>
        <v>46040</v>
      </c>
      <c r="D396" s="77">
        <f t="shared" si="133"/>
        <v>46024</v>
      </c>
      <c r="E396" s="77">
        <f t="shared" si="134"/>
        <v>46031</v>
      </c>
      <c r="F396" s="77">
        <f t="shared" si="135"/>
        <v>46037</v>
      </c>
      <c r="G396" s="77">
        <f t="shared" si="136"/>
        <v>46025</v>
      </c>
      <c r="H396" s="77">
        <f t="shared" si="137"/>
        <v>46032</v>
      </c>
      <c r="I396" s="77"/>
      <c r="J396" s="78"/>
      <c r="K396" s="25"/>
      <c r="L396" s="25"/>
      <c r="M396" s="25"/>
      <c r="N396" s="25"/>
    </row>
    <row r="397" spans="1:14" x14ac:dyDescent="0.25">
      <c r="A397" s="77">
        <v>46017</v>
      </c>
      <c r="B397" s="25" t="s">
        <v>561</v>
      </c>
      <c r="C397" s="77">
        <f t="shared" si="132"/>
        <v>46040</v>
      </c>
      <c r="D397" s="77">
        <f t="shared" si="133"/>
        <v>46024</v>
      </c>
      <c r="E397" s="77">
        <f t="shared" si="134"/>
        <v>46031</v>
      </c>
      <c r="F397" s="77">
        <f t="shared" si="135"/>
        <v>46037</v>
      </c>
      <c r="G397" s="77">
        <f t="shared" si="136"/>
        <v>46025</v>
      </c>
      <c r="H397" s="77">
        <f t="shared" si="137"/>
        <v>46032</v>
      </c>
      <c r="I397" s="77"/>
      <c r="J397" s="78"/>
      <c r="K397" s="25"/>
      <c r="L397" s="25"/>
      <c r="M397" s="25"/>
      <c r="N397" s="25"/>
    </row>
    <row r="398" spans="1:14" x14ac:dyDescent="0.25">
      <c r="A398" s="77">
        <v>46017</v>
      </c>
      <c r="B398" s="25" t="s">
        <v>562</v>
      </c>
      <c r="C398" s="77">
        <f t="shared" si="132"/>
        <v>46040</v>
      </c>
      <c r="D398" s="77">
        <f t="shared" si="133"/>
        <v>46024</v>
      </c>
      <c r="E398" s="77">
        <f t="shared" si="134"/>
        <v>46031</v>
      </c>
      <c r="F398" s="77">
        <f t="shared" si="135"/>
        <v>46037</v>
      </c>
      <c r="G398" s="77">
        <f t="shared" si="136"/>
        <v>46025</v>
      </c>
      <c r="H398" s="77">
        <f t="shared" si="137"/>
        <v>46032</v>
      </c>
      <c r="I398" s="77"/>
      <c r="J398" s="78"/>
      <c r="K398" s="25"/>
      <c r="L398" s="25"/>
      <c r="M398" s="25"/>
      <c r="N398" s="25"/>
    </row>
    <row r="399" spans="1:14" x14ac:dyDescent="0.25">
      <c r="A399" s="77">
        <v>46017</v>
      </c>
      <c r="B399" s="25" t="s">
        <v>563</v>
      </c>
      <c r="C399" s="77">
        <f t="shared" si="132"/>
        <v>46040</v>
      </c>
      <c r="D399" s="77">
        <f t="shared" si="133"/>
        <v>46024</v>
      </c>
      <c r="E399" s="77">
        <f t="shared" si="134"/>
        <v>46031</v>
      </c>
      <c r="F399" s="77">
        <f t="shared" si="135"/>
        <v>46037</v>
      </c>
      <c r="G399" s="77">
        <f t="shared" si="136"/>
        <v>46025</v>
      </c>
      <c r="H399" s="77">
        <f t="shared" si="137"/>
        <v>46032</v>
      </c>
      <c r="I399" s="77"/>
      <c r="J399" s="78"/>
      <c r="K399" s="25"/>
      <c r="L399" s="25"/>
      <c r="M399" s="25"/>
      <c r="N399" s="25"/>
    </row>
    <row r="400" spans="1:14" x14ac:dyDescent="0.25">
      <c r="A400" s="77">
        <v>46017</v>
      </c>
      <c r="B400" s="25" t="s">
        <v>564</v>
      </c>
      <c r="C400" s="77">
        <f t="shared" si="132"/>
        <v>46040</v>
      </c>
      <c r="D400" s="77">
        <f t="shared" si="133"/>
        <v>46024</v>
      </c>
      <c r="E400" s="77">
        <f t="shared" si="134"/>
        <v>46031</v>
      </c>
      <c r="F400" s="77">
        <f t="shared" si="135"/>
        <v>46037</v>
      </c>
      <c r="G400" s="77">
        <f t="shared" si="136"/>
        <v>46025</v>
      </c>
      <c r="H400" s="77">
        <f t="shared" si="137"/>
        <v>46032</v>
      </c>
      <c r="I400" s="77"/>
      <c r="J400" s="78"/>
      <c r="K400" s="25"/>
      <c r="L400" s="25"/>
      <c r="M400" s="25"/>
      <c r="N400" s="25"/>
    </row>
    <row r="401" spans="1:14" x14ac:dyDescent="0.25">
      <c r="A401" s="77">
        <v>46017</v>
      </c>
      <c r="B401" s="25" t="s">
        <v>565</v>
      </c>
      <c r="C401" s="77">
        <f t="shared" si="132"/>
        <v>46040</v>
      </c>
      <c r="D401" s="77">
        <f t="shared" si="133"/>
        <v>46024</v>
      </c>
      <c r="E401" s="77">
        <f t="shared" si="134"/>
        <v>46031</v>
      </c>
      <c r="F401" s="77">
        <f t="shared" si="135"/>
        <v>46037</v>
      </c>
      <c r="G401" s="77">
        <f t="shared" si="136"/>
        <v>46025</v>
      </c>
      <c r="H401" s="77">
        <f t="shared" si="137"/>
        <v>46032</v>
      </c>
      <c r="I401" s="77"/>
      <c r="J401" s="78"/>
      <c r="K401" s="25"/>
      <c r="L401" s="25"/>
      <c r="M401" s="25"/>
      <c r="N401" s="25"/>
    </row>
    <row r="402" spans="1:14" x14ac:dyDescent="0.25">
      <c r="A402" s="77">
        <v>46018</v>
      </c>
      <c r="B402" s="25" t="s">
        <v>566</v>
      </c>
      <c r="C402" s="77">
        <f t="shared" ref="C402:C408" si="138">A402+23</f>
        <v>46041</v>
      </c>
      <c r="D402" s="77">
        <f t="shared" ref="D402:D408" si="139">A402+7</f>
        <v>46025</v>
      </c>
      <c r="E402" s="77">
        <f t="shared" ref="E402:E408" si="140">A402+14</f>
        <v>46032</v>
      </c>
      <c r="F402" s="77">
        <f t="shared" ref="F402:F408" si="141">A402+20</f>
        <v>46038</v>
      </c>
      <c r="G402" s="77">
        <f t="shared" ref="G402:G408" si="142">A402+8</f>
        <v>46026</v>
      </c>
      <c r="H402" s="77">
        <f t="shared" ref="H402:H408" si="143">A402+15</f>
        <v>46033</v>
      </c>
      <c r="I402" s="77"/>
      <c r="J402" s="78"/>
      <c r="K402" s="25"/>
      <c r="L402" s="25"/>
      <c r="M402" s="25"/>
      <c r="N402" s="25"/>
    </row>
    <row r="403" spans="1:14" x14ac:dyDescent="0.25">
      <c r="A403" s="77">
        <v>46018</v>
      </c>
      <c r="B403" s="25" t="s">
        <v>567</v>
      </c>
      <c r="C403" s="77">
        <f t="shared" si="138"/>
        <v>46041</v>
      </c>
      <c r="D403" s="77">
        <f t="shared" si="139"/>
        <v>46025</v>
      </c>
      <c r="E403" s="77">
        <f t="shared" si="140"/>
        <v>46032</v>
      </c>
      <c r="F403" s="77">
        <f t="shared" si="141"/>
        <v>46038</v>
      </c>
      <c r="G403" s="77">
        <f t="shared" si="142"/>
        <v>46026</v>
      </c>
      <c r="H403" s="77">
        <f t="shared" si="143"/>
        <v>46033</v>
      </c>
      <c r="I403" s="77"/>
      <c r="J403" s="78"/>
      <c r="K403" s="25"/>
      <c r="L403" s="25"/>
      <c r="M403" s="25"/>
      <c r="N403" s="25"/>
    </row>
    <row r="404" spans="1:14" x14ac:dyDescent="0.25">
      <c r="A404" s="77">
        <v>46018</v>
      </c>
      <c r="B404" s="25" t="s">
        <v>568</v>
      </c>
      <c r="C404" s="77">
        <f t="shared" si="138"/>
        <v>46041</v>
      </c>
      <c r="D404" s="77">
        <f t="shared" si="139"/>
        <v>46025</v>
      </c>
      <c r="E404" s="77">
        <f t="shared" si="140"/>
        <v>46032</v>
      </c>
      <c r="F404" s="77">
        <f t="shared" si="141"/>
        <v>46038</v>
      </c>
      <c r="G404" s="77">
        <f t="shared" si="142"/>
        <v>46026</v>
      </c>
      <c r="H404" s="77">
        <f t="shared" si="143"/>
        <v>46033</v>
      </c>
      <c r="I404" s="77"/>
      <c r="J404" s="78"/>
      <c r="K404" s="25"/>
      <c r="L404" s="25"/>
      <c r="M404" s="25"/>
      <c r="N404" s="25"/>
    </row>
    <row r="405" spans="1:14" x14ac:dyDescent="0.25">
      <c r="A405" s="77">
        <v>46018</v>
      </c>
      <c r="B405" s="25" t="s">
        <v>569</v>
      </c>
      <c r="C405" s="77">
        <f t="shared" si="138"/>
        <v>46041</v>
      </c>
      <c r="D405" s="77">
        <f t="shared" si="139"/>
        <v>46025</v>
      </c>
      <c r="E405" s="77">
        <f t="shared" si="140"/>
        <v>46032</v>
      </c>
      <c r="F405" s="77">
        <f t="shared" si="141"/>
        <v>46038</v>
      </c>
      <c r="G405" s="77">
        <f t="shared" si="142"/>
        <v>46026</v>
      </c>
      <c r="H405" s="77">
        <f t="shared" si="143"/>
        <v>46033</v>
      </c>
      <c r="I405" s="77"/>
      <c r="J405" s="78"/>
      <c r="K405" s="25"/>
      <c r="L405" s="25"/>
      <c r="M405" s="25"/>
      <c r="N405" s="25"/>
    </row>
    <row r="406" spans="1:14" x14ac:dyDescent="0.25">
      <c r="A406" s="77">
        <v>46018</v>
      </c>
      <c r="B406" s="25" t="s">
        <v>570</v>
      </c>
      <c r="C406" s="77">
        <f t="shared" si="138"/>
        <v>46041</v>
      </c>
      <c r="D406" s="77">
        <f t="shared" si="139"/>
        <v>46025</v>
      </c>
      <c r="E406" s="77">
        <f t="shared" si="140"/>
        <v>46032</v>
      </c>
      <c r="F406" s="77">
        <f t="shared" si="141"/>
        <v>46038</v>
      </c>
      <c r="G406" s="77">
        <f t="shared" si="142"/>
        <v>46026</v>
      </c>
      <c r="H406" s="77">
        <f t="shared" si="143"/>
        <v>46033</v>
      </c>
      <c r="I406" s="77"/>
      <c r="J406" s="78"/>
      <c r="K406" s="25"/>
      <c r="L406" s="25"/>
      <c r="M406" s="25"/>
      <c r="N406" s="25"/>
    </row>
    <row r="407" spans="1:14" x14ac:dyDescent="0.25">
      <c r="A407" s="77">
        <v>46018</v>
      </c>
      <c r="B407" s="25" t="s">
        <v>571</v>
      </c>
      <c r="C407" s="77">
        <f t="shared" si="138"/>
        <v>46041</v>
      </c>
      <c r="D407" s="77">
        <f t="shared" si="139"/>
        <v>46025</v>
      </c>
      <c r="E407" s="77">
        <f t="shared" si="140"/>
        <v>46032</v>
      </c>
      <c r="F407" s="77">
        <f t="shared" si="141"/>
        <v>46038</v>
      </c>
      <c r="G407" s="77">
        <f t="shared" si="142"/>
        <v>46026</v>
      </c>
      <c r="H407" s="77">
        <f t="shared" si="143"/>
        <v>46033</v>
      </c>
      <c r="I407" s="77"/>
      <c r="J407" s="78"/>
      <c r="K407" s="25"/>
      <c r="L407" s="25"/>
      <c r="M407" s="25"/>
      <c r="N407" s="25"/>
    </row>
    <row r="408" spans="1:14" x14ac:dyDescent="0.25">
      <c r="A408" s="77">
        <v>46018</v>
      </c>
      <c r="B408" s="25" t="s">
        <v>572</v>
      </c>
      <c r="C408" s="77">
        <f t="shared" si="138"/>
        <v>46041</v>
      </c>
      <c r="D408" s="77">
        <f t="shared" si="139"/>
        <v>46025</v>
      </c>
      <c r="E408" s="77">
        <f t="shared" si="140"/>
        <v>46032</v>
      </c>
      <c r="F408" s="77">
        <f t="shared" si="141"/>
        <v>46038</v>
      </c>
      <c r="G408" s="77">
        <f t="shared" si="142"/>
        <v>46026</v>
      </c>
      <c r="H408" s="77">
        <f t="shared" si="143"/>
        <v>46033</v>
      </c>
      <c r="I408" s="77"/>
      <c r="J408" s="78"/>
      <c r="K408" s="25"/>
      <c r="L408" s="25"/>
      <c r="M408" s="25"/>
      <c r="N408" s="25"/>
    </row>
    <row r="409" spans="1:14" x14ac:dyDescent="0.25">
      <c r="A409" s="77">
        <v>46019</v>
      </c>
      <c r="B409" s="25" t="s">
        <v>573</v>
      </c>
      <c r="C409" s="77">
        <f t="shared" ref="C409:C415" si="144">A409+23</f>
        <v>46042</v>
      </c>
      <c r="D409" s="77">
        <f t="shared" ref="D409:D415" si="145">A409+7</f>
        <v>46026</v>
      </c>
      <c r="E409" s="77">
        <f t="shared" ref="E409:E415" si="146">A409+14</f>
        <v>46033</v>
      </c>
      <c r="F409" s="77">
        <f t="shared" ref="F409:F415" si="147">A409+20</f>
        <v>46039</v>
      </c>
      <c r="G409" s="77">
        <f t="shared" ref="G409:G415" si="148">A409+8</f>
        <v>46027</v>
      </c>
      <c r="H409" s="77">
        <f t="shared" ref="H409:H415" si="149">A409+15</f>
        <v>46034</v>
      </c>
      <c r="I409" s="77"/>
      <c r="J409" s="78"/>
      <c r="K409" s="25"/>
      <c r="L409" s="25"/>
      <c r="M409" s="25"/>
      <c r="N409" s="25"/>
    </row>
    <row r="410" spans="1:14" x14ac:dyDescent="0.25">
      <c r="A410" s="77">
        <v>46019</v>
      </c>
      <c r="B410" s="25" t="s">
        <v>574</v>
      </c>
      <c r="C410" s="77">
        <f t="shared" si="144"/>
        <v>46042</v>
      </c>
      <c r="D410" s="77">
        <f t="shared" si="145"/>
        <v>46026</v>
      </c>
      <c r="E410" s="77">
        <f t="shared" si="146"/>
        <v>46033</v>
      </c>
      <c r="F410" s="77">
        <f t="shared" si="147"/>
        <v>46039</v>
      </c>
      <c r="G410" s="77">
        <f t="shared" si="148"/>
        <v>46027</v>
      </c>
      <c r="H410" s="77">
        <f t="shared" si="149"/>
        <v>46034</v>
      </c>
      <c r="I410" s="77"/>
      <c r="J410" s="78"/>
      <c r="K410" s="25"/>
      <c r="L410" s="25"/>
      <c r="M410" s="25"/>
      <c r="N410" s="25"/>
    </row>
    <row r="411" spans="1:14" x14ac:dyDescent="0.25">
      <c r="A411" s="77">
        <v>46019</v>
      </c>
      <c r="B411" s="25" t="s">
        <v>575</v>
      </c>
      <c r="C411" s="77">
        <f t="shared" si="144"/>
        <v>46042</v>
      </c>
      <c r="D411" s="77">
        <f t="shared" si="145"/>
        <v>46026</v>
      </c>
      <c r="E411" s="77">
        <f t="shared" si="146"/>
        <v>46033</v>
      </c>
      <c r="F411" s="77">
        <f t="shared" si="147"/>
        <v>46039</v>
      </c>
      <c r="G411" s="77">
        <f t="shared" si="148"/>
        <v>46027</v>
      </c>
      <c r="H411" s="77">
        <f t="shared" si="149"/>
        <v>46034</v>
      </c>
      <c r="I411" s="77"/>
      <c r="J411" s="78"/>
      <c r="K411" s="25"/>
      <c r="L411" s="25"/>
      <c r="M411" s="25"/>
      <c r="N411" s="25"/>
    </row>
    <row r="412" spans="1:14" x14ac:dyDescent="0.25">
      <c r="A412" s="77">
        <v>46019</v>
      </c>
      <c r="B412" s="25" t="s">
        <v>576</v>
      </c>
      <c r="C412" s="77">
        <f t="shared" si="144"/>
        <v>46042</v>
      </c>
      <c r="D412" s="77">
        <f t="shared" si="145"/>
        <v>46026</v>
      </c>
      <c r="E412" s="77">
        <f t="shared" si="146"/>
        <v>46033</v>
      </c>
      <c r="F412" s="77">
        <f t="shared" si="147"/>
        <v>46039</v>
      </c>
      <c r="G412" s="77">
        <f t="shared" si="148"/>
        <v>46027</v>
      </c>
      <c r="H412" s="77">
        <f t="shared" si="149"/>
        <v>46034</v>
      </c>
      <c r="I412" s="77"/>
      <c r="J412" s="78"/>
      <c r="K412" s="25"/>
      <c r="L412" s="25"/>
      <c r="M412" s="25"/>
      <c r="N412" s="25"/>
    </row>
    <row r="413" spans="1:14" x14ac:dyDescent="0.25">
      <c r="A413" s="77">
        <v>46019</v>
      </c>
      <c r="B413" s="25" t="s">
        <v>577</v>
      </c>
      <c r="C413" s="77">
        <f t="shared" si="144"/>
        <v>46042</v>
      </c>
      <c r="D413" s="77">
        <f t="shared" si="145"/>
        <v>46026</v>
      </c>
      <c r="E413" s="77">
        <f t="shared" si="146"/>
        <v>46033</v>
      </c>
      <c r="F413" s="77">
        <f t="shared" si="147"/>
        <v>46039</v>
      </c>
      <c r="G413" s="77">
        <f t="shared" si="148"/>
        <v>46027</v>
      </c>
      <c r="H413" s="77">
        <f t="shared" si="149"/>
        <v>46034</v>
      </c>
      <c r="I413" s="77"/>
      <c r="J413" s="78"/>
      <c r="K413" s="25"/>
      <c r="L413" s="25"/>
      <c r="M413" s="25"/>
      <c r="N413" s="25"/>
    </row>
    <row r="414" spans="1:14" x14ac:dyDescent="0.25">
      <c r="A414" s="77">
        <v>46019</v>
      </c>
      <c r="B414" s="25" t="s">
        <v>578</v>
      </c>
      <c r="C414" s="77">
        <f t="shared" si="144"/>
        <v>46042</v>
      </c>
      <c r="D414" s="77">
        <f t="shared" si="145"/>
        <v>46026</v>
      </c>
      <c r="E414" s="77">
        <f t="shared" si="146"/>
        <v>46033</v>
      </c>
      <c r="F414" s="77">
        <f t="shared" si="147"/>
        <v>46039</v>
      </c>
      <c r="G414" s="77">
        <f t="shared" si="148"/>
        <v>46027</v>
      </c>
      <c r="H414" s="77">
        <f t="shared" si="149"/>
        <v>46034</v>
      </c>
      <c r="I414" s="77"/>
      <c r="J414" s="78"/>
      <c r="K414" s="25"/>
      <c r="L414" s="25"/>
      <c r="M414" s="25"/>
      <c r="N414" s="25"/>
    </row>
    <row r="415" spans="1:14" x14ac:dyDescent="0.25">
      <c r="A415" s="77">
        <v>46019</v>
      </c>
      <c r="B415" s="25" t="s">
        <v>1144</v>
      </c>
      <c r="C415" s="77">
        <f t="shared" si="144"/>
        <v>46042</v>
      </c>
      <c r="D415" s="77">
        <f t="shared" si="145"/>
        <v>46026</v>
      </c>
      <c r="E415" s="77">
        <f t="shared" si="146"/>
        <v>46033</v>
      </c>
      <c r="F415" s="77">
        <f t="shared" si="147"/>
        <v>46039</v>
      </c>
      <c r="G415" s="77">
        <f t="shared" si="148"/>
        <v>46027</v>
      </c>
      <c r="H415" s="77">
        <f t="shared" si="149"/>
        <v>46034</v>
      </c>
      <c r="I415" s="77"/>
      <c r="J415" s="78"/>
      <c r="K415" s="25"/>
      <c r="L415" s="25"/>
      <c r="M415" s="25"/>
      <c r="N415" s="25"/>
    </row>
    <row r="416" spans="1:14" x14ac:dyDescent="0.25">
      <c r="A416" s="77">
        <v>46020</v>
      </c>
      <c r="B416" s="25" t="s">
        <v>465</v>
      </c>
      <c r="C416" s="77">
        <f t="shared" ref="C416" si="150">A416+23</f>
        <v>46043</v>
      </c>
      <c r="D416" s="77">
        <f t="shared" ref="D416" si="151">A416+7</f>
        <v>46027</v>
      </c>
      <c r="E416" s="77">
        <f t="shared" ref="E416" si="152">A416+14</f>
        <v>46034</v>
      </c>
      <c r="F416" s="77">
        <f t="shared" ref="F416" si="153">A416+20</f>
        <v>46040</v>
      </c>
      <c r="G416" s="77">
        <f t="shared" ref="G416" si="154">A416+8</f>
        <v>46028</v>
      </c>
      <c r="H416" s="77">
        <f t="shared" ref="H416" si="155">A416+15</f>
        <v>46035</v>
      </c>
      <c r="I416" s="77"/>
      <c r="J416" s="78"/>
      <c r="K416" s="25"/>
      <c r="L416" s="25"/>
      <c r="M416" s="25"/>
      <c r="N416" s="25"/>
    </row>
    <row r="417" spans="1:14" x14ac:dyDescent="0.25">
      <c r="A417" s="77">
        <v>46020</v>
      </c>
      <c r="B417" s="25" t="s">
        <v>466</v>
      </c>
      <c r="C417" s="77">
        <f t="shared" ref="C417:C422" si="156">A417+23</f>
        <v>46043</v>
      </c>
      <c r="D417" s="77">
        <f t="shared" ref="D417:D422" si="157">A417+7</f>
        <v>46027</v>
      </c>
      <c r="E417" s="77">
        <f t="shared" ref="E417:E422" si="158">A417+14</f>
        <v>46034</v>
      </c>
      <c r="F417" s="77">
        <f t="shared" ref="F417:F422" si="159">A417+20</f>
        <v>46040</v>
      </c>
      <c r="G417" s="77">
        <f t="shared" ref="G417:G422" si="160">A417+8</f>
        <v>46028</v>
      </c>
      <c r="H417" s="77">
        <f t="shared" ref="H417:H422" si="161">A417+15</f>
        <v>46035</v>
      </c>
      <c r="I417" s="77"/>
      <c r="J417" s="78"/>
      <c r="K417" s="25"/>
      <c r="L417" s="25"/>
      <c r="M417" s="25"/>
      <c r="N417" s="25"/>
    </row>
    <row r="418" spans="1:14" x14ac:dyDescent="0.25">
      <c r="A418" s="77">
        <v>46020</v>
      </c>
      <c r="B418" s="25" t="s">
        <v>467</v>
      </c>
      <c r="C418" s="77">
        <f t="shared" si="156"/>
        <v>46043</v>
      </c>
      <c r="D418" s="77">
        <f t="shared" si="157"/>
        <v>46027</v>
      </c>
      <c r="E418" s="77">
        <f t="shared" si="158"/>
        <v>46034</v>
      </c>
      <c r="F418" s="77">
        <f t="shared" si="159"/>
        <v>46040</v>
      </c>
      <c r="G418" s="77">
        <f t="shared" si="160"/>
        <v>46028</v>
      </c>
      <c r="H418" s="77">
        <f t="shared" si="161"/>
        <v>46035</v>
      </c>
      <c r="I418" s="77"/>
      <c r="J418" s="78"/>
      <c r="K418" s="25"/>
      <c r="L418" s="25"/>
      <c r="M418" s="25"/>
      <c r="N418" s="25"/>
    </row>
    <row r="419" spans="1:14" x14ac:dyDescent="0.25">
      <c r="A419" s="77">
        <v>46020</v>
      </c>
      <c r="B419" s="25" t="s">
        <v>468</v>
      </c>
      <c r="C419" s="77">
        <f t="shared" si="156"/>
        <v>46043</v>
      </c>
      <c r="D419" s="77">
        <f t="shared" si="157"/>
        <v>46027</v>
      </c>
      <c r="E419" s="77">
        <f t="shared" si="158"/>
        <v>46034</v>
      </c>
      <c r="F419" s="77">
        <f t="shared" si="159"/>
        <v>46040</v>
      </c>
      <c r="G419" s="77">
        <f t="shared" si="160"/>
        <v>46028</v>
      </c>
      <c r="H419" s="77">
        <f t="shared" si="161"/>
        <v>46035</v>
      </c>
      <c r="I419" s="77"/>
      <c r="J419" s="78"/>
      <c r="K419" s="25"/>
      <c r="L419" s="25"/>
      <c r="M419" s="25"/>
      <c r="N419" s="25"/>
    </row>
    <row r="420" spans="1:14" x14ac:dyDescent="0.25">
      <c r="A420" s="77">
        <v>46020</v>
      </c>
      <c r="B420" s="25" t="s">
        <v>469</v>
      </c>
      <c r="C420" s="77">
        <f t="shared" si="156"/>
        <v>46043</v>
      </c>
      <c r="D420" s="77">
        <f t="shared" si="157"/>
        <v>46027</v>
      </c>
      <c r="E420" s="77">
        <f t="shared" si="158"/>
        <v>46034</v>
      </c>
      <c r="F420" s="77">
        <f t="shared" si="159"/>
        <v>46040</v>
      </c>
      <c r="G420" s="77">
        <f t="shared" si="160"/>
        <v>46028</v>
      </c>
      <c r="H420" s="77">
        <f t="shared" si="161"/>
        <v>46035</v>
      </c>
      <c r="I420" s="77"/>
      <c r="J420" s="78"/>
      <c r="K420" s="25"/>
      <c r="L420" s="25"/>
      <c r="M420" s="25"/>
      <c r="N420" s="25"/>
    </row>
    <row r="421" spans="1:14" x14ac:dyDescent="0.25">
      <c r="A421" s="77">
        <v>46020</v>
      </c>
      <c r="B421" s="25" t="s">
        <v>470</v>
      </c>
      <c r="C421" s="77">
        <f t="shared" si="156"/>
        <v>46043</v>
      </c>
      <c r="D421" s="77">
        <f t="shared" si="157"/>
        <v>46027</v>
      </c>
      <c r="E421" s="77">
        <f t="shared" si="158"/>
        <v>46034</v>
      </c>
      <c r="F421" s="77">
        <f t="shared" si="159"/>
        <v>46040</v>
      </c>
      <c r="G421" s="77">
        <f t="shared" si="160"/>
        <v>46028</v>
      </c>
      <c r="H421" s="77">
        <f t="shared" si="161"/>
        <v>46035</v>
      </c>
      <c r="I421" s="77"/>
      <c r="J421" s="78"/>
      <c r="K421" s="25"/>
      <c r="L421" s="25"/>
      <c r="M421" s="25"/>
      <c r="N421" s="25"/>
    </row>
    <row r="422" spans="1:14" x14ac:dyDescent="0.25">
      <c r="A422" s="77">
        <v>46020</v>
      </c>
      <c r="B422" s="25" t="s">
        <v>471</v>
      </c>
      <c r="C422" s="77">
        <f t="shared" si="156"/>
        <v>46043</v>
      </c>
      <c r="D422" s="77">
        <f t="shared" si="157"/>
        <v>46027</v>
      </c>
      <c r="E422" s="77">
        <f t="shared" si="158"/>
        <v>46034</v>
      </c>
      <c r="F422" s="77">
        <f t="shared" si="159"/>
        <v>46040</v>
      </c>
      <c r="G422" s="77">
        <f t="shared" si="160"/>
        <v>46028</v>
      </c>
      <c r="H422" s="77">
        <f t="shared" si="161"/>
        <v>46035</v>
      </c>
      <c r="I422" s="77"/>
      <c r="J422" s="78"/>
      <c r="K422" s="25"/>
      <c r="L422" s="25"/>
      <c r="M422" s="25"/>
      <c r="N422" s="25"/>
    </row>
    <row r="423" spans="1:14" x14ac:dyDescent="0.25">
      <c r="A423" s="77">
        <v>46021</v>
      </c>
      <c r="B423" s="25" t="s">
        <v>458</v>
      </c>
      <c r="C423" s="77">
        <f t="shared" ref="C423:C429" si="162">A423+23</f>
        <v>46044</v>
      </c>
      <c r="D423" s="77">
        <f t="shared" ref="D423:D429" si="163">A423+7</f>
        <v>46028</v>
      </c>
      <c r="E423" s="77">
        <f t="shared" ref="E423:E429" si="164">A423+14</f>
        <v>46035</v>
      </c>
      <c r="F423" s="77">
        <f t="shared" ref="F423:F429" si="165">A423+20</f>
        <v>46041</v>
      </c>
      <c r="G423" s="77">
        <f t="shared" ref="G423:G429" si="166">A423+8</f>
        <v>46029</v>
      </c>
      <c r="H423" s="77">
        <f t="shared" ref="H423:H429" si="167">A423+15</f>
        <v>46036</v>
      </c>
      <c r="I423" s="77"/>
      <c r="J423" s="78"/>
      <c r="K423" s="25"/>
      <c r="L423" s="25"/>
      <c r="M423" s="25"/>
      <c r="N423" s="25"/>
    </row>
    <row r="424" spans="1:14" x14ac:dyDescent="0.25">
      <c r="A424" s="77">
        <v>46021</v>
      </c>
      <c r="B424" s="25" t="s">
        <v>459</v>
      </c>
      <c r="C424" s="77">
        <f t="shared" si="162"/>
        <v>46044</v>
      </c>
      <c r="D424" s="77">
        <f t="shared" si="163"/>
        <v>46028</v>
      </c>
      <c r="E424" s="77">
        <f t="shared" si="164"/>
        <v>46035</v>
      </c>
      <c r="F424" s="77">
        <f t="shared" si="165"/>
        <v>46041</v>
      </c>
      <c r="G424" s="77">
        <f t="shared" si="166"/>
        <v>46029</v>
      </c>
      <c r="H424" s="77">
        <f t="shared" si="167"/>
        <v>46036</v>
      </c>
      <c r="I424" s="77"/>
      <c r="J424" s="78"/>
      <c r="K424" s="25"/>
      <c r="L424" s="25"/>
      <c r="M424" s="25"/>
      <c r="N424" s="25"/>
    </row>
    <row r="425" spans="1:14" x14ac:dyDescent="0.25">
      <c r="A425" s="77">
        <v>46021</v>
      </c>
      <c r="B425" s="25" t="s">
        <v>460</v>
      </c>
      <c r="C425" s="77">
        <f t="shared" si="162"/>
        <v>46044</v>
      </c>
      <c r="D425" s="77">
        <f t="shared" si="163"/>
        <v>46028</v>
      </c>
      <c r="E425" s="77">
        <f t="shared" si="164"/>
        <v>46035</v>
      </c>
      <c r="F425" s="77">
        <f t="shared" si="165"/>
        <v>46041</v>
      </c>
      <c r="G425" s="77">
        <f t="shared" si="166"/>
        <v>46029</v>
      </c>
      <c r="H425" s="77">
        <f t="shared" si="167"/>
        <v>46036</v>
      </c>
      <c r="I425" s="77"/>
      <c r="J425" s="78"/>
      <c r="K425" s="25"/>
      <c r="L425" s="25"/>
      <c r="M425" s="25"/>
      <c r="N425" s="25"/>
    </row>
    <row r="426" spans="1:14" x14ac:dyDescent="0.25">
      <c r="A426" s="77">
        <v>46021</v>
      </c>
      <c r="B426" s="25" t="s">
        <v>461</v>
      </c>
      <c r="C426" s="77">
        <f t="shared" si="162"/>
        <v>46044</v>
      </c>
      <c r="D426" s="77">
        <f t="shared" si="163"/>
        <v>46028</v>
      </c>
      <c r="E426" s="77">
        <f t="shared" si="164"/>
        <v>46035</v>
      </c>
      <c r="F426" s="77">
        <f t="shared" si="165"/>
        <v>46041</v>
      </c>
      <c r="G426" s="77">
        <f t="shared" si="166"/>
        <v>46029</v>
      </c>
      <c r="H426" s="77">
        <f t="shared" si="167"/>
        <v>46036</v>
      </c>
      <c r="I426" s="77"/>
      <c r="J426" s="78"/>
      <c r="K426" s="25"/>
      <c r="L426" s="25"/>
      <c r="M426" s="25"/>
      <c r="N426" s="25"/>
    </row>
    <row r="427" spans="1:14" x14ac:dyDescent="0.25">
      <c r="A427" s="77">
        <v>46021</v>
      </c>
      <c r="B427" s="25" t="s">
        <v>462</v>
      </c>
      <c r="C427" s="77">
        <f t="shared" si="162"/>
        <v>46044</v>
      </c>
      <c r="D427" s="77">
        <f t="shared" si="163"/>
        <v>46028</v>
      </c>
      <c r="E427" s="77">
        <f t="shared" si="164"/>
        <v>46035</v>
      </c>
      <c r="F427" s="77">
        <f t="shared" si="165"/>
        <v>46041</v>
      </c>
      <c r="G427" s="77">
        <f t="shared" si="166"/>
        <v>46029</v>
      </c>
      <c r="H427" s="77">
        <f t="shared" si="167"/>
        <v>46036</v>
      </c>
      <c r="I427" s="77"/>
      <c r="J427" s="78"/>
      <c r="K427" s="25"/>
      <c r="L427" s="25"/>
      <c r="M427" s="25"/>
      <c r="N427" s="25"/>
    </row>
    <row r="428" spans="1:14" x14ac:dyDescent="0.25">
      <c r="A428" s="77">
        <v>46021</v>
      </c>
      <c r="B428" s="25" t="s">
        <v>463</v>
      </c>
      <c r="C428" s="77">
        <f t="shared" si="162"/>
        <v>46044</v>
      </c>
      <c r="D428" s="77">
        <f t="shared" si="163"/>
        <v>46028</v>
      </c>
      <c r="E428" s="77">
        <f t="shared" si="164"/>
        <v>46035</v>
      </c>
      <c r="F428" s="77">
        <f t="shared" si="165"/>
        <v>46041</v>
      </c>
      <c r="G428" s="77">
        <f t="shared" si="166"/>
        <v>46029</v>
      </c>
      <c r="H428" s="77">
        <f t="shared" si="167"/>
        <v>46036</v>
      </c>
      <c r="I428" s="77"/>
      <c r="J428" s="78"/>
      <c r="K428" s="25"/>
      <c r="L428" s="25"/>
      <c r="M428" s="25"/>
      <c r="N428" s="25"/>
    </row>
    <row r="429" spans="1:14" x14ac:dyDescent="0.25">
      <c r="A429" s="77">
        <v>46021</v>
      </c>
      <c r="B429" s="25" t="s">
        <v>464</v>
      </c>
      <c r="C429" s="77">
        <f t="shared" si="162"/>
        <v>46044</v>
      </c>
      <c r="D429" s="77">
        <f t="shared" si="163"/>
        <v>46028</v>
      </c>
      <c r="E429" s="77">
        <f t="shared" si="164"/>
        <v>46035</v>
      </c>
      <c r="F429" s="77">
        <f t="shared" si="165"/>
        <v>46041</v>
      </c>
      <c r="G429" s="77">
        <f t="shared" si="166"/>
        <v>46029</v>
      </c>
      <c r="H429" s="77">
        <f t="shared" si="167"/>
        <v>46036</v>
      </c>
      <c r="I429" s="77"/>
      <c r="J429" s="78"/>
      <c r="K429" s="25"/>
      <c r="L429" s="25"/>
      <c r="M429" s="25"/>
      <c r="N429" s="25"/>
    </row>
    <row r="430" spans="1:14" x14ac:dyDescent="0.25">
      <c r="A430" s="77">
        <v>46022</v>
      </c>
      <c r="B430" s="25" t="s">
        <v>421</v>
      </c>
      <c r="C430" s="77">
        <f t="shared" ref="C430:C459" si="168">A430+23</f>
        <v>46045</v>
      </c>
      <c r="D430" s="77">
        <f t="shared" ref="D430:D459" si="169">A430+7</f>
        <v>46029</v>
      </c>
      <c r="E430" s="77">
        <f t="shared" ref="E430:E459" si="170">A430+14</f>
        <v>46036</v>
      </c>
      <c r="F430" s="77">
        <f t="shared" ref="F430:F453" si="171">A430+20</f>
        <v>46042</v>
      </c>
      <c r="G430" s="77">
        <f t="shared" ref="G430:G453" si="172">A430+8</f>
        <v>46030</v>
      </c>
      <c r="H430" s="77">
        <f t="shared" ref="H430:H453" si="173">A430+15</f>
        <v>46037</v>
      </c>
      <c r="I430" s="77"/>
      <c r="J430" s="78"/>
      <c r="K430" s="25"/>
      <c r="L430" s="25"/>
      <c r="M430" s="25"/>
      <c r="N430" s="25"/>
    </row>
    <row r="431" spans="1:14" x14ac:dyDescent="0.25">
      <c r="A431" s="77">
        <v>46022</v>
      </c>
      <c r="B431" s="25" t="s">
        <v>422</v>
      </c>
      <c r="C431" s="77">
        <f t="shared" si="168"/>
        <v>46045</v>
      </c>
      <c r="D431" s="77">
        <f t="shared" si="169"/>
        <v>46029</v>
      </c>
      <c r="E431" s="77">
        <f t="shared" si="170"/>
        <v>46036</v>
      </c>
      <c r="F431" s="77">
        <f t="shared" si="171"/>
        <v>46042</v>
      </c>
      <c r="G431" s="77">
        <f t="shared" si="172"/>
        <v>46030</v>
      </c>
      <c r="H431" s="77">
        <f t="shared" si="173"/>
        <v>46037</v>
      </c>
      <c r="I431" s="77"/>
      <c r="J431" s="78"/>
      <c r="K431" s="25"/>
      <c r="L431" s="25"/>
      <c r="M431" s="25"/>
      <c r="N431" s="25"/>
    </row>
    <row r="432" spans="1:14" x14ac:dyDescent="0.25">
      <c r="A432" s="77">
        <v>46022</v>
      </c>
      <c r="B432" s="25" t="s">
        <v>423</v>
      </c>
      <c r="C432" s="77">
        <f t="shared" si="168"/>
        <v>46045</v>
      </c>
      <c r="D432" s="77">
        <f t="shared" si="169"/>
        <v>46029</v>
      </c>
      <c r="E432" s="77">
        <f t="shared" si="170"/>
        <v>46036</v>
      </c>
      <c r="F432" s="77">
        <f t="shared" si="171"/>
        <v>46042</v>
      </c>
      <c r="G432" s="77">
        <f t="shared" si="172"/>
        <v>46030</v>
      </c>
      <c r="H432" s="77">
        <f t="shared" si="173"/>
        <v>46037</v>
      </c>
      <c r="I432" s="77"/>
      <c r="J432" s="78"/>
      <c r="K432" s="25"/>
      <c r="L432" s="25"/>
      <c r="M432" s="25"/>
      <c r="N432" s="25"/>
    </row>
    <row r="433" spans="1:14" x14ac:dyDescent="0.25">
      <c r="A433" s="77">
        <v>46022</v>
      </c>
      <c r="B433" s="25" t="s">
        <v>424</v>
      </c>
      <c r="C433" s="77">
        <f t="shared" si="168"/>
        <v>46045</v>
      </c>
      <c r="D433" s="77">
        <f t="shared" si="169"/>
        <v>46029</v>
      </c>
      <c r="E433" s="77">
        <f t="shared" si="170"/>
        <v>46036</v>
      </c>
      <c r="F433" s="77">
        <f t="shared" si="171"/>
        <v>46042</v>
      </c>
      <c r="G433" s="77">
        <f t="shared" si="172"/>
        <v>46030</v>
      </c>
      <c r="H433" s="77">
        <f t="shared" si="173"/>
        <v>46037</v>
      </c>
      <c r="I433" s="77"/>
      <c r="J433" s="78"/>
      <c r="K433" s="25"/>
      <c r="L433" s="25"/>
      <c r="M433" s="25"/>
      <c r="N433" s="25"/>
    </row>
    <row r="434" spans="1:14" x14ac:dyDescent="0.25">
      <c r="A434" s="77">
        <v>46022</v>
      </c>
      <c r="B434" s="25" t="s">
        <v>425</v>
      </c>
      <c r="C434" s="77">
        <f t="shared" si="168"/>
        <v>46045</v>
      </c>
      <c r="D434" s="77">
        <f t="shared" si="169"/>
        <v>46029</v>
      </c>
      <c r="E434" s="77">
        <f t="shared" si="170"/>
        <v>46036</v>
      </c>
      <c r="F434" s="77">
        <f t="shared" si="171"/>
        <v>46042</v>
      </c>
      <c r="G434" s="77">
        <f t="shared" si="172"/>
        <v>46030</v>
      </c>
      <c r="H434" s="77">
        <f t="shared" si="173"/>
        <v>46037</v>
      </c>
      <c r="I434" s="77"/>
      <c r="J434" s="78"/>
      <c r="K434" s="25"/>
      <c r="L434" s="25"/>
      <c r="M434" s="25"/>
      <c r="N434" s="25"/>
    </row>
    <row r="435" spans="1:14" x14ac:dyDescent="0.25">
      <c r="A435" s="77">
        <v>46022</v>
      </c>
      <c r="B435" s="25" t="s">
        <v>426</v>
      </c>
      <c r="C435" s="77">
        <f t="shared" si="168"/>
        <v>46045</v>
      </c>
      <c r="D435" s="77">
        <f t="shared" si="169"/>
        <v>46029</v>
      </c>
      <c r="E435" s="77">
        <f t="shared" si="170"/>
        <v>46036</v>
      </c>
      <c r="F435" s="77">
        <f t="shared" si="171"/>
        <v>46042</v>
      </c>
      <c r="G435" s="77">
        <f t="shared" si="172"/>
        <v>46030</v>
      </c>
      <c r="H435" s="77">
        <f t="shared" si="173"/>
        <v>46037</v>
      </c>
      <c r="I435" s="77"/>
      <c r="J435" s="78"/>
      <c r="K435" s="25"/>
      <c r="L435" s="25"/>
      <c r="M435" s="25"/>
      <c r="N435" s="25"/>
    </row>
    <row r="436" spans="1:14" x14ac:dyDescent="0.25">
      <c r="A436" s="77">
        <v>46022</v>
      </c>
      <c r="B436" s="25" t="s">
        <v>427</v>
      </c>
      <c r="C436" s="77">
        <f t="shared" si="168"/>
        <v>46045</v>
      </c>
      <c r="D436" s="77">
        <f t="shared" si="169"/>
        <v>46029</v>
      </c>
      <c r="E436" s="77">
        <f t="shared" si="170"/>
        <v>46036</v>
      </c>
      <c r="F436" s="77">
        <f t="shared" si="171"/>
        <v>46042</v>
      </c>
      <c r="G436" s="77">
        <f t="shared" si="172"/>
        <v>46030</v>
      </c>
      <c r="H436" s="77">
        <f t="shared" si="173"/>
        <v>46037</v>
      </c>
      <c r="I436" s="77"/>
      <c r="J436" s="78"/>
      <c r="K436" s="25"/>
      <c r="L436" s="25"/>
      <c r="M436" s="25"/>
      <c r="N436" s="25"/>
    </row>
    <row r="437" spans="1:14" x14ac:dyDescent="0.25">
      <c r="A437" s="77">
        <v>46023</v>
      </c>
      <c r="B437" s="25" t="s">
        <v>451</v>
      </c>
      <c r="C437" s="77">
        <f t="shared" si="168"/>
        <v>46046</v>
      </c>
      <c r="D437" s="77">
        <f t="shared" si="169"/>
        <v>46030</v>
      </c>
      <c r="E437" s="77">
        <f t="shared" si="170"/>
        <v>46037</v>
      </c>
      <c r="F437" s="77">
        <f t="shared" si="171"/>
        <v>46043</v>
      </c>
      <c r="G437" s="77">
        <f t="shared" si="172"/>
        <v>46031</v>
      </c>
      <c r="H437" s="77">
        <f t="shared" si="173"/>
        <v>46038</v>
      </c>
      <c r="I437" s="77"/>
      <c r="J437" s="78"/>
      <c r="K437" s="25"/>
      <c r="L437" s="25"/>
      <c r="M437" s="25"/>
      <c r="N437" s="25"/>
    </row>
    <row r="438" spans="1:14" x14ac:dyDescent="0.25">
      <c r="A438" s="77">
        <v>46023</v>
      </c>
      <c r="B438" s="25" t="s">
        <v>452</v>
      </c>
      <c r="C438" s="77">
        <f t="shared" si="168"/>
        <v>46046</v>
      </c>
      <c r="D438" s="77">
        <f t="shared" si="169"/>
        <v>46030</v>
      </c>
      <c r="E438" s="77">
        <f t="shared" si="170"/>
        <v>46037</v>
      </c>
      <c r="F438" s="77">
        <f t="shared" si="171"/>
        <v>46043</v>
      </c>
      <c r="G438" s="77">
        <f t="shared" si="172"/>
        <v>46031</v>
      </c>
      <c r="H438" s="77">
        <f t="shared" si="173"/>
        <v>46038</v>
      </c>
      <c r="I438" s="77"/>
      <c r="J438" s="78"/>
      <c r="K438" s="25"/>
      <c r="L438" s="25"/>
      <c r="M438" s="25"/>
      <c r="N438" s="25"/>
    </row>
    <row r="439" spans="1:14" x14ac:dyDescent="0.25">
      <c r="A439" s="77">
        <v>46023</v>
      </c>
      <c r="B439" s="25" t="s">
        <v>453</v>
      </c>
      <c r="C439" s="77">
        <f t="shared" si="168"/>
        <v>46046</v>
      </c>
      <c r="D439" s="77">
        <f t="shared" si="169"/>
        <v>46030</v>
      </c>
      <c r="E439" s="77">
        <f t="shared" si="170"/>
        <v>46037</v>
      </c>
      <c r="F439" s="77">
        <f t="shared" si="171"/>
        <v>46043</v>
      </c>
      <c r="G439" s="77">
        <f t="shared" si="172"/>
        <v>46031</v>
      </c>
      <c r="H439" s="77">
        <f t="shared" si="173"/>
        <v>46038</v>
      </c>
      <c r="I439" s="77"/>
      <c r="J439" s="78"/>
      <c r="K439" s="25"/>
      <c r="L439" s="25"/>
      <c r="M439" s="25"/>
      <c r="N439" s="25"/>
    </row>
    <row r="440" spans="1:14" x14ac:dyDescent="0.25">
      <c r="A440" s="77">
        <v>46023</v>
      </c>
      <c r="B440" s="25" t="s">
        <v>454</v>
      </c>
      <c r="C440" s="77">
        <f t="shared" si="168"/>
        <v>46046</v>
      </c>
      <c r="D440" s="77">
        <f t="shared" si="169"/>
        <v>46030</v>
      </c>
      <c r="E440" s="77">
        <f t="shared" si="170"/>
        <v>46037</v>
      </c>
      <c r="F440" s="77">
        <f t="shared" si="171"/>
        <v>46043</v>
      </c>
      <c r="G440" s="77">
        <f t="shared" si="172"/>
        <v>46031</v>
      </c>
      <c r="H440" s="77">
        <f t="shared" si="173"/>
        <v>46038</v>
      </c>
      <c r="I440" s="77"/>
      <c r="J440" s="78"/>
      <c r="K440" s="25"/>
      <c r="L440" s="25"/>
      <c r="M440" s="25"/>
      <c r="N440" s="25"/>
    </row>
    <row r="441" spans="1:14" x14ac:dyDescent="0.25">
      <c r="A441" s="77">
        <v>46023</v>
      </c>
      <c r="B441" s="25" t="s">
        <v>455</v>
      </c>
      <c r="C441" s="77">
        <f t="shared" si="168"/>
        <v>46046</v>
      </c>
      <c r="D441" s="77">
        <f t="shared" si="169"/>
        <v>46030</v>
      </c>
      <c r="E441" s="77">
        <f t="shared" si="170"/>
        <v>46037</v>
      </c>
      <c r="F441" s="77">
        <f t="shared" si="171"/>
        <v>46043</v>
      </c>
      <c r="G441" s="77">
        <f t="shared" si="172"/>
        <v>46031</v>
      </c>
      <c r="H441" s="77">
        <f t="shared" si="173"/>
        <v>46038</v>
      </c>
      <c r="I441" s="77"/>
      <c r="J441" s="78"/>
      <c r="K441" s="25"/>
      <c r="L441" s="25"/>
      <c r="M441" s="25"/>
      <c r="N441" s="25"/>
    </row>
    <row r="442" spans="1:14" x14ac:dyDescent="0.25">
      <c r="A442" s="77">
        <v>46023</v>
      </c>
      <c r="B442" s="25" t="s">
        <v>456</v>
      </c>
      <c r="C442" s="77">
        <f t="shared" si="168"/>
        <v>46046</v>
      </c>
      <c r="D442" s="77">
        <f t="shared" si="169"/>
        <v>46030</v>
      </c>
      <c r="E442" s="77">
        <f t="shared" si="170"/>
        <v>46037</v>
      </c>
      <c r="F442" s="77">
        <f t="shared" si="171"/>
        <v>46043</v>
      </c>
      <c r="G442" s="77">
        <f t="shared" si="172"/>
        <v>46031</v>
      </c>
      <c r="H442" s="77">
        <f t="shared" si="173"/>
        <v>46038</v>
      </c>
      <c r="I442" s="77"/>
      <c r="J442" s="78"/>
      <c r="K442" s="25"/>
      <c r="L442" s="25"/>
      <c r="M442" s="25"/>
      <c r="N442" s="25"/>
    </row>
    <row r="443" spans="1:14" x14ac:dyDescent="0.25">
      <c r="A443" s="77">
        <v>46023</v>
      </c>
      <c r="B443" s="25" t="s">
        <v>457</v>
      </c>
      <c r="C443" s="77">
        <f t="shared" si="168"/>
        <v>46046</v>
      </c>
      <c r="D443" s="77">
        <f t="shared" si="169"/>
        <v>46030</v>
      </c>
      <c r="E443" s="77">
        <f t="shared" si="170"/>
        <v>46037</v>
      </c>
      <c r="F443" s="77">
        <f t="shared" si="171"/>
        <v>46043</v>
      </c>
      <c r="G443" s="77">
        <f t="shared" si="172"/>
        <v>46031</v>
      </c>
      <c r="H443" s="77">
        <f t="shared" si="173"/>
        <v>46038</v>
      </c>
      <c r="I443" s="77"/>
      <c r="J443" s="78"/>
      <c r="K443" s="25"/>
      <c r="L443" s="25"/>
      <c r="M443" s="25"/>
      <c r="N443" s="25"/>
    </row>
    <row r="444" spans="1:14" x14ac:dyDescent="0.25">
      <c r="A444" s="77">
        <v>46024</v>
      </c>
      <c r="B444" s="25" t="s">
        <v>414</v>
      </c>
      <c r="C444" s="77">
        <f t="shared" si="168"/>
        <v>46047</v>
      </c>
      <c r="D444" s="77">
        <f t="shared" si="169"/>
        <v>46031</v>
      </c>
      <c r="E444" s="77">
        <f t="shared" si="170"/>
        <v>46038</v>
      </c>
      <c r="F444" s="77">
        <f t="shared" si="171"/>
        <v>46044</v>
      </c>
      <c r="G444" s="77">
        <f t="shared" si="172"/>
        <v>46032</v>
      </c>
      <c r="H444" s="77">
        <f t="shared" si="173"/>
        <v>46039</v>
      </c>
      <c r="I444" s="77"/>
      <c r="J444" s="78"/>
      <c r="K444" s="25"/>
      <c r="L444" s="25"/>
      <c r="M444" s="25"/>
      <c r="N444" s="25"/>
    </row>
    <row r="445" spans="1:14" x14ac:dyDescent="0.25">
      <c r="A445" s="77">
        <v>46024</v>
      </c>
      <c r="B445" s="25" t="s">
        <v>415</v>
      </c>
      <c r="C445" s="77">
        <f t="shared" si="168"/>
        <v>46047</v>
      </c>
      <c r="D445" s="77">
        <f t="shared" si="169"/>
        <v>46031</v>
      </c>
      <c r="E445" s="77">
        <f t="shared" si="170"/>
        <v>46038</v>
      </c>
      <c r="F445" s="77">
        <f t="shared" si="171"/>
        <v>46044</v>
      </c>
      <c r="G445" s="77">
        <f t="shared" si="172"/>
        <v>46032</v>
      </c>
      <c r="H445" s="77">
        <f t="shared" si="173"/>
        <v>46039</v>
      </c>
      <c r="I445" s="77"/>
      <c r="J445" s="78"/>
      <c r="K445" s="25"/>
      <c r="L445" s="25"/>
      <c r="M445" s="25"/>
      <c r="N445" s="25"/>
    </row>
    <row r="446" spans="1:14" x14ac:dyDescent="0.25">
      <c r="A446" s="77">
        <v>46024</v>
      </c>
      <c r="B446" s="25" t="s">
        <v>416</v>
      </c>
      <c r="C446" s="77">
        <f t="shared" si="168"/>
        <v>46047</v>
      </c>
      <c r="D446" s="77">
        <f t="shared" si="169"/>
        <v>46031</v>
      </c>
      <c r="E446" s="77">
        <f t="shared" si="170"/>
        <v>46038</v>
      </c>
      <c r="F446" s="77">
        <f t="shared" si="171"/>
        <v>46044</v>
      </c>
      <c r="G446" s="77">
        <f t="shared" si="172"/>
        <v>46032</v>
      </c>
      <c r="H446" s="77">
        <f t="shared" si="173"/>
        <v>46039</v>
      </c>
      <c r="I446" s="77"/>
      <c r="J446" s="78"/>
      <c r="K446" s="25"/>
      <c r="L446" s="25"/>
      <c r="M446" s="25"/>
      <c r="N446" s="25"/>
    </row>
    <row r="447" spans="1:14" x14ac:dyDescent="0.25">
      <c r="A447" s="77">
        <v>46024</v>
      </c>
      <c r="B447" s="25" t="s">
        <v>417</v>
      </c>
      <c r="C447" s="77">
        <f t="shared" si="168"/>
        <v>46047</v>
      </c>
      <c r="D447" s="77">
        <f t="shared" si="169"/>
        <v>46031</v>
      </c>
      <c r="E447" s="77">
        <f t="shared" si="170"/>
        <v>46038</v>
      </c>
      <c r="F447" s="77">
        <f t="shared" si="171"/>
        <v>46044</v>
      </c>
      <c r="G447" s="77">
        <f t="shared" si="172"/>
        <v>46032</v>
      </c>
      <c r="H447" s="77">
        <f t="shared" si="173"/>
        <v>46039</v>
      </c>
      <c r="I447" s="77"/>
      <c r="J447" s="78"/>
      <c r="K447" s="25"/>
      <c r="L447" s="25"/>
      <c r="M447" s="25"/>
      <c r="N447" s="25"/>
    </row>
    <row r="448" spans="1:14" x14ac:dyDescent="0.25">
      <c r="A448" s="77">
        <v>46024</v>
      </c>
      <c r="B448" s="25" t="s">
        <v>418</v>
      </c>
      <c r="C448" s="77">
        <f t="shared" si="168"/>
        <v>46047</v>
      </c>
      <c r="D448" s="77">
        <f t="shared" si="169"/>
        <v>46031</v>
      </c>
      <c r="E448" s="77">
        <f t="shared" si="170"/>
        <v>46038</v>
      </c>
      <c r="F448" s="77">
        <f t="shared" si="171"/>
        <v>46044</v>
      </c>
      <c r="G448" s="77">
        <f t="shared" si="172"/>
        <v>46032</v>
      </c>
      <c r="H448" s="77">
        <f t="shared" si="173"/>
        <v>46039</v>
      </c>
      <c r="I448" s="77"/>
      <c r="J448" s="78"/>
      <c r="K448" s="25"/>
      <c r="L448" s="25"/>
      <c r="M448" s="25"/>
      <c r="N448" s="25"/>
    </row>
    <row r="449" spans="1:14" x14ac:dyDescent="0.25">
      <c r="A449" s="77">
        <v>46024</v>
      </c>
      <c r="B449" s="25" t="s">
        <v>419</v>
      </c>
      <c r="C449" s="77">
        <f t="shared" si="168"/>
        <v>46047</v>
      </c>
      <c r="D449" s="77">
        <f t="shared" si="169"/>
        <v>46031</v>
      </c>
      <c r="E449" s="77">
        <f t="shared" si="170"/>
        <v>46038</v>
      </c>
      <c r="F449" s="77">
        <f t="shared" si="171"/>
        <v>46044</v>
      </c>
      <c r="G449" s="77">
        <f t="shared" si="172"/>
        <v>46032</v>
      </c>
      <c r="H449" s="77">
        <f t="shared" si="173"/>
        <v>46039</v>
      </c>
      <c r="I449" s="77"/>
      <c r="J449" s="78"/>
      <c r="K449" s="25"/>
      <c r="L449" s="25"/>
      <c r="M449" s="25"/>
      <c r="N449" s="25"/>
    </row>
    <row r="450" spans="1:14" x14ac:dyDescent="0.25">
      <c r="A450" s="77">
        <v>46024</v>
      </c>
      <c r="B450" s="25" t="s">
        <v>420</v>
      </c>
      <c r="C450" s="77">
        <f t="shared" si="168"/>
        <v>46047</v>
      </c>
      <c r="D450" s="77">
        <f t="shared" si="169"/>
        <v>46031</v>
      </c>
      <c r="E450" s="77">
        <f t="shared" si="170"/>
        <v>46038</v>
      </c>
      <c r="F450" s="77">
        <f t="shared" si="171"/>
        <v>46044</v>
      </c>
      <c r="G450" s="77">
        <f t="shared" si="172"/>
        <v>46032</v>
      </c>
      <c r="H450" s="77">
        <f t="shared" si="173"/>
        <v>46039</v>
      </c>
      <c r="I450" s="77"/>
      <c r="J450" s="78"/>
      <c r="K450" s="25"/>
      <c r="L450" s="25"/>
      <c r="M450" s="25"/>
      <c r="N450" s="25"/>
    </row>
    <row r="451" spans="1:14" x14ac:dyDescent="0.25">
      <c r="A451" s="77">
        <v>46025</v>
      </c>
      <c r="B451" s="25" t="s">
        <v>444</v>
      </c>
      <c r="C451" s="77">
        <f t="shared" si="168"/>
        <v>46048</v>
      </c>
      <c r="D451" s="77">
        <f t="shared" si="169"/>
        <v>46032</v>
      </c>
      <c r="E451" s="77">
        <f t="shared" si="170"/>
        <v>46039</v>
      </c>
      <c r="F451" s="77">
        <f t="shared" si="171"/>
        <v>46045</v>
      </c>
      <c r="G451" s="77">
        <f t="shared" si="172"/>
        <v>46033</v>
      </c>
      <c r="H451" s="77">
        <f t="shared" si="173"/>
        <v>46040</v>
      </c>
      <c r="I451" s="77"/>
      <c r="J451" s="78"/>
      <c r="K451" s="25"/>
      <c r="L451" s="25"/>
      <c r="M451" s="25"/>
      <c r="N451" s="25"/>
    </row>
    <row r="452" spans="1:14" x14ac:dyDescent="0.25">
      <c r="A452" s="77">
        <v>46025</v>
      </c>
      <c r="B452" s="25" t="s">
        <v>445</v>
      </c>
      <c r="C452" s="77">
        <f t="shared" si="168"/>
        <v>46048</v>
      </c>
      <c r="D452" s="77">
        <f t="shared" si="169"/>
        <v>46032</v>
      </c>
      <c r="E452" s="77">
        <f t="shared" si="170"/>
        <v>46039</v>
      </c>
      <c r="F452" s="77">
        <f t="shared" si="171"/>
        <v>46045</v>
      </c>
      <c r="G452" s="77">
        <f t="shared" si="172"/>
        <v>46033</v>
      </c>
      <c r="H452" s="77">
        <f t="shared" si="173"/>
        <v>46040</v>
      </c>
      <c r="I452" s="77"/>
      <c r="J452" s="78"/>
      <c r="K452" s="25"/>
      <c r="L452" s="25"/>
      <c r="M452" s="25"/>
      <c r="N452" s="25"/>
    </row>
    <row r="453" spans="1:14" x14ac:dyDescent="0.25">
      <c r="A453" s="77">
        <v>46025</v>
      </c>
      <c r="B453" s="25" t="s">
        <v>446</v>
      </c>
      <c r="C453" s="77">
        <f t="shared" si="168"/>
        <v>46048</v>
      </c>
      <c r="D453" s="77">
        <f t="shared" si="169"/>
        <v>46032</v>
      </c>
      <c r="E453" s="77">
        <f t="shared" si="170"/>
        <v>46039</v>
      </c>
      <c r="F453" s="77">
        <f t="shared" si="171"/>
        <v>46045</v>
      </c>
      <c r="G453" s="77">
        <f t="shared" si="172"/>
        <v>46033</v>
      </c>
      <c r="H453" s="77">
        <f t="shared" si="173"/>
        <v>46040</v>
      </c>
      <c r="I453" s="77"/>
      <c r="J453" s="78"/>
      <c r="K453" s="25"/>
      <c r="L453" s="25"/>
      <c r="M453" s="25"/>
      <c r="N453" s="25"/>
    </row>
    <row r="454" spans="1:14" x14ac:dyDescent="0.25">
      <c r="A454" s="77">
        <v>46025</v>
      </c>
      <c r="B454" s="25" t="s">
        <v>447</v>
      </c>
      <c r="C454" s="77">
        <f t="shared" si="168"/>
        <v>46048</v>
      </c>
      <c r="D454" s="77">
        <f t="shared" si="169"/>
        <v>46032</v>
      </c>
      <c r="E454" s="77">
        <f t="shared" si="170"/>
        <v>46039</v>
      </c>
      <c r="F454" s="77">
        <f t="shared" ref="F454:F465" si="174">A454+20</f>
        <v>46045</v>
      </c>
      <c r="G454" s="77">
        <f t="shared" ref="G454:G465" si="175">A454+8</f>
        <v>46033</v>
      </c>
      <c r="H454" s="77">
        <f t="shared" ref="H454:H465" si="176">A454+15</f>
        <v>46040</v>
      </c>
      <c r="I454" s="77"/>
      <c r="J454" s="78"/>
      <c r="K454" s="25"/>
      <c r="L454" s="25"/>
      <c r="M454" s="25"/>
      <c r="N454" s="25"/>
    </row>
    <row r="455" spans="1:14" x14ac:dyDescent="0.25">
      <c r="A455" s="77">
        <v>46025</v>
      </c>
      <c r="B455" s="25" t="s">
        <v>448</v>
      </c>
      <c r="C455" s="77">
        <f t="shared" si="168"/>
        <v>46048</v>
      </c>
      <c r="D455" s="77">
        <f t="shared" si="169"/>
        <v>46032</v>
      </c>
      <c r="E455" s="77">
        <f t="shared" si="170"/>
        <v>46039</v>
      </c>
      <c r="F455" s="77">
        <f t="shared" si="174"/>
        <v>46045</v>
      </c>
      <c r="G455" s="77">
        <f t="shared" si="175"/>
        <v>46033</v>
      </c>
      <c r="H455" s="77">
        <f t="shared" si="176"/>
        <v>46040</v>
      </c>
      <c r="I455" s="77"/>
      <c r="J455" s="78"/>
      <c r="K455" s="25"/>
      <c r="L455" s="25"/>
      <c r="M455" s="25"/>
      <c r="N455" s="25"/>
    </row>
    <row r="456" spans="1:14" x14ac:dyDescent="0.25">
      <c r="A456" s="77">
        <v>46025</v>
      </c>
      <c r="B456" s="25" t="s">
        <v>449</v>
      </c>
      <c r="C456" s="77">
        <f t="shared" si="168"/>
        <v>46048</v>
      </c>
      <c r="D456" s="77">
        <f t="shared" si="169"/>
        <v>46032</v>
      </c>
      <c r="E456" s="77">
        <f t="shared" si="170"/>
        <v>46039</v>
      </c>
      <c r="F456" s="77">
        <f t="shared" si="174"/>
        <v>46045</v>
      </c>
      <c r="G456" s="77">
        <f t="shared" si="175"/>
        <v>46033</v>
      </c>
      <c r="H456" s="77">
        <f t="shared" si="176"/>
        <v>46040</v>
      </c>
      <c r="I456" s="77"/>
      <c r="J456" s="78"/>
      <c r="K456" s="25"/>
      <c r="L456" s="25"/>
      <c r="M456" s="25"/>
      <c r="N456" s="25"/>
    </row>
    <row r="457" spans="1:14" x14ac:dyDescent="0.25">
      <c r="A457" s="77">
        <v>46025</v>
      </c>
      <c r="B457" s="25" t="s">
        <v>450</v>
      </c>
      <c r="C457" s="77">
        <f t="shared" si="168"/>
        <v>46048</v>
      </c>
      <c r="D457" s="77">
        <f t="shared" si="169"/>
        <v>46032</v>
      </c>
      <c r="E457" s="77">
        <f t="shared" si="170"/>
        <v>46039</v>
      </c>
      <c r="F457" s="77">
        <f t="shared" si="174"/>
        <v>46045</v>
      </c>
      <c r="G457" s="77">
        <f t="shared" si="175"/>
        <v>46033</v>
      </c>
      <c r="H457" s="77">
        <f t="shared" si="176"/>
        <v>46040</v>
      </c>
      <c r="I457" s="77"/>
      <c r="J457" s="78"/>
      <c r="K457" s="25"/>
      <c r="L457" s="25"/>
      <c r="M457" s="25"/>
      <c r="N457" s="25"/>
    </row>
    <row r="458" spans="1:14" x14ac:dyDescent="0.25">
      <c r="A458" s="77">
        <v>46026</v>
      </c>
      <c r="B458" s="25" t="s">
        <v>412</v>
      </c>
      <c r="C458" s="77">
        <f t="shared" si="168"/>
        <v>46049</v>
      </c>
      <c r="D458" s="77">
        <f t="shared" si="169"/>
        <v>46033</v>
      </c>
      <c r="E458" s="77">
        <f t="shared" si="170"/>
        <v>46040</v>
      </c>
      <c r="F458" s="77">
        <f t="shared" si="174"/>
        <v>46046</v>
      </c>
      <c r="G458" s="77">
        <f t="shared" si="175"/>
        <v>46034</v>
      </c>
      <c r="H458" s="77">
        <f t="shared" si="176"/>
        <v>46041</v>
      </c>
      <c r="I458" s="77"/>
      <c r="J458" s="78"/>
      <c r="K458" s="25"/>
      <c r="L458" s="25"/>
      <c r="M458" s="25"/>
      <c r="N458" s="25"/>
    </row>
    <row r="459" spans="1:14" x14ac:dyDescent="0.25">
      <c r="A459" s="77">
        <v>46026</v>
      </c>
      <c r="B459" s="25" t="s">
        <v>413</v>
      </c>
      <c r="C459" s="77">
        <f t="shared" si="168"/>
        <v>46049</v>
      </c>
      <c r="D459" s="77">
        <f t="shared" si="169"/>
        <v>46033</v>
      </c>
      <c r="E459" s="77">
        <f t="shared" si="170"/>
        <v>46040</v>
      </c>
      <c r="F459" s="77">
        <f t="shared" si="174"/>
        <v>46046</v>
      </c>
      <c r="G459" s="77">
        <f t="shared" si="175"/>
        <v>46034</v>
      </c>
      <c r="H459" s="77">
        <f t="shared" si="176"/>
        <v>46041</v>
      </c>
      <c r="I459" s="77"/>
      <c r="J459" s="78"/>
      <c r="K459" s="25"/>
      <c r="L459" s="25"/>
      <c r="M459" s="25"/>
      <c r="N459" s="25"/>
    </row>
    <row r="460" spans="1:14" x14ac:dyDescent="0.25">
      <c r="A460" s="77">
        <v>46026</v>
      </c>
      <c r="B460" s="25" t="s">
        <v>442</v>
      </c>
      <c r="C460" s="77">
        <f t="shared" ref="C460:C465" si="177">A460+23</f>
        <v>46049</v>
      </c>
      <c r="D460" s="77">
        <f t="shared" ref="D460:D465" si="178">A460+7</f>
        <v>46033</v>
      </c>
      <c r="E460" s="77">
        <f t="shared" ref="E460:E465" si="179">A460+14</f>
        <v>46040</v>
      </c>
      <c r="F460" s="77">
        <f t="shared" si="174"/>
        <v>46046</v>
      </c>
      <c r="G460" s="77">
        <f t="shared" si="175"/>
        <v>46034</v>
      </c>
      <c r="H460" s="77">
        <f t="shared" si="176"/>
        <v>46041</v>
      </c>
      <c r="I460" s="77"/>
      <c r="J460" s="78"/>
      <c r="K460" s="25"/>
      <c r="L460" s="25"/>
      <c r="M460" s="25"/>
      <c r="N460" s="25"/>
    </row>
    <row r="461" spans="1:14" x14ac:dyDescent="0.25">
      <c r="A461" s="77">
        <v>46026</v>
      </c>
      <c r="B461" s="25" t="s">
        <v>443</v>
      </c>
      <c r="C461" s="77">
        <f t="shared" si="177"/>
        <v>46049</v>
      </c>
      <c r="D461" s="77">
        <f t="shared" si="178"/>
        <v>46033</v>
      </c>
      <c r="E461" s="77">
        <f t="shared" si="179"/>
        <v>46040</v>
      </c>
      <c r="F461" s="77">
        <f t="shared" si="174"/>
        <v>46046</v>
      </c>
      <c r="G461" s="77">
        <f t="shared" si="175"/>
        <v>46034</v>
      </c>
      <c r="H461" s="77">
        <f t="shared" si="176"/>
        <v>46041</v>
      </c>
      <c r="I461" s="77"/>
      <c r="J461" s="78"/>
      <c r="K461" s="25"/>
      <c r="L461" s="25"/>
      <c r="M461" s="25"/>
      <c r="N461" s="25"/>
    </row>
    <row r="462" spans="1:14" x14ac:dyDescent="0.25">
      <c r="A462" s="77">
        <v>46026</v>
      </c>
      <c r="B462" s="25" t="s">
        <v>1145</v>
      </c>
      <c r="C462" s="77">
        <f t="shared" si="177"/>
        <v>46049</v>
      </c>
      <c r="D462" s="77">
        <f t="shared" si="178"/>
        <v>46033</v>
      </c>
      <c r="E462" s="77">
        <f t="shared" si="179"/>
        <v>46040</v>
      </c>
      <c r="F462" s="77">
        <f t="shared" si="174"/>
        <v>46046</v>
      </c>
      <c r="G462" s="77">
        <f t="shared" si="175"/>
        <v>46034</v>
      </c>
      <c r="H462" s="77">
        <f t="shared" si="176"/>
        <v>46041</v>
      </c>
      <c r="I462" s="77"/>
      <c r="J462" s="78"/>
      <c r="K462" s="25"/>
      <c r="L462" s="25"/>
      <c r="M462" s="25"/>
      <c r="N462" s="25"/>
    </row>
    <row r="463" spans="1:14" x14ac:dyDescent="0.25">
      <c r="A463" s="77">
        <v>46026</v>
      </c>
      <c r="B463" s="25" t="s">
        <v>1146</v>
      </c>
      <c r="C463" s="77">
        <f t="shared" si="177"/>
        <v>46049</v>
      </c>
      <c r="D463" s="77">
        <f t="shared" si="178"/>
        <v>46033</v>
      </c>
      <c r="E463" s="77">
        <f t="shared" si="179"/>
        <v>46040</v>
      </c>
      <c r="F463" s="77">
        <f t="shared" si="174"/>
        <v>46046</v>
      </c>
      <c r="G463" s="77">
        <f t="shared" si="175"/>
        <v>46034</v>
      </c>
      <c r="H463" s="77">
        <f t="shared" si="176"/>
        <v>46041</v>
      </c>
      <c r="I463" s="77"/>
      <c r="J463" s="78"/>
      <c r="K463" s="25"/>
      <c r="L463" s="25"/>
      <c r="M463" s="25"/>
      <c r="N463" s="25"/>
    </row>
    <row r="464" spans="1:14" x14ac:dyDescent="0.25">
      <c r="A464" s="77">
        <v>46026</v>
      </c>
      <c r="B464" s="25" t="s">
        <v>474</v>
      </c>
      <c r="C464" s="77">
        <f t="shared" si="177"/>
        <v>46049</v>
      </c>
      <c r="D464" s="77">
        <f t="shared" si="178"/>
        <v>46033</v>
      </c>
      <c r="E464" s="77">
        <f t="shared" si="179"/>
        <v>46040</v>
      </c>
      <c r="F464" s="77">
        <f t="shared" si="174"/>
        <v>46046</v>
      </c>
      <c r="G464" s="77">
        <f t="shared" si="175"/>
        <v>46034</v>
      </c>
      <c r="H464" s="77">
        <f t="shared" si="176"/>
        <v>46041</v>
      </c>
      <c r="I464" s="77"/>
      <c r="J464" s="78"/>
      <c r="K464" s="25"/>
      <c r="L464" s="25"/>
      <c r="M464" s="25"/>
      <c r="N464" s="25"/>
    </row>
    <row r="465" spans="1:14" x14ac:dyDescent="0.25">
      <c r="A465" s="77">
        <v>46026</v>
      </c>
      <c r="B465" s="25" t="s">
        <v>475</v>
      </c>
      <c r="C465" s="77">
        <f t="shared" si="177"/>
        <v>46049</v>
      </c>
      <c r="D465" s="77">
        <f t="shared" si="178"/>
        <v>46033</v>
      </c>
      <c r="E465" s="77">
        <f t="shared" si="179"/>
        <v>46040</v>
      </c>
      <c r="F465" s="77">
        <f t="shared" si="174"/>
        <v>46046</v>
      </c>
      <c r="G465" s="77">
        <f t="shared" si="175"/>
        <v>46034</v>
      </c>
      <c r="H465" s="77">
        <f t="shared" si="176"/>
        <v>46041</v>
      </c>
      <c r="I465" s="77"/>
      <c r="J465" s="78"/>
      <c r="K465" s="25"/>
      <c r="L465" s="25"/>
      <c r="M465" s="25"/>
      <c r="N465" s="25"/>
    </row>
    <row r="466" spans="1:14" x14ac:dyDescent="0.25">
      <c r="A466" s="77">
        <v>46027</v>
      </c>
      <c r="B466" s="25" t="s">
        <v>476</v>
      </c>
      <c r="C466" s="77">
        <f t="shared" ref="C466" si="180">A466+23</f>
        <v>46050</v>
      </c>
      <c r="D466" s="77">
        <f t="shared" ref="D466" si="181">A466+7</f>
        <v>46034</v>
      </c>
      <c r="E466" s="77">
        <f t="shared" ref="E466" si="182">A466+14</f>
        <v>46041</v>
      </c>
      <c r="F466" s="77">
        <f t="shared" ref="F466" si="183">A466+20</f>
        <v>46047</v>
      </c>
      <c r="G466" s="77">
        <f t="shared" ref="G466" si="184">A466+8</f>
        <v>46035</v>
      </c>
      <c r="H466" s="77">
        <f t="shared" ref="H466" si="185">A466+15</f>
        <v>46042</v>
      </c>
      <c r="I466" s="77"/>
      <c r="J466" s="78"/>
      <c r="K466" s="25"/>
      <c r="L466" s="25"/>
      <c r="M466" s="25"/>
      <c r="N466" s="25"/>
    </row>
    <row r="467" spans="1:14" x14ac:dyDescent="0.25">
      <c r="A467" s="77">
        <v>46027</v>
      </c>
      <c r="B467" s="25" t="s">
        <v>477</v>
      </c>
      <c r="C467" s="77">
        <f t="shared" ref="C467:C472" si="186">A467+23</f>
        <v>46050</v>
      </c>
      <c r="D467" s="77">
        <f t="shared" ref="D467:D472" si="187">A467+7</f>
        <v>46034</v>
      </c>
      <c r="E467" s="77">
        <f t="shared" ref="E467:E472" si="188">A467+14</f>
        <v>46041</v>
      </c>
      <c r="F467" s="77">
        <f t="shared" ref="F467:F472" si="189">A467+20</f>
        <v>46047</v>
      </c>
      <c r="G467" s="77">
        <f t="shared" ref="G467:G472" si="190">A467+8</f>
        <v>46035</v>
      </c>
      <c r="H467" s="77">
        <f t="shared" ref="H467:H472" si="191">A467+15</f>
        <v>46042</v>
      </c>
      <c r="I467" s="77"/>
      <c r="J467" s="78"/>
      <c r="K467" s="25"/>
      <c r="L467" s="25"/>
      <c r="M467" s="25"/>
      <c r="N467" s="25"/>
    </row>
    <row r="468" spans="1:14" x14ac:dyDescent="0.25">
      <c r="A468" s="77">
        <v>46027</v>
      </c>
      <c r="B468" s="25" t="s">
        <v>478</v>
      </c>
      <c r="C468" s="77">
        <f t="shared" si="186"/>
        <v>46050</v>
      </c>
      <c r="D468" s="77">
        <f t="shared" si="187"/>
        <v>46034</v>
      </c>
      <c r="E468" s="77">
        <f t="shared" si="188"/>
        <v>46041</v>
      </c>
      <c r="F468" s="77">
        <f t="shared" si="189"/>
        <v>46047</v>
      </c>
      <c r="G468" s="77">
        <f t="shared" si="190"/>
        <v>46035</v>
      </c>
      <c r="H468" s="77">
        <f t="shared" si="191"/>
        <v>46042</v>
      </c>
      <c r="I468" s="77"/>
      <c r="J468" s="78"/>
      <c r="K468" s="25"/>
      <c r="L468" s="25"/>
      <c r="M468" s="25"/>
      <c r="N468" s="25"/>
    </row>
    <row r="469" spans="1:14" x14ac:dyDescent="0.25">
      <c r="A469" s="77">
        <v>46027</v>
      </c>
      <c r="B469" s="25" t="s">
        <v>479</v>
      </c>
      <c r="C469" s="77">
        <f t="shared" si="186"/>
        <v>46050</v>
      </c>
      <c r="D469" s="77">
        <f t="shared" si="187"/>
        <v>46034</v>
      </c>
      <c r="E469" s="77">
        <f t="shared" si="188"/>
        <v>46041</v>
      </c>
      <c r="F469" s="77">
        <f t="shared" si="189"/>
        <v>46047</v>
      </c>
      <c r="G469" s="77">
        <f t="shared" si="190"/>
        <v>46035</v>
      </c>
      <c r="H469" s="77">
        <f t="shared" si="191"/>
        <v>46042</v>
      </c>
      <c r="I469" s="77"/>
      <c r="J469" s="78"/>
      <c r="K469" s="25"/>
      <c r="L469" s="25"/>
      <c r="M469" s="25"/>
      <c r="N469" s="25"/>
    </row>
    <row r="470" spans="1:14" x14ac:dyDescent="0.25">
      <c r="A470" s="77">
        <v>46027</v>
      </c>
      <c r="B470" s="25" t="s">
        <v>480</v>
      </c>
      <c r="C470" s="77">
        <f t="shared" si="186"/>
        <v>46050</v>
      </c>
      <c r="D470" s="77">
        <f t="shared" si="187"/>
        <v>46034</v>
      </c>
      <c r="E470" s="77">
        <f t="shared" si="188"/>
        <v>46041</v>
      </c>
      <c r="F470" s="77">
        <f t="shared" si="189"/>
        <v>46047</v>
      </c>
      <c r="G470" s="77">
        <f t="shared" si="190"/>
        <v>46035</v>
      </c>
      <c r="H470" s="77">
        <f t="shared" si="191"/>
        <v>46042</v>
      </c>
      <c r="I470" s="77"/>
      <c r="J470" s="78"/>
      <c r="K470" s="25"/>
      <c r="L470" s="25"/>
      <c r="M470" s="25"/>
      <c r="N470" s="25"/>
    </row>
    <row r="471" spans="1:14" x14ac:dyDescent="0.25">
      <c r="A471" s="77">
        <v>46027</v>
      </c>
      <c r="B471" s="25" t="s">
        <v>481</v>
      </c>
      <c r="C471" s="77">
        <f t="shared" si="186"/>
        <v>46050</v>
      </c>
      <c r="D471" s="77">
        <f t="shared" si="187"/>
        <v>46034</v>
      </c>
      <c r="E471" s="77">
        <f t="shared" si="188"/>
        <v>46041</v>
      </c>
      <c r="F471" s="77">
        <f t="shared" si="189"/>
        <v>46047</v>
      </c>
      <c r="G471" s="77">
        <f t="shared" si="190"/>
        <v>46035</v>
      </c>
      <c r="H471" s="77">
        <f t="shared" si="191"/>
        <v>46042</v>
      </c>
      <c r="I471" s="77"/>
      <c r="J471" s="78"/>
      <c r="K471" s="25"/>
      <c r="L471" s="25"/>
      <c r="M471" s="25"/>
      <c r="N471" s="25"/>
    </row>
    <row r="472" spans="1:14" x14ac:dyDescent="0.25">
      <c r="A472" s="77">
        <v>46027</v>
      </c>
      <c r="B472" s="25" t="s">
        <v>482</v>
      </c>
      <c r="C472" s="77">
        <f t="shared" si="186"/>
        <v>46050</v>
      </c>
      <c r="D472" s="77">
        <f t="shared" si="187"/>
        <v>46034</v>
      </c>
      <c r="E472" s="77">
        <f t="shared" si="188"/>
        <v>46041</v>
      </c>
      <c r="F472" s="77">
        <f t="shared" si="189"/>
        <v>46047</v>
      </c>
      <c r="G472" s="77">
        <f t="shared" si="190"/>
        <v>46035</v>
      </c>
      <c r="H472" s="77">
        <f t="shared" si="191"/>
        <v>46042</v>
      </c>
      <c r="I472" s="77"/>
      <c r="J472" s="78"/>
      <c r="K472" s="25"/>
      <c r="L472" s="25"/>
      <c r="M472" s="25"/>
      <c r="N472" s="25"/>
    </row>
    <row r="473" spans="1:14" x14ac:dyDescent="0.25">
      <c r="A473" s="77">
        <v>46028</v>
      </c>
      <c r="B473" s="25" t="s">
        <v>483</v>
      </c>
      <c r="C473" s="77">
        <f t="shared" ref="C473:C479" si="192">A473+23</f>
        <v>46051</v>
      </c>
      <c r="D473" s="77">
        <f t="shared" ref="D473:D479" si="193">A473+7</f>
        <v>46035</v>
      </c>
      <c r="E473" s="77">
        <f t="shared" ref="E473:E479" si="194">A473+14</f>
        <v>46042</v>
      </c>
      <c r="F473" s="77">
        <f t="shared" ref="F473:F479" si="195">A473+20</f>
        <v>46048</v>
      </c>
      <c r="G473" s="77">
        <f t="shared" ref="G473:G479" si="196">A473+8</f>
        <v>46036</v>
      </c>
      <c r="H473" s="77">
        <f t="shared" ref="H473:H479" si="197">A473+15</f>
        <v>46043</v>
      </c>
      <c r="I473" s="77"/>
      <c r="J473" s="78"/>
      <c r="K473" s="25"/>
      <c r="L473" s="25"/>
      <c r="M473" s="25"/>
      <c r="N473" s="25"/>
    </row>
    <row r="474" spans="1:14" x14ac:dyDescent="0.25">
      <c r="A474" s="77">
        <v>46028</v>
      </c>
      <c r="B474" s="25" t="s">
        <v>484</v>
      </c>
      <c r="C474" s="77">
        <f t="shared" si="192"/>
        <v>46051</v>
      </c>
      <c r="D474" s="77">
        <f t="shared" si="193"/>
        <v>46035</v>
      </c>
      <c r="E474" s="77">
        <f t="shared" si="194"/>
        <v>46042</v>
      </c>
      <c r="F474" s="77">
        <f t="shared" si="195"/>
        <v>46048</v>
      </c>
      <c r="G474" s="77">
        <f t="shared" si="196"/>
        <v>46036</v>
      </c>
      <c r="H474" s="77">
        <f t="shared" si="197"/>
        <v>46043</v>
      </c>
      <c r="I474" s="77"/>
      <c r="J474" s="78"/>
      <c r="K474" s="25"/>
      <c r="L474" s="25"/>
      <c r="M474" s="25"/>
      <c r="N474" s="25"/>
    </row>
    <row r="475" spans="1:14" x14ac:dyDescent="0.25">
      <c r="A475" s="77">
        <v>46028</v>
      </c>
      <c r="B475" s="25" t="s">
        <v>485</v>
      </c>
      <c r="C475" s="77">
        <f t="shared" si="192"/>
        <v>46051</v>
      </c>
      <c r="D475" s="77">
        <f t="shared" si="193"/>
        <v>46035</v>
      </c>
      <c r="E475" s="77">
        <f t="shared" si="194"/>
        <v>46042</v>
      </c>
      <c r="F475" s="77">
        <f t="shared" si="195"/>
        <v>46048</v>
      </c>
      <c r="G475" s="77">
        <f t="shared" si="196"/>
        <v>46036</v>
      </c>
      <c r="H475" s="77">
        <f t="shared" si="197"/>
        <v>46043</v>
      </c>
      <c r="I475" s="77"/>
      <c r="J475" s="78"/>
      <c r="K475" s="25"/>
      <c r="L475" s="25"/>
      <c r="M475" s="25"/>
      <c r="N475" s="25"/>
    </row>
    <row r="476" spans="1:14" x14ac:dyDescent="0.25">
      <c r="A476" s="77">
        <v>46028</v>
      </c>
      <c r="B476" s="25" t="s">
        <v>486</v>
      </c>
      <c r="C476" s="77">
        <f t="shared" si="192"/>
        <v>46051</v>
      </c>
      <c r="D476" s="77">
        <f t="shared" si="193"/>
        <v>46035</v>
      </c>
      <c r="E476" s="77">
        <f t="shared" si="194"/>
        <v>46042</v>
      </c>
      <c r="F476" s="77">
        <f t="shared" si="195"/>
        <v>46048</v>
      </c>
      <c r="G476" s="77">
        <f t="shared" si="196"/>
        <v>46036</v>
      </c>
      <c r="H476" s="77">
        <f t="shared" si="197"/>
        <v>46043</v>
      </c>
      <c r="I476" s="77"/>
      <c r="J476" s="78"/>
      <c r="K476" s="25"/>
      <c r="L476" s="25"/>
      <c r="M476" s="25"/>
      <c r="N476" s="25"/>
    </row>
    <row r="477" spans="1:14" x14ac:dyDescent="0.25">
      <c r="A477" s="77">
        <v>46028</v>
      </c>
      <c r="B477" s="25" t="s">
        <v>487</v>
      </c>
      <c r="C477" s="77">
        <f t="shared" si="192"/>
        <v>46051</v>
      </c>
      <c r="D477" s="77">
        <f t="shared" si="193"/>
        <v>46035</v>
      </c>
      <c r="E477" s="77">
        <f t="shared" si="194"/>
        <v>46042</v>
      </c>
      <c r="F477" s="77">
        <f t="shared" si="195"/>
        <v>46048</v>
      </c>
      <c r="G477" s="77">
        <f t="shared" si="196"/>
        <v>46036</v>
      </c>
      <c r="H477" s="77">
        <f t="shared" si="197"/>
        <v>46043</v>
      </c>
      <c r="I477" s="77"/>
      <c r="J477" s="78"/>
      <c r="K477" s="25"/>
      <c r="L477" s="25"/>
      <c r="M477" s="25"/>
      <c r="N477" s="25"/>
    </row>
    <row r="478" spans="1:14" x14ac:dyDescent="0.25">
      <c r="A478" s="77">
        <v>46028</v>
      </c>
      <c r="B478" s="25" t="s">
        <v>488</v>
      </c>
      <c r="C478" s="77">
        <f t="shared" si="192"/>
        <v>46051</v>
      </c>
      <c r="D478" s="77">
        <f t="shared" si="193"/>
        <v>46035</v>
      </c>
      <c r="E478" s="77">
        <f t="shared" si="194"/>
        <v>46042</v>
      </c>
      <c r="F478" s="77">
        <f t="shared" si="195"/>
        <v>46048</v>
      </c>
      <c r="G478" s="77">
        <f t="shared" si="196"/>
        <v>46036</v>
      </c>
      <c r="H478" s="77">
        <f t="shared" si="197"/>
        <v>46043</v>
      </c>
      <c r="I478" s="77"/>
      <c r="J478" s="78"/>
      <c r="K478" s="25"/>
      <c r="L478" s="25"/>
      <c r="M478" s="25"/>
      <c r="N478" s="25"/>
    </row>
    <row r="479" spans="1:14" x14ac:dyDescent="0.25">
      <c r="A479" s="77">
        <v>46028</v>
      </c>
      <c r="B479" s="25" t="s">
        <v>489</v>
      </c>
      <c r="C479" s="77">
        <f t="shared" si="192"/>
        <v>46051</v>
      </c>
      <c r="D479" s="77">
        <f t="shared" si="193"/>
        <v>46035</v>
      </c>
      <c r="E479" s="77">
        <f t="shared" si="194"/>
        <v>46042</v>
      </c>
      <c r="F479" s="77">
        <f t="shared" si="195"/>
        <v>46048</v>
      </c>
      <c r="G479" s="77">
        <f t="shared" si="196"/>
        <v>46036</v>
      </c>
      <c r="H479" s="77">
        <f t="shared" si="197"/>
        <v>46043</v>
      </c>
      <c r="I479" s="77"/>
      <c r="J479" s="78"/>
      <c r="K479" s="25"/>
      <c r="L479" s="25"/>
      <c r="M479" s="25"/>
      <c r="N479" s="25"/>
    </row>
    <row r="480" spans="1:14" x14ac:dyDescent="0.25">
      <c r="A480" s="77">
        <v>46029</v>
      </c>
      <c r="B480" s="25" t="s">
        <v>490</v>
      </c>
      <c r="C480" s="77">
        <f t="shared" ref="C480:C486" si="198">A480+23</f>
        <v>46052</v>
      </c>
      <c r="D480" s="77">
        <f t="shared" ref="D480:D486" si="199">A480+7</f>
        <v>46036</v>
      </c>
      <c r="E480" s="77">
        <f t="shared" ref="E480:E486" si="200">A480+14</f>
        <v>46043</v>
      </c>
      <c r="F480" s="77">
        <f t="shared" ref="F480:F486" si="201">A480+20</f>
        <v>46049</v>
      </c>
      <c r="G480" s="77">
        <f t="shared" ref="G480:G486" si="202">A480+8</f>
        <v>46037</v>
      </c>
      <c r="H480" s="77">
        <f t="shared" ref="H480:H486" si="203">A480+15</f>
        <v>46044</v>
      </c>
      <c r="I480" s="77"/>
      <c r="J480" s="78"/>
      <c r="K480" s="25"/>
      <c r="L480" s="25"/>
      <c r="M480" s="25"/>
      <c r="N480" s="25"/>
    </row>
    <row r="481" spans="1:14" x14ac:dyDescent="0.25">
      <c r="A481" s="77">
        <v>46029</v>
      </c>
      <c r="B481" s="25" t="s">
        <v>491</v>
      </c>
      <c r="C481" s="77">
        <f t="shared" si="198"/>
        <v>46052</v>
      </c>
      <c r="D481" s="77">
        <f t="shared" si="199"/>
        <v>46036</v>
      </c>
      <c r="E481" s="77">
        <f t="shared" si="200"/>
        <v>46043</v>
      </c>
      <c r="F481" s="77">
        <f t="shared" si="201"/>
        <v>46049</v>
      </c>
      <c r="G481" s="77">
        <f t="shared" si="202"/>
        <v>46037</v>
      </c>
      <c r="H481" s="77">
        <f t="shared" si="203"/>
        <v>46044</v>
      </c>
      <c r="I481" s="77"/>
      <c r="J481" s="78"/>
      <c r="K481" s="25"/>
      <c r="L481" s="25"/>
      <c r="M481" s="25"/>
      <c r="N481" s="25"/>
    </row>
    <row r="482" spans="1:14" x14ac:dyDescent="0.25">
      <c r="A482" s="77">
        <v>46029</v>
      </c>
      <c r="B482" s="25" t="s">
        <v>492</v>
      </c>
      <c r="C482" s="77">
        <f t="shared" si="198"/>
        <v>46052</v>
      </c>
      <c r="D482" s="77">
        <f t="shared" si="199"/>
        <v>46036</v>
      </c>
      <c r="E482" s="77">
        <f t="shared" si="200"/>
        <v>46043</v>
      </c>
      <c r="F482" s="77">
        <f t="shared" si="201"/>
        <v>46049</v>
      </c>
      <c r="G482" s="77">
        <f t="shared" si="202"/>
        <v>46037</v>
      </c>
      <c r="H482" s="77">
        <f t="shared" si="203"/>
        <v>46044</v>
      </c>
      <c r="I482" s="77"/>
      <c r="J482" s="78"/>
      <c r="K482" s="25"/>
      <c r="L482" s="25"/>
      <c r="M482" s="25"/>
      <c r="N482" s="25"/>
    </row>
    <row r="483" spans="1:14" x14ac:dyDescent="0.25">
      <c r="A483" s="77">
        <v>46029</v>
      </c>
      <c r="B483" s="25" t="s">
        <v>493</v>
      </c>
      <c r="C483" s="77">
        <f t="shared" si="198"/>
        <v>46052</v>
      </c>
      <c r="D483" s="77">
        <f t="shared" si="199"/>
        <v>46036</v>
      </c>
      <c r="E483" s="77">
        <f t="shared" si="200"/>
        <v>46043</v>
      </c>
      <c r="F483" s="77">
        <f t="shared" si="201"/>
        <v>46049</v>
      </c>
      <c r="G483" s="77">
        <f t="shared" si="202"/>
        <v>46037</v>
      </c>
      <c r="H483" s="77">
        <f t="shared" si="203"/>
        <v>46044</v>
      </c>
      <c r="I483" s="77"/>
      <c r="J483" s="78"/>
      <c r="K483" s="25"/>
      <c r="L483" s="25"/>
      <c r="M483" s="25"/>
      <c r="N483" s="25"/>
    </row>
    <row r="484" spans="1:14" x14ac:dyDescent="0.25">
      <c r="A484" s="77">
        <v>46029</v>
      </c>
      <c r="B484" s="25" t="s">
        <v>494</v>
      </c>
      <c r="C484" s="77">
        <f t="shared" si="198"/>
        <v>46052</v>
      </c>
      <c r="D484" s="77">
        <f t="shared" si="199"/>
        <v>46036</v>
      </c>
      <c r="E484" s="77">
        <f t="shared" si="200"/>
        <v>46043</v>
      </c>
      <c r="F484" s="77">
        <f t="shared" si="201"/>
        <v>46049</v>
      </c>
      <c r="G484" s="77">
        <f t="shared" si="202"/>
        <v>46037</v>
      </c>
      <c r="H484" s="77">
        <f t="shared" si="203"/>
        <v>46044</v>
      </c>
      <c r="I484" s="77"/>
      <c r="J484" s="78"/>
      <c r="K484" s="25"/>
      <c r="L484" s="25"/>
      <c r="M484" s="25"/>
      <c r="N484" s="25"/>
    </row>
    <row r="485" spans="1:14" x14ac:dyDescent="0.25">
      <c r="A485" s="77">
        <v>46029</v>
      </c>
      <c r="B485" s="25" t="s">
        <v>495</v>
      </c>
      <c r="C485" s="77">
        <f t="shared" si="198"/>
        <v>46052</v>
      </c>
      <c r="D485" s="77">
        <f t="shared" si="199"/>
        <v>46036</v>
      </c>
      <c r="E485" s="77">
        <f t="shared" si="200"/>
        <v>46043</v>
      </c>
      <c r="F485" s="77">
        <f t="shared" si="201"/>
        <v>46049</v>
      </c>
      <c r="G485" s="77">
        <f t="shared" si="202"/>
        <v>46037</v>
      </c>
      <c r="H485" s="77">
        <f t="shared" si="203"/>
        <v>46044</v>
      </c>
      <c r="I485" s="77"/>
      <c r="J485" s="78"/>
      <c r="K485" s="25"/>
      <c r="L485" s="25"/>
      <c r="M485" s="25"/>
      <c r="N485" s="25"/>
    </row>
    <row r="486" spans="1:14" x14ac:dyDescent="0.25">
      <c r="A486" s="77">
        <v>46029</v>
      </c>
      <c r="B486" s="25" t="s">
        <v>496</v>
      </c>
      <c r="C486" s="77">
        <f t="shared" si="198"/>
        <v>46052</v>
      </c>
      <c r="D486" s="77">
        <f t="shared" si="199"/>
        <v>46036</v>
      </c>
      <c r="E486" s="77">
        <f t="shared" si="200"/>
        <v>46043</v>
      </c>
      <c r="F486" s="77">
        <f t="shared" si="201"/>
        <v>46049</v>
      </c>
      <c r="G486" s="77">
        <f t="shared" si="202"/>
        <v>46037</v>
      </c>
      <c r="H486" s="77">
        <f t="shared" si="203"/>
        <v>46044</v>
      </c>
      <c r="I486" s="77"/>
      <c r="J486" s="78"/>
      <c r="K486" s="25"/>
      <c r="L486" s="25"/>
      <c r="M486" s="25"/>
      <c r="N486" s="25"/>
    </row>
    <row r="487" spans="1:14" x14ac:dyDescent="0.25">
      <c r="A487" s="77">
        <v>46030</v>
      </c>
      <c r="B487" s="25" t="s">
        <v>497</v>
      </c>
      <c r="C487" s="77">
        <f t="shared" ref="C487:C502" si="204">A487+23</f>
        <v>46053</v>
      </c>
      <c r="D487" s="77">
        <f t="shared" ref="D487:D502" si="205">A487+7</f>
        <v>46037</v>
      </c>
      <c r="E487" s="77">
        <f t="shared" ref="E487:E502" si="206">A487+14</f>
        <v>46044</v>
      </c>
      <c r="F487" s="77">
        <f t="shared" ref="F487:F502" si="207">A487+20</f>
        <v>46050</v>
      </c>
      <c r="G487" s="77">
        <f t="shared" ref="G487:G502" si="208">A487+8</f>
        <v>46038</v>
      </c>
      <c r="H487" s="77">
        <f t="shared" ref="H487:H502" si="209">A487+15</f>
        <v>46045</v>
      </c>
      <c r="I487" s="77"/>
      <c r="J487" s="78"/>
      <c r="K487" s="25"/>
      <c r="L487" s="25"/>
      <c r="M487" s="25"/>
      <c r="N487" s="25"/>
    </row>
    <row r="488" spans="1:14" x14ac:dyDescent="0.25">
      <c r="A488" s="77">
        <v>46030</v>
      </c>
      <c r="B488" s="25" t="s">
        <v>498</v>
      </c>
      <c r="C488" s="77">
        <f t="shared" si="204"/>
        <v>46053</v>
      </c>
      <c r="D488" s="77">
        <f t="shared" si="205"/>
        <v>46037</v>
      </c>
      <c r="E488" s="77">
        <f t="shared" si="206"/>
        <v>46044</v>
      </c>
      <c r="F488" s="77">
        <f t="shared" si="207"/>
        <v>46050</v>
      </c>
      <c r="G488" s="77">
        <f t="shared" si="208"/>
        <v>46038</v>
      </c>
      <c r="H488" s="77">
        <f t="shared" si="209"/>
        <v>46045</v>
      </c>
      <c r="I488" s="77"/>
      <c r="J488" s="78"/>
      <c r="K488" s="25"/>
      <c r="L488" s="25"/>
      <c r="M488" s="25"/>
      <c r="N488" s="25"/>
    </row>
    <row r="489" spans="1:14" x14ac:dyDescent="0.25">
      <c r="A489" s="77">
        <v>46030</v>
      </c>
      <c r="B489" s="25" t="s">
        <v>499</v>
      </c>
      <c r="C489" s="77">
        <f t="shared" si="204"/>
        <v>46053</v>
      </c>
      <c r="D489" s="77">
        <f t="shared" si="205"/>
        <v>46037</v>
      </c>
      <c r="E489" s="77">
        <f t="shared" si="206"/>
        <v>46044</v>
      </c>
      <c r="F489" s="77">
        <f t="shared" si="207"/>
        <v>46050</v>
      </c>
      <c r="G489" s="77">
        <f t="shared" si="208"/>
        <v>46038</v>
      </c>
      <c r="H489" s="77">
        <f t="shared" si="209"/>
        <v>46045</v>
      </c>
      <c r="I489" s="77"/>
      <c r="J489" s="78"/>
      <c r="K489" s="25"/>
      <c r="L489" s="25"/>
      <c r="M489" s="25"/>
      <c r="N489" s="25"/>
    </row>
    <row r="490" spans="1:14" x14ac:dyDescent="0.25">
      <c r="A490" s="77">
        <v>46030</v>
      </c>
      <c r="B490" s="25" t="s">
        <v>500</v>
      </c>
      <c r="C490" s="77">
        <f t="shared" si="204"/>
        <v>46053</v>
      </c>
      <c r="D490" s="77">
        <f t="shared" si="205"/>
        <v>46037</v>
      </c>
      <c r="E490" s="77">
        <f t="shared" si="206"/>
        <v>46044</v>
      </c>
      <c r="F490" s="77">
        <f t="shared" si="207"/>
        <v>46050</v>
      </c>
      <c r="G490" s="77">
        <f t="shared" si="208"/>
        <v>46038</v>
      </c>
      <c r="H490" s="77">
        <f t="shared" si="209"/>
        <v>46045</v>
      </c>
      <c r="I490" s="77"/>
      <c r="J490" s="78"/>
      <c r="K490" s="25"/>
      <c r="L490" s="25"/>
      <c r="M490" s="25"/>
      <c r="N490" s="25"/>
    </row>
    <row r="491" spans="1:14" x14ac:dyDescent="0.25">
      <c r="A491" s="77">
        <v>46030</v>
      </c>
      <c r="B491" s="25" t="s">
        <v>501</v>
      </c>
      <c r="C491" s="77">
        <f t="shared" si="204"/>
        <v>46053</v>
      </c>
      <c r="D491" s="77">
        <f t="shared" si="205"/>
        <v>46037</v>
      </c>
      <c r="E491" s="77">
        <f t="shared" si="206"/>
        <v>46044</v>
      </c>
      <c r="F491" s="77">
        <f t="shared" si="207"/>
        <v>46050</v>
      </c>
      <c r="G491" s="77">
        <f t="shared" si="208"/>
        <v>46038</v>
      </c>
      <c r="H491" s="77">
        <f t="shared" si="209"/>
        <v>46045</v>
      </c>
      <c r="I491" s="77"/>
      <c r="J491" s="78"/>
      <c r="K491" s="25"/>
      <c r="L491" s="25"/>
      <c r="M491" s="25"/>
      <c r="N491" s="25"/>
    </row>
    <row r="492" spans="1:14" x14ac:dyDescent="0.25">
      <c r="A492" s="77">
        <v>46030</v>
      </c>
      <c r="B492" s="25" t="s">
        <v>502</v>
      </c>
      <c r="C492" s="77">
        <f t="shared" si="204"/>
        <v>46053</v>
      </c>
      <c r="D492" s="77">
        <f t="shared" si="205"/>
        <v>46037</v>
      </c>
      <c r="E492" s="77">
        <f t="shared" si="206"/>
        <v>46044</v>
      </c>
      <c r="F492" s="77">
        <f t="shared" si="207"/>
        <v>46050</v>
      </c>
      <c r="G492" s="77">
        <f t="shared" si="208"/>
        <v>46038</v>
      </c>
      <c r="H492" s="77">
        <f t="shared" si="209"/>
        <v>46045</v>
      </c>
      <c r="I492" s="77"/>
      <c r="J492" s="78"/>
      <c r="K492" s="25"/>
      <c r="L492" s="25"/>
      <c r="M492" s="25"/>
      <c r="N492" s="25"/>
    </row>
    <row r="493" spans="1:14" x14ac:dyDescent="0.25">
      <c r="A493" s="77">
        <v>46030</v>
      </c>
      <c r="B493" s="25" t="s">
        <v>503</v>
      </c>
      <c r="C493" s="77">
        <f t="shared" si="204"/>
        <v>46053</v>
      </c>
      <c r="D493" s="77">
        <f t="shared" si="205"/>
        <v>46037</v>
      </c>
      <c r="E493" s="77">
        <f t="shared" si="206"/>
        <v>46044</v>
      </c>
      <c r="F493" s="77">
        <f t="shared" si="207"/>
        <v>46050</v>
      </c>
      <c r="G493" s="77">
        <f t="shared" si="208"/>
        <v>46038</v>
      </c>
      <c r="H493" s="77">
        <f t="shared" si="209"/>
        <v>46045</v>
      </c>
      <c r="I493" s="77"/>
      <c r="J493" s="78"/>
      <c r="K493" s="25"/>
      <c r="L493" s="25"/>
      <c r="M493" s="25"/>
      <c r="N493" s="25"/>
    </row>
    <row r="494" spans="1:14" x14ac:dyDescent="0.25">
      <c r="A494" s="77">
        <v>46031</v>
      </c>
      <c r="B494" s="25" t="s">
        <v>504</v>
      </c>
      <c r="C494" s="77">
        <f t="shared" si="204"/>
        <v>46054</v>
      </c>
      <c r="D494" s="77">
        <f t="shared" si="205"/>
        <v>46038</v>
      </c>
      <c r="E494" s="77">
        <f t="shared" si="206"/>
        <v>46045</v>
      </c>
      <c r="F494" s="77">
        <f t="shared" si="207"/>
        <v>46051</v>
      </c>
      <c r="G494" s="77">
        <f t="shared" si="208"/>
        <v>46039</v>
      </c>
      <c r="H494" s="77">
        <f t="shared" si="209"/>
        <v>46046</v>
      </c>
      <c r="I494" s="77"/>
      <c r="J494" s="78"/>
      <c r="K494" s="25"/>
      <c r="L494" s="25"/>
      <c r="M494" s="25"/>
      <c r="N494" s="25"/>
    </row>
    <row r="495" spans="1:14" x14ac:dyDescent="0.25">
      <c r="A495" s="77">
        <v>46031</v>
      </c>
      <c r="B495" s="25" t="s">
        <v>505</v>
      </c>
      <c r="C495" s="77">
        <f t="shared" si="204"/>
        <v>46054</v>
      </c>
      <c r="D495" s="77">
        <f t="shared" si="205"/>
        <v>46038</v>
      </c>
      <c r="E495" s="77">
        <f t="shared" si="206"/>
        <v>46045</v>
      </c>
      <c r="F495" s="77">
        <f t="shared" si="207"/>
        <v>46051</v>
      </c>
      <c r="G495" s="77">
        <f t="shared" si="208"/>
        <v>46039</v>
      </c>
      <c r="H495" s="77">
        <f t="shared" si="209"/>
        <v>46046</v>
      </c>
      <c r="I495" s="77"/>
      <c r="J495" s="78"/>
      <c r="K495" s="25"/>
      <c r="L495" s="25"/>
      <c r="M495" s="25"/>
      <c r="N495" s="25"/>
    </row>
    <row r="496" spans="1:14" x14ac:dyDescent="0.25">
      <c r="A496" s="77">
        <v>46031</v>
      </c>
      <c r="B496" s="25" t="s">
        <v>506</v>
      </c>
      <c r="C496" s="77">
        <f t="shared" si="204"/>
        <v>46054</v>
      </c>
      <c r="D496" s="77">
        <f t="shared" si="205"/>
        <v>46038</v>
      </c>
      <c r="E496" s="77">
        <f t="shared" si="206"/>
        <v>46045</v>
      </c>
      <c r="F496" s="77">
        <f t="shared" si="207"/>
        <v>46051</v>
      </c>
      <c r="G496" s="77">
        <f t="shared" si="208"/>
        <v>46039</v>
      </c>
      <c r="H496" s="77">
        <f t="shared" si="209"/>
        <v>46046</v>
      </c>
      <c r="I496" s="77"/>
      <c r="J496" s="78"/>
      <c r="K496" s="25"/>
      <c r="L496" s="25"/>
      <c r="M496" s="25"/>
      <c r="N496" s="25"/>
    </row>
    <row r="497" spans="1:14" x14ac:dyDescent="0.25">
      <c r="A497" s="77">
        <v>46031</v>
      </c>
      <c r="B497" s="25" t="s">
        <v>507</v>
      </c>
      <c r="C497" s="77">
        <f t="shared" si="204"/>
        <v>46054</v>
      </c>
      <c r="D497" s="77">
        <f t="shared" si="205"/>
        <v>46038</v>
      </c>
      <c r="E497" s="77">
        <f t="shared" si="206"/>
        <v>46045</v>
      </c>
      <c r="F497" s="77">
        <f t="shared" si="207"/>
        <v>46051</v>
      </c>
      <c r="G497" s="77">
        <f t="shared" si="208"/>
        <v>46039</v>
      </c>
      <c r="H497" s="77">
        <f t="shared" si="209"/>
        <v>46046</v>
      </c>
      <c r="I497" s="77"/>
      <c r="J497" s="78"/>
      <c r="K497" s="25"/>
      <c r="L497" s="25"/>
      <c r="M497" s="25"/>
      <c r="N497" s="25"/>
    </row>
    <row r="498" spans="1:14" x14ac:dyDescent="0.25">
      <c r="A498" s="77">
        <v>46031</v>
      </c>
      <c r="B498" s="25" t="s">
        <v>508</v>
      </c>
      <c r="C498" s="77">
        <f t="shared" si="204"/>
        <v>46054</v>
      </c>
      <c r="D498" s="77">
        <f t="shared" si="205"/>
        <v>46038</v>
      </c>
      <c r="E498" s="77">
        <f t="shared" si="206"/>
        <v>46045</v>
      </c>
      <c r="F498" s="77">
        <f t="shared" si="207"/>
        <v>46051</v>
      </c>
      <c r="G498" s="77">
        <f t="shared" si="208"/>
        <v>46039</v>
      </c>
      <c r="H498" s="77">
        <f t="shared" si="209"/>
        <v>46046</v>
      </c>
      <c r="I498" s="77"/>
      <c r="J498" s="78"/>
      <c r="K498" s="25"/>
      <c r="L498" s="25"/>
      <c r="M498" s="25"/>
      <c r="N498" s="25"/>
    </row>
    <row r="499" spans="1:14" x14ac:dyDescent="0.25">
      <c r="A499" s="77">
        <v>46031</v>
      </c>
      <c r="B499" s="25" t="s">
        <v>509</v>
      </c>
      <c r="C499" s="77">
        <f t="shared" si="204"/>
        <v>46054</v>
      </c>
      <c r="D499" s="77">
        <f t="shared" si="205"/>
        <v>46038</v>
      </c>
      <c r="E499" s="77">
        <f t="shared" si="206"/>
        <v>46045</v>
      </c>
      <c r="F499" s="77">
        <f t="shared" si="207"/>
        <v>46051</v>
      </c>
      <c r="G499" s="77">
        <f t="shared" si="208"/>
        <v>46039</v>
      </c>
      <c r="H499" s="77">
        <f t="shared" si="209"/>
        <v>46046</v>
      </c>
      <c r="I499" s="77"/>
      <c r="J499" s="78"/>
      <c r="K499" s="25"/>
      <c r="L499" s="25"/>
      <c r="M499" s="25"/>
      <c r="N499" s="25"/>
    </row>
    <row r="500" spans="1:14" x14ac:dyDescent="0.25">
      <c r="A500" s="77">
        <v>46031</v>
      </c>
      <c r="B500" s="25" t="s">
        <v>510</v>
      </c>
      <c r="C500" s="77">
        <f t="shared" si="204"/>
        <v>46054</v>
      </c>
      <c r="D500" s="77">
        <f t="shared" si="205"/>
        <v>46038</v>
      </c>
      <c r="E500" s="77">
        <f t="shared" si="206"/>
        <v>46045</v>
      </c>
      <c r="F500" s="77">
        <f t="shared" si="207"/>
        <v>46051</v>
      </c>
      <c r="G500" s="77">
        <f t="shared" si="208"/>
        <v>46039</v>
      </c>
      <c r="H500" s="77">
        <f t="shared" si="209"/>
        <v>46046</v>
      </c>
      <c r="I500" s="77"/>
      <c r="J500" s="78"/>
      <c r="K500" s="25"/>
      <c r="L500" s="25"/>
      <c r="M500" s="25"/>
      <c r="N500" s="25"/>
    </row>
    <row r="501" spans="1:14" x14ac:dyDescent="0.25">
      <c r="A501" s="77">
        <v>46032</v>
      </c>
      <c r="B501" s="25" t="s">
        <v>552</v>
      </c>
      <c r="C501" s="77">
        <f t="shared" si="204"/>
        <v>46055</v>
      </c>
      <c r="D501" s="77">
        <f t="shared" si="205"/>
        <v>46039</v>
      </c>
      <c r="E501" s="77">
        <f t="shared" si="206"/>
        <v>46046</v>
      </c>
      <c r="F501" s="77">
        <f t="shared" si="207"/>
        <v>46052</v>
      </c>
      <c r="G501" s="77">
        <f t="shared" si="208"/>
        <v>46040</v>
      </c>
      <c r="H501" s="77">
        <f t="shared" si="209"/>
        <v>46047</v>
      </c>
      <c r="I501" s="77"/>
      <c r="J501" s="78"/>
      <c r="K501" s="25"/>
      <c r="L501" s="25"/>
      <c r="M501" s="25"/>
      <c r="N501" s="25"/>
    </row>
    <row r="502" spans="1:14" x14ac:dyDescent="0.25">
      <c r="A502" s="77">
        <v>46032</v>
      </c>
      <c r="B502" s="25" t="s">
        <v>553</v>
      </c>
      <c r="C502" s="77">
        <f t="shared" si="204"/>
        <v>46055</v>
      </c>
      <c r="D502" s="77">
        <f t="shared" si="205"/>
        <v>46039</v>
      </c>
      <c r="E502" s="77">
        <f t="shared" si="206"/>
        <v>46046</v>
      </c>
      <c r="F502" s="77">
        <f t="shared" si="207"/>
        <v>46052</v>
      </c>
      <c r="G502" s="77">
        <f t="shared" si="208"/>
        <v>46040</v>
      </c>
      <c r="H502" s="77">
        <f t="shared" si="209"/>
        <v>46047</v>
      </c>
      <c r="I502" s="77"/>
      <c r="J502" s="78"/>
      <c r="K502" s="25"/>
      <c r="L502" s="25"/>
      <c r="M502" s="25"/>
      <c r="N502" s="25"/>
    </row>
    <row r="503" spans="1:14" x14ac:dyDescent="0.25">
      <c r="A503" s="77">
        <v>46032</v>
      </c>
      <c r="B503" s="25" t="s">
        <v>554</v>
      </c>
      <c r="C503" s="77">
        <f t="shared" ref="C503:C514" si="210">A503+23</f>
        <v>46055</v>
      </c>
      <c r="D503" s="77">
        <f t="shared" ref="D503:D514" si="211">A503+7</f>
        <v>46039</v>
      </c>
      <c r="E503" s="77">
        <f t="shared" ref="E503:E514" si="212">A503+14</f>
        <v>46046</v>
      </c>
      <c r="F503" s="77">
        <f t="shared" ref="F503:F514" si="213">A503+20</f>
        <v>46052</v>
      </c>
      <c r="G503" s="77">
        <f t="shared" ref="G503:G514" si="214">A503+8</f>
        <v>46040</v>
      </c>
      <c r="H503" s="77">
        <f t="shared" ref="H503:H514" si="215">A503+15</f>
        <v>46047</v>
      </c>
      <c r="I503" s="77"/>
      <c r="J503" s="78"/>
      <c r="K503" s="25"/>
      <c r="L503" s="25"/>
      <c r="M503" s="25"/>
      <c r="N503" s="25"/>
    </row>
    <row r="504" spans="1:14" x14ac:dyDescent="0.25">
      <c r="A504" s="77">
        <v>46032</v>
      </c>
      <c r="B504" s="25" t="s">
        <v>555</v>
      </c>
      <c r="C504" s="77">
        <f t="shared" si="210"/>
        <v>46055</v>
      </c>
      <c r="D504" s="77">
        <f t="shared" si="211"/>
        <v>46039</v>
      </c>
      <c r="E504" s="77">
        <f t="shared" si="212"/>
        <v>46046</v>
      </c>
      <c r="F504" s="77">
        <f t="shared" si="213"/>
        <v>46052</v>
      </c>
      <c r="G504" s="77">
        <f t="shared" si="214"/>
        <v>46040</v>
      </c>
      <c r="H504" s="77">
        <f t="shared" si="215"/>
        <v>46047</v>
      </c>
      <c r="I504" s="77"/>
      <c r="J504" s="78"/>
      <c r="K504" s="25"/>
      <c r="L504" s="25"/>
      <c r="M504" s="25"/>
      <c r="N504" s="25"/>
    </row>
    <row r="505" spans="1:14" x14ac:dyDescent="0.25">
      <c r="A505" s="77">
        <v>46032</v>
      </c>
      <c r="B505" s="25" t="s">
        <v>556</v>
      </c>
      <c r="C505" s="77">
        <f t="shared" si="210"/>
        <v>46055</v>
      </c>
      <c r="D505" s="77">
        <f t="shared" si="211"/>
        <v>46039</v>
      </c>
      <c r="E505" s="77">
        <f t="shared" si="212"/>
        <v>46046</v>
      </c>
      <c r="F505" s="77">
        <f t="shared" si="213"/>
        <v>46052</v>
      </c>
      <c r="G505" s="77">
        <f t="shared" si="214"/>
        <v>46040</v>
      </c>
      <c r="H505" s="77">
        <f t="shared" si="215"/>
        <v>46047</v>
      </c>
      <c r="I505" s="77"/>
      <c r="J505" s="78"/>
      <c r="K505" s="25"/>
      <c r="L505" s="25"/>
      <c r="M505" s="25"/>
      <c r="N505" s="25"/>
    </row>
    <row r="506" spans="1:14" x14ac:dyDescent="0.25">
      <c r="A506" s="77">
        <v>46032</v>
      </c>
      <c r="B506" s="25" t="s">
        <v>557</v>
      </c>
      <c r="C506" s="77">
        <f t="shared" si="210"/>
        <v>46055</v>
      </c>
      <c r="D506" s="77">
        <f t="shared" si="211"/>
        <v>46039</v>
      </c>
      <c r="E506" s="77">
        <f t="shared" si="212"/>
        <v>46046</v>
      </c>
      <c r="F506" s="77">
        <f t="shared" si="213"/>
        <v>46052</v>
      </c>
      <c r="G506" s="77">
        <f t="shared" si="214"/>
        <v>46040</v>
      </c>
      <c r="H506" s="77">
        <f t="shared" si="215"/>
        <v>46047</v>
      </c>
      <c r="I506" s="77"/>
      <c r="J506" s="78"/>
      <c r="K506" s="25"/>
      <c r="L506" s="25"/>
      <c r="M506" s="25"/>
      <c r="N506" s="25"/>
    </row>
    <row r="507" spans="1:14" x14ac:dyDescent="0.25">
      <c r="A507" s="77">
        <v>46032</v>
      </c>
      <c r="B507" s="25" t="s">
        <v>558</v>
      </c>
      <c r="C507" s="77">
        <f t="shared" si="210"/>
        <v>46055</v>
      </c>
      <c r="D507" s="77">
        <f t="shared" si="211"/>
        <v>46039</v>
      </c>
      <c r="E507" s="77">
        <f t="shared" si="212"/>
        <v>46046</v>
      </c>
      <c r="F507" s="77">
        <f t="shared" si="213"/>
        <v>46052</v>
      </c>
      <c r="G507" s="77">
        <f t="shared" si="214"/>
        <v>46040</v>
      </c>
      <c r="H507" s="77">
        <f t="shared" si="215"/>
        <v>46047</v>
      </c>
      <c r="I507" s="77"/>
      <c r="J507" s="78"/>
      <c r="K507" s="25"/>
      <c r="L507" s="25"/>
      <c r="M507" s="25"/>
      <c r="N507" s="25"/>
    </row>
    <row r="508" spans="1:14" x14ac:dyDescent="0.25">
      <c r="A508" s="77">
        <v>46033</v>
      </c>
      <c r="B508" s="25" t="s">
        <v>545</v>
      </c>
      <c r="C508" s="77">
        <f t="shared" si="210"/>
        <v>46056</v>
      </c>
      <c r="D508" s="77">
        <f t="shared" si="211"/>
        <v>46040</v>
      </c>
      <c r="E508" s="77">
        <f t="shared" si="212"/>
        <v>46047</v>
      </c>
      <c r="F508" s="77">
        <f t="shared" si="213"/>
        <v>46053</v>
      </c>
      <c r="G508" s="77">
        <f t="shared" si="214"/>
        <v>46041</v>
      </c>
      <c r="H508" s="77">
        <f t="shared" si="215"/>
        <v>46048</v>
      </c>
      <c r="I508" s="77"/>
      <c r="J508" s="78"/>
      <c r="K508" s="25"/>
      <c r="L508" s="25"/>
      <c r="M508" s="25"/>
      <c r="N508" s="25"/>
    </row>
    <row r="509" spans="1:14" x14ac:dyDescent="0.25">
      <c r="A509" s="77">
        <v>46033</v>
      </c>
      <c r="B509" s="25" t="s">
        <v>546</v>
      </c>
      <c r="C509" s="77">
        <f t="shared" si="210"/>
        <v>46056</v>
      </c>
      <c r="D509" s="77">
        <f t="shared" si="211"/>
        <v>46040</v>
      </c>
      <c r="E509" s="77">
        <f t="shared" si="212"/>
        <v>46047</v>
      </c>
      <c r="F509" s="77">
        <f t="shared" si="213"/>
        <v>46053</v>
      </c>
      <c r="G509" s="77">
        <f t="shared" si="214"/>
        <v>46041</v>
      </c>
      <c r="H509" s="77">
        <f t="shared" si="215"/>
        <v>46048</v>
      </c>
      <c r="I509" s="77"/>
      <c r="J509" s="78"/>
      <c r="K509" s="25"/>
      <c r="L509" s="25"/>
      <c r="M509" s="25"/>
      <c r="N509" s="25"/>
    </row>
    <row r="510" spans="1:14" x14ac:dyDescent="0.25">
      <c r="A510" s="77">
        <v>46033</v>
      </c>
      <c r="B510" s="25" t="s">
        <v>547</v>
      </c>
      <c r="C510" s="77">
        <f t="shared" si="210"/>
        <v>46056</v>
      </c>
      <c r="D510" s="77">
        <f t="shared" si="211"/>
        <v>46040</v>
      </c>
      <c r="E510" s="77">
        <f t="shared" si="212"/>
        <v>46047</v>
      </c>
      <c r="F510" s="77">
        <f t="shared" si="213"/>
        <v>46053</v>
      </c>
      <c r="G510" s="77">
        <f t="shared" si="214"/>
        <v>46041</v>
      </c>
      <c r="H510" s="77">
        <f t="shared" si="215"/>
        <v>46048</v>
      </c>
      <c r="I510" s="77"/>
      <c r="J510" s="78"/>
      <c r="K510" s="25"/>
      <c r="L510" s="25"/>
      <c r="M510" s="25"/>
      <c r="N510" s="25"/>
    </row>
    <row r="511" spans="1:14" x14ac:dyDescent="0.25">
      <c r="A511" s="77">
        <v>46033</v>
      </c>
      <c r="B511" s="25" t="s">
        <v>548</v>
      </c>
      <c r="C511" s="77">
        <f t="shared" si="210"/>
        <v>46056</v>
      </c>
      <c r="D511" s="77">
        <f t="shared" si="211"/>
        <v>46040</v>
      </c>
      <c r="E511" s="77">
        <f t="shared" si="212"/>
        <v>46047</v>
      </c>
      <c r="F511" s="77">
        <f t="shared" si="213"/>
        <v>46053</v>
      </c>
      <c r="G511" s="77">
        <f t="shared" si="214"/>
        <v>46041</v>
      </c>
      <c r="H511" s="77">
        <f t="shared" si="215"/>
        <v>46048</v>
      </c>
      <c r="I511" s="77"/>
      <c r="J511" s="78"/>
      <c r="K511" s="25"/>
      <c r="L511" s="25"/>
      <c r="M511" s="25"/>
      <c r="N511" s="25"/>
    </row>
    <row r="512" spans="1:14" x14ac:dyDescent="0.25">
      <c r="A512" s="77">
        <v>46033</v>
      </c>
      <c r="B512" s="25" t="s">
        <v>549</v>
      </c>
      <c r="C512" s="77">
        <f t="shared" si="210"/>
        <v>46056</v>
      </c>
      <c r="D512" s="77">
        <f t="shared" si="211"/>
        <v>46040</v>
      </c>
      <c r="E512" s="77">
        <f t="shared" si="212"/>
        <v>46047</v>
      </c>
      <c r="F512" s="77">
        <f t="shared" si="213"/>
        <v>46053</v>
      </c>
      <c r="G512" s="77">
        <f t="shared" si="214"/>
        <v>46041</v>
      </c>
      <c r="H512" s="77">
        <f t="shared" si="215"/>
        <v>46048</v>
      </c>
      <c r="I512" s="77"/>
      <c r="J512" s="78"/>
      <c r="K512" s="25"/>
      <c r="L512" s="25"/>
      <c r="M512" s="25"/>
      <c r="N512" s="25"/>
    </row>
    <row r="513" spans="1:14" x14ac:dyDescent="0.25">
      <c r="A513" s="77">
        <v>46033</v>
      </c>
      <c r="B513" s="25" t="s">
        <v>550</v>
      </c>
      <c r="C513" s="77">
        <f t="shared" si="210"/>
        <v>46056</v>
      </c>
      <c r="D513" s="77">
        <f t="shared" si="211"/>
        <v>46040</v>
      </c>
      <c r="E513" s="77">
        <f t="shared" si="212"/>
        <v>46047</v>
      </c>
      <c r="F513" s="77">
        <f t="shared" si="213"/>
        <v>46053</v>
      </c>
      <c r="G513" s="77">
        <f t="shared" si="214"/>
        <v>46041</v>
      </c>
      <c r="H513" s="77">
        <f t="shared" si="215"/>
        <v>46048</v>
      </c>
      <c r="I513" s="77"/>
      <c r="J513" s="78"/>
      <c r="K513" s="25"/>
      <c r="L513" s="25"/>
      <c r="M513" s="25"/>
      <c r="N513" s="25"/>
    </row>
    <row r="514" spans="1:14" x14ac:dyDescent="0.25">
      <c r="A514" s="77">
        <v>46033</v>
      </c>
      <c r="B514" s="25" t="s">
        <v>551</v>
      </c>
      <c r="C514" s="77">
        <f t="shared" si="210"/>
        <v>46056</v>
      </c>
      <c r="D514" s="77">
        <f t="shared" si="211"/>
        <v>46040</v>
      </c>
      <c r="E514" s="77">
        <f t="shared" si="212"/>
        <v>46047</v>
      </c>
      <c r="F514" s="77">
        <f t="shared" si="213"/>
        <v>46053</v>
      </c>
      <c r="G514" s="77">
        <f t="shared" si="214"/>
        <v>46041</v>
      </c>
      <c r="H514" s="77">
        <f t="shared" si="215"/>
        <v>46048</v>
      </c>
      <c r="I514" s="77"/>
      <c r="J514" s="78"/>
      <c r="K514" s="25"/>
      <c r="L514" s="25"/>
      <c r="M514" s="25"/>
      <c r="N514" s="25"/>
    </row>
    <row r="515" spans="1:14" x14ac:dyDescent="0.25">
      <c r="A515" s="77">
        <v>46034</v>
      </c>
      <c r="B515" s="106" t="s">
        <v>538</v>
      </c>
      <c r="C515" s="77">
        <f t="shared" ref="C515:C522" si="216">A515+23</f>
        <v>46057</v>
      </c>
      <c r="D515" s="77">
        <f t="shared" ref="D515:D522" si="217">A515+7</f>
        <v>46041</v>
      </c>
      <c r="E515" s="77">
        <f t="shared" ref="E515:E522" si="218">A515+14</f>
        <v>46048</v>
      </c>
      <c r="F515" s="77">
        <f t="shared" ref="F515:F522" si="219">A515+20</f>
        <v>46054</v>
      </c>
      <c r="G515" s="77">
        <f t="shared" ref="G515:G522" si="220">A515+8</f>
        <v>46042</v>
      </c>
      <c r="H515" s="77">
        <f t="shared" ref="H515:H522" si="221">A515+15</f>
        <v>46049</v>
      </c>
      <c r="I515" s="77"/>
      <c r="J515" s="78"/>
      <c r="K515" s="25"/>
      <c r="L515" s="25"/>
      <c r="M515" s="25"/>
      <c r="N515" s="25"/>
    </row>
    <row r="516" spans="1:14" x14ac:dyDescent="0.25">
      <c r="A516" s="77">
        <v>46034</v>
      </c>
      <c r="B516" s="106" t="s">
        <v>539</v>
      </c>
      <c r="C516" s="77">
        <f t="shared" si="216"/>
        <v>46057</v>
      </c>
      <c r="D516" s="77">
        <f t="shared" si="217"/>
        <v>46041</v>
      </c>
      <c r="E516" s="77">
        <f t="shared" si="218"/>
        <v>46048</v>
      </c>
      <c r="F516" s="77">
        <f t="shared" si="219"/>
        <v>46054</v>
      </c>
      <c r="G516" s="77">
        <f t="shared" si="220"/>
        <v>46042</v>
      </c>
      <c r="H516" s="77">
        <f t="shared" si="221"/>
        <v>46049</v>
      </c>
      <c r="I516" s="77"/>
      <c r="J516" s="78"/>
      <c r="K516" s="25"/>
      <c r="L516" s="25"/>
      <c r="M516" s="25"/>
      <c r="N516" s="25"/>
    </row>
    <row r="517" spans="1:14" x14ac:dyDescent="0.25">
      <c r="A517" s="77">
        <v>46034</v>
      </c>
      <c r="B517" s="106" t="s">
        <v>540</v>
      </c>
      <c r="C517" s="77">
        <f t="shared" si="216"/>
        <v>46057</v>
      </c>
      <c r="D517" s="77">
        <f t="shared" si="217"/>
        <v>46041</v>
      </c>
      <c r="E517" s="77">
        <f t="shared" si="218"/>
        <v>46048</v>
      </c>
      <c r="F517" s="77">
        <f t="shared" si="219"/>
        <v>46054</v>
      </c>
      <c r="G517" s="77">
        <f t="shared" si="220"/>
        <v>46042</v>
      </c>
      <c r="H517" s="77">
        <f t="shared" si="221"/>
        <v>46049</v>
      </c>
      <c r="I517" s="77"/>
      <c r="J517" s="78"/>
      <c r="K517" s="25"/>
      <c r="L517" s="25"/>
      <c r="M517" s="25"/>
      <c r="N517" s="25"/>
    </row>
    <row r="518" spans="1:14" x14ac:dyDescent="0.25">
      <c r="A518" s="77">
        <v>46034</v>
      </c>
      <c r="B518" s="106" t="s">
        <v>541</v>
      </c>
      <c r="C518" s="77">
        <f t="shared" si="216"/>
        <v>46057</v>
      </c>
      <c r="D518" s="77">
        <f t="shared" si="217"/>
        <v>46041</v>
      </c>
      <c r="E518" s="77">
        <f t="shared" si="218"/>
        <v>46048</v>
      </c>
      <c r="F518" s="77">
        <f t="shared" si="219"/>
        <v>46054</v>
      </c>
      <c r="G518" s="77">
        <f t="shared" si="220"/>
        <v>46042</v>
      </c>
      <c r="H518" s="77">
        <f t="shared" si="221"/>
        <v>46049</v>
      </c>
      <c r="I518" s="77"/>
      <c r="J518" s="78"/>
      <c r="K518" s="25"/>
      <c r="L518" s="25"/>
      <c r="M518" s="25"/>
      <c r="N518" s="25"/>
    </row>
    <row r="519" spans="1:14" x14ac:dyDescent="0.25">
      <c r="A519" s="77">
        <v>46034</v>
      </c>
      <c r="B519" s="106" t="s">
        <v>542</v>
      </c>
      <c r="C519" s="77">
        <f t="shared" si="216"/>
        <v>46057</v>
      </c>
      <c r="D519" s="77">
        <f t="shared" si="217"/>
        <v>46041</v>
      </c>
      <c r="E519" s="77">
        <f t="shared" si="218"/>
        <v>46048</v>
      </c>
      <c r="F519" s="77">
        <f t="shared" si="219"/>
        <v>46054</v>
      </c>
      <c r="G519" s="77">
        <f t="shared" si="220"/>
        <v>46042</v>
      </c>
      <c r="H519" s="77">
        <f t="shared" si="221"/>
        <v>46049</v>
      </c>
      <c r="I519" s="77"/>
      <c r="J519" s="78"/>
      <c r="K519" s="25"/>
      <c r="L519" s="25"/>
      <c r="M519" s="25"/>
      <c r="N519" s="25"/>
    </row>
    <row r="520" spans="1:14" x14ac:dyDescent="0.25">
      <c r="A520" s="77">
        <v>46034</v>
      </c>
      <c r="B520" s="106" t="s">
        <v>543</v>
      </c>
      <c r="C520" s="77">
        <f t="shared" si="216"/>
        <v>46057</v>
      </c>
      <c r="D520" s="77">
        <f t="shared" si="217"/>
        <v>46041</v>
      </c>
      <c r="E520" s="77">
        <f t="shared" si="218"/>
        <v>46048</v>
      </c>
      <c r="F520" s="77">
        <f t="shared" si="219"/>
        <v>46054</v>
      </c>
      <c r="G520" s="77">
        <f t="shared" si="220"/>
        <v>46042</v>
      </c>
      <c r="H520" s="77">
        <f t="shared" si="221"/>
        <v>46049</v>
      </c>
      <c r="I520" s="77"/>
      <c r="J520" s="78"/>
      <c r="K520" s="25"/>
      <c r="L520" s="25"/>
      <c r="M520" s="25"/>
      <c r="N520" s="25"/>
    </row>
    <row r="521" spans="1:14" x14ac:dyDescent="0.25">
      <c r="A521" s="77">
        <v>46034</v>
      </c>
      <c r="B521" s="106" t="s">
        <v>544</v>
      </c>
      <c r="C521" s="77">
        <f t="shared" si="216"/>
        <v>46057</v>
      </c>
      <c r="D521" s="77">
        <f t="shared" si="217"/>
        <v>46041</v>
      </c>
      <c r="E521" s="77">
        <f t="shared" si="218"/>
        <v>46048</v>
      </c>
      <c r="F521" s="77">
        <f t="shared" si="219"/>
        <v>46054</v>
      </c>
      <c r="G521" s="77">
        <f t="shared" si="220"/>
        <v>46042</v>
      </c>
      <c r="H521" s="77">
        <f t="shared" si="221"/>
        <v>46049</v>
      </c>
      <c r="I521" s="77"/>
      <c r="J521" s="78"/>
      <c r="K521" s="25"/>
      <c r="L521" s="25"/>
      <c r="M521" s="25"/>
      <c r="N521" s="25"/>
    </row>
    <row r="522" spans="1:14" x14ac:dyDescent="0.25">
      <c r="A522" s="77">
        <v>46035</v>
      </c>
      <c r="B522" s="106" t="s">
        <v>537</v>
      </c>
      <c r="C522" s="77">
        <f t="shared" ref="C522:C529" si="222">A522+23</f>
        <v>46058</v>
      </c>
      <c r="D522" s="77">
        <f t="shared" ref="D522:D529" si="223">A522+7</f>
        <v>46042</v>
      </c>
      <c r="E522" s="77">
        <f t="shared" ref="E522:E529" si="224">A522+14</f>
        <v>46049</v>
      </c>
      <c r="F522" s="77">
        <f t="shared" ref="F522:F529" si="225">A522+20</f>
        <v>46055</v>
      </c>
      <c r="G522" s="77">
        <f t="shared" ref="G522:G529" si="226">A522+8</f>
        <v>46043</v>
      </c>
      <c r="H522" s="77">
        <f t="shared" ref="H522:H529" si="227">A522+15</f>
        <v>46050</v>
      </c>
      <c r="I522" s="77"/>
      <c r="J522" s="78"/>
      <c r="K522" s="25"/>
      <c r="L522" s="25"/>
      <c r="M522" s="25"/>
      <c r="N522" s="25"/>
    </row>
    <row r="523" spans="1:14" x14ac:dyDescent="0.25">
      <c r="A523" s="77">
        <v>46035</v>
      </c>
      <c r="B523" s="106" t="s">
        <v>513</v>
      </c>
      <c r="C523" s="77">
        <f t="shared" si="222"/>
        <v>46058</v>
      </c>
      <c r="D523" s="77">
        <f t="shared" si="223"/>
        <v>46042</v>
      </c>
      <c r="E523" s="77">
        <f t="shared" si="224"/>
        <v>46049</v>
      </c>
      <c r="F523" s="77">
        <f t="shared" si="225"/>
        <v>46055</v>
      </c>
      <c r="G523" s="77">
        <f t="shared" si="226"/>
        <v>46043</v>
      </c>
      <c r="H523" s="77">
        <f t="shared" si="227"/>
        <v>46050</v>
      </c>
      <c r="I523" s="77"/>
      <c r="J523" s="78"/>
      <c r="K523" s="25"/>
      <c r="L523" s="25"/>
      <c r="M523" s="25"/>
      <c r="N523" s="25"/>
    </row>
    <row r="524" spans="1:14" x14ac:dyDescent="0.25">
      <c r="A524" s="77">
        <v>46035</v>
      </c>
      <c r="B524" s="106" t="s">
        <v>514</v>
      </c>
      <c r="C524" s="77">
        <f t="shared" si="222"/>
        <v>46058</v>
      </c>
      <c r="D524" s="77">
        <f t="shared" si="223"/>
        <v>46042</v>
      </c>
      <c r="E524" s="77">
        <f t="shared" si="224"/>
        <v>46049</v>
      </c>
      <c r="F524" s="77">
        <f t="shared" si="225"/>
        <v>46055</v>
      </c>
      <c r="G524" s="77">
        <f t="shared" si="226"/>
        <v>46043</v>
      </c>
      <c r="H524" s="77">
        <f t="shared" si="227"/>
        <v>46050</v>
      </c>
      <c r="I524" s="77"/>
      <c r="J524" s="78"/>
      <c r="K524" s="25"/>
      <c r="L524" s="25"/>
      <c r="M524" s="25"/>
      <c r="N524" s="25"/>
    </row>
    <row r="525" spans="1:14" x14ac:dyDescent="0.25">
      <c r="A525" s="77">
        <v>46035</v>
      </c>
      <c r="B525" s="106" t="s">
        <v>515</v>
      </c>
      <c r="C525" s="77">
        <f t="shared" si="222"/>
        <v>46058</v>
      </c>
      <c r="D525" s="77">
        <f t="shared" si="223"/>
        <v>46042</v>
      </c>
      <c r="E525" s="77">
        <f t="shared" si="224"/>
        <v>46049</v>
      </c>
      <c r="F525" s="77">
        <f t="shared" si="225"/>
        <v>46055</v>
      </c>
      <c r="G525" s="77">
        <f t="shared" si="226"/>
        <v>46043</v>
      </c>
      <c r="H525" s="77">
        <f t="shared" si="227"/>
        <v>46050</v>
      </c>
      <c r="I525" s="77"/>
      <c r="J525" s="78"/>
      <c r="K525" s="25"/>
      <c r="L525" s="25"/>
      <c r="M525" s="25"/>
      <c r="N525" s="25"/>
    </row>
    <row r="526" spans="1:14" x14ac:dyDescent="0.25">
      <c r="A526" s="77">
        <v>46035</v>
      </c>
      <c r="B526" s="106" t="s">
        <v>516</v>
      </c>
      <c r="C526" s="77">
        <f t="shared" si="222"/>
        <v>46058</v>
      </c>
      <c r="D526" s="77">
        <f t="shared" si="223"/>
        <v>46042</v>
      </c>
      <c r="E526" s="77">
        <f t="shared" si="224"/>
        <v>46049</v>
      </c>
      <c r="F526" s="77">
        <f t="shared" si="225"/>
        <v>46055</v>
      </c>
      <c r="G526" s="77">
        <f t="shared" si="226"/>
        <v>46043</v>
      </c>
      <c r="H526" s="77">
        <f t="shared" si="227"/>
        <v>46050</v>
      </c>
      <c r="I526" s="77"/>
      <c r="J526" s="78"/>
      <c r="K526" s="25"/>
      <c r="L526" s="25"/>
      <c r="M526" s="25"/>
      <c r="N526" s="25"/>
    </row>
    <row r="527" spans="1:14" x14ac:dyDescent="0.25">
      <c r="A527" s="77">
        <v>46035</v>
      </c>
      <c r="B527" s="106" t="s">
        <v>517</v>
      </c>
      <c r="C527" s="77">
        <f t="shared" si="222"/>
        <v>46058</v>
      </c>
      <c r="D527" s="77">
        <f t="shared" si="223"/>
        <v>46042</v>
      </c>
      <c r="E527" s="77">
        <f t="shared" si="224"/>
        <v>46049</v>
      </c>
      <c r="F527" s="77">
        <f t="shared" si="225"/>
        <v>46055</v>
      </c>
      <c r="G527" s="77">
        <f t="shared" si="226"/>
        <v>46043</v>
      </c>
      <c r="H527" s="77">
        <f t="shared" si="227"/>
        <v>46050</v>
      </c>
      <c r="I527" s="77"/>
      <c r="J527" s="78"/>
      <c r="K527" s="25"/>
      <c r="L527" s="25"/>
      <c r="M527" s="25"/>
      <c r="N527" s="25"/>
    </row>
    <row r="528" spans="1:14" x14ac:dyDescent="0.25">
      <c r="A528" s="77">
        <v>46035</v>
      </c>
      <c r="B528" s="106" t="s">
        <v>518</v>
      </c>
      <c r="C528" s="77">
        <f t="shared" si="222"/>
        <v>46058</v>
      </c>
      <c r="D528" s="77">
        <f t="shared" si="223"/>
        <v>46042</v>
      </c>
      <c r="E528" s="77">
        <f t="shared" si="224"/>
        <v>46049</v>
      </c>
      <c r="F528" s="77">
        <f t="shared" si="225"/>
        <v>46055</v>
      </c>
      <c r="G528" s="77">
        <f t="shared" si="226"/>
        <v>46043</v>
      </c>
      <c r="H528" s="77">
        <f t="shared" si="227"/>
        <v>46050</v>
      </c>
      <c r="I528" s="77"/>
      <c r="J528" s="78"/>
      <c r="K528" s="25"/>
      <c r="L528" s="25"/>
      <c r="M528" s="25"/>
      <c r="N528" s="25"/>
    </row>
    <row r="529" spans="1:14" x14ac:dyDescent="0.25">
      <c r="A529" s="77">
        <v>46035</v>
      </c>
      <c r="B529" s="106" t="s">
        <v>519</v>
      </c>
      <c r="C529" s="77">
        <f t="shared" si="222"/>
        <v>46058</v>
      </c>
      <c r="D529" s="77">
        <f t="shared" si="223"/>
        <v>46042</v>
      </c>
      <c r="E529" s="77">
        <f t="shared" si="224"/>
        <v>46049</v>
      </c>
      <c r="F529" s="77">
        <f t="shared" si="225"/>
        <v>46055</v>
      </c>
      <c r="G529" s="77">
        <f t="shared" si="226"/>
        <v>46043</v>
      </c>
      <c r="H529" s="77">
        <f t="shared" si="227"/>
        <v>46050</v>
      </c>
      <c r="I529" s="77"/>
      <c r="J529" s="78"/>
      <c r="K529" s="25"/>
      <c r="L529" s="25"/>
      <c r="M529" s="25"/>
      <c r="N529" s="25"/>
    </row>
    <row r="530" spans="1:14" x14ac:dyDescent="0.25">
      <c r="A530" s="77">
        <v>46036</v>
      </c>
      <c r="B530" s="106" t="s">
        <v>520</v>
      </c>
      <c r="C530" s="77">
        <f t="shared" ref="C530" si="228">A530+23</f>
        <v>46059</v>
      </c>
      <c r="D530" s="77">
        <f t="shared" ref="D530" si="229">A530+7</f>
        <v>46043</v>
      </c>
      <c r="E530" s="77">
        <f t="shared" ref="E530" si="230">A530+14</f>
        <v>46050</v>
      </c>
      <c r="F530" s="77">
        <f t="shared" ref="F530" si="231">A530+20</f>
        <v>46056</v>
      </c>
      <c r="G530" s="77">
        <f t="shared" ref="G530" si="232">A530+8</f>
        <v>46044</v>
      </c>
      <c r="H530" s="77">
        <f t="shared" ref="H530" si="233">A530+15</f>
        <v>46051</v>
      </c>
      <c r="I530" s="77"/>
      <c r="J530" s="78"/>
      <c r="K530" s="25"/>
      <c r="L530" s="25"/>
      <c r="M530" s="25"/>
      <c r="N530" s="25"/>
    </row>
    <row r="531" spans="1:14" x14ac:dyDescent="0.25">
      <c r="A531" s="77">
        <v>46036</v>
      </c>
      <c r="B531" s="106" t="s">
        <v>521</v>
      </c>
      <c r="C531" s="77">
        <f t="shared" ref="C531:C537" si="234">A531+23</f>
        <v>46059</v>
      </c>
      <c r="D531" s="77">
        <f t="shared" ref="D531:D537" si="235">A531+7</f>
        <v>46043</v>
      </c>
      <c r="E531" s="77">
        <f t="shared" ref="E531:E537" si="236">A531+14</f>
        <v>46050</v>
      </c>
      <c r="F531" s="77">
        <f t="shared" ref="F531:F537" si="237">A531+20</f>
        <v>46056</v>
      </c>
      <c r="G531" s="77">
        <f t="shared" ref="G531:G537" si="238">A531+8</f>
        <v>46044</v>
      </c>
      <c r="H531" s="77">
        <f t="shared" ref="H531:H537" si="239">A531+15</f>
        <v>46051</v>
      </c>
      <c r="I531" s="77"/>
      <c r="J531" s="78"/>
      <c r="K531" s="25"/>
      <c r="L531" s="25"/>
      <c r="M531" s="25"/>
      <c r="N531" s="25"/>
    </row>
    <row r="532" spans="1:14" x14ac:dyDescent="0.25">
      <c r="A532" s="77">
        <v>46036</v>
      </c>
      <c r="B532" s="106" t="s">
        <v>522</v>
      </c>
      <c r="C532" s="77">
        <f t="shared" si="234"/>
        <v>46059</v>
      </c>
      <c r="D532" s="77">
        <f t="shared" si="235"/>
        <v>46043</v>
      </c>
      <c r="E532" s="77">
        <f t="shared" si="236"/>
        <v>46050</v>
      </c>
      <c r="F532" s="77">
        <f t="shared" si="237"/>
        <v>46056</v>
      </c>
      <c r="G532" s="77">
        <f t="shared" si="238"/>
        <v>46044</v>
      </c>
      <c r="H532" s="77">
        <f t="shared" si="239"/>
        <v>46051</v>
      </c>
      <c r="I532" s="77"/>
      <c r="J532" s="78"/>
      <c r="K532" s="25"/>
      <c r="L532" s="25"/>
      <c r="M532" s="25"/>
      <c r="N532" s="25"/>
    </row>
    <row r="533" spans="1:14" x14ac:dyDescent="0.25">
      <c r="A533" s="77">
        <v>46036</v>
      </c>
      <c r="B533" s="106" t="s">
        <v>523</v>
      </c>
      <c r="C533" s="77">
        <f t="shared" si="234"/>
        <v>46059</v>
      </c>
      <c r="D533" s="77">
        <f t="shared" si="235"/>
        <v>46043</v>
      </c>
      <c r="E533" s="77">
        <f t="shared" si="236"/>
        <v>46050</v>
      </c>
      <c r="F533" s="77">
        <f t="shared" si="237"/>
        <v>46056</v>
      </c>
      <c r="G533" s="77">
        <f t="shared" si="238"/>
        <v>46044</v>
      </c>
      <c r="H533" s="77">
        <f t="shared" si="239"/>
        <v>46051</v>
      </c>
      <c r="I533" s="77"/>
      <c r="J533" s="78"/>
      <c r="K533" s="25"/>
      <c r="L533" s="25"/>
      <c r="M533" s="25"/>
      <c r="N533" s="25"/>
    </row>
    <row r="534" spans="1:14" x14ac:dyDescent="0.25">
      <c r="A534" s="77">
        <v>46036</v>
      </c>
      <c r="B534" s="106" t="s">
        <v>524</v>
      </c>
      <c r="C534" s="77">
        <f t="shared" si="234"/>
        <v>46059</v>
      </c>
      <c r="D534" s="77">
        <f t="shared" si="235"/>
        <v>46043</v>
      </c>
      <c r="E534" s="77">
        <f t="shared" si="236"/>
        <v>46050</v>
      </c>
      <c r="F534" s="77">
        <f t="shared" si="237"/>
        <v>46056</v>
      </c>
      <c r="G534" s="77">
        <f t="shared" si="238"/>
        <v>46044</v>
      </c>
      <c r="H534" s="77">
        <f t="shared" si="239"/>
        <v>46051</v>
      </c>
      <c r="I534" s="77"/>
      <c r="J534" s="78"/>
      <c r="K534" s="25"/>
      <c r="L534" s="25"/>
      <c r="M534" s="25"/>
      <c r="N534" s="25"/>
    </row>
    <row r="535" spans="1:14" x14ac:dyDescent="0.25">
      <c r="A535" s="77">
        <v>46036</v>
      </c>
      <c r="B535" s="106" t="s">
        <v>525</v>
      </c>
      <c r="C535" s="77">
        <f t="shared" si="234"/>
        <v>46059</v>
      </c>
      <c r="D535" s="77">
        <f t="shared" si="235"/>
        <v>46043</v>
      </c>
      <c r="E535" s="77">
        <f t="shared" si="236"/>
        <v>46050</v>
      </c>
      <c r="F535" s="77">
        <f t="shared" si="237"/>
        <v>46056</v>
      </c>
      <c r="G535" s="77">
        <f t="shared" si="238"/>
        <v>46044</v>
      </c>
      <c r="H535" s="77">
        <f t="shared" si="239"/>
        <v>46051</v>
      </c>
      <c r="I535" s="77"/>
      <c r="J535" s="78"/>
      <c r="K535" s="25"/>
      <c r="L535" s="25"/>
      <c r="M535" s="25"/>
      <c r="N535" s="25"/>
    </row>
    <row r="536" spans="1:14" x14ac:dyDescent="0.25">
      <c r="A536" s="77">
        <v>46036</v>
      </c>
      <c r="B536" s="106" t="s">
        <v>526</v>
      </c>
      <c r="C536" s="77">
        <f t="shared" si="234"/>
        <v>46059</v>
      </c>
      <c r="D536" s="77">
        <f t="shared" si="235"/>
        <v>46043</v>
      </c>
      <c r="E536" s="77">
        <f t="shared" si="236"/>
        <v>46050</v>
      </c>
      <c r="F536" s="77">
        <f t="shared" si="237"/>
        <v>46056</v>
      </c>
      <c r="G536" s="77">
        <f t="shared" si="238"/>
        <v>46044</v>
      </c>
      <c r="H536" s="77">
        <f t="shared" si="239"/>
        <v>46051</v>
      </c>
      <c r="I536" s="77"/>
      <c r="J536" s="78"/>
      <c r="K536" s="25"/>
      <c r="L536" s="25"/>
      <c r="M536" s="25"/>
      <c r="N536" s="25"/>
    </row>
    <row r="537" spans="1:14" x14ac:dyDescent="0.25">
      <c r="A537" s="77">
        <v>46037</v>
      </c>
      <c r="B537" s="106" t="s">
        <v>527</v>
      </c>
      <c r="C537" s="77">
        <f t="shared" si="234"/>
        <v>46060</v>
      </c>
      <c r="D537" s="77">
        <f t="shared" si="235"/>
        <v>46044</v>
      </c>
      <c r="E537" s="77">
        <f t="shared" si="236"/>
        <v>46051</v>
      </c>
      <c r="F537" s="77">
        <f t="shared" si="237"/>
        <v>46057</v>
      </c>
      <c r="G537" s="77">
        <f t="shared" si="238"/>
        <v>46045</v>
      </c>
      <c r="H537" s="77">
        <f t="shared" si="239"/>
        <v>46052</v>
      </c>
      <c r="I537" s="77"/>
      <c r="J537" s="78"/>
      <c r="K537" s="25"/>
      <c r="L537" s="25"/>
      <c r="M537" s="25"/>
      <c r="N537" s="25"/>
    </row>
    <row r="538" spans="1:14" x14ac:dyDescent="0.25">
      <c r="A538" s="77">
        <v>46037</v>
      </c>
      <c r="B538" s="106" t="s">
        <v>528</v>
      </c>
      <c r="C538" s="77">
        <f t="shared" ref="C538:C545" si="240">A538+23</f>
        <v>46060</v>
      </c>
      <c r="D538" s="77">
        <f t="shared" ref="D538:D545" si="241">A538+7</f>
        <v>46044</v>
      </c>
      <c r="E538" s="77">
        <f t="shared" ref="E538:E545" si="242">A538+14</f>
        <v>46051</v>
      </c>
      <c r="F538" s="77">
        <f t="shared" ref="F538:F545" si="243">A538+20</f>
        <v>46057</v>
      </c>
      <c r="G538" s="77">
        <f t="shared" ref="G538:G545" si="244">A538+8</f>
        <v>46045</v>
      </c>
      <c r="H538" s="77">
        <f t="shared" ref="H538:H545" si="245">A538+15</f>
        <v>46052</v>
      </c>
      <c r="I538" s="77"/>
      <c r="J538" s="78"/>
      <c r="K538" s="25"/>
      <c r="L538" s="25"/>
      <c r="M538" s="25"/>
      <c r="N538" s="25"/>
    </row>
    <row r="539" spans="1:14" x14ac:dyDescent="0.25">
      <c r="A539" s="77">
        <v>46037</v>
      </c>
      <c r="B539" s="106" t="s">
        <v>529</v>
      </c>
      <c r="C539" s="77">
        <f t="shared" si="240"/>
        <v>46060</v>
      </c>
      <c r="D539" s="77">
        <f t="shared" si="241"/>
        <v>46044</v>
      </c>
      <c r="E539" s="77">
        <f t="shared" si="242"/>
        <v>46051</v>
      </c>
      <c r="F539" s="77">
        <f t="shared" si="243"/>
        <v>46057</v>
      </c>
      <c r="G539" s="77">
        <f t="shared" si="244"/>
        <v>46045</v>
      </c>
      <c r="H539" s="77">
        <f t="shared" si="245"/>
        <v>46052</v>
      </c>
      <c r="I539" s="77"/>
      <c r="J539" s="78"/>
      <c r="K539" s="25"/>
      <c r="L539" s="25"/>
      <c r="M539" s="25"/>
      <c r="N539" s="25"/>
    </row>
    <row r="540" spans="1:14" x14ac:dyDescent="0.25">
      <c r="A540" s="77">
        <v>46037</v>
      </c>
      <c r="B540" s="106" t="s">
        <v>530</v>
      </c>
      <c r="C540" s="77">
        <f t="shared" si="240"/>
        <v>46060</v>
      </c>
      <c r="D540" s="77">
        <f t="shared" si="241"/>
        <v>46044</v>
      </c>
      <c r="E540" s="77">
        <f t="shared" si="242"/>
        <v>46051</v>
      </c>
      <c r="F540" s="77">
        <f t="shared" si="243"/>
        <v>46057</v>
      </c>
      <c r="G540" s="77">
        <f t="shared" si="244"/>
        <v>46045</v>
      </c>
      <c r="H540" s="77">
        <f t="shared" si="245"/>
        <v>46052</v>
      </c>
      <c r="I540" s="77"/>
      <c r="J540" s="78"/>
      <c r="K540" s="25"/>
      <c r="L540" s="25"/>
      <c r="M540" s="25"/>
      <c r="N540" s="25"/>
    </row>
    <row r="541" spans="1:14" x14ac:dyDescent="0.25">
      <c r="A541" s="77">
        <v>46037</v>
      </c>
      <c r="B541" s="106" t="s">
        <v>531</v>
      </c>
      <c r="C541" s="77">
        <f t="shared" si="240"/>
        <v>46060</v>
      </c>
      <c r="D541" s="77">
        <f t="shared" si="241"/>
        <v>46044</v>
      </c>
      <c r="E541" s="77">
        <f t="shared" si="242"/>
        <v>46051</v>
      </c>
      <c r="F541" s="77">
        <f t="shared" si="243"/>
        <v>46057</v>
      </c>
      <c r="G541" s="77">
        <f t="shared" si="244"/>
        <v>46045</v>
      </c>
      <c r="H541" s="77">
        <f t="shared" si="245"/>
        <v>46052</v>
      </c>
      <c r="I541" s="77"/>
      <c r="J541" s="78"/>
      <c r="K541" s="25"/>
      <c r="L541" s="25"/>
      <c r="M541" s="25"/>
      <c r="N541" s="25"/>
    </row>
    <row r="542" spans="1:14" x14ac:dyDescent="0.25">
      <c r="A542" s="77">
        <v>46037</v>
      </c>
      <c r="B542" s="106" t="s">
        <v>532</v>
      </c>
      <c r="C542" s="77">
        <f t="shared" si="240"/>
        <v>46060</v>
      </c>
      <c r="D542" s="77">
        <f t="shared" si="241"/>
        <v>46044</v>
      </c>
      <c r="E542" s="77">
        <f t="shared" si="242"/>
        <v>46051</v>
      </c>
      <c r="F542" s="77">
        <f t="shared" si="243"/>
        <v>46057</v>
      </c>
      <c r="G542" s="77">
        <f t="shared" si="244"/>
        <v>46045</v>
      </c>
      <c r="H542" s="77">
        <f t="shared" si="245"/>
        <v>46052</v>
      </c>
      <c r="I542" s="77"/>
      <c r="J542" s="78"/>
      <c r="K542" s="25"/>
      <c r="L542" s="25"/>
      <c r="M542" s="25"/>
      <c r="N542" s="25"/>
    </row>
    <row r="543" spans="1:14" x14ac:dyDescent="0.25">
      <c r="A543" s="77">
        <v>46037</v>
      </c>
      <c r="B543" s="106" t="s">
        <v>533</v>
      </c>
      <c r="C543" s="77">
        <f t="shared" si="240"/>
        <v>46060</v>
      </c>
      <c r="D543" s="77">
        <f t="shared" si="241"/>
        <v>46044</v>
      </c>
      <c r="E543" s="77">
        <f t="shared" si="242"/>
        <v>46051</v>
      </c>
      <c r="F543" s="77">
        <f t="shared" si="243"/>
        <v>46057</v>
      </c>
      <c r="G543" s="77">
        <f t="shared" si="244"/>
        <v>46045</v>
      </c>
      <c r="H543" s="77">
        <f t="shared" si="245"/>
        <v>46052</v>
      </c>
      <c r="I543" s="77"/>
      <c r="J543" s="78"/>
      <c r="K543" s="25"/>
      <c r="L543" s="25"/>
      <c r="M543" s="25"/>
      <c r="N543" s="25"/>
    </row>
    <row r="544" spans="1:14" x14ac:dyDescent="0.25">
      <c r="A544" s="77">
        <v>46038</v>
      </c>
      <c r="B544" s="106" t="s">
        <v>359</v>
      </c>
      <c r="C544" s="77">
        <f t="shared" si="240"/>
        <v>46061</v>
      </c>
      <c r="D544" s="77">
        <f t="shared" si="241"/>
        <v>46045</v>
      </c>
      <c r="E544" s="77">
        <f t="shared" si="242"/>
        <v>46052</v>
      </c>
      <c r="F544" s="77">
        <f t="shared" si="243"/>
        <v>46058</v>
      </c>
      <c r="G544" s="77">
        <f t="shared" si="244"/>
        <v>46046</v>
      </c>
      <c r="H544" s="77">
        <f t="shared" si="245"/>
        <v>46053</v>
      </c>
      <c r="I544" s="77"/>
      <c r="J544" s="78"/>
      <c r="K544" s="25"/>
      <c r="L544" s="25"/>
      <c r="M544" s="25"/>
      <c r="N544" s="25"/>
    </row>
    <row r="545" spans="1:14" x14ac:dyDescent="0.25">
      <c r="A545" s="77">
        <v>46038</v>
      </c>
      <c r="B545" s="106" t="s">
        <v>360</v>
      </c>
      <c r="C545" s="77">
        <f t="shared" si="240"/>
        <v>46061</v>
      </c>
      <c r="D545" s="77">
        <f t="shared" si="241"/>
        <v>46045</v>
      </c>
      <c r="E545" s="77">
        <f t="shared" si="242"/>
        <v>46052</v>
      </c>
      <c r="F545" s="77">
        <f t="shared" si="243"/>
        <v>46058</v>
      </c>
      <c r="G545" s="77">
        <f t="shared" si="244"/>
        <v>46046</v>
      </c>
      <c r="H545" s="77">
        <f t="shared" si="245"/>
        <v>46053</v>
      </c>
      <c r="I545" s="77"/>
      <c r="J545" s="78"/>
      <c r="K545" s="25"/>
      <c r="L545" s="25"/>
      <c r="M545" s="25"/>
      <c r="N545" s="25"/>
    </row>
    <row r="546" spans="1:14" x14ac:dyDescent="0.25">
      <c r="A546" s="77">
        <v>46038</v>
      </c>
      <c r="B546" s="106" t="s">
        <v>361</v>
      </c>
      <c r="C546" s="77">
        <f t="shared" ref="C546:C554" si="246">A546+23</f>
        <v>46061</v>
      </c>
      <c r="D546" s="77">
        <f t="shared" ref="D546:D554" si="247">A546+7</f>
        <v>46045</v>
      </c>
      <c r="E546" s="77">
        <f t="shared" ref="E546:E554" si="248">A546+14</f>
        <v>46052</v>
      </c>
      <c r="F546" s="77">
        <f t="shared" ref="F546:F554" si="249">A546+20</f>
        <v>46058</v>
      </c>
      <c r="G546" s="77">
        <f t="shared" ref="G546:G554" si="250">A546+8</f>
        <v>46046</v>
      </c>
      <c r="H546" s="77">
        <f t="shared" ref="H546:H554" si="251">A546+15</f>
        <v>46053</v>
      </c>
      <c r="I546" s="77"/>
      <c r="J546" s="78"/>
      <c r="K546" s="25"/>
      <c r="L546" s="25"/>
      <c r="M546" s="25"/>
      <c r="N546" s="25"/>
    </row>
    <row r="547" spans="1:14" x14ac:dyDescent="0.25">
      <c r="A547" s="77">
        <v>46038</v>
      </c>
      <c r="B547" s="106" t="s">
        <v>362</v>
      </c>
      <c r="C547" s="77">
        <f t="shared" si="246"/>
        <v>46061</v>
      </c>
      <c r="D547" s="77">
        <f t="shared" si="247"/>
        <v>46045</v>
      </c>
      <c r="E547" s="77">
        <f t="shared" si="248"/>
        <v>46052</v>
      </c>
      <c r="F547" s="77">
        <f t="shared" si="249"/>
        <v>46058</v>
      </c>
      <c r="G547" s="77">
        <f t="shared" si="250"/>
        <v>46046</v>
      </c>
      <c r="H547" s="77">
        <f t="shared" si="251"/>
        <v>46053</v>
      </c>
      <c r="I547" s="77"/>
      <c r="J547" s="78"/>
      <c r="K547" s="25"/>
      <c r="L547" s="25"/>
      <c r="M547" s="25"/>
      <c r="N547" s="25"/>
    </row>
    <row r="548" spans="1:14" x14ac:dyDescent="0.25">
      <c r="A548" s="77">
        <v>46038</v>
      </c>
      <c r="B548" s="106" t="s">
        <v>363</v>
      </c>
      <c r="C548" s="77">
        <f t="shared" si="246"/>
        <v>46061</v>
      </c>
      <c r="D548" s="77">
        <f t="shared" si="247"/>
        <v>46045</v>
      </c>
      <c r="E548" s="77">
        <f t="shared" si="248"/>
        <v>46052</v>
      </c>
      <c r="F548" s="77">
        <f t="shared" si="249"/>
        <v>46058</v>
      </c>
      <c r="G548" s="77">
        <f t="shared" si="250"/>
        <v>46046</v>
      </c>
      <c r="H548" s="77">
        <f t="shared" si="251"/>
        <v>46053</v>
      </c>
      <c r="I548" s="77"/>
      <c r="J548" s="78"/>
      <c r="K548" s="25"/>
      <c r="L548" s="25"/>
      <c r="M548" s="25"/>
      <c r="N548" s="25"/>
    </row>
    <row r="549" spans="1:14" x14ac:dyDescent="0.25">
      <c r="A549" s="77">
        <v>46038</v>
      </c>
      <c r="B549" s="106" t="s">
        <v>364</v>
      </c>
      <c r="C549" s="77">
        <f t="shared" si="246"/>
        <v>46061</v>
      </c>
      <c r="D549" s="77">
        <f t="shared" si="247"/>
        <v>46045</v>
      </c>
      <c r="E549" s="77">
        <f t="shared" si="248"/>
        <v>46052</v>
      </c>
      <c r="F549" s="77">
        <f t="shared" si="249"/>
        <v>46058</v>
      </c>
      <c r="G549" s="77">
        <f t="shared" si="250"/>
        <v>46046</v>
      </c>
      <c r="H549" s="77">
        <f t="shared" si="251"/>
        <v>46053</v>
      </c>
      <c r="I549" s="77"/>
      <c r="J549" s="78"/>
      <c r="K549" s="25"/>
      <c r="L549" s="25"/>
      <c r="M549" s="25"/>
      <c r="N549" s="25"/>
    </row>
    <row r="550" spans="1:14" x14ac:dyDescent="0.25">
      <c r="A550" s="77">
        <v>46038</v>
      </c>
      <c r="B550" s="106" t="s">
        <v>365</v>
      </c>
      <c r="C550" s="77">
        <f t="shared" si="246"/>
        <v>46061</v>
      </c>
      <c r="D550" s="77">
        <f t="shared" si="247"/>
        <v>46045</v>
      </c>
      <c r="E550" s="77">
        <f t="shared" si="248"/>
        <v>46052</v>
      </c>
      <c r="F550" s="77">
        <f t="shared" si="249"/>
        <v>46058</v>
      </c>
      <c r="G550" s="77">
        <f t="shared" si="250"/>
        <v>46046</v>
      </c>
      <c r="H550" s="77">
        <f t="shared" si="251"/>
        <v>46053</v>
      </c>
      <c r="I550" s="77"/>
      <c r="J550" s="78"/>
      <c r="K550" s="25"/>
      <c r="L550" s="25"/>
      <c r="M550" s="25"/>
      <c r="N550" s="25"/>
    </row>
    <row r="551" spans="1:14" x14ac:dyDescent="0.25">
      <c r="A551" s="77">
        <v>46039</v>
      </c>
      <c r="B551" s="106" t="s">
        <v>379</v>
      </c>
      <c r="C551" s="77">
        <f t="shared" si="246"/>
        <v>46062</v>
      </c>
      <c r="D551" s="77">
        <f t="shared" si="247"/>
        <v>46046</v>
      </c>
      <c r="E551" s="77">
        <f t="shared" si="248"/>
        <v>46053</v>
      </c>
      <c r="F551" s="77">
        <f t="shared" si="249"/>
        <v>46059</v>
      </c>
      <c r="G551" s="77">
        <f t="shared" si="250"/>
        <v>46047</v>
      </c>
      <c r="H551" s="77">
        <f t="shared" si="251"/>
        <v>46054</v>
      </c>
      <c r="I551" s="77"/>
      <c r="J551" s="78"/>
      <c r="K551" s="25"/>
      <c r="L551" s="25"/>
      <c r="M551" s="25"/>
      <c r="N551" s="25"/>
    </row>
    <row r="552" spans="1:14" x14ac:dyDescent="0.25">
      <c r="A552" s="77">
        <v>46039</v>
      </c>
      <c r="B552" s="106" t="s">
        <v>380</v>
      </c>
      <c r="C552" s="77">
        <f t="shared" si="246"/>
        <v>46062</v>
      </c>
      <c r="D552" s="77">
        <f t="shared" si="247"/>
        <v>46046</v>
      </c>
      <c r="E552" s="77">
        <f t="shared" si="248"/>
        <v>46053</v>
      </c>
      <c r="F552" s="77">
        <f t="shared" si="249"/>
        <v>46059</v>
      </c>
      <c r="G552" s="77">
        <f t="shared" si="250"/>
        <v>46047</v>
      </c>
      <c r="H552" s="77">
        <f t="shared" si="251"/>
        <v>46054</v>
      </c>
      <c r="I552" s="77"/>
      <c r="J552" s="78"/>
      <c r="K552" s="25"/>
      <c r="L552" s="25"/>
      <c r="M552" s="25"/>
      <c r="N552" s="25"/>
    </row>
    <row r="553" spans="1:14" x14ac:dyDescent="0.25">
      <c r="A553" s="77">
        <v>46039</v>
      </c>
      <c r="B553" s="106" t="s">
        <v>381</v>
      </c>
      <c r="C553" s="77">
        <f t="shared" si="246"/>
        <v>46062</v>
      </c>
      <c r="D553" s="77">
        <f t="shared" si="247"/>
        <v>46046</v>
      </c>
      <c r="E553" s="77">
        <f t="shared" si="248"/>
        <v>46053</v>
      </c>
      <c r="F553" s="77">
        <f t="shared" si="249"/>
        <v>46059</v>
      </c>
      <c r="G553" s="77">
        <f t="shared" si="250"/>
        <v>46047</v>
      </c>
      <c r="H553" s="77">
        <f t="shared" si="251"/>
        <v>46054</v>
      </c>
      <c r="I553" s="77"/>
      <c r="J553" s="78"/>
      <c r="K553" s="25"/>
      <c r="L553" s="25"/>
      <c r="M553" s="25"/>
      <c r="N553" s="25"/>
    </row>
    <row r="554" spans="1:14" x14ac:dyDescent="0.25">
      <c r="A554" s="77">
        <v>46039</v>
      </c>
      <c r="B554" s="106" t="s">
        <v>382</v>
      </c>
      <c r="C554" s="77">
        <f t="shared" ref="C554:C559" si="252">A554+23</f>
        <v>46062</v>
      </c>
      <c r="D554" s="77">
        <f t="shared" ref="D554:D559" si="253">A554+7</f>
        <v>46046</v>
      </c>
      <c r="E554" s="77">
        <f t="shared" ref="E554:E559" si="254">A554+14</f>
        <v>46053</v>
      </c>
      <c r="F554" s="77">
        <f t="shared" ref="F554:F559" si="255">A554+20</f>
        <v>46059</v>
      </c>
      <c r="G554" s="77">
        <f t="shared" ref="G554:G559" si="256">A554+8</f>
        <v>46047</v>
      </c>
      <c r="H554" s="77">
        <f t="shared" ref="H554:H559" si="257">A554+15</f>
        <v>46054</v>
      </c>
      <c r="I554" s="77"/>
      <c r="J554" s="78"/>
      <c r="K554" s="25"/>
      <c r="L554" s="25"/>
      <c r="M554" s="25"/>
      <c r="N554" s="25"/>
    </row>
    <row r="555" spans="1:14" x14ac:dyDescent="0.25">
      <c r="A555" s="77">
        <v>46039</v>
      </c>
      <c r="B555" s="106" t="s">
        <v>383</v>
      </c>
      <c r="C555" s="77">
        <f t="shared" si="252"/>
        <v>46062</v>
      </c>
      <c r="D555" s="77">
        <f t="shared" si="253"/>
        <v>46046</v>
      </c>
      <c r="E555" s="77">
        <f t="shared" si="254"/>
        <v>46053</v>
      </c>
      <c r="F555" s="77">
        <f t="shared" si="255"/>
        <v>46059</v>
      </c>
      <c r="G555" s="77">
        <f t="shared" si="256"/>
        <v>46047</v>
      </c>
      <c r="H555" s="77">
        <f t="shared" si="257"/>
        <v>46054</v>
      </c>
      <c r="I555" s="77"/>
      <c r="J555" s="78"/>
      <c r="K555" s="25"/>
      <c r="L555" s="25"/>
      <c r="M555" s="25"/>
      <c r="N555" s="25"/>
    </row>
    <row r="556" spans="1:14" x14ac:dyDescent="0.25">
      <c r="A556" s="77">
        <v>46039</v>
      </c>
      <c r="B556" s="106" t="s">
        <v>384</v>
      </c>
      <c r="C556" s="77">
        <f t="shared" si="252"/>
        <v>46062</v>
      </c>
      <c r="D556" s="77">
        <f t="shared" si="253"/>
        <v>46046</v>
      </c>
      <c r="E556" s="77">
        <f t="shared" si="254"/>
        <v>46053</v>
      </c>
      <c r="F556" s="77">
        <f t="shared" si="255"/>
        <v>46059</v>
      </c>
      <c r="G556" s="77">
        <f t="shared" si="256"/>
        <v>46047</v>
      </c>
      <c r="H556" s="77">
        <f t="shared" si="257"/>
        <v>46054</v>
      </c>
      <c r="I556" s="77"/>
      <c r="J556" s="78"/>
      <c r="K556" s="25"/>
      <c r="L556" s="25"/>
      <c r="M556" s="25"/>
      <c r="N556" s="25"/>
    </row>
    <row r="557" spans="1:14" x14ac:dyDescent="0.25">
      <c r="A557" s="77">
        <v>46039</v>
      </c>
      <c r="B557" s="106" t="s">
        <v>385</v>
      </c>
      <c r="C557" s="77">
        <f t="shared" si="252"/>
        <v>46062</v>
      </c>
      <c r="D557" s="77">
        <f t="shared" si="253"/>
        <v>46046</v>
      </c>
      <c r="E557" s="77">
        <f t="shared" si="254"/>
        <v>46053</v>
      </c>
      <c r="F557" s="77">
        <f t="shared" si="255"/>
        <v>46059</v>
      </c>
      <c r="G557" s="77">
        <f t="shared" si="256"/>
        <v>46047</v>
      </c>
      <c r="H557" s="77">
        <f t="shared" si="257"/>
        <v>46054</v>
      </c>
      <c r="I557" s="77"/>
      <c r="J557" s="78"/>
      <c r="K557" s="25"/>
      <c r="L557" s="25"/>
      <c r="M557" s="25"/>
      <c r="N557" s="25"/>
    </row>
    <row r="558" spans="1:14" x14ac:dyDescent="0.25">
      <c r="A558" s="77">
        <v>46040</v>
      </c>
      <c r="B558" s="106" t="s">
        <v>366</v>
      </c>
      <c r="C558" s="77">
        <f t="shared" si="252"/>
        <v>46063</v>
      </c>
      <c r="D558" s="77">
        <f t="shared" si="253"/>
        <v>46047</v>
      </c>
      <c r="E558" s="77">
        <f t="shared" si="254"/>
        <v>46054</v>
      </c>
      <c r="F558" s="77">
        <f t="shared" si="255"/>
        <v>46060</v>
      </c>
      <c r="G558" s="77">
        <f t="shared" si="256"/>
        <v>46048</v>
      </c>
      <c r="H558" s="77">
        <f t="shared" si="257"/>
        <v>46055</v>
      </c>
      <c r="I558" s="77"/>
      <c r="J558" s="78"/>
      <c r="K558" s="25"/>
      <c r="L558" s="25"/>
      <c r="M558" s="25"/>
      <c r="N558" s="25"/>
    </row>
    <row r="559" spans="1:14" x14ac:dyDescent="0.25">
      <c r="A559" s="77">
        <v>46040</v>
      </c>
      <c r="B559" s="106" t="s">
        <v>367</v>
      </c>
      <c r="C559" s="77">
        <f t="shared" ref="C559:C567" si="258">A559+23</f>
        <v>46063</v>
      </c>
      <c r="D559" s="77">
        <f t="shared" ref="D559:D567" si="259">A559+7</f>
        <v>46047</v>
      </c>
      <c r="E559" s="77">
        <f t="shared" ref="E559:E567" si="260">A559+14</f>
        <v>46054</v>
      </c>
      <c r="F559" s="77">
        <f t="shared" ref="F559:F567" si="261">A559+20</f>
        <v>46060</v>
      </c>
      <c r="G559" s="77">
        <f t="shared" ref="G559:G567" si="262">A559+8</f>
        <v>46048</v>
      </c>
      <c r="H559" s="77">
        <f t="shared" ref="H559:H567" si="263">A559+15</f>
        <v>46055</v>
      </c>
      <c r="I559" s="77"/>
      <c r="J559" s="78"/>
      <c r="K559" s="25"/>
      <c r="L559" s="25"/>
      <c r="M559" s="25"/>
      <c r="N559" s="25"/>
    </row>
    <row r="560" spans="1:14" x14ac:dyDescent="0.25">
      <c r="A560" s="77">
        <v>46040</v>
      </c>
      <c r="B560" s="106" t="s">
        <v>368</v>
      </c>
      <c r="C560" s="77">
        <f t="shared" si="258"/>
        <v>46063</v>
      </c>
      <c r="D560" s="77">
        <f t="shared" si="259"/>
        <v>46047</v>
      </c>
      <c r="E560" s="77">
        <f t="shared" si="260"/>
        <v>46054</v>
      </c>
      <c r="F560" s="77">
        <f t="shared" si="261"/>
        <v>46060</v>
      </c>
      <c r="G560" s="77">
        <f t="shared" si="262"/>
        <v>46048</v>
      </c>
      <c r="H560" s="77">
        <f t="shared" si="263"/>
        <v>46055</v>
      </c>
      <c r="I560" s="77"/>
      <c r="J560" s="78"/>
      <c r="K560" s="25"/>
      <c r="L560" s="25"/>
      <c r="M560" s="25"/>
      <c r="N560" s="25"/>
    </row>
    <row r="561" spans="1:14" x14ac:dyDescent="0.25">
      <c r="A561" s="77">
        <v>46040</v>
      </c>
      <c r="B561" s="106" t="s">
        <v>369</v>
      </c>
      <c r="C561" s="77">
        <f t="shared" si="258"/>
        <v>46063</v>
      </c>
      <c r="D561" s="77">
        <f t="shared" si="259"/>
        <v>46047</v>
      </c>
      <c r="E561" s="77">
        <f t="shared" si="260"/>
        <v>46054</v>
      </c>
      <c r="F561" s="77">
        <f t="shared" si="261"/>
        <v>46060</v>
      </c>
      <c r="G561" s="77">
        <f t="shared" si="262"/>
        <v>46048</v>
      </c>
      <c r="H561" s="77">
        <f t="shared" si="263"/>
        <v>46055</v>
      </c>
      <c r="I561" s="77"/>
      <c r="J561" s="78"/>
      <c r="K561" s="25"/>
      <c r="L561" s="25"/>
      <c r="M561" s="25"/>
      <c r="N561" s="25"/>
    </row>
    <row r="562" spans="1:14" x14ac:dyDescent="0.25">
      <c r="A562" s="77">
        <v>46040</v>
      </c>
      <c r="B562" s="106" t="s">
        <v>370</v>
      </c>
      <c r="C562" s="77">
        <f t="shared" si="258"/>
        <v>46063</v>
      </c>
      <c r="D562" s="77">
        <f t="shared" si="259"/>
        <v>46047</v>
      </c>
      <c r="E562" s="77">
        <f t="shared" si="260"/>
        <v>46054</v>
      </c>
      <c r="F562" s="77">
        <f t="shared" si="261"/>
        <v>46060</v>
      </c>
      <c r="G562" s="77">
        <f t="shared" si="262"/>
        <v>46048</v>
      </c>
      <c r="H562" s="77">
        <f t="shared" si="263"/>
        <v>46055</v>
      </c>
      <c r="I562" s="77"/>
      <c r="J562" s="78"/>
      <c r="K562" s="25"/>
      <c r="L562" s="25"/>
      <c r="M562" s="25"/>
      <c r="N562" s="25"/>
    </row>
    <row r="563" spans="1:14" x14ac:dyDescent="0.25">
      <c r="A563" s="77">
        <v>46040</v>
      </c>
      <c r="B563" s="106" t="s">
        <v>371</v>
      </c>
      <c r="C563" s="77">
        <f t="shared" si="258"/>
        <v>46063</v>
      </c>
      <c r="D563" s="77">
        <f t="shared" si="259"/>
        <v>46047</v>
      </c>
      <c r="E563" s="77">
        <f t="shared" si="260"/>
        <v>46054</v>
      </c>
      <c r="F563" s="77">
        <f t="shared" si="261"/>
        <v>46060</v>
      </c>
      <c r="G563" s="77">
        <f t="shared" si="262"/>
        <v>46048</v>
      </c>
      <c r="H563" s="77">
        <f t="shared" si="263"/>
        <v>46055</v>
      </c>
      <c r="I563" s="77"/>
      <c r="J563" s="78"/>
      <c r="K563" s="25"/>
      <c r="L563" s="25"/>
      <c r="M563" s="25"/>
      <c r="N563" s="25"/>
    </row>
    <row r="564" spans="1:14" x14ac:dyDescent="0.25">
      <c r="A564" s="77">
        <v>46040</v>
      </c>
      <c r="B564" s="106" t="s">
        <v>372</v>
      </c>
      <c r="C564" s="77">
        <f t="shared" si="258"/>
        <v>46063</v>
      </c>
      <c r="D564" s="77">
        <f t="shared" si="259"/>
        <v>46047</v>
      </c>
      <c r="E564" s="77">
        <f t="shared" si="260"/>
        <v>46054</v>
      </c>
      <c r="F564" s="77">
        <f t="shared" si="261"/>
        <v>46060</v>
      </c>
      <c r="G564" s="77">
        <f t="shared" si="262"/>
        <v>46048</v>
      </c>
      <c r="H564" s="77">
        <f t="shared" si="263"/>
        <v>46055</v>
      </c>
      <c r="I564" s="77"/>
      <c r="J564" s="78"/>
      <c r="K564" s="25"/>
      <c r="L564" s="25"/>
      <c r="M564" s="25"/>
      <c r="N564" s="25"/>
    </row>
    <row r="565" spans="1:14" x14ac:dyDescent="0.25">
      <c r="A565" s="77">
        <v>46041</v>
      </c>
      <c r="B565" s="106" t="s">
        <v>386</v>
      </c>
      <c r="C565" s="77">
        <f t="shared" si="258"/>
        <v>46064</v>
      </c>
      <c r="D565" s="77">
        <f t="shared" si="259"/>
        <v>46048</v>
      </c>
      <c r="E565" s="77">
        <f t="shared" si="260"/>
        <v>46055</v>
      </c>
      <c r="F565" s="77">
        <f t="shared" si="261"/>
        <v>46061</v>
      </c>
      <c r="G565" s="77">
        <f t="shared" si="262"/>
        <v>46049</v>
      </c>
      <c r="H565" s="77">
        <f t="shared" si="263"/>
        <v>46056</v>
      </c>
      <c r="I565" s="77"/>
      <c r="J565" s="78"/>
      <c r="K565" s="25"/>
      <c r="L565" s="25"/>
      <c r="M565" s="25"/>
      <c r="N565" s="25"/>
    </row>
    <row r="566" spans="1:14" x14ac:dyDescent="0.25">
      <c r="A566" s="77">
        <v>46041</v>
      </c>
      <c r="B566" s="106" t="s">
        <v>387</v>
      </c>
      <c r="C566" s="77">
        <f t="shared" si="258"/>
        <v>46064</v>
      </c>
      <c r="D566" s="77">
        <f t="shared" si="259"/>
        <v>46048</v>
      </c>
      <c r="E566" s="77">
        <f t="shared" si="260"/>
        <v>46055</v>
      </c>
      <c r="F566" s="77">
        <f t="shared" si="261"/>
        <v>46061</v>
      </c>
      <c r="G566" s="77">
        <f t="shared" si="262"/>
        <v>46049</v>
      </c>
      <c r="H566" s="77">
        <f t="shared" si="263"/>
        <v>46056</v>
      </c>
      <c r="I566" s="77"/>
      <c r="J566" s="78"/>
      <c r="K566" s="25"/>
      <c r="L566" s="25"/>
      <c r="M566" s="25"/>
      <c r="N566" s="25"/>
    </row>
    <row r="567" spans="1:14" x14ac:dyDescent="0.25">
      <c r="A567" s="77">
        <v>46041</v>
      </c>
      <c r="B567" s="106" t="s">
        <v>388</v>
      </c>
      <c r="C567" s="77">
        <f t="shared" ref="C567:C574" si="264">A567+23</f>
        <v>46064</v>
      </c>
      <c r="D567" s="77">
        <f t="shared" ref="D567:D574" si="265">A567+7</f>
        <v>46048</v>
      </c>
      <c r="E567" s="77">
        <f t="shared" ref="E567:E574" si="266">A567+14</f>
        <v>46055</v>
      </c>
      <c r="F567" s="77">
        <f t="shared" ref="F567:F574" si="267">A567+20</f>
        <v>46061</v>
      </c>
      <c r="G567" s="77">
        <f t="shared" ref="G567:G574" si="268">A567+8</f>
        <v>46049</v>
      </c>
      <c r="H567" s="77">
        <f t="shared" ref="H567:H574" si="269">A567+15</f>
        <v>46056</v>
      </c>
      <c r="I567" s="77"/>
      <c r="J567" s="78"/>
      <c r="K567" s="25"/>
      <c r="L567" s="25"/>
      <c r="M567" s="25"/>
      <c r="N567" s="25"/>
    </row>
    <row r="568" spans="1:14" x14ac:dyDescent="0.25">
      <c r="A568" s="77">
        <v>46041</v>
      </c>
      <c r="B568" s="106" t="s">
        <v>389</v>
      </c>
      <c r="C568" s="77">
        <f t="shared" si="264"/>
        <v>46064</v>
      </c>
      <c r="D568" s="77">
        <f t="shared" si="265"/>
        <v>46048</v>
      </c>
      <c r="E568" s="77">
        <f t="shared" si="266"/>
        <v>46055</v>
      </c>
      <c r="F568" s="77">
        <f t="shared" si="267"/>
        <v>46061</v>
      </c>
      <c r="G568" s="77">
        <f t="shared" si="268"/>
        <v>46049</v>
      </c>
      <c r="H568" s="77">
        <f t="shared" si="269"/>
        <v>46056</v>
      </c>
      <c r="I568" s="77"/>
      <c r="J568" s="78"/>
      <c r="K568" s="25"/>
      <c r="L568" s="25"/>
      <c r="M568" s="25"/>
      <c r="N568" s="25"/>
    </row>
    <row r="569" spans="1:14" x14ac:dyDescent="0.25">
      <c r="A569" s="77">
        <v>46041</v>
      </c>
      <c r="B569" s="106" t="s">
        <v>390</v>
      </c>
      <c r="C569" s="77">
        <f t="shared" si="264"/>
        <v>46064</v>
      </c>
      <c r="D569" s="77">
        <f t="shared" si="265"/>
        <v>46048</v>
      </c>
      <c r="E569" s="77">
        <f t="shared" si="266"/>
        <v>46055</v>
      </c>
      <c r="F569" s="77">
        <f t="shared" si="267"/>
        <v>46061</v>
      </c>
      <c r="G569" s="77">
        <f t="shared" si="268"/>
        <v>46049</v>
      </c>
      <c r="H569" s="77">
        <f t="shared" si="269"/>
        <v>46056</v>
      </c>
      <c r="I569" s="77"/>
      <c r="J569" s="78"/>
      <c r="K569" s="25"/>
      <c r="L569" s="25"/>
      <c r="M569" s="25"/>
      <c r="N569" s="25"/>
    </row>
    <row r="570" spans="1:14" x14ac:dyDescent="0.25">
      <c r="A570" s="77">
        <v>46041</v>
      </c>
      <c r="B570" s="106" t="s">
        <v>391</v>
      </c>
      <c r="C570" s="77">
        <f t="shared" si="264"/>
        <v>46064</v>
      </c>
      <c r="D570" s="77">
        <f t="shared" si="265"/>
        <v>46048</v>
      </c>
      <c r="E570" s="77">
        <f t="shared" si="266"/>
        <v>46055</v>
      </c>
      <c r="F570" s="77">
        <f t="shared" si="267"/>
        <v>46061</v>
      </c>
      <c r="G570" s="77">
        <f t="shared" si="268"/>
        <v>46049</v>
      </c>
      <c r="H570" s="77">
        <f t="shared" si="269"/>
        <v>46056</v>
      </c>
      <c r="I570" s="77"/>
      <c r="J570" s="78"/>
      <c r="K570" s="25"/>
      <c r="L570" s="25"/>
      <c r="M570" s="25"/>
      <c r="N570" s="25"/>
    </row>
    <row r="571" spans="1:14" x14ac:dyDescent="0.25">
      <c r="A571" s="77">
        <v>46041</v>
      </c>
      <c r="B571" s="106" t="s">
        <v>392</v>
      </c>
      <c r="C571" s="77">
        <f t="shared" si="264"/>
        <v>46064</v>
      </c>
      <c r="D571" s="77">
        <f t="shared" si="265"/>
        <v>46048</v>
      </c>
      <c r="E571" s="77">
        <f t="shared" si="266"/>
        <v>46055</v>
      </c>
      <c r="F571" s="77">
        <f t="shared" si="267"/>
        <v>46061</v>
      </c>
      <c r="G571" s="77">
        <f t="shared" si="268"/>
        <v>46049</v>
      </c>
      <c r="H571" s="77">
        <f t="shared" si="269"/>
        <v>46056</v>
      </c>
      <c r="I571" s="77"/>
      <c r="J571" s="78"/>
      <c r="K571" s="25"/>
      <c r="L571" s="25"/>
      <c r="M571" s="25"/>
      <c r="N571" s="25"/>
    </row>
    <row r="572" spans="1:14" x14ac:dyDescent="0.25">
      <c r="A572" s="77">
        <v>46042</v>
      </c>
      <c r="B572" s="106" t="s">
        <v>373</v>
      </c>
      <c r="C572" s="77">
        <f t="shared" si="264"/>
        <v>46065</v>
      </c>
      <c r="D572" s="77">
        <f t="shared" si="265"/>
        <v>46049</v>
      </c>
      <c r="E572" s="77">
        <f t="shared" si="266"/>
        <v>46056</v>
      </c>
      <c r="F572" s="77">
        <f t="shared" si="267"/>
        <v>46062</v>
      </c>
      <c r="G572" s="77">
        <f t="shared" si="268"/>
        <v>46050</v>
      </c>
      <c r="H572" s="77">
        <f t="shared" si="269"/>
        <v>46057</v>
      </c>
      <c r="I572" s="77"/>
      <c r="J572" s="78"/>
      <c r="K572" s="25"/>
      <c r="L572" s="25"/>
      <c r="M572" s="25"/>
      <c r="N572" s="25"/>
    </row>
    <row r="573" spans="1:14" x14ac:dyDescent="0.25">
      <c r="A573" s="77">
        <v>46042</v>
      </c>
      <c r="B573" s="106" t="s">
        <v>374</v>
      </c>
      <c r="C573" s="77">
        <f t="shared" si="264"/>
        <v>46065</v>
      </c>
      <c r="D573" s="77">
        <f t="shared" si="265"/>
        <v>46049</v>
      </c>
      <c r="E573" s="77">
        <f t="shared" si="266"/>
        <v>46056</v>
      </c>
      <c r="F573" s="77">
        <f t="shared" si="267"/>
        <v>46062</v>
      </c>
      <c r="G573" s="77">
        <f t="shared" si="268"/>
        <v>46050</v>
      </c>
      <c r="H573" s="77">
        <f t="shared" si="269"/>
        <v>46057</v>
      </c>
      <c r="I573" s="77"/>
      <c r="J573" s="78"/>
      <c r="K573" s="25"/>
      <c r="L573" s="25"/>
      <c r="M573" s="25"/>
      <c r="N573" s="25"/>
    </row>
    <row r="574" spans="1:14" x14ac:dyDescent="0.25">
      <c r="A574" s="77">
        <v>46042</v>
      </c>
      <c r="B574" s="106" t="s">
        <v>375</v>
      </c>
      <c r="C574" s="77">
        <f t="shared" si="264"/>
        <v>46065</v>
      </c>
      <c r="D574" s="77">
        <f t="shared" si="265"/>
        <v>46049</v>
      </c>
      <c r="E574" s="77">
        <f t="shared" si="266"/>
        <v>46056</v>
      </c>
      <c r="F574" s="77">
        <f t="shared" si="267"/>
        <v>46062</v>
      </c>
      <c r="G574" s="77">
        <f t="shared" si="268"/>
        <v>46050</v>
      </c>
      <c r="H574" s="77">
        <f t="shared" si="269"/>
        <v>46057</v>
      </c>
      <c r="I574" s="77"/>
      <c r="J574" s="78"/>
      <c r="K574" s="25"/>
      <c r="L574" s="25"/>
      <c r="M574" s="25"/>
      <c r="N574" s="25"/>
    </row>
    <row r="575" spans="1:14" x14ac:dyDescent="0.25">
      <c r="A575" s="77">
        <v>46042</v>
      </c>
      <c r="B575" s="106" t="s">
        <v>376</v>
      </c>
      <c r="C575" s="77">
        <f t="shared" ref="C575:C578" si="270">A575+23</f>
        <v>46065</v>
      </c>
      <c r="D575" s="77">
        <f t="shared" ref="D575:D578" si="271">A575+7</f>
        <v>46049</v>
      </c>
      <c r="E575" s="77">
        <f t="shared" ref="E575:E578" si="272">A575+14</f>
        <v>46056</v>
      </c>
      <c r="F575" s="77">
        <f t="shared" ref="F575:F578" si="273">A575+20</f>
        <v>46062</v>
      </c>
      <c r="G575" s="77">
        <f t="shared" ref="G575:G578" si="274">A575+8</f>
        <v>46050</v>
      </c>
      <c r="H575" s="77">
        <f t="shared" ref="H575:H578" si="275">A575+15</f>
        <v>46057</v>
      </c>
      <c r="I575" s="77"/>
      <c r="J575" s="78"/>
      <c r="K575" s="25"/>
      <c r="L575" s="25"/>
      <c r="M575" s="25"/>
      <c r="N575" s="25"/>
    </row>
    <row r="576" spans="1:14" x14ac:dyDescent="0.25">
      <c r="A576" s="77">
        <v>46042</v>
      </c>
      <c r="B576" s="106" t="s">
        <v>377</v>
      </c>
      <c r="C576" s="77">
        <f t="shared" si="270"/>
        <v>46065</v>
      </c>
      <c r="D576" s="77">
        <f t="shared" si="271"/>
        <v>46049</v>
      </c>
      <c r="E576" s="77">
        <f t="shared" si="272"/>
        <v>46056</v>
      </c>
      <c r="F576" s="77">
        <f t="shared" si="273"/>
        <v>46062</v>
      </c>
      <c r="G576" s="77">
        <f t="shared" si="274"/>
        <v>46050</v>
      </c>
      <c r="H576" s="77">
        <f t="shared" si="275"/>
        <v>46057</v>
      </c>
      <c r="I576" s="77"/>
      <c r="J576" s="78"/>
      <c r="K576" s="25"/>
      <c r="L576" s="25"/>
      <c r="M576" s="25"/>
      <c r="N576" s="25"/>
    </row>
    <row r="577" spans="1:14" x14ac:dyDescent="0.25">
      <c r="A577" s="77">
        <v>46042</v>
      </c>
      <c r="B577" s="106" t="s">
        <v>393</v>
      </c>
      <c r="C577" s="77">
        <f t="shared" si="270"/>
        <v>46065</v>
      </c>
      <c r="D577" s="77">
        <f t="shared" si="271"/>
        <v>46049</v>
      </c>
      <c r="E577" s="77">
        <f t="shared" si="272"/>
        <v>46056</v>
      </c>
      <c r="F577" s="77">
        <f t="shared" si="273"/>
        <v>46062</v>
      </c>
      <c r="G577" s="77">
        <f t="shared" si="274"/>
        <v>46050</v>
      </c>
      <c r="H577" s="77">
        <f t="shared" si="275"/>
        <v>46057</v>
      </c>
      <c r="I577" s="77"/>
      <c r="J577" s="78"/>
      <c r="K577" s="25"/>
      <c r="L577" s="25"/>
      <c r="M577" s="25"/>
      <c r="N577" s="25"/>
    </row>
    <row r="578" spans="1:14" x14ac:dyDescent="0.25">
      <c r="A578" s="77">
        <v>46042</v>
      </c>
      <c r="B578" s="106" t="s">
        <v>394</v>
      </c>
      <c r="C578" s="77">
        <f t="shared" si="270"/>
        <v>46065</v>
      </c>
      <c r="D578" s="77">
        <f t="shared" si="271"/>
        <v>46049</v>
      </c>
      <c r="E578" s="77">
        <f t="shared" si="272"/>
        <v>46056</v>
      </c>
      <c r="F578" s="77">
        <f t="shared" si="273"/>
        <v>46062</v>
      </c>
      <c r="G578" s="77">
        <f t="shared" si="274"/>
        <v>46050</v>
      </c>
      <c r="H578" s="77">
        <f t="shared" si="275"/>
        <v>46057</v>
      </c>
      <c r="I578" s="77"/>
      <c r="J578" s="78"/>
      <c r="K578" s="25"/>
      <c r="L578" s="25"/>
      <c r="M578" s="25"/>
      <c r="N578" s="25"/>
    </row>
    <row r="579" spans="1:14" x14ac:dyDescent="0.25">
      <c r="A579" s="77">
        <v>46043</v>
      </c>
      <c r="B579" s="106" t="s">
        <v>395</v>
      </c>
      <c r="C579" s="77">
        <f t="shared" ref="C579:C586" si="276">A579+23</f>
        <v>46066</v>
      </c>
      <c r="D579" s="77">
        <f t="shared" ref="D579:D586" si="277">A579+7</f>
        <v>46050</v>
      </c>
      <c r="E579" s="77">
        <f t="shared" ref="E579:E586" si="278">A579+14</f>
        <v>46057</v>
      </c>
      <c r="F579" s="77">
        <f t="shared" ref="F579:F586" si="279">A579+20</f>
        <v>46063</v>
      </c>
      <c r="G579" s="77">
        <f t="shared" ref="G579:G586" si="280">A579+8</f>
        <v>46051</v>
      </c>
      <c r="H579" s="77">
        <f t="shared" ref="H579:H586" si="281">A579+15</f>
        <v>46058</v>
      </c>
      <c r="I579" s="77"/>
      <c r="J579" s="78"/>
      <c r="K579" s="25"/>
      <c r="L579" s="25"/>
      <c r="M579" s="25"/>
      <c r="N579" s="25"/>
    </row>
    <row r="580" spans="1:14" x14ac:dyDescent="0.25">
      <c r="A580" s="77">
        <v>46043</v>
      </c>
      <c r="B580" s="106" t="s">
        <v>396</v>
      </c>
      <c r="C580" s="77">
        <f t="shared" si="276"/>
        <v>46066</v>
      </c>
      <c r="D580" s="77">
        <f t="shared" si="277"/>
        <v>46050</v>
      </c>
      <c r="E580" s="77">
        <f t="shared" si="278"/>
        <v>46057</v>
      </c>
      <c r="F580" s="77">
        <f t="shared" si="279"/>
        <v>46063</v>
      </c>
      <c r="G580" s="77">
        <f t="shared" si="280"/>
        <v>46051</v>
      </c>
      <c r="H580" s="77">
        <f t="shared" si="281"/>
        <v>46058</v>
      </c>
      <c r="I580" s="77"/>
      <c r="J580" s="78"/>
      <c r="K580" s="25"/>
      <c r="L580" s="25"/>
      <c r="M580" s="25"/>
      <c r="N580" s="25"/>
    </row>
    <row r="581" spans="1:14" x14ac:dyDescent="0.25">
      <c r="A581" s="77">
        <v>46043</v>
      </c>
      <c r="B581" s="106" t="s">
        <v>397</v>
      </c>
      <c r="C581" s="77">
        <f t="shared" si="276"/>
        <v>46066</v>
      </c>
      <c r="D581" s="77">
        <f t="shared" si="277"/>
        <v>46050</v>
      </c>
      <c r="E581" s="77">
        <f t="shared" si="278"/>
        <v>46057</v>
      </c>
      <c r="F581" s="77">
        <f t="shared" si="279"/>
        <v>46063</v>
      </c>
      <c r="G581" s="77">
        <f t="shared" si="280"/>
        <v>46051</v>
      </c>
      <c r="H581" s="77">
        <f t="shared" si="281"/>
        <v>46058</v>
      </c>
      <c r="I581" s="77"/>
      <c r="J581" s="78"/>
      <c r="K581" s="25"/>
      <c r="L581" s="25"/>
      <c r="M581" s="25"/>
      <c r="N581" s="25"/>
    </row>
    <row r="582" spans="1:14" x14ac:dyDescent="0.25">
      <c r="A582" s="77">
        <v>46043</v>
      </c>
      <c r="B582" s="25" t="s">
        <v>408</v>
      </c>
      <c r="C582" s="77">
        <f t="shared" si="276"/>
        <v>46066</v>
      </c>
      <c r="D582" s="77">
        <f t="shared" si="277"/>
        <v>46050</v>
      </c>
      <c r="E582" s="77">
        <f t="shared" si="278"/>
        <v>46057</v>
      </c>
      <c r="F582" s="77">
        <f t="shared" si="279"/>
        <v>46063</v>
      </c>
      <c r="G582" s="77">
        <f t="shared" si="280"/>
        <v>46051</v>
      </c>
      <c r="H582" s="77">
        <f t="shared" si="281"/>
        <v>46058</v>
      </c>
      <c r="I582" s="77"/>
      <c r="J582" s="78"/>
      <c r="K582" s="25"/>
      <c r="L582" s="25"/>
      <c r="M582" s="25"/>
      <c r="N582" s="25"/>
    </row>
    <row r="583" spans="1:14" x14ac:dyDescent="0.25">
      <c r="A583" s="77">
        <v>46043</v>
      </c>
      <c r="B583" s="25" t="s">
        <v>409</v>
      </c>
      <c r="C583" s="77">
        <f t="shared" si="276"/>
        <v>46066</v>
      </c>
      <c r="D583" s="77">
        <f t="shared" si="277"/>
        <v>46050</v>
      </c>
      <c r="E583" s="77">
        <f t="shared" si="278"/>
        <v>46057</v>
      </c>
      <c r="F583" s="77">
        <f t="shared" si="279"/>
        <v>46063</v>
      </c>
      <c r="G583" s="77">
        <f t="shared" si="280"/>
        <v>46051</v>
      </c>
      <c r="H583" s="77">
        <f t="shared" si="281"/>
        <v>46058</v>
      </c>
      <c r="I583" s="77"/>
      <c r="J583" s="78"/>
      <c r="K583" s="25"/>
      <c r="L583" s="25"/>
      <c r="M583" s="25"/>
      <c r="N583" s="25"/>
    </row>
    <row r="584" spans="1:14" x14ac:dyDescent="0.25">
      <c r="A584" s="77">
        <v>46043</v>
      </c>
      <c r="B584" s="25" t="s">
        <v>410</v>
      </c>
      <c r="C584" s="77">
        <f t="shared" si="276"/>
        <v>46066</v>
      </c>
      <c r="D584" s="77">
        <f t="shared" si="277"/>
        <v>46050</v>
      </c>
      <c r="E584" s="77">
        <f t="shared" si="278"/>
        <v>46057</v>
      </c>
      <c r="F584" s="77">
        <f t="shared" si="279"/>
        <v>46063</v>
      </c>
      <c r="G584" s="77">
        <f t="shared" si="280"/>
        <v>46051</v>
      </c>
      <c r="H584" s="77">
        <f t="shared" si="281"/>
        <v>46058</v>
      </c>
      <c r="I584" s="77"/>
      <c r="J584" s="78"/>
      <c r="K584" s="25"/>
      <c r="L584" s="25"/>
      <c r="M584" s="25"/>
      <c r="N584" s="25"/>
    </row>
    <row r="585" spans="1:14" x14ac:dyDescent="0.25">
      <c r="A585" s="77"/>
      <c r="B585" s="25"/>
      <c r="C585" s="77"/>
      <c r="D585" s="77"/>
      <c r="E585" s="77"/>
      <c r="F585" s="77"/>
      <c r="G585" s="77"/>
      <c r="H585" s="77"/>
      <c r="I585" s="77"/>
      <c r="J585" s="78"/>
      <c r="K585" s="25"/>
      <c r="L585" s="25"/>
      <c r="M585" s="25"/>
      <c r="N585" s="25"/>
    </row>
    <row r="586" spans="1:14" x14ac:dyDescent="0.25">
      <c r="A586" s="77"/>
      <c r="B586" s="25"/>
      <c r="C586" s="77"/>
      <c r="D586" s="77"/>
      <c r="E586" s="77"/>
      <c r="F586" s="77"/>
      <c r="G586" s="77"/>
      <c r="H586" s="77"/>
      <c r="I586" s="77"/>
      <c r="J586" s="78"/>
      <c r="K586" s="25"/>
      <c r="L586" s="25"/>
      <c r="M586" s="25"/>
      <c r="N586" s="25"/>
    </row>
  </sheetData>
  <autoFilter ref="A2:N429" xr:uid="{20199F35-F489-4132-BF95-FF556C1B36C1}">
    <sortState xmlns:xlrd2="http://schemas.microsoft.com/office/spreadsheetml/2017/richdata2" ref="A236:N251">
      <sortCondition ref="N2:N422"/>
    </sortState>
  </autoFilter>
  <phoneticPr fontId="12" type="noConversion"/>
  <conditionalFormatting sqref="A430:A586">
    <cfRule type="expression" dxfId="10" priority="1">
      <formula>$K430&gt;0</formula>
    </cfRule>
  </conditionalFormatting>
  <conditionalFormatting sqref="A1:B169 A189:B224 B225:B415 C349:H369 C371:J373 C374:H415 A402:B415 C370:I370">
    <cfRule type="expression" dxfId="9" priority="13">
      <formula>$K1&gt;0</formula>
    </cfRule>
  </conditionalFormatting>
  <conditionalFormatting sqref="B430 A431:B1048576">
    <cfRule type="expression" dxfId="8" priority="2">
      <formula>$K430&gt;0</formula>
    </cfRule>
  </conditionalFormatting>
  <conditionalFormatting sqref="C1:H169 A170:I188 C189:H348 C363:H1048576">
    <cfRule type="expression" dxfId="7" priority="16">
      <formula>$J1&gt;0</formula>
    </cfRule>
  </conditionalFormatting>
  <conditionalFormatting sqref="I1:I247 A225:A422 J374:J452 A416:H422 A417:B429 C423:H429 F430:H452 C430:E465 F453:J465 C466:J586 I480:I1048576">
    <cfRule type="expression" dxfId="6" priority="5">
      <formula>$K1&gt;0</formula>
    </cfRule>
  </conditionalFormatting>
  <conditionalFormatting sqref="I248:I249">
    <cfRule type="expression" dxfId="5" priority="8799">
      <formula>$K247&gt;0</formula>
    </cfRule>
  </conditionalFormatting>
  <conditionalFormatting sqref="I250:I452">
    <cfRule type="expression" dxfId="4" priority="3">
      <formula>$K250&gt;0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1BF5-C6B5-4D68-9957-354F2D4CDD39}">
  <dimension ref="A1:L201"/>
  <sheetViews>
    <sheetView workbookViewId="0">
      <selection activeCell="Q13" sqref="Q13"/>
    </sheetView>
  </sheetViews>
  <sheetFormatPr defaultRowHeight="15" x14ac:dyDescent="0.25"/>
  <cols>
    <col min="1" max="2" width="10.7109375" bestFit="1" customWidth="1"/>
    <col min="3" max="3" width="37.5703125" bestFit="1" customWidth="1"/>
    <col min="4" max="4" width="28.140625" bestFit="1" customWidth="1"/>
    <col min="7" max="7" width="13.28515625" customWidth="1"/>
    <col min="9" max="9" width="12.85546875" bestFit="1" customWidth="1"/>
    <col min="10" max="10" width="12.42578125" bestFit="1" customWidth="1"/>
  </cols>
  <sheetData>
    <row r="1" spans="1:12" x14ac:dyDescent="0.25">
      <c r="A1" t="s">
        <v>1132</v>
      </c>
      <c r="B1" t="s">
        <v>1143</v>
      </c>
      <c r="C1" t="s">
        <v>1133</v>
      </c>
      <c r="D1" t="s">
        <v>1134</v>
      </c>
      <c r="E1" t="s">
        <v>1135</v>
      </c>
      <c r="F1" t="s">
        <v>1136</v>
      </c>
      <c r="G1" t="s">
        <v>1137</v>
      </c>
      <c r="H1" t="s">
        <v>1138</v>
      </c>
      <c r="I1" t="s">
        <v>1139</v>
      </c>
      <c r="J1" t="s">
        <v>1140</v>
      </c>
      <c r="K1" t="s">
        <v>1141</v>
      </c>
      <c r="L1" t="s">
        <v>1142</v>
      </c>
    </row>
    <row r="2" spans="1:12" x14ac:dyDescent="0.25">
      <c r="A2" s="80">
        <v>46009</v>
      </c>
      <c r="B2" s="80">
        <v>46009</v>
      </c>
      <c r="C2" t="s">
        <v>829</v>
      </c>
      <c r="D2" t="s">
        <v>830</v>
      </c>
      <c r="F2" t="s">
        <v>831</v>
      </c>
      <c r="G2" t="s">
        <v>832</v>
      </c>
      <c r="H2" t="s">
        <v>833</v>
      </c>
      <c r="I2" t="s">
        <v>834</v>
      </c>
      <c r="J2" t="s">
        <v>835</v>
      </c>
      <c r="K2" t="s">
        <v>836</v>
      </c>
      <c r="L2">
        <v>76</v>
      </c>
    </row>
    <row r="3" spans="1:12" x14ac:dyDescent="0.25">
      <c r="A3" s="80">
        <v>46009</v>
      </c>
      <c r="B3" s="80">
        <v>46009</v>
      </c>
      <c r="C3" t="s">
        <v>837</v>
      </c>
      <c r="D3" t="s">
        <v>838</v>
      </c>
      <c r="F3" t="s">
        <v>839</v>
      </c>
      <c r="G3" t="s">
        <v>840</v>
      </c>
      <c r="H3" t="s">
        <v>833</v>
      </c>
      <c r="I3" t="s">
        <v>841</v>
      </c>
      <c r="J3" t="s">
        <v>842</v>
      </c>
      <c r="K3" t="s">
        <v>836</v>
      </c>
      <c r="L3">
        <v>69</v>
      </c>
    </row>
    <row r="4" spans="1:12" x14ac:dyDescent="0.25">
      <c r="A4" s="80">
        <v>46009</v>
      </c>
      <c r="B4" s="80">
        <v>46009</v>
      </c>
      <c r="C4" t="s">
        <v>843</v>
      </c>
      <c r="D4" t="s">
        <v>844</v>
      </c>
      <c r="F4" t="s">
        <v>831</v>
      </c>
      <c r="G4" t="s">
        <v>845</v>
      </c>
      <c r="H4" t="s">
        <v>833</v>
      </c>
      <c r="I4" t="s">
        <v>846</v>
      </c>
      <c r="J4" t="s">
        <v>847</v>
      </c>
      <c r="K4" t="s">
        <v>836</v>
      </c>
      <c r="L4">
        <v>3</v>
      </c>
    </row>
    <row r="5" spans="1:12" x14ac:dyDescent="0.25">
      <c r="A5" s="80">
        <v>46009</v>
      </c>
      <c r="B5" s="80">
        <v>46009</v>
      </c>
      <c r="C5" t="s">
        <v>843</v>
      </c>
      <c r="D5" t="s">
        <v>838</v>
      </c>
      <c r="F5" t="s">
        <v>848</v>
      </c>
      <c r="G5" t="s">
        <v>849</v>
      </c>
      <c r="H5" t="s">
        <v>833</v>
      </c>
      <c r="I5" t="s">
        <v>846</v>
      </c>
      <c r="J5" t="s">
        <v>850</v>
      </c>
      <c r="K5" t="s">
        <v>836</v>
      </c>
      <c r="L5">
        <v>3</v>
      </c>
    </row>
    <row r="6" spans="1:12" x14ac:dyDescent="0.25">
      <c r="A6" s="80">
        <v>46008</v>
      </c>
      <c r="B6" s="80">
        <v>46009</v>
      </c>
      <c r="C6" t="s">
        <v>851</v>
      </c>
      <c r="D6" t="s">
        <v>852</v>
      </c>
      <c r="F6" t="s">
        <v>853</v>
      </c>
      <c r="G6" t="s">
        <v>854</v>
      </c>
      <c r="H6" t="s">
        <v>833</v>
      </c>
      <c r="I6" t="s">
        <v>855</v>
      </c>
      <c r="J6" t="s">
        <v>856</v>
      </c>
      <c r="K6" t="s">
        <v>836</v>
      </c>
      <c r="L6">
        <v>61</v>
      </c>
    </row>
    <row r="7" spans="1:12" x14ac:dyDescent="0.25">
      <c r="A7" s="80">
        <v>46008</v>
      </c>
      <c r="B7" s="80">
        <v>46009</v>
      </c>
      <c r="C7" t="s">
        <v>851</v>
      </c>
      <c r="D7" t="s">
        <v>838</v>
      </c>
      <c r="F7" t="s">
        <v>848</v>
      </c>
      <c r="G7" t="s">
        <v>857</v>
      </c>
      <c r="H7" t="s">
        <v>833</v>
      </c>
      <c r="I7" t="s">
        <v>855</v>
      </c>
      <c r="J7" t="s">
        <v>858</v>
      </c>
      <c r="K7" t="s">
        <v>836</v>
      </c>
      <c r="L7">
        <v>61</v>
      </c>
    </row>
    <row r="8" spans="1:12" x14ac:dyDescent="0.25">
      <c r="A8" s="80">
        <v>46008</v>
      </c>
      <c r="B8" s="80">
        <v>46009</v>
      </c>
      <c r="C8" t="s">
        <v>851</v>
      </c>
      <c r="D8" t="s">
        <v>859</v>
      </c>
      <c r="F8" t="s">
        <v>860</v>
      </c>
      <c r="G8" t="s">
        <v>845</v>
      </c>
      <c r="H8" t="s">
        <v>833</v>
      </c>
      <c r="I8" t="s">
        <v>855</v>
      </c>
      <c r="J8" t="s">
        <v>861</v>
      </c>
      <c r="K8" t="s">
        <v>836</v>
      </c>
      <c r="L8">
        <v>61</v>
      </c>
    </row>
    <row r="9" spans="1:12" x14ac:dyDescent="0.25">
      <c r="A9" s="80">
        <v>46008</v>
      </c>
      <c r="B9" s="80">
        <v>46009</v>
      </c>
      <c r="C9" t="s">
        <v>851</v>
      </c>
      <c r="D9" t="s">
        <v>862</v>
      </c>
      <c r="F9" t="s">
        <v>853</v>
      </c>
      <c r="G9" t="s">
        <v>863</v>
      </c>
      <c r="H9" t="s">
        <v>833</v>
      </c>
      <c r="I9" t="s">
        <v>855</v>
      </c>
      <c r="J9" t="s">
        <v>864</v>
      </c>
      <c r="K9" t="s">
        <v>836</v>
      </c>
      <c r="L9">
        <v>61</v>
      </c>
    </row>
    <row r="10" spans="1:12" x14ac:dyDescent="0.25">
      <c r="A10" s="80">
        <v>46008</v>
      </c>
      <c r="B10" s="80">
        <v>46009</v>
      </c>
      <c r="C10" t="s">
        <v>865</v>
      </c>
      <c r="D10" t="s">
        <v>830</v>
      </c>
      <c r="E10" t="s">
        <v>866</v>
      </c>
      <c r="F10" t="s">
        <v>867</v>
      </c>
      <c r="G10" t="s">
        <v>868</v>
      </c>
      <c r="H10" t="s">
        <v>833</v>
      </c>
      <c r="I10" t="s">
        <v>869</v>
      </c>
      <c r="J10" t="s">
        <v>870</v>
      </c>
      <c r="K10" t="s">
        <v>836</v>
      </c>
      <c r="L10">
        <v>13</v>
      </c>
    </row>
    <row r="11" spans="1:12" x14ac:dyDescent="0.25">
      <c r="A11" s="80">
        <v>46008</v>
      </c>
      <c r="B11" s="80">
        <v>46009</v>
      </c>
      <c r="C11" t="s">
        <v>865</v>
      </c>
      <c r="D11" t="s">
        <v>838</v>
      </c>
      <c r="E11" t="s">
        <v>871</v>
      </c>
      <c r="F11" t="s">
        <v>872</v>
      </c>
      <c r="G11" t="s">
        <v>873</v>
      </c>
      <c r="H11" t="s">
        <v>833</v>
      </c>
      <c r="I11" t="s">
        <v>869</v>
      </c>
      <c r="J11" t="s">
        <v>874</v>
      </c>
      <c r="K11" t="s">
        <v>836</v>
      </c>
      <c r="L11">
        <v>13</v>
      </c>
    </row>
    <row r="12" spans="1:12" x14ac:dyDescent="0.25">
      <c r="A12" s="80">
        <v>46008</v>
      </c>
      <c r="B12" s="80">
        <v>46009</v>
      </c>
      <c r="C12" t="s">
        <v>865</v>
      </c>
      <c r="D12" t="s">
        <v>875</v>
      </c>
      <c r="E12" t="s">
        <v>876</v>
      </c>
      <c r="F12" t="s">
        <v>877</v>
      </c>
      <c r="G12" t="s">
        <v>878</v>
      </c>
      <c r="H12" t="s">
        <v>833</v>
      </c>
      <c r="I12" t="s">
        <v>869</v>
      </c>
      <c r="J12" t="s">
        <v>879</v>
      </c>
      <c r="K12" t="s">
        <v>836</v>
      </c>
      <c r="L12">
        <v>13</v>
      </c>
    </row>
    <row r="13" spans="1:12" x14ac:dyDescent="0.25">
      <c r="A13" s="80">
        <v>46008</v>
      </c>
      <c r="B13" s="80">
        <v>46009</v>
      </c>
      <c r="C13" t="s">
        <v>865</v>
      </c>
      <c r="D13" t="s">
        <v>185</v>
      </c>
      <c r="E13" t="s">
        <v>880</v>
      </c>
      <c r="F13" t="s">
        <v>881</v>
      </c>
      <c r="G13" t="s">
        <v>842</v>
      </c>
      <c r="H13" t="s">
        <v>833</v>
      </c>
      <c r="I13" t="s">
        <v>869</v>
      </c>
      <c r="J13" t="s">
        <v>882</v>
      </c>
      <c r="K13" t="s">
        <v>836</v>
      </c>
      <c r="L13">
        <v>13</v>
      </c>
    </row>
    <row r="14" spans="1:12" x14ac:dyDescent="0.25">
      <c r="A14" s="80">
        <v>46008</v>
      </c>
      <c r="B14" s="80">
        <v>46009</v>
      </c>
      <c r="C14" t="s">
        <v>883</v>
      </c>
      <c r="D14" t="s">
        <v>884</v>
      </c>
      <c r="F14" t="s">
        <v>885</v>
      </c>
      <c r="G14" t="s">
        <v>886</v>
      </c>
      <c r="H14" t="s">
        <v>833</v>
      </c>
      <c r="I14" t="s">
        <v>887</v>
      </c>
      <c r="J14" t="s">
        <v>888</v>
      </c>
      <c r="K14" t="s">
        <v>889</v>
      </c>
      <c r="L14">
        <v>5</v>
      </c>
    </row>
    <row r="15" spans="1:12" x14ac:dyDescent="0.25">
      <c r="A15" s="80">
        <v>46008</v>
      </c>
      <c r="B15" s="80">
        <v>46009</v>
      </c>
      <c r="C15" t="s">
        <v>883</v>
      </c>
      <c r="D15" t="s">
        <v>890</v>
      </c>
      <c r="F15" t="s">
        <v>891</v>
      </c>
      <c r="G15" t="s">
        <v>892</v>
      </c>
      <c r="H15" t="s">
        <v>833</v>
      </c>
      <c r="I15" t="s">
        <v>887</v>
      </c>
      <c r="J15" t="s">
        <v>893</v>
      </c>
      <c r="K15" t="s">
        <v>889</v>
      </c>
      <c r="L15">
        <v>5</v>
      </c>
    </row>
    <row r="16" spans="1:12" x14ac:dyDescent="0.25">
      <c r="A16" s="80">
        <v>46008</v>
      </c>
      <c r="B16" s="80">
        <v>46009</v>
      </c>
      <c r="C16" t="s">
        <v>883</v>
      </c>
      <c r="D16" t="s">
        <v>859</v>
      </c>
      <c r="F16" t="s">
        <v>894</v>
      </c>
      <c r="G16" t="s">
        <v>895</v>
      </c>
      <c r="H16" t="s">
        <v>833</v>
      </c>
      <c r="I16" t="s">
        <v>887</v>
      </c>
      <c r="J16" t="s">
        <v>896</v>
      </c>
      <c r="K16" t="s">
        <v>889</v>
      </c>
      <c r="L16">
        <v>5</v>
      </c>
    </row>
    <row r="17" spans="1:12" x14ac:dyDescent="0.25">
      <c r="A17" s="80">
        <v>46008</v>
      </c>
      <c r="B17" s="80">
        <v>46009</v>
      </c>
      <c r="C17" t="s">
        <v>883</v>
      </c>
      <c r="D17" t="s">
        <v>897</v>
      </c>
      <c r="F17" t="s">
        <v>848</v>
      </c>
      <c r="G17" t="s">
        <v>840</v>
      </c>
      <c r="H17" t="s">
        <v>833</v>
      </c>
      <c r="I17" t="s">
        <v>887</v>
      </c>
      <c r="J17" t="s">
        <v>898</v>
      </c>
      <c r="K17" t="s">
        <v>889</v>
      </c>
      <c r="L17">
        <v>5</v>
      </c>
    </row>
    <row r="18" spans="1:12" x14ac:dyDescent="0.25">
      <c r="A18" s="80">
        <v>46008</v>
      </c>
      <c r="B18" s="80">
        <v>46009</v>
      </c>
      <c r="C18" t="s">
        <v>883</v>
      </c>
      <c r="D18" t="s">
        <v>899</v>
      </c>
      <c r="F18" t="s">
        <v>900</v>
      </c>
      <c r="G18" t="s">
        <v>901</v>
      </c>
      <c r="H18" t="s">
        <v>833</v>
      </c>
      <c r="I18" t="s">
        <v>887</v>
      </c>
      <c r="J18" t="s">
        <v>902</v>
      </c>
      <c r="K18" t="s">
        <v>889</v>
      </c>
      <c r="L18">
        <v>5</v>
      </c>
    </row>
    <row r="19" spans="1:12" x14ac:dyDescent="0.25">
      <c r="A19" s="80">
        <v>46008</v>
      </c>
      <c r="B19" s="80">
        <v>46009</v>
      </c>
      <c r="C19" t="s">
        <v>883</v>
      </c>
      <c r="D19" t="s">
        <v>838</v>
      </c>
      <c r="F19" t="s">
        <v>903</v>
      </c>
      <c r="G19" t="s">
        <v>873</v>
      </c>
      <c r="H19" t="s">
        <v>833</v>
      </c>
      <c r="I19" t="s">
        <v>887</v>
      </c>
      <c r="J19" t="s">
        <v>904</v>
      </c>
      <c r="K19" t="s">
        <v>889</v>
      </c>
      <c r="L19">
        <v>5</v>
      </c>
    </row>
    <row r="20" spans="1:12" x14ac:dyDescent="0.25">
      <c r="A20" s="80">
        <v>46008</v>
      </c>
      <c r="B20" s="80">
        <v>46008</v>
      </c>
      <c r="C20" t="s">
        <v>905</v>
      </c>
      <c r="D20" t="s">
        <v>906</v>
      </c>
      <c r="E20" t="s">
        <v>907</v>
      </c>
      <c r="F20" t="s">
        <v>908</v>
      </c>
      <c r="G20" t="s">
        <v>909</v>
      </c>
      <c r="H20" t="s">
        <v>833</v>
      </c>
      <c r="I20" t="s">
        <v>910</v>
      </c>
      <c r="J20" t="s">
        <v>909</v>
      </c>
      <c r="K20" t="s">
        <v>836</v>
      </c>
      <c r="L20">
        <v>32</v>
      </c>
    </row>
    <row r="21" spans="1:12" x14ac:dyDescent="0.25">
      <c r="A21" s="80">
        <v>46008</v>
      </c>
      <c r="B21" s="80">
        <v>46008</v>
      </c>
      <c r="C21" t="s">
        <v>911</v>
      </c>
      <c r="D21" t="s">
        <v>912</v>
      </c>
      <c r="F21" t="s">
        <v>848</v>
      </c>
      <c r="G21" t="s">
        <v>849</v>
      </c>
      <c r="H21" t="s">
        <v>833</v>
      </c>
      <c r="I21" t="s">
        <v>913</v>
      </c>
      <c r="J21" t="s">
        <v>850</v>
      </c>
      <c r="K21" t="s">
        <v>836</v>
      </c>
      <c r="L21">
        <v>4</v>
      </c>
    </row>
    <row r="22" spans="1:12" x14ac:dyDescent="0.25">
      <c r="A22" s="80">
        <v>46008</v>
      </c>
      <c r="B22" s="80">
        <v>46008</v>
      </c>
      <c r="C22" t="s">
        <v>914</v>
      </c>
      <c r="D22" t="s">
        <v>838</v>
      </c>
      <c r="F22" t="s">
        <v>915</v>
      </c>
      <c r="G22" t="s">
        <v>840</v>
      </c>
      <c r="H22" t="s">
        <v>833</v>
      </c>
      <c r="I22" t="s">
        <v>916</v>
      </c>
      <c r="J22" t="s">
        <v>840</v>
      </c>
      <c r="K22" t="s">
        <v>836</v>
      </c>
      <c r="L22">
        <v>68</v>
      </c>
    </row>
    <row r="23" spans="1:12" x14ac:dyDescent="0.25">
      <c r="A23" s="80">
        <v>46008</v>
      </c>
      <c r="B23" s="80">
        <v>46008</v>
      </c>
      <c r="C23" t="s">
        <v>829</v>
      </c>
      <c r="D23" t="s">
        <v>830</v>
      </c>
      <c r="F23" t="s">
        <v>848</v>
      </c>
      <c r="G23" t="s">
        <v>868</v>
      </c>
      <c r="H23" t="s">
        <v>833</v>
      </c>
      <c r="I23" t="s">
        <v>917</v>
      </c>
      <c r="J23" t="s">
        <v>854</v>
      </c>
      <c r="K23" t="s">
        <v>836</v>
      </c>
      <c r="L23">
        <v>76</v>
      </c>
    </row>
    <row r="24" spans="1:12" x14ac:dyDescent="0.25">
      <c r="A24" s="80">
        <v>46008</v>
      </c>
      <c r="B24" s="80">
        <v>46008</v>
      </c>
      <c r="C24" t="s">
        <v>837</v>
      </c>
      <c r="D24" t="s">
        <v>838</v>
      </c>
      <c r="F24" t="s">
        <v>839</v>
      </c>
      <c r="G24" t="s">
        <v>840</v>
      </c>
      <c r="H24" t="s">
        <v>833</v>
      </c>
      <c r="I24" t="s">
        <v>918</v>
      </c>
      <c r="J24" t="s">
        <v>842</v>
      </c>
      <c r="K24" t="s">
        <v>836</v>
      </c>
      <c r="L24">
        <v>69</v>
      </c>
    </row>
    <row r="25" spans="1:12" x14ac:dyDescent="0.25">
      <c r="A25" s="80">
        <v>46008</v>
      </c>
      <c r="B25" s="80">
        <v>46008</v>
      </c>
      <c r="C25" t="s">
        <v>837</v>
      </c>
      <c r="D25" t="s">
        <v>830</v>
      </c>
      <c r="F25" t="s">
        <v>919</v>
      </c>
      <c r="G25" t="s">
        <v>868</v>
      </c>
      <c r="H25" t="s">
        <v>833</v>
      </c>
      <c r="I25" t="s">
        <v>918</v>
      </c>
      <c r="J25" t="s">
        <v>920</v>
      </c>
      <c r="K25" t="s">
        <v>836</v>
      </c>
      <c r="L25">
        <v>69</v>
      </c>
    </row>
    <row r="26" spans="1:12" x14ac:dyDescent="0.25">
      <c r="A26" s="80">
        <v>46008</v>
      </c>
      <c r="B26" s="80">
        <v>46008</v>
      </c>
      <c r="C26" t="s">
        <v>843</v>
      </c>
      <c r="D26" t="s">
        <v>844</v>
      </c>
      <c r="F26" t="s">
        <v>921</v>
      </c>
      <c r="G26" t="s">
        <v>845</v>
      </c>
      <c r="H26" t="s">
        <v>833</v>
      </c>
      <c r="I26" t="s">
        <v>922</v>
      </c>
      <c r="J26" t="s">
        <v>923</v>
      </c>
      <c r="K26" t="s">
        <v>836</v>
      </c>
      <c r="L26">
        <v>3</v>
      </c>
    </row>
    <row r="27" spans="1:12" x14ac:dyDescent="0.25">
      <c r="A27" s="80">
        <v>46008</v>
      </c>
      <c r="B27" s="80">
        <v>46008</v>
      </c>
      <c r="C27" t="s">
        <v>843</v>
      </c>
      <c r="D27" t="s">
        <v>838</v>
      </c>
      <c r="F27" t="s">
        <v>848</v>
      </c>
      <c r="G27" t="s">
        <v>849</v>
      </c>
      <c r="H27" t="s">
        <v>833</v>
      </c>
      <c r="I27" t="s">
        <v>922</v>
      </c>
      <c r="J27" t="s">
        <v>850</v>
      </c>
      <c r="K27" t="s">
        <v>836</v>
      </c>
      <c r="L27">
        <v>3</v>
      </c>
    </row>
    <row r="28" spans="1:12" x14ac:dyDescent="0.25">
      <c r="A28" s="80">
        <v>46007</v>
      </c>
      <c r="B28" s="80">
        <v>46008</v>
      </c>
      <c r="C28" t="s">
        <v>883</v>
      </c>
      <c r="D28" t="s">
        <v>884</v>
      </c>
      <c r="F28" t="s">
        <v>885</v>
      </c>
      <c r="G28" t="s">
        <v>886</v>
      </c>
      <c r="H28" t="s">
        <v>833</v>
      </c>
      <c r="I28" t="s">
        <v>924</v>
      </c>
      <c r="J28" t="s">
        <v>888</v>
      </c>
      <c r="K28" t="s">
        <v>925</v>
      </c>
      <c r="L28">
        <v>5</v>
      </c>
    </row>
    <row r="29" spans="1:12" x14ac:dyDescent="0.25">
      <c r="A29" s="80">
        <v>46007</v>
      </c>
      <c r="B29" s="80">
        <v>46008</v>
      </c>
      <c r="C29" t="s">
        <v>883</v>
      </c>
      <c r="D29" t="s">
        <v>890</v>
      </c>
      <c r="F29" t="s">
        <v>891</v>
      </c>
      <c r="G29" t="s">
        <v>892</v>
      </c>
      <c r="H29" t="s">
        <v>833</v>
      </c>
      <c r="I29" t="s">
        <v>924</v>
      </c>
      <c r="J29" t="s">
        <v>893</v>
      </c>
      <c r="K29" t="s">
        <v>925</v>
      </c>
      <c r="L29">
        <v>5</v>
      </c>
    </row>
    <row r="30" spans="1:12" x14ac:dyDescent="0.25">
      <c r="A30" s="80">
        <v>46007</v>
      </c>
      <c r="B30" s="80">
        <v>46008</v>
      </c>
      <c r="C30" t="s">
        <v>883</v>
      </c>
      <c r="D30" t="s">
        <v>859</v>
      </c>
      <c r="F30" t="s">
        <v>926</v>
      </c>
      <c r="G30" t="s">
        <v>895</v>
      </c>
      <c r="H30" t="s">
        <v>833</v>
      </c>
      <c r="I30" t="s">
        <v>924</v>
      </c>
      <c r="J30" t="s">
        <v>927</v>
      </c>
      <c r="K30" t="s">
        <v>925</v>
      </c>
      <c r="L30">
        <v>5</v>
      </c>
    </row>
    <row r="31" spans="1:12" x14ac:dyDescent="0.25">
      <c r="A31" s="80">
        <v>46007</v>
      </c>
      <c r="B31" s="80">
        <v>46008</v>
      </c>
      <c r="C31" t="s">
        <v>883</v>
      </c>
      <c r="D31" t="s">
        <v>897</v>
      </c>
      <c r="F31" t="s">
        <v>848</v>
      </c>
      <c r="G31" t="s">
        <v>840</v>
      </c>
      <c r="H31" t="s">
        <v>833</v>
      </c>
      <c r="I31" t="s">
        <v>924</v>
      </c>
      <c r="J31" t="s">
        <v>898</v>
      </c>
      <c r="K31" t="s">
        <v>925</v>
      </c>
      <c r="L31">
        <v>5</v>
      </c>
    </row>
    <row r="32" spans="1:12" x14ac:dyDescent="0.25">
      <c r="A32" s="80">
        <v>46007</v>
      </c>
      <c r="B32" s="80">
        <v>46008</v>
      </c>
      <c r="C32" t="s">
        <v>883</v>
      </c>
      <c r="D32" t="s">
        <v>838</v>
      </c>
      <c r="F32" t="s">
        <v>928</v>
      </c>
      <c r="G32" t="s">
        <v>873</v>
      </c>
      <c r="H32" t="s">
        <v>833</v>
      </c>
      <c r="I32" t="s">
        <v>924</v>
      </c>
      <c r="J32" t="s">
        <v>929</v>
      </c>
      <c r="K32" t="s">
        <v>925</v>
      </c>
      <c r="L32">
        <v>5</v>
      </c>
    </row>
    <row r="33" spans="1:12" x14ac:dyDescent="0.25">
      <c r="A33" s="80">
        <v>46007</v>
      </c>
      <c r="B33" s="80">
        <v>46008</v>
      </c>
      <c r="C33" t="s">
        <v>883</v>
      </c>
      <c r="D33" t="s">
        <v>899</v>
      </c>
      <c r="F33" t="s">
        <v>930</v>
      </c>
      <c r="G33" t="s">
        <v>901</v>
      </c>
      <c r="H33" t="s">
        <v>833</v>
      </c>
      <c r="I33" t="s">
        <v>924</v>
      </c>
      <c r="J33" t="s">
        <v>931</v>
      </c>
      <c r="K33" t="s">
        <v>925</v>
      </c>
      <c r="L33">
        <v>5</v>
      </c>
    </row>
    <row r="34" spans="1:12" x14ac:dyDescent="0.25">
      <c r="A34" s="80">
        <v>46007</v>
      </c>
      <c r="B34" s="80">
        <v>46007</v>
      </c>
      <c r="C34" t="s">
        <v>932</v>
      </c>
      <c r="D34" t="s">
        <v>830</v>
      </c>
      <c r="F34" t="s">
        <v>933</v>
      </c>
      <c r="G34" t="s">
        <v>868</v>
      </c>
      <c r="H34" t="s">
        <v>833</v>
      </c>
      <c r="I34" t="s">
        <v>934</v>
      </c>
      <c r="J34" t="s">
        <v>935</v>
      </c>
      <c r="K34" t="s">
        <v>836</v>
      </c>
      <c r="L34">
        <v>11</v>
      </c>
    </row>
    <row r="35" spans="1:12" x14ac:dyDescent="0.25">
      <c r="A35" s="80">
        <v>46007</v>
      </c>
      <c r="B35" s="80">
        <v>46007</v>
      </c>
      <c r="C35" t="s">
        <v>936</v>
      </c>
      <c r="D35" t="s">
        <v>937</v>
      </c>
      <c r="F35" t="s">
        <v>839</v>
      </c>
      <c r="G35" t="s">
        <v>909</v>
      </c>
      <c r="H35" t="s">
        <v>833</v>
      </c>
      <c r="I35" t="s">
        <v>938</v>
      </c>
      <c r="J35" t="s">
        <v>909</v>
      </c>
      <c r="K35" t="s">
        <v>836</v>
      </c>
      <c r="L35">
        <v>2</v>
      </c>
    </row>
    <row r="36" spans="1:12" x14ac:dyDescent="0.25">
      <c r="A36" s="80">
        <v>46007</v>
      </c>
      <c r="B36" s="80">
        <v>46007</v>
      </c>
      <c r="C36" t="s">
        <v>939</v>
      </c>
      <c r="D36" t="s">
        <v>899</v>
      </c>
      <c r="F36" t="s">
        <v>933</v>
      </c>
      <c r="G36" t="s">
        <v>901</v>
      </c>
      <c r="H36" t="s">
        <v>833</v>
      </c>
      <c r="I36" t="s">
        <v>940</v>
      </c>
      <c r="J36" t="s">
        <v>941</v>
      </c>
      <c r="K36" t="s">
        <v>836</v>
      </c>
      <c r="L36">
        <v>65</v>
      </c>
    </row>
    <row r="37" spans="1:12" x14ac:dyDescent="0.25">
      <c r="A37" s="80">
        <v>46007</v>
      </c>
      <c r="B37" s="80">
        <v>46007</v>
      </c>
      <c r="C37" t="s">
        <v>942</v>
      </c>
      <c r="D37" t="s">
        <v>899</v>
      </c>
      <c r="F37" t="s">
        <v>933</v>
      </c>
      <c r="G37" t="s">
        <v>901</v>
      </c>
      <c r="H37" t="s">
        <v>833</v>
      </c>
      <c r="I37" t="s">
        <v>943</v>
      </c>
      <c r="J37" t="s">
        <v>941</v>
      </c>
      <c r="K37" t="s">
        <v>836</v>
      </c>
      <c r="L37">
        <v>73</v>
      </c>
    </row>
    <row r="38" spans="1:12" x14ac:dyDescent="0.25">
      <c r="A38" s="80">
        <v>46007</v>
      </c>
      <c r="B38" s="80">
        <v>46007</v>
      </c>
      <c r="C38" t="s">
        <v>837</v>
      </c>
      <c r="D38" t="s">
        <v>838</v>
      </c>
      <c r="F38" t="s">
        <v>848</v>
      </c>
      <c r="G38" t="s">
        <v>840</v>
      </c>
      <c r="H38" t="s">
        <v>833</v>
      </c>
      <c r="I38" t="s">
        <v>944</v>
      </c>
      <c r="J38" t="s">
        <v>898</v>
      </c>
      <c r="K38" t="s">
        <v>836</v>
      </c>
      <c r="L38">
        <v>69</v>
      </c>
    </row>
    <row r="39" spans="1:12" x14ac:dyDescent="0.25">
      <c r="A39" s="80">
        <v>46007</v>
      </c>
      <c r="B39" s="80">
        <v>46007</v>
      </c>
      <c r="C39" t="s">
        <v>829</v>
      </c>
      <c r="D39" t="s">
        <v>830</v>
      </c>
      <c r="F39" t="s">
        <v>945</v>
      </c>
      <c r="G39" t="s">
        <v>832</v>
      </c>
      <c r="H39" t="s">
        <v>833</v>
      </c>
      <c r="I39" t="s">
        <v>946</v>
      </c>
      <c r="J39" t="s">
        <v>947</v>
      </c>
      <c r="K39" t="s">
        <v>836</v>
      </c>
      <c r="L39">
        <v>76</v>
      </c>
    </row>
    <row r="40" spans="1:12" x14ac:dyDescent="0.25">
      <c r="A40" s="80">
        <v>46007</v>
      </c>
      <c r="B40" s="80">
        <v>46007</v>
      </c>
      <c r="C40" t="s">
        <v>843</v>
      </c>
      <c r="D40" t="s">
        <v>844</v>
      </c>
      <c r="F40" t="s">
        <v>891</v>
      </c>
      <c r="G40" t="s">
        <v>845</v>
      </c>
      <c r="H40" t="s">
        <v>833</v>
      </c>
      <c r="I40" t="s">
        <v>948</v>
      </c>
      <c r="J40" t="s">
        <v>949</v>
      </c>
      <c r="K40" t="s">
        <v>836</v>
      </c>
      <c r="L40">
        <v>3</v>
      </c>
    </row>
    <row r="41" spans="1:12" x14ac:dyDescent="0.25">
      <c r="A41" s="80">
        <v>46007</v>
      </c>
      <c r="B41" s="80">
        <v>46007</v>
      </c>
      <c r="C41" t="s">
        <v>843</v>
      </c>
      <c r="D41" t="s">
        <v>838</v>
      </c>
      <c r="F41" t="s">
        <v>848</v>
      </c>
      <c r="G41" t="s">
        <v>849</v>
      </c>
      <c r="H41" t="s">
        <v>833</v>
      </c>
      <c r="I41" t="s">
        <v>948</v>
      </c>
      <c r="J41" t="s">
        <v>850</v>
      </c>
      <c r="K41" t="s">
        <v>836</v>
      </c>
      <c r="L41">
        <v>3</v>
      </c>
    </row>
    <row r="42" spans="1:12" x14ac:dyDescent="0.25">
      <c r="A42" s="80">
        <v>46007</v>
      </c>
      <c r="B42" s="80">
        <v>46007</v>
      </c>
      <c r="C42" t="s">
        <v>950</v>
      </c>
      <c r="D42" t="s">
        <v>838</v>
      </c>
      <c r="E42" t="s">
        <v>951</v>
      </c>
      <c r="F42" t="s">
        <v>831</v>
      </c>
      <c r="G42" t="s">
        <v>952</v>
      </c>
      <c r="H42" t="s">
        <v>833</v>
      </c>
      <c r="I42" t="s">
        <v>953</v>
      </c>
      <c r="J42" t="s">
        <v>898</v>
      </c>
      <c r="K42" t="s">
        <v>836</v>
      </c>
      <c r="L42">
        <v>46</v>
      </c>
    </row>
    <row r="43" spans="1:12" x14ac:dyDescent="0.25">
      <c r="A43" s="80">
        <v>46007</v>
      </c>
      <c r="B43" s="80">
        <v>46007</v>
      </c>
      <c r="C43" t="s">
        <v>851</v>
      </c>
      <c r="D43" t="s">
        <v>838</v>
      </c>
      <c r="F43" t="s">
        <v>954</v>
      </c>
      <c r="G43" t="s">
        <v>857</v>
      </c>
      <c r="H43" t="s">
        <v>833</v>
      </c>
      <c r="I43" t="s">
        <v>955</v>
      </c>
      <c r="J43" t="s">
        <v>898</v>
      </c>
      <c r="K43" t="s">
        <v>836</v>
      </c>
      <c r="L43">
        <v>61</v>
      </c>
    </row>
    <row r="44" spans="1:12" x14ac:dyDescent="0.25">
      <c r="A44" s="80">
        <v>46007</v>
      </c>
      <c r="B44" s="80">
        <v>46007</v>
      </c>
      <c r="C44" t="s">
        <v>851</v>
      </c>
      <c r="D44" t="s">
        <v>852</v>
      </c>
      <c r="F44" t="s">
        <v>853</v>
      </c>
      <c r="G44" t="s">
        <v>854</v>
      </c>
      <c r="H44" t="s">
        <v>833</v>
      </c>
      <c r="I44" t="s">
        <v>955</v>
      </c>
      <c r="J44" t="s">
        <v>856</v>
      </c>
      <c r="K44" t="s">
        <v>836</v>
      </c>
      <c r="L44">
        <v>61</v>
      </c>
    </row>
    <row r="45" spans="1:12" x14ac:dyDescent="0.25">
      <c r="A45" s="80">
        <v>46007</v>
      </c>
      <c r="B45" s="80">
        <v>46007</v>
      </c>
      <c r="C45" t="s">
        <v>851</v>
      </c>
      <c r="D45" t="s">
        <v>859</v>
      </c>
      <c r="F45" t="s">
        <v>831</v>
      </c>
      <c r="G45" t="s">
        <v>845</v>
      </c>
      <c r="H45" t="s">
        <v>833</v>
      </c>
      <c r="I45" t="s">
        <v>955</v>
      </c>
      <c r="J45" t="s">
        <v>847</v>
      </c>
      <c r="K45" t="s">
        <v>836</v>
      </c>
      <c r="L45">
        <v>61</v>
      </c>
    </row>
    <row r="46" spans="1:12" x14ac:dyDescent="0.25">
      <c r="A46" s="80">
        <v>46007</v>
      </c>
      <c r="B46" s="80">
        <v>46007</v>
      </c>
      <c r="C46" t="s">
        <v>865</v>
      </c>
      <c r="D46" t="s">
        <v>830</v>
      </c>
      <c r="E46" t="s">
        <v>956</v>
      </c>
      <c r="F46" t="s">
        <v>957</v>
      </c>
      <c r="G46" t="s">
        <v>868</v>
      </c>
      <c r="H46" t="s">
        <v>833</v>
      </c>
      <c r="I46" t="s">
        <v>958</v>
      </c>
      <c r="J46" t="s">
        <v>959</v>
      </c>
      <c r="K46" t="s">
        <v>836</v>
      </c>
      <c r="L46">
        <v>13</v>
      </c>
    </row>
    <row r="47" spans="1:12" x14ac:dyDescent="0.25">
      <c r="A47" s="80">
        <v>46007</v>
      </c>
      <c r="B47" s="80">
        <v>46007</v>
      </c>
      <c r="C47" t="s">
        <v>865</v>
      </c>
      <c r="D47" t="s">
        <v>838</v>
      </c>
      <c r="E47" t="s">
        <v>960</v>
      </c>
      <c r="F47" t="s">
        <v>961</v>
      </c>
      <c r="G47" t="s">
        <v>873</v>
      </c>
      <c r="H47" t="s">
        <v>833</v>
      </c>
      <c r="I47" t="s">
        <v>958</v>
      </c>
      <c r="J47" t="s">
        <v>962</v>
      </c>
      <c r="K47" t="s">
        <v>836</v>
      </c>
      <c r="L47">
        <v>13</v>
      </c>
    </row>
    <row r="48" spans="1:12" x14ac:dyDescent="0.25">
      <c r="A48" s="80">
        <v>46007</v>
      </c>
      <c r="B48" s="80">
        <v>46007</v>
      </c>
      <c r="C48" t="s">
        <v>865</v>
      </c>
      <c r="D48" t="s">
        <v>875</v>
      </c>
      <c r="E48" t="s">
        <v>960</v>
      </c>
      <c r="F48" t="s">
        <v>963</v>
      </c>
      <c r="G48" t="s">
        <v>878</v>
      </c>
      <c r="H48" t="s">
        <v>833</v>
      </c>
      <c r="I48" t="s">
        <v>958</v>
      </c>
      <c r="J48" t="s">
        <v>964</v>
      </c>
      <c r="K48" t="s">
        <v>836</v>
      </c>
      <c r="L48">
        <v>13</v>
      </c>
    </row>
    <row r="49" spans="1:12" x14ac:dyDescent="0.25">
      <c r="A49" s="80">
        <v>46007</v>
      </c>
      <c r="B49" s="80">
        <v>46007</v>
      </c>
      <c r="C49" t="s">
        <v>865</v>
      </c>
      <c r="D49" t="s">
        <v>185</v>
      </c>
      <c r="E49" t="s">
        <v>965</v>
      </c>
      <c r="F49" t="s">
        <v>933</v>
      </c>
      <c r="G49" t="s">
        <v>842</v>
      </c>
      <c r="H49" t="s">
        <v>833</v>
      </c>
      <c r="I49" t="s">
        <v>958</v>
      </c>
      <c r="J49" t="s">
        <v>920</v>
      </c>
      <c r="K49" t="s">
        <v>836</v>
      </c>
      <c r="L49">
        <v>13</v>
      </c>
    </row>
    <row r="50" spans="1:12" x14ac:dyDescent="0.25">
      <c r="A50" s="80">
        <v>46007</v>
      </c>
      <c r="B50" s="80">
        <v>46007</v>
      </c>
      <c r="C50" t="s">
        <v>883</v>
      </c>
      <c r="D50" t="s">
        <v>884</v>
      </c>
      <c r="F50" t="s">
        <v>885</v>
      </c>
      <c r="G50" t="s">
        <v>886</v>
      </c>
      <c r="H50" t="s">
        <v>833</v>
      </c>
      <c r="I50" t="s">
        <v>966</v>
      </c>
      <c r="J50" t="s">
        <v>888</v>
      </c>
      <c r="K50" t="s">
        <v>967</v>
      </c>
      <c r="L50">
        <v>5</v>
      </c>
    </row>
    <row r="51" spans="1:12" x14ac:dyDescent="0.25">
      <c r="A51" s="80">
        <v>46007</v>
      </c>
      <c r="B51" s="80">
        <v>46007</v>
      </c>
      <c r="C51" t="s">
        <v>883</v>
      </c>
      <c r="D51" t="s">
        <v>890</v>
      </c>
      <c r="F51" t="s">
        <v>891</v>
      </c>
      <c r="G51" t="s">
        <v>892</v>
      </c>
      <c r="H51" t="s">
        <v>833</v>
      </c>
      <c r="I51" t="s">
        <v>966</v>
      </c>
      <c r="J51" t="s">
        <v>893</v>
      </c>
      <c r="K51" t="s">
        <v>967</v>
      </c>
      <c r="L51">
        <v>5</v>
      </c>
    </row>
    <row r="52" spans="1:12" x14ac:dyDescent="0.25">
      <c r="A52" s="80">
        <v>46007</v>
      </c>
      <c r="B52" s="80">
        <v>46007</v>
      </c>
      <c r="C52" t="s">
        <v>883</v>
      </c>
      <c r="D52" t="s">
        <v>859</v>
      </c>
      <c r="F52" t="s">
        <v>968</v>
      </c>
      <c r="G52" t="s">
        <v>895</v>
      </c>
      <c r="H52" t="s">
        <v>833</v>
      </c>
      <c r="I52" t="s">
        <v>966</v>
      </c>
      <c r="J52" t="s">
        <v>969</v>
      </c>
      <c r="K52" t="s">
        <v>967</v>
      </c>
      <c r="L52">
        <v>5</v>
      </c>
    </row>
    <row r="53" spans="1:12" x14ac:dyDescent="0.25">
      <c r="A53" s="80">
        <v>46007</v>
      </c>
      <c r="B53" s="80">
        <v>46007</v>
      </c>
      <c r="C53" t="s">
        <v>883</v>
      </c>
      <c r="D53" t="s">
        <v>899</v>
      </c>
      <c r="F53" t="s">
        <v>885</v>
      </c>
      <c r="G53" t="s">
        <v>901</v>
      </c>
      <c r="H53" t="s">
        <v>833</v>
      </c>
      <c r="I53" t="s">
        <v>966</v>
      </c>
      <c r="J53" t="s">
        <v>970</v>
      </c>
      <c r="K53" t="s">
        <v>967</v>
      </c>
      <c r="L53">
        <v>5</v>
      </c>
    </row>
    <row r="54" spans="1:12" x14ac:dyDescent="0.25">
      <c r="A54" s="80">
        <v>46007</v>
      </c>
      <c r="B54" s="80">
        <v>46007</v>
      </c>
      <c r="C54" t="s">
        <v>883</v>
      </c>
      <c r="D54" t="s">
        <v>838</v>
      </c>
      <c r="F54" t="s">
        <v>971</v>
      </c>
      <c r="G54" t="s">
        <v>873</v>
      </c>
      <c r="H54" t="s">
        <v>833</v>
      </c>
      <c r="I54" t="s">
        <v>966</v>
      </c>
      <c r="J54" t="s">
        <v>972</v>
      </c>
      <c r="K54" t="s">
        <v>967</v>
      </c>
      <c r="L54">
        <v>5</v>
      </c>
    </row>
    <row r="55" spans="1:12" x14ac:dyDescent="0.25">
      <c r="A55" s="80">
        <v>46006</v>
      </c>
      <c r="B55" s="80">
        <v>46006</v>
      </c>
      <c r="C55" t="s">
        <v>932</v>
      </c>
      <c r="D55" t="s">
        <v>830</v>
      </c>
      <c r="F55" t="s">
        <v>915</v>
      </c>
      <c r="G55" t="s">
        <v>868</v>
      </c>
      <c r="H55" t="s">
        <v>833</v>
      </c>
      <c r="I55" t="s">
        <v>973</v>
      </c>
      <c r="J55" t="s">
        <v>868</v>
      </c>
      <c r="K55" t="s">
        <v>836</v>
      </c>
      <c r="L55">
        <v>11</v>
      </c>
    </row>
    <row r="56" spans="1:12" x14ac:dyDescent="0.25">
      <c r="A56" s="80">
        <v>46006</v>
      </c>
      <c r="B56" s="80">
        <v>46006</v>
      </c>
      <c r="C56" t="s">
        <v>829</v>
      </c>
      <c r="D56" t="s">
        <v>830</v>
      </c>
      <c r="F56" t="s">
        <v>945</v>
      </c>
      <c r="G56" t="s">
        <v>832</v>
      </c>
      <c r="H56" t="s">
        <v>833</v>
      </c>
      <c r="I56" t="s">
        <v>974</v>
      </c>
      <c r="J56" t="s">
        <v>947</v>
      </c>
      <c r="K56" t="s">
        <v>836</v>
      </c>
      <c r="L56">
        <v>76</v>
      </c>
    </row>
    <row r="57" spans="1:12" x14ac:dyDescent="0.25">
      <c r="A57" s="80">
        <v>46006</v>
      </c>
      <c r="B57" s="80">
        <v>46006</v>
      </c>
      <c r="C57" t="s">
        <v>829</v>
      </c>
      <c r="D57" t="s">
        <v>937</v>
      </c>
      <c r="F57" t="s">
        <v>933</v>
      </c>
      <c r="G57" t="s">
        <v>909</v>
      </c>
      <c r="H57" t="s">
        <v>833</v>
      </c>
      <c r="I57" t="s">
        <v>974</v>
      </c>
      <c r="J57" t="s">
        <v>909</v>
      </c>
      <c r="K57" t="s">
        <v>836</v>
      </c>
      <c r="L57">
        <v>76</v>
      </c>
    </row>
    <row r="58" spans="1:12" x14ac:dyDescent="0.25">
      <c r="A58" s="80">
        <v>46006</v>
      </c>
      <c r="B58" s="80">
        <v>46006</v>
      </c>
      <c r="C58" t="s">
        <v>837</v>
      </c>
      <c r="D58" t="s">
        <v>830</v>
      </c>
      <c r="F58" t="s">
        <v>919</v>
      </c>
      <c r="G58" t="s">
        <v>868</v>
      </c>
      <c r="H58" t="s">
        <v>833</v>
      </c>
      <c r="I58" t="s">
        <v>975</v>
      </c>
      <c r="J58" t="s">
        <v>920</v>
      </c>
      <c r="K58" t="s">
        <v>836</v>
      </c>
      <c r="L58">
        <v>69</v>
      </c>
    </row>
    <row r="59" spans="1:12" x14ac:dyDescent="0.25">
      <c r="A59" s="80">
        <v>46006</v>
      </c>
      <c r="B59" s="80">
        <v>46006</v>
      </c>
      <c r="C59" t="s">
        <v>837</v>
      </c>
      <c r="D59" t="s">
        <v>838</v>
      </c>
      <c r="F59" t="s">
        <v>945</v>
      </c>
      <c r="G59" t="s">
        <v>840</v>
      </c>
      <c r="H59" t="s">
        <v>833</v>
      </c>
      <c r="I59" t="s">
        <v>975</v>
      </c>
      <c r="J59" t="s">
        <v>976</v>
      </c>
      <c r="K59" t="s">
        <v>836</v>
      </c>
      <c r="L59">
        <v>69</v>
      </c>
    </row>
    <row r="60" spans="1:12" x14ac:dyDescent="0.25">
      <c r="A60" s="80">
        <v>46006</v>
      </c>
      <c r="B60" s="80">
        <v>46006</v>
      </c>
      <c r="C60" t="s">
        <v>843</v>
      </c>
      <c r="D60" t="s">
        <v>844</v>
      </c>
      <c r="F60" t="s">
        <v>891</v>
      </c>
      <c r="G60" t="s">
        <v>845</v>
      </c>
      <c r="H60" t="s">
        <v>833</v>
      </c>
      <c r="I60" t="s">
        <v>977</v>
      </c>
      <c r="J60" t="s">
        <v>949</v>
      </c>
      <c r="K60" t="s">
        <v>836</v>
      </c>
      <c r="L60">
        <v>3</v>
      </c>
    </row>
    <row r="61" spans="1:12" x14ac:dyDescent="0.25">
      <c r="A61" s="80">
        <v>46006</v>
      </c>
      <c r="B61" s="80">
        <v>46006</v>
      </c>
      <c r="C61" t="s">
        <v>843</v>
      </c>
      <c r="D61" t="s">
        <v>838</v>
      </c>
      <c r="F61" t="s">
        <v>848</v>
      </c>
      <c r="G61" t="s">
        <v>873</v>
      </c>
      <c r="H61" t="s">
        <v>833</v>
      </c>
      <c r="I61" t="s">
        <v>977</v>
      </c>
      <c r="J61" t="s">
        <v>978</v>
      </c>
      <c r="K61" t="s">
        <v>836</v>
      </c>
      <c r="L61">
        <v>3</v>
      </c>
    </row>
    <row r="62" spans="1:12" x14ac:dyDescent="0.25">
      <c r="A62" s="80">
        <v>46006</v>
      </c>
      <c r="B62" s="80">
        <v>46006</v>
      </c>
      <c r="C62" t="s">
        <v>905</v>
      </c>
      <c r="D62" t="s">
        <v>859</v>
      </c>
      <c r="F62" t="s">
        <v>900</v>
      </c>
      <c r="G62" t="s">
        <v>895</v>
      </c>
      <c r="H62" t="s">
        <v>833</v>
      </c>
      <c r="I62" t="s">
        <v>979</v>
      </c>
      <c r="J62" t="s">
        <v>980</v>
      </c>
      <c r="K62" t="s">
        <v>836</v>
      </c>
      <c r="L62">
        <v>32</v>
      </c>
    </row>
    <row r="63" spans="1:12" x14ac:dyDescent="0.25">
      <c r="A63" s="80">
        <v>46006</v>
      </c>
      <c r="B63" s="80">
        <v>46006</v>
      </c>
      <c r="C63" t="s">
        <v>851</v>
      </c>
      <c r="D63" t="s">
        <v>838</v>
      </c>
      <c r="F63" t="s">
        <v>981</v>
      </c>
      <c r="G63" t="s">
        <v>857</v>
      </c>
      <c r="H63" t="s">
        <v>833</v>
      </c>
      <c r="I63" t="s">
        <v>982</v>
      </c>
      <c r="J63" t="s">
        <v>983</v>
      </c>
      <c r="K63" t="s">
        <v>836</v>
      </c>
      <c r="L63">
        <v>61</v>
      </c>
    </row>
    <row r="64" spans="1:12" x14ac:dyDescent="0.25">
      <c r="A64" s="80">
        <v>46006</v>
      </c>
      <c r="B64" s="80">
        <v>46006</v>
      </c>
      <c r="C64" t="s">
        <v>851</v>
      </c>
      <c r="D64" t="s">
        <v>897</v>
      </c>
      <c r="F64" t="s">
        <v>933</v>
      </c>
      <c r="G64" t="s">
        <v>857</v>
      </c>
      <c r="H64" t="s">
        <v>833</v>
      </c>
      <c r="I64" t="s">
        <v>982</v>
      </c>
      <c r="J64" t="s">
        <v>984</v>
      </c>
      <c r="K64" t="s">
        <v>836</v>
      </c>
      <c r="L64">
        <v>61</v>
      </c>
    </row>
    <row r="65" spans="1:12" x14ac:dyDescent="0.25">
      <c r="A65" s="80">
        <v>46006</v>
      </c>
      <c r="B65" s="80">
        <v>46006</v>
      </c>
      <c r="C65" t="s">
        <v>851</v>
      </c>
      <c r="D65" t="s">
        <v>852</v>
      </c>
      <c r="F65" t="s">
        <v>853</v>
      </c>
      <c r="G65" t="s">
        <v>854</v>
      </c>
      <c r="H65" t="s">
        <v>833</v>
      </c>
      <c r="I65" t="s">
        <v>982</v>
      </c>
      <c r="J65" t="s">
        <v>856</v>
      </c>
      <c r="K65" t="s">
        <v>836</v>
      </c>
      <c r="L65">
        <v>61</v>
      </c>
    </row>
    <row r="66" spans="1:12" x14ac:dyDescent="0.25">
      <c r="A66" s="80">
        <v>46006</v>
      </c>
      <c r="B66" s="80">
        <v>46006</v>
      </c>
      <c r="C66" t="s">
        <v>851</v>
      </c>
      <c r="D66" t="s">
        <v>985</v>
      </c>
      <c r="F66" t="s">
        <v>915</v>
      </c>
      <c r="G66" t="s">
        <v>941</v>
      </c>
      <c r="H66" t="s">
        <v>833</v>
      </c>
      <c r="I66" t="s">
        <v>982</v>
      </c>
      <c r="J66" t="s">
        <v>941</v>
      </c>
      <c r="K66" t="s">
        <v>836</v>
      </c>
      <c r="L66">
        <v>61</v>
      </c>
    </row>
    <row r="67" spans="1:12" x14ac:dyDescent="0.25">
      <c r="A67" s="80">
        <v>46006</v>
      </c>
      <c r="B67" s="80">
        <v>46006</v>
      </c>
      <c r="C67" t="s">
        <v>851</v>
      </c>
      <c r="D67" t="s">
        <v>862</v>
      </c>
      <c r="F67" t="s">
        <v>853</v>
      </c>
      <c r="G67" t="s">
        <v>863</v>
      </c>
      <c r="H67" t="s">
        <v>833</v>
      </c>
      <c r="I67" t="s">
        <v>982</v>
      </c>
      <c r="J67" t="s">
        <v>864</v>
      </c>
      <c r="K67" t="s">
        <v>836</v>
      </c>
      <c r="L67">
        <v>61</v>
      </c>
    </row>
    <row r="68" spans="1:12" x14ac:dyDescent="0.25">
      <c r="A68" s="80">
        <v>46006</v>
      </c>
      <c r="B68" s="80">
        <v>46006</v>
      </c>
      <c r="C68" t="s">
        <v>865</v>
      </c>
      <c r="D68" t="s">
        <v>830</v>
      </c>
      <c r="E68" t="s">
        <v>986</v>
      </c>
      <c r="F68" t="s">
        <v>987</v>
      </c>
      <c r="G68" t="s">
        <v>868</v>
      </c>
      <c r="H68" t="s">
        <v>833</v>
      </c>
      <c r="I68" t="s">
        <v>988</v>
      </c>
      <c r="J68" t="s">
        <v>989</v>
      </c>
      <c r="K68" t="s">
        <v>836</v>
      </c>
      <c r="L68">
        <v>13</v>
      </c>
    </row>
    <row r="69" spans="1:12" x14ac:dyDescent="0.25">
      <c r="A69" s="80">
        <v>46006</v>
      </c>
      <c r="B69" s="80">
        <v>46006</v>
      </c>
      <c r="C69" t="s">
        <v>865</v>
      </c>
      <c r="D69" t="s">
        <v>838</v>
      </c>
      <c r="E69" t="s">
        <v>876</v>
      </c>
      <c r="F69" t="s">
        <v>872</v>
      </c>
      <c r="G69" t="s">
        <v>873</v>
      </c>
      <c r="H69" t="s">
        <v>833</v>
      </c>
      <c r="I69" t="s">
        <v>988</v>
      </c>
      <c r="J69" t="s">
        <v>874</v>
      </c>
      <c r="K69" t="s">
        <v>836</v>
      </c>
      <c r="L69">
        <v>13</v>
      </c>
    </row>
    <row r="70" spans="1:12" x14ac:dyDescent="0.25">
      <c r="A70" s="80">
        <v>46006</v>
      </c>
      <c r="B70" s="80">
        <v>46006</v>
      </c>
      <c r="C70" t="s">
        <v>865</v>
      </c>
      <c r="D70" t="s">
        <v>875</v>
      </c>
      <c r="E70" t="s">
        <v>876</v>
      </c>
      <c r="F70" t="s">
        <v>848</v>
      </c>
      <c r="G70" t="s">
        <v>878</v>
      </c>
      <c r="H70" t="s">
        <v>833</v>
      </c>
      <c r="I70" t="s">
        <v>988</v>
      </c>
      <c r="J70" t="s">
        <v>990</v>
      </c>
      <c r="K70" t="s">
        <v>836</v>
      </c>
      <c r="L70">
        <v>13</v>
      </c>
    </row>
    <row r="71" spans="1:12" x14ac:dyDescent="0.25">
      <c r="A71" s="80">
        <v>46006</v>
      </c>
      <c r="B71" s="80">
        <v>46006</v>
      </c>
      <c r="C71" t="s">
        <v>865</v>
      </c>
      <c r="D71" t="s">
        <v>185</v>
      </c>
      <c r="E71" t="s">
        <v>991</v>
      </c>
      <c r="F71" t="s">
        <v>933</v>
      </c>
      <c r="G71" t="s">
        <v>842</v>
      </c>
      <c r="H71" t="s">
        <v>833</v>
      </c>
      <c r="I71" t="s">
        <v>988</v>
      </c>
      <c r="J71" t="s">
        <v>920</v>
      </c>
      <c r="K71" t="s">
        <v>836</v>
      </c>
      <c r="L71">
        <v>13</v>
      </c>
    </row>
    <row r="72" spans="1:12" x14ac:dyDescent="0.25">
      <c r="A72" s="80">
        <v>46006</v>
      </c>
      <c r="B72" s="80">
        <v>46006</v>
      </c>
      <c r="C72" t="s">
        <v>883</v>
      </c>
      <c r="D72" t="s">
        <v>838</v>
      </c>
      <c r="F72" t="s">
        <v>900</v>
      </c>
      <c r="G72" t="s">
        <v>873</v>
      </c>
      <c r="H72" t="s">
        <v>833</v>
      </c>
      <c r="I72" t="s">
        <v>992</v>
      </c>
      <c r="J72" t="s">
        <v>993</v>
      </c>
      <c r="K72" t="s">
        <v>994</v>
      </c>
      <c r="L72">
        <v>5</v>
      </c>
    </row>
    <row r="73" spans="1:12" x14ac:dyDescent="0.25">
      <c r="A73" s="80">
        <v>46006</v>
      </c>
      <c r="B73" s="80">
        <v>46006</v>
      </c>
      <c r="C73" t="s">
        <v>883</v>
      </c>
      <c r="D73" t="s">
        <v>884</v>
      </c>
      <c r="F73" t="s">
        <v>885</v>
      </c>
      <c r="G73" t="s">
        <v>886</v>
      </c>
      <c r="H73" t="s">
        <v>833</v>
      </c>
      <c r="I73" t="s">
        <v>992</v>
      </c>
      <c r="J73" t="s">
        <v>888</v>
      </c>
      <c r="K73" t="s">
        <v>994</v>
      </c>
      <c r="L73">
        <v>5</v>
      </c>
    </row>
    <row r="74" spans="1:12" x14ac:dyDescent="0.25">
      <c r="A74" s="80">
        <v>46006</v>
      </c>
      <c r="B74" s="80">
        <v>46006</v>
      </c>
      <c r="C74" t="s">
        <v>883</v>
      </c>
      <c r="D74" t="s">
        <v>890</v>
      </c>
      <c r="F74" t="s">
        <v>891</v>
      </c>
      <c r="G74" t="s">
        <v>892</v>
      </c>
      <c r="H74" t="s">
        <v>833</v>
      </c>
      <c r="I74" t="s">
        <v>992</v>
      </c>
      <c r="J74" t="s">
        <v>893</v>
      </c>
      <c r="K74" t="s">
        <v>994</v>
      </c>
      <c r="L74">
        <v>5</v>
      </c>
    </row>
    <row r="75" spans="1:12" x14ac:dyDescent="0.25">
      <c r="A75" s="80">
        <v>46006</v>
      </c>
      <c r="B75" s="80">
        <v>46006</v>
      </c>
      <c r="C75" t="s">
        <v>883</v>
      </c>
      <c r="D75" t="s">
        <v>859</v>
      </c>
      <c r="F75" t="s">
        <v>995</v>
      </c>
      <c r="G75" t="s">
        <v>895</v>
      </c>
      <c r="H75" t="s">
        <v>833</v>
      </c>
      <c r="I75" t="s">
        <v>992</v>
      </c>
      <c r="J75" t="s">
        <v>996</v>
      </c>
      <c r="K75" t="s">
        <v>994</v>
      </c>
      <c r="L75">
        <v>5</v>
      </c>
    </row>
    <row r="76" spans="1:12" x14ac:dyDescent="0.25">
      <c r="A76" s="80">
        <v>46006</v>
      </c>
      <c r="B76" s="80">
        <v>46006</v>
      </c>
      <c r="C76" t="s">
        <v>883</v>
      </c>
      <c r="D76" t="s">
        <v>899</v>
      </c>
      <c r="F76" t="s">
        <v>885</v>
      </c>
      <c r="G76" t="s">
        <v>901</v>
      </c>
      <c r="H76" t="s">
        <v>833</v>
      </c>
      <c r="I76" t="s">
        <v>992</v>
      </c>
      <c r="J76" t="s">
        <v>970</v>
      </c>
      <c r="K76" t="s">
        <v>994</v>
      </c>
      <c r="L76">
        <v>5</v>
      </c>
    </row>
    <row r="77" spans="1:12" x14ac:dyDescent="0.25">
      <c r="A77" s="80">
        <v>46005</v>
      </c>
      <c r="B77" s="80">
        <v>46005</v>
      </c>
      <c r="C77" t="s">
        <v>911</v>
      </c>
      <c r="D77" t="s">
        <v>912</v>
      </c>
      <c r="F77" t="s">
        <v>945</v>
      </c>
      <c r="G77" t="s">
        <v>849</v>
      </c>
      <c r="H77" t="s">
        <v>833</v>
      </c>
      <c r="I77" t="s">
        <v>997</v>
      </c>
      <c r="J77" t="s">
        <v>998</v>
      </c>
      <c r="K77" t="s">
        <v>836</v>
      </c>
      <c r="L77">
        <v>4</v>
      </c>
    </row>
    <row r="78" spans="1:12" x14ac:dyDescent="0.25">
      <c r="A78" s="80">
        <v>46005</v>
      </c>
      <c r="B78" s="80">
        <v>46005</v>
      </c>
      <c r="C78" t="s">
        <v>932</v>
      </c>
      <c r="D78" t="s">
        <v>830</v>
      </c>
      <c r="F78" t="s">
        <v>933</v>
      </c>
      <c r="G78" t="s">
        <v>868</v>
      </c>
      <c r="H78" t="s">
        <v>833</v>
      </c>
      <c r="I78" t="s">
        <v>999</v>
      </c>
      <c r="J78" t="s">
        <v>935</v>
      </c>
      <c r="K78" t="s">
        <v>836</v>
      </c>
      <c r="L78">
        <v>11</v>
      </c>
    </row>
    <row r="79" spans="1:12" x14ac:dyDescent="0.25">
      <c r="A79" s="80">
        <v>46005</v>
      </c>
      <c r="B79" s="80">
        <v>46005</v>
      </c>
      <c r="C79" t="s">
        <v>914</v>
      </c>
      <c r="D79" t="s">
        <v>830</v>
      </c>
      <c r="F79" t="s">
        <v>839</v>
      </c>
      <c r="G79" t="s">
        <v>868</v>
      </c>
      <c r="H79" t="s">
        <v>833</v>
      </c>
      <c r="I79" t="s">
        <v>1000</v>
      </c>
      <c r="J79" t="s">
        <v>1001</v>
      </c>
      <c r="K79" t="s">
        <v>836</v>
      </c>
      <c r="L79">
        <v>68</v>
      </c>
    </row>
    <row r="80" spans="1:12" x14ac:dyDescent="0.25">
      <c r="A80" s="80">
        <v>46005</v>
      </c>
      <c r="B80" s="80">
        <v>46005</v>
      </c>
      <c r="C80" t="s">
        <v>837</v>
      </c>
      <c r="D80" t="s">
        <v>830</v>
      </c>
      <c r="F80" t="s">
        <v>831</v>
      </c>
      <c r="G80" t="s">
        <v>868</v>
      </c>
      <c r="H80" t="s">
        <v>833</v>
      </c>
      <c r="I80" t="s">
        <v>1002</v>
      </c>
      <c r="J80" t="s">
        <v>1003</v>
      </c>
      <c r="K80" t="s">
        <v>836</v>
      </c>
      <c r="L80">
        <v>69</v>
      </c>
    </row>
    <row r="81" spans="1:12" x14ac:dyDescent="0.25">
      <c r="A81" s="80">
        <v>46005</v>
      </c>
      <c r="B81" s="80">
        <v>46005</v>
      </c>
      <c r="C81" t="s">
        <v>950</v>
      </c>
      <c r="D81" t="s">
        <v>838</v>
      </c>
      <c r="F81" t="s">
        <v>945</v>
      </c>
      <c r="G81" t="s">
        <v>952</v>
      </c>
      <c r="H81" t="s">
        <v>833</v>
      </c>
      <c r="I81" t="s">
        <v>1004</v>
      </c>
      <c r="J81" t="s">
        <v>863</v>
      </c>
      <c r="K81" t="s">
        <v>836</v>
      </c>
      <c r="L81">
        <v>46</v>
      </c>
    </row>
    <row r="82" spans="1:12" x14ac:dyDescent="0.25">
      <c r="A82" s="80">
        <v>46005</v>
      </c>
      <c r="B82" s="80">
        <v>46005</v>
      </c>
      <c r="C82" t="s">
        <v>843</v>
      </c>
      <c r="D82" t="s">
        <v>844</v>
      </c>
      <c r="F82" t="s">
        <v>891</v>
      </c>
      <c r="G82" t="s">
        <v>845</v>
      </c>
      <c r="H82" t="s">
        <v>833</v>
      </c>
      <c r="I82" t="s">
        <v>1005</v>
      </c>
      <c r="J82" t="s">
        <v>949</v>
      </c>
      <c r="K82" t="s">
        <v>836</v>
      </c>
      <c r="L82">
        <v>3</v>
      </c>
    </row>
    <row r="83" spans="1:12" x14ac:dyDescent="0.25">
      <c r="A83" s="80">
        <v>46005</v>
      </c>
      <c r="B83" s="80">
        <v>46005</v>
      </c>
      <c r="C83" t="s">
        <v>843</v>
      </c>
      <c r="D83" t="s">
        <v>838</v>
      </c>
      <c r="F83" t="s">
        <v>848</v>
      </c>
      <c r="G83" t="s">
        <v>849</v>
      </c>
      <c r="H83" t="s">
        <v>833</v>
      </c>
      <c r="I83" t="s">
        <v>1005</v>
      </c>
      <c r="J83" t="s">
        <v>850</v>
      </c>
      <c r="K83" t="s">
        <v>836</v>
      </c>
      <c r="L83">
        <v>3</v>
      </c>
    </row>
    <row r="84" spans="1:12" x14ac:dyDescent="0.25">
      <c r="A84" s="80">
        <v>46005</v>
      </c>
      <c r="B84" s="80">
        <v>46005</v>
      </c>
      <c r="C84" t="s">
        <v>851</v>
      </c>
      <c r="D84" t="s">
        <v>838</v>
      </c>
      <c r="F84" t="s">
        <v>945</v>
      </c>
      <c r="G84" t="s">
        <v>857</v>
      </c>
      <c r="H84" t="s">
        <v>833</v>
      </c>
      <c r="I84" t="s">
        <v>1006</v>
      </c>
      <c r="J84" t="s">
        <v>1007</v>
      </c>
      <c r="K84" t="s">
        <v>836</v>
      </c>
      <c r="L84">
        <v>61</v>
      </c>
    </row>
    <row r="85" spans="1:12" x14ac:dyDescent="0.25">
      <c r="A85" s="80">
        <v>46005</v>
      </c>
      <c r="B85" s="80">
        <v>46005</v>
      </c>
      <c r="C85" t="s">
        <v>851</v>
      </c>
      <c r="D85" t="s">
        <v>852</v>
      </c>
      <c r="F85" t="s">
        <v>915</v>
      </c>
      <c r="G85" t="s">
        <v>854</v>
      </c>
      <c r="H85" t="s">
        <v>833</v>
      </c>
      <c r="I85" t="s">
        <v>1006</v>
      </c>
      <c r="J85" t="s">
        <v>854</v>
      </c>
      <c r="K85" t="s">
        <v>836</v>
      </c>
      <c r="L85">
        <v>61</v>
      </c>
    </row>
    <row r="86" spans="1:12" x14ac:dyDescent="0.25">
      <c r="A86" s="80">
        <v>46005</v>
      </c>
      <c r="B86" s="80">
        <v>46005</v>
      </c>
      <c r="C86" t="s">
        <v>865</v>
      </c>
      <c r="D86" t="s">
        <v>838</v>
      </c>
      <c r="E86" t="s">
        <v>1008</v>
      </c>
      <c r="F86" t="s">
        <v>1009</v>
      </c>
      <c r="G86" t="s">
        <v>873</v>
      </c>
      <c r="H86" t="s">
        <v>833</v>
      </c>
      <c r="I86" t="s">
        <v>1010</v>
      </c>
      <c r="J86" t="s">
        <v>1011</v>
      </c>
      <c r="K86" t="s">
        <v>836</v>
      </c>
      <c r="L86">
        <v>13</v>
      </c>
    </row>
    <row r="87" spans="1:12" x14ac:dyDescent="0.25">
      <c r="A87" s="80">
        <v>46005</v>
      </c>
      <c r="B87" s="80">
        <v>46005</v>
      </c>
      <c r="C87" t="s">
        <v>865</v>
      </c>
      <c r="D87" t="s">
        <v>830</v>
      </c>
      <c r="E87" t="s">
        <v>1012</v>
      </c>
      <c r="F87" t="s">
        <v>1013</v>
      </c>
      <c r="G87" t="s">
        <v>868</v>
      </c>
      <c r="H87" t="s">
        <v>833</v>
      </c>
      <c r="I87" t="s">
        <v>1010</v>
      </c>
      <c r="J87" t="s">
        <v>1014</v>
      </c>
      <c r="K87" t="s">
        <v>836</v>
      </c>
      <c r="L87">
        <v>13</v>
      </c>
    </row>
    <row r="88" spans="1:12" x14ac:dyDescent="0.25">
      <c r="A88" s="80">
        <v>46005</v>
      </c>
      <c r="B88" s="80">
        <v>46005</v>
      </c>
      <c r="C88" t="s">
        <v>865</v>
      </c>
      <c r="D88" t="s">
        <v>875</v>
      </c>
      <c r="E88" t="s">
        <v>1008</v>
      </c>
      <c r="F88" t="s">
        <v>1015</v>
      </c>
      <c r="G88" t="s">
        <v>878</v>
      </c>
      <c r="H88" t="s">
        <v>833</v>
      </c>
      <c r="I88" t="s">
        <v>1010</v>
      </c>
      <c r="J88" t="s">
        <v>1016</v>
      </c>
      <c r="K88" t="s">
        <v>836</v>
      </c>
      <c r="L88">
        <v>13</v>
      </c>
    </row>
    <row r="89" spans="1:12" x14ac:dyDescent="0.25">
      <c r="A89" s="80">
        <v>46005</v>
      </c>
      <c r="B89" s="80">
        <v>46005</v>
      </c>
      <c r="C89" t="s">
        <v>865</v>
      </c>
      <c r="D89" t="s">
        <v>185</v>
      </c>
      <c r="E89" t="s">
        <v>1017</v>
      </c>
      <c r="F89" t="s">
        <v>1018</v>
      </c>
      <c r="G89" t="s">
        <v>842</v>
      </c>
      <c r="H89" t="s">
        <v>833</v>
      </c>
      <c r="I89" t="s">
        <v>1010</v>
      </c>
      <c r="J89" t="s">
        <v>1019</v>
      </c>
      <c r="K89" t="s">
        <v>836</v>
      </c>
      <c r="L89">
        <v>13</v>
      </c>
    </row>
    <row r="90" spans="1:12" x14ac:dyDescent="0.25">
      <c r="A90" s="80">
        <v>46005</v>
      </c>
      <c r="B90" s="80">
        <v>46005</v>
      </c>
      <c r="C90" t="s">
        <v>883</v>
      </c>
      <c r="D90" t="s">
        <v>838</v>
      </c>
      <c r="F90" t="s">
        <v>926</v>
      </c>
      <c r="G90" t="s">
        <v>873</v>
      </c>
      <c r="H90" t="s">
        <v>833</v>
      </c>
      <c r="I90" t="s">
        <v>1020</v>
      </c>
      <c r="J90" t="s">
        <v>1021</v>
      </c>
      <c r="K90" t="s">
        <v>1022</v>
      </c>
      <c r="L90">
        <v>5</v>
      </c>
    </row>
    <row r="91" spans="1:12" x14ac:dyDescent="0.25">
      <c r="A91" s="80">
        <v>46005</v>
      </c>
      <c r="B91" s="80">
        <v>46005</v>
      </c>
      <c r="C91" t="s">
        <v>883</v>
      </c>
      <c r="D91" t="s">
        <v>884</v>
      </c>
      <c r="F91" t="s">
        <v>885</v>
      </c>
      <c r="G91" t="s">
        <v>886</v>
      </c>
      <c r="H91" t="s">
        <v>833</v>
      </c>
      <c r="I91" t="s">
        <v>1020</v>
      </c>
      <c r="J91" t="s">
        <v>888</v>
      </c>
      <c r="K91" t="s">
        <v>1022</v>
      </c>
      <c r="L91">
        <v>5</v>
      </c>
    </row>
    <row r="92" spans="1:12" x14ac:dyDescent="0.25">
      <c r="A92" s="80">
        <v>46005</v>
      </c>
      <c r="B92" s="80">
        <v>46005</v>
      </c>
      <c r="C92" t="s">
        <v>883</v>
      </c>
      <c r="D92" t="s">
        <v>890</v>
      </c>
      <c r="F92" t="s">
        <v>1023</v>
      </c>
      <c r="G92" t="s">
        <v>892</v>
      </c>
      <c r="H92" t="s">
        <v>833</v>
      </c>
      <c r="I92" t="s">
        <v>1020</v>
      </c>
      <c r="J92" t="s">
        <v>1024</v>
      </c>
      <c r="K92" t="s">
        <v>1022</v>
      </c>
      <c r="L92">
        <v>5</v>
      </c>
    </row>
    <row r="93" spans="1:12" x14ac:dyDescent="0.25">
      <c r="A93" s="80">
        <v>46005</v>
      </c>
      <c r="B93" s="80">
        <v>46005</v>
      </c>
      <c r="C93" t="s">
        <v>883</v>
      </c>
      <c r="D93" t="s">
        <v>859</v>
      </c>
      <c r="F93" t="s">
        <v>926</v>
      </c>
      <c r="G93" t="s">
        <v>895</v>
      </c>
      <c r="H93" t="s">
        <v>833</v>
      </c>
      <c r="I93" t="s">
        <v>1020</v>
      </c>
      <c r="J93" t="s">
        <v>927</v>
      </c>
      <c r="K93" t="s">
        <v>1022</v>
      </c>
      <c r="L93">
        <v>5</v>
      </c>
    </row>
    <row r="94" spans="1:12" x14ac:dyDescent="0.25">
      <c r="A94" s="80">
        <v>46005</v>
      </c>
      <c r="B94" s="80">
        <v>46005</v>
      </c>
      <c r="C94" t="s">
        <v>883</v>
      </c>
      <c r="D94" t="s">
        <v>897</v>
      </c>
      <c r="F94" t="s">
        <v>848</v>
      </c>
      <c r="G94" t="s">
        <v>840</v>
      </c>
      <c r="H94" t="s">
        <v>833</v>
      </c>
      <c r="I94" t="s">
        <v>1020</v>
      </c>
      <c r="J94" t="s">
        <v>898</v>
      </c>
      <c r="K94" t="s">
        <v>1022</v>
      </c>
      <c r="L94">
        <v>5</v>
      </c>
    </row>
    <row r="95" spans="1:12" x14ac:dyDescent="0.25">
      <c r="A95" s="80">
        <v>46005</v>
      </c>
      <c r="B95" s="80">
        <v>46005</v>
      </c>
      <c r="C95" t="s">
        <v>883</v>
      </c>
      <c r="D95" t="s">
        <v>899</v>
      </c>
      <c r="F95" t="s">
        <v>885</v>
      </c>
      <c r="G95" t="s">
        <v>901</v>
      </c>
      <c r="H95" t="s">
        <v>833</v>
      </c>
      <c r="I95" t="s">
        <v>1020</v>
      </c>
      <c r="J95" t="s">
        <v>970</v>
      </c>
      <c r="K95" t="s">
        <v>1022</v>
      </c>
      <c r="L95">
        <v>5</v>
      </c>
    </row>
    <row r="96" spans="1:12" x14ac:dyDescent="0.25">
      <c r="A96" s="80">
        <v>46004</v>
      </c>
      <c r="B96" s="80">
        <v>46004</v>
      </c>
      <c r="C96" t="s">
        <v>932</v>
      </c>
      <c r="D96" t="s">
        <v>830</v>
      </c>
      <c r="F96" t="s">
        <v>933</v>
      </c>
      <c r="G96" t="s">
        <v>868</v>
      </c>
      <c r="H96" t="s">
        <v>833</v>
      </c>
      <c r="I96" t="s">
        <v>1025</v>
      </c>
      <c r="J96" t="s">
        <v>935</v>
      </c>
      <c r="K96" t="s">
        <v>836</v>
      </c>
      <c r="L96">
        <v>11</v>
      </c>
    </row>
    <row r="97" spans="1:12" x14ac:dyDescent="0.25">
      <c r="A97" s="80">
        <v>46004</v>
      </c>
      <c r="B97" s="80">
        <v>46004</v>
      </c>
      <c r="C97" t="s">
        <v>1026</v>
      </c>
      <c r="D97" t="s">
        <v>830</v>
      </c>
      <c r="F97" t="s">
        <v>839</v>
      </c>
      <c r="G97" t="s">
        <v>868</v>
      </c>
      <c r="H97" t="s">
        <v>833</v>
      </c>
      <c r="I97" t="s">
        <v>1027</v>
      </c>
      <c r="J97" t="s">
        <v>1001</v>
      </c>
      <c r="K97" t="s">
        <v>836</v>
      </c>
      <c r="L97">
        <v>75</v>
      </c>
    </row>
    <row r="98" spans="1:12" x14ac:dyDescent="0.25">
      <c r="A98" s="80">
        <v>46004</v>
      </c>
      <c r="B98" s="80">
        <v>46004</v>
      </c>
      <c r="C98" t="s">
        <v>911</v>
      </c>
      <c r="D98" t="s">
        <v>912</v>
      </c>
      <c r="F98" t="s">
        <v>848</v>
      </c>
      <c r="G98" t="s">
        <v>849</v>
      </c>
      <c r="H98" t="s">
        <v>833</v>
      </c>
      <c r="I98" t="s">
        <v>1028</v>
      </c>
      <c r="J98" t="s">
        <v>850</v>
      </c>
      <c r="K98" t="s">
        <v>836</v>
      </c>
      <c r="L98">
        <v>4</v>
      </c>
    </row>
    <row r="99" spans="1:12" x14ac:dyDescent="0.25">
      <c r="A99" s="80">
        <v>46004</v>
      </c>
      <c r="B99" s="80">
        <v>46004</v>
      </c>
      <c r="C99" t="s">
        <v>843</v>
      </c>
      <c r="D99" t="s">
        <v>844</v>
      </c>
      <c r="F99" t="s">
        <v>831</v>
      </c>
      <c r="G99" t="s">
        <v>845</v>
      </c>
      <c r="H99" t="s">
        <v>833</v>
      </c>
      <c r="I99" t="s">
        <v>1029</v>
      </c>
      <c r="J99" t="s">
        <v>847</v>
      </c>
      <c r="K99" t="s">
        <v>836</v>
      </c>
      <c r="L99">
        <v>3</v>
      </c>
    </row>
    <row r="100" spans="1:12" x14ac:dyDescent="0.25">
      <c r="A100" s="80">
        <v>46004</v>
      </c>
      <c r="B100" s="80">
        <v>46004</v>
      </c>
      <c r="C100" t="s">
        <v>843</v>
      </c>
      <c r="D100" t="s">
        <v>838</v>
      </c>
      <c r="F100" t="s">
        <v>848</v>
      </c>
      <c r="G100" t="s">
        <v>849</v>
      </c>
      <c r="H100" t="s">
        <v>833</v>
      </c>
      <c r="I100" t="s">
        <v>1029</v>
      </c>
      <c r="J100" t="s">
        <v>850</v>
      </c>
      <c r="K100" t="s">
        <v>836</v>
      </c>
      <c r="L100">
        <v>3</v>
      </c>
    </row>
    <row r="101" spans="1:12" x14ac:dyDescent="0.25">
      <c r="A101" s="80">
        <v>46004</v>
      </c>
      <c r="B101" s="80">
        <v>46004</v>
      </c>
      <c r="C101" t="s">
        <v>851</v>
      </c>
      <c r="D101" t="s">
        <v>838</v>
      </c>
      <c r="F101" t="s">
        <v>1030</v>
      </c>
      <c r="G101" t="s">
        <v>857</v>
      </c>
      <c r="H101" t="s">
        <v>833</v>
      </c>
      <c r="I101" t="s">
        <v>1031</v>
      </c>
      <c r="J101" t="s">
        <v>1032</v>
      </c>
      <c r="K101" t="s">
        <v>836</v>
      </c>
      <c r="L101">
        <v>61</v>
      </c>
    </row>
    <row r="102" spans="1:12" x14ac:dyDescent="0.25">
      <c r="A102" s="80">
        <v>46004</v>
      </c>
      <c r="B102" s="80">
        <v>46004</v>
      </c>
      <c r="C102" t="s">
        <v>851</v>
      </c>
      <c r="D102" t="s">
        <v>862</v>
      </c>
      <c r="F102" t="s">
        <v>853</v>
      </c>
      <c r="G102" t="s">
        <v>863</v>
      </c>
      <c r="H102" t="s">
        <v>833</v>
      </c>
      <c r="I102" t="s">
        <v>1031</v>
      </c>
      <c r="J102" t="s">
        <v>864</v>
      </c>
      <c r="K102" t="s">
        <v>836</v>
      </c>
      <c r="L102">
        <v>61</v>
      </c>
    </row>
    <row r="103" spans="1:12" x14ac:dyDescent="0.25">
      <c r="A103" s="80">
        <v>46004</v>
      </c>
      <c r="B103" s="80">
        <v>46004</v>
      </c>
      <c r="C103" t="s">
        <v>851</v>
      </c>
      <c r="D103" t="s">
        <v>852</v>
      </c>
      <c r="F103" t="s">
        <v>853</v>
      </c>
      <c r="G103" t="s">
        <v>854</v>
      </c>
      <c r="H103" t="s">
        <v>833</v>
      </c>
      <c r="I103" t="s">
        <v>1031</v>
      </c>
      <c r="J103" t="s">
        <v>856</v>
      </c>
      <c r="K103" t="s">
        <v>836</v>
      </c>
      <c r="L103">
        <v>61</v>
      </c>
    </row>
    <row r="104" spans="1:12" x14ac:dyDescent="0.25">
      <c r="A104" s="80">
        <v>46004</v>
      </c>
      <c r="B104" s="80">
        <v>46004</v>
      </c>
      <c r="C104" t="s">
        <v>865</v>
      </c>
      <c r="D104" t="s">
        <v>830</v>
      </c>
      <c r="E104" t="s">
        <v>1033</v>
      </c>
      <c r="F104" t="s">
        <v>1034</v>
      </c>
      <c r="G104" t="s">
        <v>868</v>
      </c>
      <c r="H104" t="s">
        <v>833</v>
      </c>
      <c r="I104" t="s">
        <v>1035</v>
      </c>
      <c r="J104" t="s">
        <v>1036</v>
      </c>
      <c r="K104" t="s">
        <v>836</v>
      </c>
      <c r="L104">
        <v>13</v>
      </c>
    </row>
    <row r="105" spans="1:12" x14ac:dyDescent="0.25">
      <c r="A105" s="80">
        <v>46004</v>
      </c>
      <c r="B105" s="80">
        <v>46004</v>
      </c>
      <c r="C105" t="s">
        <v>865</v>
      </c>
      <c r="D105" t="s">
        <v>838</v>
      </c>
      <c r="E105" t="s">
        <v>1037</v>
      </c>
      <c r="F105" t="s">
        <v>1038</v>
      </c>
      <c r="G105" t="s">
        <v>873</v>
      </c>
      <c r="H105" t="s">
        <v>833</v>
      </c>
      <c r="I105" t="s">
        <v>1035</v>
      </c>
      <c r="J105" t="s">
        <v>1039</v>
      </c>
      <c r="K105" t="s">
        <v>836</v>
      </c>
      <c r="L105">
        <v>13</v>
      </c>
    </row>
    <row r="106" spans="1:12" x14ac:dyDescent="0.25">
      <c r="A106" s="80">
        <v>46004</v>
      </c>
      <c r="B106" s="80">
        <v>46004</v>
      </c>
      <c r="C106" t="s">
        <v>865</v>
      </c>
      <c r="D106" t="s">
        <v>875</v>
      </c>
      <c r="E106" t="s">
        <v>1040</v>
      </c>
      <c r="F106" t="s">
        <v>1041</v>
      </c>
      <c r="G106" t="s">
        <v>878</v>
      </c>
      <c r="H106" t="s">
        <v>833</v>
      </c>
      <c r="I106" t="s">
        <v>1035</v>
      </c>
      <c r="J106" t="s">
        <v>1042</v>
      </c>
      <c r="K106" t="s">
        <v>836</v>
      </c>
      <c r="L106">
        <v>13</v>
      </c>
    </row>
    <row r="107" spans="1:12" x14ac:dyDescent="0.25">
      <c r="A107" s="80">
        <v>46004</v>
      </c>
      <c r="B107" s="80">
        <v>46004</v>
      </c>
      <c r="C107" t="s">
        <v>865</v>
      </c>
      <c r="D107" t="s">
        <v>185</v>
      </c>
      <c r="E107" t="s">
        <v>991</v>
      </c>
      <c r="F107" t="s">
        <v>881</v>
      </c>
      <c r="G107" t="s">
        <v>842</v>
      </c>
      <c r="H107" t="s">
        <v>833</v>
      </c>
      <c r="I107" t="s">
        <v>1035</v>
      </c>
      <c r="J107" t="s">
        <v>882</v>
      </c>
      <c r="K107" t="s">
        <v>836</v>
      </c>
      <c r="L107">
        <v>13</v>
      </c>
    </row>
    <row r="108" spans="1:12" x14ac:dyDescent="0.25">
      <c r="A108" s="80">
        <v>46004</v>
      </c>
      <c r="B108" s="80">
        <v>46004</v>
      </c>
      <c r="C108" t="s">
        <v>883</v>
      </c>
      <c r="D108" t="s">
        <v>838</v>
      </c>
      <c r="F108" t="s">
        <v>894</v>
      </c>
      <c r="G108" t="s">
        <v>873</v>
      </c>
      <c r="H108" t="s">
        <v>833</v>
      </c>
      <c r="I108" t="s">
        <v>1043</v>
      </c>
      <c r="J108" t="s">
        <v>1044</v>
      </c>
      <c r="K108" t="s">
        <v>1045</v>
      </c>
      <c r="L108">
        <v>5</v>
      </c>
    </row>
    <row r="109" spans="1:12" x14ac:dyDescent="0.25">
      <c r="A109" s="80">
        <v>46004</v>
      </c>
      <c r="B109" s="80">
        <v>46004</v>
      </c>
      <c r="C109" t="s">
        <v>883</v>
      </c>
      <c r="D109" t="s">
        <v>884</v>
      </c>
      <c r="F109" t="s">
        <v>885</v>
      </c>
      <c r="G109" t="s">
        <v>886</v>
      </c>
      <c r="H109" t="s">
        <v>833</v>
      </c>
      <c r="I109" t="s">
        <v>1043</v>
      </c>
      <c r="J109" t="s">
        <v>888</v>
      </c>
      <c r="K109" t="s">
        <v>1045</v>
      </c>
      <c r="L109">
        <v>5</v>
      </c>
    </row>
    <row r="110" spans="1:12" x14ac:dyDescent="0.25">
      <c r="A110" s="80">
        <v>46004</v>
      </c>
      <c r="B110" s="80">
        <v>46004</v>
      </c>
      <c r="C110" t="s">
        <v>883</v>
      </c>
      <c r="D110" t="s">
        <v>890</v>
      </c>
      <c r="F110" t="s">
        <v>1046</v>
      </c>
      <c r="G110" t="s">
        <v>892</v>
      </c>
      <c r="H110" t="s">
        <v>833</v>
      </c>
      <c r="I110" t="s">
        <v>1043</v>
      </c>
      <c r="J110" t="s">
        <v>1047</v>
      </c>
      <c r="K110" t="s">
        <v>1045</v>
      </c>
      <c r="L110">
        <v>5</v>
      </c>
    </row>
    <row r="111" spans="1:12" x14ac:dyDescent="0.25">
      <c r="A111" s="80">
        <v>46004</v>
      </c>
      <c r="B111" s="80">
        <v>46004</v>
      </c>
      <c r="C111" t="s">
        <v>883</v>
      </c>
      <c r="D111" t="s">
        <v>859</v>
      </c>
      <c r="F111" t="s">
        <v>900</v>
      </c>
      <c r="G111" t="s">
        <v>895</v>
      </c>
      <c r="H111" t="s">
        <v>833</v>
      </c>
      <c r="I111" t="s">
        <v>1043</v>
      </c>
      <c r="J111" t="s">
        <v>980</v>
      </c>
      <c r="K111" t="s">
        <v>1045</v>
      </c>
      <c r="L111">
        <v>5</v>
      </c>
    </row>
    <row r="112" spans="1:12" x14ac:dyDescent="0.25">
      <c r="A112" s="80">
        <v>46004</v>
      </c>
      <c r="B112" s="80">
        <v>46004</v>
      </c>
      <c r="C112" t="s">
        <v>883</v>
      </c>
      <c r="D112" t="s">
        <v>899</v>
      </c>
      <c r="F112" t="s">
        <v>900</v>
      </c>
      <c r="G112" t="s">
        <v>901</v>
      </c>
      <c r="H112" t="s">
        <v>833</v>
      </c>
      <c r="I112" t="s">
        <v>1043</v>
      </c>
      <c r="J112" t="s">
        <v>902</v>
      </c>
      <c r="K112" t="s">
        <v>1045</v>
      </c>
      <c r="L112">
        <v>5</v>
      </c>
    </row>
    <row r="113" spans="1:12" x14ac:dyDescent="0.25">
      <c r="A113" s="80">
        <v>46004</v>
      </c>
      <c r="B113" s="80">
        <v>46004</v>
      </c>
      <c r="C113" t="s">
        <v>883</v>
      </c>
      <c r="D113" t="s">
        <v>897</v>
      </c>
      <c r="F113" t="s">
        <v>848</v>
      </c>
      <c r="G113" t="s">
        <v>840</v>
      </c>
      <c r="H113" t="s">
        <v>833</v>
      </c>
      <c r="I113" t="s">
        <v>1043</v>
      </c>
      <c r="J113" t="s">
        <v>898</v>
      </c>
      <c r="K113" t="s">
        <v>1045</v>
      </c>
      <c r="L113">
        <v>5</v>
      </c>
    </row>
    <row r="114" spans="1:12" x14ac:dyDescent="0.25">
      <c r="A114" s="80">
        <v>46003</v>
      </c>
      <c r="B114" s="80">
        <v>46003</v>
      </c>
      <c r="C114" t="s">
        <v>936</v>
      </c>
      <c r="D114" t="s">
        <v>1048</v>
      </c>
      <c r="F114" t="s">
        <v>933</v>
      </c>
      <c r="G114" t="s">
        <v>909</v>
      </c>
      <c r="H114" t="s">
        <v>833</v>
      </c>
      <c r="I114" t="s">
        <v>1049</v>
      </c>
      <c r="J114" t="s">
        <v>909</v>
      </c>
      <c r="K114" t="s">
        <v>836</v>
      </c>
      <c r="L114">
        <v>2</v>
      </c>
    </row>
    <row r="115" spans="1:12" x14ac:dyDescent="0.25">
      <c r="A115" s="80">
        <v>46003</v>
      </c>
      <c r="B115" s="80">
        <v>46003</v>
      </c>
      <c r="C115" t="s">
        <v>936</v>
      </c>
      <c r="D115" t="s">
        <v>937</v>
      </c>
      <c r="F115" t="s">
        <v>933</v>
      </c>
      <c r="G115" t="s">
        <v>909</v>
      </c>
      <c r="H115" t="s">
        <v>833</v>
      </c>
      <c r="I115" t="s">
        <v>1049</v>
      </c>
      <c r="J115" t="s">
        <v>909</v>
      </c>
      <c r="K115" t="s">
        <v>836</v>
      </c>
      <c r="L115">
        <v>2</v>
      </c>
    </row>
    <row r="116" spans="1:12" x14ac:dyDescent="0.25">
      <c r="A116" s="80">
        <v>46003</v>
      </c>
      <c r="B116" s="80">
        <v>46003</v>
      </c>
      <c r="C116" t="s">
        <v>936</v>
      </c>
      <c r="D116" t="s">
        <v>1050</v>
      </c>
      <c r="F116" t="s">
        <v>853</v>
      </c>
      <c r="G116" t="s">
        <v>909</v>
      </c>
      <c r="H116" t="s">
        <v>833</v>
      </c>
      <c r="I116" t="s">
        <v>1049</v>
      </c>
      <c r="J116" t="s">
        <v>909</v>
      </c>
      <c r="K116" t="s">
        <v>836</v>
      </c>
      <c r="L116">
        <v>2</v>
      </c>
    </row>
    <row r="117" spans="1:12" x14ac:dyDescent="0.25">
      <c r="A117" s="80">
        <v>46003</v>
      </c>
      <c r="B117" s="80">
        <v>46003</v>
      </c>
      <c r="C117" t="s">
        <v>936</v>
      </c>
      <c r="D117" t="s">
        <v>1048</v>
      </c>
      <c r="F117" t="s">
        <v>933</v>
      </c>
      <c r="G117" t="s">
        <v>909</v>
      </c>
      <c r="H117" t="s">
        <v>833</v>
      </c>
      <c r="I117" t="s">
        <v>1051</v>
      </c>
      <c r="J117" t="s">
        <v>909</v>
      </c>
      <c r="K117" t="s">
        <v>836</v>
      </c>
      <c r="L117">
        <v>2</v>
      </c>
    </row>
    <row r="118" spans="1:12" x14ac:dyDescent="0.25">
      <c r="A118" s="80">
        <v>46003</v>
      </c>
      <c r="B118" s="80">
        <v>46003</v>
      </c>
      <c r="C118" t="s">
        <v>936</v>
      </c>
      <c r="D118" t="s">
        <v>937</v>
      </c>
      <c r="F118" t="s">
        <v>933</v>
      </c>
      <c r="G118" t="s">
        <v>909</v>
      </c>
      <c r="H118" t="s">
        <v>833</v>
      </c>
      <c r="I118" t="s">
        <v>1051</v>
      </c>
      <c r="J118" t="s">
        <v>909</v>
      </c>
      <c r="K118" t="s">
        <v>836</v>
      </c>
      <c r="L118">
        <v>2</v>
      </c>
    </row>
    <row r="119" spans="1:12" x14ac:dyDescent="0.25">
      <c r="A119" s="80">
        <v>46003</v>
      </c>
      <c r="B119" s="80">
        <v>46003</v>
      </c>
      <c r="C119" t="s">
        <v>936</v>
      </c>
      <c r="D119" t="s">
        <v>1050</v>
      </c>
      <c r="F119" t="s">
        <v>853</v>
      </c>
      <c r="G119" t="s">
        <v>909</v>
      </c>
      <c r="H119" t="s">
        <v>833</v>
      </c>
      <c r="I119" t="s">
        <v>1051</v>
      </c>
      <c r="J119" t="s">
        <v>909</v>
      </c>
      <c r="K119" t="s">
        <v>836</v>
      </c>
      <c r="L119">
        <v>2</v>
      </c>
    </row>
    <row r="120" spans="1:12" x14ac:dyDescent="0.25">
      <c r="A120" s="80">
        <v>46003</v>
      </c>
      <c r="B120" s="80">
        <v>46003</v>
      </c>
      <c r="C120" t="s">
        <v>942</v>
      </c>
      <c r="D120" t="s">
        <v>899</v>
      </c>
      <c r="F120" t="s">
        <v>933</v>
      </c>
      <c r="G120" t="s">
        <v>901</v>
      </c>
      <c r="H120" t="s">
        <v>833</v>
      </c>
      <c r="I120" t="s">
        <v>1052</v>
      </c>
      <c r="J120" t="s">
        <v>941</v>
      </c>
      <c r="K120" t="s">
        <v>836</v>
      </c>
      <c r="L120">
        <v>73</v>
      </c>
    </row>
    <row r="121" spans="1:12" x14ac:dyDescent="0.25">
      <c r="A121" s="80">
        <v>46003</v>
      </c>
      <c r="B121" s="80">
        <v>46003</v>
      </c>
      <c r="C121" t="s">
        <v>939</v>
      </c>
      <c r="D121" t="s">
        <v>899</v>
      </c>
      <c r="F121" t="s">
        <v>933</v>
      </c>
      <c r="G121" t="s">
        <v>901</v>
      </c>
      <c r="H121" t="s">
        <v>833</v>
      </c>
      <c r="I121" t="s">
        <v>1053</v>
      </c>
      <c r="J121" t="s">
        <v>941</v>
      </c>
      <c r="K121" t="s">
        <v>836</v>
      </c>
      <c r="L121">
        <v>65</v>
      </c>
    </row>
    <row r="122" spans="1:12" x14ac:dyDescent="0.25">
      <c r="A122" s="80">
        <v>46003</v>
      </c>
      <c r="B122" s="80">
        <v>46003</v>
      </c>
      <c r="C122" t="s">
        <v>1054</v>
      </c>
      <c r="D122" t="s">
        <v>838</v>
      </c>
      <c r="F122" t="s">
        <v>954</v>
      </c>
      <c r="G122" t="s">
        <v>840</v>
      </c>
      <c r="H122" t="s">
        <v>833</v>
      </c>
      <c r="I122" t="s">
        <v>1055</v>
      </c>
      <c r="J122" t="s">
        <v>941</v>
      </c>
      <c r="K122" t="s">
        <v>836</v>
      </c>
      <c r="L122">
        <v>9</v>
      </c>
    </row>
    <row r="123" spans="1:12" x14ac:dyDescent="0.25">
      <c r="A123" s="80">
        <v>46003</v>
      </c>
      <c r="B123" s="80">
        <v>46003</v>
      </c>
      <c r="C123" t="s">
        <v>1054</v>
      </c>
      <c r="D123" t="s">
        <v>830</v>
      </c>
      <c r="F123" t="s">
        <v>839</v>
      </c>
      <c r="G123" t="s">
        <v>868</v>
      </c>
      <c r="H123" t="s">
        <v>833</v>
      </c>
      <c r="I123" t="s">
        <v>1055</v>
      </c>
      <c r="J123" t="s">
        <v>1001</v>
      </c>
      <c r="K123" t="s">
        <v>836</v>
      </c>
      <c r="L123">
        <v>9</v>
      </c>
    </row>
    <row r="124" spans="1:12" x14ac:dyDescent="0.25">
      <c r="A124" s="80">
        <v>46003</v>
      </c>
      <c r="B124" s="80">
        <v>46003</v>
      </c>
      <c r="C124" t="s">
        <v>837</v>
      </c>
      <c r="D124" t="s">
        <v>838</v>
      </c>
      <c r="F124" t="s">
        <v>848</v>
      </c>
      <c r="G124" t="s">
        <v>840</v>
      </c>
      <c r="H124" t="s">
        <v>833</v>
      </c>
      <c r="I124" t="s">
        <v>1056</v>
      </c>
      <c r="J124" t="s">
        <v>898</v>
      </c>
      <c r="K124" t="s">
        <v>836</v>
      </c>
      <c r="L124">
        <v>69</v>
      </c>
    </row>
    <row r="125" spans="1:12" x14ac:dyDescent="0.25">
      <c r="A125" s="80">
        <v>46003</v>
      </c>
      <c r="B125" s="80">
        <v>46003</v>
      </c>
      <c r="C125" t="s">
        <v>911</v>
      </c>
      <c r="D125" t="s">
        <v>912</v>
      </c>
      <c r="F125" t="s">
        <v>848</v>
      </c>
      <c r="G125" t="s">
        <v>849</v>
      </c>
      <c r="H125" t="s">
        <v>833</v>
      </c>
      <c r="I125" t="s">
        <v>1057</v>
      </c>
      <c r="J125" t="s">
        <v>850</v>
      </c>
      <c r="K125" t="s">
        <v>836</v>
      </c>
      <c r="L125">
        <v>4</v>
      </c>
    </row>
    <row r="126" spans="1:12" x14ac:dyDescent="0.25">
      <c r="A126" s="80">
        <v>46003</v>
      </c>
      <c r="B126" s="80">
        <v>46003</v>
      </c>
      <c r="C126" t="s">
        <v>843</v>
      </c>
      <c r="D126" t="s">
        <v>1058</v>
      </c>
      <c r="F126" t="s">
        <v>839</v>
      </c>
      <c r="G126" t="s">
        <v>909</v>
      </c>
      <c r="I126" t="s">
        <v>1059</v>
      </c>
      <c r="J126" t="s">
        <v>909</v>
      </c>
      <c r="K126" t="s">
        <v>836</v>
      </c>
      <c r="L126">
        <v>3</v>
      </c>
    </row>
    <row r="127" spans="1:12" x14ac:dyDescent="0.25">
      <c r="A127" s="80">
        <v>46003</v>
      </c>
      <c r="B127" s="80">
        <v>46003</v>
      </c>
      <c r="C127" t="s">
        <v>843</v>
      </c>
      <c r="D127" t="s">
        <v>844</v>
      </c>
      <c r="F127" t="s">
        <v>891</v>
      </c>
      <c r="G127" t="s">
        <v>845</v>
      </c>
      <c r="H127" t="s">
        <v>833</v>
      </c>
      <c r="I127" t="s">
        <v>1059</v>
      </c>
      <c r="J127" t="s">
        <v>949</v>
      </c>
      <c r="K127" t="s">
        <v>836</v>
      </c>
      <c r="L127">
        <v>3</v>
      </c>
    </row>
    <row r="128" spans="1:12" x14ac:dyDescent="0.25">
      <c r="A128" s="80">
        <v>46003</v>
      </c>
      <c r="B128" s="80">
        <v>46003</v>
      </c>
      <c r="C128" t="s">
        <v>865</v>
      </c>
      <c r="D128" t="s">
        <v>830</v>
      </c>
      <c r="E128" t="s">
        <v>1060</v>
      </c>
      <c r="F128" t="s">
        <v>1061</v>
      </c>
      <c r="G128" t="s">
        <v>868</v>
      </c>
      <c r="H128" t="s">
        <v>833</v>
      </c>
      <c r="I128" t="s">
        <v>1062</v>
      </c>
      <c r="J128" t="s">
        <v>1063</v>
      </c>
      <c r="K128" t="s">
        <v>836</v>
      </c>
      <c r="L128">
        <v>13</v>
      </c>
    </row>
    <row r="129" spans="1:12" x14ac:dyDescent="0.25">
      <c r="A129" s="80">
        <v>46003</v>
      </c>
      <c r="B129" s="80">
        <v>46003</v>
      </c>
      <c r="C129" t="s">
        <v>865</v>
      </c>
      <c r="D129" t="s">
        <v>838</v>
      </c>
      <c r="E129" t="s">
        <v>880</v>
      </c>
      <c r="F129" t="s">
        <v>1064</v>
      </c>
      <c r="G129" t="s">
        <v>873</v>
      </c>
      <c r="H129" t="s">
        <v>833</v>
      </c>
      <c r="I129" t="s">
        <v>1062</v>
      </c>
      <c r="J129" t="s">
        <v>1065</v>
      </c>
      <c r="K129" t="s">
        <v>836</v>
      </c>
      <c r="L129">
        <v>13</v>
      </c>
    </row>
    <row r="130" spans="1:12" x14ac:dyDescent="0.25">
      <c r="A130" s="80">
        <v>46003</v>
      </c>
      <c r="B130" s="80">
        <v>46003</v>
      </c>
      <c r="C130" t="s">
        <v>865</v>
      </c>
      <c r="D130" t="s">
        <v>875</v>
      </c>
      <c r="E130" t="s">
        <v>880</v>
      </c>
      <c r="F130" t="s">
        <v>1015</v>
      </c>
      <c r="G130" t="s">
        <v>878</v>
      </c>
      <c r="H130" t="s">
        <v>833</v>
      </c>
      <c r="I130" t="s">
        <v>1062</v>
      </c>
      <c r="J130" t="s">
        <v>1016</v>
      </c>
      <c r="K130" t="s">
        <v>836</v>
      </c>
      <c r="L130">
        <v>13</v>
      </c>
    </row>
    <row r="131" spans="1:12" x14ac:dyDescent="0.25">
      <c r="A131" s="80">
        <v>46003</v>
      </c>
      <c r="B131" s="80">
        <v>46003</v>
      </c>
      <c r="C131" t="s">
        <v>865</v>
      </c>
      <c r="D131" t="s">
        <v>185</v>
      </c>
      <c r="E131" t="s">
        <v>965</v>
      </c>
      <c r="F131" t="s">
        <v>881</v>
      </c>
      <c r="G131" t="s">
        <v>842</v>
      </c>
      <c r="H131" t="s">
        <v>833</v>
      </c>
      <c r="I131" t="s">
        <v>1062</v>
      </c>
      <c r="J131" t="s">
        <v>882</v>
      </c>
      <c r="K131" t="s">
        <v>836</v>
      </c>
      <c r="L131">
        <v>13</v>
      </c>
    </row>
    <row r="132" spans="1:12" x14ac:dyDescent="0.25">
      <c r="A132" s="80">
        <v>46003</v>
      </c>
      <c r="B132" s="80">
        <v>46003</v>
      </c>
      <c r="C132" t="s">
        <v>883</v>
      </c>
      <c r="D132" t="s">
        <v>884</v>
      </c>
      <c r="F132" t="s">
        <v>885</v>
      </c>
      <c r="G132" t="s">
        <v>886</v>
      </c>
      <c r="H132" t="s">
        <v>833</v>
      </c>
      <c r="I132" t="s">
        <v>1066</v>
      </c>
      <c r="J132" t="s">
        <v>888</v>
      </c>
      <c r="K132" t="s">
        <v>1067</v>
      </c>
      <c r="L132">
        <v>5</v>
      </c>
    </row>
    <row r="133" spans="1:12" x14ac:dyDescent="0.25">
      <c r="A133" s="80">
        <v>46003</v>
      </c>
      <c r="B133" s="80">
        <v>46003</v>
      </c>
      <c r="C133" t="s">
        <v>883</v>
      </c>
      <c r="D133" t="s">
        <v>890</v>
      </c>
      <c r="F133" t="s">
        <v>1068</v>
      </c>
      <c r="G133" t="s">
        <v>892</v>
      </c>
      <c r="H133" t="s">
        <v>833</v>
      </c>
      <c r="I133" t="s">
        <v>1066</v>
      </c>
      <c r="J133" t="s">
        <v>1069</v>
      </c>
      <c r="K133" t="s">
        <v>1067</v>
      </c>
      <c r="L133">
        <v>5</v>
      </c>
    </row>
    <row r="134" spans="1:12" x14ac:dyDescent="0.25">
      <c r="A134" s="80">
        <v>46003</v>
      </c>
      <c r="B134" s="80">
        <v>46003</v>
      </c>
      <c r="C134" t="s">
        <v>883</v>
      </c>
      <c r="D134" t="s">
        <v>859</v>
      </c>
      <c r="F134" t="s">
        <v>1070</v>
      </c>
      <c r="G134" t="s">
        <v>895</v>
      </c>
      <c r="H134" t="s">
        <v>833</v>
      </c>
      <c r="I134" t="s">
        <v>1066</v>
      </c>
      <c r="J134" t="s">
        <v>1071</v>
      </c>
      <c r="K134" t="s">
        <v>1067</v>
      </c>
      <c r="L134">
        <v>5</v>
      </c>
    </row>
    <row r="135" spans="1:12" x14ac:dyDescent="0.25">
      <c r="A135" s="80">
        <v>46003</v>
      </c>
      <c r="B135" s="80">
        <v>46003</v>
      </c>
      <c r="C135" t="s">
        <v>883</v>
      </c>
      <c r="D135" t="s">
        <v>897</v>
      </c>
      <c r="F135" t="s">
        <v>848</v>
      </c>
      <c r="G135" t="s">
        <v>840</v>
      </c>
      <c r="H135" t="s">
        <v>833</v>
      </c>
      <c r="I135" t="s">
        <v>1066</v>
      </c>
      <c r="J135" t="s">
        <v>898</v>
      </c>
      <c r="K135" t="s">
        <v>1067</v>
      </c>
      <c r="L135">
        <v>5</v>
      </c>
    </row>
    <row r="136" spans="1:12" x14ac:dyDescent="0.25">
      <c r="A136" s="80">
        <v>46003</v>
      </c>
      <c r="B136" s="80">
        <v>46003</v>
      </c>
      <c r="C136" t="s">
        <v>883</v>
      </c>
      <c r="D136" t="s">
        <v>838</v>
      </c>
      <c r="F136" t="s">
        <v>928</v>
      </c>
      <c r="G136" t="s">
        <v>873</v>
      </c>
      <c r="H136" t="s">
        <v>833</v>
      </c>
      <c r="I136" t="s">
        <v>1066</v>
      </c>
      <c r="J136" t="s">
        <v>929</v>
      </c>
      <c r="K136" t="s">
        <v>1067</v>
      </c>
      <c r="L136">
        <v>5</v>
      </c>
    </row>
    <row r="137" spans="1:12" x14ac:dyDescent="0.25">
      <c r="A137" s="80">
        <v>46003</v>
      </c>
      <c r="B137" s="80">
        <v>46003</v>
      </c>
      <c r="C137" t="s">
        <v>883</v>
      </c>
      <c r="D137" t="s">
        <v>899</v>
      </c>
      <c r="F137" t="s">
        <v>900</v>
      </c>
      <c r="G137" t="s">
        <v>901</v>
      </c>
      <c r="H137" t="s">
        <v>833</v>
      </c>
      <c r="I137" t="s">
        <v>1066</v>
      </c>
      <c r="J137" t="s">
        <v>902</v>
      </c>
      <c r="K137" t="s">
        <v>1067</v>
      </c>
      <c r="L137">
        <v>5</v>
      </c>
    </row>
    <row r="138" spans="1:12" x14ac:dyDescent="0.25">
      <c r="A138" s="80">
        <v>46002</v>
      </c>
      <c r="B138" s="80">
        <v>46002</v>
      </c>
      <c r="C138" t="s">
        <v>950</v>
      </c>
      <c r="D138" t="s">
        <v>838</v>
      </c>
      <c r="F138" t="s">
        <v>954</v>
      </c>
      <c r="G138" t="s">
        <v>952</v>
      </c>
      <c r="H138" t="s">
        <v>833</v>
      </c>
      <c r="I138" t="s">
        <v>1072</v>
      </c>
      <c r="J138" t="s">
        <v>901</v>
      </c>
      <c r="K138" t="s">
        <v>836</v>
      </c>
      <c r="L138">
        <v>46</v>
      </c>
    </row>
    <row r="139" spans="1:12" x14ac:dyDescent="0.25">
      <c r="A139" s="80">
        <v>46002</v>
      </c>
      <c r="B139" s="80">
        <v>46002</v>
      </c>
      <c r="C139" t="s">
        <v>932</v>
      </c>
      <c r="D139" t="s">
        <v>830</v>
      </c>
      <c r="F139" t="s">
        <v>933</v>
      </c>
      <c r="G139" t="s">
        <v>868</v>
      </c>
      <c r="H139" t="s">
        <v>833</v>
      </c>
      <c r="I139" t="s">
        <v>1073</v>
      </c>
      <c r="J139" t="s">
        <v>935</v>
      </c>
      <c r="K139" t="s">
        <v>836</v>
      </c>
      <c r="L139">
        <v>11</v>
      </c>
    </row>
    <row r="140" spans="1:12" x14ac:dyDescent="0.25">
      <c r="A140" s="80">
        <v>46002</v>
      </c>
      <c r="B140" s="80">
        <v>46002</v>
      </c>
      <c r="C140" t="s">
        <v>837</v>
      </c>
      <c r="D140" t="s">
        <v>830</v>
      </c>
      <c r="F140" t="s">
        <v>831</v>
      </c>
      <c r="G140" t="s">
        <v>868</v>
      </c>
      <c r="H140" t="s">
        <v>833</v>
      </c>
      <c r="I140" t="s">
        <v>1074</v>
      </c>
      <c r="J140" t="s">
        <v>1003</v>
      </c>
      <c r="K140" t="s">
        <v>836</v>
      </c>
      <c r="L140">
        <v>69</v>
      </c>
    </row>
    <row r="141" spans="1:12" x14ac:dyDescent="0.25">
      <c r="A141" s="80">
        <v>46002</v>
      </c>
      <c r="B141" s="80">
        <v>46002</v>
      </c>
      <c r="C141" t="s">
        <v>837</v>
      </c>
      <c r="D141" t="s">
        <v>838</v>
      </c>
      <c r="F141" t="s">
        <v>954</v>
      </c>
      <c r="G141" t="s">
        <v>840</v>
      </c>
      <c r="H141" t="s">
        <v>833</v>
      </c>
      <c r="I141" t="s">
        <v>1074</v>
      </c>
      <c r="J141" t="s">
        <v>941</v>
      </c>
      <c r="K141" t="s">
        <v>836</v>
      </c>
      <c r="L141">
        <v>69</v>
      </c>
    </row>
    <row r="142" spans="1:12" x14ac:dyDescent="0.25">
      <c r="A142" s="80">
        <v>46002</v>
      </c>
      <c r="B142" s="80">
        <v>46002</v>
      </c>
      <c r="C142" t="s">
        <v>911</v>
      </c>
      <c r="D142" t="s">
        <v>912</v>
      </c>
      <c r="F142" t="s">
        <v>848</v>
      </c>
      <c r="G142" t="s">
        <v>849</v>
      </c>
      <c r="H142" t="s">
        <v>833</v>
      </c>
      <c r="I142" t="s">
        <v>1075</v>
      </c>
      <c r="J142" t="s">
        <v>850</v>
      </c>
      <c r="K142" t="s">
        <v>836</v>
      </c>
      <c r="L142">
        <v>4</v>
      </c>
    </row>
    <row r="143" spans="1:12" x14ac:dyDescent="0.25">
      <c r="A143" s="80">
        <v>46002</v>
      </c>
      <c r="B143" s="80">
        <v>46002</v>
      </c>
      <c r="C143" t="s">
        <v>843</v>
      </c>
      <c r="D143" t="s">
        <v>844</v>
      </c>
      <c r="F143" t="s">
        <v>891</v>
      </c>
      <c r="G143" t="s">
        <v>845</v>
      </c>
      <c r="H143" t="s">
        <v>833</v>
      </c>
      <c r="I143" t="s">
        <v>1076</v>
      </c>
      <c r="J143" t="s">
        <v>949</v>
      </c>
      <c r="K143" t="s">
        <v>836</v>
      </c>
      <c r="L143">
        <v>3</v>
      </c>
    </row>
    <row r="144" spans="1:12" x14ac:dyDescent="0.25">
      <c r="A144" s="80">
        <v>46002</v>
      </c>
      <c r="B144" s="80">
        <v>46002</v>
      </c>
      <c r="C144" t="s">
        <v>843</v>
      </c>
      <c r="D144" t="s">
        <v>838</v>
      </c>
      <c r="F144" t="s">
        <v>839</v>
      </c>
      <c r="G144" t="s">
        <v>849</v>
      </c>
      <c r="H144" t="s">
        <v>833</v>
      </c>
      <c r="I144" t="s">
        <v>1076</v>
      </c>
      <c r="J144" t="s">
        <v>1077</v>
      </c>
      <c r="K144" t="s">
        <v>836</v>
      </c>
      <c r="L144">
        <v>3</v>
      </c>
    </row>
    <row r="145" spans="1:12" x14ac:dyDescent="0.25">
      <c r="A145" s="80">
        <v>46002</v>
      </c>
      <c r="B145" s="80">
        <v>46002</v>
      </c>
      <c r="C145" t="s">
        <v>843</v>
      </c>
      <c r="D145" t="s">
        <v>1048</v>
      </c>
      <c r="F145" t="s">
        <v>831</v>
      </c>
      <c r="G145" t="s">
        <v>909</v>
      </c>
      <c r="H145" t="s">
        <v>833</v>
      </c>
      <c r="I145" t="s">
        <v>1076</v>
      </c>
      <c r="J145" t="s">
        <v>909</v>
      </c>
      <c r="K145" t="s">
        <v>836</v>
      </c>
      <c r="L145">
        <v>3</v>
      </c>
    </row>
    <row r="146" spans="1:12" x14ac:dyDescent="0.25">
      <c r="A146" s="80">
        <v>46002</v>
      </c>
      <c r="B146" s="80">
        <v>46002</v>
      </c>
      <c r="C146" t="s">
        <v>851</v>
      </c>
      <c r="D146" t="s">
        <v>838</v>
      </c>
      <c r="F146" t="s">
        <v>945</v>
      </c>
      <c r="G146" t="s">
        <v>857</v>
      </c>
      <c r="H146" t="s">
        <v>833</v>
      </c>
      <c r="I146" t="s">
        <v>1078</v>
      </c>
      <c r="J146" t="s">
        <v>1007</v>
      </c>
      <c r="K146" t="s">
        <v>836</v>
      </c>
      <c r="L146">
        <v>61</v>
      </c>
    </row>
    <row r="147" spans="1:12" x14ac:dyDescent="0.25">
      <c r="A147" s="80">
        <v>46002</v>
      </c>
      <c r="B147" s="80">
        <v>46002</v>
      </c>
      <c r="C147" t="s">
        <v>851</v>
      </c>
      <c r="D147" t="s">
        <v>852</v>
      </c>
      <c r="F147" t="s">
        <v>853</v>
      </c>
      <c r="G147" t="s">
        <v>854</v>
      </c>
      <c r="H147" t="s">
        <v>833</v>
      </c>
      <c r="I147" t="s">
        <v>1078</v>
      </c>
      <c r="J147" t="s">
        <v>856</v>
      </c>
      <c r="K147" t="s">
        <v>836</v>
      </c>
      <c r="L147">
        <v>61</v>
      </c>
    </row>
    <row r="148" spans="1:12" x14ac:dyDescent="0.25">
      <c r="A148" s="80">
        <v>46002</v>
      </c>
      <c r="B148" s="80">
        <v>46002</v>
      </c>
      <c r="C148" t="s">
        <v>865</v>
      </c>
      <c r="D148" t="s">
        <v>830</v>
      </c>
      <c r="E148" t="s">
        <v>1079</v>
      </c>
      <c r="F148" t="s">
        <v>1080</v>
      </c>
      <c r="G148" t="s">
        <v>868</v>
      </c>
      <c r="H148" t="s">
        <v>833</v>
      </c>
      <c r="I148" t="s">
        <v>1081</v>
      </c>
      <c r="J148" t="s">
        <v>1082</v>
      </c>
      <c r="K148" t="s">
        <v>836</v>
      </c>
      <c r="L148">
        <v>13</v>
      </c>
    </row>
    <row r="149" spans="1:12" x14ac:dyDescent="0.25">
      <c r="A149" s="80">
        <v>46002</v>
      </c>
      <c r="B149" s="80">
        <v>46002</v>
      </c>
      <c r="C149" t="s">
        <v>865</v>
      </c>
      <c r="D149" t="s">
        <v>838</v>
      </c>
      <c r="E149" t="s">
        <v>1083</v>
      </c>
      <c r="F149" t="s">
        <v>1084</v>
      </c>
      <c r="G149" t="s">
        <v>873</v>
      </c>
      <c r="H149" t="s">
        <v>833</v>
      </c>
      <c r="I149" t="s">
        <v>1081</v>
      </c>
      <c r="J149" t="s">
        <v>1085</v>
      </c>
      <c r="K149" t="s">
        <v>836</v>
      </c>
      <c r="L149">
        <v>13</v>
      </c>
    </row>
    <row r="150" spans="1:12" x14ac:dyDescent="0.25">
      <c r="A150" s="80">
        <v>46002</v>
      </c>
      <c r="B150" s="80">
        <v>46002</v>
      </c>
      <c r="C150" t="s">
        <v>865</v>
      </c>
      <c r="D150" t="s">
        <v>875</v>
      </c>
      <c r="E150" t="s">
        <v>876</v>
      </c>
      <c r="F150" t="s">
        <v>1086</v>
      </c>
      <c r="G150" t="s">
        <v>878</v>
      </c>
      <c r="H150" t="s">
        <v>833</v>
      </c>
      <c r="I150" t="s">
        <v>1081</v>
      </c>
      <c r="J150" t="s">
        <v>1087</v>
      </c>
      <c r="K150" t="s">
        <v>836</v>
      </c>
      <c r="L150">
        <v>13</v>
      </c>
    </row>
    <row r="151" spans="1:12" x14ac:dyDescent="0.25">
      <c r="A151" s="80">
        <v>46002</v>
      </c>
      <c r="B151" s="80">
        <v>46002</v>
      </c>
      <c r="C151" t="s">
        <v>865</v>
      </c>
      <c r="D151" t="s">
        <v>185</v>
      </c>
      <c r="E151" t="s">
        <v>1008</v>
      </c>
      <c r="F151" t="s">
        <v>881</v>
      </c>
      <c r="G151" t="s">
        <v>842</v>
      </c>
      <c r="H151" t="s">
        <v>833</v>
      </c>
      <c r="I151" t="s">
        <v>1081</v>
      </c>
      <c r="J151" t="s">
        <v>882</v>
      </c>
      <c r="K151" t="s">
        <v>836</v>
      </c>
      <c r="L151">
        <v>13</v>
      </c>
    </row>
    <row r="152" spans="1:12" x14ac:dyDescent="0.25">
      <c r="A152" s="80">
        <v>46002</v>
      </c>
      <c r="B152" s="80">
        <v>46002</v>
      </c>
      <c r="C152" t="s">
        <v>883</v>
      </c>
      <c r="D152" t="s">
        <v>884</v>
      </c>
      <c r="F152" t="s">
        <v>885</v>
      </c>
      <c r="G152" t="s">
        <v>886</v>
      </c>
      <c r="H152" t="s">
        <v>833</v>
      </c>
      <c r="I152" t="s">
        <v>1088</v>
      </c>
      <c r="J152" t="s">
        <v>888</v>
      </c>
      <c r="K152" t="s">
        <v>1089</v>
      </c>
      <c r="L152">
        <v>5</v>
      </c>
    </row>
    <row r="153" spans="1:12" x14ac:dyDescent="0.25">
      <c r="A153" s="80">
        <v>46002</v>
      </c>
      <c r="B153" s="80">
        <v>46002</v>
      </c>
      <c r="C153" t="s">
        <v>883</v>
      </c>
      <c r="D153" t="s">
        <v>859</v>
      </c>
      <c r="F153" t="s">
        <v>1090</v>
      </c>
      <c r="G153" t="s">
        <v>895</v>
      </c>
      <c r="H153" t="s">
        <v>833</v>
      </c>
      <c r="I153" t="s">
        <v>1088</v>
      </c>
      <c r="J153" t="s">
        <v>1091</v>
      </c>
      <c r="K153" t="s">
        <v>1089</v>
      </c>
      <c r="L153">
        <v>5</v>
      </c>
    </row>
    <row r="154" spans="1:12" x14ac:dyDescent="0.25">
      <c r="A154" s="80">
        <v>46002</v>
      </c>
      <c r="B154" s="80">
        <v>46002</v>
      </c>
      <c r="C154" t="s">
        <v>883</v>
      </c>
      <c r="D154" t="s">
        <v>890</v>
      </c>
      <c r="F154" t="s">
        <v>1092</v>
      </c>
      <c r="G154" t="s">
        <v>892</v>
      </c>
      <c r="H154" t="s">
        <v>833</v>
      </c>
      <c r="I154" t="s">
        <v>1088</v>
      </c>
      <c r="J154" t="s">
        <v>1093</v>
      </c>
      <c r="K154" t="s">
        <v>1089</v>
      </c>
      <c r="L154">
        <v>5</v>
      </c>
    </row>
    <row r="155" spans="1:12" x14ac:dyDescent="0.25">
      <c r="A155" s="80">
        <v>46002</v>
      </c>
      <c r="B155" s="80">
        <v>46002</v>
      </c>
      <c r="C155" t="s">
        <v>883</v>
      </c>
      <c r="D155" t="s">
        <v>899</v>
      </c>
      <c r="F155" t="s">
        <v>1023</v>
      </c>
      <c r="G155" t="s">
        <v>901</v>
      </c>
      <c r="H155" t="s">
        <v>833</v>
      </c>
      <c r="I155" t="s">
        <v>1088</v>
      </c>
      <c r="J155" t="s">
        <v>1094</v>
      </c>
      <c r="K155" t="s">
        <v>1089</v>
      </c>
      <c r="L155">
        <v>5</v>
      </c>
    </row>
    <row r="156" spans="1:12" x14ac:dyDescent="0.25">
      <c r="A156" s="80">
        <v>46002</v>
      </c>
      <c r="B156" s="80">
        <v>46002</v>
      </c>
      <c r="C156" t="s">
        <v>883</v>
      </c>
      <c r="D156" t="s">
        <v>838</v>
      </c>
      <c r="F156" t="s">
        <v>926</v>
      </c>
      <c r="G156" t="s">
        <v>873</v>
      </c>
      <c r="H156" t="s">
        <v>833</v>
      </c>
      <c r="I156" t="s">
        <v>1088</v>
      </c>
      <c r="J156" t="s">
        <v>1021</v>
      </c>
      <c r="K156" t="s">
        <v>1089</v>
      </c>
      <c r="L156">
        <v>5</v>
      </c>
    </row>
    <row r="157" spans="1:12" x14ac:dyDescent="0.25">
      <c r="A157" s="80">
        <v>46001</v>
      </c>
      <c r="B157" s="80">
        <v>46001</v>
      </c>
      <c r="C157" t="s">
        <v>932</v>
      </c>
      <c r="D157" t="s">
        <v>830</v>
      </c>
      <c r="F157" t="s">
        <v>915</v>
      </c>
      <c r="G157" t="s">
        <v>868</v>
      </c>
      <c r="H157" t="s">
        <v>833</v>
      </c>
      <c r="I157" t="s">
        <v>1095</v>
      </c>
      <c r="J157" t="s">
        <v>868</v>
      </c>
      <c r="K157" t="s">
        <v>836</v>
      </c>
      <c r="L157">
        <v>11</v>
      </c>
    </row>
    <row r="158" spans="1:12" x14ac:dyDescent="0.25">
      <c r="A158" s="80">
        <v>46001</v>
      </c>
      <c r="B158" s="80">
        <v>46001</v>
      </c>
      <c r="C158" t="s">
        <v>936</v>
      </c>
      <c r="D158" t="s">
        <v>937</v>
      </c>
      <c r="F158" t="s">
        <v>933</v>
      </c>
      <c r="G158" t="s">
        <v>909</v>
      </c>
      <c r="H158" t="s">
        <v>833</v>
      </c>
      <c r="I158" t="s">
        <v>1096</v>
      </c>
      <c r="J158" t="s">
        <v>909</v>
      </c>
      <c r="K158" t="s">
        <v>836</v>
      </c>
      <c r="L158">
        <v>2</v>
      </c>
    </row>
    <row r="159" spans="1:12" x14ac:dyDescent="0.25">
      <c r="A159" s="80">
        <v>46001</v>
      </c>
      <c r="B159" s="80">
        <v>46001</v>
      </c>
      <c r="C159" t="s">
        <v>936</v>
      </c>
      <c r="D159" t="s">
        <v>1050</v>
      </c>
      <c r="F159" t="s">
        <v>853</v>
      </c>
      <c r="G159" t="s">
        <v>909</v>
      </c>
      <c r="H159" t="s">
        <v>833</v>
      </c>
      <c r="I159" t="s">
        <v>1097</v>
      </c>
      <c r="J159" t="s">
        <v>909</v>
      </c>
      <c r="K159" t="s">
        <v>836</v>
      </c>
      <c r="L159">
        <v>2</v>
      </c>
    </row>
    <row r="160" spans="1:12" x14ac:dyDescent="0.25">
      <c r="A160" s="80">
        <v>46001</v>
      </c>
      <c r="B160" s="80">
        <v>46001</v>
      </c>
      <c r="C160" t="s">
        <v>936</v>
      </c>
      <c r="D160" t="s">
        <v>937</v>
      </c>
      <c r="F160" t="s">
        <v>933</v>
      </c>
      <c r="G160" t="s">
        <v>909</v>
      </c>
      <c r="H160" t="s">
        <v>833</v>
      </c>
      <c r="I160" t="s">
        <v>1097</v>
      </c>
      <c r="J160" t="s">
        <v>909</v>
      </c>
      <c r="K160" t="s">
        <v>836</v>
      </c>
      <c r="L160">
        <v>2</v>
      </c>
    </row>
    <row r="161" spans="1:12" x14ac:dyDescent="0.25">
      <c r="A161" s="80">
        <v>46001</v>
      </c>
      <c r="B161" s="80">
        <v>46001</v>
      </c>
      <c r="C161" t="s">
        <v>936</v>
      </c>
      <c r="D161" t="s">
        <v>1050</v>
      </c>
      <c r="F161" t="s">
        <v>853</v>
      </c>
      <c r="G161" t="s">
        <v>909</v>
      </c>
      <c r="H161" t="s">
        <v>833</v>
      </c>
      <c r="I161" t="s">
        <v>1098</v>
      </c>
      <c r="J161" t="s">
        <v>909</v>
      </c>
      <c r="K161" t="s">
        <v>836</v>
      </c>
      <c r="L161">
        <v>2</v>
      </c>
    </row>
    <row r="162" spans="1:12" x14ac:dyDescent="0.25">
      <c r="A162" s="80">
        <v>46001</v>
      </c>
      <c r="B162" s="80">
        <v>46001</v>
      </c>
      <c r="C162" t="s">
        <v>936</v>
      </c>
      <c r="D162" t="s">
        <v>937</v>
      </c>
      <c r="F162" t="s">
        <v>933</v>
      </c>
      <c r="G162" t="s">
        <v>909</v>
      </c>
      <c r="H162" t="s">
        <v>833</v>
      </c>
      <c r="I162" t="s">
        <v>1098</v>
      </c>
      <c r="J162" t="s">
        <v>909</v>
      </c>
      <c r="K162" t="s">
        <v>836</v>
      </c>
      <c r="L162">
        <v>2</v>
      </c>
    </row>
    <row r="163" spans="1:12" x14ac:dyDescent="0.25">
      <c r="A163" s="80">
        <v>46001</v>
      </c>
      <c r="B163" s="80">
        <v>46001</v>
      </c>
      <c r="C163" t="s">
        <v>837</v>
      </c>
      <c r="D163" t="s">
        <v>838</v>
      </c>
      <c r="F163" t="s">
        <v>839</v>
      </c>
      <c r="G163" t="s">
        <v>840</v>
      </c>
      <c r="H163" t="s">
        <v>833</v>
      </c>
      <c r="I163" t="s">
        <v>1099</v>
      </c>
      <c r="J163" t="s">
        <v>842</v>
      </c>
      <c r="K163" t="s">
        <v>836</v>
      </c>
      <c r="L163">
        <v>69</v>
      </c>
    </row>
    <row r="164" spans="1:12" x14ac:dyDescent="0.25">
      <c r="A164" s="80">
        <v>46001</v>
      </c>
      <c r="B164" s="80">
        <v>46001</v>
      </c>
      <c r="C164" t="s">
        <v>843</v>
      </c>
      <c r="D164" t="s">
        <v>844</v>
      </c>
      <c r="F164" t="s">
        <v>921</v>
      </c>
      <c r="G164" t="s">
        <v>845</v>
      </c>
      <c r="H164" t="s">
        <v>833</v>
      </c>
      <c r="I164" t="s">
        <v>1100</v>
      </c>
      <c r="J164" t="s">
        <v>923</v>
      </c>
      <c r="K164" t="s">
        <v>836</v>
      </c>
      <c r="L164">
        <v>3</v>
      </c>
    </row>
    <row r="165" spans="1:12" x14ac:dyDescent="0.25">
      <c r="A165" s="80">
        <v>46001</v>
      </c>
      <c r="B165" s="80">
        <v>46001</v>
      </c>
      <c r="C165" t="s">
        <v>843</v>
      </c>
      <c r="D165" t="s">
        <v>838</v>
      </c>
      <c r="F165" t="s">
        <v>839</v>
      </c>
      <c r="G165" t="s">
        <v>849</v>
      </c>
      <c r="H165" t="s">
        <v>833</v>
      </c>
      <c r="I165" t="s">
        <v>1100</v>
      </c>
      <c r="J165" t="s">
        <v>1077</v>
      </c>
      <c r="K165" t="s">
        <v>836</v>
      </c>
      <c r="L165">
        <v>3</v>
      </c>
    </row>
    <row r="166" spans="1:12" x14ac:dyDescent="0.25">
      <c r="A166" s="80">
        <v>46001</v>
      </c>
      <c r="B166" s="80">
        <v>46001</v>
      </c>
      <c r="C166" t="s">
        <v>851</v>
      </c>
      <c r="D166" t="s">
        <v>852</v>
      </c>
      <c r="F166" t="s">
        <v>853</v>
      </c>
      <c r="G166" t="s">
        <v>854</v>
      </c>
      <c r="H166" t="s">
        <v>833</v>
      </c>
      <c r="I166" t="s">
        <v>1101</v>
      </c>
      <c r="J166" t="s">
        <v>856</v>
      </c>
      <c r="K166" t="s">
        <v>836</v>
      </c>
      <c r="L166">
        <v>61</v>
      </c>
    </row>
    <row r="167" spans="1:12" x14ac:dyDescent="0.25">
      <c r="A167" s="80">
        <v>46001</v>
      </c>
      <c r="B167" s="80">
        <v>46001</v>
      </c>
      <c r="C167" t="s">
        <v>851</v>
      </c>
      <c r="D167" t="s">
        <v>859</v>
      </c>
      <c r="F167" t="s">
        <v>981</v>
      </c>
      <c r="G167" t="s">
        <v>845</v>
      </c>
      <c r="H167" t="s">
        <v>833</v>
      </c>
      <c r="I167" t="s">
        <v>1101</v>
      </c>
      <c r="J167" t="s">
        <v>1102</v>
      </c>
      <c r="K167" t="s">
        <v>836</v>
      </c>
      <c r="L167">
        <v>61</v>
      </c>
    </row>
    <row r="168" spans="1:12" x14ac:dyDescent="0.25">
      <c r="A168" s="80">
        <v>46001</v>
      </c>
      <c r="B168" s="80">
        <v>46001</v>
      </c>
      <c r="C168" t="s">
        <v>851</v>
      </c>
      <c r="D168" t="s">
        <v>985</v>
      </c>
      <c r="F168" t="s">
        <v>853</v>
      </c>
      <c r="G168" t="s">
        <v>941</v>
      </c>
      <c r="H168" t="s">
        <v>833</v>
      </c>
      <c r="I168" t="s">
        <v>1101</v>
      </c>
      <c r="J168" t="s">
        <v>901</v>
      </c>
      <c r="K168" t="s">
        <v>836</v>
      </c>
      <c r="L168">
        <v>61</v>
      </c>
    </row>
    <row r="169" spans="1:12" x14ac:dyDescent="0.25">
      <c r="A169" s="80">
        <v>46001</v>
      </c>
      <c r="B169" s="80">
        <v>46001</v>
      </c>
      <c r="C169" t="s">
        <v>851</v>
      </c>
      <c r="D169" t="s">
        <v>838</v>
      </c>
      <c r="F169" t="s">
        <v>848</v>
      </c>
      <c r="G169" t="s">
        <v>857</v>
      </c>
      <c r="H169" t="s">
        <v>833</v>
      </c>
      <c r="I169" t="s">
        <v>1101</v>
      </c>
      <c r="J169" t="s">
        <v>858</v>
      </c>
      <c r="K169" t="s">
        <v>836</v>
      </c>
      <c r="L169">
        <v>61</v>
      </c>
    </row>
    <row r="170" spans="1:12" x14ac:dyDescent="0.25">
      <c r="A170" s="80">
        <v>46000</v>
      </c>
      <c r="B170" s="80">
        <v>46000</v>
      </c>
      <c r="C170" t="s">
        <v>1103</v>
      </c>
      <c r="D170" t="s">
        <v>838</v>
      </c>
      <c r="F170" t="s">
        <v>900</v>
      </c>
      <c r="G170" t="s">
        <v>952</v>
      </c>
      <c r="H170" t="s">
        <v>833</v>
      </c>
      <c r="I170" t="s">
        <v>1104</v>
      </c>
      <c r="J170" t="s">
        <v>1105</v>
      </c>
      <c r="K170" t="s">
        <v>836</v>
      </c>
      <c r="L170">
        <v>29</v>
      </c>
    </row>
    <row r="171" spans="1:12" x14ac:dyDescent="0.25">
      <c r="A171" s="80">
        <v>46001</v>
      </c>
      <c r="B171" s="80">
        <v>46001</v>
      </c>
      <c r="C171" t="s">
        <v>883</v>
      </c>
      <c r="D171" t="s">
        <v>838</v>
      </c>
      <c r="F171" t="s">
        <v>900</v>
      </c>
      <c r="G171" t="s">
        <v>873</v>
      </c>
      <c r="H171" t="s">
        <v>833</v>
      </c>
      <c r="I171" t="s">
        <v>1106</v>
      </c>
      <c r="J171" t="s">
        <v>993</v>
      </c>
      <c r="K171" t="s">
        <v>1107</v>
      </c>
      <c r="L171">
        <v>5</v>
      </c>
    </row>
    <row r="172" spans="1:12" x14ac:dyDescent="0.25">
      <c r="A172" s="80">
        <v>46001</v>
      </c>
      <c r="B172" s="80">
        <v>46001</v>
      </c>
      <c r="C172" t="s">
        <v>883</v>
      </c>
      <c r="D172" t="s">
        <v>884</v>
      </c>
      <c r="F172" t="s">
        <v>885</v>
      </c>
      <c r="G172" t="s">
        <v>886</v>
      </c>
      <c r="H172" t="s">
        <v>833</v>
      </c>
      <c r="I172" t="s">
        <v>1106</v>
      </c>
      <c r="J172" t="s">
        <v>888</v>
      </c>
      <c r="K172" t="s">
        <v>1107</v>
      </c>
      <c r="L172">
        <v>5</v>
      </c>
    </row>
    <row r="173" spans="1:12" x14ac:dyDescent="0.25">
      <c r="A173" s="80">
        <v>46001</v>
      </c>
      <c r="B173" s="80">
        <v>46001</v>
      </c>
      <c r="C173" t="s">
        <v>883</v>
      </c>
      <c r="D173" t="s">
        <v>890</v>
      </c>
      <c r="F173" t="s">
        <v>1092</v>
      </c>
      <c r="G173" t="s">
        <v>892</v>
      </c>
      <c r="H173" t="s">
        <v>833</v>
      </c>
      <c r="I173" t="s">
        <v>1106</v>
      </c>
      <c r="J173" t="s">
        <v>1093</v>
      </c>
      <c r="K173" t="s">
        <v>1107</v>
      </c>
      <c r="L173">
        <v>5</v>
      </c>
    </row>
    <row r="174" spans="1:12" x14ac:dyDescent="0.25">
      <c r="A174" s="80">
        <v>46001</v>
      </c>
      <c r="B174" s="80">
        <v>46001</v>
      </c>
      <c r="C174" t="s">
        <v>883</v>
      </c>
      <c r="D174" t="s">
        <v>859</v>
      </c>
      <c r="F174" t="s">
        <v>1108</v>
      </c>
      <c r="G174" t="s">
        <v>895</v>
      </c>
      <c r="H174" t="s">
        <v>833</v>
      </c>
      <c r="I174" t="s">
        <v>1106</v>
      </c>
      <c r="J174" t="s">
        <v>1109</v>
      </c>
      <c r="K174" t="s">
        <v>1107</v>
      </c>
      <c r="L174">
        <v>5</v>
      </c>
    </row>
    <row r="175" spans="1:12" x14ac:dyDescent="0.25">
      <c r="A175" s="80">
        <v>46001</v>
      </c>
      <c r="B175" s="80">
        <v>46001</v>
      </c>
      <c r="C175" t="s">
        <v>883</v>
      </c>
      <c r="D175" t="s">
        <v>897</v>
      </c>
      <c r="F175" t="s">
        <v>954</v>
      </c>
      <c r="G175" t="s">
        <v>840</v>
      </c>
      <c r="H175" t="s">
        <v>833</v>
      </c>
      <c r="I175" t="s">
        <v>1106</v>
      </c>
      <c r="J175" t="s">
        <v>941</v>
      </c>
      <c r="K175" t="s">
        <v>1107</v>
      </c>
      <c r="L175">
        <v>5</v>
      </c>
    </row>
    <row r="176" spans="1:12" x14ac:dyDescent="0.25">
      <c r="A176" s="80">
        <v>46001</v>
      </c>
      <c r="B176" s="80">
        <v>46001</v>
      </c>
      <c r="C176" t="s">
        <v>883</v>
      </c>
      <c r="D176" t="s">
        <v>899</v>
      </c>
      <c r="F176" t="s">
        <v>1023</v>
      </c>
      <c r="G176" t="s">
        <v>901</v>
      </c>
      <c r="H176" t="s">
        <v>833</v>
      </c>
      <c r="I176" t="s">
        <v>1106</v>
      </c>
      <c r="J176" t="s">
        <v>1094</v>
      </c>
      <c r="K176" t="s">
        <v>1107</v>
      </c>
      <c r="L176">
        <v>5</v>
      </c>
    </row>
    <row r="177" spans="1:12" x14ac:dyDescent="0.25">
      <c r="A177" s="80">
        <v>46001</v>
      </c>
      <c r="B177" s="80">
        <v>46001</v>
      </c>
      <c r="C177" t="s">
        <v>883</v>
      </c>
      <c r="D177" t="s">
        <v>862</v>
      </c>
      <c r="F177" t="s">
        <v>915</v>
      </c>
      <c r="G177" t="s">
        <v>901</v>
      </c>
      <c r="H177" t="s">
        <v>833</v>
      </c>
      <c r="I177" t="s">
        <v>1106</v>
      </c>
      <c r="J177" t="s">
        <v>901</v>
      </c>
      <c r="K177" t="s">
        <v>1107</v>
      </c>
      <c r="L177">
        <v>5</v>
      </c>
    </row>
    <row r="178" spans="1:12" x14ac:dyDescent="0.25">
      <c r="A178" s="80">
        <v>46000</v>
      </c>
      <c r="B178" s="80">
        <v>46000</v>
      </c>
      <c r="C178" t="s">
        <v>914</v>
      </c>
      <c r="D178" t="s">
        <v>838</v>
      </c>
      <c r="F178" t="s">
        <v>915</v>
      </c>
      <c r="G178" t="s">
        <v>840</v>
      </c>
      <c r="H178" t="s">
        <v>833</v>
      </c>
      <c r="I178" t="s">
        <v>1110</v>
      </c>
      <c r="J178" t="s">
        <v>840</v>
      </c>
      <c r="K178" t="s">
        <v>836</v>
      </c>
      <c r="L178">
        <v>68</v>
      </c>
    </row>
    <row r="179" spans="1:12" x14ac:dyDescent="0.25">
      <c r="A179" s="80">
        <v>46000</v>
      </c>
      <c r="B179" s="80">
        <v>46000</v>
      </c>
      <c r="C179" t="s">
        <v>914</v>
      </c>
      <c r="D179" t="s">
        <v>830</v>
      </c>
      <c r="F179" t="s">
        <v>839</v>
      </c>
      <c r="G179" t="s">
        <v>868</v>
      </c>
      <c r="H179" t="s">
        <v>833</v>
      </c>
      <c r="I179" t="s">
        <v>1110</v>
      </c>
      <c r="J179" t="s">
        <v>1001</v>
      </c>
      <c r="K179" t="s">
        <v>836</v>
      </c>
      <c r="L179">
        <v>68</v>
      </c>
    </row>
    <row r="180" spans="1:12" x14ac:dyDescent="0.25">
      <c r="A180" s="80">
        <v>46000</v>
      </c>
      <c r="B180" s="80">
        <v>46000</v>
      </c>
      <c r="C180" t="s">
        <v>936</v>
      </c>
      <c r="D180" t="s">
        <v>1048</v>
      </c>
      <c r="F180" t="s">
        <v>1111</v>
      </c>
      <c r="G180" t="s">
        <v>909</v>
      </c>
      <c r="H180" t="s">
        <v>833</v>
      </c>
      <c r="I180" t="s">
        <v>1112</v>
      </c>
      <c r="J180" t="s">
        <v>909</v>
      </c>
      <c r="K180" t="s">
        <v>836</v>
      </c>
      <c r="L180">
        <v>2</v>
      </c>
    </row>
    <row r="181" spans="1:12" x14ac:dyDescent="0.25">
      <c r="A181" s="80">
        <v>46000</v>
      </c>
      <c r="B181" s="80">
        <v>46000</v>
      </c>
      <c r="C181" t="s">
        <v>936</v>
      </c>
      <c r="D181" t="s">
        <v>937</v>
      </c>
      <c r="F181" t="s">
        <v>1113</v>
      </c>
      <c r="G181" t="s">
        <v>909</v>
      </c>
      <c r="H181" t="s">
        <v>833</v>
      </c>
      <c r="I181" t="s">
        <v>1112</v>
      </c>
      <c r="J181" t="s">
        <v>909</v>
      </c>
      <c r="K181" t="s">
        <v>836</v>
      </c>
      <c r="L181">
        <v>2</v>
      </c>
    </row>
    <row r="182" spans="1:12" x14ac:dyDescent="0.25">
      <c r="A182" s="80">
        <v>46000</v>
      </c>
      <c r="B182" s="80">
        <v>46000</v>
      </c>
      <c r="C182" t="s">
        <v>936</v>
      </c>
      <c r="D182" t="s">
        <v>1050</v>
      </c>
      <c r="F182" t="s">
        <v>853</v>
      </c>
      <c r="G182" t="s">
        <v>909</v>
      </c>
      <c r="H182" t="s">
        <v>833</v>
      </c>
      <c r="I182" t="s">
        <v>1112</v>
      </c>
      <c r="J182" t="s">
        <v>909</v>
      </c>
      <c r="K182" t="s">
        <v>836</v>
      </c>
      <c r="L182">
        <v>2</v>
      </c>
    </row>
    <row r="183" spans="1:12" x14ac:dyDescent="0.25">
      <c r="A183" s="80">
        <v>46000</v>
      </c>
      <c r="B183" s="80">
        <v>46000</v>
      </c>
      <c r="C183" t="s">
        <v>936</v>
      </c>
      <c r="D183" t="s">
        <v>1048</v>
      </c>
      <c r="F183" t="s">
        <v>1111</v>
      </c>
      <c r="G183" t="s">
        <v>909</v>
      </c>
      <c r="H183" t="s">
        <v>833</v>
      </c>
      <c r="I183" t="s">
        <v>1114</v>
      </c>
      <c r="J183" t="s">
        <v>909</v>
      </c>
      <c r="K183" t="s">
        <v>836</v>
      </c>
      <c r="L183">
        <v>2</v>
      </c>
    </row>
    <row r="184" spans="1:12" x14ac:dyDescent="0.25">
      <c r="A184" s="80">
        <v>46000</v>
      </c>
      <c r="B184" s="80">
        <v>46000</v>
      </c>
      <c r="C184" t="s">
        <v>936</v>
      </c>
      <c r="D184" t="s">
        <v>937</v>
      </c>
      <c r="F184" t="s">
        <v>1113</v>
      </c>
      <c r="G184" t="s">
        <v>909</v>
      </c>
      <c r="H184" t="s">
        <v>833</v>
      </c>
      <c r="I184" t="s">
        <v>1114</v>
      </c>
      <c r="J184" t="s">
        <v>909</v>
      </c>
      <c r="K184" t="s">
        <v>836</v>
      </c>
      <c r="L184">
        <v>2</v>
      </c>
    </row>
    <row r="185" spans="1:12" x14ac:dyDescent="0.25">
      <c r="A185" s="80">
        <v>46000</v>
      </c>
      <c r="B185" s="80">
        <v>46000</v>
      </c>
      <c r="C185" t="s">
        <v>936</v>
      </c>
      <c r="D185" t="s">
        <v>1050</v>
      </c>
      <c r="F185" t="s">
        <v>853</v>
      </c>
      <c r="G185" t="s">
        <v>909</v>
      </c>
      <c r="H185" t="s">
        <v>833</v>
      </c>
      <c r="I185" t="s">
        <v>1114</v>
      </c>
      <c r="J185" t="s">
        <v>909</v>
      </c>
      <c r="K185" t="s">
        <v>836</v>
      </c>
      <c r="L185">
        <v>2</v>
      </c>
    </row>
    <row r="186" spans="1:12" x14ac:dyDescent="0.25">
      <c r="A186" s="80">
        <v>46000</v>
      </c>
      <c r="B186" s="80">
        <v>46000</v>
      </c>
      <c r="C186" t="s">
        <v>911</v>
      </c>
      <c r="D186" t="s">
        <v>912</v>
      </c>
      <c r="F186" t="s">
        <v>848</v>
      </c>
      <c r="G186" t="s">
        <v>849</v>
      </c>
      <c r="H186" t="s">
        <v>833</v>
      </c>
      <c r="I186" t="s">
        <v>1115</v>
      </c>
      <c r="J186" t="s">
        <v>850</v>
      </c>
      <c r="K186" t="s">
        <v>836</v>
      </c>
      <c r="L186">
        <v>4</v>
      </c>
    </row>
    <row r="187" spans="1:12" x14ac:dyDescent="0.25">
      <c r="A187" s="80">
        <v>46000</v>
      </c>
      <c r="B187" s="80">
        <v>46000</v>
      </c>
      <c r="C187" t="s">
        <v>843</v>
      </c>
      <c r="D187" t="s">
        <v>844</v>
      </c>
      <c r="F187" t="s">
        <v>891</v>
      </c>
      <c r="G187" t="s">
        <v>845</v>
      </c>
      <c r="H187" t="s">
        <v>833</v>
      </c>
      <c r="I187" t="s">
        <v>1116</v>
      </c>
      <c r="J187" t="s">
        <v>949</v>
      </c>
      <c r="K187" t="s">
        <v>836</v>
      </c>
      <c r="L187">
        <v>3</v>
      </c>
    </row>
    <row r="188" spans="1:12" x14ac:dyDescent="0.25">
      <c r="A188" s="80">
        <v>46000</v>
      </c>
      <c r="B188" s="80">
        <v>46000</v>
      </c>
      <c r="C188" t="s">
        <v>843</v>
      </c>
      <c r="D188" t="s">
        <v>838</v>
      </c>
      <c r="F188" t="s">
        <v>839</v>
      </c>
      <c r="G188" t="s">
        <v>849</v>
      </c>
      <c r="H188" t="s">
        <v>833</v>
      </c>
      <c r="I188" t="s">
        <v>1116</v>
      </c>
      <c r="J188" t="s">
        <v>1077</v>
      </c>
      <c r="K188" t="s">
        <v>836</v>
      </c>
      <c r="L188">
        <v>3</v>
      </c>
    </row>
    <row r="189" spans="1:12" x14ac:dyDescent="0.25">
      <c r="A189" s="80">
        <v>46000</v>
      </c>
      <c r="B189" s="80">
        <v>46000</v>
      </c>
      <c r="C189" t="s">
        <v>936</v>
      </c>
      <c r="D189" t="s">
        <v>1117</v>
      </c>
      <c r="F189" t="s">
        <v>1111</v>
      </c>
      <c r="G189" t="s">
        <v>840</v>
      </c>
      <c r="H189" t="s">
        <v>833</v>
      </c>
      <c r="I189" t="s">
        <v>1118</v>
      </c>
      <c r="J189" t="s">
        <v>984</v>
      </c>
      <c r="K189" t="s">
        <v>836</v>
      </c>
      <c r="L189">
        <v>2</v>
      </c>
    </row>
    <row r="190" spans="1:12" x14ac:dyDescent="0.25">
      <c r="A190" s="80">
        <v>46000</v>
      </c>
      <c r="B190" s="80">
        <v>46000</v>
      </c>
      <c r="C190" t="s">
        <v>851</v>
      </c>
      <c r="D190" t="s">
        <v>838</v>
      </c>
      <c r="F190" t="s">
        <v>954</v>
      </c>
      <c r="G190" t="s">
        <v>857</v>
      </c>
      <c r="H190" t="s">
        <v>833</v>
      </c>
      <c r="I190" t="s">
        <v>1119</v>
      </c>
      <c r="J190" t="s">
        <v>898</v>
      </c>
      <c r="K190" t="s">
        <v>836</v>
      </c>
      <c r="L190">
        <v>61</v>
      </c>
    </row>
    <row r="191" spans="1:12" x14ac:dyDescent="0.25">
      <c r="A191" s="80">
        <v>46000</v>
      </c>
      <c r="B191" s="80">
        <v>46000</v>
      </c>
      <c r="C191" t="s">
        <v>851</v>
      </c>
      <c r="D191" t="s">
        <v>862</v>
      </c>
      <c r="F191" t="s">
        <v>853</v>
      </c>
      <c r="G191" t="s">
        <v>863</v>
      </c>
      <c r="H191" t="s">
        <v>833</v>
      </c>
      <c r="I191" t="s">
        <v>1119</v>
      </c>
      <c r="J191" t="s">
        <v>864</v>
      </c>
      <c r="K191" t="s">
        <v>836</v>
      </c>
      <c r="L191">
        <v>61</v>
      </c>
    </row>
    <row r="192" spans="1:12" x14ac:dyDescent="0.25">
      <c r="A192" s="80">
        <v>46000</v>
      </c>
      <c r="B192" s="80">
        <v>46000</v>
      </c>
      <c r="C192" t="s">
        <v>851</v>
      </c>
      <c r="D192" t="s">
        <v>852</v>
      </c>
      <c r="F192" t="s">
        <v>853</v>
      </c>
      <c r="G192" t="s">
        <v>854</v>
      </c>
      <c r="H192" t="s">
        <v>833</v>
      </c>
      <c r="I192" t="s">
        <v>1119</v>
      </c>
      <c r="J192" t="s">
        <v>856</v>
      </c>
      <c r="K192" t="s">
        <v>836</v>
      </c>
      <c r="L192">
        <v>61</v>
      </c>
    </row>
    <row r="193" spans="1:12" x14ac:dyDescent="0.25">
      <c r="A193" s="80">
        <v>46000</v>
      </c>
      <c r="B193" s="80">
        <v>46000</v>
      </c>
      <c r="C193" t="s">
        <v>865</v>
      </c>
      <c r="D193" t="s">
        <v>830</v>
      </c>
      <c r="E193" t="s">
        <v>1120</v>
      </c>
      <c r="F193" t="s">
        <v>968</v>
      </c>
      <c r="G193" t="s">
        <v>868</v>
      </c>
      <c r="H193" t="s">
        <v>833</v>
      </c>
      <c r="I193" t="s">
        <v>1121</v>
      </c>
      <c r="J193" t="s">
        <v>1122</v>
      </c>
      <c r="K193" t="s">
        <v>836</v>
      </c>
      <c r="L193">
        <v>13</v>
      </c>
    </row>
    <row r="194" spans="1:12" x14ac:dyDescent="0.25">
      <c r="A194" s="80">
        <v>46000</v>
      </c>
      <c r="B194" s="80">
        <v>46000</v>
      </c>
      <c r="C194" t="s">
        <v>865</v>
      </c>
      <c r="D194" t="s">
        <v>838</v>
      </c>
      <c r="E194" t="s">
        <v>1008</v>
      </c>
      <c r="F194" t="s">
        <v>1123</v>
      </c>
      <c r="G194" t="s">
        <v>873</v>
      </c>
      <c r="H194" t="s">
        <v>833</v>
      </c>
      <c r="I194" t="s">
        <v>1121</v>
      </c>
      <c r="J194" t="s">
        <v>1124</v>
      </c>
      <c r="K194" t="s">
        <v>836</v>
      </c>
      <c r="L194">
        <v>13</v>
      </c>
    </row>
    <row r="195" spans="1:12" x14ac:dyDescent="0.25">
      <c r="A195" s="80">
        <v>46000</v>
      </c>
      <c r="B195" s="80">
        <v>46000</v>
      </c>
      <c r="C195" t="s">
        <v>865</v>
      </c>
      <c r="D195" t="s">
        <v>875</v>
      </c>
      <c r="E195" t="s">
        <v>1008</v>
      </c>
      <c r="F195" t="s">
        <v>1113</v>
      </c>
      <c r="G195" t="s">
        <v>878</v>
      </c>
      <c r="H195" t="s">
        <v>833</v>
      </c>
      <c r="I195" t="s">
        <v>1121</v>
      </c>
      <c r="J195" t="s">
        <v>1125</v>
      </c>
      <c r="K195" t="s">
        <v>836</v>
      </c>
      <c r="L195">
        <v>13</v>
      </c>
    </row>
    <row r="196" spans="1:12" x14ac:dyDescent="0.25">
      <c r="A196" s="80">
        <v>46000</v>
      </c>
      <c r="B196" s="80">
        <v>46000</v>
      </c>
      <c r="C196" t="s">
        <v>865</v>
      </c>
      <c r="D196" t="s">
        <v>185</v>
      </c>
      <c r="E196" t="s">
        <v>1040</v>
      </c>
      <c r="F196" t="s">
        <v>1126</v>
      </c>
      <c r="G196" t="s">
        <v>842</v>
      </c>
      <c r="H196" t="s">
        <v>833</v>
      </c>
      <c r="I196" t="s">
        <v>1121</v>
      </c>
      <c r="J196" t="s">
        <v>1127</v>
      </c>
      <c r="K196" t="s">
        <v>836</v>
      </c>
      <c r="L196">
        <v>13</v>
      </c>
    </row>
    <row r="197" spans="1:12" x14ac:dyDescent="0.25">
      <c r="A197" s="80">
        <v>46000</v>
      </c>
      <c r="B197" s="80">
        <v>46000</v>
      </c>
      <c r="C197" t="s">
        <v>883</v>
      </c>
      <c r="D197" t="s">
        <v>890</v>
      </c>
      <c r="F197" t="s">
        <v>1023</v>
      </c>
      <c r="G197" t="s">
        <v>892</v>
      </c>
      <c r="H197" t="s">
        <v>833</v>
      </c>
      <c r="I197" t="s">
        <v>1128</v>
      </c>
      <c r="J197" t="s">
        <v>1024</v>
      </c>
      <c r="K197" t="s">
        <v>1129</v>
      </c>
      <c r="L197">
        <v>5</v>
      </c>
    </row>
    <row r="198" spans="1:12" x14ac:dyDescent="0.25">
      <c r="A198" s="80">
        <v>46000</v>
      </c>
      <c r="B198" s="80">
        <v>46000</v>
      </c>
      <c r="C198" t="s">
        <v>883</v>
      </c>
      <c r="D198" t="s">
        <v>859</v>
      </c>
      <c r="F198" t="s">
        <v>926</v>
      </c>
      <c r="G198" t="s">
        <v>895</v>
      </c>
      <c r="H198" t="s">
        <v>833</v>
      </c>
      <c r="I198" t="s">
        <v>1128</v>
      </c>
      <c r="J198" t="s">
        <v>927</v>
      </c>
      <c r="K198" t="s">
        <v>1129</v>
      </c>
      <c r="L198">
        <v>5</v>
      </c>
    </row>
    <row r="199" spans="1:12" x14ac:dyDescent="0.25">
      <c r="A199" s="80">
        <v>46000</v>
      </c>
      <c r="B199" s="80">
        <v>46000</v>
      </c>
      <c r="C199" t="s">
        <v>883</v>
      </c>
      <c r="D199" t="s">
        <v>899</v>
      </c>
      <c r="E199" t="s">
        <v>1130</v>
      </c>
      <c r="F199" t="s">
        <v>891</v>
      </c>
      <c r="G199" t="s">
        <v>901</v>
      </c>
      <c r="H199" t="s">
        <v>833</v>
      </c>
      <c r="I199" t="s">
        <v>1128</v>
      </c>
      <c r="J199" t="s">
        <v>1131</v>
      </c>
      <c r="K199" t="s">
        <v>1129</v>
      </c>
      <c r="L199">
        <v>5</v>
      </c>
    </row>
    <row r="200" spans="1:12" x14ac:dyDescent="0.25">
      <c r="A200" s="80">
        <v>46000</v>
      </c>
      <c r="B200" s="80">
        <v>46000</v>
      </c>
      <c r="C200" t="s">
        <v>883</v>
      </c>
      <c r="D200" t="s">
        <v>862</v>
      </c>
      <c r="F200" t="s">
        <v>915</v>
      </c>
      <c r="G200" t="s">
        <v>901</v>
      </c>
      <c r="H200" t="s">
        <v>833</v>
      </c>
      <c r="I200" t="s">
        <v>1128</v>
      </c>
      <c r="J200" t="s">
        <v>901</v>
      </c>
      <c r="K200" t="s">
        <v>1129</v>
      </c>
      <c r="L200">
        <v>5</v>
      </c>
    </row>
    <row r="201" spans="1:12" x14ac:dyDescent="0.25">
      <c r="A201" s="80">
        <v>46000</v>
      </c>
      <c r="B201" s="80">
        <v>46000</v>
      </c>
      <c r="C201" t="s">
        <v>883</v>
      </c>
      <c r="D201" t="s">
        <v>884</v>
      </c>
      <c r="F201" t="s">
        <v>885</v>
      </c>
      <c r="G201" t="s">
        <v>886</v>
      </c>
      <c r="H201" t="s">
        <v>833</v>
      </c>
      <c r="I201" t="s">
        <v>1128</v>
      </c>
      <c r="J201" t="s">
        <v>888</v>
      </c>
      <c r="K201" t="s">
        <v>1129</v>
      </c>
      <c r="L201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7B1A0-479F-40EA-AB61-1CE0E35BFB24}">
  <dimension ref="A1:E119"/>
  <sheetViews>
    <sheetView workbookViewId="0">
      <pane xSplit="3" ySplit="1" topLeftCell="D73" activePane="bottomRight" state="frozen"/>
      <selection pane="topRight" activeCell="D1" sqref="D1"/>
      <selection pane="bottomLeft" activeCell="A2" sqref="A2"/>
      <selection pane="bottomRight" activeCell="M110" sqref="M110"/>
    </sheetView>
  </sheetViews>
  <sheetFormatPr defaultRowHeight="15" x14ac:dyDescent="0.25"/>
  <cols>
    <col min="1" max="2" width="14.140625" style="25" customWidth="1"/>
    <col min="3" max="3" width="14.42578125" style="25" bestFit="1" customWidth="1"/>
    <col min="4" max="4" width="14.42578125" style="25" customWidth="1"/>
    <col min="5" max="5" width="9.140625" style="25"/>
  </cols>
  <sheetData>
    <row r="1" spans="1:5" x14ac:dyDescent="0.25">
      <c r="A1" s="25" t="s">
        <v>596</v>
      </c>
      <c r="B1" s="25" t="s">
        <v>213</v>
      </c>
      <c r="C1" s="25" t="s">
        <v>597</v>
      </c>
      <c r="D1" s="25" t="s">
        <v>590</v>
      </c>
      <c r="E1" s="25" t="s">
        <v>828</v>
      </c>
    </row>
    <row r="2" spans="1:5" x14ac:dyDescent="0.25">
      <c r="A2" s="77">
        <f>VLOOKUP(B2,bojongsari_dt!A:B,2,0)</f>
        <v>45902</v>
      </c>
      <c r="B2" s="25" t="s">
        <v>624</v>
      </c>
      <c r="C2" s="77">
        <v>45982</v>
      </c>
      <c r="D2" s="78">
        <f>C2-A2</f>
        <v>80</v>
      </c>
      <c r="E2" s="25">
        <v>4.7</v>
      </c>
    </row>
    <row r="3" spans="1:5" x14ac:dyDescent="0.25">
      <c r="A3" s="77">
        <f>VLOOKUP(B3,bojongsari_dt!A:B,2,0)</f>
        <v>45902</v>
      </c>
      <c r="B3" s="25" t="s">
        <v>625</v>
      </c>
      <c r="C3" s="77">
        <v>45982</v>
      </c>
      <c r="D3" s="78">
        <f t="shared" ref="D3:D66" si="0">C3-A3</f>
        <v>80</v>
      </c>
      <c r="E3" s="25">
        <v>4.2</v>
      </c>
    </row>
    <row r="4" spans="1:5" x14ac:dyDescent="0.25">
      <c r="A4" s="77">
        <f>VLOOKUP(B4,bojongsari_dt!A:B,2,0)</f>
        <v>45904</v>
      </c>
      <c r="B4" s="25" t="s">
        <v>757</v>
      </c>
      <c r="C4" s="77">
        <v>45982</v>
      </c>
      <c r="D4" s="78">
        <f t="shared" si="0"/>
        <v>78</v>
      </c>
      <c r="E4" s="25">
        <v>3.6</v>
      </c>
    </row>
    <row r="5" spans="1:5" x14ac:dyDescent="0.25">
      <c r="A5" s="77">
        <f>VLOOKUP(B5,bojongsari_dt!A:B,2,0)</f>
        <v>45904</v>
      </c>
      <c r="B5" s="25" t="s">
        <v>758</v>
      </c>
      <c r="C5" s="77">
        <v>45982</v>
      </c>
      <c r="D5" s="78">
        <f t="shared" si="0"/>
        <v>78</v>
      </c>
      <c r="E5" s="25">
        <v>4.7</v>
      </c>
    </row>
    <row r="6" spans="1:5" x14ac:dyDescent="0.25">
      <c r="A6" s="77">
        <f>VLOOKUP(B6,bojongsari_dt!A:B,2,0)</f>
        <v>45904</v>
      </c>
      <c r="B6" s="25" t="s">
        <v>759</v>
      </c>
      <c r="C6" s="77">
        <v>45982</v>
      </c>
      <c r="D6" s="78">
        <f t="shared" si="0"/>
        <v>78</v>
      </c>
      <c r="E6" s="25">
        <v>3.4</v>
      </c>
    </row>
    <row r="7" spans="1:5" x14ac:dyDescent="0.25">
      <c r="A7" s="77">
        <f>VLOOKUP(B7,bojongsari_dt!A:B,2,0)</f>
        <v>45904</v>
      </c>
      <c r="B7" s="25" t="s">
        <v>760</v>
      </c>
      <c r="C7" s="77">
        <v>45982</v>
      </c>
      <c r="D7" s="78">
        <f t="shared" si="0"/>
        <v>78</v>
      </c>
      <c r="E7" s="25">
        <v>3.1</v>
      </c>
    </row>
    <row r="8" spans="1:5" x14ac:dyDescent="0.25">
      <c r="A8" s="77">
        <f>VLOOKUP(B8,bojongsari_dt!A:B,2,0)</f>
        <v>45904</v>
      </c>
      <c r="B8" s="25" t="s">
        <v>761</v>
      </c>
      <c r="C8" s="77">
        <v>45982</v>
      </c>
      <c r="D8" s="78">
        <f t="shared" si="0"/>
        <v>78</v>
      </c>
      <c r="E8" s="25">
        <v>4.3</v>
      </c>
    </row>
    <row r="9" spans="1:5" x14ac:dyDescent="0.25">
      <c r="A9" s="77">
        <f>VLOOKUP(B9,bojongsari_dt!A:B,2,0)</f>
        <v>45904</v>
      </c>
      <c r="B9" s="25" t="s">
        <v>762</v>
      </c>
      <c r="C9" s="77">
        <v>45982</v>
      </c>
      <c r="D9" s="78">
        <f t="shared" si="0"/>
        <v>78</v>
      </c>
      <c r="E9" s="25">
        <v>3.5</v>
      </c>
    </row>
    <row r="10" spans="1:5" x14ac:dyDescent="0.25">
      <c r="A10" s="77">
        <f>VLOOKUP(B10,bojongsari_dt!A:B,2,0)</f>
        <v>45904</v>
      </c>
      <c r="B10" s="25" t="s">
        <v>763</v>
      </c>
      <c r="C10" s="77">
        <v>45982</v>
      </c>
      <c r="D10" s="78">
        <f t="shared" si="0"/>
        <v>78</v>
      </c>
      <c r="E10" s="25">
        <v>3.8</v>
      </c>
    </row>
    <row r="11" spans="1:5" x14ac:dyDescent="0.25">
      <c r="A11" s="77">
        <f>VLOOKUP(B11,bojongsari_dt!A:B,2,0)</f>
        <v>45904</v>
      </c>
      <c r="B11" s="25" t="s">
        <v>764</v>
      </c>
      <c r="C11" s="77">
        <v>45982</v>
      </c>
      <c r="D11" s="78">
        <f t="shared" si="0"/>
        <v>78</v>
      </c>
      <c r="E11" s="25">
        <v>3.6</v>
      </c>
    </row>
    <row r="12" spans="1:5" x14ac:dyDescent="0.25">
      <c r="A12" s="77">
        <f>VLOOKUP(B12,bojongsari_dt!A:B,2,0)</f>
        <v>45904</v>
      </c>
      <c r="B12" s="25" t="s">
        <v>765</v>
      </c>
      <c r="C12" s="77">
        <v>45983</v>
      </c>
      <c r="D12" s="78">
        <f t="shared" si="0"/>
        <v>79</v>
      </c>
      <c r="E12" s="25">
        <v>5.0999999999999996</v>
      </c>
    </row>
    <row r="13" spans="1:5" x14ac:dyDescent="0.25">
      <c r="A13" s="77">
        <f>VLOOKUP(B13,bojongsari_dt!A:B,2,0)</f>
        <v>45904</v>
      </c>
      <c r="B13" s="25" t="s">
        <v>766</v>
      </c>
      <c r="C13" s="77">
        <v>45983</v>
      </c>
      <c r="D13" s="78">
        <f t="shared" si="0"/>
        <v>79</v>
      </c>
      <c r="E13" s="25">
        <v>5.6</v>
      </c>
    </row>
    <row r="14" spans="1:5" x14ac:dyDescent="0.25">
      <c r="A14" s="77">
        <f>VLOOKUP(B14,bojongsari_dt!A:B,2,0)</f>
        <v>45871</v>
      </c>
      <c r="B14" s="25" t="s">
        <v>767</v>
      </c>
      <c r="C14" s="77">
        <v>45983</v>
      </c>
      <c r="D14" s="78">
        <f t="shared" si="0"/>
        <v>112</v>
      </c>
      <c r="E14" s="25">
        <v>5.8</v>
      </c>
    </row>
    <row r="15" spans="1:5" x14ac:dyDescent="0.25">
      <c r="A15" s="77">
        <f>VLOOKUP(B15,bojongsari_dt!A:B,2,0)</f>
        <v>45871</v>
      </c>
      <c r="B15" s="25" t="s">
        <v>768</v>
      </c>
      <c r="C15" s="77">
        <v>45983</v>
      </c>
      <c r="D15" s="78">
        <f t="shared" si="0"/>
        <v>112</v>
      </c>
      <c r="E15" s="25">
        <v>6.4</v>
      </c>
    </row>
    <row r="16" spans="1:5" x14ac:dyDescent="0.25">
      <c r="A16" s="77">
        <f>VLOOKUP(B16,bojongsari_dt!A:B,2,0)</f>
        <v>45871</v>
      </c>
      <c r="B16" s="25" t="s">
        <v>769</v>
      </c>
      <c r="C16" s="77">
        <v>45983</v>
      </c>
      <c r="D16" s="78">
        <f t="shared" si="0"/>
        <v>112</v>
      </c>
      <c r="E16" s="25">
        <v>7.2</v>
      </c>
    </row>
    <row r="17" spans="1:5" x14ac:dyDescent="0.25">
      <c r="A17" s="77">
        <f>VLOOKUP(B17,bojongsari_dt!A:B,2,0)</f>
        <v>45871</v>
      </c>
      <c r="B17" s="25" t="s">
        <v>770</v>
      </c>
      <c r="C17" s="77">
        <v>45983</v>
      </c>
      <c r="D17" s="78">
        <f t="shared" si="0"/>
        <v>112</v>
      </c>
      <c r="E17" s="25">
        <v>4.9000000000000004</v>
      </c>
    </row>
    <row r="18" spans="1:5" x14ac:dyDescent="0.25">
      <c r="A18" s="77">
        <f>VLOOKUP(B18,bojongsari_dt!A:B,2,0)</f>
        <v>45871</v>
      </c>
      <c r="B18" s="25" t="s">
        <v>771</v>
      </c>
      <c r="C18" s="77">
        <v>45983</v>
      </c>
      <c r="D18" s="78">
        <f t="shared" si="0"/>
        <v>112</v>
      </c>
      <c r="E18" s="25">
        <v>0.5</v>
      </c>
    </row>
    <row r="19" spans="1:5" x14ac:dyDescent="0.25">
      <c r="A19" s="77">
        <f>VLOOKUP(B19,bojongsari_dt!A:B,2,0)</f>
        <v>45871</v>
      </c>
      <c r="B19" s="25" t="s">
        <v>772</v>
      </c>
      <c r="C19" s="77">
        <v>45984</v>
      </c>
      <c r="D19" s="78">
        <f t="shared" si="0"/>
        <v>113</v>
      </c>
      <c r="E19" s="25">
        <v>6.3</v>
      </c>
    </row>
    <row r="20" spans="1:5" x14ac:dyDescent="0.25">
      <c r="A20" s="77">
        <f>VLOOKUP(B20,bojongsari_dt!A:B,2,0)</f>
        <v>45871</v>
      </c>
      <c r="B20" s="25" t="s">
        <v>773</v>
      </c>
      <c r="C20" s="77">
        <v>45984</v>
      </c>
      <c r="D20" s="78">
        <f t="shared" si="0"/>
        <v>113</v>
      </c>
      <c r="E20" s="25">
        <v>6.4</v>
      </c>
    </row>
    <row r="21" spans="1:5" x14ac:dyDescent="0.25">
      <c r="A21" s="77">
        <f>VLOOKUP(B21,bojongsari_dt!A:B,2,0)</f>
        <v>45871</v>
      </c>
      <c r="B21" s="25" t="s">
        <v>774</v>
      </c>
      <c r="C21" s="77">
        <v>45984</v>
      </c>
      <c r="D21" s="78">
        <f t="shared" si="0"/>
        <v>113</v>
      </c>
      <c r="E21" s="25">
        <v>4.2</v>
      </c>
    </row>
    <row r="22" spans="1:5" x14ac:dyDescent="0.25">
      <c r="A22" s="77">
        <f>VLOOKUP(B22,bojongsari_dt!A:B,2,0)</f>
        <v>45871</v>
      </c>
      <c r="B22" s="25" t="s">
        <v>775</v>
      </c>
      <c r="C22" s="77">
        <v>45984</v>
      </c>
      <c r="D22" s="78">
        <f t="shared" si="0"/>
        <v>113</v>
      </c>
      <c r="E22" s="25">
        <v>4.3</v>
      </c>
    </row>
    <row r="23" spans="1:5" x14ac:dyDescent="0.25">
      <c r="A23" s="77">
        <f>VLOOKUP(B23,bojongsari_dt!A:B,2,0)</f>
        <v>45871</v>
      </c>
      <c r="B23" s="25" t="s">
        <v>776</v>
      </c>
      <c r="C23" s="77">
        <v>45984</v>
      </c>
      <c r="D23" s="78">
        <f t="shared" si="0"/>
        <v>113</v>
      </c>
      <c r="E23" s="25">
        <v>4.5</v>
      </c>
    </row>
    <row r="24" spans="1:5" x14ac:dyDescent="0.25">
      <c r="A24" s="77">
        <f>VLOOKUP(B24,bojongsari_dt!A:B,2,0)</f>
        <v>45748</v>
      </c>
      <c r="B24" s="25" t="s">
        <v>817</v>
      </c>
      <c r="C24" s="77">
        <v>45984</v>
      </c>
      <c r="D24" s="78">
        <f t="shared" si="0"/>
        <v>236</v>
      </c>
      <c r="E24" s="25">
        <v>5.3</v>
      </c>
    </row>
    <row r="25" spans="1:5" x14ac:dyDescent="0.25">
      <c r="A25" s="77">
        <f>VLOOKUP(B25,bojongsari_dt!A:B,2,0)</f>
        <v>45748</v>
      </c>
      <c r="B25" s="25" t="s">
        <v>818</v>
      </c>
      <c r="C25" s="77">
        <v>45984</v>
      </c>
      <c r="D25" s="78">
        <f t="shared" si="0"/>
        <v>236</v>
      </c>
      <c r="E25" s="25">
        <v>6.4</v>
      </c>
    </row>
    <row r="26" spans="1:5" x14ac:dyDescent="0.25">
      <c r="A26" s="77">
        <f>VLOOKUP(B26,bojongsari_dt!A:B,2,0)</f>
        <v>45748</v>
      </c>
      <c r="B26" s="25" t="s">
        <v>819</v>
      </c>
      <c r="C26" s="77">
        <v>45984</v>
      </c>
      <c r="D26" s="78">
        <f t="shared" si="0"/>
        <v>236</v>
      </c>
      <c r="E26" s="25">
        <v>5.0999999999999996</v>
      </c>
    </row>
    <row r="27" spans="1:5" x14ac:dyDescent="0.25">
      <c r="A27" s="77">
        <f>VLOOKUP(B27,bojongsari_dt!A:B,2,0)</f>
        <v>45772</v>
      </c>
      <c r="B27" s="25" t="s">
        <v>820</v>
      </c>
      <c r="C27" s="77">
        <v>45984</v>
      </c>
      <c r="D27" s="78">
        <f t="shared" si="0"/>
        <v>212</v>
      </c>
      <c r="E27" s="25">
        <v>5.4</v>
      </c>
    </row>
    <row r="28" spans="1:5" x14ac:dyDescent="0.25">
      <c r="A28" s="77">
        <f>VLOOKUP(B28,bojongsari_dt!A:B,2,0)</f>
        <v>45772</v>
      </c>
      <c r="B28" s="25" t="s">
        <v>821</v>
      </c>
      <c r="C28" s="77">
        <v>45984</v>
      </c>
      <c r="D28" s="78">
        <f t="shared" si="0"/>
        <v>212</v>
      </c>
      <c r="E28" s="25">
        <v>6.1</v>
      </c>
    </row>
    <row r="29" spans="1:5" x14ac:dyDescent="0.25">
      <c r="A29" s="77">
        <f>VLOOKUP(B29,bojongsari_dt!A:B,2,0)</f>
        <v>45772</v>
      </c>
      <c r="B29" s="25" t="s">
        <v>822</v>
      </c>
      <c r="C29" s="77">
        <v>45984</v>
      </c>
      <c r="D29" s="78">
        <f t="shared" si="0"/>
        <v>212</v>
      </c>
      <c r="E29" s="25">
        <v>6.4</v>
      </c>
    </row>
    <row r="30" spans="1:5" x14ac:dyDescent="0.25">
      <c r="A30" s="77">
        <f>VLOOKUP(B30,bojongsari_dt!A:B,2,0)</f>
        <v>45772</v>
      </c>
      <c r="B30" s="25" t="s">
        <v>823</v>
      </c>
      <c r="C30" s="77">
        <v>45985</v>
      </c>
      <c r="D30" s="78">
        <f t="shared" si="0"/>
        <v>213</v>
      </c>
      <c r="E30" s="25">
        <v>5.5</v>
      </c>
    </row>
    <row r="31" spans="1:5" x14ac:dyDescent="0.25">
      <c r="A31" s="77">
        <f>VLOOKUP(B31,bojongsari_dt!A:B,2,0)</f>
        <v>45772</v>
      </c>
      <c r="B31" s="25" t="s">
        <v>824</v>
      </c>
      <c r="C31" s="77">
        <v>45985</v>
      </c>
      <c r="D31" s="78">
        <f t="shared" si="0"/>
        <v>213</v>
      </c>
      <c r="E31" s="25">
        <v>4</v>
      </c>
    </row>
    <row r="32" spans="1:5" x14ac:dyDescent="0.25">
      <c r="A32" s="77">
        <f>VLOOKUP(B32,bojongsari_dt!A:B,2,0)</f>
        <v>45772</v>
      </c>
      <c r="B32" s="25" t="s">
        <v>825</v>
      </c>
      <c r="C32" s="77">
        <v>45985</v>
      </c>
      <c r="D32" s="78">
        <f t="shared" si="0"/>
        <v>213</v>
      </c>
      <c r="E32" s="25">
        <v>5</v>
      </c>
    </row>
    <row r="33" spans="1:5" x14ac:dyDescent="0.25">
      <c r="A33" s="77">
        <f>VLOOKUP(B33,bojongsari_dt!A:B,2,0)</f>
        <v>45798</v>
      </c>
      <c r="B33" s="25" t="s">
        <v>789</v>
      </c>
      <c r="C33" s="77">
        <v>45985</v>
      </c>
      <c r="D33" s="78">
        <f t="shared" si="0"/>
        <v>187</v>
      </c>
      <c r="E33" s="25">
        <v>7.1</v>
      </c>
    </row>
    <row r="34" spans="1:5" x14ac:dyDescent="0.25">
      <c r="A34" s="77">
        <f>VLOOKUP(B34,bojongsari_dt!A:B,2,0)</f>
        <v>45798</v>
      </c>
      <c r="B34" s="25" t="s">
        <v>790</v>
      </c>
      <c r="C34" s="77">
        <v>45985</v>
      </c>
      <c r="D34" s="78">
        <f t="shared" si="0"/>
        <v>187</v>
      </c>
      <c r="E34" s="25">
        <v>7.4</v>
      </c>
    </row>
    <row r="35" spans="1:5" x14ac:dyDescent="0.25">
      <c r="A35" s="77">
        <f>VLOOKUP(B35,bojongsari_dt!A:B,2,0)</f>
        <v>45798</v>
      </c>
      <c r="B35" s="25" t="s">
        <v>791</v>
      </c>
      <c r="C35" s="77">
        <v>45985</v>
      </c>
      <c r="D35" s="78">
        <f t="shared" si="0"/>
        <v>187</v>
      </c>
      <c r="E35" s="25">
        <v>8.8000000000000007</v>
      </c>
    </row>
    <row r="36" spans="1:5" x14ac:dyDescent="0.25">
      <c r="A36" s="77">
        <f>VLOOKUP(B36,bojongsari_dt!A:B,2,0)</f>
        <v>45798</v>
      </c>
      <c r="B36" s="25" t="s">
        <v>792</v>
      </c>
      <c r="C36" s="77">
        <v>45985</v>
      </c>
      <c r="D36" s="78">
        <f t="shared" si="0"/>
        <v>187</v>
      </c>
      <c r="E36" s="25">
        <v>7.6</v>
      </c>
    </row>
    <row r="37" spans="1:5" x14ac:dyDescent="0.25">
      <c r="A37" s="77">
        <f>VLOOKUP(B37,bojongsari_dt!A:B,2,0)</f>
        <v>45798</v>
      </c>
      <c r="B37" s="25" t="s">
        <v>793</v>
      </c>
      <c r="C37" s="77">
        <v>45985</v>
      </c>
      <c r="D37" s="78">
        <f t="shared" si="0"/>
        <v>187</v>
      </c>
      <c r="E37" s="25">
        <v>6.8</v>
      </c>
    </row>
    <row r="38" spans="1:5" x14ac:dyDescent="0.25">
      <c r="A38" s="77">
        <f>VLOOKUP(B38,bojongsari_dt!A:B,2,0)</f>
        <v>45800</v>
      </c>
      <c r="B38" s="25" t="s">
        <v>794</v>
      </c>
      <c r="C38" s="77">
        <v>45985</v>
      </c>
      <c r="D38" s="78">
        <f t="shared" si="0"/>
        <v>185</v>
      </c>
      <c r="E38" s="25">
        <v>6</v>
      </c>
    </row>
    <row r="39" spans="1:5" x14ac:dyDescent="0.25">
      <c r="A39" s="77">
        <f>VLOOKUP(B39,bojongsari_dt!A:B,2,0)</f>
        <v>45800</v>
      </c>
      <c r="B39" s="25" t="s">
        <v>795</v>
      </c>
      <c r="C39" s="77">
        <v>45986</v>
      </c>
      <c r="D39" s="78">
        <f t="shared" si="0"/>
        <v>186</v>
      </c>
      <c r="E39" s="25">
        <v>7.3</v>
      </c>
    </row>
    <row r="40" spans="1:5" x14ac:dyDescent="0.25">
      <c r="A40" s="77">
        <f>VLOOKUP(B40,bojongsari_dt!A:B,2,0)</f>
        <v>45800</v>
      </c>
      <c r="B40" s="25" t="s">
        <v>796</v>
      </c>
      <c r="C40" s="77">
        <v>45986</v>
      </c>
      <c r="D40" s="78">
        <f t="shared" si="0"/>
        <v>186</v>
      </c>
      <c r="E40" s="25">
        <v>7.5</v>
      </c>
    </row>
    <row r="41" spans="1:5" x14ac:dyDescent="0.25">
      <c r="A41" s="77">
        <f>VLOOKUP(B41,bojongsari_dt!A:B,2,0)</f>
        <v>45800</v>
      </c>
      <c r="B41" s="25" t="s">
        <v>797</v>
      </c>
      <c r="C41" s="77">
        <v>45986</v>
      </c>
      <c r="D41" s="78">
        <f t="shared" si="0"/>
        <v>186</v>
      </c>
      <c r="E41" s="25">
        <v>6.9</v>
      </c>
    </row>
    <row r="42" spans="1:5" x14ac:dyDescent="0.25">
      <c r="A42" s="77">
        <f>VLOOKUP(B42,bojongsari_dt!A:B,2,0)</f>
        <v>45800</v>
      </c>
      <c r="B42" s="25" t="s">
        <v>798</v>
      </c>
      <c r="C42" s="77">
        <v>45986</v>
      </c>
      <c r="D42" s="78">
        <f t="shared" si="0"/>
        <v>186</v>
      </c>
      <c r="E42" s="25">
        <v>7.9</v>
      </c>
    </row>
    <row r="43" spans="1:5" x14ac:dyDescent="0.25">
      <c r="A43" s="77">
        <f>VLOOKUP(B43,bojongsari_dt!A:B,2,0)</f>
        <v>45800</v>
      </c>
      <c r="B43" s="25" t="s">
        <v>799</v>
      </c>
      <c r="C43" s="77">
        <v>45986</v>
      </c>
      <c r="D43" s="78">
        <f t="shared" si="0"/>
        <v>186</v>
      </c>
      <c r="E43" s="25">
        <v>6.8</v>
      </c>
    </row>
    <row r="44" spans="1:5" x14ac:dyDescent="0.25">
      <c r="A44" s="77">
        <f>VLOOKUP(B44,bojongsari_dt!A:B,2,0)</f>
        <v>45800</v>
      </c>
      <c r="B44" s="25" t="s">
        <v>800</v>
      </c>
      <c r="C44" s="77">
        <v>45986</v>
      </c>
      <c r="D44" s="78">
        <f t="shared" si="0"/>
        <v>186</v>
      </c>
      <c r="E44" s="25">
        <v>7.1</v>
      </c>
    </row>
    <row r="45" spans="1:5" x14ac:dyDescent="0.25">
      <c r="A45" s="77">
        <f>VLOOKUP(B45,bojongsari_dt!A:B,2,0)</f>
        <v>45796</v>
      </c>
      <c r="B45" s="25" t="s">
        <v>801</v>
      </c>
      <c r="C45" s="77">
        <v>45986</v>
      </c>
      <c r="D45" s="78">
        <f t="shared" si="0"/>
        <v>190</v>
      </c>
      <c r="E45" s="25">
        <v>6.4</v>
      </c>
    </row>
    <row r="46" spans="1:5" x14ac:dyDescent="0.25">
      <c r="A46" s="77">
        <f>VLOOKUP(B46,bojongsari_dt!A:B,2,0)</f>
        <v>45796</v>
      </c>
      <c r="B46" s="25" t="s">
        <v>802</v>
      </c>
      <c r="C46" s="77">
        <v>45986</v>
      </c>
      <c r="D46" s="78">
        <f t="shared" si="0"/>
        <v>190</v>
      </c>
      <c r="E46" s="25">
        <v>5.9</v>
      </c>
    </row>
    <row r="47" spans="1:5" x14ac:dyDescent="0.25">
      <c r="A47" s="77">
        <f>VLOOKUP(B47,bojongsari_dt!A:B,2,0)</f>
        <v>45792</v>
      </c>
      <c r="B47" s="25" t="s">
        <v>803</v>
      </c>
      <c r="C47" s="77">
        <v>45987</v>
      </c>
      <c r="D47" s="78">
        <f t="shared" si="0"/>
        <v>195</v>
      </c>
      <c r="E47" s="25">
        <v>6.6</v>
      </c>
    </row>
    <row r="48" spans="1:5" x14ac:dyDescent="0.25">
      <c r="A48" s="77">
        <f>VLOOKUP(B48,bojongsari_dt!A:B,2,0)</f>
        <v>45792</v>
      </c>
      <c r="B48" s="25" t="s">
        <v>804</v>
      </c>
      <c r="C48" s="77">
        <v>45987</v>
      </c>
      <c r="D48" s="78">
        <f t="shared" si="0"/>
        <v>195</v>
      </c>
      <c r="E48" s="25">
        <v>4.0999999999999996</v>
      </c>
    </row>
    <row r="49" spans="1:5" x14ac:dyDescent="0.25">
      <c r="A49" s="77">
        <f>VLOOKUP(B49,bojongsari_dt!A:B,2,0)</f>
        <v>45792</v>
      </c>
      <c r="B49" s="25" t="s">
        <v>805</v>
      </c>
      <c r="C49" s="77">
        <v>45987</v>
      </c>
      <c r="D49" s="78">
        <f t="shared" si="0"/>
        <v>195</v>
      </c>
      <c r="E49" s="25">
        <v>5.0999999999999996</v>
      </c>
    </row>
    <row r="50" spans="1:5" x14ac:dyDescent="0.25">
      <c r="A50" s="77">
        <f>VLOOKUP(B50,bojongsari_dt!A:B,2,0)</f>
        <v>45792</v>
      </c>
      <c r="B50" s="25" t="s">
        <v>806</v>
      </c>
      <c r="C50" s="77">
        <v>45987</v>
      </c>
      <c r="D50" s="78">
        <f t="shared" si="0"/>
        <v>195</v>
      </c>
      <c r="E50" s="25">
        <v>6.7</v>
      </c>
    </row>
    <row r="51" spans="1:5" x14ac:dyDescent="0.25">
      <c r="A51" s="77">
        <f>VLOOKUP(B51,bojongsari_dt!A:B,2,0)</f>
        <v>45883</v>
      </c>
      <c r="B51" s="25" t="s">
        <v>807</v>
      </c>
      <c r="C51" s="77">
        <v>45987</v>
      </c>
      <c r="D51" s="78">
        <f t="shared" si="0"/>
        <v>104</v>
      </c>
      <c r="E51" s="25">
        <v>4.2</v>
      </c>
    </row>
    <row r="52" spans="1:5" x14ac:dyDescent="0.25">
      <c r="A52" s="77">
        <f>VLOOKUP(B52,bojongsari_dt!A:B,2,0)</f>
        <v>45835</v>
      </c>
      <c r="B52" s="25" t="s">
        <v>738</v>
      </c>
      <c r="C52" s="77">
        <v>45987</v>
      </c>
      <c r="D52" s="78">
        <f t="shared" si="0"/>
        <v>152</v>
      </c>
      <c r="E52" s="25">
        <v>7.3</v>
      </c>
    </row>
    <row r="53" spans="1:5" x14ac:dyDescent="0.25">
      <c r="A53" s="77">
        <f>VLOOKUP(B53,bojongsari_dt!A:B,2,0)</f>
        <v>45835</v>
      </c>
      <c r="B53" s="25" t="s">
        <v>739</v>
      </c>
      <c r="C53" s="77">
        <v>45987</v>
      </c>
      <c r="D53" s="78">
        <f t="shared" si="0"/>
        <v>152</v>
      </c>
      <c r="E53" s="25">
        <v>7.2</v>
      </c>
    </row>
    <row r="54" spans="1:5" x14ac:dyDescent="0.25">
      <c r="A54" s="77">
        <f>VLOOKUP(B54,bojongsari_dt!A:B,2,0)</f>
        <v>45835</v>
      </c>
      <c r="B54" s="25" t="s">
        <v>740</v>
      </c>
      <c r="C54" s="77">
        <v>45987</v>
      </c>
      <c r="D54" s="78">
        <f t="shared" si="0"/>
        <v>152</v>
      </c>
      <c r="E54" s="25">
        <v>5.8</v>
      </c>
    </row>
    <row r="55" spans="1:5" x14ac:dyDescent="0.25">
      <c r="A55" s="77">
        <f>VLOOKUP(B55,bojongsari_dt!A:B,2,0)</f>
        <v>45835</v>
      </c>
      <c r="B55" s="25" t="s">
        <v>741</v>
      </c>
      <c r="C55" s="77">
        <v>45987</v>
      </c>
      <c r="D55" s="78">
        <f t="shared" si="0"/>
        <v>152</v>
      </c>
      <c r="E55" s="25">
        <v>6.7</v>
      </c>
    </row>
    <row r="56" spans="1:5" x14ac:dyDescent="0.25">
      <c r="A56" s="77">
        <f>VLOOKUP(B56,bojongsari_dt!A:B,2,0)</f>
        <v>45835</v>
      </c>
      <c r="B56" s="25" t="s">
        <v>742</v>
      </c>
      <c r="C56" s="77">
        <v>45987</v>
      </c>
      <c r="D56" s="78">
        <f t="shared" si="0"/>
        <v>152</v>
      </c>
      <c r="E56" s="25">
        <v>0.2</v>
      </c>
    </row>
    <row r="57" spans="1:5" x14ac:dyDescent="0.25">
      <c r="A57" s="77">
        <f>VLOOKUP(B57,bojongsari_dt!A:B,2,0)</f>
        <v>45835</v>
      </c>
      <c r="B57" s="25" t="s">
        <v>743</v>
      </c>
      <c r="C57" s="77">
        <v>45987</v>
      </c>
      <c r="D57" s="78">
        <f t="shared" si="0"/>
        <v>152</v>
      </c>
      <c r="E57" s="25">
        <v>7.3</v>
      </c>
    </row>
    <row r="58" spans="1:5" x14ac:dyDescent="0.25">
      <c r="A58" s="77">
        <f>VLOOKUP(B58,bojongsari_dt!A:B,2,0)</f>
        <v>45835</v>
      </c>
      <c r="B58" s="25" t="s">
        <v>744</v>
      </c>
      <c r="C58" s="77">
        <v>45987</v>
      </c>
      <c r="D58" s="78">
        <f t="shared" si="0"/>
        <v>152</v>
      </c>
      <c r="E58" s="25">
        <v>6</v>
      </c>
    </row>
    <row r="59" spans="1:5" x14ac:dyDescent="0.25">
      <c r="A59" s="77">
        <f>VLOOKUP(B59,bojongsari_dt!A:B,2,0)</f>
        <v>45835</v>
      </c>
      <c r="B59" s="25" t="s">
        <v>745</v>
      </c>
      <c r="C59" s="77">
        <v>45987</v>
      </c>
      <c r="D59" s="78">
        <f t="shared" si="0"/>
        <v>152</v>
      </c>
      <c r="E59" s="25">
        <v>5.4</v>
      </c>
    </row>
    <row r="60" spans="1:5" x14ac:dyDescent="0.25">
      <c r="A60" s="77">
        <f>VLOOKUP(B60,bojongsari_dt!A:B,2,0)</f>
        <v>45835</v>
      </c>
      <c r="B60" s="25" t="s">
        <v>746</v>
      </c>
      <c r="C60" s="77">
        <v>45988</v>
      </c>
      <c r="D60" s="78">
        <f t="shared" si="0"/>
        <v>153</v>
      </c>
      <c r="E60" s="25">
        <v>4.7</v>
      </c>
    </row>
    <row r="61" spans="1:5" x14ac:dyDescent="0.25">
      <c r="A61" s="77">
        <f>VLOOKUP(B61,bojongsari_dt!A:B,2,0)</f>
        <v>45835</v>
      </c>
      <c r="B61" s="25" t="s">
        <v>747</v>
      </c>
      <c r="C61" s="77">
        <v>45988</v>
      </c>
      <c r="D61" s="78">
        <f t="shared" si="0"/>
        <v>153</v>
      </c>
      <c r="E61" s="25">
        <v>5</v>
      </c>
    </row>
    <row r="62" spans="1:5" x14ac:dyDescent="0.25">
      <c r="A62" s="77">
        <f>VLOOKUP(B62,bojongsari_dt!A:B,2,0)</f>
        <v>45835</v>
      </c>
      <c r="B62" s="25" t="s">
        <v>748</v>
      </c>
      <c r="C62" s="77">
        <v>45988</v>
      </c>
      <c r="D62" s="78">
        <f t="shared" si="0"/>
        <v>153</v>
      </c>
      <c r="E62" s="25">
        <v>5.4</v>
      </c>
    </row>
    <row r="63" spans="1:5" x14ac:dyDescent="0.25">
      <c r="A63" s="77">
        <f>VLOOKUP(B63,bojongsari_dt!A:B,2,0)</f>
        <v>45835</v>
      </c>
      <c r="B63" s="25" t="s">
        <v>749</v>
      </c>
      <c r="C63" s="77">
        <v>45988</v>
      </c>
      <c r="D63" s="78">
        <f t="shared" si="0"/>
        <v>153</v>
      </c>
      <c r="E63" s="25">
        <v>5.7</v>
      </c>
    </row>
    <row r="64" spans="1:5" x14ac:dyDescent="0.25">
      <c r="A64" s="77">
        <f>VLOOKUP(B64,bojongsari_dt!A:B,2,0)</f>
        <v>45835</v>
      </c>
      <c r="B64" s="25" t="s">
        <v>750</v>
      </c>
      <c r="C64" s="77">
        <v>45988</v>
      </c>
      <c r="D64" s="78">
        <f t="shared" si="0"/>
        <v>153</v>
      </c>
      <c r="E64" s="25">
        <v>4.4000000000000004</v>
      </c>
    </row>
    <row r="65" spans="1:5" x14ac:dyDescent="0.25">
      <c r="A65" s="77">
        <f>VLOOKUP(B65,bojongsari_dt!A:B,2,0)</f>
        <v>45835</v>
      </c>
      <c r="B65" s="25" t="s">
        <v>751</v>
      </c>
      <c r="C65" s="77">
        <v>45988</v>
      </c>
      <c r="D65" s="78">
        <f t="shared" si="0"/>
        <v>153</v>
      </c>
      <c r="E65" s="25">
        <v>4.5</v>
      </c>
    </row>
    <row r="66" spans="1:5" x14ac:dyDescent="0.25">
      <c r="A66" s="77">
        <f>VLOOKUP(B66,bojongsari_dt!A:B,2,0)</f>
        <v>45835</v>
      </c>
      <c r="B66" s="25" t="s">
        <v>752</v>
      </c>
      <c r="C66" s="77">
        <v>45988</v>
      </c>
      <c r="D66" s="78">
        <f t="shared" si="0"/>
        <v>153</v>
      </c>
      <c r="E66" s="25">
        <v>4.8</v>
      </c>
    </row>
    <row r="67" spans="1:5" x14ac:dyDescent="0.25">
      <c r="A67" s="77">
        <f>VLOOKUP(B67,bojongsari_dt!A:B,2,0)</f>
        <v>45835</v>
      </c>
      <c r="B67" s="25" t="s">
        <v>753</v>
      </c>
      <c r="C67" s="77">
        <v>45988</v>
      </c>
      <c r="D67" s="78">
        <f t="shared" ref="D67:D119" si="1">C67-A67</f>
        <v>153</v>
      </c>
      <c r="E67" s="25">
        <v>4.7</v>
      </c>
    </row>
    <row r="68" spans="1:5" x14ac:dyDescent="0.25">
      <c r="A68" s="77">
        <f>VLOOKUP(B68,bojongsari_dt!A:B,2,0)</f>
        <v>45835</v>
      </c>
      <c r="B68" s="25" t="s">
        <v>754</v>
      </c>
      <c r="C68" s="77">
        <v>45988</v>
      </c>
      <c r="D68" s="78">
        <f t="shared" si="1"/>
        <v>153</v>
      </c>
      <c r="E68" s="25">
        <v>5.5</v>
      </c>
    </row>
    <row r="69" spans="1:5" x14ac:dyDescent="0.25">
      <c r="A69" s="77">
        <f>VLOOKUP(B69,bojongsari_dt!A:B,2,0)</f>
        <v>45841</v>
      </c>
      <c r="B69" s="25" t="s">
        <v>719</v>
      </c>
      <c r="C69" s="77">
        <v>45988</v>
      </c>
      <c r="D69" s="78">
        <f t="shared" si="1"/>
        <v>147</v>
      </c>
      <c r="E69" s="25">
        <v>5.8</v>
      </c>
    </row>
    <row r="70" spans="1:5" x14ac:dyDescent="0.25">
      <c r="A70" s="77">
        <f>VLOOKUP(B70,bojongsari_dt!A:B,2,0)</f>
        <v>45841</v>
      </c>
      <c r="B70" s="25" t="s">
        <v>720</v>
      </c>
      <c r="C70" s="77">
        <v>45989</v>
      </c>
      <c r="D70" s="78">
        <f t="shared" si="1"/>
        <v>148</v>
      </c>
      <c r="E70" s="25">
        <v>5.9</v>
      </c>
    </row>
    <row r="71" spans="1:5" x14ac:dyDescent="0.25">
      <c r="A71" s="77">
        <f>VLOOKUP(B71,bojongsari_dt!A:B,2,0)</f>
        <v>45841</v>
      </c>
      <c r="B71" s="25" t="s">
        <v>721</v>
      </c>
      <c r="C71" s="77">
        <v>45989</v>
      </c>
      <c r="D71" s="78">
        <f t="shared" si="1"/>
        <v>148</v>
      </c>
      <c r="E71" s="25">
        <v>7.2</v>
      </c>
    </row>
    <row r="72" spans="1:5" x14ac:dyDescent="0.25">
      <c r="A72" s="77">
        <f>VLOOKUP(B72,bojongsari_dt!A:B,2,0)</f>
        <v>45841</v>
      </c>
      <c r="B72" s="25" t="s">
        <v>722</v>
      </c>
      <c r="C72" s="77">
        <v>45989</v>
      </c>
      <c r="D72" s="78">
        <f t="shared" si="1"/>
        <v>148</v>
      </c>
      <c r="E72" s="25">
        <v>7.1</v>
      </c>
    </row>
    <row r="73" spans="1:5" x14ac:dyDescent="0.25">
      <c r="A73" s="77">
        <f>VLOOKUP(B73,bojongsari_dt!A:B,2,0)</f>
        <v>45841</v>
      </c>
      <c r="B73" s="25" t="s">
        <v>723</v>
      </c>
      <c r="C73" s="77">
        <v>45989</v>
      </c>
      <c r="D73" s="78">
        <f t="shared" si="1"/>
        <v>148</v>
      </c>
      <c r="E73" s="25">
        <v>7.7</v>
      </c>
    </row>
    <row r="74" spans="1:5" x14ac:dyDescent="0.25">
      <c r="A74" s="77">
        <f>VLOOKUP(B74,bojongsari_dt!A:B,2,0)</f>
        <v>45841</v>
      </c>
      <c r="B74" s="25" t="s">
        <v>724</v>
      </c>
      <c r="C74" s="77">
        <v>45989</v>
      </c>
      <c r="D74" s="78">
        <f t="shared" si="1"/>
        <v>148</v>
      </c>
      <c r="E74" s="25">
        <v>6.3</v>
      </c>
    </row>
    <row r="75" spans="1:5" x14ac:dyDescent="0.25">
      <c r="A75" s="77">
        <f>VLOOKUP(B75,bojongsari_dt!A:B,2,0)</f>
        <v>45841</v>
      </c>
      <c r="B75" s="25" t="s">
        <v>725</v>
      </c>
      <c r="C75" s="77">
        <v>45989</v>
      </c>
      <c r="D75" s="78">
        <f t="shared" si="1"/>
        <v>148</v>
      </c>
      <c r="E75" s="25">
        <v>5.6</v>
      </c>
    </row>
    <row r="76" spans="1:5" x14ac:dyDescent="0.25">
      <c r="A76" s="77">
        <f>VLOOKUP(B76,bojongsari_dt!A:B,2,0)</f>
        <v>45844</v>
      </c>
      <c r="B76" s="25" t="s">
        <v>726</v>
      </c>
      <c r="C76" s="77">
        <v>45989</v>
      </c>
      <c r="D76" s="78">
        <f t="shared" si="1"/>
        <v>145</v>
      </c>
      <c r="E76" s="25">
        <v>6.8</v>
      </c>
    </row>
    <row r="77" spans="1:5" x14ac:dyDescent="0.25">
      <c r="A77" s="77">
        <f>VLOOKUP(B77,bojongsari_dt!A:B,2,0)</f>
        <v>45844</v>
      </c>
      <c r="B77" s="25" t="s">
        <v>727</v>
      </c>
      <c r="C77" s="77">
        <v>45990</v>
      </c>
      <c r="D77" s="78">
        <f t="shared" si="1"/>
        <v>146</v>
      </c>
      <c r="E77" s="25">
        <v>4.4000000000000004</v>
      </c>
    </row>
    <row r="78" spans="1:5" x14ac:dyDescent="0.25">
      <c r="A78" s="77">
        <f>VLOOKUP(B78,bojongsari_dt!A:B,2,0)</f>
        <v>45844</v>
      </c>
      <c r="B78" s="25" t="s">
        <v>728</v>
      </c>
      <c r="C78" s="77">
        <v>45990</v>
      </c>
      <c r="D78" s="78">
        <f t="shared" si="1"/>
        <v>146</v>
      </c>
      <c r="E78" s="25">
        <v>5.2</v>
      </c>
    </row>
    <row r="79" spans="1:5" x14ac:dyDescent="0.25">
      <c r="A79" s="77">
        <f>VLOOKUP(B79,bojongsari_dt!A:B,2,0)</f>
        <v>45844</v>
      </c>
      <c r="B79" s="25" t="s">
        <v>729</v>
      </c>
      <c r="C79" s="77">
        <v>45990</v>
      </c>
      <c r="D79" s="78">
        <f t="shared" si="1"/>
        <v>146</v>
      </c>
      <c r="E79" s="25">
        <v>4.7</v>
      </c>
    </row>
    <row r="80" spans="1:5" x14ac:dyDescent="0.25">
      <c r="A80" s="77">
        <f>VLOOKUP(B80,bojongsari_dt!A:B,2,0)</f>
        <v>45844</v>
      </c>
      <c r="B80" s="25" t="s">
        <v>730</v>
      </c>
      <c r="C80" s="77">
        <v>45990</v>
      </c>
      <c r="D80" s="78">
        <f t="shared" si="1"/>
        <v>146</v>
      </c>
      <c r="E80" s="25">
        <v>4.5999999999999996</v>
      </c>
    </row>
    <row r="81" spans="1:5" x14ac:dyDescent="0.25">
      <c r="A81" s="77">
        <f>VLOOKUP(B81,bojongsari_dt!A:B,2,0)</f>
        <v>45844</v>
      </c>
      <c r="B81" s="25" t="s">
        <v>731</v>
      </c>
      <c r="C81" s="77">
        <v>45990</v>
      </c>
      <c r="D81" s="78">
        <f t="shared" si="1"/>
        <v>146</v>
      </c>
      <c r="E81" s="25">
        <v>4.3</v>
      </c>
    </row>
    <row r="82" spans="1:5" x14ac:dyDescent="0.25">
      <c r="A82" s="77">
        <f>VLOOKUP(B82,bojongsari_dt!A:B,2,0)</f>
        <v>45844</v>
      </c>
      <c r="B82" s="25" t="s">
        <v>732</v>
      </c>
      <c r="C82" s="77">
        <v>45990</v>
      </c>
      <c r="D82" s="78">
        <f t="shared" si="1"/>
        <v>146</v>
      </c>
      <c r="E82" s="25">
        <v>3.4</v>
      </c>
    </row>
    <row r="83" spans="1:5" x14ac:dyDescent="0.25">
      <c r="A83" s="77">
        <f>VLOOKUP(B83,bojongsari_dt!A:B,2,0)</f>
        <v>45848</v>
      </c>
      <c r="B83" s="25" t="s">
        <v>733</v>
      </c>
      <c r="C83" s="77">
        <v>45990</v>
      </c>
      <c r="D83" s="78">
        <f t="shared" si="1"/>
        <v>142</v>
      </c>
      <c r="E83" s="25">
        <v>3.8</v>
      </c>
    </row>
    <row r="84" spans="1:5" x14ac:dyDescent="0.25">
      <c r="A84" s="77">
        <f>VLOOKUP(B84,bojongsari_dt!A:B,2,0)</f>
        <v>45848</v>
      </c>
      <c r="B84" s="25" t="s">
        <v>734</v>
      </c>
      <c r="C84" s="77">
        <v>45990</v>
      </c>
      <c r="D84" s="78">
        <f t="shared" si="1"/>
        <v>142</v>
      </c>
      <c r="E84" s="25">
        <v>6.7</v>
      </c>
    </row>
    <row r="85" spans="1:5" x14ac:dyDescent="0.25">
      <c r="A85" s="77">
        <f>VLOOKUP(B85,bojongsari_dt!A:B,2,0)</f>
        <v>45848</v>
      </c>
      <c r="B85" s="25" t="s">
        <v>735</v>
      </c>
      <c r="C85" s="77">
        <v>45990</v>
      </c>
      <c r="D85" s="78">
        <f t="shared" si="1"/>
        <v>142</v>
      </c>
      <c r="E85" s="25">
        <v>5.0999999999999996</v>
      </c>
    </row>
    <row r="86" spans="1:5" x14ac:dyDescent="0.25">
      <c r="A86" s="77">
        <f>VLOOKUP(B86,bojongsari_dt!A:B,2,0)</f>
        <v>45848</v>
      </c>
      <c r="B86" s="25" t="s">
        <v>736</v>
      </c>
      <c r="C86" s="77">
        <v>45991</v>
      </c>
      <c r="D86" s="78">
        <f t="shared" si="1"/>
        <v>143</v>
      </c>
      <c r="E86" s="25">
        <v>5.0999999999999996</v>
      </c>
    </row>
    <row r="87" spans="1:5" x14ac:dyDescent="0.25">
      <c r="A87" s="77">
        <f>VLOOKUP(B87,bojongsari_dt!A:B,2,0)</f>
        <v>45848</v>
      </c>
      <c r="B87" s="25" t="s">
        <v>737</v>
      </c>
      <c r="C87" s="77">
        <v>45991</v>
      </c>
      <c r="D87" s="78">
        <f t="shared" si="1"/>
        <v>143</v>
      </c>
      <c r="E87" s="25">
        <v>5.6</v>
      </c>
    </row>
    <row r="88" spans="1:5" x14ac:dyDescent="0.25">
      <c r="A88" s="77">
        <f>VLOOKUP(B88,bojongsari_dt!A:B,2,0)</f>
        <v>45848</v>
      </c>
      <c r="B88" s="25" t="s">
        <v>700</v>
      </c>
      <c r="C88" s="77">
        <v>45991</v>
      </c>
      <c r="D88" s="78">
        <f t="shared" si="1"/>
        <v>143</v>
      </c>
      <c r="E88" s="25">
        <v>7.2</v>
      </c>
    </row>
    <row r="89" spans="1:5" x14ac:dyDescent="0.25">
      <c r="A89" s="77">
        <f>VLOOKUP(B89,bojongsari_dt!A:B,2,0)</f>
        <v>45848</v>
      </c>
      <c r="B89" s="25" t="s">
        <v>701</v>
      </c>
      <c r="C89" s="77">
        <v>45991</v>
      </c>
      <c r="D89" s="78">
        <f t="shared" si="1"/>
        <v>143</v>
      </c>
      <c r="E89" s="25">
        <v>6.3</v>
      </c>
    </row>
    <row r="90" spans="1:5" x14ac:dyDescent="0.25">
      <c r="A90" s="77">
        <f>VLOOKUP(B90,bojongsari_dt!A:B,2,0)</f>
        <v>45848</v>
      </c>
      <c r="B90" s="25" t="s">
        <v>702</v>
      </c>
      <c r="C90" s="77">
        <v>45991</v>
      </c>
      <c r="D90" s="78">
        <f t="shared" si="1"/>
        <v>143</v>
      </c>
      <c r="E90" s="25">
        <v>6.8</v>
      </c>
    </row>
    <row r="91" spans="1:5" x14ac:dyDescent="0.25">
      <c r="A91" s="77">
        <f>VLOOKUP(B91,bojongsari_dt!A:B,2,0)</f>
        <v>45848</v>
      </c>
      <c r="B91" s="25" t="s">
        <v>703</v>
      </c>
      <c r="C91" s="77">
        <v>45992</v>
      </c>
      <c r="D91" s="78">
        <f t="shared" si="1"/>
        <v>144</v>
      </c>
      <c r="E91" s="25">
        <v>7.2</v>
      </c>
    </row>
    <row r="92" spans="1:5" x14ac:dyDescent="0.25">
      <c r="A92" s="77">
        <f>VLOOKUP(B92,bojongsari_dt!A:B,2,0)</f>
        <v>45848</v>
      </c>
      <c r="B92" s="25" t="s">
        <v>704</v>
      </c>
      <c r="C92" s="77">
        <v>45992</v>
      </c>
      <c r="D92" s="78">
        <f t="shared" si="1"/>
        <v>144</v>
      </c>
      <c r="E92" s="25">
        <v>6.4</v>
      </c>
    </row>
    <row r="93" spans="1:5" x14ac:dyDescent="0.25">
      <c r="A93" s="77">
        <f>VLOOKUP(B93,bojongsari_dt!A:B,2,0)</f>
        <v>45848</v>
      </c>
      <c r="B93" s="25" t="s">
        <v>705</v>
      </c>
      <c r="C93" s="77">
        <v>45992</v>
      </c>
      <c r="D93" s="78">
        <f t="shared" si="1"/>
        <v>144</v>
      </c>
      <c r="E93" s="25">
        <v>8.3000000000000007</v>
      </c>
    </row>
    <row r="94" spans="1:5" x14ac:dyDescent="0.25">
      <c r="A94" s="77">
        <f>VLOOKUP(B94,bojongsari_dt!A:B,2,0)</f>
        <v>45848</v>
      </c>
      <c r="B94" s="25" t="s">
        <v>706</v>
      </c>
      <c r="C94" s="77">
        <v>45992</v>
      </c>
      <c r="D94" s="78">
        <f t="shared" si="1"/>
        <v>144</v>
      </c>
      <c r="E94" s="25">
        <v>6.3</v>
      </c>
    </row>
    <row r="95" spans="1:5" x14ac:dyDescent="0.25">
      <c r="A95" s="77">
        <f>VLOOKUP(B95,bojongsari_dt!A:B,2,0)</f>
        <v>45848</v>
      </c>
      <c r="B95" s="25" t="s">
        <v>706</v>
      </c>
      <c r="C95" s="77">
        <v>45993</v>
      </c>
      <c r="D95" s="78">
        <f t="shared" si="1"/>
        <v>145</v>
      </c>
      <c r="E95" s="25">
        <v>6</v>
      </c>
    </row>
    <row r="96" spans="1:5" x14ac:dyDescent="0.25">
      <c r="A96" s="77">
        <f>VLOOKUP(B96,bojongsari_dt!A:B,2,0)</f>
        <v>45848</v>
      </c>
      <c r="B96" s="25" t="s">
        <v>707</v>
      </c>
      <c r="C96" s="77">
        <v>45993</v>
      </c>
      <c r="D96" s="78">
        <f t="shared" si="1"/>
        <v>145</v>
      </c>
      <c r="E96" s="25">
        <v>4.5</v>
      </c>
    </row>
    <row r="97" spans="1:5" x14ac:dyDescent="0.25">
      <c r="A97" s="77">
        <f>VLOOKUP(B97,bojongsari_dt!A:B,2,0)</f>
        <v>45856</v>
      </c>
      <c r="B97" s="25" t="s">
        <v>708</v>
      </c>
      <c r="C97" s="77">
        <v>45993</v>
      </c>
      <c r="D97" s="78">
        <f t="shared" si="1"/>
        <v>137</v>
      </c>
      <c r="E97" s="25">
        <v>5.0999999999999996</v>
      </c>
    </row>
    <row r="98" spans="1:5" x14ac:dyDescent="0.25">
      <c r="A98" s="77">
        <f>VLOOKUP(B98,bojongsari_dt!A:B,2,0)</f>
        <v>45856</v>
      </c>
      <c r="B98" s="25" t="s">
        <v>709</v>
      </c>
      <c r="C98" s="77">
        <v>45993</v>
      </c>
      <c r="D98" s="78">
        <f t="shared" si="1"/>
        <v>137</v>
      </c>
      <c r="E98" s="25">
        <v>5.5</v>
      </c>
    </row>
    <row r="99" spans="1:5" x14ac:dyDescent="0.25">
      <c r="A99" s="77">
        <f>VLOOKUP(B99,bojongsari_dt!A:B,2,0)</f>
        <v>45856</v>
      </c>
      <c r="B99" s="25" t="s">
        <v>710</v>
      </c>
      <c r="C99" s="77">
        <v>45993</v>
      </c>
      <c r="D99" s="78">
        <f t="shared" si="1"/>
        <v>137</v>
      </c>
      <c r="E99" s="25">
        <v>4.4000000000000004</v>
      </c>
    </row>
    <row r="100" spans="1:5" x14ac:dyDescent="0.25">
      <c r="A100" s="77">
        <f>VLOOKUP(B100,bojongsari_dt!A:B,2,0)</f>
        <v>45856</v>
      </c>
      <c r="B100" s="25" t="s">
        <v>711</v>
      </c>
      <c r="C100" s="77">
        <v>45993</v>
      </c>
      <c r="D100" s="78">
        <f t="shared" si="1"/>
        <v>137</v>
      </c>
      <c r="E100" s="25">
        <v>4</v>
      </c>
    </row>
    <row r="101" spans="1:5" x14ac:dyDescent="0.25">
      <c r="A101" s="77">
        <f>VLOOKUP(B101,bojongsari_dt!A:B,2,0)</f>
        <v>45856</v>
      </c>
      <c r="B101" s="25" t="s">
        <v>712</v>
      </c>
      <c r="C101" s="77">
        <v>45993</v>
      </c>
      <c r="D101" s="78">
        <f t="shared" si="1"/>
        <v>137</v>
      </c>
      <c r="E101" s="25">
        <v>4.7</v>
      </c>
    </row>
    <row r="102" spans="1:5" x14ac:dyDescent="0.25">
      <c r="A102" s="77">
        <f>VLOOKUP(B102,bojongsari_dt!A:B,2,0)</f>
        <v>45856</v>
      </c>
      <c r="B102" s="25" t="s">
        <v>713</v>
      </c>
      <c r="C102" s="77">
        <v>45994</v>
      </c>
      <c r="D102" s="78">
        <f t="shared" si="1"/>
        <v>138</v>
      </c>
      <c r="E102" s="25">
        <v>4.0999999999999996</v>
      </c>
    </row>
    <row r="103" spans="1:5" x14ac:dyDescent="0.25">
      <c r="A103" s="77">
        <f>VLOOKUP(B103,bojongsari_dt!A:B,2,0)</f>
        <v>45856</v>
      </c>
      <c r="B103" s="25" t="s">
        <v>714</v>
      </c>
      <c r="C103" s="77">
        <v>45994</v>
      </c>
      <c r="D103" s="78">
        <f t="shared" si="1"/>
        <v>138</v>
      </c>
      <c r="E103" s="25">
        <v>5.6</v>
      </c>
    </row>
    <row r="104" spans="1:5" x14ac:dyDescent="0.25">
      <c r="A104" s="77">
        <f>VLOOKUP(B104,bojongsari_dt!A:B,2,0)</f>
        <v>45856</v>
      </c>
      <c r="B104" s="25" t="s">
        <v>715</v>
      </c>
      <c r="C104" s="77">
        <v>45994</v>
      </c>
      <c r="D104" s="78">
        <f t="shared" si="1"/>
        <v>138</v>
      </c>
      <c r="E104" s="25">
        <v>5.2</v>
      </c>
    </row>
    <row r="105" spans="1:5" x14ac:dyDescent="0.25">
      <c r="A105" s="77">
        <f>VLOOKUP(B105,bojongsari_dt!A:B,2,0)</f>
        <v>45856</v>
      </c>
      <c r="B105" s="25" t="s">
        <v>716</v>
      </c>
      <c r="C105" s="77">
        <v>45994</v>
      </c>
      <c r="D105" s="78">
        <f t="shared" si="1"/>
        <v>138</v>
      </c>
      <c r="E105" s="25">
        <v>6.4</v>
      </c>
    </row>
    <row r="106" spans="1:5" x14ac:dyDescent="0.25">
      <c r="A106" s="77">
        <f>VLOOKUP(B106,bojongsari_dt!A:B,2,0)</f>
        <v>45856</v>
      </c>
      <c r="B106" s="25" t="s">
        <v>717</v>
      </c>
      <c r="C106" s="77">
        <v>45994</v>
      </c>
      <c r="D106" s="78">
        <f t="shared" si="1"/>
        <v>138</v>
      </c>
      <c r="E106" s="25">
        <v>7.3</v>
      </c>
    </row>
    <row r="107" spans="1:5" x14ac:dyDescent="0.25">
      <c r="A107" s="77">
        <f>VLOOKUP(B107,bojongsari_dt!A:B,2,0)</f>
        <v>45856</v>
      </c>
      <c r="B107" s="25" t="s">
        <v>718</v>
      </c>
      <c r="C107" s="77">
        <v>45994</v>
      </c>
      <c r="D107" s="78">
        <f t="shared" si="1"/>
        <v>138</v>
      </c>
      <c r="E107" s="25">
        <v>5.9</v>
      </c>
    </row>
    <row r="108" spans="1:5" x14ac:dyDescent="0.25">
      <c r="A108" s="77">
        <f>VLOOKUP(B108,bojongsari_dt!A:B,2,0)</f>
        <v>45803</v>
      </c>
      <c r="B108" s="25" t="s">
        <v>633</v>
      </c>
      <c r="C108" s="77">
        <v>45995</v>
      </c>
      <c r="D108" s="78">
        <f t="shared" si="1"/>
        <v>192</v>
      </c>
      <c r="E108" s="25">
        <v>5.9</v>
      </c>
    </row>
    <row r="109" spans="1:5" x14ac:dyDescent="0.25">
      <c r="A109" s="77">
        <f>VLOOKUP(B109,bojongsari_dt!A:B,2,0)</f>
        <v>45803</v>
      </c>
      <c r="B109" s="25" t="s">
        <v>634</v>
      </c>
      <c r="C109" s="77">
        <v>45995</v>
      </c>
      <c r="D109" s="78">
        <f t="shared" si="1"/>
        <v>192</v>
      </c>
      <c r="E109" s="25">
        <v>6.2</v>
      </c>
    </row>
    <row r="110" spans="1:5" x14ac:dyDescent="0.25">
      <c r="A110" s="77">
        <f>VLOOKUP(B110,bojongsari_dt!A:B,2,0)</f>
        <v>45803</v>
      </c>
      <c r="B110" s="25" t="s">
        <v>635</v>
      </c>
      <c r="C110" s="77">
        <v>45995</v>
      </c>
      <c r="D110" s="78">
        <f t="shared" si="1"/>
        <v>192</v>
      </c>
      <c r="E110" s="25">
        <v>6.6</v>
      </c>
    </row>
    <row r="111" spans="1:5" x14ac:dyDescent="0.25">
      <c r="A111" s="77">
        <f>VLOOKUP(B111,bojongsari_dt!A:B,2,0)</f>
        <v>45803</v>
      </c>
      <c r="B111" s="25" t="s">
        <v>636</v>
      </c>
      <c r="C111" s="77">
        <v>45995</v>
      </c>
      <c r="D111" s="78">
        <f t="shared" si="1"/>
        <v>192</v>
      </c>
      <c r="E111" s="25">
        <v>7.6</v>
      </c>
    </row>
    <row r="112" spans="1:5" x14ac:dyDescent="0.25">
      <c r="A112" s="77">
        <f>VLOOKUP(B112,bojongsari_dt!A:B,2,0)</f>
        <v>0</v>
      </c>
      <c r="B112" s="25" t="s">
        <v>598</v>
      </c>
      <c r="D112" s="78">
        <f t="shared" si="1"/>
        <v>0</v>
      </c>
    </row>
    <row r="113" spans="1:5" x14ac:dyDescent="0.25">
      <c r="A113" s="77">
        <f>VLOOKUP(B113,bojongsari_dt!A:B,2,0)</f>
        <v>0</v>
      </c>
      <c r="B113" s="25" t="s">
        <v>599</v>
      </c>
      <c r="D113" s="78">
        <f t="shared" si="1"/>
        <v>0</v>
      </c>
    </row>
    <row r="114" spans="1:5" x14ac:dyDescent="0.25">
      <c r="A114" s="77">
        <f>VLOOKUP(B114,bojongsari_dt!A:B,2,0)</f>
        <v>0</v>
      </c>
      <c r="B114" s="25" t="s">
        <v>600</v>
      </c>
      <c r="D114" s="78">
        <f t="shared" si="1"/>
        <v>0</v>
      </c>
    </row>
    <row r="115" spans="1:5" x14ac:dyDescent="0.25">
      <c r="A115" s="77">
        <f>VLOOKUP(B115,bojongsari_dt!A:B,2,0)</f>
        <v>45803</v>
      </c>
      <c r="B115" s="25" t="s">
        <v>601</v>
      </c>
      <c r="C115" s="77">
        <v>45996</v>
      </c>
      <c r="D115" s="78">
        <f t="shared" si="1"/>
        <v>193</v>
      </c>
      <c r="E115" s="25">
        <v>7.1</v>
      </c>
    </row>
    <row r="116" spans="1:5" x14ac:dyDescent="0.25">
      <c r="A116" s="77">
        <f>VLOOKUP(B116,bojongsari_dt!A:B,2,0)</f>
        <v>45803</v>
      </c>
      <c r="B116" s="25" t="s">
        <v>602</v>
      </c>
      <c r="C116" s="77">
        <v>45996</v>
      </c>
      <c r="D116" s="78">
        <f t="shared" si="1"/>
        <v>193</v>
      </c>
      <c r="E116" s="25">
        <v>6.8</v>
      </c>
    </row>
    <row r="117" spans="1:5" x14ac:dyDescent="0.25">
      <c r="A117" s="77">
        <f>VLOOKUP(B117,bojongsari_dt!A:B,2,0)</f>
        <v>45803</v>
      </c>
      <c r="B117" s="25" t="s">
        <v>603</v>
      </c>
      <c r="C117" s="77">
        <v>45996</v>
      </c>
      <c r="D117" s="78">
        <f t="shared" si="1"/>
        <v>193</v>
      </c>
      <c r="E117" s="25">
        <v>7.1</v>
      </c>
    </row>
    <row r="118" spans="1:5" x14ac:dyDescent="0.25">
      <c r="A118" s="77">
        <f>VLOOKUP(B118,bojongsari_dt!A:B,2,0)</f>
        <v>45806</v>
      </c>
      <c r="B118" s="25" t="s">
        <v>604</v>
      </c>
      <c r="C118" s="77">
        <v>45996</v>
      </c>
      <c r="D118" s="78">
        <f t="shared" si="1"/>
        <v>190</v>
      </c>
      <c r="E118" s="25">
        <v>6.3</v>
      </c>
    </row>
    <row r="119" spans="1:5" x14ac:dyDescent="0.25">
      <c r="A119" s="77">
        <f>VLOOKUP(B119,bojongsari_dt!A:B,2,0)</f>
        <v>45806</v>
      </c>
      <c r="B119" s="25" t="s">
        <v>605</v>
      </c>
      <c r="C119" s="77">
        <v>45996</v>
      </c>
      <c r="D119" s="78">
        <f t="shared" si="1"/>
        <v>190</v>
      </c>
      <c r="E119" s="25">
        <v>6.9</v>
      </c>
    </row>
  </sheetData>
  <phoneticPr fontId="12" type="noConversion"/>
  <conditionalFormatting sqref="A2:A119">
    <cfRule type="expression" dxfId="3" priority="10">
      <formula>$K2&gt;0</formula>
    </cfRule>
  </conditionalFormatting>
  <conditionalFormatting sqref="C2:C111">
    <cfRule type="expression" dxfId="2" priority="4">
      <formula>$K2&gt;0</formula>
    </cfRule>
  </conditionalFormatting>
  <conditionalFormatting sqref="C115:C119">
    <cfRule type="expression" dxfId="1" priority="9">
      <formula>$K115&gt;0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8C0E3-E092-4AF8-B488-B49EB0308DF3}">
  <dimension ref="A1:B231"/>
  <sheetViews>
    <sheetView topLeftCell="A173" workbookViewId="0">
      <selection activeCell="B142" sqref="B142"/>
    </sheetView>
  </sheetViews>
  <sheetFormatPr defaultRowHeight="15" x14ac:dyDescent="0.25"/>
  <cols>
    <col min="2" max="2" width="14.140625" bestFit="1" customWidth="1"/>
  </cols>
  <sheetData>
    <row r="1" spans="1:2" x14ac:dyDescent="0.25">
      <c r="A1" s="25" t="s">
        <v>213</v>
      </c>
      <c r="B1" s="25" t="s">
        <v>596</v>
      </c>
    </row>
    <row r="2" spans="1:2" x14ac:dyDescent="0.25">
      <c r="A2" s="25" t="s">
        <v>606</v>
      </c>
      <c r="B2" s="77">
        <v>45864</v>
      </c>
    </row>
    <row r="3" spans="1:2" x14ac:dyDescent="0.25">
      <c r="A3" s="25" t="s">
        <v>607</v>
      </c>
      <c r="B3" s="77">
        <v>45864</v>
      </c>
    </row>
    <row r="4" spans="1:2" x14ac:dyDescent="0.25">
      <c r="A4" s="25" t="s">
        <v>608</v>
      </c>
      <c r="B4" s="77">
        <v>45864</v>
      </c>
    </row>
    <row r="5" spans="1:2" x14ac:dyDescent="0.25">
      <c r="A5" s="25" t="s">
        <v>609</v>
      </c>
      <c r="B5" s="77">
        <v>45864</v>
      </c>
    </row>
    <row r="6" spans="1:2" x14ac:dyDescent="0.25">
      <c r="A6" s="25" t="s">
        <v>610</v>
      </c>
      <c r="B6" s="77">
        <v>45864</v>
      </c>
    </row>
    <row r="7" spans="1:2" x14ac:dyDescent="0.25">
      <c r="A7" s="25" t="s">
        <v>611</v>
      </c>
      <c r="B7" s="77">
        <v>45864</v>
      </c>
    </row>
    <row r="8" spans="1:2" x14ac:dyDescent="0.25">
      <c r="A8" s="25" t="s">
        <v>612</v>
      </c>
      <c r="B8" s="77">
        <v>45864</v>
      </c>
    </row>
    <row r="9" spans="1:2" x14ac:dyDescent="0.25">
      <c r="A9" s="25" t="s">
        <v>613</v>
      </c>
      <c r="B9" s="77">
        <v>45867</v>
      </c>
    </row>
    <row r="10" spans="1:2" x14ac:dyDescent="0.25">
      <c r="A10" s="25" t="s">
        <v>614</v>
      </c>
      <c r="B10" s="77">
        <v>45867</v>
      </c>
    </row>
    <row r="11" spans="1:2" x14ac:dyDescent="0.25">
      <c r="A11" s="25" t="s">
        <v>615</v>
      </c>
      <c r="B11" s="77">
        <v>45867</v>
      </c>
    </row>
    <row r="12" spans="1:2" x14ac:dyDescent="0.25">
      <c r="A12" s="25" t="s">
        <v>616</v>
      </c>
      <c r="B12" s="77">
        <v>45867</v>
      </c>
    </row>
    <row r="13" spans="1:2" x14ac:dyDescent="0.25">
      <c r="A13" s="25" t="s">
        <v>617</v>
      </c>
      <c r="B13" s="77">
        <v>45867</v>
      </c>
    </row>
    <row r="14" spans="1:2" x14ac:dyDescent="0.25">
      <c r="A14" s="25" t="s">
        <v>618</v>
      </c>
      <c r="B14" s="77">
        <v>45902</v>
      </c>
    </row>
    <row r="15" spans="1:2" x14ac:dyDescent="0.25">
      <c r="A15" s="25" t="s">
        <v>619</v>
      </c>
      <c r="B15" s="77">
        <v>45902</v>
      </c>
    </row>
    <row r="16" spans="1:2" x14ac:dyDescent="0.25">
      <c r="A16" s="25" t="s">
        <v>620</v>
      </c>
      <c r="B16" s="77">
        <v>45902</v>
      </c>
    </row>
    <row r="17" spans="1:2" x14ac:dyDescent="0.25">
      <c r="A17" s="25" t="s">
        <v>621</v>
      </c>
      <c r="B17" s="77">
        <v>45902</v>
      </c>
    </row>
    <row r="18" spans="1:2" x14ac:dyDescent="0.25">
      <c r="A18" s="25" t="s">
        <v>622</v>
      </c>
      <c r="B18" s="77">
        <v>45902</v>
      </c>
    </row>
    <row r="19" spans="1:2" x14ac:dyDescent="0.25">
      <c r="A19" s="25" t="s">
        <v>623</v>
      </c>
      <c r="B19" s="77">
        <v>45902</v>
      </c>
    </row>
    <row r="20" spans="1:2" x14ac:dyDescent="0.25">
      <c r="A20" s="25" t="s">
        <v>624</v>
      </c>
      <c r="B20" s="77">
        <v>45902</v>
      </c>
    </row>
    <row r="21" spans="1:2" x14ac:dyDescent="0.25">
      <c r="A21" s="25" t="s">
        <v>625</v>
      </c>
      <c r="B21" s="77">
        <v>45902</v>
      </c>
    </row>
    <row r="22" spans="1:2" x14ac:dyDescent="0.25">
      <c r="A22" s="25" t="s">
        <v>626</v>
      </c>
      <c r="B22" s="77">
        <v>45975</v>
      </c>
    </row>
    <row r="23" spans="1:2" x14ac:dyDescent="0.25">
      <c r="A23" s="25" t="s">
        <v>627</v>
      </c>
      <c r="B23" s="77">
        <v>45975</v>
      </c>
    </row>
    <row r="24" spans="1:2" x14ac:dyDescent="0.25">
      <c r="A24" s="25" t="s">
        <v>628</v>
      </c>
      <c r="B24" s="77">
        <v>45975</v>
      </c>
    </row>
    <row r="25" spans="1:2" x14ac:dyDescent="0.25">
      <c r="A25" s="25" t="s">
        <v>629</v>
      </c>
      <c r="B25" s="77">
        <v>45975</v>
      </c>
    </row>
    <row r="26" spans="1:2" x14ac:dyDescent="0.25">
      <c r="A26" s="25" t="s">
        <v>630</v>
      </c>
      <c r="B26" s="77">
        <v>45975</v>
      </c>
    </row>
    <row r="27" spans="1:2" x14ac:dyDescent="0.25">
      <c r="A27" s="25" t="s">
        <v>631</v>
      </c>
      <c r="B27" s="77">
        <v>45975</v>
      </c>
    </row>
    <row r="28" spans="1:2" x14ac:dyDescent="0.25">
      <c r="A28" s="25" t="s">
        <v>632</v>
      </c>
      <c r="B28" s="77">
        <v>45975</v>
      </c>
    </row>
    <row r="29" spans="1:2" x14ac:dyDescent="0.25">
      <c r="A29" s="25" t="s">
        <v>633</v>
      </c>
      <c r="B29" s="77">
        <v>45803</v>
      </c>
    </row>
    <row r="30" spans="1:2" x14ac:dyDescent="0.25">
      <c r="A30" s="25" t="s">
        <v>634</v>
      </c>
      <c r="B30" s="77">
        <v>45803</v>
      </c>
    </row>
    <row r="31" spans="1:2" x14ac:dyDescent="0.25">
      <c r="A31" s="25" t="s">
        <v>635</v>
      </c>
      <c r="B31" s="77">
        <v>45803</v>
      </c>
    </row>
    <row r="32" spans="1:2" x14ac:dyDescent="0.25">
      <c r="A32" s="25" t="s">
        <v>636</v>
      </c>
      <c r="B32" s="77">
        <v>45803</v>
      </c>
    </row>
    <row r="33" spans="1:2" x14ac:dyDescent="0.25">
      <c r="A33" s="25" t="s">
        <v>601</v>
      </c>
      <c r="B33" s="77">
        <v>45803</v>
      </c>
    </row>
    <row r="34" spans="1:2" x14ac:dyDescent="0.25">
      <c r="A34" s="25" t="s">
        <v>602</v>
      </c>
      <c r="B34" s="77">
        <v>45803</v>
      </c>
    </row>
    <row r="35" spans="1:2" x14ac:dyDescent="0.25">
      <c r="A35" s="25" t="s">
        <v>603</v>
      </c>
      <c r="B35" s="77">
        <v>45803</v>
      </c>
    </row>
    <row r="36" spans="1:2" x14ac:dyDescent="0.25">
      <c r="A36" s="25" t="s">
        <v>604</v>
      </c>
      <c r="B36" s="77">
        <v>45806</v>
      </c>
    </row>
    <row r="37" spans="1:2" x14ac:dyDescent="0.25">
      <c r="A37" s="25" t="s">
        <v>605</v>
      </c>
      <c r="B37" s="77">
        <v>45806</v>
      </c>
    </row>
    <row r="38" spans="1:2" x14ac:dyDescent="0.25">
      <c r="A38" s="25" t="s">
        <v>637</v>
      </c>
      <c r="B38" s="77">
        <v>45806</v>
      </c>
    </row>
    <row r="39" spans="1:2" x14ac:dyDescent="0.25">
      <c r="A39" s="25" t="s">
        <v>638</v>
      </c>
      <c r="B39" s="77">
        <v>45806</v>
      </c>
    </row>
    <row r="40" spans="1:2" x14ac:dyDescent="0.25">
      <c r="A40" s="25" t="s">
        <v>639</v>
      </c>
      <c r="B40" s="77">
        <v>45806</v>
      </c>
    </row>
    <row r="41" spans="1:2" x14ac:dyDescent="0.25">
      <c r="A41" s="25" t="s">
        <v>640</v>
      </c>
      <c r="B41" s="77">
        <v>45806</v>
      </c>
    </row>
    <row r="42" spans="1:2" x14ac:dyDescent="0.25">
      <c r="A42" s="25" t="s">
        <v>641</v>
      </c>
      <c r="B42" s="77">
        <v>45806</v>
      </c>
    </row>
    <row r="43" spans="1:2" x14ac:dyDescent="0.25">
      <c r="A43" s="25" t="s">
        <v>642</v>
      </c>
      <c r="B43" s="77"/>
    </row>
    <row r="44" spans="1:2" x14ac:dyDescent="0.25">
      <c r="A44" s="25" t="s">
        <v>643</v>
      </c>
      <c r="B44" s="77"/>
    </row>
    <row r="45" spans="1:2" x14ac:dyDescent="0.25">
      <c r="A45" s="25" t="s">
        <v>644</v>
      </c>
      <c r="B45" s="77">
        <v>45990</v>
      </c>
    </row>
    <row r="46" spans="1:2" x14ac:dyDescent="0.25">
      <c r="A46" s="25" t="s">
        <v>645</v>
      </c>
      <c r="B46" s="77">
        <v>45990</v>
      </c>
    </row>
    <row r="47" spans="1:2" x14ac:dyDescent="0.25">
      <c r="A47" s="25" t="s">
        <v>646</v>
      </c>
      <c r="B47" s="77"/>
    </row>
    <row r="48" spans="1:2" x14ac:dyDescent="0.25">
      <c r="A48" s="25" t="s">
        <v>647</v>
      </c>
      <c r="B48" s="77"/>
    </row>
    <row r="49" spans="1:2" x14ac:dyDescent="0.25">
      <c r="A49" s="25" t="s">
        <v>648</v>
      </c>
      <c r="B49" s="77"/>
    </row>
    <row r="50" spans="1:2" x14ac:dyDescent="0.25">
      <c r="A50" s="25" t="s">
        <v>649</v>
      </c>
      <c r="B50" s="77"/>
    </row>
    <row r="51" spans="1:2" x14ac:dyDescent="0.25">
      <c r="A51" s="25" t="s">
        <v>650</v>
      </c>
      <c r="B51" s="77"/>
    </row>
    <row r="52" spans="1:2" x14ac:dyDescent="0.25">
      <c r="A52" s="25" t="s">
        <v>651</v>
      </c>
      <c r="B52" s="77"/>
    </row>
    <row r="53" spans="1:2" x14ac:dyDescent="0.25">
      <c r="A53" s="25" t="s">
        <v>652</v>
      </c>
      <c r="B53" s="77">
        <v>45996</v>
      </c>
    </row>
    <row r="54" spans="1:2" x14ac:dyDescent="0.25">
      <c r="A54" s="25" t="s">
        <v>653</v>
      </c>
      <c r="B54" s="77">
        <v>45996</v>
      </c>
    </row>
    <row r="55" spans="1:2" x14ac:dyDescent="0.25">
      <c r="A55" s="25" t="s">
        <v>598</v>
      </c>
      <c r="B55" s="77"/>
    </row>
    <row r="56" spans="1:2" x14ac:dyDescent="0.25">
      <c r="A56" s="25" t="s">
        <v>599</v>
      </c>
      <c r="B56" s="77"/>
    </row>
    <row r="57" spans="1:2" x14ac:dyDescent="0.25">
      <c r="A57" s="25" t="s">
        <v>600</v>
      </c>
      <c r="B57" s="77"/>
    </row>
    <row r="58" spans="1:2" x14ac:dyDescent="0.25">
      <c r="A58" s="25" t="s">
        <v>654</v>
      </c>
      <c r="B58" s="77"/>
    </row>
    <row r="59" spans="1:2" x14ac:dyDescent="0.25">
      <c r="A59" s="25" t="s">
        <v>655</v>
      </c>
      <c r="B59" s="77"/>
    </row>
    <row r="60" spans="1:2" x14ac:dyDescent="0.25">
      <c r="A60" s="25" t="s">
        <v>656</v>
      </c>
      <c r="B60" s="77"/>
    </row>
    <row r="61" spans="1:2" x14ac:dyDescent="0.25">
      <c r="A61" s="25" t="s">
        <v>657</v>
      </c>
      <c r="B61" s="77"/>
    </row>
    <row r="62" spans="1:2" x14ac:dyDescent="0.25">
      <c r="A62" s="25" t="s">
        <v>658</v>
      </c>
      <c r="B62" s="77"/>
    </row>
    <row r="63" spans="1:2" x14ac:dyDescent="0.25">
      <c r="A63" s="25" t="s">
        <v>659</v>
      </c>
      <c r="B63" s="77"/>
    </row>
    <row r="64" spans="1:2" x14ac:dyDescent="0.25">
      <c r="A64" s="25" t="s">
        <v>660</v>
      </c>
      <c r="B64" s="77"/>
    </row>
    <row r="65" spans="1:2" x14ac:dyDescent="0.25">
      <c r="A65" s="25" t="s">
        <v>661</v>
      </c>
      <c r="B65" s="77"/>
    </row>
    <row r="66" spans="1:2" x14ac:dyDescent="0.25">
      <c r="A66" s="25" t="s">
        <v>662</v>
      </c>
      <c r="B66" s="77"/>
    </row>
    <row r="67" spans="1:2" x14ac:dyDescent="0.25">
      <c r="A67" s="25" t="s">
        <v>663</v>
      </c>
      <c r="B67" s="77"/>
    </row>
    <row r="68" spans="1:2" x14ac:dyDescent="0.25">
      <c r="A68" s="25" t="s">
        <v>664</v>
      </c>
      <c r="B68" s="77"/>
    </row>
    <row r="69" spans="1:2" x14ac:dyDescent="0.25">
      <c r="A69" s="25" t="s">
        <v>665</v>
      </c>
      <c r="B69" s="77"/>
    </row>
    <row r="70" spans="1:2" x14ac:dyDescent="0.25">
      <c r="A70" s="25" t="s">
        <v>666</v>
      </c>
      <c r="B70" s="77"/>
    </row>
    <row r="71" spans="1:2" x14ac:dyDescent="0.25">
      <c r="A71" s="25" t="s">
        <v>667</v>
      </c>
      <c r="B71" s="77"/>
    </row>
    <row r="72" spans="1:2" x14ac:dyDescent="0.25">
      <c r="A72" s="25" t="s">
        <v>668</v>
      </c>
      <c r="B72" s="77"/>
    </row>
    <row r="73" spans="1:2" x14ac:dyDescent="0.25">
      <c r="A73" s="25" t="s">
        <v>669</v>
      </c>
      <c r="B73" s="77"/>
    </row>
    <row r="74" spans="1:2" x14ac:dyDescent="0.25">
      <c r="A74" s="25" t="s">
        <v>670</v>
      </c>
      <c r="B74" s="77"/>
    </row>
    <row r="75" spans="1:2" x14ac:dyDescent="0.25">
      <c r="A75" s="25" t="s">
        <v>671</v>
      </c>
      <c r="B75" s="77"/>
    </row>
    <row r="76" spans="1:2" x14ac:dyDescent="0.25">
      <c r="A76" s="25" t="s">
        <v>672</v>
      </c>
      <c r="B76" s="77"/>
    </row>
    <row r="77" spans="1:2" x14ac:dyDescent="0.25">
      <c r="A77" s="25" t="s">
        <v>673</v>
      </c>
      <c r="B77" s="77"/>
    </row>
    <row r="78" spans="1:2" x14ac:dyDescent="0.25">
      <c r="A78" s="25" t="s">
        <v>674</v>
      </c>
      <c r="B78" s="77"/>
    </row>
    <row r="79" spans="1:2" x14ac:dyDescent="0.25">
      <c r="A79" s="25" t="s">
        <v>675</v>
      </c>
      <c r="B79" s="77"/>
    </row>
    <row r="80" spans="1:2" x14ac:dyDescent="0.25">
      <c r="A80" s="25" t="s">
        <v>676</v>
      </c>
      <c r="B80" s="77"/>
    </row>
    <row r="81" spans="1:2" x14ac:dyDescent="0.25">
      <c r="A81" s="25" t="s">
        <v>677</v>
      </c>
      <c r="B81" s="77"/>
    </row>
    <row r="82" spans="1:2" x14ac:dyDescent="0.25">
      <c r="A82" s="25" t="s">
        <v>678</v>
      </c>
      <c r="B82" s="77"/>
    </row>
    <row r="83" spans="1:2" x14ac:dyDescent="0.25">
      <c r="A83" s="25" t="s">
        <v>679</v>
      </c>
      <c r="B83" s="77"/>
    </row>
    <row r="84" spans="1:2" x14ac:dyDescent="0.25">
      <c r="A84" s="25" t="s">
        <v>680</v>
      </c>
      <c r="B84" s="77"/>
    </row>
    <row r="85" spans="1:2" x14ac:dyDescent="0.25">
      <c r="A85" s="25" t="s">
        <v>681</v>
      </c>
      <c r="B85" s="77"/>
    </row>
    <row r="86" spans="1:2" x14ac:dyDescent="0.25">
      <c r="A86" s="25" t="s">
        <v>682</v>
      </c>
      <c r="B86" s="77"/>
    </row>
    <row r="87" spans="1:2" x14ac:dyDescent="0.25">
      <c r="A87" s="25" t="s">
        <v>683</v>
      </c>
      <c r="B87" s="77"/>
    </row>
    <row r="88" spans="1:2" x14ac:dyDescent="0.25">
      <c r="A88" s="25" t="s">
        <v>684</v>
      </c>
      <c r="B88" s="77"/>
    </row>
    <row r="89" spans="1:2" x14ac:dyDescent="0.25">
      <c r="A89" s="25" t="s">
        <v>685</v>
      </c>
      <c r="B89" s="77"/>
    </row>
    <row r="90" spans="1:2" x14ac:dyDescent="0.25">
      <c r="A90" s="25" t="s">
        <v>686</v>
      </c>
      <c r="B90" s="77"/>
    </row>
    <row r="91" spans="1:2" x14ac:dyDescent="0.25">
      <c r="A91" s="25" t="s">
        <v>687</v>
      </c>
      <c r="B91" s="77"/>
    </row>
    <row r="92" spans="1:2" x14ac:dyDescent="0.25">
      <c r="A92" s="25" t="s">
        <v>688</v>
      </c>
      <c r="B92" s="77"/>
    </row>
    <row r="93" spans="1:2" x14ac:dyDescent="0.25">
      <c r="A93" s="25" t="s">
        <v>689</v>
      </c>
      <c r="B93" s="77"/>
    </row>
    <row r="94" spans="1:2" x14ac:dyDescent="0.25">
      <c r="A94" s="25" t="s">
        <v>690</v>
      </c>
      <c r="B94" s="77"/>
    </row>
    <row r="95" spans="1:2" x14ac:dyDescent="0.25">
      <c r="A95" s="25" t="s">
        <v>691</v>
      </c>
      <c r="B95" s="77"/>
    </row>
    <row r="96" spans="1:2" x14ac:dyDescent="0.25">
      <c r="A96" s="25" t="s">
        <v>692</v>
      </c>
      <c r="B96" s="77"/>
    </row>
    <row r="97" spans="1:2" x14ac:dyDescent="0.25">
      <c r="A97" s="25" t="s">
        <v>693</v>
      </c>
      <c r="B97" s="77"/>
    </row>
    <row r="98" spans="1:2" x14ac:dyDescent="0.25">
      <c r="A98" s="25" t="s">
        <v>694</v>
      </c>
      <c r="B98" s="77"/>
    </row>
    <row r="99" spans="1:2" x14ac:dyDescent="0.25">
      <c r="A99" s="25" t="s">
        <v>695</v>
      </c>
      <c r="B99" s="77"/>
    </row>
    <row r="100" spans="1:2" x14ac:dyDescent="0.25">
      <c r="A100" s="25" t="s">
        <v>696</v>
      </c>
      <c r="B100" s="77"/>
    </row>
    <row r="101" spans="1:2" x14ac:dyDescent="0.25">
      <c r="A101" s="25" t="s">
        <v>697</v>
      </c>
      <c r="B101" s="77"/>
    </row>
    <row r="102" spans="1:2" x14ac:dyDescent="0.25">
      <c r="A102" s="25" t="s">
        <v>698</v>
      </c>
      <c r="B102" s="77"/>
    </row>
    <row r="103" spans="1:2" x14ac:dyDescent="0.25">
      <c r="A103" s="25" t="s">
        <v>699</v>
      </c>
      <c r="B103" s="77"/>
    </row>
    <row r="104" spans="1:2" x14ac:dyDescent="0.25">
      <c r="A104" s="25" t="s">
        <v>700</v>
      </c>
      <c r="B104" s="77">
        <v>45848</v>
      </c>
    </row>
    <row r="105" spans="1:2" x14ac:dyDescent="0.25">
      <c r="A105" s="25" t="s">
        <v>701</v>
      </c>
      <c r="B105" s="77">
        <v>45848</v>
      </c>
    </row>
    <row r="106" spans="1:2" x14ac:dyDescent="0.25">
      <c r="A106" s="25" t="s">
        <v>702</v>
      </c>
      <c r="B106" s="77">
        <v>45848</v>
      </c>
    </row>
    <row r="107" spans="1:2" x14ac:dyDescent="0.25">
      <c r="A107" s="25" t="s">
        <v>703</v>
      </c>
      <c r="B107" s="77">
        <v>45848</v>
      </c>
    </row>
    <row r="108" spans="1:2" x14ac:dyDescent="0.25">
      <c r="A108" s="25" t="s">
        <v>704</v>
      </c>
      <c r="B108" s="77">
        <v>45848</v>
      </c>
    </row>
    <row r="109" spans="1:2" x14ac:dyDescent="0.25">
      <c r="A109" s="25" t="s">
        <v>705</v>
      </c>
      <c r="B109" s="77">
        <v>45848</v>
      </c>
    </row>
    <row r="110" spans="1:2" x14ac:dyDescent="0.25">
      <c r="A110" s="25" t="s">
        <v>706</v>
      </c>
      <c r="B110" s="77">
        <v>45848</v>
      </c>
    </row>
    <row r="111" spans="1:2" x14ac:dyDescent="0.25">
      <c r="A111" s="25" t="s">
        <v>707</v>
      </c>
      <c r="B111" s="77">
        <v>45848</v>
      </c>
    </row>
    <row r="112" spans="1:2" x14ac:dyDescent="0.25">
      <c r="A112" s="25" t="s">
        <v>708</v>
      </c>
      <c r="B112" s="77">
        <v>45856</v>
      </c>
    </row>
    <row r="113" spans="1:2" x14ac:dyDescent="0.25">
      <c r="A113" s="25" t="s">
        <v>709</v>
      </c>
      <c r="B113" s="77">
        <v>45856</v>
      </c>
    </row>
    <row r="114" spans="1:2" x14ac:dyDescent="0.25">
      <c r="A114" s="25" t="s">
        <v>710</v>
      </c>
      <c r="B114" s="77">
        <v>45856</v>
      </c>
    </row>
    <row r="115" spans="1:2" x14ac:dyDescent="0.25">
      <c r="A115" s="25" t="s">
        <v>711</v>
      </c>
      <c r="B115" s="77">
        <v>45856</v>
      </c>
    </row>
    <row r="116" spans="1:2" x14ac:dyDescent="0.25">
      <c r="A116" s="25" t="s">
        <v>712</v>
      </c>
      <c r="B116" s="77">
        <v>45856</v>
      </c>
    </row>
    <row r="117" spans="1:2" x14ac:dyDescent="0.25">
      <c r="A117" s="25" t="s">
        <v>713</v>
      </c>
      <c r="B117" s="77">
        <v>45856</v>
      </c>
    </row>
    <row r="118" spans="1:2" x14ac:dyDescent="0.25">
      <c r="A118" s="25" t="s">
        <v>714</v>
      </c>
      <c r="B118" s="77">
        <v>45856</v>
      </c>
    </row>
    <row r="119" spans="1:2" x14ac:dyDescent="0.25">
      <c r="A119" s="25" t="s">
        <v>715</v>
      </c>
      <c r="B119" s="77">
        <v>45856</v>
      </c>
    </row>
    <row r="120" spans="1:2" x14ac:dyDescent="0.25">
      <c r="A120" s="25" t="s">
        <v>716</v>
      </c>
      <c r="B120" s="77">
        <v>45856</v>
      </c>
    </row>
    <row r="121" spans="1:2" x14ac:dyDescent="0.25">
      <c r="A121" s="25" t="s">
        <v>717</v>
      </c>
      <c r="B121" s="77">
        <v>45856</v>
      </c>
    </row>
    <row r="122" spans="1:2" x14ac:dyDescent="0.25">
      <c r="A122" s="25" t="s">
        <v>718</v>
      </c>
      <c r="B122" s="77">
        <v>45856</v>
      </c>
    </row>
    <row r="123" spans="1:2" x14ac:dyDescent="0.25">
      <c r="A123" s="25" t="s">
        <v>719</v>
      </c>
      <c r="B123" s="77">
        <v>45841</v>
      </c>
    </row>
    <row r="124" spans="1:2" x14ac:dyDescent="0.25">
      <c r="A124" s="25" t="s">
        <v>720</v>
      </c>
      <c r="B124" s="77">
        <v>45841</v>
      </c>
    </row>
    <row r="125" spans="1:2" x14ac:dyDescent="0.25">
      <c r="A125" s="25" t="s">
        <v>721</v>
      </c>
      <c r="B125" s="77">
        <v>45841</v>
      </c>
    </row>
    <row r="126" spans="1:2" x14ac:dyDescent="0.25">
      <c r="A126" s="25" t="s">
        <v>722</v>
      </c>
      <c r="B126" s="77">
        <v>45841</v>
      </c>
    </row>
    <row r="127" spans="1:2" x14ac:dyDescent="0.25">
      <c r="A127" s="25" t="s">
        <v>723</v>
      </c>
      <c r="B127" s="77">
        <v>45841</v>
      </c>
    </row>
    <row r="128" spans="1:2" x14ac:dyDescent="0.25">
      <c r="A128" s="25" t="s">
        <v>724</v>
      </c>
      <c r="B128" s="77">
        <v>45841</v>
      </c>
    </row>
    <row r="129" spans="1:2" x14ac:dyDescent="0.25">
      <c r="A129" s="25" t="s">
        <v>725</v>
      </c>
      <c r="B129" s="77">
        <v>45841</v>
      </c>
    </row>
    <row r="130" spans="1:2" x14ac:dyDescent="0.25">
      <c r="A130" s="25" t="s">
        <v>726</v>
      </c>
      <c r="B130" s="77">
        <v>45844</v>
      </c>
    </row>
    <row r="131" spans="1:2" x14ac:dyDescent="0.25">
      <c r="A131" s="25" t="s">
        <v>727</v>
      </c>
      <c r="B131" s="77">
        <v>45844</v>
      </c>
    </row>
    <row r="132" spans="1:2" x14ac:dyDescent="0.25">
      <c r="A132" s="25" t="s">
        <v>728</v>
      </c>
      <c r="B132" s="77">
        <v>45844</v>
      </c>
    </row>
    <row r="133" spans="1:2" x14ac:dyDescent="0.25">
      <c r="A133" s="25" t="s">
        <v>729</v>
      </c>
      <c r="B133" s="77">
        <v>45844</v>
      </c>
    </row>
    <row r="134" spans="1:2" x14ac:dyDescent="0.25">
      <c r="A134" s="25" t="s">
        <v>730</v>
      </c>
      <c r="B134" s="77">
        <v>45844</v>
      </c>
    </row>
    <row r="135" spans="1:2" x14ac:dyDescent="0.25">
      <c r="A135" s="25" t="s">
        <v>731</v>
      </c>
      <c r="B135" s="77">
        <v>45844</v>
      </c>
    </row>
    <row r="136" spans="1:2" x14ac:dyDescent="0.25">
      <c r="A136" s="25" t="s">
        <v>732</v>
      </c>
      <c r="B136" s="77">
        <v>45844</v>
      </c>
    </row>
    <row r="137" spans="1:2" x14ac:dyDescent="0.25">
      <c r="A137" s="25" t="s">
        <v>733</v>
      </c>
      <c r="B137" s="77">
        <v>45848</v>
      </c>
    </row>
    <row r="138" spans="1:2" x14ac:dyDescent="0.25">
      <c r="A138" s="25" t="s">
        <v>734</v>
      </c>
      <c r="B138" s="77">
        <v>45848</v>
      </c>
    </row>
    <row r="139" spans="1:2" x14ac:dyDescent="0.25">
      <c r="A139" s="25" t="s">
        <v>735</v>
      </c>
      <c r="B139" s="77">
        <v>45848</v>
      </c>
    </row>
    <row r="140" spans="1:2" x14ac:dyDescent="0.25">
      <c r="A140" s="25" t="s">
        <v>736</v>
      </c>
      <c r="B140" s="77">
        <v>45848</v>
      </c>
    </row>
    <row r="141" spans="1:2" x14ac:dyDescent="0.25">
      <c r="A141" s="25" t="s">
        <v>737</v>
      </c>
      <c r="B141" s="77">
        <v>45848</v>
      </c>
    </row>
    <row r="142" spans="1:2" x14ac:dyDescent="0.25">
      <c r="A142" s="25" t="s">
        <v>738</v>
      </c>
      <c r="B142" s="77">
        <v>45835</v>
      </c>
    </row>
    <row r="143" spans="1:2" x14ac:dyDescent="0.25">
      <c r="A143" s="25" t="s">
        <v>739</v>
      </c>
      <c r="B143" s="77">
        <v>45835</v>
      </c>
    </row>
    <row r="144" spans="1:2" x14ac:dyDescent="0.25">
      <c r="A144" s="25" t="s">
        <v>740</v>
      </c>
      <c r="B144" s="77">
        <v>45835</v>
      </c>
    </row>
    <row r="145" spans="1:2" x14ac:dyDescent="0.25">
      <c r="A145" s="25" t="s">
        <v>741</v>
      </c>
      <c r="B145" s="77">
        <v>45835</v>
      </c>
    </row>
    <row r="146" spans="1:2" x14ac:dyDescent="0.25">
      <c r="A146" s="25" t="s">
        <v>742</v>
      </c>
      <c r="B146" s="77">
        <v>45835</v>
      </c>
    </row>
    <row r="147" spans="1:2" x14ac:dyDescent="0.25">
      <c r="A147" s="25" t="s">
        <v>743</v>
      </c>
      <c r="B147" s="77">
        <v>45835</v>
      </c>
    </row>
    <row r="148" spans="1:2" x14ac:dyDescent="0.25">
      <c r="A148" s="25" t="s">
        <v>744</v>
      </c>
      <c r="B148" s="77">
        <v>45835</v>
      </c>
    </row>
    <row r="149" spans="1:2" x14ac:dyDescent="0.25">
      <c r="A149" s="25" t="s">
        <v>745</v>
      </c>
      <c r="B149" s="77">
        <v>45835</v>
      </c>
    </row>
    <row r="150" spans="1:2" x14ac:dyDescent="0.25">
      <c r="A150" s="25" t="s">
        <v>746</v>
      </c>
      <c r="B150" s="77">
        <v>45835</v>
      </c>
    </row>
    <row r="151" spans="1:2" x14ac:dyDescent="0.25">
      <c r="A151" s="25" t="s">
        <v>747</v>
      </c>
      <c r="B151" s="77">
        <v>45835</v>
      </c>
    </row>
    <row r="152" spans="1:2" x14ac:dyDescent="0.25">
      <c r="A152" s="25" t="s">
        <v>748</v>
      </c>
      <c r="B152" s="77">
        <v>45835</v>
      </c>
    </row>
    <row r="153" spans="1:2" x14ac:dyDescent="0.25">
      <c r="A153" s="25" t="s">
        <v>749</v>
      </c>
      <c r="B153" s="77">
        <v>45835</v>
      </c>
    </row>
    <row r="154" spans="1:2" x14ac:dyDescent="0.25">
      <c r="A154" s="25" t="s">
        <v>750</v>
      </c>
      <c r="B154" s="77">
        <v>45835</v>
      </c>
    </row>
    <row r="155" spans="1:2" x14ac:dyDescent="0.25">
      <c r="A155" s="25" t="s">
        <v>751</v>
      </c>
      <c r="B155" s="77">
        <v>45835</v>
      </c>
    </row>
    <row r="156" spans="1:2" x14ac:dyDescent="0.25">
      <c r="A156" s="25" t="s">
        <v>752</v>
      </c>
      <c r="B156" s="77">
        <v>45835</v>
      </c>
    </row>
    <row r="157" spans="1:2" x14ac:dyDescent="0.25">
      <c r="A157" s="25" t="s">
        <v>753</v>
      </c>
      <c r="B157" s="77">
        <v>45835</v>
      </c>
    </row>
    <row r="158" spans="1:2" x14ac:dyDescent="0.25">
      <c r="A158" s="25" t="s">
        <v>754</v>
      </c>
      <c r="B158" s="77">
        <v>45835</v>
      </c>
    </row>
    <row r="159" spans="1:2" x14ac:dyDescent="0.25">
      <c r="A159" s="25" t="s">
        <v>755</v>
      </c>
      <c r="B159" s="77"/>
    </row>
    <row r="160" spans="1:2" x14ac:dyDescent="0.25">
      <c r="A160" s="25" t="s">
        <v>756</v>
      </c>
      <c r="B160" s="77"/>
    </row>
    <row r="161" spans="1:2" x14ac:dyDescent="0.25">
      <c r="A161" s="25" t="s">
        <v>757</v>
      </c>
      <c r="B161" s="77">
        <v>45904</v>
      </c>
    </row>
    <row r="162" spans="1:2" x14ac:dyDescent="0.25">
      <c r="A162" s="25" t="s">
        <v>758</v>
      </c>
      <c r="B162" s="77">
        <v>45904</v>
      </c>
    </row>
    <row r="163" spans="1:2" x14ac:dyDescent="0.25">
      <c r="A163" s="25" t="s">
        <v>759</v>
      </c>
      <c r="B163" s="77">
        <v>45904</v>
      </c>
    </row>
    <row r="164" spans="1:2" x14ac:dyDescent="0.25">
      <c r="A164" s="25" t="s">
        <v>760</v>
      </c>
      <c r="B164" s="77">
        <v>45904</v>
      </c>
    </row>
    <row r="165" spans="1:2" x14ac:dyDescent="0.25">
      <c r="A165" s="25" t="s">
        <v>761</v>
      </c>
      <c r="B165" s="77">
        <v>45904</v>
      </c>
    </row>
    <row r="166" spans="1:2" x14ac:dyDescent="0.25">
      <c r="A166" s="25" t="s">
        <v>762</v>
      </c>
      <c r="B166" s="77">
        <v>45904</v>
      </c>
    </row>
    <row r="167" spans="1:2" x14ac:dyDescent="0.25">
      <c r="A167" s="25" t="s">
        <v>763</v>
      </c>
      <c r="B167" s="77">
        <v>45904</v>
      </c>
    </row>
    <row r="168" spans="1:2" x14ac:dyDescent="0.25">
      <c r="A168" s="25" t="s">
        <v>764</v>
      </c>
      <c r="B168" s="77">
        <v>45904</v>
      </c>
    </row>
    <row r="169" spans="1:2" x14ac:dyDescent="0.25">
      <c r="A169" s="25" t="s">
        <v>765</v>
      </c>
      <c r="B169" s="77">
        <v>45904</v>
      </c>
    </row>
    <row r="170" spans="1:2" x14ac:dyDescent="0.25">
      <c r="A170" s="25" t="s">
        <v>766</v>
      </c>
      <c r="B170" s="77">
        <v>45904</v>
      </c>
    </row>
    <row r="171" spans="1:2" x14ac:dyDescent="0.25">
      <c r="A171" s="25" t="s">
        <v>767</v>
      </c>
      <c r="B171" s="77">
        <v>45871</v>
      </c>
    </row>
    <row r="172" spans="1:2" x14ac:dyDescent="0.25">
      <c r="A172" s="25" t="s">
        <v>768</v>
      </c>
      <c r="B172" s="77">
        <v>45871</v>
      </c>
    </row>
    <row r="173" spans="1:2" x14ac:dyDescent="0.25">
      <c r="A173" s="25" t="s">
        <v>769</v>
      </c>
      <c r="B173" s="77">
        <v>45871</v>
      </c>
    </row>
    <row r="174" spans="1:2" x14ac:dyDescent="0.25">
      <c r="A174" s="25" t="s">
        <v>770</v>
      </c>
      <c r="B174" s="77">
        <v>45871</v>
      </c>
    </row>
    <row r="175" spans="1:2" x14ac:dyDescent="0.25">
      <c r="A175" s="25" t="s">
        <v>771</v>
      </c>
      <c r="B175" s="77">
        <v>45871</v>
      </c>
    </row>
    <row r="176" spans="1:2" x14ac:dyDescent="0.25">
      <c r="A176" s="25" t="s">
        <v>772</v>
      </c>
      <c r="B176" s="77">
        <v>45871</v>
      </c>
    </row>
    <row r="177" spans="1:2" x14ac:dyDescent="0.25">
      <c r="A177" s="25" t="s">
        <v>773</v>
      </c>
      <c r="B177" s="77">
        <v>45871</v>
      </c>
    </row>
    <row r="178" spans="1:2" x14ac:dyDescent="0.25">
      <c r="A178" s="25" t="s">
        <v>774</v>
      </c>
      <c r="B178" s="77">
        <v>45871</v>
      </c>
    </row>
    <row r="179" spans="1:2" x14ac:dyDescent="0.25">
      <c r="A179" s="25" t="s">
        <v>775</v>
      </c>
      <c r="B179" s="77">
        <v>45871</v>
      </c>
    </row>
    <row r="180" spans="1:2" x14ac:dyDescent="0.25">
      <c r="A180" s="25" t="s">
        <v>776</v>
      </c>
      <c r="B180" s="77">
        <v>45871</v>
      </c>
    </row>
    <row r="181" spans="1:2" x14ac:dyDescent="0.25">
      <c r="A181" s="25" t="s">
        <v>777</v>
      </c>
      <c r="B181" s="77">
        <v>45484</v>
      </c>
    </row>
    <row r="182" spans="1:2" x14ac:dyDescent="0.25">
      <c r="A182" s="25" t="s">
        <v>778</v>
      </c>
      <c r="B182" s="77">
        <v>45484</v>
      </c>
    </row>
    <row r="183" spans="1:2" x14ac:dyDescent="0.25">
      <c r="A183" s="25" t="s">
        <v>779</v>
      </c>
      <c r="B183" s="77">
        <v>45484</v>
      </c>
    </row>
    <row r="184" spans="1:2" x14ac:dyDescent="0.25">
      <c r="A184" s="25" t="s">
        <v>780</v>
      </c>
      <c r="B184" s="77">
        <v>45511</v>
      </c>
    </row>
    <row r="185" spans="1:2" x14ac:dyDescent="0.25">
      <c r="A185" s="25" t="s">
        <v>781</v>
      </c>
      <c r="B185" s="77">
        <v>45511</v>
      </c>
    </row>
    <row r="186" spans="1:2" x14ac:dyDescent="0.25">
      <c r="A186" s="25" t="s">
        <v>782</v>
      </c>
      <c r="B186" s="77">
        <v>45511</v>
      </c>
    </row>
    <row r="187" spans="1:2" x14ac:dyDescent="0.25">
      <c r="A187" s="25" t="s">
        <v>783</v>
      </c>
      <c r="B187" s="77">
        <v>45511</v>
      </c>
    </row>
    <row r="188" spans="1:2" x14ac:dyDescent="0.25">
      <c r="A188" s="25" t="s">
        <v>784</v>
      </c>
      <c r="B188" s="77">
        <v>45511</v>
      </c>
    </row>
    <row r="189" spans="1:2" x14ac:dyDescent="0.25">
      <c r="A189" s="25" t="s">
        <v>785</v>
      </c>
      <c r="B189" s="77">
        <v>45511</v>
      </c>
    </row>
    <row r="190" spans="1:2" x14ac:dyDescent="0.25">
      <c r="A190" s="25" t="s">
        <v>786</v>
      </c>
      <c r="B190" s="77">
        <v>45511</v>
      </c>
    </row>
    <row r="191" spans="1:2" x14ac:dyDescent="0.25">
      <c r="A191" s="25" t="s">
        <v>787</v>
      </c>
      <c r="B191" s="77">
        <v>45798</v>
      </c>
    </row>
    <row r="192" spans="1:2" x14ac:dyDescent="0.25">
      <c r="A192" s="25" t="s">
        <v>788</v>
      </c>
      <c r="B192" s="77">
        <v>45798</v>
      </c>
    </row>
    <row r="193" spans="1:2" x14ac:dyDescent="0.25">
      <c r="A193" s="25" t="s">
        <v>789</v>
      </c>
      <c r="B193" s="77">
        <v>45798</v>
      </c>
    </row>
    <row r="194" spans="1:2" x14ac:dyDescent="0.25">
      <c r="A194" s="25" t="s">
        <v>790</v>
      </c>
      <c r="B194" s="77">
        <v>45798</v>
      </c>
    </row>
    <row r="195" spans="1:2" x14ac:dyDescent="0.25">
      <c r="A195" s="25" t="s">
        <v>791</v>
      </c>
      <c r="B195" s="77">
        <v>45798</v>
      </c>
    </row>
    <row r="196" spans="1:2" x14ac:dyDescent="0.25">
      <c r="A196" s="25" t="s">
        <v>792</v>
      </c>
      <c r="B196" s="77">
        <v>45798</v>
      </c>
    </row>
    <row r="197" spans="1:2" x14ac:dyDescent="0.25">
      <c r="A197" s="25" t="s">
        <v>793</v>
      </c>
      <c r="B197" s="77">
        <v>45798</v>
      </c>
    </row>
    <row r="198" spans="1:2" x14ac:dyDescent="0.25">
      <c r="A198" s="25" t="s">
        <v>794</v>
      </c>
      <c r="B198" s="77">
        <v>45800</v>
      </c>
    </row>
    <row r="199" spans="1:2" x14ac:dyDescent="0.25">
      <c r="A199" s="25" t="s">
        <v>795</v>
      </c>
      <c r="B199" s="77">
        <v>45800</v>
      </c>
    </row>
    <row r="200" spans="1:2" x14ac:dyDescent="0.25">
      <c r="A200" s="25" t="s">
        <v>796</v>
      </c>
      <c r="B200" s="77">
        <v>45800</v>
      </c>
    </row>
    <row r="201" spans="1:2" x14ac:dyDescent="0.25">
      <c r="A201" s="25" t="s">
        <v>797</v>
      </c>
      <c r="B201" s="77">
        <v>45800</v>
      </c>
    </row>
    <row r="202" spans="1:2" x14ac:dyDescent="0.25">
      <c r="A202" s="25" t="s">
        <v>798</v>
      </c>
      <c r="B202" s="77">
        <v>45800</v>
      </c>
    </row>
    <row r="203" spans="1:2" x14ac:dyDescent="0.25">
      <c r="A203" s="25" t="s">
        <v>799</v>
      </c>
      <c r="B203" s="77">
        <v>45800</v>
      </c>
    </row>
    <row r="204" spans="1:2" x14ac:dyDescent="0.25">
      <c r="A204" s="25" t="s">
        <v>800</v>
      </c>
      <c r="B204" s="77">
        <v>45800</v>
      </c>
    </row>
    <row r="205" spans="1:2" x14ac:dyDescent="0.25">
      <c r="A205" s="25" t="s">
        <v>801</v>
      </c>
      <c r="B205" s="77">
        <v>45796</v>
      </c>
    </row>
    <row r="206" spans="1:2" x14ac:dyDescent="0.25">
      <c r="A206" s="25" t="s">
        <v>802</v>
      </c>
      <c r="B206" s="77">
        <v>45796</v>
      </c>
    </row>
    <row r="207" spans="1:2" x14ac:dyDescent="0.25">
      <c r="A207" s="25" t="s">
        <v>803</v>
      </c>
      <c r="B207" s="77">
        <v>45792</v>
      </c>
    </row>
    <row r="208" spans="1:2" x14ac:dyDescent="0.25">
      <c r="A208" s="25" t="s">
        <v>804</v>
      </c>
      <c r="B208" s="77">
        <v>45792</v>
      </c>
    </row>
    <row r="209" spans="1:2" x14ac:dyDescent="0.25">
      <c r="A209" s="25" t="s">
        <v>805</v>
      </c>
      <c r="B209" s="77">
        <v>45792</v>
      </c>
    </row>
    <row r="210" spans="1:2" x14ac:dyDescent="0.25">
      <c r="A210" s="25" t="s">
        <v>806</v>
      </c>
      <c r="B210" s="77">
        <v>45792</v>
      </c>
    </row>
    <row r="211" spans="1:2" x14ac:dyDescent="0.25">
      <c r="A211" s="25" t="s">
        <v>807</v>
      </c>
      <c r="B211" s="77">
        <v>45883</v>
      </c>
    </row>
    <row r="212" spans="1:2" x14ac:dyDescent="0.25">
      <c r="A212" s="25" t="s">
        <v>808</v>
      </c>
      <c r="B212" s="77">
        <v>45862</v>
      </c>
    </row>
    <row r="213" spans="1:2" x14ac:dyDescent="0.25">
      <c r="A213" s="25" t="s">
        <v>809</v>
      </c>
      <c r="B213" s="77">
        <v>45862</v>
      </c>
    </row>
    <row r="214" spans="1:2" x14ac:dyDescent="0.25">
      <c r="A214" s="25" t="s">
        <v>810</v>
      </c>
      <c r="B214" s="77">
        <v>45862</v>
      </c>
    </row>
    <row r="215" spans="1:2" x14ac:dyDescent="0.25">
      <c r="A215" s="25" t="s">
        <v>811</v>
      </c>
      <c r="B215" s="77">
        <v>45864</v>
      </c>
    </row>
    <row r="216" spans="1:2" x14ac:dyDescent="0.25">
      <c r="A216" s="25" t="s">
        <v>812</v>
      </c>
      <c r="B216" s="77">
        <v>45864</v>
      </c>
    </row>
    <row r="217" spans="1:2" x14ac:dyDescent="0.25">
      <c r="A217" s="25" t="s">
        <v>813</v>
      </c>
      <c r="B217" s="77">
        <v>45864</v>
      </c>
    </row>
    <row r="218" spans="1:2" x14ac:dyDescent="0.25">
      <c r="A218" s="25" t="s">
        <v>814</v>
      </c>
      <c r="B218" s="77">
        <v>45864</v>
      </c>
    </row>
    <row r="219" spans="1:2" x14ac:dyDescent="0.25">
      <c r="A219" s="25" t="s">
        <v>815</v>
      </c>
      <c r="B219" s="77">
        <v>45864</v>
      </c>
    </row>
    <row r="220" spans="1:2" x14ac:dyDescent="0.25">
      <c r="A220" s="25" t="s">
        <v>816</v>
      </c>
      <c r="B220" s="77">
        <v>45864</v>
      </c>
    </row>
    <row r="221" spans="1:2" x14ac:dyDescent="0.25">
      <c r="A221" s="25" t="s">
        <v>817</v>
      </c>
      <c r="B221" s="77">
        <v>45748</v>
      </c>
    </row>
    <row r="222" spans="1:2" x14ac:dyDescent="0.25">
      <c r="A222" s="25" t="s">
        <v>818</v>
      </c>
      <c r="B222" s="77">
        <v>45748</v>
      </c>
    </row>
    <row r="223" spans="1:2" x14ac:dyDescent="0.25">
      <c r="A223" s="25" t="s">
        <v>819</v>
      </c>
      <c r="B223" s="77">
        <v>45748</v>
      </c>
    </row>
    <row r="224" spans="1:2" x14ac:dyDescent="0.25">
      <c r="A224" s="25" t="s">
        <v>820</v>
      </c>
      <c r="B224" s="77">
        <v>45772</v>
      </c>
    </row>
    <row r="225" spans="1:2" x14ac:dyDescent="0.25">
      <c r="A225" s="25" t="s">
        <v>821</v>
      </c>
      <c r="B225" s="77">
        <v>45772</v>
      </c>
    </row>
    <row r="226" spans="1:2" x14ac:dyDescent="0.25">
      <c r="A226" s="25" t="s">
        <v>822</v>
      </c>
      <c r="B226" s="77">
        <v>45772</v>
      </c>
    </row>
    <row r="227" spans="1:2" x14ac:dyDescent="0.25">
      <c r="A227" s="25" t="s">
        <v>823</v>
      </c>
      <c r="B227" s="77">
        <v>45772</v>
      </c>
    </row>
    <row r="228" spans="1:2" x14ac:dyDescent="0.25">
      <c r="A228" s="25" t="s">
        <v>824</v>
      </c>
      <c r="B228" s="77">
        <v>45772</v>
      </c>
    </row>
    <row r="229" spans="1:2" x14ac:dyDescent="0.25">
      <c r="A229" s="25" t="s">
        <v>825</v>
      </c>
      <c r="B229" s="77">
        <v>45772</v>
      </c>
    </row>
    <row r="230" spans="1:2" x14ac:dyDescent="0.25">
      <c r="A230" s="25" t="s">
        <v>826</v>
      </c>
      <c r="B230" s="25"/>
    </row>
    <row r="231" spans="1:2" x14ac:dyDescent="0.25">
      <c r="A231" s="25" t="s">
        <v>827</v>
      </c>
      <c r="B231" s="25"/>
    </row>
  </sheetData>
  <phoneticPr fontId="12" type="noConversion"/>
  <conditionalFormatting sqref="B2:B229">
    <cfRule type="expression" dxfId="0" priority="1">
      <formula>$J2&gt;0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Plan Maps. AUG</vt:lpstr>
      <vt:lpstr>Tanam Kangkung- 7 Bedeng</vt:lpstr>
      <vt:lpstr>dash</vt:lpstr>
      <vt:lpstr>sales</vt:lpstr>
      <vt:lpstr>bojongsari</vt:lpstr>
      <vt:lpstr>bojongsari_dt</vt:lpstr>
      <vt:lpstr>'Plan Maps. AUG'!Print_Area</vt:lpstr>
      <vt:lpstr>'Tanam Kangkung- 7 Bedeng'!Print_Area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2026-01-22T03:50:35Z</dcterms:modified>
</cp:coreProperties>
</file>