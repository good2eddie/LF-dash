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0A713A88-E622-4296-92C2-07AB645E1BAF}" xr6:coauthVersionLast="47" xr6:coauthVersionMax="47" xr10:uidLastSave="{00000000-0000-0000-0000-000000000000}"/>
  <bookViews>
    <workbookView xWindow="-120" yWindow="-120" windowWidth="29040" windowHeight="15720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dash!$A$2:$N$334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9" i="3" l="1"/>
  <c r="G369" i="3"/>
  <c r="F369" i="3"/>
  <c r="E369" i="3"/>
  <c r="D369" i="3"/>
  <c r="C369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73" i="3"/>
  <c r="G373" i="3"/>
  <c r="F373" i="3"/>
  <c r="E373" i="3"/>
  <c r="D373" i="3"/>
  <c r="C373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<sst xmlns="http://schemas.openxmlformats.org/spreadsheetml/2006/main" count="6017" uniqueCount="1145">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</sst>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90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46014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27</v>
      </c>
      <c r="R6" s="25">
        <f t="shared" ca="1" si="1"/>
        <v>27</v>
      </c>
      <c r="S6" s="25">
        <f t="shared" ca="1" si="1"/>
        <v>27</v>
      </c>
      <c r="T6" s="25">
        <f t="shared" ca="1" si="1"/>
        <v>27</v>
      </c>
      <c r="U6" s="25">
        <f t="shared" ca="1" si="1"/>
        <v>28</v>
      </c>
      <c r="V6" s="25">
        <f ca="1">IF(V7="","",$B$1-V7)</f>
        <v>28</v>
      </c>
      <c r="W6" s="25">
        <f ca="1">IF(W7="","",$B$1-W7)</f>
        <v>28</v>
      </c>
      <c r="X6" s="25">
        <f ca="1">IF(X7="","",$B$1-X7)</f>
        <v>28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32</v>
      </c>
      <c r="D10" s="25">
        <f t="shared" ca="1" si="2"/>
        <v>32</v>
      </c>
      <c r="E10" s="25">
        <f t="shared" ca="1" si="2"/>
        <v>32</v>
      </c>
      <c r="F10" s="25">
        <f t="shared" ca="1" si="2"/>
        <v>32</v>
      </c>
      <c r="G10" s="25">
        <f t="shared" ca="1" si="2"/>
        <v>32</v>
      </c>
      <c r="H10" s="25">
        <f t="shared" ca="1" si="2"/>
        <v>32</v>
      </c>
      <c r="J10" s="25">
        <f t="shared" ref="J10:P10" ca="1" si="3">IF(J11="","",$B$1-J11)</f>
        <v>32</v>
      </c>
      <c r="K10" s="25">
        <f t="shared" ca="1" si="3"/>
        <v>30</v>
      </c>
      <c r="L10" s="25">
        <f t="shared" ca="1" si="3"/>
        <v>30</v>
      </c>
      <c r="M10" s="25">
        <f t="shared" ca="1" si="3"/>
        <v>30</v>
      </c>
      <c r="N10" s="25">
        <f t="shared" ca="1" si="3"/>
        <v>30</v>
      </c>
      <c r="O10" s="25">
        <f t="shared" ca="1" si="3"/>
        <v>30</v>
      </c>
      <c r="P10" s="25">
        <f t="shared" ca="1" si="3"/>
        <v>30</v>
      </c>
      <c r="R10" s="25">
        <f t="shared" ref="R10:W10" ca="1" si="4">IF(R11="","",$B$1-R11)</f>
        <v>30</v>
      </c>
      <c r="S10" s="25">
        <f t="shared" ca="1" si="4"/>
        <v>29</v>
      </c>
      <c r="T10" s="25">
        <f t="shared" ca="1" si="4"/>
        <v>29</v>
      </c>
      <c r="U10" s="25">
        <f t="shared" ca="1" si="4"/>
        <v>28</v>
      </c>
      <c r="V10" s="25">
        <f t="shared" ca="1" si="4"/>
        <v>28</v>
      </c>
      <c r="W10" s="25">
        <f t="shared" ca="1" si="4"/>
        <v>28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33</v>
      </c>
      <c r="D14" s="25">
        <f t="shared" ca="1" si="5"/>
        <v>33</v>
      </c>
      <c r="E14" s="25">
        <f t="shared" ca="1" si="5"/>
        <v>33</v>
      </c>
      <c r="F14" s="25">
        <f t="shared" ca="1" si="5"/>
        <v>33</v>
      </c>
      <c r="G14" s="25">
        <f t="shared" ca="1" si="5"/>
        <v>33</v>
      </c>
      <c r="H14" s="25">
        <f t="shared" ca="1" si="5"/>
        <v>33</v>
      </c>
      <c r="J14" s="25">
        <f t="shared" ref="J14:P14" ca="1" si="6">IF(J15="","",$B$1-J15)</f>
        <v>33</v>
      </c>
      <c r="K14" s="25">
        <f t="shared" ca="1" si="6"/>
        <v>31</v>
      </c>
      <c r="L14" s="25">
        <f t="shared" ca="1" si="6"/>
        <v>31</v>
      </c>
      <c r="M14" s="25">
        <f t="shared" ca="1" si="6"/>
        <v>31</v>
      </c>
      <c r="N14" s="25">
        <f t="shared" ca="1" si="6"/>
        <v>31</v>
      </c>
      <c r="O14" s="25">
        <f t="shared" ca="1" si="6"/>
        <v>31</v>
      </c>
      <c r="P14" s="25">
        <f t="shared" ca="1" si="6"/>
        <v>31</v>
      </c>
      <c r="R14" s="25">
        <f t="shared" ref="R14:W14" ca="1" si="7">IF(R15="","",$B$1-R15)</f>
        <v>31</v>
      </c>
      <c r="S14" s="25">
        <f t="shared" ca="1" si="7"/>
        <v>29</v>
      </c>
      <c r="T14" s="25">
        <f t="shared" ca="1" si="7"/>
        <v>29</v>
      </c>
      <c r="U14" s="25">
        <f t="shared" ca="1" si="7"/>
        <v>29</v>
      </c>
      <c r="V14" s="25">
        <f t="shared" ca="1" si="7"/>
        <v>29</v>
      </c>
      <c r="W14" s="25">
        <f t="shared" ca="1" si="7"/>
        <v>29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46</v>
      </c>
      <c r="K20" s="25">
        <f ca="1">IF(K21="","",$B$1-K21)</f>
        <v>46</v>
      </c>
      <c r="X20" s="25"/>
      <c r="AF20" s="25"/>
      <c r="AG20" s="25"/>
      <c r="AH20" s="25">
        <f ca="1">IF(AH21="","",$B$1-AH21)</f>
        <v>46</v>
      </c>
      <c r="AI20" s="25">
        <f ca="1">IF(AI21="","",$B$1-AI21)</f>
        <v>46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49</v>
      </c>
      <c r="G24" s="25">
        <f t="shared" ca="1" si="8"/>
        <v>49</v>
      </c>
      <c r="H24" s="25">
        <f t="shared" ca="1" si="8"/>
        <v>49</v>
      </c>
      <c r="J24" s="25">
        <f ca="1">IF(J25="","",$B$1-J25)</f>
        <v>49</v>
      </c>
      <c r="K24" s="25">
        <f t="shared" ref="K24:AI24" ca="1" si="9">IF(K25="","",$B$1-K25)</f>
        <v>22</v>
      </c>
      <c r="L24" s="25">
        <f t="shared" ca="1" si="9"/>
        <v>22</v>
      </c>
      <c r="M24" s="25">
        <f t="shared" ca="1" si="9"/>
        <v>22</v>
      </c>
      <c r="N24" s="25">
        <f t="shared" ca="1" si="9"/>
        <v>23</v>
      </c>
      <c r="O24" s="25">
        <f t="shared" ca="1" si="9"/>
        <v>23</v>
      </c>
      <c r="P24" s="25">
        <f t="shared" ca="1" si="9"/>
        <v>23</v>
      </c>
      <c r="R24" s="25">
        <f t="shared" ca="1" si="9"/>
        <v>23</v>
      </c>
      <c r="S24" s="25">
        <f t="shared" ca="1" si="9"/>
        <v>20</v>
      </c>
      <c r="T24" s="25">
        <f t="shared" ca="1" si="9"/>
        <v>20</v>
      </c>
      <c r="U24" s="25">
        <f t="shared" ca="1" si="9"/>
        <v>20</v>
      </c>
      <c r="V24" s="25">
        <f t="shared" ca="1" si="9"/>
        <v>20</v>
      </c>
      <c r="W24" s="25">
        <f t="shared" ca="1" si="9"/>
        <v>20</v>
      </c>
      <c r="X24" s="25">
        <f t="shared" ca="1" si="9"/>
        <v>20</v>
      </c>
      <c r="Z24" s="25">
        <f t="shared" ca="1" si="9"/>
        <v>50</v>
      </c>
      <c r="AA24" s="25">
        <f t="shared" ca="1" si="9"/>
        <v>47</v>
      </c>
      <c r="AB24" s="25">
        <f t="shared" ca="1" si="9"/>
        <v>47</v>
      </c>
      <c r="AC24" s="25">
        <f t="shared" ca="1" si="9"/>
        <v>47</v>
      </c>
      <c r="AD24" s="25">
        <f t="shared" ca="1" si="9"/>
        <v>47</v>
      </c>
      <c r="AE24" s="25">
        <f t="shared" ca="1" si="9"/>
        <v>47</v>
      </c>
      <c r="AF24" s="25">
        <f t="shared" ca="1" si="9"/>
        <v>47</v>
      </c>
      <c r="AG24" s="25">
        <f t="shared" ca="1" si="9"/>
        <v>47</v>
      </c>
      <c r="AH24" s="25">
        <f t="shared" ca="1" si="9"/>
        <v>46</v>
      </c>
      <c r="AI24" s="25">
        <f t="shared" ca="1" si="9"/>
        <v>46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34</v>
      </c>
      <c r="D28" s="25">
        <f t="shared" ca="1" si="10"/>
        <v>34</v>
      </c>
      <c r="E28" s="25">
        <f t="shared" ca="1" si="10"/>
        <v>34</v>
      </c>
      <c r="F28" s="25">
        <f t="shared" ca="1" si="10"/>
        <v>34</v>
      </c>
      <c r="G28" s="25">
        <f t="shared" ca="1" si="10"/>
        <v>34</v>
      </c>
      <c r="H28" s="25">
        <f t="shared" ca="1" si="10"/>
        <v>34</v>
      </c>
      <c r="J28" s="25">
        <f ca="1">IF(J29="","",$B$1-J29)</f>
        <v>34</v>
      </c>
      <c r="K28" s="25">
        <f t="shared" ref="K28:P28" ca="1" si="11">IF(K29="","",$B$1-K29)</f>
        <v>27</v>
      </c>
      <c r="L28" s="25">
        <f t="shared" ca="1" si="11"/>
        <v>27</v>
      </c>
      <c r="M28" s="25">
        <f t="shared" ca="1" si="11"/>
        <v>27</v>
      </c>
      <c r="N28" s="25">
        <f t="shared" ca="1" si="11"/>
        <v>27</v>
      </c>
      <c r="O28" s="25">
        <f t="shared" ca="1" si="11"/>
        <v>26</v>
      </c>
      <c r="P28" s="25">
        <f t="shared" ca="1" si="11"/>
        <v>26</v>
      </c>
      <c r="R28" s="25">
        <f t="shared" ref="R28:X28" ca="1" si="12">IF(R29="","",$B$1-R29)</f>
        <v>26</v>
      </c>
      <c r="S28" s="25">
        <f ca="1">IF(S29="","",$B$1-S29)</f>
        <v>22</v>
      </c>
      <c r="T28" s="25">
        <f ca="1">IF(T29="","",$B$1-T29)</f>
        <v>22</v>
      </c>
      <c r="U28" s="25">
        <f ca="1">IF(U29="","",$B$1-U29)</f>
        <v>22</v>
      </c>
      <c r="V28" s="25">
        <f ca="1">IF(V29="","",$B$1-V29)</f>
        <v>22</v>
      </c>
      <c r="W28" s="25">
        <f t="shared" ca="1" si="12"/>
        <v>20</v>
      </c>
      <c r="X28" s="25">
        <f t="shared" ca="1" si="12"/>
        <v>20</v>
      </c>
      <c r="Z28" s="25">
        <f t="shared" ref="Z28:AI28" ca="1" si="13">IF(Z29="","",$B$1-Z29)</f>
        <v>20</v>
      </c>
      <c r="AA28" s="25">
        <f t="shared" ca="1" si="13"/>
        <v>48</v>
      </c>
      <c r="AB28" s="25">
        <f t="shared" ca="1" si="13"/>
        <v>48</v>
      </c>
      <c r="AC28" s="25">
        <f t="shared" ca="1" si="13"/>
        <v>48</v>
      </c>
      <c r="AD28" s="25">
        <f t="shared" ca="1" si="13"/>
        <v>48</v>
      </c>
      <c r="AE28" s="25">
        <f t="shared" ca="1" si="13"/>
        <v>48</v>
      </c>
      <c r="AF28" s="25">
        <f t="shared" ca="1" si="13"/>
        <v>48</v>
      </c>
      <c r="AG28" s="25">
        <f t="shared" ca="1" si="13"/>
        <v>48</v>
      </c>
      <c r="AH28" s="25">
        <f t="shared" ca="1" si="13"/>
        <v>46</v>
      </c>
      <c r="AI28" s="25">
        <f t="shared" ca="1" si="13"/>
        <v>46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42</v>
      </c>
      <c r="D41" s="25">
        <f t="shared" ca="1" si="14"/>
        <v>42</v>
      </c>
      <c r="E41" s="25">
        <f t="shared" ca="1" si="14"/>
        <v>42</v>
      </c>
      <c r="F41" s="25">
        <f t="shared" ca="1" si="14"/>
        <v>42</v>
      </c>
      <c r="G41" s="25">
        <f t="shared" ca="1" si="14"/>
        <v>41</v>
      </c>
      <c r="H41" s="25">
        <f t="shared" ca="1" si="14"/>
        <v>41</v>
      </c>
      <c r="J41" s="25">
        <f t="shared" ca="1" si="14"/>
        <v>41</v>
      </c>
      <c r="K41" s="25">
        <f t="shared" ca="1" si="14"/>
        <v>41</v>
      </c>
      <c r="L41" s="25">
        <f t="shared" ca="1" si="14"/>
        <v>41</v>
      </c>
      <c r="M41" s="25">
        <f t="shared" ca="1" si="14"/>
        <v>41</v>
      </c>
      <c r="N41" s="25">
        <f t="shared" ca="1" si="14"/>
        <v>41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44</v>
      </c>
      <c r="D45" s="25">
        <f ca="1">IF(D46="","",$B$1-D46)</f>
        <v>44</v>
      </c>
      <c r="E45" s="25">
        <f ca="1">IF(E46="","",$B$1-E46)</f>
        <v>43</v>
      </c>
      <c r="F45" s="25">
        <f ca="1">IF(F46="","",$B$1-F46)</f>
        <v>43</v>
      </c>
      <c r="H45" s="25">
        <f ca="1">IF(H46="","",$B$1-H46)</f>
        <v>43</v>
      </c>
      <c r="J45" s="25">
        <f t="shared" ref="J45:P45" ca="1" si="15">IF(J46="","",$B$1-J46)</f>
        <v>43</v>
      </c>
      <c r="K45" s="25">
        <f t="shared" ca="1" si="15"/>
        <v>43</v>
      </c>
      <c r="L45" s="25">
        <f t="shared" ca="1" si="15"/>
        <v>43</v>
      </c>
      <c r="M45" s="25">
        <f t="shared" ca="1" si="15"/>
        <v>43</v>
      </c>
      <c r="N45" s="25">
        <f t="shared" ca="1" si="15"/>
        <v>42</v>
      </c>
      <c r="O45" s="25">
        <f t="shared" ca="1" si="15"/>
        <v>42</v>
      </c>
      <c r="P45" s="25">
        <f t="shared" ca="1" si="15"/>
        <v>42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45</v>
      </c>
      <c r="D49" s="25">
        <f ca="1">IF(D50="","",$B$1-D50)</f>
        <v>45</v>
      </c>
      <c r="E49" s="25">
        <f ca="1">IF(E50="","",$B$1-E50)</f>
        <v>45</v>
      </c>
      <c r="F49" s="25">
        <f ca="1">IF(F50="","",$B$1-F50)</f>
        <v>45</v>
      </c>
      <c r="H49" s="25">
        <f ca="1">IF(H50="","",$B$1-H50)</f>
        <v>45</v>
      </c>
      <c r="J49" s="25">
        <f t="shared" ref="J49:P49" ca="1" si="16">IF(J50="","",$B$1-J50)</f>
        <v>45</v>
      </c>
      <c r="K49" s="25">
        <f t="shared" ca="1" si="16"/>
        <v>45</v>
      </c>
      <c r="L49" s="25">
        <f t="shared" ca="1" si="16"/>
        <v>44</v>
      </c>
      <c r="M49" s="25">
        <f t="shared" ca="1" si="16"/>
        <v>44</v>
      </c>
      <c r="N49" s="25">
        <f t="shared" ca="1" si="16"/>
        <v>44</v>
      </c>
      <c r="O49" s="25">
        <f t="shared" ca="1" si="16"/>
        <v>44</v>
      </c>
      <c r="P49" s="25">
        <f t="shared" ca="1" si="16"/>
        <v>44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37</v>
      </c>
      <c r="D58" s="25">
        <f t="shared" ca="1" si="17"/>
        <v>37</v>
      </c>
      <c r="E58" s="25">
        <f t="shared" ca="1" si="17"/>
        <v>37</v>
      </c>
      <c r="F58" s="25">
        <f t="shared" ca="1" si="17"/>
        <v>37</v>
      </c>
      <c r="G58" s="25">
        <f t="shared" ca="1" si="17"/>
        <v>37</v>
      </c>
      <c r="H58" s="25">
        <f t="shared" ca="1" si="17"/>
        <v>37</v>
      </c>
      <c r="J58" s="25">
        <f t="shared" ref="J58:P58" ca="1" si="18">IF(J59="","",$B$1-J59)</f>
        <v>37</v>
      </c>
      <c r="K58" s="25">
        <f t="shared" ca="1" si="18"/>
        <v>36</v>
      </c>
      <c r="L58" s="25">
        <f t="shared" ca="1" si="18"/>
        <v>36</v>
      </c>
      <c r="M58" s="25">
        <f t="shared" ca="1" si="18"/>
        <v>36</v>
      </c>
      <c r="N58" s="25">
        <f t="shared" ca="1" si="18"/>
        <v>36</v>
      </c>
      <c r="O58" s="25">
        <f t="shared" ca="1" si="18"/>
        <v>36</v>
      </c>
      <c r="P58" s="25">
        <f t="shared" ca="1" si="18"/>
        <v>36</v>
      </c>
      <c r="R58" s="25">
        <f t="shared" ref="R58:X58" ca="1" si="19">IF(R59="","",$B$1-R59)</f>
        <v>36</v>
      </c>
      <c r="S58" s="25">
        <f t="shared" ca="1" si="19"/>
        <v>35</v>
      </c>
      <c r="T58" s="25">
        <f t="shared" ca="1" si="19"/>
        <v>35</v>
      </c>
      <c r="U58" s="25">
        <f t="shared" ca="1" si="19"/>
        <v>35</v>
      </c>
      <c r="V58" s="25">
        <f t="shared" ca="1" si="19"/>
        <v>35</v>
      </c>
      <c r="W58" s="25">
        <f t="shared" ca="1" si="19"/>
        <v>35</v>
      </c>
      <c r="X58" s="25">
        <f t="shared" ca="1" si="19"/>
        <v>35</v>
      </c>
      <c r="Z58" s="25">
        <f ca="1">IF(Z59="","",$B$1-Z59)</f>
        <v>35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38</v>
      </c>
      <c r="E62" s="25">
        <f t="shared" ca="1" si="20"/>
        <v>38</v>
      </c>
      <c r="F62" s="25">
        <f t="shared" ca="1" si="20"/>
        <v>38</v>
      </c>
      <c r="G62" s="25">
        <f t="shared" ca="1" si="20"/>
        <v>38</v>
      </c>
      <c r="H62" s="25">
        <f t="shared" ca="1" si="20"/>
        <v>38</v>
      </c>
      <c r="J62" s="25">
        <f t="shared" ref="J62:P62" ca="1" si="21">IF(J63="","",$B$1-J63)</f>
        <v>38</v>
      </c>
      <c r="K62" s="25">
        <f t="shared" ca="1" si="21"/>
        <v>38</v>
      </c>
      <c r="L62" s="25">
        <f t="shared" ca="1" si="21"/>
        <v>38</v>
      </c>
      <c r="M62" s="25">
        <f t="shared" ca="1" si="21"/>
        <v>39</v>
      </c>
      <c r="N62" s="25">
        <f t="shared" ca="1" si="21"/>
        <v>39</v>
      </c>
      <c r="O62" s="25">
        <f t="shared" ca="1" si="21"/>
        <v>39</v>
      </c>
      <c r="P62" s="25">
        <f t="shared" ca="1" si="21"/>
        <v>39</v>
      </c>
      <c r="R62" s="25">
        <f t="shared" ref="R62:X62" ca="1" si="22">IF(R63="","",$B$1-R63)</f>
        <v>39</v>
      </c>
      <c r="S62" s="25">
        <f t="shared" ca="1" si="22"/>
        <v>39</v>
      </c>
      <c r="T62" s="25">
        <f t="shared" ca="1" si="22"/>
        <v>39</v>
      </c>
      <c r="U62" s="25">
        <f t="shared" ca="1" si="22"/>
        <v>40</v>
      </c>
      <c r="V62" s="25">
        <f t="shared" ca="1" si="22"/>
        <v>40</v>
      </c>
      <c r="W62" s="25">
        <f t="shared" ca="1" si="22"/>
        <v>40</v>
      </c>
      <c r="X62" s="25">
        <f t="shared" ca="1" si="22"/>
        <v>40</v>
      </c>
      <c r="Z62" s="25">
        <f ca="1">IF(Z63="","",$B$1-Z63)</f>
        <v>40</v>
      </c>
      <c r="AA62" s="25">
        <f ca="1">IF(AA63="","",$B$1-AA63)</f>
        <v>40</v>
      </c>
      <c r="AB62" s="25">
        <f ca="1">IF(AB63="","",$B$1-AB63)</f>
        <v>40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23</v>
      </c>
      <c r="D71" s="25">
        <f t="shared" ca="1" si="23"/>
        <v>23</v>
      </c>
      <c r="E71" s="25">
        <f t="shared" ca="1" si="23"/>
        <v>23</v>
      </c>
      <c r="F71" s="25">
        <f t="shared" ca="1" si="23"/>
        <v>24</v>
      </c>
      <c r="G71" s="25">
        <f t="shared" ca="1" si="23"/>
        <v>24</v>
      </c>
      <c r="H71" s="25">
        <f t="shared" ca="1" si="23"/>
        <v>24</v>
      </c>
      <c r="J71" s="25">
        <f ca="1">IF(J72="","",$B$1-J72)</f>
        <v>24</v>
      </c>
      <c r="K71" s="25">
        <f t="shared" ref="K71:P71" ca="1" si="24">IF(K72="","",$B$1-K72)</f>
        <v>24</v>
      </c>
      <c r="L71" s="25">
        <f t="shared" ca="1" si="24"/>
        <v>24</v>
      </c>
      <c r="M71" s="25">
        <f t="shared" ca="1" si="24"/>
        <v>24</v>
      </c>
      <c r="N71" s="25">
        <f t="shared" ca="1" si="24"/>
        <v>25</v>
      </c>
      <c r="O71" s="25">
        <f t="shared" ca="1" si="24"/>
        <v>25</v>
      </c>
      <c r="P71" s="25">
        <f t="shared" ca="1" si="24"/>
        <v>25</v>
      </c>
      <c r="R71" s="25">
        <f t="shared" ref="R71:X71" ca="1" si="25">IF(R72="","",$B$1-R72)</f>
        <v>25</v>
      </c>
      <c r="S71" s="25">
        <f t="shared" ca="1" si="25"/>
        <v>25</v>
      </c>
      <c r="T71" s="25">
        <f t="shared" ca="1" si="25"/>
        <v>25</v>
      </c>
      <c r="U71" s="25">
        <f t="shared" ca="1" si="25"/>
        <v>25</v>
      </c>
      <c r="V71" s="25">
        <f t="shared" ca="1" si="25"/>
        <v>26</v>
      </c>
      <c r="W71" s="25">
        <f t="shared" ca="1" si="25"/>
        <v>26</v>
      </c>
      <c r="X71" s="25">
        <f t="shared" ca="1" si="25"/>
        <v>26</v>
      </c>
      <c r="Z71" s="25">
        <f ca="1">IF(Z72="","",$B$1-Z72)</f>
        <v>26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89" priority="123">
      <formula>LEN(TRIM(C72))=0</formula>
    </cfRule>
    <cfRule type="notContainsBlanks" dxfId="1188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187" priority="89">
      <formula>LEN(TRIM(C42))=0</formula>
    </cfRule>
    <cfRule type="notContainsBlanks" dxfId="1186" priority="90">
      <formula>LEN(TRIM(C42))&gt;0</formula>
    </cfRule>
    <cfRule type="containsBlanks" dxfId="1185" priority="91">
      <formula>LEN(TRIM(C42))=0</formula>
    </cfRule>
    <cfRule type="notContainsBlanks" dxfId="1184" priority="92">
      <formula>LEN(TRIM(C42))&gt;0</formula>
    </cfRule>
  </conditionalFormatting>
  <conditionalFormatting sqref="C46:F46">
    <cfRule type="containsBlanks" dxfId="1183" priority="103">
      <formula>LEN(TRIM(C46))=0</formula>
    </cfRule>
    <cfRule type="notContainsBlanks" dxfId="1182" priority="104">
      <formula>LEN(TRIM(C46))&gt;0</formula>
    </cfRule>
  </conditionalFormatting>
  <conditionalFormatting sqref="C50:F50">
    <cfRule type="containsBlanks" dxfId="1181" priority="243">
      <formula>LEN(TRIM(C50))=0</formula>
    </cfRule>
    <cfRule type="notContainsBlanks" dxfId="1180" priority="244">
      <formula>LEN(TRIM(C50))&gt;0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containsBlanks" dxfId="1179" priority="190">
      <formula>LEN(TRIM(C7))=0</formula>
    </cfRule>
    <cfRule type="notContainsBlanks" dxfId="1178" priority="191">
      <formula>LEN(TRIM(C7))&gt;0</formula>
    </cfRule>
  </conditionalFormatting>
  <conditionalFormatting sqref="C11:H11">
    <cfRule type="containsBlanks" dxfId="1177" priority="236">
      <formula>LEN(TRIM(C11))=0</formula>
    </cfRule>
    <cfRule type="notContainsBlanks" dxfId="1176" priority="237">
      <formula>LEN(TRIM(C11))&gt;0</formula>
    </cfRule>
  </conditionalFormatting>
  <conditionalFormatting sqref="C15:H15">
    <cfRule type="containsBlanks" dxfId="1175" priority="55">
      <formula>LEN(TRIM(C15))=0</formula>
    </cfRule>
    <cfRule type="notContainsBlanks" dxfId="1174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173" priority="151">
      <formula>LEN(TRIM(C25))=0</formula>
    </cfRule>
    <cfRule type="notContainsBlanks" dxfId="1172" priority="152">
      <formula>LEN(TRIM(C25))&gt;0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1171" priority="57">
      <formula>LEN(TRIM(C29))=0</formula>
    </cfRule>
    <cfRule type="notContainsBlanks" dxfId="1170" priority="58">
      <formula>LEN(TRIM(C29))&gt;0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69" priority="93">
      <formula>LEN(TRIM(C42))=0</formula>
    </cfRule>
    <cfRule type="notContainsBlanks" dxfId="1168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167" priority="157">
      <formula>LEN(TRIM(C59))=0</formula>
    </cfRule>
    <cfRule type="notContainsBlanks" dxfId="1166" priority="158">
      <formula>LEN(TRIM(C59))&gt;0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5" priority="73">
      <formula>LEN(TRIM(C63))=0</formula>
    </cfRule>
    <cfRule type="notContainsBlanks" dxfId="1164" priority="74">
      <formula>LEN(TRIM(C63))&gt;0</formula>
    </cfRule>
  </conditionalFormatting>
  <conditionalFormatting sqref="C72:H72">
    <cfRule type="containsBlanks" dxfId="1163" priority="9">
      <formula>LEN(TRIM(C72))=0</formula>
    </cfRule>
    <cfRule type="notContainsBlanks" dxfId="1162" priority="10">
      <formula>LEN(TRIM(C72))&gt;0</formula>
    </cfRule>
  </conditionalFormatting>
  <conditionalFormatting sqref="C76:H76">
    <cfRule type="containsBlanks" dxfId="1161" priority="188">
      <formula>LEN(TRIM(C76))=0</formula>
    </cfRule>
    <cfRule type="notContainsBlanks" dxfId="1160" priority="189">
      <formula>LEN(TRIM(C76))&gt;0</formula>
    </cfRule>
  </conditionalFormatting>
  <conditionalFormatting sqref="D63:H63">
    <cfRule type="containsBlanks" dxfId="1159" priority="71">
      <formula>LEN(TRIM(D63))=0</formula>
    </cfRule>
    <cfRule type="notContainsBlanks" dxfId="1158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7" priority="222">
      <formula>LEN(TRIM(E46))=0</formula>
    </cfRule>
    <cfRule type="notContainsBlanks" dxfId="1156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155" priority="7">
      <formula>LEN(TRIM(F72))=0</formula>
    </cfRule>
    <cfRule type="notContainsBlanks" dxfId="1154" priority="8">
      <formula>LEN(TRIM(F72))&gt;0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containsBlanks" dxfId="1153" priority="176">
      <formula>LEN(TRIM(G42))=0</formula>
    </cfRule>
    <cfRule type="notContainsBlanks" dxfId="1152" priority="177">
      <formula>LEN(TRIM(G42))&gt;0</formula>
    </cfRule>
  </conditionalFormatting>
  <conditionalFormatting sqref="H6"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1151" priority="99">
      <formula>LEN(TRIM(H46))=0</formula>
    </cfRule>
    <cfRule type="notContainsBlanks" dxfId="1150" priority="100">
      <formula>LEN(TRIM(H46))&gt;0</formula>
    </cfRule>
    <cfRule type="containsBlanks" dxfId="1149" priority="101">
      <formula>LEN(TRIM(H46))=0</formula>
    </cfRule>
    <cfRule type="notContainsBlanks" dxfId="1148" priority="102">
      <formula>LEN(TRIM(H46))&gt;0</formula>
    </cfRule>
  </conditionalFormatting>
  <conditionalFormatting sqref="H50">
    <cfRule type="containsBlanks" dxfId="1147" priority="107">
      <formula>LEN(TRIM(H50))=0</formula>
    </cfRule>
    <cfRule type="notContainsBlanks" dxfId="1146" priority="108">
      <formula>LEN(TRIM(H50))&gt;0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145" priority="214">
      <formula>LEN(TRIM(J72))=0</formula>
    </cfRule>
    <cfRule type="notContainsBlanks" dxfId="1144" priority="215">
      <formula>LEN(TRIM(J72))&gt;0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3" priority="109">
      <formula>LEN(TRIM(J21))=0</formula>
    </cfRule>
    <cfRule type="notContainsBlanks" dxfId="1142" priority="110">
      <formula>LEN(TRIM(J21))&gt;0</formula>
    </cfRule>
  </conditionalFormatting>
  <conditionalFormatting sqref="J63:L63">
    <cfRule type="containsBlanks" dxfId="1141" priority="155">
      <formula>LEN(TRIM(J63))=0</formula>
    </cfRule>
    <cfRule type="notContainsBlanks" dxfId="1140" priority="156">
      <formula>LEN(TRIM(J63))&gt;0</formula>
    </cfRule>
  </conditionalFormatting>
  <conditionalFormatting sqref="J46:M46">
    <cfRule type="containsBlanks" dxfId="1139" priority="95">
      <formula>LEN(TRIM(J46))=0</formula>
    </cfRule>
    <cfRule type="notContainsBlanks" dxfId="1138" priority="96">
      <formula>LEN(TRIM(J46))&gt;0</formula>
    </cfRule>
  </conditionalFormatting>
  <conditionalFormatting sqref="J72:M72">
    <cfRule type="containsBlanks" dxfId="1137" priority="127">
      <formula>LEN(TRIM(J72))=0</formula>
    </cfRule>
    <cfRule type="notContainsBlanks" dxfId="1136" priority="128">
      <formula>LEN(TRIM(J72))&gt;0</formula>
    </cfRule>
  </conditionalFormatting>
  <conditionalFormatting sqref="J42:N42">
    <cfRule type="containsBlanks" dxfId="1135" priority="85">
      <formula>LEN(TRIM(J42))=0</formula>
    </cfRule>
    <cfRule type="notContainsBlanks" dxfId="1134" priority="86">
      <formula>LEN(TRIM(J42))&gt;0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133" priority="149">
      <formula>LEN(TRIM(J7))=0</formula>
    </cfRule>
    <cfRule type="notContainsBlanks" dxfId="1132" priority="150">
      <formula>LEN(TRIM(J7))&gt;0</formula>
    </cfRule>
  </conditionalFormatting>
  <conditionalFormatting sqref="J11:P11">
    <cfRule type="containsBlanks" dxfId="1131" priority="51">
      <formula>LEN(TRIM(J11))=0</formula>
    </cfRule>
    <cfRule type="notContainsBlanks" dxfId="1130" priority="52">
      <formula>LEN(TRIM(J11))&gt;0</formula>
    </cfRule>
  </conditionalFormatting>
  <conditionalFormatting sqref="J15:P15">
    <cfRule type="containsBlanks" dxfId="1129" priority="53">
      <formula>LEN(TRIM(J15))=0</formula>
    </cfRule>
    <cfRule type="notContainsBlanks" dxfId="1128" priority="54">
      <formula>LEN(TRIM(J15))&gt;0</formula>
    </cfRule>
  </conditionalFormatting>
  <conditionalFormatting sqref="J25:P25">
    <cfRule type="containsBlanks" dxfId="1127" priority="5">
      <formula>LEN(TRIM(J25))=0</formula>
    </cfRule>
    <cfRule type="notContainsBlanks" dxfId="1126" priority="6">
      <formula>LEN(TRIM(J25))&gt;0</formula>
    </cfRule>
  </conditionalFormatting>
  <conditionalFormatting sqref="J29:P29">
    <cfRule type="containsBlanks" dxfId="1125" priority="15">
      <formula>LEN(TRIM(J29))=0</formula>
    </cfRule>
    <cfRule type="notContainsBlanks" dxfId="1124" priority="16">
      <formula>LEN(TRIM(J29))&gt;0</formula>
    </cfRule>
  </conditionalFormatting>
  <conditionalFormatting sqref="J42:P42">
    <cfRule type="containsBlanks" dxfId="1123" priority="87">
      <formula>LEN(TRIM(J42))=0</formula>
    </cfRule>
    <cfRule type="notContainsBlanks" dxfId="1122" priority="88">
      <formula>LEN(TRIM(J42))&gt;0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21" priority="97">
      <formula>LEN(TRIM(J46))=0</formula>
    </cfRule>
    <cfRule type="notContainsBlanks" dxfId="1120" priority="98">
      <formula>LEN(TRIM(J46))&gt;0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containsBlanks" dxfId="1119" priority="105">
      <formula>LEN(TRIM(J50))=0</formula>
    </cfRule>
    <cfRule type="notContainsBlanks" dxfId="1118" priority="106">
      <formula>LEN(TRIM(J50))&gt;0</formula>
    </cfRule>
  </conditionalFormatting>
  <conditionalFormatting sqref="J59:P59">
    <cfRule type="containsBlanks" dxfId="1117" priority="69">
      <formula>LEN(TRIM(J59))=0</formula>
    </cfRule>
    <cfRule type="notContainsBlanks" dxfId="1116" priority="70">
      <formula>LEN(TRIM(J59))&gt;0</formula>
    </cfRule>
  </conditionalFormatting>
  <conditionalFormatting sqref="J63:P63">
    <cfRule type="containsBlanks" dxfId="1115" priority="77">
      <formula>LEN(TRIM(J63))=0</formula>
    </cfRule>
    <cfRule type="notContainsBlanks" dxfId="1114" priority="78">
      <formula>LEN(TRIM(J63))&gt;0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containsBlanks" dxfId="1113" priority="11">
      <formula>LEN(TRIM(J72))=0</formula>
    </cfRule>
    <cfRule type="notContainsBlanks" dxfId="1112" priority="12">
      <formula>LEN(TRIM(J72))&gt;0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containsBlanks" dxfId="1111" priority="186">
      <formula>LEN(TRIM(J76))=0</formula>
    </cfRule>
    <cfRule type="notContainsBlanks" dxfId="1110" priority="187">
      <formula>LEN(TRIM(J76))&gt;0</formula>
    </cfRule>
  </conditionalFormatting>
  <conditionalFormatting sqref="K11:P11">
    <cfRule type="containsBlanks" dxfId="1109" priority="153">
      <formula>LEN(TRIM(K11))=0</formula>
    </cfRule>
    <cfRule type="notContainsBlanks" dxfId="1108" priority="154">
      <formula>LEN(TRIM(K11))&gt;0</formula>
    </cfRule>
  </conditionalFormatting>
  <conditionalFormatting sqref="K59:P59">
    <cfRule type="containsBlanks" dxfId="1107" priority="159">
      <formula>LEN(TRIM(K59))=0</formula>
    </cfRule>
    <cfRule type="notContainsBlanks" dxfId="1106" priority="160">
      <formula>LEN(TRIM(K59))&gt;0</formula>
    </cfRule>
    <cfRule type="containsBlanks" dxfId="1105" priority="161">
      <formula>LEN(TRIM(K59))=0</formula>
    </cfRule>
    <cfRule type="notContainsBlanks" dxfId="1104" priority="162">
      <formula>LEN(TRIM(K59))&gt;0</formula>
    </cfRule>
  </conditionalFormatting>
  <conditionalFormatting sqref="L76:P76">
    <cfRule type="containsBlanks" dxfId="1103" priority="199">
      <formula>LEN(TRIM(L76))=0</formula>
    </cfRule>
    <cfRule type="notContainsBlanks" dxfId="1102" priority="200">
      <formula>LEN(TRIM(L76))&gt;0</formula>
    </cfRule>
  </conditionalFormatting>
  <conditionalFormatting sqref="M50:P50">
    <cfRule type="containsBlanks" dxfId="1101" priority="226">
      <formula>LEN(TRIM(M50))=0</formula>
    </cfRule>
    <cfRule type="notContainsBlanks" dxfId="1100" priority="227">
      <formula>LEN(TRIM(M50))&gt;0</formula>
    </cfRule>
  </conditionalFormatting>
  <conditionalFormatting sqref="M63:P63">
    <cfRule type="containsBlanks" dxfId="1099" priority="75">
      <formula>LEN(TRIM(M63))=0</formula>
    </cfRule>
    <cfRule type="notContainsBlanks" dxfId="1098" priority="76">
      <formula>LEN(TRIM(M63))&gt;0</formula>
    </cfRule>
  </conditionalFormatting>
  <conditionalFormatting sqref="N46:P46">
    <cfRule type="containsBlanks" dxfId="1097" priority="178">
      <formula>LEN(TRIM(N46))=0</formula>
    </cfRule>
    <cfRule type="notContainsBlanks" dxfId="1096" priority="179">
      <formula>LEN(TRIM(N46))&gt;0</formula>
    </cfRule>
    <cfRule type="containsBlanks" dxfId="1095" priority="220">
      <formula>LEN(TRIM(N46))=0</formula>
    </cfRule>
    <cfRule type="notContainsBlanks" dxfId="1094" priority="221">
      <formula>LEN(TRIM(N46))&gt;0</formula>
    </cfRule>
  </conditionalFormatting>
  <conditionalFormatting sqref="O46:P46">
    <cfRule type="containsBlanks" dxfId="1093" priority="224">
      <formula>LEN(TRIM(O46))=0</formula>
    </cfRule>
    <cfRule type="notContainsBlanks" dxfId="1092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containsBlanks" dxfId="1091" priority="145">
      <formula>LEN(TRIM(P7))=0</formula>
    </cfRule>
    <cfRule type="notContainsBlanks" dxfId="1090" priority="146">
      <formula>LEN(TRIM(P7))&gt;0</formula>
    </cfRule>
    <cfRule type="containsBlanks" dxfId="1089" priority="147">
      <formula>LEN(TRIM(P7))=0</formula>
    </cfRule>
    <cfRule type="notContainsBlanks" dxfId="1088" priority="148">
      <formula>LEN(TRIM(P7))&gt;0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7" priority="48">
      <formula>LEN(TRIM(R11))&gt;0</formula>
    </cfRule>
  </conditionalFormatting>
  <conditionalFormatting sqref="R15">
    <cfRule type="containsBlanks" dxfId="1086" priority="49">
      <formula>LEN(TRIM(R15))=0</formula>
    </cfRule>
    <cfRule type="notContainsBlanks" dxfId="1085" priority="50">
      <formula>LEN(TRIM(R15))&gt;0</formula>
    </cfRule>
  </conditionalFormatting>
  <conditionalFormatting sqref="R59">
    <cfRule type="containsBlanks" dxfId="1084" priority="63">
      <formula>LEN(TRIM(R59))=0</formula>
    </cfRule>
    <cfRule type="notContainsBlanks" dxfId="1083" priority="64">
      <formula>LEN(TRIM(R59))&gt;0</formula>
    </cfRule>
    <cfRule type="containsBlanks" dxfId="1082" priority="65">
      <formula>LEN(TRIM(R59))=0</formula>
    </cfRule>
    <cfRule type="notContainsBlanks" dxfId="1081" priority="66">
      <formula>LEN(TRIM(R59))&gt;0</formula>
    </cfRule>
  </conditionalFormatting>
  <conditionalFormatting sqref="R72">
    <cfRule type="containsBlanks" dxfId="1080" priority="212">
      <formula>LEN(TRIM(R72))=0</formula>
    </cfRule>
    <cfRule type="notContainsBlanks" dxfId="1079" priority="213">
      <formula>LEN(TRIM(R72))&gt;0</formula>
    </cfRule>
  </conditionalFormatting>
  <conditionalFormatting sqref="R63:S63">
    <cfRule type="containsBlanks" dxfId="1078" priority="166">
      <formula>LEN(TRIM(R63))=0</formula>
    </cfRule>
    <cfRule type="notContainsBlanks" dxfId="1077" priority="167">
      <formula>LEN(TRIM(R63))&gt;0</formula>
    </cfRule>
  </conditionalFormatting>
  <conditionalFormatting sqref="R76:S76">
    <cfRule type="containsBlanks" dxfId="1076" priority="182">
      <formula>LEN(TRIM(R76))=0</formula>
    </cfRule>
    <cfRule type="notContainsBlanks" dxfId="1075" priority="183">
      <formula>LEN(TRIM(R76))&gt;0</formula>
    </cfRule>
  </conditionalFormatting>
  <conditionalFormatting sqref="R7:T7">
    <cfRule type="containsBlanks" dxfId="1074" priority="17">
      <formula>LEN(TRIM(R7))=0</formula>
    </cfRule>
    <cfRule type="notContainsBlanks" dxfId="1073" priority="18">
      <formula>LEN(TRIM(R7))&gt;0</formula>
    </cfRule>
    <cfRule type="containsBlanks" dxfId="1072" priority="19">
      <formula>LEN(TRIM(R7))=0</formula>
    </cfRule>
    <cfRule type="notContainsBlanks" dxfId="1071" priority="20">
      <formula>LEN(TRIM(R7))&gt;0</formula>
    </cfRule>
  </conditionalFormatting>
  <conditionalFormatting sqref="R11:T11">
    <cfRule type="containsBlanks" dxfId="1070" priority="41">
      <formula>LEN(TRIM(R11))=0</formula>
    </cfRule>
    <cfRule type="notContainsBlanks" dxfId="1069" priority="42">
      <formula>LEN(TRIM(R11))&gt;0</formula>
    </cfRule>
  </conditionalFormatting>
  <conditionalFormatting sqref="R63:T63">
    <cfRule type="containsBlanks" dxfId="1068" priority="168">
      <formula>LEN(TRIM(R63))=0</formula>
    </cfRule>
    <cfRule type="notContainsBlanks" dxfId="1067" priority="169">
      <formula>LEN(TRIM(R63))&gt;0</formula>
    </cfRule>
    <cfRule type="containsBlanks" dxfId="1066" priority="174">
      <formula>LEN(TRIM(R63))=0</formula>
    </cfRule>
    <cfRule type="notContainsBlanks" dxfId="1065" priority="175">
      <formula>LEN(TRIM(R63))&gt;0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064" priority="21">
      <formula>LEN(TRIM(R7))=0</formula>
    </cfRule>
    <cfRule type="notContainsBlanks" dxfId="1063" priority="22">
      <formula>LEN(TRIM(R7))&gt;0</formula>
    </cfRule>
  </conditionalFormatting>
  <conditionalFormatting sqref="R25:X25">
    <cfRule type="containsBlanks" dxfId="1062" priority="33">
      <formula>LEN(TRIM(R25))=0</formula>
    </cfRule>
    <cfRule type="notContainsBlanks" dxfId="1061" priority="34">
      <formula>LEN(TRIM(R25))&gt;0</formula>
    </cfRule>
  </conditionalFormatting>
  <conditionalFormatting sqref="R29:X29">
    <cfRule type="containsBlanks" dxfId="1060" priority="3">
      <formula>LEN(TRIM(R29))=0</formula>
    </cfRule>
    <cfRule type="notContainsBlanks" dxfId="1059" priority="4">
      <formula>LEN(TRIM(R29))&gt;0</formula>
    </cfRule>
  </conditionalFormatting>
  <conditionalFormatting sqref="R59:X59">
    <cfRule type="containsBlanks" dxfId="1058" priority="67">
      <formula>LEN(TRIM(R59))=0</formula>
    </cfRule>
    <cfRule type="notContainsBlanks" dxfId="1057" priority="68">
      <formula>LEN(TRIM(R59))&gt;0</formula>
    </cfRule>
  </conditionalFormatting>
  <conditionalFormatting sqref="R72:X72">
    <cfRule type="containsBlanks" dxfId="1056" priority="13">
      <formula>LEN(TRIM(R72))=0</formula>
    </cfRule>
    <cfRule type="notContainsBlanks" dxfId="1055" priority="14">
      <formula>LEN(TRIM(R72))&gt;0</formula>
    </cfRule>
  </conditionalFormatting>
  <conditionalFormatting sqref="R76:X76">
    <cfRule type="containsBlanks" dxfId="1054" priority="184">
      <formula>LEN(TRIM(R76))=0</formula>
    </cfRule>
    <cfRule type="notContainsBlanks" dxfId="1053" priority="185">
      <formula>LEN(TRIM(R76))&gt;0</formula>
    </cfRule>
  </conditionalFormatting>
  <conditionalFormatting sqref="S15:W15">
    <cfRule type="containsBlanks" dxfId="1052" priority="205">
      <formula>LEN(TRIM(S15))=0</formula>
    </cfRule>
    <cfRule type="notContainsBlanks" dxfId="1051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50" priority="164">
      <formula>LEN(TRIM(S59))=0</formula>
    </cfRule>
    <cfRule type="notContainsBlanks" dxfId="1049" priority="165">
      <formula>LEN(TRIM(S59))&gt;0</formula>
    </cfRule>
  </conditionalFormatting>
  <conditionalFormatting sqref="U11:X11 R11">
    <cfRule type="containsBlanks" dxfId="1048" priority="47">
      <formula>LEN(TRIM(R11))=0</formula>
    </cfRule>
  </conditionalFormatting>
  <conditionalFormatting sqref="U63:X63">
    <cfRule type="containsBlanks" dxfId="1047" priority="79">
      <formula>LEN(TRIM(U63))=0</formula>
    </cfRule>
    <cfRule type="notContainsBlanks" dxfId="1046" priority="80">
      <formula>LEN(TRIM(U63))&gt;0</formula>
    </cfRule>
    <cfRule type="containsBlanks" dxfId="1045" priority="81">
      <formula>LEN(TRIM(U63))=0</formula>
    </cfRule>
    <cfRule type="notContainsBlanks" dxfId="1044" priority="82">
      <formula>LEN(TRIM(U63))&gt;0</formula>
    </cfRule>
    <cfRule type="containsBlanks" dxfId="1043" priority="83">
      <formula>LEN(TRIM(U63))=0</formula>
    </cfRule>
    <cfRule type="notContainsBlanks" dxfId="1042" priority="84">
      <formula>LEN(TRIM(U63))&gt;0</formula>
    </cfRule>
  </conditionalFormatting>
  <conditionalFormatting sqref="V11:W11">
    <cfRule type="containsBlanks" dxfId="1041" priority="43">
      <formula>LEN(TRIM(V11))=0</formula>
    </cfRule>
    <cfRule type="notContainsBlanks" dxfId="1040" priority="44">
      <formula>LEN(TRIM(V11))&gt;0</formula>
    </cfRule>
  </conditionalFormatting>
  <conditionalFormatting sqref="W15:X15">
    <cfRule type="containsBlanks" dxfId="1039" priority="195">
      <formula>LEN(TRIM(W15))=0</formula>
    </cfRule>
    <cfRule type="notContainsBlanks" dxfId="1038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containsBlanks" dxfId="1037" priority="207">
      <formula>LEN(TRIM(W33))=0</formula>
    </cfRule>
    <cfRule type="notContainsBlanks" dxfId="1036" priority="208">
      <formula>LEN(TRIM(W33))&gt;0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5" priority="276">
      <formula>LEN(TRIM(X21))=0</formula>
    </cfRule>
    <cfRule type="notContainsBlanks" dxfId="1034" priority="277">
      <formula>LEN(TRIM(X21))&gt;0</formula>
    </cfRule>
    <cfRule type="containsBlanks" dxfId="1033" priority="278">
      <formula>LEN(TRIM(X21))=0</formula>
    </cfRule>
    <cfRule type="notContainsBlanks" dxfId="1032" priority="279">
      <formula>LEN(TRIM(X21))&gt;0</formula>
    </cfRule>
    <cfRule type="containsBlanks" dxfId="1031" priority="280">
      <formula>LEN(TRIM(X21))=0</formula>
    </cfRule>
    <cfRule type="notContainsBlanks" dxfId="1030" priority="281">
      <formula>LEN(TRIM(X21))&gt;0</formula>
    </cfRule>
    <cfRule type="containsBlanks" dxfId="1029" priority="282">
      <formula>LEN(TRIM(X21))=0</formula>
    </cfRule>
    <cfRule type="notContainsBlanks" dxfId="1028" priority="283">
      <formula>LEN(TRIM(X21))&gt;0</formula>
    </cfRule>
    <cfRule type="containsBlanks" dxfId="1027" priority="284">
      <formula>LEN(TRIM(X21))=0</formula>
    </cfRule>
    <cfRule type="notContainsBlanks" dxfId="1026" priority="285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5" priority="59">
      <formula>LEN(TRIM(Z59))=0</formula>
    </cfRule>
    <cfRule type="notContainsBlanks" dxfId="1024" priority="60">
      <formula>LEN(TRIM(Z59))&gt;0</formula>
    </cfRule>
  </conditionalFormatting>
  <conditionalFormatting sqref="Z72">
    <cfRule type="containsBlanks" dxfId="1023" priority="129">
      <formula>LEN(TRIM(Z72))=0</formula>
    </cfRule>
    <cfRule type="notContainsBlanks" dxfId="1022" priority="130">
      <formula>LEN(TRIM(Z72))&gt;0</formula>
    </cfRule>
  </conditionalFormatting>
  <conditionalFormatting sqref="Z76">
    <cfRule type="containsBlanks" dxfId="1021" priority="210">
      <formula>LEN(TRIM(Z76))=0</formula>
    </cfRule>
    <cfRule type="notContainsBlanks" dxfId="1020" priority="211">
      <formula>LEN(TRIM(Z76))&gt;0</formula>
    </cfRule>
  </conditionalFormatting>
  <conditionalFormatting sqref="Z63:AA63">
    <cfRule type="containsBlanks" dxfId="1019" priority="170">
      <formula>LEN(TRIM(Z63))=0</formula>
    </cfRule>
    <cfRule type="notContainsBlanks" dxfId="1018" priority="171">
      <formula>LEN(TRIM(Z63))&gt;0</formula>
    </cfRule>
  </conditionalFormatting>
  <conditionalFormatting sqref="Z59:AB59">
    <cfRule type="containsBlanks" dxfId="1017" priority="61">
      <formula>LEN(TRIM(Z59))=0</formula>
    </cfRule>
    <cfRule type="notContainsBlanks" dxfId="1016" priority="62">
      <formula>LEN(TRIM(Z59))&gt;0</formula>
    </cfRule>
  </conditionalFormatting>
  <conditionalFormatting sqref="Z63:AB63">
    <cfRule type="containsBlanks" dxfId="1015" priority="172">
      <formula>LEN(TRIM(Z63))=0</formula>
    </cfRule>
    <cfRule type="notContainsBlanks" dxfId="1014" priority="173">
      <formula>LEN(TRIM(Z63))&gt;0</formula>
    </cfRule>
    <cfRule type="containsBlanks" dxfId="1013" priority="180">
      <formula>LEN(TRIM(Z63))=0</formula>
    </cfRule>
    <cfRule type="notContainsBlanks" dxfId="1012" priority="181">
      <formula>LEN(TRIM(Z63))&gt;0</formula>
    </cfRule>
  </conditionalFormatting>
  <conditionalFormatting sqref="Z25:AI25">
    <cfRule type="containsBlanks" dxfId="1011" priority="115">
      <formula>LEN(TRIM(Z25))=0</formula>
    </cfRule>
    <cfRule type="notContainsBlanks" dxfId="1010" priority="116">
      <formula>LEN(TRIM(Z25))&gt;0</formula>
    </cfRule>
  </conditionalFormatting>
  <conditionalFormatting sqref="Z29:AI29">
    <cfRule type="containsBlanks" dxfId="1009" priority="1">
      <formula>LEN(TRIM(Z29))=0</formula>
    </cfRule>
    <cfRule type="notContainsBlanks" dxfId="1008" priority="2">
      <formula>LEN(TRIM(Z29))&gt;0</formula>
    </cfRule>
  </conditionalFormatting>
  <conditionalFormatting sqref="AA59:AB59">
    <cfRule type="containsBlanks" dxfId="1007" priority="141">
      <formula>LEN(TRIM(AA59))=0</formula>
    </cfRule>
    <cfRule type="notContainsBlanks" dxfId="1006" priority="142">
      <formula>LEN(TRIM(AA59))&gt;0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5" priority="268">
      <formula>LEN(TRIM(AF21))=0</formula>
    </cfRule>
    <cfRule type="notContainsBlanks" dxfId="1004" priority="269">
      <formula>LEN(TRIM(AF21))&gt;0</formula>
    </cfRule>
    <cfRule type="containsBlanks" dxfId="1003" priority="270">
      <formula>LEN(TRIM(AF21))=0</formula>
    </cfRule>
    <cfRule type="notContainsBlanks" dxfId="1002" priority="271">
      <formula>LEN(TRIM(AF21))&gt;0</formula>
    </cfRule>
    <cfRule type="containsBlanks" dxfId="1001" priority="272">
      <formula>LEN(TRIM(AF21))=0</formula>
    </cfRule>
    <cfRule type="notContainsBlanks" dxfId="1000" priority="273">
      <formula>LEN(TRIM(AF21))&gt;0</formula>
    </cfRule>
    <cfRule type="containsBlanks" dxfId="999" priority="274">
      <formula>LEN(TRIM(AF21))=0</formula>
    </cfRule>
    <cfRule type="notContainsBlanks" dxfId="998" priority="275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997" priority="111">
      <formula>LEN(TRIM(AF21))=0</formula>
    </cfRule>
    <cfRule type="notContainsBlanks" dxfId="996" priority="112">
      <formula>LEN(TRIM(AF21))&gt;0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5" priority="286">
      <formula>LEN(TRIM(AG33))=0</formula>
    </cfRule>
    <cfRule type="notContainsBlanks" dxfId="994" priority="287">
      <formula>LEN(TRIM(AG33))&gt;0</formula>
    </cfRule>
    <cfRule type="containsBlanks" dxfId="993" priority="288">
      <formula>LEN(TRIM(AG33))=0</formula>
    </cfRule>
    <cfRule type="notContainsBlanks" dxfId="992" priority="289">
      <formula>LEN(TRIM(AG33))&gt;0</formula>
    </cfRule>
    <cfRule type="containsBlanks" dxfId="991" priority="290">
      <formula>LEN(TRIM(AG33))=0</formula>
    </cfRule>
    <cfRule type="notContainsBlanks" dxfId="990" priority="291">
      <formula>LEN(TRIM(AG33))&gt;0</formula>
    </cfRule>
    <cfRule type="containsBlanks" dxfId="989" priority="292">
      <formula>LEN(TRIM(AG33))=0</formula>
    </cfRule>
    <cfRule type="notContainsBlanks" dxfId="988" priority="293">
      <formula>LEN(TRIM(AG33))&gt;0</formula>
    </cfRule>
    <cfRule type="containsBlanks" dxfId="987" priority="294">
      <formula>LEN(TRIM(AG33))=0</formula>
    </cfRule>
    <cfRule type="notContainsBlanks" dxfId="986" priority="295">
      <formula>LEN(TRIM(AG33))&gt;0</formula>
    </cfRule>
    <cfRule type="containsBlanks" dxfId="985" priority="296">
      <formula>LEN(TRIM(AG33))=0</formula>
    </cfRule>
    <cfRule type="notContainsBlanks" dxfId="984" priority="297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0" activePane="bottomRight" state="frozen"/>
      <selection pane="topRight" activeCell="C1" sqref="C1"/>
      <selection pane="bottomLeft" activeCell="A14" sqref="A14"/>
      <selection pane="bottomRight" activeCell="BI1" sqref="BI1:BI1048576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I3" s="4"/>
      <c r="BJ3" s="4"/>
      <c r="BK3" s="4"/>
      <c r="BL3" s="4"/>
      <c r="BM3" s="4"/>
      <c r="BN3" s="4"/>
      <c r="BO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S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si="6"/>
        <v>153</v>
      </c>
      <c r="BR8" s="15">
        <f t="shared" si="6"/>
        <v>119</v>
      </c>
      <c r="BS8" s="15">
        <f t="shared" si="6"/>
        <v>119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S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0</v>
      </c>
      <c r="BL9" s="17">
        <f t="shared" si="8"/>
        <v>0</v>
      </c>
      <c r="BM9" s="17">
        <f t="shared" si="8"/>
        <v>0</v>
      </c>
      <c r="BN9" s="17">
        <f t="shared" si="8"/>
        <v>0</v>
      </c>
      <c r="BO9" s="17">
        <f t="shared" si="8"/>
        <v>0</v>
      </c>
      <c r="BP9" s="17">
        <f t="shared" si="8"/>
        <v>0</v>
      </c>
      <c r="BQ9" s="17">
        <f t="shared" si="8"/>
        <v>0</v>
      </c>
      <c r="BR9" s="17">
        <f t="shared" si="8"/>
        <v>0</v>
      </c>
      <c r="BS9" s="17">
        <f t="shared" si="8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9">COUNTIF(J14:J1972,"P1")+COUNTIF(J14:J1972,"P2")+COUNTIF(J14:J1972,"P3")</f>
        <v>0</v>
      </c>
      <c r="K10" s="19">
        <f t="shared" si="9"/>
        <v>0</v>
      </c>
      <c r="L10" s="19">
        <f t="shared" si="9"/>
        <v>0</v>
      </c>
      <c r="M10" s="19">
        <f t="shared" si="9"/>
        <v>0</v>
      </c>
      <c r="N10" s="19">
        <f t="shared" si="9"/>
        <v>0</v>
      </c>
      <c r="O10" s="19">
        <f t="shared" si="9"/>
        <v>0</v>
      </c>
      <c r="P10" s="19">
        <f t="shared" si="9"/>
        <v>0</v>
      </c>
      <c r="Q10" s="19">
        <f t="shared" si="9"/>
        <v>7</v>
      </c>
      <c r="R10" s="19">
        <f t="shared" si="9"/>
        <v>7</v>
      </c>
      <c r="S10" s="19">
        <f t="shared" si="9"/>
        <v>7</v>
      </c>
      <c r="T10" s="19">
        <f t="shared" si="9"/>
        <v>7</v>
      </c>
      <c r="U10" s="19">
        <f t="shared" si="9"/>
        <v>7</v>
      </c>
      <c r="V10" s="19">
        <f t="shared" si="9"/>
        <v>7</v>
      </c>
      <c r="W10" s="19">
        <f t="shared" si="9"/>
        <v>7</v>
      </c>
      <c r="X10" s="19">
        <f t="shared" si="9"/>
        <v>14</v>
      </c>
      <c r="Y10" s="19">
        <f t="shared" si="9"/>
        <v>14</v>
      </c>
      <c r="Z10" s="19">
        <f t="shared" si="9"/>
        <v>14</v>
      </c>
      <c r="AA10" s="19">
        <f t="shared" si="9"/>
        <v>14</v>
      </c>
      <c r="AB10" s="19">
        <f t="shared" si="9"/>
        <v>14</v>
      </c>
      <c r="AC10" s="19">
        <f t="shared" si="9"/>
        <v>14</v>
      </c>
      <c r="AD10" s="19">
        <f t="shared" si="9"/>
        <v>21</v>
      </c>
      <c r="AE10" s="19">
        <f t="shared" si="9"/>
        <v>22</v>
      </c>
      <c r="AF10" s="19">
        <f t="shared" si="9"/>
        <v>21</v>
      </c>
      <c r="AG10" s="19">
        <f t="shared" si="9"/>
        <v>21</v>
      </c>
      <c r="AH10" s="19">
        <f t="shared" si="9"/>
        <v>23</v>
      </c>
      <c r="AI10" s="19">
        <f t="shared" si="9"/>
        <v>21</v>
      </c>
      <c r="AJ10" s="19">
        <f t="shared" si="9"/>
        <v>21</v>
      </c>
      <c r="AK10" s="19">
        <f t="shared" si="9"/>
        <v>21</v>
      </c>
      <c r="AL10" s="19">
        <f t="shared" si="9"/>
        <v>22</v>
      </c>
      <c r="AM10" s="19">
        <f t="shared" si="9"/>
        <v>21</v>
      </c>
      <c r="AN10" s="19">
        <f t="shared" si="9"/>
        <v>21</v>
      </c>
      <c r="AO10" s="19">
        <f t="shared" si="9"/>
        <v>23</v>
      </c>
      <c r="AP10" s="19">
        <f t="shared" ref="AP10:BS10" si="10">COUNTIF(AP14:AP1972,"P1")+COUNTIF(AP14:AP1972,"P2")+COUNTIF(AP14:AP1972,"P3")</f>
        <v>22</v>
      </c>
      <c r="AQ10" s="19">
        <f t="shared" si="10"/>
        <v>21</v>
      </c>
      <c r="AR10" s="19">
        <f t="shared" si="10"/>
        <v>22</v>
      </c>
      <c r="AS10" s="19">
        <f t="shared" si="10"/>
        <v>21</v>
      </c>
      <c r="AT10" s="19">
        <f t="shared" si="10"/>
        <v>21</v>
      </c>
      <c r="AU10" s="19">
        <f t="shared" si="10"/>
        <v>23</v>
      </c>
      <c r="AV10" s="19">
        <f t="shared" si="10"/>
        <v>14</v>
      </c>
      <c r="AW10" s="19">
        <f t="shared" si="10"/>
        <v>24</v>
      </c>
      <c r="AX10" s="19">
        <f t="shared" si="10"/>
        <v>24</v>
      </c>
      <c r="AY10" s="19">
        <f t="shared" si="10"/>
        <v>21</v>
      </c>
      <c r="AZ10" s="19">
        <f t="shared" si="10"/>
        <v>21</v>
      </c>
      <c r="BA10" s="19">
        <f t="shared" si="10"/>
        <v>23</v>
      </c>
      <c r="BB10" s="19">
        <f t="shared" si="10"/>
        <v>21</v>
      </c>
      <c r="BC10" s="19">
        <f t="shared" si="10"/>
        <v>15</v>
      </c>
      <c r="BD10" s="19">
        <f t="shared" si="10"/>
        <v>23</v>
      </c>
      <c r="BE10" s="19">
        <f t="shared" si="10"/>
        <v>24</v>
      </c>
      <c r="BF10" s="19">
        <f t="shared" si="10"/>
        <v>21</v>
      </c>
      <c r="BG10" s="19">
        <f t="shared" si="10"/>
        <v>21</v>
      </c>
      <c r="BH10" s="19">
        <f t="shared" si="10"/>
        <v>24</v>
      </c>
      <c r="BI10" s="19">
        <f t="shared" si="10"/>
        <v>14</v>
      </c>
      <c r="BJ10" s="19">
        <f t="shared" si="10"/>
        <v>23</v>
      </c>
      <c r="BK10" s="19">
        <f t="shared" si="10"/>
        <v>24</v>
      </c>
      <c r="BL10" s="19">
        <f t="shared" si="10"/>
        <v>21</v>
      </c>
      <c r="BM10" s="19">
        <f t="shared" si="10"/>
        <v>21</v>
      </c>
      <c r="BN10" s="19">
        <f t="shared" si="10"/>
        <v>23</v>
      </c>
      <c r="BO10" s="19">
        <f t="shared" si="10"/>
        <v>22</v>
      </c>
      <c r="BP10" s="19">
        <f t="shared" si="10"/>
        <v>21</v>
      </c>
      <c r="BQ10" s="19">
        <f t="shared" si="10"/>
        <v>21</v>
      </c>
      <c r="BR10" s="19">
        <f t="shared" si="10"/>
        <v>14</v>
      </c>
      <c r="BS10" s="19">
        <f t="shared" si="10"/>
        <v>14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1">COUNTIF(J14:J1972,"C1")+COUNTIF(J14:J1972,"C2")</f>
        <v>0</v>
      </c>
      <c r="K11" s="21">
        <f t="shared" si="11"/>
        <v>0</v>
      </c>
      <c r="L11" s="21">
        <f t="shared" si="11"/>
        <v>0</v>
      </c>
      <c r="M11" s="21">
        <f t="shared" si="11"/>
        <v>0</v>
      </c>
      <c r="N11" s="21">
        <f t="shared" si="11"/>
        <v>0</v>
      </c>
      <c r="O11" s="21">
        <f t="shared" si="11"/>
        <v>0</v>
      </c>
      <c r="P11" s="21">
        <f t="shared" si="11"/>
        <v>0</v>
      </c>
      <c r="Q11" s="21">
        <f t="shared" si="11"/>
        <v>0</v>
      </c>
      <c r="R11" s="21">
        <f t="shared" si="11"/>
        <v>7</v>
      </c>
      <c r="S11" s="21">
        <f t="shared" si="11"/>
        <v>7</v>
      </c>
      <c r="T11" s="21">
        <f t="shared" si="11"/>
        <v>7</v>
      </c>
      <c r="U11" s="21">
        <f t="shared" si="11"/>
        <v>7</v>
      </c>
      <c r="V11" s="21">
        <f t="shared" si="11"/>
        <v>7</v>
      </c>
      <c r="W11" s="21">
        <f t="shared" si="11"/>
        <v>7</v>
      </c>
      <c r="X11" s="21">
        <f t="shared" si="11"/>
        <v>7</v>
      </c>
      <c r="Y11" s="21">
        <f t="shared" si="11"/>
        <v>14</v>
      </c>
      <c r="Z11" s="21">
        <f t="shared" si="11"/>
        <v>14</v>
      </c>
      <c r="AA11" s="21">
        <f t="shared" si="11"/>
        <v>14</v>
      </c>
      <c r="AB11" s="21">
        <f t="shared" si="11"/>
        <v>14</v>
      </c>
      <c r="AC11" s="21">
        <f t="shared" si="11"/>
        <v>14</v>
      </c>
      <c r="AD11" s="21">
        <f t="shared" si="11"/>
        <v>14</v>
      </c>
      <c r="AE11" s="21">
        <f t="shared" si="11"/>
        <v>14</v>
      </c>
      <c r="AF11" s="21">
        <f t="shared" si="11"/>
        <v>15</v>
      </c>
      <c r="AG11" s="21">
        <f t="shared" si="11"/>
        <v>14</v>
      </c>
      <c r="AH11" s="21">
        <f t="shared" si="11"/>
        <v>14</v>
      </c>
      <c r="AI11" s="21">
        <f t="shared" si="11"/>
        <v>16</v>
      </c>
      <c r="AJ11" s="21">
        <f t="shared" si="11"/>
        <v>14</v>
      </c>
      <c r="AK11" s="21">
        <f t="shared" si="11"/>
        <v>14</v>
      </c>
      <c r="AL11" s="21">
        <f t="shared" si="11"/>
        <v>14</v>
      </c>
      <c r="AM11" s="21">
        <f t="shared" si="11"/>
        <v>15</v>
      </c>
      <c r="AN11" s="21">
        <f t="shared" si="11"/>
        <v>14</v>
      </c>
      <c r="AO11" s="21">
        <f t="shared" si="11"/>
        <v>14</v>
      </c>
      <c r="AP11" s="21">
        <f t="shared" ref="AP11:BS11" si="12">COUNTIF(AP14:AP1972,"C1")+COUNTIF(AP14:AP1972,"C2")</f>
        <v>16</v>
      </c>
      <c r="AQ11" s="21">
        <f t="shared" si="12"/>
        <v>15</v>
      </c>
      <c r="AR11" s="21">
        <f t="shared" si="12"/>
        <v>14</v>
      </c>
      <c r="AS11" s="21">
        <f t="shared" si="12"/>
        <v>14</v>
      </c>
      <c r="AT11" s="21">
        <f t="shared" si="12"/>
        <v>14</v>
      </c>
      <c r="AU11" s="21">
        <f t="shared" si="12"/>
        <v>14</v>
      </c>
      <c r="AV11" s="21">
        <f t="shared" si="12"/>
        <v>14</v>
      </c>
      <c r="AW11" s="21">
        <f t="shared" si="12"/>
        <v>7</v>
      </c>
      <c r="AX11" s="21">
        <f t="shared" si="12"/>
        <v>17</v>
      </c>
      <c r="AY11" s="21">
        <f t="shared" si="12"/>
        <v>17</v>
      </c>
      <c r="AZ11" s="21">
        <f t="shared" si="12"/>
        <v>14</v>
      </c>
      <c r="BA11" s="21">
        <f t="shared" si="12"/>
        <v>14</v>
      </c>
      <c r="BB11" s="21">
        <f t="shared" si="12"/>
        <v>16</v>
      </c>
      <c r="BC11" s="21">
        <f t="shared" si="12"/>
        <v>14</v>
      </c>
      <c r="BD11" s="21">
        <f t="shared" si="12"/>
        <v>7</v>
      </c>
      <c r="BE11" s="21">
        <f t="shared" si="12"/>
        <v>16</v>
      </c>
      <c r="BF11" s="21">
        <f t="shared" si="12"/>
        <v>17</v>
      </c>
      <c r="BG11" s="21">
        <f t="shared" si="12"/>
        <v>14</v>
      </c>
      <c r="BH11" s="21">
        <f t="shared" si="12"/>
        <v>14</v>
      </c>
      <c r="BI11" s="21">
        <f t="shared" si="12"/>
        <v>17</v>
      </c>
      <c r="BJ11" s="21">
        <f t="shared" si="12"/>
        <v>14</v>
      </c>
      <c r="BK11" s="21">
        <f t="shared" si="12"/>
        <v>14</v>
      </c>
      <c r="BL11" s="21">
        <f t="shared" si="12"/>
        <v>14</v>
      </c>
      <c r="BM11" s="21">
        <f t="shared" si="12"/>
        <v>14</v>
      </c>
      <c r="BN11" s="21">
        <f t="shared" si="12"/>
        <v>14</v>
      </c>
      <c r="BO11" s="21">
        <f t="shared" si="12"/>
        <v>14</v>
      </c>
      <c r="BP11" s="21">
        <f t="shared" si="12"/>
        <v>15</v>
      </c>
      <c r="BQ11" s="21">
        <f t="shared" si="12"/>
        <v>14</v>
      </c>
      <c r="BR11" s="21">
        <f t="shared" si="12"/>
        <v>14</v>
      </c>
      <c r="BS11" s="21">
        <f t="shared" si="12"/>
        <v>7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3">COUNTIF(J15:J1972,"")</f>
        <v>1951</v>
      </c>
      <c r="K12" s="23">
        <f t="shared" si="13"/>
        <v>1951</v>
      </c>
      <c r="L12" s="23">
        <f t="shared" si="13"/>
        <v>1951</v>
      </c>
      <c r="M12" s="23">
        <f t="shared" si="13"/>
        <v>1951</v>
      </c>
      <c r="N12" s="23">
        <f t="shared" si="13"/>
        <v>1951</v>
      </c>
      <c r="O12" s="23">
        <f t="shared" si="13"/>
        <v>1951</v>
      </c>
      <c r="P12" s="23">
        <f t="shared" si="13"/>
        <v>1951</v>
      </c>
      <c r="Q12" s="23">
        <f t="shared" si="13"/>
        <v>1944</v>
      </c>
      <c r="R12" s="23">
        <f t="shared" si="13"/>
        <v>1937</v>
      </c>
      <c r="S12" s="23">
        <f t="shared" si="13"/>
        <v>1937</v>
      </c>
      <c r="T12" s="23">
        <f t="shared" si="13"/>
        <v>1937</v>
      </c>
      <c r="U12" s="23">
        <f t="shared" si="13"/>
        <v>1937</v>
      </c>
      <c r="V12" s="23">
        <f t="shared" si="13"/>
        <v>1937</v>
      </c>
      <c r="W12" s="23">
        <f t="shared" si="13"/>
        <v>1937</v>
      </c>
      <c r="X12" s="23">
        <f t="shared" si="13"/>
        <v>1929</v>
      </c>
      <c r="Y12" s="23">
        <f t="shared" si="13"/>
        <v>1923</v>
      </c>
      <c r="Z12" s="23">
        <f t="shared" si="13"/>
        <v>1923</v>
      </c>
      <c r="AA12" s="23">
        <f t="shared" si="13"/>
        <v>1921</v>
      </c>
      <c r="AB12" s="23">
        <f t="shared" si="13"/>
        <v>1923</v>
      </c>
      <c r="AC12" s="23">
        <f t="shared" si="13"/>
        <v>1924</v>
      </c>
      <c r="AD12" s="23">
        <f t="shared" si="13"/>
        <v>1916</v>
      </c>
      <c r="AE12" s="23">
        <f t="shared" si="13"/>
        <v>1915</v>
      </c>
      <c r="AF12" s="23">
        <f t="shared" si="13"/>
        <v>1915</v>
      </c>
      <c r="AG12" s="23">
        <f t="shared" si="13"/>
        <v>1909</v>
      </c>
      <c r="AH12" s="23">
        <f t="shared" si="13"/>
        <v>1907</v>
      </c>
      <c r="AI12" s="23">
        <f t="shared" si="13"/>
        <v>1906</v>
      </c>
      <c r="AJ12" s="23">
        <f t="shared" si="13"/>
        <v>1910</v>
      </c>
      <c r="AK12" s="23">
        <f t="shared" si="13"/>
        <v>1910</v>
      </c>
      <c r="AL12" s="23">
        <f t="shared" si="13"/>
        <v>1908</v>
      </c>
      <c r="AM12" s="23">
        <f t="shared" si="13"/>
        <v>1908</v>
      </c>
      <c r="AN12" s="23">
        <f t="shared" si="13"/>
        <v>1909</v>
      </c>
      <c r="AO12" s="23">
        <f t="shared" si="13"/>
        <v>1914</v>
      </c>
      <c r="AP12" s="23">
        <f t="shared" ref="AP12:BQ12" si="14">COUNTIF(AP15:AP1972,"")</f>
        <v>1904</v>
      </c>
      <c r="AQ12" s="23">
        <f t="shared" si="14"/>
        <v>1906</v>
      </c>
      <c r="AR12" s="23">
        <f t="shared" si="14"/>
        <v>1909</v>
      </c>
      <c r="AS12" s="23">
        <f t="shared" si="14"/>
        <v>1909</v>
      </c>
      <c r="AT12" s="23">
        <f t="shared" si="14"/>
        <v>1907</v>
      </c>
      <c r="AU12" s="23">
        <f t="shared" si="14"/>
        <v>1906</v>
      </c>
      <c r="AV12" s="23">
        <f t="shared" si="14"/>
        <v>1916</v>
      </c>
      <c r="AW12" s="23">
        <f t="shared" si="14"/>
        <v>1914</v>
      </c>
      <c r="AX12" s="23">
        <f t="shared" si="14"/>
        <v>1901</v>
      </c>
      <c r="AY12" s="23">
        <f t="shared" si="14"/>
        <v>1906</v>
      </c>
      <c r="AZ12" s="23">
        <f t="shared" si="14"/>
        <v>1910</v>
      </c>
      <c r="BA12" s="23">
        <f t="shared" si="14"/>
        <v>1906</v>
      </c>
      <c r="BB12" s="23">
        <f t="shared" si="14"/>
        <v>1907</v>
      </c>
      <c r="BC12" s="23">
        <f t="shared" si="14"/>
        <v>1915</v>
      </c>
      <c r="BD12" s="23">
        <f t="shared" si="14"/>
        <v>1914</v>
      </c>
      <c r="BE12" s="23">
        <f t="shared" si="14"/>
        <v>1905</v>
      </c>
      <c r="BF12" s="23">
        <f t="shared" si="14"/>
        <v>1905</v>
      </c>
      <c r="BG12" s="23">
        <f t="shared" si="14"/>
        <v>1909</v>
      </c>
      <c r="BH12" s="23">
        <f t="shared" si="14"/>
        <v>1906</v>
      </c>
      <c r="BI12" s="23">
        <f t="shared" si="14"/>
        <v>1913</v>
      </c>
      <c r="BJ12" s="23">
        <f t="shared" si="14"/>
        <v>1907</v>
      </c>
      <c r="BK12" s="23">
        <f t="shared" si="14"/>
        <v>1913</v>
      </c>
      <c r="BL12" s="23">
        <f t="shared" si="14"/>
        <v>1924</v>
      </c>
      <c r="BM12" s="23">
        <f t="shared" si="14"/>
        <v>1915</v>
      </c>
      <c r="BN12" s="23">
        <f t="shared" si="14"/>
        <v>1911</v>
      </c>
      <c r="BO12" s="23">
        <f t="shared" si="14"/>
        <v>1915</v>
      </c>
      <c r="BP12" s="23">
        <f t="shared" si="14"/>
        <v>1915</v>
      </c>
      <c r="BQ12" s="23">
        <f t="shared" si="14"/>
        <v>1914</v>
      </c>
      <c r="BR12" s="23">
        <f>COUNTIF(BR33:BR1972,"")</f>
        <v>1905</v>
      </c>
      <c r="BS12" s="23">
        <f>COUNTIF(BS28:BS1972,"")</f>
        <v>1924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5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6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5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6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5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6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5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6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5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6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5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6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5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6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5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6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5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6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5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6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5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6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5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6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5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6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5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6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5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6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5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6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5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6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5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6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5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6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5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6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5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6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5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6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5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6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5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6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5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6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5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6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5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6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5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6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5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6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5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6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5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6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5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6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5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6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5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6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5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6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5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6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5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6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5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6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5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6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5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6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5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6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5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6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5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6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5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6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5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6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5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6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5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6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5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6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5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6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5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6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5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6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5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6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5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6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5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6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5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6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5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6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5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6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5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6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5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6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5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6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5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6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5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6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5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6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5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6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17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18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17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18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17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18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17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18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17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18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t="str" cm="1">
        <f t="array" ref="E83">IFERROR(INDEX($J$5:$AVX$5, _xlfn.AGGREGATE(15,6, COLUMN(J83:AVX83)-COLUMN(J83)+1 / (J83:AVX83="T"), F83)), "")</f>
        <v/>
      </c>
      <c r="F83" s="76">
        <f t="shared" si="17"/>
        <v>2</v>
      </c>
      <c r="G83" s="35" cm="1">
        <f t="array" ref="G83">IFERROR(INDEX($J$5:$AVW$5,_xlfn.AGGREGATE(14,6,(COLUMN($J83:$AVW83)-COLUMN($J83)+1)/($J83:$AVW83="T"),1)),"")</f>
        <v>45988</v>
      </c>
      <c r="H83" s="79">
        <f t="shared" si="18"/>
        <v>1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33"/>
      <c r="BM83" s="33"/>
      <c r="BN83" s="33"/>
      <c r="BO83" s="33"/>
      <c r="BP83" s="33"/>
      <c r="BQ83" s="33"/>
      <c r="BR83" s="33"/>
      <c r="BS83" s="33"/>
      <c r="BT83" s="33"/>
      <c r="BU83" s="33"/>
      <c r="BV83" s="33"/>
      <c r="BW83" s="33"/>
      <c r="BX83" s="33"/>
      <c r="BY83" s="33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t="str" cm="1">
        <f t="array" ref="E84">IFERROR(INDEX($J$5:$AVX$5, _xlfn.AGGREGATE(15,6, COLUMN(J84:AVX84)-COLUMN(J84)+1 / (J84:AVX84="T"), F84)), "")</f>
        <v/>
      </c>
      <c r="F84" s="76">
        <f t="shared" si="17"/>
        <v>2</v>
      </c>
      <c r="G84" s="35" cm="1">
        <f t="array" ref="G84">IFERROR(INDEX($J$5:$AVW$5,_xlfn.AGGREGATE(14,6,(COLUMN($J84:$AVW84)-COLUMN($J84)+1)/($J84:$AVW84="T"),1)),"")</f>
        <v>45988</v>
      </c>
      <c r="H84" s="79">
        <f t="shared" si="18"/>
        <v>1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33"/>
      <c r="BM84" s="33"/>
      <c r="BN84" s="33"/>
      <c r="BO84" s="33"/>
      <c r="BP84" s="33"/>
      <c r="BQ84" s="33"/>
      <c r="BR84" s="33"/>
      <c r="BS84" s="33"/>
      <c r="BT84" s="33"/>
      <c r="BU84" s="33"/>
      <c r="BV84" s="33"/>
      <c r="BW84" s="33"/>
      <c r="BX84" s="33"/>
      <c r="BY84" s="33"/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t="str" cm="1">
        <f t="array" ref="E85">IFERROR(INDEX($J$5:$AVX$5, _xlfn.AGGREGATE(15,6, COLUMN(J85:AVX85)-COLUMN(J85)+1 / (J85:AVX85="T"), F85)), "")</f>
        <v/>
      </c>
      <c r="F85" s="76">
        <f t="shared" si="17"/>
        <v>2</v>
      </c>
      <c r="G85" s="35" cm="1">
        <f t="array" ref="G85">IFERROR(INDEX($J$5:$AVW$5,_xlfn.AGGREGATE(14,6,(COLUMN($J85:$AVW85)-COLUMN($J85)+1)/($J85:$AVW85="T"),1)),"")</f>
        <v>45988</v>
      </c>
      <c r="H85" s="79">
        <f t="shared" si="18"/>
        <v>1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33"/>
      <c r="BM85" s="33"/>
      <c r="BN85" s="33"/>
      <c r="BO85" s="33"/>
      <c r="BP85" s="33"/>
      <c r="BQ85" s="33"/>
      <c r="BR85" s="33"/>
      <c r="BS85" s="33"/>
      <c r="BT85" s="33"/>
      <c r="BU85" s="33"/>
      <c r="BV85" s="33"/>
      <c r="BW85" s="33"/>
      <c r="BX85" s="33"/>
      <c r="BY85" s="33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t="str" cm="1">
        <f t="array" ref="E86">IFERROR(INDEX($J$5:$AVX$5, _xlfn.AGGREGATE(15,6, COLUMN(J86:AVX86)-COLUMN(J86)+1 / (J86:AVX86="T"), F86)), "")</f>
        <v/>
      </c>
      <c r="F86" s="76">
        <f t="shared" si="17"/>
        <v>2</v>
      </c>
      <c r="G86" s="35" cm="1">
        <f t="array" ref="G86">IFERROR(INDEX($J$5:$AVW$5,_xlfn.AGGREGATE(14,6,(COLUMN($J86:$AVW86)-COLUMN($J86)+1)/($J86:$AVW86="T"),1)),"")</f>
        <v>45987</v>
      </c>
      <c r="H86" s="79">
        <f t="shared" si="18"/>
        <v>1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33"/>
      <c r="BM86" s="33"/>
      <c r="BN86" s="33"/>
      <c r="BO86" s="33"/>
      <c r="BP86" s="33"/>
      <c r="BQ86" s="33"/>
      <c r="BR86" s="33"/>
      <c r="BS86" s="33"/>
      <c r="BT86" s="33"/>
      <c r="BU86" s="33"/>
      <c r="BV86" s="33"/>
      <c r="BW86" s="33"/>
      <c r="BX86" s="33"/>
      <c r="BY86" s="33"/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t="str" cm="1">
        <f t="array" ref="E87">IFERROR(INDEX($J$5:$AVX$5, _xlfn.AGGREGATE(15,6, COLUMN(J87:AVX87)-COLUMN(J87)+1 / (J87:AVX87="T"), F87)), "")</f>
        <v/>
      </c>
      <c r="F87" s="76">
        <f t="shared" si="17"/>
        <v>2</v>
      </c>
      <c r="G87" s="35" cm="1">
        <f t="array" ref="G87">IFERROR(INDEX($J$5:$AVW$5,_xlfn.AGGREGATE(14,6,(COLUMN($J87:$AVW87)-COLUMN($J87)+1)/($J87:$AVW87="T"),1)),"")</f>
        <v>45987</v>
      </c>
      <c r="H87" s="79">
        <f t="shared" si="18"/>
        <v>1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33"/>
      <c r="BM87" s="33"/>
      <c r="BN87" s="33"/>
      <c r="BO87" s="33"/>
      <c r="BP87" s="33"/>
      <c r="BQ87" s="33"/>
      <c r="BR87" s="33"/>
      <c r="BS87" s="33"/>
      <c r="BT87" s="33"/>
      <c r="BU87" s="33"/>
      <c r="BV87" s="33"/>
      <c r="BW87" s="33"/>
      <c r="BX87" s="33"/>
      <c r="BY87" s="33"/>
      <c r="BZ87" s="33"/>
      <c r="CA87" s="33"/>
      <c r="CB87" s="33"/>
      <c r="CC87" s="33"/>
      <c r="CD87" s="33"/>
      <c r="CE87" s="33"/>
      <c r="CF87" s="33"/>
      <c r="CG87" s="33"/>
      <c r="CH87" s="33"/>
      <c r="CI87" s="33"/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t="str" cm="1">
        <f t="array" ref="E88">IFERROR(INDEX($J$5:$AVX$5, _xlfn.AGGREGATE(15,6, COLUMN(J88:AVX88)-COLUMN(J88)+1 / (J88:AVX88="T"), F88)), "")</f>
        <v/>
      </c>
      <c r="F88" s="76">
        <f t="shared" si="17"/>
        <v>2</v>
      </c>
      <c r="G88" s="35" cm="1">
        <f t="array" ref="G88">IFERROR(INDEX($J$5:$AVW$5,_xlfn.AGGREGATE(14,6,(COLUMN($J88:$AVW88)-COLUMN($J88)+1)/($J88:$AVW88="T"),1)),"")</f>
        <v>45987</v>
      </c>
      <c r="H88" s="79">
        <f t="shared" si="18"/>
        <v>1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33"/>
      <c r="BM88" s="33"/>
      <c r="BN88" s="33"/>
      <c r="BO88" s="33"/>
      <c r="BP88" s="33"/>
      <c r="BQ88" s="33"/>
      <c r="BR88" s="33"/>
      <c r="BS88" s="33"/>
      <c r="BT88" s="33"/>
      <c r="BU88" s="33"/>
      <c r="BV88" s="33"/>
      <c r="BW88" s="33"/>
      <c r="BX88" s="33"/>
      <c r="BY88" s="33"/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t="str" cm="1">
        <f t="array" ref="E89">IFERROR(INDEX($J$5:$AVX$5, _xlfn.AGGREGATE(15,6, COLUMN(J89:AVX89)-COLUMN(J89)+1 / (J89:AVX89="T"), F89)), "")</f>
        <v/>
      </c>
      <c r="F89" s="76">
        <f t="shared" si="17"/>
        <v>2</v>
      </c>
      <c r="G89" s="35" cm="1">
        <f t="array" ref="G89">IFERROR(INDEX($J$5:$AVW$5,_xlfn.AGGREGATE(14,6,(COLUMN($J89:$AVW89)-COLUMN($J89)+1)/($J89:$AVW89="T"),1)),"")</f>
        <v>45987</v>
      </c>
      <c r="H89" s="79">
        <f t="shared" si="18"/>
        <v>1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33"/>
      <c r="BM89" s="33"/>
      <c r="BN89" s="33"/>
      <c r="BO89" s="33"/>
      <c r="BP89" s="33"/>
      <c r="BQ89" s="33"/>
      <c r="BR89" s="33"/>
      <c r="BS89" s="33"/>
      <c r="BT89" s="33"/>
      <c r="BU89" s="33"/>
      <c r="BV89" s="33"/>
      <c r="BW89" s="33"/>
      <c r="BX89" s="33"/>
      <c r="BY89" s="33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t="str" cm="1">
        <f t="array" ref="E90">IFERROR(INDEX($J$5:$AVX$5, _xlfn.AGGREGATE(15,6, COLUMN(J90:AVX90)-COLUMN(J90)+1 / (J90:AVX90="T"), F90)), "")</f>
        <v/>
      </c>
      <c r="F90" s="76">
        <f t="shared" si="17"/>
        <v>2</v>
      </c>
      <c r="G90" s="35" cm="1">
        <f t="array" ref="G90">IFERROR(INDEX($J$5:$AVW$5,_xlfn.AGGREGATE(14,6,(COLUMN($J90:$AVW90)-COLUMN($J90)+1)/($J90:$AVW90="T"),1)),"")</f>
        <v>45980</v>
      </c>
      <c r="H90" s="79">
        <f t="shared" si="18"/>
        <v>1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33"/>
      <c r="BL90" s="33"/>
      <c r="BM90" s="33"/>
      <c r="BN90" s="33"/>
      <c r="BO90" s="33"/>
      <c r="BP90" s="33"/>
      <c r="BQ90" s="33"/>
      <c r="BR90" s="33"/>
      <c r="BS90" s="33"/>
      <c r="BT90" s="33"/>
      <c r="BU90" s="33"/>
      <c r="BV90" s="33"/>
      <c r="BW90" s="33"/>
      <c r="BX90" s="33"/>
      <c r="BY90" s="33"/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t="str" cm="1">
        <f t="array" ref="E91">IFERROR(INDEX($J$5:$AVX$5, _xlfn.AGGREGATE(15,6, COLUMN(J91:AVX91)-COLUMN(J91)+1 / (J91:AVX91="T"), F91)), "")</f>
        <v/>
      </c>
      <c r="F91" s="76">
        <f t="shared" si="17"/>
        <v>2</v>
      </c>
      <c r="G91" s="35" cm="1">
        <f t="array" ref="G91">IFERROR(INDEX($J$5:$AVW$5,_xlfn.AGGREGATE(14,6,(COLUMN($J91:$AVW91)-COLUMN($J91)+1)/($J91:$AVW91="T"),1)),"")</f>
        <v>45980</v>
      </c>
      <c r="H91" s="79">
        <f t="shared" si="18"/>
        <v>1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33"/>
      <c r="BL91" s="33"/>
      <c r="BM91" s="33"/>
      <c r="BN91" s="33"/>
      <c r="BO91" s="33"/>
      <c r="BP91" s="33"/>
      <c r="BQ91" s="33"/>
      <c r="BR91" s="33"/>
      <c r="BS91" s="33"/>
      <c r="BT91" s="33"/>
      <c r="BU91" s="33"/>
      <c r="BV91" s="33"/>
      <c r="BW91" s="33"/>
      <c r="BX91" s="33"/>
      <c r="BY91" s="33"/>
      <c r="BZ91" s="33"/>
      <c r="CA91" s="33"/>
      <c r="CB91" s="33"/>
      <c r="CC91" s="33"/>
      <c r="CD91" s="33"/>
      <c r="CE91" s="33"/>
      <c r="CF91" s="33"/>
      <c r="CG91" s="33"/>
      <c r="CH91" s="33"/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t="str" cm="1">
        <f t="array" ref="E92">IFERROR(INDEX($J$5:$AVX$5, _xlfn.AGGREGATE(15,6, COLUMN(J92:AVX92)-COLUMN(J92)+1 / (J92:AVX92="T"), F92)), "")</f>
        <v/>
      </c>
      <c r="F92" s="76">
        <f t="shared" si="17"/>
        <v>2</v>
      </c>
      <c r="G92" s="35" cm="1">
        <f t="array" ref="G92">IFERROR(INDEX($J$5:$AVW$5,_xlfn.AGGREGATE(14,6,(COLUMN($J92:$AVW92)-COLUMN($J92)+1)/($J92:$AVW92="T"),1)),"")</f>
        <v>45980</v>
      </c>
      <c r="H92" s="79">
        <f t="shared" si="18"/>
        <v>1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33"/>
      <c r="BL92" s="33"/>
      <c r="BM92" s="33"/>
      <c r="BN92" s="33"/>
      <c r="BO92" s="33"/>
      <c r="BP92" s="33"/>
      <c r="BQ92" s="33"/>
      <c r="BR92" s="33"/>
      <c r="BS92" s="33"/>
      <c r="BT92" s="33"/>
      <c r="BU92" s="33"/>
      <c r="BV92" s="33"/>
      <c r="BW92" s="33"/>
      <c r="BX92" s="33"/>
      <c r="BY92" s="33"/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t="str" cm="1">
        <f t="array" ref="E93">IFERROR(INDEX($J$5:$AVX$5, _xlfn.AGGREGATE(15,6, COLUMN(J93:AVX93)-COLUMN(J93)+1 / (J93:AVX93="T"), F93)), "")</f>
        <v/>
      </c>
      <c r="F93" s="76">
        <f t="shared" si="17"/>
        <v>2</v>
      </c>
      <c r="G93" s="35" cm="1">
        <f t="array" ref="G93">IFERROR(INDEX($J$5:$AVW$5,_xlfn.AGGREGATE(14,6,(COLUMN($J93:$AVW93)-COLUMN($J93)+1)/($J93:$AVW93="T"),1)),"")</f>
        <v>45980</v>
      </c>
      <c r="H93" s="79">
        <f t="shared" si="18"/>
        <v>1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33"/>
      <c r="BL93" s="33"/>
      <c r="BM93" s="33"/>
      <c r="BN93" s="33"/>
      <c r="BO93" s="33"/>
      <c r="BP93" s="33"/>
      <c r="BQ93" s="33"/>
      <c r="BR93" s="33"/>
      <c r="BS93" s="33"/>
      <c r="BT93" s="33"/>
      <c r="BU93" s="33"/>
      <c r="BV93" s="33"/>
      <c r="BW93" s="33"/>
      <c r="BX93" s="33"/>
      <c r="BY93" s="33"/>
      <c r="BZ93" s="33"/>
      <c r="CA93" s="33"/>
      <c r="CB93" s="33"/>
      <c r="CC93" s="33"/>
      <c r="CD93" s="33"/>
      <c r="CE93" s="33"/>
      <c r="CF93" s="33"/>
      <c r="CG93" s="33"/>
      <c r="CH93" s="33"/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t="str" cm="1">
        <f t="array" ref="E94">IFERROR(INDEX($J$5:$AVX$5, _xlfn.AGGREGATE(15,6, COLUMN(J94:AVX94)-COLUMN(J94)+1 / (J94:AVX94="T"), F94)), "")</f>
        <v/>
      </c>
      <c r="F94" s="76">
        <f t="shared" si="17"/>
        <v>2</v>
      </c>
      <c r="G94" s="35" cm="1">
        <f t="array" ref="G94">IFERROR(INDEX($J$5:$AVW$5,_xlfn.AGGREGATE(14,6,(COLUMN($J94:$AVW94)-COLUMN($J94)+1)/($J94:$AVW94="T"),1)),"")</f>
        <v>45980</v>
      </c>
      <c r="H94" s="79">
        <f t="shared" si="18"/>
        <v>1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33"/>
      <c r="BL94" s="33"/>
      <c r="BM94" s="33"/>
      <c r="BN94" s="33"/>
      <c r="BO94" s="33"/>
      <c r="BP94" s="33"/>
      <c r="BQ94" s="33"/>
      <c r="BR94" s="33"/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3"/>
      <c r="CG94" s="33"/>
      <c r="CH94" s="33"/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t="str" cm="1">
        <f t="array" ref="E95">IFERROR(INDEX($J$5:$AVX$5, _xlfn.AGGREGATE(15,6, COLUMN(J95:AVX95)-COLUMN(J95)+1 / (J95:AVX95="T"), F95)), "")</f>
        <v/>
      </c>
      <c r="F95" s="76">
        <f t="shared" si="17"/>
        <v>2</v>
      </c>
      <c r="G95" s="35" cm="1">
        <f t="array" ref="G95">IFERROR(INDEX($J$5:$AVW$5,_xlfn.AGGREGATE(14,6,(COLUMN($J95:$AVW95)-COLUMN($J95)+1)/($J95:$AVW95="T"),1)),"")</f>
        <v>45980</v>
      </c>
      <c r="H95" s="79">
        <f t="shared" si="18"/>
        <v>1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33"/>
      <c r="BL95" s="33"/>
      <c r="BM95" s="33"/>
      <c r="BN95" s="33"/>
      <c r="BO95" s="33"/>
      <c r="BP95" s="33"/>
      <c r="BQ95" s="33"/>
      <c r="BR95" s="33"/>
      <c r="BS95" s="33"/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3"/>
      <c r="CG95" s="33"/>
      <c r="CH95" s="33"/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t="str" cm="1">
        <f t="array" ref="E96">IFERROR(INDEX($J$5:$AVX$5, _xlfn.AGGREGATE(15,6, COLUMN(J96:AVX96)-COLUMN(J96)+1 / (J96:AVX96="T"), F96)), "")</f>
        <v/>
      </c>
      <c r="F96" s="76">
        <f t="shared" si="17"/>
        <v>2</v>
      </c>
      <c r="G96" s="35" cm="1">
        <f t="array" ref="G96">IFERROR(INDEX($J$5:$AVW$5,_xlfn.AGGREGATE(14,6,(COLUMN($J96:$AVW96)-COLUMN($J96)+1)/($J96:$AVW96="T"),1)),"")</f>
        <v>45980</v>
      </c>
      <c r="H96" s="79">
        <f t="shared" si="18"/>
        <v>1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33"/>
      <c r="BL96" s="33"/>
      <c r="BM96" s="33"/>
      <c r="BN96" s="33"/>
      <c r="BO96" s="33"/>
      <c r="BP96" s="33"/>
      <c r="BQ96" s="33"/>
      <c r="BR96" s="33"/>
      <c r="BS96" s="33"/>
      <c r="BT96" s="33"/>
      <c r="BU96" s="33"/>
      <c r="BV96" s="33"/>
      <c r="BW96" s="33"/>
      <c r="BX96" s="33"/>
      <c r="BY96" s="33"/>
      <c r="BZ96" s="33"/>
      <c r="CA96" s="33"/>
      <c r="CB96" s="33"/>
      <c r="CC96" s="33"/>
      <c r="CD96" s="33"/>
      <c r="CE96" s="33"/>
      <c r="CF96" s="33"/>
      <c r="CG96" s="33"/>
      <c r="CH96" s="33"/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17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18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17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18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17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18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17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18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17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18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17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18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17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18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17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18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17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18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17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18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17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18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17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18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17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18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17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18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17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18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17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18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17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18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17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18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17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18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17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18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17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18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17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18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17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18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17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18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17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18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17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18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17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18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17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18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17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18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17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18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17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18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17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18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17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18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17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18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17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18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17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18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17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18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17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18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17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18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17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18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17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18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17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18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17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18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17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18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17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18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19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0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19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0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19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0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19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0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19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0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19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0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19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0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19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0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19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0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19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0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19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0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19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0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19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0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19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0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19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0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19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0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19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0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19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0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19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0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19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0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19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0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19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0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19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0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19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0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19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0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19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0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19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0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19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0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19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0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19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0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19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0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19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0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19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0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19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0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19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0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19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0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19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0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19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0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19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0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19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0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19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0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19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0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19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0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19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0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19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0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19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0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19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0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19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0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19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0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19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0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19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0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19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0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19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0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19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0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19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0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19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0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19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0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19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0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19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0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19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0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19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0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19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0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19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0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19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0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1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2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1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2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1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2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1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2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1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2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1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2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1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2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1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2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t="str" cm="1">
        <f t="array" ref="E214">IFERROR(INDEX($J$5:$AVX$5, _xlfn.AGGREGATE(15,6, COLUMN(J214:AVX214)-COLUMN(J214)+1 / (J214:AVX214="T"), F214)), "")</f>
        <v/>
      </c>
      <c r="F214" s="76">
        <f t="shared" si="21"/>
        <v>2</v>
      </c>
      <c r="G214" s="35" cm="1">
        <f t="array" ref="G214">IFERROR(INDEX($J$5:$AVW$5,_xlfn.AGGREGATE(14,6,(COLUMN($J214:$AVW214)-COLUMN($J214)+1)/($J214:$AVW214="T"),1)),"")</f>
        <v>45988</v>
      </c>
      <c r="H214" s="79">
        <f t="shared" si="22"/>
        <v>1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33"/>
      <c r="BN214" s="33"/>
      <c r="BO214" s="33"/>
      <c r="BP214" s="33"/>
      <c r="BQ214" s="33"/>
      <c r="BR214" s="33"/>
      <c r="BS214" s="33"/>
      <c r="BT214" s="33"/>
      <c r="BU214" s="33"/>
      <c r="BV214" s="33"/>
      <c r="BW214" s="33"/>
      <c r="BX214" s="33"/>
      <c r="BY214" s="33"/>
      <c r="BZ214" s="33"/>
      <c r="CA214" s="33"/>
      <c r="CB214" s="33"/>
      <c r="CC214" s="33"/>
      <c r="CD214" s="33"/>
      <c r="CE214" s="33"/>
      <c r="CF214" s="33"/>
      <c r="CG214" s="33"/>
      <c r="CH214" s="33"/>
      <c r="CI214" s="33"/>
      <c r="CJ214" s="33"/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t="str" cm="1">
        <f t="array" ref="E215">IFERROR(INDEX($J$5:$AVX$5, _xlfn.AGGREGATE(15,6, COLUMN(J215:AVX215)-COLUMN(J215)+1 / (J215:AVX215="T"), F215)), "")</f>
        <v/>
      </c>
      <c r="F215" s="76">
        <f t="shared" si="21"/>
        <v>2</v>
      </c>
      <c r="G215" s="35" cm="1">
        <f t="array" ref="G215">IFERROR(INDEX($J$5:$AVW$5,_xlfn.AGGREGATE(14,6,(COLUMN($J215:$AVW215)-COLUMN($J215)+1)/($J215:$AVW215="T"),1)),"")</f>
        <v>45988</v>
      </c>
      <c r="H215" s="79">
        <f t="shared" si="22"/>
        <v>1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33"/>
      <c r="BN215" s="33"/>
      <c r="BO215" s="33"/>
      <c r="BP215" s="33"/>
      <c r="BQ215" s="33"/>
      <c r="BR215" s="33"/>
      <c r="BS215" s="33"/>
      <c r="BT215" s="33"/>
      <c r="BU215" s="33"/>
      <c r="BV215" s="33"/>
      <c r="BW215" s="33"/>
      <c r="BX215" s="33"/>
      <c r="BY215" s="33"/>
      <c r="BZ215" s="33"/>
      <c r="CA215" s="33"/>
      <c r="CB215" s="33"/>
      <c r="CC215" s="33"/>
      <c r="CD215" s="33"/>
      <c r="CE215" s="33"/>
      <c r="CF215" s="33"/>
      <c r="CG215" s="33"/>
      <c r="CH215" s="33"/>
      <c r="CI215" s="33"/>
      <c r="CJ215" s="33"/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t="str" cm="1">
        <f t="array" ref="E216">IFERROR(INDEX($J$5:$AVX$5, _xlfn.AGGREGATE(15,6, COLUMN(J216:AVX216)-COLUMN(J216)+1 / (J216:AVX216="T"), F216)), "")</f>
        <v/>
      </c>
      <c r="F216" s="76">
        <f t="shared" si="21"/>
        <v>2</v>
      </c>
      <c r="G216" s="35" cm="1">
        <f t="array" ref="G216">IFERROR(INDEX($J$5:$AVW$5,_xlfn.AGGREGATE(14,6,(COLUMN($J216:$AVW216)-COLUMN($J216)+1)/($J216:$AVW216="T"),1)),"")</f>
        <v>45988</v>
      </c>
      <c r="H216" s="79">
        <f t="shared" si="22"/>
        <v>1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33"/>
      <c r="BN216" s="33"/>
      <c r="BO216" s="33"/>
      <c r="BP216" s="33"/>
      <c r="BQ216" s="33"/>
      <c r="BR216" s="33"/>
      <c r="BS216" s="33"/>
      <c r="BT216" s="33"/>
      <c r="BU216" s="33"/>
      <c r="BV216" s="33"/>
      <c r="BW216" s="33"/>
      <c r="BX216" s="33"/>
      <c r="BY216" s="33"/>
      <c r="BZ216" s="33"/>
      <c r="CA216" s="33"/>
      <c r="CB216" s="33"/>
      <c r="CC216" s="33"/>
      <c r="CD216" s="33"/>
      <c r="CE216" s="33"/>
      <c r="CF216" s="33"/>
      <c r="CG216" s="33"/>
      <c r="CH216" s="33"/>
      <c r="CI216" s="33"/>
      <c r="CJ216" s="33"/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t="str" cm="1">
        <f t="array" ref="E217">IFERROR(INDEX($J$5:$AVX$5, _xlfn.AGGREGATE(15,6, COLUMN(J217:AVX217)-COLUMN(J217)+1 / (J217:AVX217="T"), F217)), "")</f>
        <v/>
      </c>
      <c r="F217" s="76">
        <f t="shared" si="21"/>
        <v>2</v>
      </c>
      <c r="G217" s="35" cm="1">
        <f t="array" ref="G217">IFERROR(INDEX($J$5:$AVW$5,_xlfn.AGGREGATE(14,6,(COLUMN($J217:$AVW217)-COLUMN($J217)+1)/($J217:$AVW217="T"),1)),"")</f>
        <v>45988</v>
      </c>
      <c r="H217" s="79">
        <f t="shared" si="22"/>
        <v>1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33"/>
      <c r="BN217" s="33"/>
      <c r="BO217" s="33"/>
      <c r="BP217" s="33"/>
      <c r="BQ217" s="33"/>
      <c r="BR217" s="33"/>
      <c r="BS217" s="33"/>
      <c r="BT217" s="33"/>
      <c r="BU217" s="33"/>
      <c r="BV217" s="33"/>
      <c r="BW217" s="33"/>
      <c r="BX217" s="33"/>
      <c r="BY217" s="33"/>
      <c r="BZ217" s="33"/>
      <c r="CA217" s="33"/>
      <c r="CB217" s="33"/>
      <c r="CC217" s="33"/>
      <c r="CD217" s="33"/>
      <c r="CE217" s="33"/>
      <c r="CF217" s="33"/>
      <c r="CG217" s="33"/>
      <c r="CH217" s="33"/>
      <c r="CI217" s="33"/>
      <c r="CJ217" s="33"/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t="str" cm="1">
        <f t="array" ref="E218">IFERROR(INDEX($J$5:$AVX$5, _xlfn.AGGREGATE(15,6, COLUMN(J218:AVX218)-COLUMN(J218)+1 / (J218:AVX218="T"), F218)), "")</f>
        <v/>
      </c>
      <c r="F218" s="76">
        <f t="shared" si="21"/>
        <v>2</v>
      </c>
      <c r="G218" s="35" cm="1">
        <f t="array" ref="G218">IFERROR(INDEX($J$5:$AVW$5,_xlfn.AGGREGATE(14,6,(COLUMN($J218:$AVW218)-COLUMN($J218)+1)/($J218:$AVW218="T"),1)),"")</f>
        <v>45989</v>
      </c>
      <c r="H218" s="79">
        <f t="shared" si="22"/>
        <v>1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33"/>
      <c r="BN218" s="33"/>
      <c r="BO218" s="33"/>
      <c r="BP218" s="33"/>
      <c r="BQ218" s="33"/>
      <c r="BR218" s="33"/>
      <c r="BS218" s="33"/>
      <c r="BT218" s="33"/>
      <c r="BU218" s="33"/>
      <c r="BV218" s="33"/>
      <c r="BW218" s="33"/>
      <c r="BX218" s="33"/>
      <c r="BY218" s="33"/>
      <c r="BZ218" s="33"/>
      <c r="CA218" s="33"/>
      <c r="CB218" s="33"/>
      <c r="CC218" s="33"/>
      <c r="CD218" s="33"/>
      <c r="CE218" s="33"/>
      <c r="CF218" s="33"/>
      <c r="CG218" s="33"/>
      <c r="CH218" s="33"/>
      <c r="CI218" s="33"/>
      <c r="CJ218" s="33"/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t="str" cm="1">
        <f t="array" ref="E219">IFERROR(INDEX($J$5:$AVX$5, _xlfn.AGGREGATE(15,6, COLUMN(J219:AVX219)-COLUMN(J219)+1 / (J219:AVX219="T"), F219)), "")</f>
        <v/>
      </c>
      <c r="F219" s="76">
        <f t="shared" si="21"/>
        <v>2</v>
      </c>
      <c r="G219" s="35" cm="1">
        <f t="array" ref="G219">IFERROR(INDEX($J$5:$AVW$5,_xlfn.AGGREGATE(14,6,(COLUMN($J219:$AVW219)-COLUMN($J219)+1)/($J219:$AVW219="T"),1)),"")</f>
        <v>45989</v>
      </c>
      <c r="H219" s="79">
        <f t="shared" si="22"/>
        <v>1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33"/>
      <c r="BN219" s="33"/>
      <c r="BO219" s="33"/>
      <c r="BP219" s="33"/>
      <c r="BQ219" s="33"/>
      <c r="BR219" s="33"/>
      <c r="BS219" s="33"/>
      <c r="BT219" s="33"/>
      <c r="BU219" s="33"/>
      <c r="BV219" s="33"/>
      <c r="BW219" s="33"/>
      <c r="BX219" s="33"/>
      <c r="BY219" s="33"/>
      <c r="BZ219" s="33"/>
      <c r="CA219" s="33"/>
      <c r="CB219" s="33"/>
      <c r="CC219" s="33"/>
      <c r="CD219" s="33"/>
      <c r="CE219" s="33"/>
      <c r="CF219" s="33"/>
      <c r="CG219" s="33"/>
      <c r="CH219" s="33"/>
      <c r="CI219" s="33"/>
      <c r="CJ219" s="33"/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t="str" cm="1">
        <f t="array" ref="E220">IFERROR(INDEX($J$5:$AVX$5, _xlfn.AGGREGATE(15,6, COLUMN(J220:AVX220)-COLUMN(J220)+1 / (J220:AVX220="T"), F220)), "")</f>
        <v/>
      </c>
      <c r="F220" s="76">
        <f t="shared" si="21"/>
        <v>2</v>
      </c>
      <c r="G220" s="35" cm="1">
        <f t="array" ref="G220">IFERROR(INDEX($J$5:$AVW$5,_xlfn.AGGREGATE(14,6,(COLUMN($J220:$AVW220)-COLUMN($J220)+1)/($J220:$AVW220="T"),1)),"")</f>
        <v>45989</v>
      </c>
      <c r="H220" s="79">
        <f t="shared" si="22"/>
        <v>1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33"/>
      <c r="BN220" s="33"/>
      <c r="BO220" s="33"/>
      <c r="BP220" s="33"/>
      <c r="BQ220" s="33"/>
      <c r="BR220" s="33"/>
      <c r="BS220" s="33"/>
      <c r="BT220" s="33"/>
      <c r="BU220" s="33"/>
      <c r="BV220" s="33"/>
      <c r="BW220" s="33"/>
      <c r="BX220" s="33"/>
      <c r="BY220" s="33"/>
      <c r="BZ220" s="33"/>
      <c r="CA220" s="33"/>
      <c r="CB220" s="33"/>
      <c r="CC220" s="33"/>
      <c r="CD220" s="33"/>
      <c r="CE220" s="33"/>
      <c r="CF220" s="33"/>
      <c r="CG220" s="33"/>
      <c r="CH220" s="33"/>
      <c r="CI220" s="33"/>
      <c r="CJ220" s="33"/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t="str" cm="1">
        <f t="array" ref="E221">IFERROR(INDEX($J$5:$AVX$5, _xlfn.AGGREGATE(15,6, COLUMN(J221:AVX221)-COLUMN(J221)+1 / (J221:AVX221="T"), F221)), "")</f>
        <v/>
      </c>
      <c r="F221" s="76">
        <f t="shared" si="21"/>
        <v>2</v>
      </c>
      <c r="G221" s="35" cm="1">
        <f t="array" ref="G221">IFERROR(INDEX($J$5:$AVW$5,_xlfn.AGGREGATE(14,6,(COLUMN($J221:$AVW221)-COLUMN($J221)+1)/($J221:$AVW221="T"),1)),"")</f>
        <v>45989</v>
      </c>
      <c r="H221" s="79">
        <f t="shared" si="22"/>
        <v>1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33"/>
      <c r="BO221" s="33"/>
      <c r="BP221" s="33"/>
      <c r="BQ221" s="33"/>
      <c r="BR221" s="33"/>
      <c r="BS221" s="33"/>
      <c r="BT221" s="33"/>
      <c r="BU221" s="33"/>
      <c r="BV221" s="33"/>
      <c r="BW221" s="33"/>
      <c r="BX221" s="33"/>
      <c r="BY221" s="33"/>
      <c r="BZ221" s="33"/>
      <c r="CA221" s="33"/>
      <c r="CB221" s="33"/>
      <c r="CC221" s="33"/>
      <c r="CD221" s="33"/>
      <c r="CE221" s="33"/>
      <c r="CF221" s="33"/>
      <c r="CG221" s="33"/>
      <c r="CH221" s="33"/>
      <c r="CI221" s="33"/>
      <c r="CJ221" s="33"/>
      <c r="CK221" s="33"/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t="str" cm="1">
        <f t="array" ref="E222">IFERROR(INDEX($J$5:$AVX$5, _xlfn.AGGREGATE(15,6, COLUMN(J222:AVX222)-COLUMN(J222)+1 / (J222:AVX222="T"), F222)), "")</f>
        <v/>
      </c>
      <c r="F222" s="76">
        <f t="shared" si="21"/>
        <v>2</v>
      </c>
      <c r="G222" s="35" cm="1">
        <f t="array" ref="G222">IFERROR(INDEX($J$5:$AVW$5,_xlfn.AGGREGATE(14,6,(COLUMN($J222:$AVW222)-COLUMN($J222)+1)/($J222:$AVW222="T"),1)),"")</f>
        <v>45989</v>
      </c>
      <c r="H222" s="79">
        <f t="shared" si="22"/>
        <v>1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33"/>
      <c r="BO222" s="33"/>
      <c r="BP222" s="33"/>
      <c r="BQ222" s="33"/>
      <c r="BR222" s="33"/>
      <c r="BS222" s="33"/>
      <c r="BT222" s="33"/>
      <c r="BU222" s="33"/>
      <c r="BV222" s="33"/>
      <c r="BW222" s="33"/>
      <c r="BX222" s="33"/>
      <c r="BY222" s="33"/>
      <c r="BZ222" s="33"/>
      <c r="CA222" s="33"/>
      <c r="CB222" s="33"/>
      <c r="CC222" s="33"/>
      <c r="CD222" s="33"/>
      <c r="CE222" s="33"/>
      <c r="CF222" s="33"/>
      <c r="CG222" s="33"/>
      <c r="CH222" s="33"/>
      <c r="CI222" s="33"/>
      <c r="CJ222" s="33"/>
      <c r="CK222" s="33"/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t="str" cm="1">
        <f t="array" ref="E223">IFERROR(INDEX($J$5:$AVX$5, _xlfn.AGGREGATE(15,6, COLUMN(J223:AVX223)-COLUMN(J223)+1 / (J223:AVX223="T"), F223)), "")</f>
        <v/>
      </c>
      <c r="F223" s="76">
        <f t="shared" si="21"/>
        <v>2</v>
      </c>
      <c r="G223" s="35" cm="1">
        <f t="array" ref="G223">IFERROR(INDEX($J$5:$AVW$5,_xlfn.AGGREGATE(14,6,(COLUMN($J223:$AVW223)-COLUMN($J223)+1)/($J223:$AVW223="T"),1)),"")</f>
        <v>45989</v>
      </c>
      <c r="H223" s="79">
        <f t="shared" si="22"/>
        <v>1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33"/>
      <c r="BO223" s="33"/>
      <c r="BP223" s="33"/>
      <c r="BQ223" s="33"/>
      <c r="BR223" s="33"/>
      <c r="BS223" s="33"/>
      <c r="BT223" s="33"/>
      <c r="BU223" s="33"/>
      <c r="BV223" s="33"/>
      <c r="BW223" s="33"/>
      <c r="BX223" s="33"/>
      <c r="BY223" s="33"/>
      <c r="BZ223" s="33"/>
      <c r="CA223" s="33"/>
      <c r="CB223" s="33"/>
      <c r="CC223" s="33"/>
      <c r="CD223" s="33"/>
      <c r="CE223" s="33"/>
      <c r="CF223" s="33"/>
      <c r="CG223" s="33"/>
      <c r="CH223" s="33"/>
      <c r="CI223" s="33"/>
      <c r="CJ223" s="33"/>
      <c r="CK223" s="33"/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t="str" cm="1">
        <f t="array" ref="E224">IFERROR(INDEX($J$5:$AVX$5, _xlfn.AGGREGATE(15,6, COLUMN(J224:AVX224)-COLUMN(J224)+1 / (J224:AVX224="T"), F224)), "")</f>
        <v/>
      </c>
      <c r="F224" s="76">
        <f t="shared" si="21"/>
        <v>2</v>
      </c>
      <c r="G224" s="35" cm="1">
        <f t="array" ref="G224">IFERROR(INDEX($J$5:$AVW$5,_xlfn.AGGREGATE(14,6,(COLUMN($J224:$AVW224)-COLUMN($J224)+1)/($J224:$AVW224="T"),1)),"")</f>
        <v>45989</v>
      </c>
      <c r="H224" s="79">
        <f t="shared" si="22"/>
        <v>1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33"/>
      <c r="BO224" s="33"/>
      <c r="BP224" s="33"/>
      <c r="BQ224" s="33"/>
      <c r="BR224" s="33"/>
      <c r="BS224" s="33"/>
      <c r="BT224" s="33"/>
      <c r="BU224" s="33"/>
      <c r="BV224" s="33"/>
      <c r="BW224" s="33"/>
      <c r="BX224" s="33"/>
      <c r="BY224" s="33"/>
      <c r="BZ224" s="33"/>
      <c r="CA224" s="33"/>
      <c r="CB224" s="33"/>
      <c r="CC224" s="33"/>
      <c r="CD224" s="33"/>
      <c r="CE224" s="33"/>
      <c r="CF224" s="33"/>
      <c r="CG224" s="33"/>
      <c r="CH224" s="33"/>
      <c r="CI224" s="33"/>
      <c r="CJ224" s="33"/>
      <c r="CK224" s="33"/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t="str" cm="1">
        <f t="array" ref="E225">IFERROR(INDEX($J$5:$AVX$5, _xlfn.AGGREGATE(15,6, COLUMN(J225:AVX225)-COLUMN(J225)+1 / (J225:AVX225="T"), F225)), "")</f>
        <v/>
      </c>
      <c r="F225" s="76">
        <f t="shared" si="21"/>
        <v>2</v>
      </c>
      <c r="G225" s="35" cm="1">
        <f t="array" ref="G225">IFERROR(INDEX($J$5:$AVW$5,_xlfn.AGGREGATE(14,6,(COLUMN($J225:$AVW225)-COLUMN($J225)+1)/($J225:$AVW225="T"),1)),"")</f>
        <v>45990</v>
      </c>
      <c r="H225" s="79">
        <f t="shared" si="22"/>
        <v>1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33"/>
      <c r="BO225" s="33"/>
      <c r="BP225" s="33"/>
      <c r="BQ225" s="33"/>
      <c r="BR225" s="33"/>
      <c r="BS225" s="33"/>
      <c r="BT225" s="33"/>
      <c r="BU225" s="33"/>
      <c r="BV225" s="33"/>
      <c r="BW225" s="33"/>
      <c r="BX225" s="33"/>
      <c r="BY225" s="33"/>
      <c r="BZ225" s="33"/>
      <c r="CA225" s="33"/>
      <c r="CB225" s="33"/>
      <c r="CC225" s="33"/>
      <c r="CD225" s="33"/>
      <c r="CE225" s="33"/>
      <c r="CF225" s="33"/>
      <c r="CG225" s="33"/>
      <c r="CH225" s="33"/>
      <c r="CI225" s="33"/>
      <c r="CJ225" s="33"/>
      <c r="CK225" s="33"/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t="str" cm="1">
        <f t="array" ref="E226">IFERROR(INDEX($J$5:$AVX$5, _xlfn.AGGREGATE(15,6, COLUMN(J226:AVX226)-COLUMN(J226)+1 / (J226:AVX226="T"), F226)), "")</f>
        <v/>
      </c>
      <c r="F226" s="76">
        <f t="shared" si="21"/>
        <v>2</v>
      </c>
      <c r="G226" s="35" cm="1">
        <f t="array" ref="G226">IFERROR(INDEX($J$5:$AVW$5,_xlfn.AGGREGATE(14,6,(COLUMN($J226:$AVW226)-COLUMN($J226)+1)/($J226:$AVW226="T"),1)),"")</f>
        <v>45990</v>
      </c>
      <c r="H226" s="79">
        <f t="shared" si="22"/>
        <v>1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33"/>
      <c r="BO226" s="33"/>
      <c r="BP226" s="33"/>
      <c r="BQ226" s="33"/>
      <c r="BR226" s="33"/>
      <c r="BS226" s="33"/>
      <c r="BT226" s="33"/>
      <c r="BU226" s="33"/>
      <c r="BV226" s="33"/>
      <c r="BW226" s="33"/>
      <c r="BX226" s="33"/>
      <c r="BY226" s="33"/>
      <c r="BZ226" s="33"/>
      <c r="CA226" s="33"/>
      <c r="CB226" s="33"/>
      <c r="CC226" s="33"/>
      <c r="CD226" s="33"/>
      <c r="CE226" s="33"/>
      <c r="CF226" s="33"/>
      <c r="CG226" s="33"/>
      <c r="CH226" s="33"/>
      <c r="CI226" s="33"/>
      <c r="CJ226" s="33"/>
      <c r="CK226" s="33"/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t="str" cm="1">
        <f t="array" ref="E227">IFERROR(INDEX($J$5:$AVX$5, _xlfn.AGGREGATE(15,6, COLUMN(J227:AVX227)-COLUMN(J227)+1 / (J227:AVX227="T"), F227)), "")</f>
        <v/>
      </c>
      <c r="F227" s="76">
        <f t="shared" si="21"/>
        <v>2</v>
      </c>
      <c r="G227" s="35" cm="1">
        <f t="array" ref="G227">IFERROR(INDEX($J$5:$AVW$5,_xlfn.AGGREGATE(14,6,(COLUMN($J227:$AVW227)-COLUMN($J227)+1)/($J227:$AVW227="T"),1)),"")</f>
        <v>45990</v>
      </c>
      <c r="H227" s="79">
        <f t="shared" si="22"/>
        <v>1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33"/>
      <c r="BO227" s="33"/>
      <c r="BP227" s="33"/>
      <c r="BQ227" s="33"/>
      <c r="BR227" s="33"/>
      <c r="BS227" s="33"/>
      <c r="BT227" s="33"/>
      <c r="BU227" s="33"/>
      <c r="BV227" s="33"/>
      <c r="BW227" s="33"/>
      <c r="BX227" s="33"/>
      <c r="BY227" s="33"/>
      <c r="BZ227" s="33"/>
      <c r="CA227" s="33"/>
      <c r="CB227" s="33"/>
      <c r="CC227" s="33"/>
      <c r="CD227" s="33"/>
      <c r="CE227" s="33"/>
      <c r="CF227" s="33"/>
      <c r="CG227" s="33"/>
      <c r="CH227" s="33"/>
      <c r="CI227" s="33"/>
      <c r="CJ227" s="33"/>
      <c r="CK227" s="33"/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t="str" cm="1">
        <f t="array" ref="E228">IFERROR(INDEX($J$5:$AVX$5, _xlfn.AGGREGATE(15,6, COLUMN(J228:AVX228)-COLUMN(J228)+1 / (J228:AVX228="T"), F228)), "")</f>
        <v/>
      </c>
      <c r="F228" s="76">
        <f t="shared" si="21"/>
        <v>2</v>
      </c>
      <c r="G228" s="35" cm="1">
        <f t="array" ref="G228">IFERROR(INDEX($J$5:$AVW$5,_xlfn.AGGREGATE(14,6,(COLUMN($J228:$AVW228)-COLUMN($J228)+1)/($J228:$AVW228="T"),1)),"")</f>
        <v>45990</v>
      </c>
      <c r="H228" s="79">
        <f t="shared" si="22"/>
        <v>1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33"/>
      <c r="BP228" s="33"/>
      <c r="BQ228" s="33"/>
      <c r="BR228" s="33"/>
      <c r="BS228" s="33"/>
      <c r="BT228" s="33"/>
      <c r="BU228" s="33"/>
      <c r="BV228" s="33"/>
      <c r="BW228" s="33"/>
      <c r="BX228" s="33"/>
      <c r="BY228" s="33"/>
      <c r="BZ228" s="33"/>
      <c r="CA228" s="33"/>
      <c r="CB228" s="33"/>
      <c r="CC228" s="33"/>
      <c r="CD228" s="33"/>
      <c r="CE228" s="33"/>
      <c r="CF228" s="33"/>
      <c r="CG228" s="33"/>
      <c r="CH228" s="33"/>
      <c r="CI228" s="33"/>
      <c r="CJ228" s="33"/>
      <c r="CK228" s="33"/>
      <c r="CL228" s="33"/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t="str" cm="1">
        <f t="array" ref="E229">IFERROR(INDEX($J$5:$AVX$5, _xlfn.AGGREGATE(15,6, COLUMN(J229:AVX229)-COLUMN(J229)+1 / (J229:AVX229="T"), F229)), "")</f>
        <v/>
      </c>
      <c r="F229" s="76">
        <f t="shared" si="21"/>
        <v>2</v>
      </c>
      <c r="G229" s="35" cm="1">
        <f t="array" ref="G229">IFERROR(INDEX($J$5:$AVW$5,_xlfn.AGGREGATE(14,6,(COLUMN($J229:$AVW229)-COLUMN($J229)+1)/($J229:$AVW229="T"),1)),"")</f>
        <v>45990</v>
      </c>
      <c r="H229" s="79">
        <f t="shared" si="22"/>
        <v>1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33"/>
      <c r="BP229" s="33"/>
      <c r="BQ229" s="33"/>
      <c r="BR229" s="33"/>
      <c r="BS229" s="33"/>
      <c r="BT229" s="33"/>
      <c r="BU229" s="33"/>
      <c r="BV229" s="33"/>
      <c r="BW229" s="33"/>
      <c r="BX229" s="33"/>
      <c r="BY229" s="33"/>
      <c r="BZ229" s="33"/>
      <c r="CA229" s="33"/>
      <c r="CB229" s="33"/>
      <c r="CC229" s="33"/>
      <c r="CD229" s="33"/>
      <c r="CE229" s="33"/>
      <c r="CF229" s="33"/>
      <c r="CG229" s="33"/>
      <c r="CH229" s="33"/>
      <c r="CI229" s="33"/>
      <c r="CJ229" s="33"/>
      <c r="CK229" s="33"/>
      <c r="CL229" s="33"/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t="str" cm="1">
        <f t="array" ref="E230">IFERROR(INDEX($J$5:$AVX$5, _xlfn.AGGREGATE(15,6, COLUMN(J230:AVX230)-COLUMN(J230)+1 / (J230:AVX230="T"), F230)), "")</f>
        <v/>
      </c>
      <c r="F230" s="76">
        <f t="shared" si="21"/>
        <v>2</v>
      </c>
      <c r="G230" s="35" cm="1">
        <f t="array" ref="G230">IFERROR(INDEX($J$5:$AVW$5,_xlfn.AGGREGATE(14,6,(COLUMN($J230:$AVW230)-COLUMN($J230)+1)/($J230:$AVW230="T"),1)),"")</f>
        <v>45990</v>
      </c>
      <c r="H230" s="79">
        <f t="shared" si="22"/>
        <v>1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33"/>
      <c r="BP230" s="33"/>
      <c r="BQ230" s="33"/>
      <c r="BR230" s="33"/>
      <c r="BS230" s="33"/>
      <c r="BT230" s="33"/>
      <c r="BU230" s="33"/>
      <c r="BV230" s="33"/>
      <c r="BW230" s="33"/>
      <c r="BX230" s="33"/>
      <c r="BY230" s="33"/>
      <c r="BZ230" s="33"/>
      <c r="CA230" s="33"/>
      <c r="CB230" s="33"/>
      <c r="CC230" s="33"/>
      <c r="CD230" s="33"/>
      <c r="CE230" s="33"/>
      <c r="CF230" s="33"/>
      <c r="CG230" s="33"/>
      <c r="CH230" s="33"/>
      <c r="CI230" s="33"/>
      <c r="CJ230" s="33"/>
      <c r="CK230" s="33"/>
      <c r="CL230" s="33"/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t="str" cm="1">
        <f t="array" ref="E231">IFERROR(INDEX($J$5:$AVX$5, _xlfn.AGGREGATE(15,6, COLUMN(J231:AVX231)-COLUMN(J231)+1 / (J231:AVX231="T"), F231)), "")</f>
        <v/>
      </c>
      <c r="F231" s="76">
        <f t="shared" si="21"/>
        <v>2</v>
      </c>
      <c r="G231" s="35" cm="1">
        <f t="array" ref="G231">IFERROR(INDEX($J$5:$AVW$5,_xlfn.AGGREGATE(14,6,(COLUMN($J231:$AVW231)-COLUMN($J231)+1)/($J231:$AVW231="T"),1)),"")</f>
        <v>45990</v>
      </c>
      <c r="H231" s="79">
        <f t="shared" si="22"/>
        <v>1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33"/>
      <c r="BP231" s="33"/>
      <c r="BQ231" s="33"/>
      <c r="BR231" s="33"/>
      <c r="BS231" s="33"/>
      <c r="BT231" s="33"/>
      <c r="BU231" s="33"/>
      <c r="BV231" s="33"/>
      <c r="BW231" s="33"/>
      <c r="BX231" s="33"/>
      <c r="BY231" s="33"/>
      <c r="BZ231" s="33"/>
      <c r="CA231" s="33"/>
      <c r="CB231" s="33"/>
      <c r="CC231" s="33"/>
      <c r="CD231" s="33"/>
      <c r="CE231" s="33"/>
      <c r="CF231" s="33"/>
      <c r="CG231" s="33"/>
      <c r="CH231" s="33"/>
      <c r="CI231" s="33"/>
      <c r="CJ231" s="33"/>
      <c r="CK231" s="33"/>
      <c r="CL231" s="33"/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t="str" cm="1">
        <f t="array" ref="E232">IFERROR(INDEX($J$5:$AVX$5, _xlfn.AGGREGATE(15,6, COLUMN(J232:AVX232)-COLUMN(J232)+1 / (J232:AVX232="T"), F232)), "")</f>
        <v/>
      </c>
      <c r="F232" s="76">
        <f t="shared" si="21"/>
        <v>2</v>
      </c>
      <c r="G232" s="35" cm="1">
        <f t="array" ref="G232">IFERROR(INDEX($J$5:$AVW$5,_xlfn.AGGREGATE(14,6,(COLUMN($J232:$AVW232)-COLUMN($J232)+1)/($J232:$AVW232="T"),1)),"")</f>
        <v>45991</v>
      </c>
      <c r="H232" s="79">
        <f t="shared" si="22"/>
        <v>1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33"/>
      <c r="BP232" s="33"/>
      <c r="BQ232" s="33"/>
      <c r="BR232" s="33"/>
      <c r="BS232" s="33"/>
      <c r="BT232" s="33"/>
      <c r="BU232" s="33"/>
      <c r="BV232" s="33"/>
      <c r="BW232" s="33"/>
      <c r="BX232" s="33"/>
      <c r="BY232" s="33"/>
      <c r="BZ232" s="33"/>
      <c r="CA232" s="33"/>
      <c r="CB232" s="33"/>
      <c r="CC232" s="33"/>
      <c r="CD232" s="33"/>
      <c r="CE232" s="33"/>
      <c r="CF232" s="33"/>
      <c r="CG232" s="33"/>
      <c r="CH232" s="33"/>
      <c r="CI232" s="33"/>
      <c r="CJ232" s="33"/>
      <c r="CK232" s="33"/>
      <c r="CL232" s="33"/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t="str" cm="1">
        <f t="array" ref="E233">IFERROR(INDEX($J$5:$AVX$5, _xlfn.AGGREGATE(15,6, COLUMN(J233:AVX233)-COLUMN(J233)+1 / (J233:AVX233="T"), F233)), "")</f>
        <v/>
      </c>
      <c r="F233" s="76">
        <f t="shared" si="21"/>
        <v>2</v>
      </c>
      <c r="G233" s="35" cm="1">
        <f t="array" ref="G233">IFERROR(INDEX($J$5:$AVW$5,_xlfn.AGGREGATE(14,6,(COLUMN($J233:$AVW233)-COLUMN($J233)+1)/($J233:$AVW233="T"),1)),"")</f>
        <v>45991</v>
      </c>
      <c r="H233" s="79">
        <f t="shared" si="22"/>
        <v>1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33"/>
      <c r="BP233" s="33"/>
      <c r="BQ233" s="33"/>
      <c r="BR233" s="33"/>
      <c r="BS233" s="33"/>
      <c r="BT233" s="33"/>
      <c r="BU233" s="33"/>
      <c r="BV233" s="33"/>
      <c r="BW233" s="33"/>
      <c r="BX233" s="33"/>
      <c r="BY233" s="33"/>
      <c r="BZ233" s="33"/>
      <c r="CA233" s="33"/>
      <c r="CB233" s="33"/>
      <c r="CC233" s="33"/>
      <c r="CD233" s="33"/>
      <c r="CE233" s="33"/>
      <c r="CF233" s="33"/>
      <c r="CG233" s="33"/>
      <c r="CH233" s="33"/>
      <c r="CI233" s="33"/>
      <c r="CJ233" s="33"/>
      <c r="CK233" s="33"/>
      <c r="CL233" s="33"/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t="str" cm="1">
        <f t="array" ref="E234">IFERROR(INDEX($J$5:$AVX$5, _xlfn.AGGREGATE(15,6, COLUMN(J234:AVX234)-COLUMN(J234)+1 / (J234:AVX234="T"), F234)), "")</f>
        <v/>
      </c>
      <c r="F234" s="76">
        <f t="shared" si="21"/>
        <v>2</v>
      </c>
      <c r="G234" s="35" cm="1">
        <f t="array" ref="G234">IFERROR(INDEX($J$5:$AVW$5,_xlfn.AGGREGATE(14,6,(COLUMN($J234:$AVW234)-COLUMN($J234)+1)/($J234:$AVW234="T"),1)),"")</f>
        <v>45991</v>
      </c>
      <c r="H234" s="79">
        <f t="shared" si="22"/>
        <v>1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33"/>
      <c r="BP234" s="33"/>
      <c r="BQ234" s="33"/>
      <c r="BR234" s="33"/>
      <c r="BS234" s="33"/>
      <c r="BT234" s="33"/>
      <c r="BU234" s="33"/>
      <c r="BV234" s="33"/>
      <c r="BW234" s="33"/>
      <c r="BX234" s="33"/>
      <c r="BY234" s="33"/>
      <c r="BZ234" s="33"/>
      <c r="CA234" s="33"/>
      <c r="CB234" s="33"/>
      <c r="CC234" s="33"/>
      <c r="CD234" s="33"/>
      <c r="CE234" s="33"/>
      <c r="CF234" s="33"/>
      <c r="CG234" s="33"/>
      <c r="CH234" s="33"/>
      <c r="CI234" s="33"/>
      <c r="CJ234" s="33"/>
      <c r="CK234" s="33"/>
      <c r="CL234" s="33"/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3" priority="846">
      <formula>LEN(TRIM(E14))=0</formula>
    </cfRule>
  </conditionalFormatting>
  <conditionalFormatting sqref="J114:J119 BT207:BV213 AW168:BA174 BZ168:CP174">
    <cfRule type="containsText" dxfId="982" priority="841" operator="containsText" text="T">
      <formula>NOT(ISERROR(SEARCH("T",J114)))</formula>
    </cfRule>
  </conditionalFormatting>
  <conditionalFormatting sqref="J120:M126">
    <cfRule type="containsText" dxfId="981" priority="382" operator="containsText" text="T">
      <formula>NOT(ISERROR(SEARCH("T",J120)))</formula>
    </cfRule>
  </conditionalFormatting>
  <conditionalFormatting sqref="J113:T113">
    <cfRule type="containsText" dxfId="980" priority="833" operator="containsText" text="17">
      <formula>NOT(ISERROR(SEARCH("17",J113)))</formula>
    </cfRule>
    <cfRule type="containsText" dxfId="979" priority="834" operator="containsText" text="T">
      <formula>NOT(ISERROR(SEARCH("T",J113)))</formula>
    </cfRule>
  </conditionalFormatting>
  <conditionalFormatting sqref="J67:X68 BT207:BV213">
    <cfRule type="containsText" dxfId="978" priority="778" operator="containsText" text="17">
      <formula>NOT(ISERROR(SEARCH("17",J67)))</formula>
    </cfRule>
  </conditionalFormatting>
  <conditionalFormatting sqref="J97:X98">
    <cfRule type="containsText" dxfId="977" priority="768" operator="containsText" text="17">
      <formula>NOT(ISERROR(SEARCH("17",J97)))</formula>
    </cfRule>
  </conditionalFormatting>
  <conditionalFormatting sqref="J67:Z68">
    <cfRule type="containsText" dxfId="976" priority="772" operator="containsText" text="T">
      <formula>NOT(ISERROR(SEARCH("T",J67)))</formula>
    </cfRule>
  </conditionalFormatting>
  <conditionalFormatting sqref="J97:Z98">
    <cfRule type="containsText" dxfId="975" priority="762" operator="containsText" text="T">
      <formula>NOT(ISERROR(SEARCH("T",J97)))</formula>
    </cfRule>
  </conditionalFormatting>
  <conditionalFormatting sqref="J127:Z130">
    <cfRule type="containsText" dxfId="974" priority="742" operator="containsText" text="T">
      <formula>NOT(ISERROR(SEARCH("T",J127)))</formula>
    </cfRule>
  </conditionalFormatting>
  <conditionalFormatting sqref="J114:AD119 J113:R113">
    <cfRule type="containsText" dxfId="973" priority="840" operator="containsText" text="17">
      <formula>NOT(ISERROR(SEARCH("17",J113)))</formula>
    </cfRule>
  </conditionalFormatting>
  <conditionalFormatting sqref="J48:AO49">
    <cfRule type="containsText" dxfId="972" priority="515" operator="containsText" text="17">
      <formula>NOT(ISERROR(SEARCH("17",J48)))</formula>
    </cfRule>
  </conditionalFormatting>
  <conditionalFormatting sqref="J63:AP66">
    <cfRule type="containsText" dxfId="971" priority="495" operator="containsText" text="17">
      <formula>NOT(ISERROR(SEARCH("17",J63)))</formula>
    </cfRule>
  </conditionalFormatting>
  <conditionalFormatting sqref="J48:AQ49">
    <cfRule type="containsText" dxfId="970" priority="509" operator="containsText" text="T">
      <formula>NOT(ISERROR(SEARCH("T",J48)))</formula>
    </cfRule>
  </conditionalFormatting>
  <conditionalFormatting sqref="J59:AQ62">
    <cfRule type="containsText" dxfId="969" priority="481" operator="containsText" text="17">
      <formula>NOT(ISERROR(SEARCH("17",J59)))</formula>
    </cfRule>
  </conditionalFormatting>
  <conditionalFormatting sqref="J86:AQ89">
    <cfRule type="containsText" dxfId="968" priority="471" operator="containsText" text="17">
      <formula>NOT(ISERROR(SEARCH("17",J86)))</formula>
    </cfRule>
  </conditionalFormatting>
  <conditionalFormatting sqref="J50:AR53">
    <cfRule type="containsText" dxfId="967" priority="499" operator="containsText" text="T">
      <formula>NOT(ISERROR(SEARCH("T",J50)))</formula>
    </cfRule>
  </conditionalFormatting>
  <conditionalFormatting sqref="J63:AR66">
    <cfRule type="containsText" dxfId="966" priority="489" operator="containsText" text="T">
      <formula>NOT(ISERROR(SEARCH("T",J63)))</formula>
    </cfRule>
  </conditionalFormatting>
  <conditionalFormatting sqref="J83:AR85">
    <cfRule type="containsText" dxfId="965" priority="461" operator="containsText" text="17">
      <formula>NOT(ISERROR(SEARCH("17",J83)))</formula>
    </cfRule>
  </conditionalFormatting>
  <conditionalFormatting sqref="J214:AR217">
    <cfRule type="containsText" dxfId="964" priority="451" operator="containsText" text="17">
      <formula>NOT(ISERROR(SEARCH("17",J214)))</formula>
    </cfRule>
  </conditionalFormatting>
  <conditionalFormatting sqref="J59:AS62">
    <cfRule type="containsText" dxfId="963" priority="475" operator="containsText" text="T">
      <formula>NOT(ISERROR(SEARCH("T",J59)))</formula>
    </cfRule>
  </conditionalFormatting>
  <conditionalFormatting sqref="J86:AS89">
    <cfRule type="containsText" dxfId="962" priority="465" operator="containsText" text="T">
      <formula>NOT(ISERROR(SEARCH("T",J86)))</formula>
    </cfRule>
  </conditionalFormatting>
  <conditionalFormatting sqref="J218:AS224">
    <cfRule type="containsText" dxfId="961" priority="441" operator="containsText" text="17">
      <formula>NOT(ISERROR(SEARCH("17",J218)))</formula>
    </cfRule>
  </conditionalFormatting>
  <conditionalFormatting sqref="J83:AT85">
    <cfRule type="containsText" dxfId="960" priority="455" operator="containsText" text="T">
      <formula>NOT(ISERROR(SEARCH("T",J83)))</formula>
    </cfRule>
  </conditionalFormatting>
  <conditionalFormatting sqref="J214:AT217">
    <cfRule type="containsText" dxfId="959" priority="445" operator="containsText" text="T">
      <formula>NOT(ISERROR(SEARCH("T",J214)))</formula>
    </cfRule>
  </conditionalFormatting>
  <conditionalFormatting sqref="J225:AT231">
    <cfRule type="containsText" dxfId="958" priority="431" operator="containsText" text="17">
      <formula>NOT(ISERROR(SEARCH("17",J225)))</formula>
    </cfRule>
  </conditionalFormatting>
  <conditionalFormatting sqref="J218:AU224">
    <cfRule type="containsText" dxfId="957" priority="435" operator="containsText" text="T">
      <formula>NOT(ISERROR(SEARCH("T",J218)))</formula>
    </cfRule>
  </conditionalFormatting>
  <conditionalFormatting sqref="J232:AU234">
    <cfRule type="containsText" dxfId="956" priority="421" operator="containsText" text="17">
      <formula>NOT(ISERROR(SEARCH("17",J232)))</formula>
    </cfRule>
  </conditionalFormatting>
  <conditionalFormatting sqref="J225:AV231">
    <cfRule type="containsText" dxfId="955" priority="425" operator="containsText" text="T">
      <formula>NOT(ISERROR(SEARCH("T",J225)))</formula>
    </cfRule>
  </conditionalFormatting>
  <conditionalFormatting sqref="J232:AW234">
    <cfRule type="containsText" dxfId="954" priority="415" operator="containsText" text="T">
      <formula>NOT(ISERROR(SEARCH("T",J232)))</formula>
    </cfRule>
  </conditionalFormatting>
  <conditionalFormatting sqref="J33:CP33">
    <cfRule type="containsText" dxfId="953" priority="993" operator="containsText" text="T">
      <formula>NOT(ISERROR(SEARCH("T",J33)))</formula>
    </cfRule>
  </conditionalFormatting>
  <conditionalFormatting sqref="K77:K82">
    <cfRule type="containsText" dxfId="952" priority="828" operator="containsText" text="T">
      <formula>NOT(ISERROR(SEARCH("T",K77)))</formula>
    </cfRule>
  </conditionalFormatting>
  <conditionalFormatting sqref="K76:U76">
    <cfRule type="containsText" dxfId="951" priority="820" operator="containsText" text="17">
      <formula>NOT(ISERROR(SEARCH("17",K76)))</formula>
    </cfRule>
    <cfRule type="containsText" dxfId="950" priority="821" operator="containsText" text="T">
      <formula>NOT(ISERROR(SEARCH("T",K76)))</formula>
    </cfRule>
  </conditionalFormatting>
  <conditionalFormatting sqref="K77:AE82 K76:S76">
    <cfRule type="containsText" dxfId="949" priority="827" operator="containsText" text="17">
      <formula>NOT(ISERROR(SEARCH("17",K76)))</formula>
    </cfRule>
  </conditionalFormatting>
  <conditionalFormatting sqref="L107:L112">
    <cfRule type="containsText" dxfId="948" priority="815" operator="containsText" text="T">
      <formula>NOT(ISERROR(SEARCH("T",L107)))</formula>
    </cfRule>
  </conditionalFormatting>
  <conditionalFormatting sqref="L106:V106">
    <cfRule type="containsText" dxfId="947" priority="807" operator="containsText" text="17">
      <formula>NOT(ISERROR(SEARCH("17",L106)))</formula>
    </cfRule>
    <cfRule type="containsText" dxfId="946" priority="808" operator="containsText" text="T">
      <formula>NOT(ISERROR(SEARCH("T",L106)))</formula>
    </cfRule>
  </conditionalFormatting>
  <conditionalFormatting sqref="L107:AF112 L106:T106">
    <cfRule type="containsText" dxfId="945" priority="814" operator="containsText" text="17">
      <formula>NOT(ISERROR(SEARCH("17",L106)))</formula>
    </cfRule>
  </conditionalFormatting>
  <conditionalFormatting sqref="M120:AG126 AJ120:AJ126">
    <cfRule type="containsText" dxfId="944" priority="379" operator="containsText" text="T">
      <formula>NOT(ISERROR(SEARCH("T",M120)))</formula>
    </cfRule>
  </conditionalFormatting>
  <conditionalFormatting sqref="M120:AG126">
    <cfRule type="containsText" dxfId="943" priority="381" operator="containsText" text="17">
      <formula>NOT(ISERROR(SEARCH("17",M120)))</formula>
    </cfRule>
  </conditionalFormatting>
  <conditionalFormatting sqref="N70:N75">
    <cfRule type="containsText" dxfId="942" priority="802" operator="containsText" text="T">
      <formula>NOT(ISERROR(SEARCH("T",N70)))</formula>
    </cfRule>
  </conditionalFormatting>
  <conditionalFormatting sqref="N69:X69">
    <cfRule type="containsText" dxfId="941" priority="794" operator="containsText" text="17">
      <formula>NOT(ISERROR(SEARCH("17",N69)))</formula>
    </cfRule>
    <cfRule type="containsText" dxfId="940" priority="795" operator="containsText" text="T">
      <formula>NOT(ISERROR(SEARCH("T",N69)))</formula>
    </cfRule>
  </conditionalFormatting>
  <conditionalFormatting sqref="N70:AH75 N69:V69">
    <cfRule type="containsText" dxfId="939" priority="801" operator="containsText" text="17">
      <formula>NOT(ISERROR(SEARCH("17",N69)))</formula>
    </cfRule>
  </conditionalFormatting>
  <conditionalFormatting sqref="O100:O105">
    <cfRule type="containsText" dxfId="938" priority="789" operator="containsText" text="T">
      <formula>NOT(ISERROR(SEARCH("T",O100)))</formula>
    </cfRule>
  </conditionalFormatting>
  <conditionalFormatting sqref="O99:Y99">
    <cfRule type="containsText" dxfId="937" priority="781" operator="containsText" text="17">
      <formula>NOT(ISERROR(SEARCH("17",O99)))</formula>
    </cfRule>
    <cfRule type="containsText" dxfId="936" priority="782" operator="containsText" text="T">
      <formula>NOT(ISERROR(SEARCH("T",O99)))</formula>
    </cfRule>
  </conditionalFormatting>
  <conditionalFormatting sqref="O100:AI105 O99:W99">
    <cfRule type="containsText" dxfId="935" priority="788" operator="containsText" text="17">
      <formula>NOT(ISERROR(SEARCH("17",O99)))</formula>
    </cfRule>
  </conditionalFormatting>
  <conditionalFormatting sqref="P67:Z68">
    <cfRule type="containsText" dxfId="934" priority="771" operator="containsText" text="17">
      <formula>NOT(ISERROR(SEARCH("17",P67)))</formula>
    </cfRule>
  </conditionalFormatting>
  <conditionalFormatting sqref="P97:Z98">
    <cfRule type="containsText" dxfId="933" priority="761" operator="containsText" text="17">
      <formula>NOT(ISERROR(SEARCH("17",P97)))</formula>
    </cfRule>
  </conditionalFormatting>
  <conditionalFormatting sqref="P127:Z130">
    <cfRule type="containsText" dxfId="932" priority="741" operator="containsText" text="17">
      <formula>NOT(ISERROR(SEARCH("17",P127)))</formula>
    </cfRule>
  </conditionalFormatting>
  <conditionalFormatting sqref="Q132:Q137">
    <cfRule type="containsText" dxfId="931" priority="736" operator="containsText" text="T">
      <formula>NOT(ISERROR(SEARCH("T",Q132)))</formula>
    </cfRule>
  </conditionalFormatting>
  <conditionalFormatting sqref="Q131:AA131">
    <cfRule type="containsText" dxfId="930" priority="728" operator="containsText" text="17">
      <formula>NOT(ISERROR(SEARCH("17",Q131)))</formula>
    </cfRule>
    <cfRule type="containsText" dxfId="929" priority="729" operator="containsText" text="T">
      <formula>NOT(ISERROR(SEARCH("T",Q131)))</formula>
    </cfRule>
  </conditionalFormatting>
  <conditionalFormatting sqref="Q132:AK137 Q131:Y131">
    <cfRule type="containsText" dxfId="928" priority="735" operator="containsText" text="17">
      <formula>NOT(ISERROR(SEARCH("17",Q131)))</formula>
    </cfRule>
  </conditionalFormatting>
  <conditionalFormatting sqref="R139:R144">
    <cfRule type="containsText" dxfId="927" priority="723" operator="containsText" text="T">
      <formula>NOT(ISERROR(SEARCH("T",R139)))</formula>
    </cfRule>
  </conditionalFormatting>
  <conditionalFormatting sqref="R138:AB138">
    <cfRule type="containsText" dxfId="926" priority="715" operator="containsText" text="17">
      <formula>NOT(ISERROR(SEARCH("17",R138)))</formula>
    </cfRule>
    <cfRule type="containsText" dxfId="925" priority="716" operator="containsText" text="T">
      <formula>NOT(ISERROR(SEARCH("T",R138)))</formula>
    </cfRule>
  </conditionalFormatting>
  <conditionalFormatting sqref="R139:AL144 R138:Z138">
    <cfRule type="containsText" dxfId="924" priority="722" operator="containsText" text="17">
      <formula>NOT(ISERROR(SEARCH("17",R138)))</formula>
    </cfRule>
  </conditionalFormatting>
  <conditionalFormatting sqref="S146:S151">
    <cfRule type="containsText" dxfId="923" priority="710" operator="containsText" text="T">
      <formula>NOT(ISERROR(SEARCH("T",S146)))</formula>
    </cfRule>
  </conditionalFormatting>
  <conditionalFormatting sqref="S145:AC145">
    <cfRule type="containsText" dxfId="922" priority="702" operator="containsText" text="17">
      <formula>NOT(ISERROR(SEARCH("17",S145)))</formula>
    </cfRule>
    <cfRule type="containsText" dxfId="921" priority="703" operator="containsText" text="T">
      <formula>NOT(ISERROR(SEARCH("T",S145)))</formula>
    </cfRule>
  </conditionalFormatting>
  <conditionalFormatting sqref="S146:AM151 S145:AA145">
    <cfRule type="containsText" dxfId="920" priority="709" operator="containsText" text="17">
      <formula>NOT(ISERROR(SEARCH("17",S145)))</formula>
    </cfRule>
  </conditionalFormatting>
  <conditionalFormatting sqref="T153:T158">
    <cfRule type="containsText" dxfId="919" priority="697" operator="containsText" text="T">
      <formula>NOT(ISERROR(SEARCH("T",T153)))</formula>
    </cfRule>
  </conditionalFormatting>
  <conditionalFormatting sqref="T152:AD152">
    <cfRule type="containsText" dxfId="918" priority="689" operator="containsText" text="17">
      <formula>NOT(ISERROR(SEARCH("17",T152)))</formula>
    </cfRule>
    <cfRule type="containsText" dxfId="917" priority="690" operator="containsText" text="T">
      <formula>NOT(ISERROR(SEARCH("T",T152)))</formula>
    </cfRule>
  </conditionalFormatting>
  <conditionalFormatting sqref="T153:AN158 T152:AB152">
    <cfRule type="containsText" dxfId="916" priority="696" operator="containsText" text="17">
      <formula>NOT(ISERROR(SEARCH("17",T152)))</formula>
    </cfRule>
  </conditionalFormatting>
  <conditionalFormatting sqref="U160:U165">
    <cfRule type="containsText" dxfId="915" priority="684" operator="containsText" text="T">
      <formula>NOT(ISERROR(SEARCH("T",U160)))</formula>
    </cfRule>
  </conditionalFormatting>
  <conditionalFormatting sqref="U113:AA113">
    <cfRule type="containsText" dxfId="914" priority="842" operator="containsText" text="17">
      <formula>NOT(ISERROR(SEARCH("17",U113)))</formula>
    </cfRule>
    <cfRule type="containsText" dxfId="913" priority="843" operator="containsText" text="T">
      <formula>NOT(ISERROR(SEARCH("T",U113)))</formula>
    </cfRule>
  </conditionalFormatting>
  <conditionalFormatting sqref="U159:AE159">
    <cfRule type="containsText" dxfId="912" priority="676" operator="containsText" text="17">
      <formula>NOT(ISERROR(SEARCH("17",U159)))</formula>
    </cfRule>
    <cfRule type="containsText" dxfId="911" priority="677" operator="containsText" text="T">
      <formula>NOT(ISERROR(SEARCH("T",U159)))</formula>
    </cfRule>
  </conditionalFormatting>
  <conditionalFormatting sqref="U160:AO165 U159:AC159">
    <cfRule type="containsText" dxfId="910" priority="683" operator="containsText" text="17">
      <formula>NOT(ISERROR(SEARCH("17",U159)))</formula>
    </cfRule>
  </conditionalFormatting>
  <conditionalFormatting sqref="V113">
    <cfRule type="containsText" dxfId="909" priority="838" operator="containsText" text="17">
      <formula>NOT(ISERROR(SEARCH("17",V113)))</formula>
    </cfRule>
    <cfRule type="containsText" dxfId="908" priority="839" operator="containsText" text="T">
      <formula>NOT(ISERROR(SEARCH("T",V113)))</formula>
    </cfRule>
  </conditionalFormatting>
  <conditionalFormatting sqref="V208:V213">
    <cfRule type="containsText" dxfId="907" priority="671" operator="containsText" text="T">
      <formula>NOT(ISERROR(SEARCH("T",V208)))</formula>
    </cfRule>
  </conditionalFormatting>
  <conditionalFormatting sqref="V76:AB76">
    <cfRule type="containsText" dxfId="906" priority="829" operator="containsText" text="17">
      <formula>NOT(ISERROR(SEARCH("17",V76)))</formula>
    </cfRule>
    <cfRule type="containsText" dxfId="905" priority="830" operator="containsText" text="T">
      <formula>NOT(ISERROR(SEARCH("T",V76)))</formula>
    </cfRule>
  </conditionalFormatting>
  <conditionalFormatting sqref="V207:AF207">
    <cfRule type="containsText" dxfId="904" priority="663" operator="containsText" text="17">
      <formula>NOT(ISERROR(SEARCH("17",V207)))</formula>
    </cfRule>
    <cfRule type="containsText" dxfId="903" priority="664" operator="containsText" text="T">
      <formula>NOT(ISERROR(SEARCH("T",V207)))</formula>
    </cfRule>
  </conditionalFormatting>
  <conditionalFormatting sqref="V208:AP213 V207:AD207">
    <cfRule type="containsText" dxfId="902" priority="670" operator="containsText" text="17">
      <formula>NOT(ISERROR(SEARCH("17",V207)))</formula>
    </cfRule>
  </conditionalFormatting>
  <conditionalFormatting sqref="W76">
    <cfRule type="containsText" dxfId="901" priority="825" operator="containsText" text="17">
      <formula>NOT(ISERROR(SEARCH("17",W76)))</formula>
    </cfRule>
    <cfRule type="containsText" dxfId="900" priority="826" operator="containsText" text="T">
      <formula>NOT(ISERROR(SEARCH("T",W76)))</formula>
    </cfRule>
  </conditionalFormatting>
  <conditionalFormatting sqref="W201:W206">
    <cfRule type="containsText" dxfId="899" priority="658" operator="containsText" text="T">
      <formula>NOT(ISERROR(SEARCH("T",W201)))</formula>
    </cfRule>
  </conditionalFormatting>
  <conditionalFormatting sqref="W106:AC106">
    <cfRule type="containsText" dxfId="898" priority="816" operator="containsText" text="17">
      <formula>NOT(ISERROR(SEARCH("17",W106)))</formula>
    </cfRule>
    <cfRule type="containsText" dxfId="897" priority="817" operator="containsText" text="T">
      <formula>NOT(ISERROR(SEARCH("T",W106)))</formula>
    </cfRule>
  </conditionalFormatting>
  <conditionalFormatting sqref="W200:AG200">
    <cfRule type="containsText" dxfId="896" priority="650" operator="containsText" text="17">
      <formula>NOT(ISERROR(SEARCH("17",W200)))</formula>
    </cfRule>
    <cfRule type="containsText" dxfId="895" priority="651" operator="containsText" text="T">
      <formula>NOT(ISERROR(SEARCH("T",W200)))</formula>
    </cfRule>
  </conditionalFormatting>
  <conditionalFormatting sqref="W201:AQ206 W200:AE200">
    <cfRule type="containsText" dxfId="894" priority="657" operator="containsText" text="17">
      <formula>NOT(ISERROR(SEARCH("17",W200)))</formula>
    </cfRule>
  </conditionalFormatting>
  <conditionalFormatting sqref="X106">
    <cfRule type="containsText" dxfId="893" priority="812" operator="containsText" text="17">
      <formula>NOT(ISERROR(SEARCH("17",X106)))</formula>
    </cfRule>
    <cfRule type="containsText" dxfId="892" priority="813" operator="containsText" text="T">
      <formula>NOT(ISERROR(SEARCH("T",X106)))</formula>
    </cfRule>
  </conditionalFormatting>
  <conditionalFormatting sqref="X194:X199">
    <cfRule type="containsText" dxfId="891" priority="645" operator="containsText" text="T">
      <formula>NOT(ISERROR(SEARCH("T",X194)))</formula>
    </cfRule>
  </conditionalFormatting>
  <conditionalFormatting sqref="X192:AH193">
    <cfRule type="containsText" dxfId="890" priority="632" operator="containsText" text="17">
      <formula>NOT(ISERROR(SEARCH("17",X192)))</formula>
    </cfRule>
    <cfRule type="containsText" dxfId="889" priority="633" operator="containsText" text="T">
      <formula>NOT(ISERROR(SEARCH("T",X192)))</formula>
    </cfRule>
  </conditionalFormatting>
  <conditionalFormatting sqref="Y169:Y174">
    <cfRule type="containsText" dxfId="888" priority="627" operator="containsText" text="T">
      <formula>NOT(ISERROR(SEARCH("T",Y169)))</formula>
    </cfRule>
  </conditionalFormatting>
  <conditionalFormatting sqref="Y69:AE69">
    <cfRule type="containsText" dxfId="887" priority="803" operator="containsText" text="17">
      <formula>NOT(ISERROR(SEARCH("17",Y69)))</formula>
    </cfRule>
    <cfRule type="containsText" dxfId="886" priority="804" operator="containsText" text="T">
      <formula>NOT(ISERROR(SEARCH("T",Y69)))</formula>
    </cfRule>
  </conditionalFormatting>
  <conditionalFormatting sqref="Y168:AI168">
    <cfRule type="containsText" dxfId="885" priority="619" operator="containsText" text="17">
      <formula>NOT(ISERROR(SEARCH("17",Y168)))</formula>
    </cfRule>
    <cfRule type="containsText" dxfId="884" priority="620" operator="containsText" text="T">
      <formula>NOT(ISERROR(SEARCH("T",Y168)))</formula>
    </cfRule>
  </conditionalFormatting>
  <conditionalFormatting sqref="Y169:AS174 Y168:AG168">
    <cfRule type="containsText" dxfId="883" priority="626" operator="containsText" text="17">
      <formula>NOT(ISERROR(SEARCH("17",Y168)))</formula>
    </cfRule>
  </conditionalFormatting>
  <conditionalFormatting sqref="Z69">
    <cfRule type="containsText" dxfId="882" priority="799" operator="containsText" text="17">
      <formula>NOT(ISERROR(SEARCH("17",Z69)))</formula>
    </cfRule>
    <cfRule type="containsText" dxfId="881" priority="800" operator="containsText" text="T">
      <formula>NOT(ISERROR(SEARCH("T",Z69)))</formula>
    </cfRule>
  </conditionalFormatting>
  <conditionalFormatting sqref="Z176:Z181">
    <cfRule type="containsText" dxfId="880" priority="614" operator="containsText" text="T">
      <formula>NOT(ISERROR(SEARCH("T",Z176)))</formula>
    </cfRule>
  </conditionalFormatting>
  <conditionalFormatting sqref="Z99:AF99">
    <cfRule type="containsText" dxfId="879" priority="790" operator="containsText" text="17">
      <formula>NOT(ISERROR(SEARCH("17",Z99)))</formula>
    </cfRule>
    <cfRule type="containsText" dxfId="878" priority="791" operator="containsText" text="T">
      <formula>NOT(ISERROR(SEARCH("T",Z99)))</formula>
    </cfRule>
  </conditionalFormatting>
  <conditionalFormatting sqref="Z175:AJ175">
    <cfRule type="containsText" dxfId="877" priority="606" operator="containsText" text="17">
      <formula>NOT(ISERROR(SEARCH("17",Z175)))</formula>
    </cfRule>
    <cfRule type="containsText" dxfId="876" priority="607" operator="containsText" text="T">
      <formula>NOT(ISERROR(SEARCH("T",Z175)))</formula>
    </cfRule>
  </conditionalFormatting>
  <conditionalFormatting sqref="Z176:AT181 Z175:AH175">
    <cfRule type="containsText" dxfId="875" priority="613" operator="containsText" text="17">
      <formula>NOT(ISERROR(SEARCH("17",Z175)))</formula>
    </cfRule>
  </conditionalFormatting>
  <conditionalFormatting sqref="AA99">
    <cfRule type="containsText" dxfId="874" priority="786" operator="containsText" text="17">
      <formula>NOT(ISERROR(SEARCH("17",AA99)))</formula>
    </cfRule>
    <cfRule type="containsText" dxfId="873" priority="787" operator="containsText" text="T">
      <formula>NOT(ISERROR(SEARCH("T",AA99)))</formula>
    </cfRule>
  </conditionalFormatting>
  <conditionalFormatting sqref="AA113 AE113:AG113 J114:AD119 AG114:AG119">
    <cfRule type="containsText" dxfId="872" priority="835" operator="containsText" text="T">
      <formula>NOT(ISERROR(SEARCH("T",J113)))</formula>
    </cfRule>
  </conditionalFormatting>
  <conditionalFormatting sqref="AA183:AA190">
    <cfRule type="containsText" dxfId="871" priority="601" operator="containsText" text="T">
      <formula>NOT(ISERROR(SEARCH("T",AA183)))</formula>
    </cfRule>
  </conditionalFormatting>
  <conditionalFormatting sqref="AA113:AB113 AE113:AG113 AG114:AG119">
    <cfRule type="containsText" dxfId="870" priority="836" operator="containsText" text="17">
      <formula>NOT(ISERROR(SEARCH("17",AA113)))</formula>
    </cfRule>
  </conditionalFormatting>
  <conditionalFormatting sqref="AA67:AG68">
    <cfRule type="containsText" dxfId="869" priority="779" operator="containsText" text="17">
      <formula>NOT(ISERROR(SEARCH("17",AA67)))</formula>
    </cfRule>
    <cfRule type="containsText" dxfId="868" priority="780" operator="containsText" text="T">
      <formula>NOT(ISERROR(SEARCH("T",AA67)))</formula>
    </cfRule>
  </conditionalFormatting>
  <conditionalFormatting sqref="AA97:AG98">
    <cfRule type="containsText" dxfId="867" priority="769" operator="containsText" text="17">
      <formula>NOT(ISERROR(SEARCH("17",AA97)))</formula>
    </cfRule>
    <cfRule type="containsText" dxfId="866" priority="770" operator="containsText" text="T">
      <formula>NOT(ISERROR(SEARCH("T",AA97)))</formula>
    </cfRule>
  </conditionalFormatting>
  <conditionalFormatting sqref="AA127:AG130">
    <cfRule type="containsText" dxfId="865" priority="749" operator="containsText" text="17">
      <formula>NOT(ISERROR(SEARCH("17",AA127)))</formula>
    </cfRule>
    <cfRule type="containsText" dxfId="864" priority="750" operator="containsText" text="T">
      <formula>NOT(ISERROR(SEARCH("T",AA127)))</formula>
    </cfRule>
  </conditionalFormatting>
  <conditionalFormatting sqref="AA182:AK182">
    <cfRule type="containsText" dxfId="863" priority="593" operator="containsText" text="17">
      <formula>NOT(ISERROR(SEARCH("17",AA182)))</formula>
    </cfRule>
    <cfRule type="containsText" dxfId="862" priority="594" operator="containsText" text="T">
      <formula>NOT(ISERROR(SEARCH("T",AA182)))</formula>
    </cfRule>
  </conditionalFormatting>
  <conditionalFormatting sqref="AA183:AU190 AA182:AI182">
    <cfRule type="containsText" dxfId="861" priority="600" operator="containsText" text="17">
      <formula>NOT(ISERROR(SEARCH("17",AA182)))</formula>
    </cfRule>
  </conditionalFormatting>
  <conditionalFormatting sqref="AB67:AB68">
    <cfRule type="containsText" dxfId="860" priority="776" operator="containsText" text="17">
      <formula>NOT(ISERROR(SEARCH("17",AB67)))</formula>
    </cfRule>
    <cfRule type="containsText" dxfId="859" priority="777" operator="containsText" text="T">
      <formula>NOT(ISERROR(SEARCH("T",AB67)))</formula>
    </cfRule>
  </conditionalFormatting>
  <conditionalFormatting sqref="AB76 AF76:AH76 K77:AE82 AH77:AH82">
    <cfRule type="containsText" dxfId="858" priority="822" operator="containsText" text="T">
      <formula>NOT(ISERROR(SEARCH("T",K76)))</formula>
    </cfRule>
  </conditionalFormatting>
  <conditionalFormatting sqref="AB91:AB96">
    <cfRule type="containsText" dxfId="857" priority="588" operator="containsText" text="T">
      <formula>NOT(ISERROR(SEARCH("T",AB91)))</formula>
    </cfRule>
  </conditionalFormatting>
  <conditionalFormatting sqref="AB97:AB98">
    <cfRule type="containsText" dxfId="856" priority="766" operator="containsText" text="17">
      <formula>NOT(ISERROR(SEARCH("17",AB97)))</formula>
    </cfRule>
    <cfRule type="containsText" dxfId="855" priority="767" operator="containsText" text="T">
      <formula>NOT(ISERROR(SEARCH("T",AB97)))</formula>
    </cfRule>
  </conditionalFormatting>
  <conditionalFormatting sqref="AB113">
    <cfRule type="containsText" dxfId="854" priority="837" operator="containsText" text="T">
      <formula>NOT(ISERROR(SEARCH("T",AB113)))</formula>
    </cfRule>
  </conditionalFormatting>
  <conditionalFormatting sqref="AB127:AB130">
    <cfRule type="containsText" dxfId="853" priority="746" operator="containsText" text="17">
      <formula>NOT(ISERROR(SEARCH("17",AB127)))</formula>
    </cfRule>
    <cfRule type="containsText" dxfId="852" priority="747" operator="containsText" text="T">
      <formula>NOT(ISERROR(SEARCH("T",AB127)))</formula>
    </cfRule>
  </conditionalFormatting>
  <conditionalFormatting sqref="AB76:AC76 AF76:AH76 AH77:AH82">
    <cfRule type="containsText" dxfId="851" priority="823" operator="containsText" text="17">
      <formula>NOT(ISERROR(SEARCH("17",AB76)))</formula>
    </cfRule>
  </conditionalFormatting>
  <conditionalFormatting sqref="AB131:AH131">
    <cfRule type="containsText" dxfId="850" priority="737" operator="containsText" text="17">
      <formula>NOT(ISERROR(SEARCH("17",AB131)))</formula>
    </cfRule>
    <cfRule type="containsText" dxfId="849" priority="738" operator="containsText" text="T">
      <formula>NOT(ISERROR(SEARCH("T",AB131)))</formula>
    </cfRule>
  </conditionalFormatting>
  <conditionalFormatting sqref="AB90:AL90">
    <cfRule type="containsText" dxfId="848" priority="580" operator="containsText" text="17">
      <formula>NOT(ISERROR(SEARCH("17",AB90)))</formula>
    </cfRule>
    <cfRule type="containsText" dxfId="847" priority="581" operator="containsText" text="T">
      <formula>NOT(ISERROR(SEARCH("T",AB90)))</formula>
    </cfRule>
  </conditionalFormatting>
  <conditionalFormatting sqref="AB91:AV96 AB90:AJ90">
    <cfRule type="containsText" dxfId="846" priority="587" operator="containsText" text="17">
      <formula>NOT(ISERROR(SEARCH("17",AB90)))</formula>
    </cfRule>
  </conditionalFormatting>
  <conditionalFormatting sqref="AC15:AC20">
    <cfRule type="containsText" dxfId="845" priority="575" operator="containsText" text="T">
      <formula>NOT(ISERROR(SEARCH("T",AC15)))</formula>
    </cfRule>
  </conditionalFormatting>
  <conditionalFormatting sqref="AC76">
    <cfRule type="containsText" dxfId="844" priority="824" operator="containsText" text="T">
      <formula>NOT(ISERROR(SEARCH("T",AC76)))</formula>
    </cfRule>
  </conditionalFormatting>
  <conditionalFormatting sqref="AC106 L107:AF112 AI107:AI112">
    <cfRule type="containsText" dxfId="843" priority="809" operator="containsText" text="T">
      <formula>NOT(ISERROR(SEARCH("T",L106)))</formula>
    </cfRule>
  </conditionalFormatting>
  <conditionalFormatting sqref="AC131">
    <cfRule type="containsText" dxfId="842" priority="733" operator="containsText" text="17">
      <formula>NOT(ISERROR(SEARCH("17",AC131)))</formula>
    </cfRule>
    <cfRule type="containsText" dxfId="841" priority="734" operator="containsText" text="T">
      <formula>NOT(ISERROR(SEARCH("T",AC131)))</formula>
    </cfRule>
  </conditionalFormatting>
  <conditionalFormatting sqref="AC106:AD106 AI107:AI112">
    <cfRule type="containsText" dxfId="840" priority="810" operator="containsText" text="17">
      <formula>NOT(ISERROR(SEARCH("17",AC106)))</formula>
    </cfRule>
  </conditionalFormatting>
  <conditionalFormatting sqref="AC138:AI138">
    <cfRule type="containsText" dxfId="839" priority="724" operator="containsText" text="17">
      <formula>NOT(ISERROR(SEARCH("17",AC138)))</formula>
    </cfRule>
    <cfRule type="containsText" dxfId="838" priority="725" operator="containsText" text="T">
      <formula>NOT(ISERROR(SEARCH("T",AC138)))</formula>
    </cfRule>
  </conditionalFormatting>
  <conditionalFormatting sqref="AC14:AM14">
    <cfRule type="containsText" dxfId="837" priority="567" operator="containsText" text="17">
      <formula>NOT(ISERROR(SEARCH("17",AC14)))</formula>
    </cfRule>
    <cfRule type="containsText" dxfId="836" priority="568" operator="containsText" text="T">
      <formula>NOT(ISERROR(SEARCH("T",AC14)))</formula>
    </cfRule>
  </conditionalFormatting>
  <conditionalFormatting sqref="AC15:AW20 AC14:AK14">
    <cfRule type="containsText" dxfId="835" priority="574" operator="containsText" text="17">
      <formula>NOT(ISERROR(SEARCH("17",AC14)))</formula>
    </cfRule>
  </conditionalFormatting>
  <conditionalFormatting sqref="AD35:AD40">
    <cfRule type="containsText" dxfId="834" priority="562" operator="containsText" text="T">
      <formula>NOT(ISERROR(SEARCH("T",AD35)))</formula>
    </cfRule>
  </conditionalFormatting>
  <conditionalFormatting sqref="AD106">
    <cfRule type="containsText" dxfId="833" priority="811" operator="containsText" text="T">
      <formula>NOT(ISERROR(SEARCH("T",AD106)))</formula>
    </cfRule>
  </conditionalFormatting>
  <conditionalFormatting sqref="AD138">
    <cfRule type="containsText" dxfId="832" priority="720" operator="containsText" text="17">
      <formula>NOT(ISERROR(SEARCH("17",AD138)))</formula>
    </cfRule>
    <cfRule type="containsText" dxfId="831" priority="721" operator="containsText" text="T">
      <formula>NOT(ISERROR(SEARCH("T",AD138)))</formula>
    </cfRule>
  </conditionalFormatting>
  <conditionalFormatting sqref="AD145:AJ145">
    <cfRule type="containsText" dxfId="830" priority="711" operator="containsText" text="17">
      <formula>NOT(ISERROR(SEARCH("17",AD145)))</formula>
    </cfRule>
    <cfRule type="containsText" dxfId="829" priority="712" operator="containsText" text="T">
      <formula>NOT(ISERROR(SEARCH("T",AD145)))</formula>
    </cfRule>
  </conditionalFormatting>
  <conditionalFormatting sqref="AD34:AN34">
    <cfRule type="containsText" dxfId="828" priority="554" operator="containsText" text="17">
      <formula>NOT(ISERROR(SEARCH("17",AD34)))</formula>
    </cfRule>
    <cfRule type="containsText" dxfId="827" priority="555" operator="containsText" text="T">
      <formula>NOT(ISERROR(SEARCH("T",AD34)))</formula>
    </cfRule>
  </conditionalFormatting>
  <conditionalFormatting sqref="AD35:AX40 AD34:AL34">
    <cfRule type="containsText" dxfId="826" priority="561" operator="containsText" text="17">
      <formula>NOT(ISERROR(SEARCH("17",AD34)))</formula>
    </cfRule>
  </conditionalFormatting>
  <conditionalFormatting sqref="AE22:AE27">
    <cfRule type="containsText" dxfId="825" priority="549" operator="containsText" text="T">
      <formula>NOT(ISERROR(SEARCH("T",AE22)))</formula>
    </cfRule>
  </conditionalFormatting>
  <conditionalFormatting sqref="AE69 AI69:AK69 N70:AH75 AK70:AK75">
    <cfRule type="containsText" dxfId="824" priority="796" operator="containsText" text="T">
      <formula>NOT(ISERROR(SEARCH("T",N69)))</formula>
    </cfRule>
  </conditionalFormatting>
  <conditionalFormatting sqref="AE145">
    <cfRule type="containsText" dxfId="823" priority="707" operator="containsText" text="17">
      <formula>NOT(ISERROR(SEARCH("17",AE145)))</formula>
    </cfRule>
    <cfRule type="containsText" dxfId="822" priority="708" operator="containsText" text="T">
      <formula>NOT(ISERROR(SEARCH("T",AE145)))</formula>
    </cfRule>
  </conditionalFormatting>
  <conditionalFormatting sqref="AE69:AF69 AI69:AK69 AK70:AK75">
    <cfRule type="containsText" dxfId="821" priority="797" operator="containsText" text="17">
      <formula>NOT(ISERROR(SEARCH("17",AE69)))</formula>
    </cfRule>
  </conditionalFormatting>
  <conditionalFormatting sqref="AE152:AK152">
    <cfRule type="containsText" dxfId="820" priority="698" operator="containsText" text="17">
      <formula>NOT(ISERROR(SEARCH("17",AE152)))</formula>
    </cfRule>
    <cfRule type="containsText" dxfId="819" priority="699" operator="containsText" text="T">
      <formula>NOT(ISERROR(SEARCH("T",AE152)))</formula>
    </cfRule>
  </conditionalFormatting>
  <conditionalFormatting sqref="AE21:AO21">
    <cfRule type="containsText" dxfId="818" priority="541" operator="containsText" text="17">
      <formula>NOT(ISERROR(SEARCH("17",AE21)))</formula>
    </cfRule>
    <cfRule type="containsText" dxfId="817" priority="542" operator="containsText" text="T">
      <formula>NOT(ISERROR(SEARCH("T",AE21)))</formula>
    </cfRule>
  </conditionalFormatting>
  <conditionalFormatting sqref="AE22:AY27 AE21:AM21">
    <cfRule type="containsText" dxfId="816" priority="548" operator="containsText" text="17">
      <formula>NOT(ISERROR(SEARCH("17",AE21)))</formula>
    </cfRule>
  </conditionalFormatting>
  <conditionalFormatting sqref="AF42:AF47">
    <cfRule type="containsText" dxfId="815" priority="536" operator="containsText" text="T">
      <formula>NOT(ISERROR(SEARCH("T",AF42)))</formula>
    </cfRule>
  </conditionalFormatting>
  <conditionalFormatting sqref="AF69">
    <cfRule type="containsText" dxfId="814" priority="798" operator="containsText" text="T">
      <formula>NOT(ISERROR(SEARCH("T",AF69)))</formula>
    </cfRule>
  </conditionalFormatting>
  <conditionalFormatting sqref="AF99 AJ99:AL99 O100:AI105 AL100:AL105">
    <cfRule type="containsText" dxfId="813" priority="783" operator="containsText" text="T">
      <formula>NOT(ISERROR(SEARCH("T",O99)))</formula>
    </cfRule>
  </conditionalFormatting>
  <conditionalFormatting sqref="AF152">
    <cfRule type="containsText" dxfId="812" priority="694" operator="containsText" text="17">
      <formula>NOT(ISERROR(SEARCH("17",AF152)))</formula>
    </cfRule>
    <cfRule type="containsText" dxfId="811" priority="695" operator="containsText" text="T">
      <formula>NOT(ISERROR(SEARCH("T",AF152)))</formula>
    </cfRule>
  </conditionalFormatting>
  <conditionalFormatting sqref="AF99:AG99 AJ99:AL99 AL100:AL105">
    <cfRule type="containsText" dxfId="810" priority="784" operator="containsText" text="17">
      <formula>NOT(ISERROR(SEARCH("17",AF99)))</formula>
    </cfRule>
  </conditionalFormatting>
  <conditionalFormatting sqref="AF159:AL159">
    <cfRule type="containsText" dxfId="809" priority="685" operator="containsText" text="17">
      <formula>NOT(ISERROR(SEARCH("17",AF159)))</formula>
    </cfRule>
    <cfRule type="containsText" dxfId="808" priority="686" operator="containsText" text="T">
      <formula>NOT(ISERROR(SEARCH("T",AF159)))</formula>
    </cfRule>
  </conditionalFormatting>
  <conditionalFormatting sqref="AF41:AP41">
    <cfRule type="containsText" dxfId="807" priority="528" operator="containsText" text="17">
      <formula>NOT(ISERROR(SEARCH("17",AF41)))</formula>
    </cfRule>
    <cfRule type="containsText" dxfId="806" priority="529" operator="containsText" text="T">
      <formula>NOT(ISERROR(SEARCH("T",AF41)))</formula>
    </cfRule>
  </conditionalFormatting>
  <conditionalFormatting sqref="AF42:AZ47 AF41:AN41">
    <cfRule type="containsText" dxfId="805" priority="535" operator="containsText" text="17">
      <formula>NOT(ISERROR(SEARCH("17",AF41)))</formula>
    </cfRule>
  </conditionalFormatting>
  <conditionalFormatting sqref="AG67:AG68">
    <cfRule type="containsText" dxfId="804" priority="773" operator="containsText" text="T">
      <formula>NOT(ISERROR(SEARCH("T",AG67)))</formula>
    </cfRule>
  </conditionalFormatting>
  <conditionalFormatting sqref="AG97:AG98">
    <cfRule type="containsText" dxfId="803" priority="763" operator="containsText" text="T">
      <formula>NOT(ISERROR(SEARCH("T",AG97)))</formula>
    </cfRule>
  </conditionalFormatting>
  <conditionalFormatting sqref="AG99">
    <cfRule type="containsText" dxfId="802" priority="785" operator="containsText" text="T">
      <formula>NOT(ISERROR(SEARCH("T",AG99)))</formula>
    </cfRule>
  </conditionalFormatting>
  <conditionalFormatting sqref="AG114:AG119">
    <cfRule type="containsText" dxfId="801" priority="845" operator="containsText" text="T">
      <formula>NOT(ISERROR(SEARCH("T",AG114)))</formula>
    </cfRule>
  </conditionalFormatting>
  <conditionalFormatting sqref="AG127:AG130 AK127:AM130">
    <cfRule type="containsText" dxfId="800" priority="743" operator="containsText" text="T">
      <formula>NOT(ISERROR(SEARCH("T",AG127)))</formula>
    </cfRule>
  </conditionalFormatting>
  <conditionalFormatting sqref="AG159">
    <cfRule type="containsText" dxfId="799" priority="681" operator="containsText" text="17">
      <formula>NOT(ISERROR(SEARCH("17",AG159)))</formula>
    </cfRule>
    <cfRule type="containsText" dxfId="798" priority="682" operator="containsText" text="T">
      <formula>NOT(ISERROR(SEARCH("T",AG159)))</formula>
    </cfRule>
  </conditionalFormatting>
  <conditionalFormatting sqref="AG67:AH68">
    <cfRule type="containsText" dxfId="797" priority="774" operator="containsText" text="17">
      <formula>NOT(ISERROR(SEARCH("17",AG67)))</formula>
    </cfRule>
  </conditionalFormatting>
  <conditionalFormatting sqref="AG97:AH98">
    <cfRule type="containsText" dxfId="796" priority="764" operator="containsText" text="17">
      <formula>NOT(ISERROR(SEARCH("17",AG97)))</formula>
    </cfRule>
  </conditionalFormatting>
  <conditionalFormatting sqref="AG127:AH130 AK127:AM130">
    <cfRule type="containsText" dxfId="795" priority="744" operator="containsText" text="17">
      <formula>NOT(ISERROR(SEARCH("17",AG127)))</formula>
    </cfRule>
  </conditionalFormatting>
  <conditionalFormatting sqref="AG207:AM207">
    <cfRule type="containsText" dxfId="794" priority="672" operator="containsText" text="17">
      <formula>NOT(ISERROR(SEARCH("17",AG207)))</formula>
    </cfRule>
    <cfRule type="containsText" dxfId="793" priority="673" operator="containsText" text="T">
      <formula>NOT(ISERROR(SEARCH("T",AG207)))</formula>
    </cfRule>
  </conditionalFormatting>
  <conditionalFormatting sqref="AG28:AO32">
    <cfRule type="containsText" dxfId="792" priority="525" operator="containsText" text="17">
      <formula>NOT(ISERROR(SEARCH("17",AG28)))</formula>
    </cfRule>
  </conditionalFormatting>
  <conditionalFormatting sqref="AG28:AQ32">
    <cfRule type="containsText" dxfId="791" priority="518" operator="containsText" text="17">
      <formula>NOT(ISERROR(SEARCH("17",AG28)))</formula>
    </cfRule>
    <cfRule type="containsText" dxfId="790" priority="519" operator="containsText" text="T">
      <formula>NOT(ISERROR(SEARCH("T",AG28)))</formula>
    </cfRule>
  </conditionalFormatting>
  <conditionalFormatting sqref="AG48:AQ49">
    <cfRule type="containsText" dxfId="789" priority="508" operator="containsText" text="17">
      <formula>NOT(ISERROR(SEARCH("17",AG48)))</formula>
    </cfRule>
  </conditionalFormatting>
  <conditionalFormatting sqref="AG106:AY106">
    <cfRule type="containsText" dxfId="788" priority="346" operator="containsText" text="17">
      <formula>NOT(ISERROR(SEARCH("17",AG106)))</formula>
    </cfRule>
  </conditionalFormatting>
  <conditionalFormatting sqref="AG106:BA106">
    <cfRule type="containsText" dxfId="787" priority="340" operator="containsText" text="T">
      <formula>NOT(ISERROR(SEARCH("T",AG106)))</formula>
    </cfRule>
  </conditionalFormatting>
  <conditionalFormatting sqref="AH67:AH68">
    <cfRule type="containsText" dxfId="786" priority="775" operator="containsText" text="T">
      <formula>NOT(ISERROR(SEARCH("T",AH67)))</formula>
    </cfRule>
  </conditionalFormatting>
  <conditionalFormatting sqref="AH77:AH82">
    <cfRule type="containsText" dxfId="785" priority="832" operator="containsText" text="T">
      <formula>NOT(ISERROR(SEARCH("T",AH77)))</formula>
    </cfRule>
  </conditionalFormatting>
  <conditionalFormatting sqref="AH97:AH98">
    <cfRule type="containsText" dxfId="784" priority="765" operator="containsText" text="T">
      <formula>NOT(ISERROR(SEARCH("T",AH97)))</formula>
    </cfRule>
  </conditionalFormatting>
  <conditionalFormatting sqref="AH127:AH130">
    <cfRule type="containsText" dxfId="783" priority="745" operator="containsText" text="T">
      <formula>NOT(ISERROR(SEARCH("T",AH127)))</formula>
    </cfRule>
  </conditionalFormatting>
  <conditionalFormatting sqref="AH131 AL131:AN131 Q132:AK137 AN132:AN137">
    <cfRule type="containsText" dxfId="782" priority="730" operator="containsText" text="T">
      <formula>NOT(ISERROR(SEARCH("T",Q131)))</formula>
    </cfRule>
  </conditionalFormatting>
  <conditionalFormatting sqref="AH207">
    <cfRule type="containsText" dxfId="781" priority="668" operator="containsText" text="17">
      <formula>NOT(ISERROR(SEARCH("17",AH207)))</formula>
    </cfRule>
    <cfRule type="containsText" dxfId="780" priority="669" operator="containsText" text="T">
      <formula>NOT(ISERROR(SEARCH("T",AH207)))</formula>
    </cfRule>
  </conditionalFormatting>
  <conditionalFormatting sqref="AH131:AI131 AL131:AN131 AN132:AN137">
    <cfRule type="containsText" dxfId="779" priority="731" operator="containsText" text="17">
      <formula>NOT(ISERROR(SEARCH("17",AH131)))</formula>
    </cfRule>
  </conditionalFormatting>
  <conditionalFormatting sqref="AH200:AN200">
    <cfRule type="containsText" dxfId="778" priority="659" operator="containsText" text="17">
      <formula>NOT(ISERROR(SEARCH("17",AH200)))</formula>
    </cfRule>
    <cfRule type="containsText" dxfId="777" priority="660" operator="containsText" text="T">
      <formula>NOT(ISERROR(SEARCH("T",AH200)))</formula>
    </cfRule>
  </conditionalFormatting>
  <conditionalFormatting sqref="AH50:AP53">
    <cfRule type="containsText" dxfId="776" priority="505" operator="containsText" text="17">
      <formula>NOT(ISERROR(SEARCH("17",AH50)))</formula>
    </cfRule>
  </conditionalFormatting>
  <conditionalFormatting sqref="AH50:AR53">
    <cfRule type="containsText" dxfId="775" priority="498" operator="containsText" text="17">
      <formula>NOT(ISERROR(SEARCH("17",AH50)))</formula>
    </cfRule>
  </conditionalFormatting>
  <conditionalFormatting sqref="AH63:AR66">
    <cfRule type="containsText" dxfId="774" priority="488" operator="containsText" text="17">
      <formula>NOT(ISERROR(SEARCH("17",AH63)))</formula>
    </cfRule>
  </conditionalFormatting>
  <conditionalFormatting sqref="AH113:AU116">
    <cfRule type="containsText" dxfId="773" priority="411" operator="containsText" text="17">
      <formula>NOT(ISERROR(SEARCH("17",AH113)))</formula>
    </cfRule>
  </conditionalFormatting>
  <conditionalFormatting sqref="AH117:AV119">
    <cfRule type="containsText" dxfId="772" priority="401" operator="containsText" text="17">
      <formula>NOT(ISERROR(SEARCH("17",AH117)))</formula>
    </cfRule>
  </conditionalFormatting>
  <conditionalFormatting sqref="AH113:AW116">
    <cfRule type="containsText" dxfId="771" priority="405" operator="containsText" text="T">
      <formula>NOT(ISERROR(SEARCH("T",AH113)))</formula>
    </cfRule>
  </conditionalFormatting>
  <conditionalFormatting sqref="AH117:AX119">
    <cfRule type="containsText" dxfId="770" priority="395" operator="containsText" text="T">
      <formula>NOT(ISERROR(SEARCH("T",AH117)))</formula>
    </cfRule>
  </conditionalFormatting>
  <conditionalFormatting sqref="AI131">
    <cfRule type="containsText" dxfId="769" priority="732" operator="containsText" text="T">
      <formula>NOT(ISERROR(SEARCH("T",AI131)))</formula>
    </cfRule>
  </conditionalFormatting>
  <conditionalFormatting sqref="AI138 AM138:AO138 R139:AL144 AO139:AO144">
    <cfRule type="containsText" dxfId="768" priority="717" operator="containsText" text="T">
      <formula>NOT(ISERROR(SEARCH("T",R138)))</formula>
    </cfRule>
  </conditionalFormatting>
  <conditionalFormatting sqref="AI200">
    <cfRule type="containsText" dxfId="767" priority="655" operator="containsText" text="17">
      <formula>NOT(ISERROR(SEARCH("17",AI200)))</formula>
    </cfRule>
    <cfRule type="containsText" dxfId="766" priority="656" operator="containsText" text="T">
      <formula>NOT(ISERROR(SEARCH("T",AI200)))</formula>
    </cfRule>
  </conditionalFormatting>
  <conditionalFormatting sqref="AI138:AJ138 AM138:AO138 AO139:AO144">
    <cfRule type="containsText" dxfId="765" priority="718" operator="containsText" text="17">
      <formula>NOT(ISERROR(SEARCH("17",AI138)))</formula>
    </cfRule>
  </conditionalFormatting>
  <conditionalFormatting sqref="AI107:AO112">
    <cfRule type="containsText" dxfId="764" priority="819" operator="containsText" text="T">
      <formula>NOT(ISERROR(SEARCH("T",AI107)))</formula>
    </cfRule>
  </conditionalFormatting>
  <conditionalFormatting sqref="AI192:AO192">
    <cfRule type="containsText" dxfId="763" priority="636" operator="containsText" text="T">
      <formula>NOT(ISERROR(SEARCH("T",AI192)))</formula>
    </cfRule>
  </conditionalFormatting>
  <conditionalFormatting sqref="AI193:AO193">
    <cfRule type="containsText" dxfId="762" priority="646" operator="containsText" text="17">
      <formula>NOT(ISERROR(SEARCH("17",AI193)))</formula>
    </cfRule>
    <cfRule type="containsText" dxfId="761" priority="647" operator="containsText" text="T">
      <formula>NOT(ISERROR(SEARCH("T",AI193)))</formula>
    </cfRule>
  </conditionalFormatting>
  <conditionalFormatting sqref="AI192:AP192 AS192:AU192">
    <cfRule type="containsText" dxfId="760" priority="634" operator="containsText" text="17">
      <formula>NOT(ISERROR(SEARCH("17",AI192)))</formula>
    </cfRule>
  </conditionalFormatting>
  <conditionalFormatting sqref="AI59:AS62">
    <cfRule type="containsText" dxfId="759" priority="474" operator="containsText" text="17">
      <formula>NOT(ISERROR(SEARCH("17",AI59)))</formula>
    </cfRule>
  </conditionalFormatting>
  <conditionalFormatting sqref="AI86:AS89">
    <cfRule type="containsText" dxfId="758" priority="464" operator="containsText" text="17">
      <formula>NOT(ISERROR(SEARCH("17",AI86)))</formula>
    </cfRule>
  </conditionalFormatting>
  <conditionalFormatting sqref="AI79:AV82">
    <cfRule type="containsText" dxfId="757" priority="391" operator="containsText" text="17">
      <formula>NOT(ISERROR(SEARCH("17",AI79)))</formula>
    </cfRule>
  </conditionalFormatting>
  <conditionalFormatting sqref="AI76:AX78">
    <cfRule type="containsText" dxfId="756" priority="366" operator="containsText" text="17">
      <formula>NOT(ISERROR(SEARCH("17",AI76)))</formula>
    </cfRule>
  </conditionalFormatting>
  <conditionalFormatting sqref="AI79:AX82">
    <cfRule type="containsText" dxfId="755" priority="385" operator="containsText" text="T">
      <formula>NOT(ISERROR(SEARCH("T",AI79)))</formula>
    </cfRule>
  </conditionalFormatting>
  <conditionalFormatting sqref="AI76:AZ78">
    <cfRule type="containsText" dxfId="754" priority="360" operator="containsText" text="T">
      <formula>NOT(ISERROR(SEARCH("T",AI76)))</formula>
    </cfRule>
  </conditionalFormatting>
  <conditionalFormatting sqref="AJ120:AJ126">
    <cfRule type="containsText" dxfId="753" priority="380" operator="containsText" text="17">
      <formula>NOT(ISERROR(SEARCH("17",AJ120)))</formula>
    </cfRule>
    <cfRule type="containsText" dxfId="752" priority="383" operator="containsText" text="T">
      <formula>NOT(ISERROR(SEARCH("T",AJ120)))</formula>
    </cfRule>
  </conditionalFormatting>
  <conditionalFormatting sqref="AJ138">
    <cfRule type="containsText" dxfId="751" priority="719" operator="containsText" text="T">
      <formula>NOT(ISERROR(SEARCH("T",AJ138)))</formula>
    </cfRule>
  </conditionalFormatting>
  <conditionalFormatting sqref="AJ145 AN145:AP145 S146:AM151 AP146:AP151">
    <cfRule type="containsText" dxfId="750" priority="704" operator="containsText" text="T">
      <formula>NOT(ISERROR(SEARCH("T",S145)))</formula>
    </cfRule>
  </conditionalFormatting>
  <conditionalFormatting sqref="AJ192:AJ193">
    <cfRule type="containsText" dxfId="749" priority="642" operator="containsText" text="17">
      <formula>NOT(ISERROR(SEARCH("17",AJ192)))</formula>
    </cfRule>
    <cfRule type="containsText" dxfId="748" priority="643" operator="containsText" text="T">
      <formula>NOT(ISERROR(SEARCH("T",AJ192)))</formula>
    </cfRule>
  </conditionalFormatting>
  <conditionalFormatting sqref="AJ145:AK145 AN145:AP145 AP146:AP151">
    <cfRule type="containsText" dxfId="747" priority="705" operator="containsText" text="17">
      <formula>NOT(ISERROR(SEARCH("17",AJ145)))</formula>
    </cfRule>
  </conditionalFormatting>
  <conditionalFormatting sqref="AJ168:AP168">
    <cfRule type="containsText" dxfId="746" priority="628" operator="containsText" text="17">
      <formula>NOT(ISERROR(SEARCH("17",AJ168)))</formula>
    </cfRule>
    <cfRule type="containsText" dxfId="745" priority="629" operator="containsText" text="T">
      <formula>NOT(ISERROR(SEARCH("T",AJ168)))</formula>
    </cfRule>
  </conditionalFormatting>
  <conditionalFormatting sqref="AJ83:AT85">
    <cfRule type="containsText" dxfId="744" priority="454" operator="containsText" text="17">
      <formula>NOT(ISERROR(SEARCH("17",AJ83)))</formula>
    </cfRule>
  </conditionalFormatting>
  <conditionalFormatting sqref="AJ214:AT217">
    <cfRule type="containsText" dxfId="743" priority="444" operator="containsText" text="17">
      <formula>NOT(ISERROR(SEARCH("17",AJ214)))</formula>
    </cfRule>
  </conditionalFormatting>
  <conditionalFormatting sqref="AK70:AK75">
    <cfRule type="containsText" dxfId="742" priority="806" operator="containsText" text="T">
      <formula>NOT(ISERROR(SEARCH("T",AK70)))</formula>
    </cfRule>
  </conditionalFormatting>
  <conditionalFormatting sqref="AK129:AK130 P127:X130">
    <cfRule type="containsText" dxfId="741" priority="748" operator="containsText" text="17">
      <formula>NOT(ISERROR(SEARCH("17",P127)))</formula>
    </cfRule>
  </conditionalFormatting>
  <conditionalFormatting sqref="AK145">
    <cfRule type="containsText" dxfId="740" priority="706" operator="containsText" text="T">
      <formula>NOT(ISERROR(SEARCH("T",AK145)))</formula>
    </cfRule>
  </conditionalFormatting>
  <conditionalFormatting sqref="AK152 AO152:AQ152 T153:AN158 AQ153:AQ158">
    <cfRule type="containsText" dxfId="739" priority="691" operator="containsText" text="T">
      <formula>NOT(ISERROR(SEARCH("T",T152)))</formula>
    </cfRule>
  </conditionalFormatting>
  <conditionalFormatting sqref="AK168">
    <cfRule type="containsText" dxfId="738" priority="624" operator="containsText" text="17">
      <formula>NOT(ISERROR(SEARCH("17",AK168)))</formula>
    </cfRule>
    <cfRule type="containsText" dxfId="737" priority="625" operator="containsText" text="T">
      <formula>NOT(ISERROR(SEARCH("T",AK168)))</formula>
    </cfRule>
  </conditionalFormatting>
  <conditionalFormatting sqref="AK152:AL152 AO152:AQ152 AQ153:AQ158">
    <cfRule type="containsText" dxfId="736" priority="692" operator="containsText" text="17">
      <formula>NOT(ISERROR(SEARCH("17",AK152)))</formula>
    </cfRule>
  </conditionalFormatting>
  <conditionalFormatting sqref="AK175:AQ175">
    <cfRule type="containsText" dxfId="735" priority="615" operator="containsText" text="17">
      <formula>NOT(ISERROR(SEARCH("17",AK175)))</formula>
    </cfRule>
    <cfRule type="containsText" dxfId="734" priority="616" operator="containsText" text="T">
      <formula>NOT(ISERROR(SEARCH("T",AK175)))</formula>
    </cfRule>
  </conditionalFormatting>
  <conditionalFormatting sqref="AK218:AU224">
    <cfRule type="containsText" dxfId="733" priority="434" operator="containsText" text="17">
      <formula>NOT(ISERROR(SEARCH("17",AK218)))</formula>
    </cfRule>
  </conditionalFormatting>
  <conditionalFormatting sqref="AK120:AY120">
    <cfRule type="containsText" dxfId="732" priority="326" operator="containsText" text="17">
      <formula>NOT(ISERROR(SEARCH("17",AK120)))</formula>
    </cfRule>
  </conditionalFormatting>
  <conditionalFormatting sqref="AK122:AY122">
    <cfRule type="containsText" dxfId="731" priority="316" operator="containsText" text="17">
      <formula>NOT(ISERROR(SEARCH("17",AK122)))</formula>
    </cfRule>
  </conditionalFormatting>
  <conditionalFormatting sqref="AK124:AY126">
    <cfRule type="containsText" dxfId="730" priority="336" operator="containsText" text="17">
      <formula>NOT(ISERROR(SEARCH("17",AK124)))</formula>
    </cfRule>
  </conditionalFormatting>
  <conditionalFormatting sqref="AK121:AZ121">
    <cfRule type="containsText" dxfId="729" priority="296" operator="containsText" text="17">
      <formula>NOT(ISERROR(SEARCH("17",AK121)))</formula>
    </cfRule>
  </conditionalFormatting>
  <conditionalFormatting sqref="AK123:AZ123">
    <cfRule type="containsText" dxfId="728" priority="286" operator="containsText" text="17">
      <formula>NOT(ISERROR(SEARCH("17",AK123)))</formula>
    </cfRule>
  </conditionalFormatting>
  <conditionalFormatting sqref="AK67:BA68">
    <cfRule type="containsText" dxfId="727" priority="246" operator="containsText" text="17">
      <formula>NOT(ISERROR(SEARCH("17",AK67)))</formula>
    </cfRule>
  </conditionalFormatting>
  <conditionalFormatting sqref="AK120:BA120">
    <cfRule type="containsText" dxfId="726" priority="320" operator="containsText" text="T">
      <formula>NOT(ISERROR(SEARCH("T",AK120)))</formula>
    </cfRule>
  </conditionalFormatting>
  <conditionalFormatting sqref="AK122:BA122">
    <cfRule type="containsText" dxfId="725" priority="310" operator="containsText" text="T">
      <formula>NOT(ISERROR(SEARCH("T",AK122)))</formula>
    </cfRule>
  </conditionalFormatting>
  <conditionalFormatting sqref="AK124:BA126">
    <cfRule type="containsText" dxfId="724" priority="330" operator="containsText" text="T">
      <formula>NOT(ISERROR(SEARCH("T",AK124)))</formula>
    </cfRule>
  </conditionalFormatting>
  <conditionalFormatting sqref="AK97:BB98">
    <cfRule type="containsText" dxfId="723" priority="236" operator="containsText" text="17">
      <formula>NOT(ISERROR(SEARCH("17",AK97)))</formula>
    </cfRule>
  </conditionalFormatting>
  <conditionalFormatting sqref="AK121:BB121">
    <cfRule type="containsText" dxfId="722" priority="290" operator="containsText" text="T">
      <formula>NOT(ISERROR(SEARCH("T",AK121)))</formula>
    </cfRule>
  </conditionalFormatting>
  <conditionalFormatting sqref="AK123:BB123">
    <cfRule type="containsText" dxfId="721" priority="280" operator="containsText" text="T">
      <formula>NOT(ISERROR(SEARCH("T",AK123)))</formula>
    </cfRule>
  </conditionalFormatting>
  <conditionalFormatting sqref="AK67:BC68">
    <cfRule type="containsText" dxfId="720" priority="240" operator="containsText" text="T">
      <formula>NOT(ISERROR(SEARCH("T",AK67)))</formula>
    </cfRule>
  </conditionalFormatting>
  <conditionalFormatting sqref="AK97:BD98">
    <cfRule type="containsText" dxfId="719" priority="230" operator="containsText" text="T">
      <formula>NOT(ISERROR(SEARCH("T",AK97)))</formula>
    </cfRule>
  </conditionalFormatting>
  <conditionalFormatting sqref="AL100:AL105">
    <cfRule type="containsText" dxfId="718" priority="793" operator="containsText" text="T">
      <formula>NOT(ISERROR(SEARCH("T",AL100)))</formula>
    </cfRule>
  </conditionalFormatting>
  <conditionalFormatting sqref="AL152">
    <cfRule type="containsText" dxfId="717" priority="693" operator="containsText" text="T">
      <formula>NOT(ISERROR(SEARCH("T",AL152)))</formula>
    </cfRule>
  </conditionalFormatting>
  <conditionalFormatting sqref="AL159 AP159:AR159 U160:AO165 AR160:AR165">
    <cfRule type="containsText" dxfId="716" priority="678" operator="containsText" text="T">
      <formula>NOT(ISERROR(SEARCH("T",U159)))</formula>
    </cfRule>
  </conditionalFormatting>
  <conditionalFormatting sqref="AL175">
    <cfRule type="containsText" dxfId="715" priority="611" operator="containsText" text="17">
      <formula>NOT(ISERROR(SEARCH("17",AL175)))</formula>
    </cfRule>
    <cfRule type="containsText" dxfId="714" priority="612" operator="containsText" text="T">
      <formula>NOT(ISERROR(SEARCH("T",AL175)))</formula>
    </cfRule>
  </conditionalFormatting>
  <conditionalFormatting sqref="AL159:AM159 AP159:AR159 AR160:AR165">
    <cfRule type="containsText" dxfId="713" priority="679" operator="containsText" text="17">
      <formula>NOT(ISERROR(SEARCH("17",AL159)))</formula>
    </cfRule>
  </conditionalFormatting>
  <conditionalFormatting sqref="AL182:AR182">
    <cfRule type="containsText" dxfId="712" priority="602" operator="containsText" text="17">
      <formula>NOT(ISERROR(SEARCH("17",AL182)))</formula>
    </cfRule>
    <cfRule type="containsText" dxfId="711" priority="603" operator="containsText" text="T">
      <formula>NOT(ISERROR(SEARCH("T",AL182)))</formula>
    </cfRule>
  </conditionalFormatting>
  <conditionalFormatting sqref="AL225:AV231">
    <cfRule type="containsText" dxfId="710" priority="424" operator="containsText" text="17">
      <formula>NOT(ISERROR(SEARCH("17",AL225)))</formula>
    </cfRule>
  </conditionalFormatting>
  <conditionalFormatting sqref="AL72:AY75">
    <cfRule type="containsText" dxfId="709" priority="356" operator="containsText" text="17">
      <formula>NOT(ISERROR(SEARCH("17",AL72)))</formula>
    </cfRule>
  </conditionalFormatting>
  <conditionalFormatting sqref="AL69:AZ71">
    <cfRule type="containsText" dxfId="708" priority="276" operator="containsText" text="17">
      <formula>NOT(ISERROR(SEARCH("17",AL69)))</formula>
    </cfRule>
  </conditionalFormatting>
  <conditionalFormatting sqref="AL72:BA75">
    <cfRule type="containsText" dxfId="707" priority="350" operator="containsText" text="T">
      <formula>NOT(ISERROR(SEARCH("T",AL72)))</formula>
    </cfRule>
  </conditionalFormatting>
  <conditionalFormatting sqref="AL69:BB71">
    <cfRule type="containsText" dxfId="706" priority="270" operator="containsText" text="T">
      <formula>NOT(ISERROR(SEARCH("T",AL69)))</formula>
    </cfRule>
  </conditionalFormatting>
  <conditionalFormatting sqref="AM159">
    <cfRule type="containsText" dxfId="705" priority="680" operator="containsText" text="T">
      <formula>NOT(ISERROR(SEARCH("T",AM159)))</formula>
    </cfRule>
  </conditionalFormatting>
  <conditionalFormatting sqref="AM182">
    <cfRule type="containsText" dxfId="704" priority="598" operator="containsText" text="17">
      <formula>NOT(ISERROR(SEARCH("17",AM182)))</formula>
    </cfRule>
    <cfRule type="containsText" dxfId="703" priority="599" operator="containsText" text="T">
      <formula>NOT(ISERROR(SEARCH("T",AM182)))</formula>
    </cfRule>
  </conditionalFormatting>
  <conditionalFormatting sqref="AM207 AQ207:AS207 V208:AP213 AS208:AS213">
    <cfRule type="containsText" dxfId="702" priority="665" operator="containsText" text="T">
      <formula>NOT(ISERROR(SEARCH("T",V207)))</formula>
    </cfRule>
  </conditionalFormatting>
  <conditionalFormatting sqref="AM207:AN207 AQ207:AS207 AS208:AS213">
    <cfRule type="containsText" dxfId="701" priority="666" operator="containsText" text="17">
      <formula>NOT(ISERROR(SEARCH("17",AM207)))</formula>
    </cfRule>
  </conditionalFormatting>
  <conditionalFormatting sqref="AM90:AS90">
    <cfRule type="containsText" dxfId="700" priority="589" operator="containsText" text="17">
      <formula>NOT(ISERROR(SEARCH("17",AM90)))</formula>
    </cfRule>
    <cfRule type="containsText" dxfId="699" priority="590" operator="containsText" text="T">
      <formula>NOT(ISERROR(SEARCH("T",AM90)))</formula>
    </cfRule>
  </conditionalFormatting>
  <conditionalFormatting sqref="AM113:AW116">
    <cfRule type="containsText" dxfId="698" priority="404" operator="containsText" text="17">
      <formula>NOT(ISERROR(SEARCH("17",AM113)))</formula>
    </cfRule>
  </conditionalFormatting>
  <conditionalFormatting sqref="AM232:AW234">
    <cfRule type="containsText" dxfId="697" priority="414" operator="containsText" text="17">
      <formula>NOT(ISERROR(SEARCH("17",AM232)))</formula>
    </cfRule>
  </conditionalFormatting>
  <conditionalFormatting sqref="AM103:AZ104">
    <cfRule type="containsText" dxfId="696" priority="306" operator="containsText" text="17">
      <formula>NOT(ISERROR(SEARCH("17",AM103)))</formula>
    </cfRule>
  </conditionalFormatting>
  <conditionalFormatting sqref="AM99:BA102">
    <cfRule type="containsText" dxfId="695" priority="266" operator="containsText" text="17">
      <formula>NOT(ISERROR(SEARCH("17",AM99)))</formula>
    </cfRule>
  </conditionalFormatting>
  <conditionalFormatting sqref="AM105:BA105">
    <cfRule type="containsText" dxfId="694" priority="256" operator="containsText" text="17">
      <formula>NOT(ISERROR(SEARCH("17",AM105)))</formula>
    </cfRule>
  </conditionalFormatting>
  <conditionalFormatting sqref="AM103:BB104">
    <cfRule type="containsText" dxfId="693" priority="300" operator="containsText" text="T">
      <formula>NOT(ISERROR(SEARCH("T",AM103)))</formula>
    </cfRule>
  </conditionalFormatting>
  <conditionalFormatting sqref="AM99:BC102">
    <cfRule type="containsText" dxfId="692" priority="260" operator="containsText" text="T">
      <formula>NOT(ISERROR(SEARCH("T",AM99)))</formula>
    </cfRule>
  </conditionalFormatting>
  <conditionalFormatting sqref="AM105:BC105">
    <cfRule type="containsText" dxfId="691" priority="250" operator="containsText" text="T">
      <formula>NOT(ISERROR(SEARCH("T",AM105)))</formula>
    </cfRule>
  </conditionalFormatting>
  <conditionalFormatting sqref="AN90">
    <cfRule type="containsText" dxfId="690" priority="585" operator="containsText" text="17">
      <formula>NOT(ISERROR(SEARCH("17",AN90)))</formula>
    </cfRule>
    <cfRule type="containsText" dxfId="689" priority="586" operator="containsText" text="T">
      <formula>NOT(ISERROR(SEARCH("T",AN90)))</formula>
    </cfRule>
  </conditionalFormatting>
  <conditionalFormatting sqref="AN132:AN137">
    <cfRule type="containsText" dxfId="688" priority="740" operator="containsText" text="T">
      <formula>NOT(ISERROR(SEARCH("T",AN132)))</formula>
    </cfRule>
  </conditionalFormatting>
  <conditionalFormatting sqref="AN200 AR200:AT200 W201:AQ206 AT201:AT206">
    <cfRule type="containsText" dxfId="687" priority="652" operator="containsText" text="T">
      <formula>NOT(ISERROR(SEARCH("T",W200)))</formula>
    </cfRule>
  </conditionalFormatting>
  <conditionalFormatting sqref="AN207">
    <cfRule type="containsText" dxfId="686" priority="667" operator="containsText" text="T">
      <formula>NOT(ISERROR(SEARCH("T",AN207)))</formula>
    </cfRule>
  </conditionalFormatting>
  <conditionalFormatting sqref="AN200:AO200 AR200:AT200 AT201:AT206">
    <cfRule type="containsText" dxfId="685" priority="653" operator="containsText" text="17">
      <formula>NOT(ISERROR(SEARCH("17",AN200)))</formula>
    </cfRule>
  </conditionalFormatting>
  <conditionalFormatting sqref="AN14:AT14">
    <cfRule type="containsText" dxfId="684" priority="576" operator="containsText" text="17">
      <formula>NOT(ISERROR(SEARCH("17",AN14)))</formula>
    </cfRule>
    <cfRule type="containsText" dxfId="683" priority="577" operator="containsText" text="T">
      <formula>NOT(ISERROR(SEARCH("T",AN14)))</formula>
    </cfRule>
  </conditionalFormatting>
  <conditionalFormatting sqref="AN79:AX82">
    <cfRule type="containsText" dxfId="682" priority="384" operator="containsText" text="17">
      <formula>NOT(ISERROR(SEARCH("17",AN79)))</formula>
    </cfRule>
  </conditionalFormatting>
  <conditionalFormatting sqref="AN117:AX119">
    <cfRule type="containsText" dxfId="681" priority="394" operator="containsText" text="17">
      <formula>NOT(ISERROR(SEARCH("17",AN117)))</formula>
    </cfRule>
  </conditionalFormatting>
  <conditionalFormatting sqref="AO14">
    <cfRule type="containsText" dxfId="680" priority="572" operator="containsText" text="17">
      <formula>NOT(ISERROR(SEARCH("17",AO14)))</formula>
    </cfRule>
    <cfRule type="containsText" dxfId="679" priority="573" operator="containsText" text="T">
      <formula>NOT(ISERROR(SEARCH("T",AO14)))</formula>
    </cfRule>
  </conditionalFormatting>
  <conditionalFormatting sqref="AO139:AO144">
    <cfRule type="containsText" dxfId="678" priority="727" operator="containsText" text="T">
      <formula>NOT(ISERROR(SEARCH("T",AO139)))</formula>
    </cfRule>
  </conditionalFormatting>
  <conditionalFormatting sqref="AO192:AO193 AS192:AU193 X194:AR199 AU194:AU199">
    <cfRule type="containsText" dxfId="677" priority="639" operator="containsText" text="T">
      <formula>NOT(ISERROR(SEARCH("T",X192)))</formula>
    </cfRule>
  </conditionalFormatting>
  <conditionalFormatting sqref="AO200">
    <cfRule type="containsText" dxfId="676" priority="654" operator="containsText" text="T">
      <formula>NOT(ISERROR(SEARCH("T",AO200)))</formula>
    </cfRule>
  </conditionalFormatting>
  <conditionalFormatting sqref="AO193:AP193 AS193:AU193 AU194:AU199">
    <cfRule type="containsText" dxfId="675" priority="640" operator="containsText" text="17">
      <formula>NOT(ISERROR(SEARCH("17",AO193)))</formula>
    </cfRule>
  </conditionalFormatting>
  <conditionalFormatting sqref="AO34:AU34">
    <cfRule type="containsText" dxfId="674" priority="563" operator="containsText" text="17">
      <formula>NOT(ISERROR(SEARCH("17",AO34)))</formula>
    </cfRule>
    <cfRule type="containsText" dxfId="673" priority="564" operator="containsText" text="T">
      <formula>NOT(ISERROR(SEARCH("T",AO34)))</formula>
    </cfRule>
  </conditionalFormatting>
  <conditionalFormatting sqref="AO131:BB137">
    <cfRule type="containsText" dxfId="672" priority="226" operator="containsText" text="17">
      <formula>NOT(ISERROR(SEARCH("17",AO131)))</formula>
    </cfRule>
  </conditionalFormatting>
  <conditionalFormatting sqref="AO131:BD137">
    <cfRule type="containsText" dxfId="671" priority="220" operator="containsText" text="T">
      <formula>NOT(ISERROR(SEARCH("T",AO131)))</formula>
    </cfRule>
  </conditionalFormatting>
  <conditionalFormatting sqref="AP34">
    <cfRule type="containsText" dxfId="670" priority="559" operator="containsText" text="17">
      <formula>NOT(ISERROR(SEARCH("17",AP34)))</formula>
    </cfRule>
    <cfRule type="containsText" dxfId="669" priority="560" operator="containsText" text="T">
      <formula>NOT(ISERROR(SEARCH("T",AP34)))</formula>
    </cfRule>
  </conditionalFormatting>
  <conditionalFormatting sqref="AP146:AP151">
    <cfRule type="containsText" dxfId="668" priority="714" operator="containsText" text="T">
      <formula>NOT(ISERROR(SEARCH("T",AP146)))</formula>
    </cfRule>
  </conditionalFormatting>
  <conditionalFormatting sqref="AP168 AT168:AV168 Y169:AS174 AV169:AV174">
    <cfRule type="containsText" dxfId="667" priority="621" operator="containsText" text="T">
      <formula>NOT(ISERROR(SEARCH("T",Y168)))</formula>
    </cfRule>
  </conditionalFormatting>
  <conditionalFormatting sqref="AP192:AP193">
    <cfRule type="containsText" dxfId="666" priority="641" operator="containsText" text="T">
      <formula>NOT(ISERROR(SEARCH("T",AP192)))</formula>
    </cfRule>
  </conditionalFormatting>
  <conditionalFormatting sqref="AP168:AQ168 AT168:AV168 AV169:AV174">
    <cfRule type="containsText" dxfId="665" priority="622" operator="containsText" text="17">
      <formula>NOT(ISERROR(SEARCH("17",AP168)))</formula>
    </cfRule>
  </conditionalFormatting>
  <conditionalFormatting sqref="AP21:AV21">
    <cfRule type="containsText" dxfId="664" priority="550" operator="containsText" text="17">
      <formula>NOT(ISERROR(SEARCH("17",AP21)))</formula>
    </cfRule>
    <cfRule type="containsText" dxfId="663" priority="551" operator="containsText" text="T">
      <formula>NOT(ISERROR(SEARCH("T",AP21)))</formula>
    </cfRule>
  </conditionalFormatting>
  <conditionalFormatting sqref="AP107:AX112">
    <cfRule type="containsText" dxfId="662" priority="376" operator="containsText" text="17">
      <formula>NOT(ISERROR(SEARCH("17",AP107)))</formula>
    </cfRule>
  </conditionalFormatting>
  <conditionalFormatting sqref="AP76:AZ78">
    <cfRule type="containsText" dxfId="661" priority="359" operator="containsText" text="17">
      <formula>NOT(ISERROR(SEARCH("17",AP76)))</formula>
    </cfRule>
  </conditionalFormatting>
  <conditionalFormatting sqref="AP107:AZ112">
    <cfRule type="containsText" dxfId="660" priority="369" operator="containsText" text="17">
      <formula>NOT(ISERROR(SEARCH("17",AP107)))</formula>
    </cfRule>
    <cfRule type="containsText" dxfId="659" priority="370" operator="containsText" text="T">
      <formula>NOT(ISERROR(SEARCH("T",AP107)))</formula>
    </cfRule>
  </conditionalFormatting>
  <conditionalFormatting sqref="AP138:BC144">
    <cfRule type="containsText" dxfId="658" priority="216" operator="containsText" text="17">
      <formula>NOT(ISERROR(SEARCH("17",AP138)))</formula>
    </cfRule>
  </conditionalFormatting>
  <conditionalFormatting sqref="AP138:BE144">
    <cfRule type="containsText" dxfId="657" priority="210" operator="containsText" text="T">
      <formula>NOT(ISERROR(SEARCH("T",AP138)))</formula>
    </cfRule>
  </conditionalFormatting>
  <conditionalFormatting sqref="AQ21">
    <cfRule type="containsText" dxfId="656" priority="546" operator="containsText" text="17">
      <formula>NOT(ISERROR(SEARCH("17",AQ21)))</formula>
    </cfRule>
    <cfRule type="containsText" dxfId="655" priority="547" operator="containsText" text="T">
      <formula>NOT(ISERROR(SEARCH("T",AQ21)))</formula>
    </cfRule>
  </conditionalFormatting>
  <conditionalFormatting sqref="AQ153:AQ158">
    <cfRule type="containsText" dxfId="654" priority="701" operator="containsText" text="T">
      <formula>NOT(ISERROR(SEARCH("T",AQ153)))</formula>
    </cfRule>
  </conditionalFormatting>
  <conditionalFormatting sqref="AQ168">
    <cfRule type="containsText" dxfId="653" priority="623" operator="containsText" text="T">
      <formula>NOT(ISERROR(SEARCH("T",AQ168)))</formula>
    </cfRule>
  </conditionalFormatting>
  <conditionalFormatting sqref="AQ175 AU175:AW175 Z176:AT181 AW176:AW181">
    <cfRule type="containsText" dxfId="652" priority="608" operator="containsText" text="T">
      <formula>NOT(ISERROR(SEARCH("T",Z175)))</formula>
    </cfRule>
  </conditionalFormatting>
  <conditionalFormatting sqref="AQ175:AR175 AU175:AW175 AW176:AW181">
    <cfRule type="containsText" dxfId="651" priority="609" operator="containsText" text="17">
      <formula>NOT(ISERROR(SEARCH("17",AQ175)))</formula>
    </cfRule>
  </conditionalFormatting>
  <conditionalFormatting sqref="AQ41:AW41">
    <cfRule type="containsText" dxfId="650" priority="537" operator="containsText" text="17">
      <formula>NOT(ISERROR(SEARCH("17",AQ41)))</formula>
    </cfRule>
    <cfRule type="containsText" dxfId="649" priority="538" operator="containsText" text="T">
      <formula>NOT(ISERROR(SEARCH("T",AQ41)))</formula>
    </cfRule>
  </conditionalFormatting>
  <conditionalFormatting sqref="AQ72:BA75">
    <cfRule type="containsText" dxfId="648" priority="349" operator="containsText" text="17">
      <formula>NOT(ISERROR(SEARCH("17",AQ72)))</formula>
    </cfRule>
  </conditionalFormatting>
  <conditionalFormatting sqref="AQ106:BA106">
    <cfRule type="containsText" dxfId="647" priority="339" operator="containsText" text="17">
      <formula>NOT(ISERROR(SEARCH("17",AQ106)))</formula>
    </cfRule>
  </conditionalFormatting>
  <conditionalFormatting sqref="AQ120:BA120">
    <cfRule type="containsText" dxfId="646" priority="319" operator="containsText" text="17">
      <formula>NOT(ISERROR(SEARCH("17",AQ120)))</formula>
    </cfRule>
  </conditionalFormatting>
  <conditionalFormatting sqref="AQ122:BA122">
    <cfRule type="containsText" dxfId="645" priority="309" operator="containsText" text="17">
      <formula>NOT(ISERROR(SEARCH("17",AQ122)))</formula>
    </cfRule>
  </conditionalFormatting>
  <conditionalFormatting sqref="AQ124:BA126">
    <cfRule type="containsText" dxfId="644" priority="329" operator="containsText" text="17">
      <formula>NOT(ISERROR(SEARCH("17",AQ124)))</formula>
    </cfRule>
  </conditionalFormatting>
  <conditionalFormatting sqref="AQ145:BD151">
    <cfRule type="containsText" dxfId="643" priority="206" operator="containsText" text="17">
      <formula>NOT(ISERROR(SEARCH("17",AQ145)))</formula>
    </cfRule>
  </conditionalFormatting>
  <conditionalFormatting sqref="AQ145:BF151">
    <cfRule type="containsText" dxfId="642" priority="200" operator="containsText" text="T">
      <formula>NOT(ISERROR(SEARCH("T",AQ145)))</formula>
    </cfRule>
  </conditionalFormatting>
  <conditionalFormatting sqref="AR41">
    <cfRule type="containsText" dxfId="641" priority="533" operator="containsText" text="17">
      <formula>NOT(ISERROR(SEARCH("17",AR41)))</formula>
    </cfRule>
    <cfRule type="containsText" dxfId="640" priority="534" operator="containsText" text="T">
      <formula>NOT(ISERROR(SEARCH("T",AR41)))</formula>
    </cfRule>
  </conditionalFormatting>
  <conditionalFormatting sqref="AR160:AR165">
    <cfRule type="containsText" dxfId="639" priority="688" operator="containsText" text="T">
      <formula>NOT(ISERROR(SEARCH("T",AR160)))</formula>
    </cfRule>
  </conditionalFormatting>
  <conditionalFormatting sqref="AR175">
    <cfRule type="containsText" dxfId="638" priority="610" operator="containsText" text="T">
      <formula>NOT(ISERROR(SEARCH("T",AR175)))</formula>
    </cfRule>
  </conditionalFormatting>
  <conditionalFormatting sqref="AR182 AV182:AX182 AA183:AU190 AX183:AX190">
    <cfRule type="containsText" dxfId="637" priority="595" operator="containsText" text="T">
      <formula>NOT(ISERROR(SEARCH("T",AA182)))</formula>
    </cfRule>
  </conditionalFormatting>
  <conditionalFormatting sqref="AR182:AS182 AV182:AX182 AX183:AX190">
    <cfRule type="containsText" dxfId="636" priority="596" operator="containsText" text="17">
      <formula>NOT(ISERROR(SEARCH("17",AR182)))</formula>
    </cfRule>
  </conditionalFormatting>
  <conditionalFormatting sqref="AR28:AX32">
    <cfRule type="containsText" dxfId="635" priority="526" operator="containsText" text="17">
      <formula>NOT(ISERROR(SEARCH("17",AR28)))</formula>
    </cfRule>
    <cfRule type="containsText" dxfId="634" priority="527" operator="containsText" text="T">
      <formula>NOT(ISERROR(SEARCH("T",AR28)))</formula>
    </cfRule>
  </conditionalFormatting>
  <conditionalFormatting sqref="AR48:AX49">
    <cfRule type="containsText" dxfId="633" priority="516" operator="containsText" text="17">
      <formula>NOT(ISERROR(SEARCH("17",AR48)))</formula>
    </cfRule>
    <cfRule type="containsText" dxfId="632" priority="517" operator="containsText" text="T">
      <formula>NOT(ISERROR(SEARCH("T",AR48)))</formula>
    </cfRule>
  </conditionalFormatting>
  <conditionalFormatting sqref="AR69:BB71">
    <cfRule type="containsText" dxfId="631" priority="269" operator="containsText" text="17">
      <formula>NOT(ISERROR(SEARCH("17",AR69)))</formula>
    </cfRule>
  </conditionalFormatting>
  <conditionalFormatting sqref="AR103:BB104">
    <cfRule type="containsText" dxfId="630" priority="299" operator="containsText" text="17">
      <formula>NOT(ISERROR(SEARCH("17",AR103)))</formula>
    </cfRule>
  </conditionalFormatting>
  <conditionalFormatting sqref="AR121:BB121">
    <cfRule type="containsText" dxfId="629" priority="289" operator="containsText" text="17">
      <formula>NOT(ISERROR(SEARCH("17",AR121)))</formula>
    </cfRule>
  </conditionalFormatting>
  <conditionalFormatting sqref="AR123:BB123">
    <cfRule type="containsText" dxfId="628" priority="279" operator="containsText" text="17">
      <formula>NOT(ISERROR(SEARCH("17",AR123)))</formula>
    </cfRule>
  </conditionalFormatting>
  <conditionalFormatting sqref="AR152:BE158">
    <cfRule type="containsText" dxfId="627" priority="196" operator="containsText" text="17">
      <formula>NOT(ISERROR(SEARCH("17",AR152)))</formula>
    </cfRule>
  </conditionalFormatting>
  <conditionalFormatting sqref="AR152:BG158">
    <cfRule type="containsText" dxfId="626" priority="190" operator="containsText" text="T">
      <formula>NOT(ISERROR(SEARCH("T",AR152)))</formula>
    </cfRule>
  </conditionalFormatting>
  <conditionalFormatting sqref="AS28:AS32">
    <cfRule type="containsText" dxfId="625" priority="523" operator="containsText" text="17">
      <formula>NOT(ISERROR(SEARCH("17",AS28)))</formula>
    </cfRule>
    <cfRule type="containsText" dxfId="624" priority="524" operator="containsText" text="T">
      <formula>NOT(ISERROR(SEARCH("T",AS28)))</formula>
    </cfRule>
  </conditionalFormatting>
  <conditionalFormatting sqref="AS48:AS49">
    <cfRule type="containsText" dxfId="623" priority="513" operator="containsText" text="17">
      <formula>NOT(ISERROR(SEARCH("17",AS48)))</formula>
    </cfRule>
    <cfRule type="containsText" dxfId="622" priority="514" operator="containsText" text="T">
      <formula>NOT(ISERROR(SEARCH("T",AS48)))</formula>
    </cfRule>
  </conditionalFormatting>
  <conditionalFormatting sqref="AS90 AW90:AY90 AB91:AV96 AY91:AY96">
    <cfRule type="containsText" dxfId="621" priority="582" operator="containsText" text="T">
      <formula>NOT(ISERROR(SEARCH("T",AB90)))</formula>
    </cfRule>
  </conditionalFormatting>
  <conditionalFormatting sqref="AS182">
    <cfRule type="containsText" dxfId="620" priority="597" operator="containsText" text="T">
      <formula>NOT(ISERROR(SEARCH("T",AS182)))</formula>
    </cfRule>
  </conditionalFormatting>
  <conditionalFormatting sqref="AS192:AS193 X194:AR199 X192:AF193">
    <cfRule type="containsText" dxfId="619" priority="644" operator="containsText" text="17">
      <formula>NOT(ISERROR(SEARCH("17",X192)))</formula>
    </cfRule>
  </conditionalFormatting>
  <conditionalFormatting sqref="AS208:AS213">
    <cfRule type="containsText" dxfId="618" priority="675" operator="containsText" text="T">
      <formula>NOT(ISERROR(SEARCH("T",AS208)))</formula>
    </cfRule>
  </conditionalFormatting>
  <conditionalFormatting sqref="AS90:AT90 AW90:AY90 AY91:AY96">
    <cfRule type="containsText" dxfId="617" priority="583" operator="containsText" text="17">
      <formula>NOT(ISERROR(SEARCH("17",AS90)))</formula>
    </cfRule>
  </conditionalFormatting>
  <conditionalFormatting sqref="AS50:AY53">
    <cfRule type="containsText" dxfId="616" priority="506" operator="containsText" text="17">
      <formula>NOT(ISERROR(SEARCH("17",AS50)))</formula>
    </cfRule>
    <cfRule type="containsText" dxfId="615" priority="507" operator="containsText" text="T">
      <formula>NOT(ISERROR(SEARCH("T",AS50)))</formula>
    </cfRule>
  </conditionalFormatting>
  <conditionalFormatting sqref="AS63:AY66">
    <cfRule type="containsText" dxfId="614" priority="496" operator="containsText" text="17">
      <formula>NOT(ISERROR(SEARCH("17",AS63)))</formula>
    </cfRule>
    <cfRule type="containsText" dxfId="613" priority="497" operator="containsText" text="T">
      <formula>NOT(ISERROR(SEARCH("T",AS63)))</formula>
    </cfRule>
  </conditionalFormatting>
  <conditionalFormatting sqref="AS67:BC68">
    <cfRule type="containsText" dxfId="612" priority="239" operator="containsText" text="17">
      <formula>NOT(ISERROR(SEARCH("17",AS67)))</formula>
    </cfRule>
  </conditionalFormatting>
  <conditionalFormatting sqref="AS99:BC102">
    <cfRule type="containsText" dxfId="611" priority="259" operator="containsText" text="17">
      <formula>NOT(ISERROR(SEARCH("17",AS99)))</formula>
    </cfRule>
  </conditionalFormatting>
  <conditionalFormatting sqref="AS105:BC105">
    <cfRule type="containsText" dxfId="610" priority="249" operator="containsText" text="17">
      <formula>NOT(ISERROR(SEARCH("17",AS105)))</formula>
    </cfRule>
  </conditionalFormatting>
  <conditionalFormatting sqref="AS159:BF165">
    <cfRule type="containsText" dxfId="609" priority="186" operator="containsText" text="17">
      <formula>NOT(ISERROR(SEARCH("17",AS159)))</formula>
    </cfRule>
  </conditionalFormatting>
  <conditionalFormatting sqref="AS159:BH165">
    <cfRule type="containsText" dxfId="608" priority="180" operator="containsText" text="T">
      <formula>NOT(ISERROR(SEARCH("T",AS159)))</formula>
    </cfRule>
  </conditionalFormatting>
  <conditionalFormatting sqref="AT14 AX14:AZ14 AC15:AW20 AZ15:AZ20">
    <cfRule type="containsText" dxfId="607" priority="569" operator="containsText" text="T">
      <formula>NOT(ISERROR(SEARCH("T",AC14)))</formula>
    </cfRule>
  </conditionalFormatting>
  <conditionalFormatting sqref="AT50:AT53">
    <cfRule type="containsText" dxfId="606" priority="503" operator="containsText" text="17">
      <formula>NOT(ISERROR(SEARCH("17",AT50)))</formula>
    </cfRule>
    <cfRule type="containsText" dxfId="605" priority="504" operator="containsText" text="T">
      <formula>NOT(ISERROR(SEARCH("T",AT50)))</formula>
    </cfRule>
  </conditionalFormatting>
  <conditionalFormatting sqref="AT63:AT66">
    <cfRule type="containsText" dxfId="604" priority="493" operator="containsText" text="17">
      <formula>NOT(ISERROR(SEARCH("17",AT63)))</formula>
    </cfRule>
    <cfRule type="containsText" dxfId="603" priority="494" operator="containsText" text="T">
      <formula>NOT(ISERROR(SEARCH("T",AT63)))</formula>
    </cfRule>
  </conditionalFormatting>
  <conditionalFormatting sqref="AT90">
    <cfRule type="containsText" dxfId="602" priority="584" operator="containsText" text="T">
      <formula>NOT(ISERROR(SEARCH("T",AT90)))</formula>
    </cfRule>
  </conditionalFormatting>
  <conditionalFormatting sqref="AT201:AT206">
    <cfRule type="containsText" dxfId="601" priority="662" operator="containsText" text="T">
      <formula>NOT(ISERROR(SEARCH("T",AT201)))</formula>
    </cfRule>
  </conditionalFormatting>
  <conditionalFormatting sqref="AT14:AU14 AX14:AZ14 AZ15:AZ20">
    <cfRule type="containsText" dxfId="600" priority="570" operator="containsText" text="17">
      <formula>NOT(ISERROR(SEARCH("17",AT14)))</formula>
    </cfRule>
  </conditionalFormatting>
  <conditionalFormatting sqref="AT59:AZ62">
    <cfRule type="containsText" dxfId="599" priority="482" operator="containsText" text="17">
      <formula>NOT(ISERROR(SEARCH("17",AT59)))</formula>
    </cfRule>
    <cfRule type="containsText" dxfId="598" priority="483" operator="containsText" text="T">
      <formula>NOT(ISERROR(SEARCH("T",AT59)))</formula>
    </cfRule>
  </conditionalFormatting>
  <conditionalFormatting sqref="AT86:AZ89">
    <cfRule type="containsText" dxfId="597" priority="472" operator="containsText" text="17">
      <formula>NOT(ISERROR(SEARCH("17",AT86)))</formula>
    </cfRule>
    <cfRule type="containsText" dxfId="596" priority="473" operator="containsText" text="T">
      <formula>NOT(ISERROR(SEARCH("T",AT86)))</formula>
    </cfRule>
  </conditionalFormatting>
  <conditionalFormatting sqref="AT97:BD98">
    <cfRule type="containsText" dxfId="595" priority="229" operator="containsText" text="17">
      <formula>NOT(ISERROR(SEARCH("17",AT97)))</formula>
    </cfRule>
  </conditionalFormatting>
  <conditionalFormatting sqref="AT131:BD137">
    <cfRule type="containsText" dxfId="594" priority="219" operator="containsText" text="17">
      <formula>NOT(ISERROR(SEARCH("17",AT131)))</formula>
    </cfRule>
  </conditionalFormatting>
  <conditionalFormatting sqref="AU14">
    <cfRule type="containsText" dxfId="593" priority="571" operator="containsText" text="T">
      <formula>NOT(ISERROR(SEARCH("T",AU14)))</formula>
    </cfRule>
  </conditionalFormatting>
  <conditionalFormatting sqref="AU34 AY34:BA34 AD35:AX40 BA35:BA40">
    <cfRule type="containsText" dxfId="592" priority="556" operator="containsText" text="T">
      <formula>NOT(ISERROR(SEARCH("T",AD34)))</formula>
    </cfRule>
  </conditionalFormatting>
  <conditionalFormatting sqref="AU59:AU62">
    <cfRule type="containsText" dxfId="591" priority="479" operator="containsText" text="17">
      <formula>NOT(ISERROR(SEARCH("17",AU59)))</formula>
    </cfRule>
    <cfRule type="containsText" dxfId="590" priority="480" operator="containsText" text="T">
      <formula>NOT(ISERROR(SEARCH("T",AU59)))</formula>
    </cfRule>
  </conditionalFormatting>
  <conditionalFormatting sqref="AU86:AU89">
    <cfRule type="containsText" dxfId="589" priority="469" operator="containsText" text="17">
      <formula>NOT(ISERROR(SEARCH("17",AU86)))</formula>
    </cfRule>
    <cfRule type="containsText" dxfId="588" priority="470" operator="containsText" text="T">
      <formula>NOT(ISERROR(SEARCH("T",AU86)))</formula>
    </cfRule>
  </conditionalFormatting>
  <conditionalFormatting sqref="AU194:AU199">
    <cfRule type="containsText" dxfId="587" priority="649" operator="containsText" text="T">
      <formula>NOT(ISERROR(SEARCH("T",AU194)))</formula>
    </cfRule>
  </conditionalFormatting>
  <conditionalFormatting sqref="AU34:AV34 AY34:BA34 BA35:BA40">
    <cfRule type="containsText" dxfId="586" priority="557" operator="containsText" text="17">
      <formula>NOT(ISERROR(SEARCH("17",AU34)))</formula>
    </cfRule>
  </conditionalFormatting>
  <conditionalFormatting sqref="AU83:BA85">
    <cfRule type="containsText" dxfId="585" priority="462" operator="containsText" text="17">
      <formula>NOT(ISERROR(SEARCH("17",AU83)))</formula>
    </cfRule>
    <cfRule type="containsText" dxfId="584" priority="463" operator="containsText" text="T">
      <formula>NOT(ISERROR(SEARCH("T",AU83)))</formula>
    </cfRule>
  </conditionalFormatting>
  <conditionalFormatting sqref="AU214:BA217">
    <cfRule type="containsText" dxfId="583" priority="452" operator="containsText" text="17">
      <formula>NOT(ISERROR(SEARCH("17",AU214)))</formula>
    </cfRule>
    <cfRule type="containsText" dxfId="582" priority="453" operator="containsText" text="T">
      <formula>NOT(ISERROR(SEARCH("T",AU214)))</formula>
    </cfRule>
  </conditionalFormatting>
  <conditionalFormatting sqref="AU138:BE144">
    <cfRule type="containsText" dxfId="581" priority="209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CP85 BG86:CP89 J90:AA96 AZ90:CP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XFD217 BI218:XFD220 BI218:CP224 BJ225:CP231 BK232:CP234 BQ105:CP105 AJ107:AO112 J120:L126 CG28:CP32 CF41:CP47 CG48:CP49 CH60:CP66">
    <cfRule type="containsText" dxfId="580" priority="8468" operator="containsText" text="17">
      <formula>NOT(ISERROR(SEARCH("17",J14)))</formula>
    </cfRule>
  </conditionalFormatting>
  <conditionalFormatting sqref="AV21 AZ21:BB21 AE22:AY27">
    <cfRule type="containsText" dxfId="579" priority="543" operator="containsText" text="T">
      <formula>NOT(ISERROR(SEARCH("T",AE21)))</formula>
    </cfRule>
  </conditionalFormatting>
  <conditionalFormatting sqref="AV34">
    <cfRule type="containsText" dxfId="578" priority="558" operator="containsText" text="T">
      <formula>NOT(ISERROR(SEARCH("T",AV34)))</formula>
    </cfRule>
  </conditionalFormatting>
  <conditionalFormatting sqref="AV83:AV85">
    <cfRule type="containsText" dxfId="577" priority="459" operator="containsText" text="17">
      <formula>NOT(ISERROR(SEARCH("17",AV83)))</formula>
    </cfRule>
    <cfRule type="containsText" dxfId="576" priority="460" operator="containsText" text="T">
      <formula>NOT(ISERROR(SEARCH("T",AV83)))</formula>
    </cfRule>
  </conditionalFormatting>
  <conditionalFormatting sqref="AV169:AV174">
    <cfRule type="containsText" dxfId="575" priority="631" operator="containsText" text="T">
      <formula>NOT(ISERROR(SEARCH("T",AV169)))</formula>
    </cfRule>
  </conditionalFormatting>
  <conditionalFormatting sqref="AV214:AV217">
    <cfRule type="containsText" dxfId="574" priority="449" operator="containsText" text="17">
      <formula>NOT(ISERROR(SEARCH("17",AV214)))</formula>
    </cfRule>
    <cfRule type="containsText" dxfId="573" priority="450" operator="containsText" text="T">
      <formula>NOT(ISERROR(SEARCH("T",AV214)))</formula>
    </cfRule>
  </conditionalFormatting>
  <conditionalFormatting sqref="AV21:AW21 AZ21:BB21 BB22:BF27">
    <cfRule type="containsText" dxfId="572" priority="544" operator="containsText" text="17">
      <formula>NOT(ISERROR(SEARCH("17",AV21)))</formula>
    </cfRule>
  </conditionalFormatting>
  <conditionalFormatting sqref="AV218:BB224">
    <cfRule type="containsText" dxfId="571" priority="442" operator="containsText" text="17">
      <formula>NOT(ISERROR(SEARCH("17",AV218)))</formula>
    </cfRule>
    <cfRule type="containsText" dxfId="570" priority="443" operator="containsText" text="T">
      <formula>NOT(ISERROR(SEARCH("T",AV218)))</formula>
    </cfRule>
  </conditionalFormatting>
  <conditionalFormatting sqref="AV145:BF151">
    <cfRule type="containsText" dxfId="569" priority="199" operator="containsText" text="17">
      <formula>NOT(ISERROR(SEARCH("17",AV145)))</formula>
    </cfRule>
  </conditionalFormatting>
  <conditionalFormatting sqref="AV192:CP199 BH214:XFD217 BJ225:CP231 BI218:XFD220 BI218:CP224 AU200:CP206 AT207:CP213 AN127:CP130 AY189:CP190 BG86:CP89 AZ90:CP96 BL79:CP82 BT145:CP151 BC21:BF27 BE28:BH32 BD41:BG47 BE48:BH49 BF50:CP53 AG53:BG53 J54:CP58 BG59:CP59 BG60:BI62 BF63:BI66 BQ67:CP68 BP69:CP71 BO72:CP75 BN76:CP78 BH83:CP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568" priority="7238" operator="containsText" text="T">
      <formula>NOT(ISERROR(SEARCH("T",J14)))</formula>
    </cfRule>
  </conditionalFormatting>
  <conditionalFormatting sqref="AW21">
    <cfRule type="containsText" dxfId="567" priority="545" operator="containsText" text="T">
      <formula>NOT(ISERROR(SEARCH("T",AW21)))</formula>
    </cfRule>
  </conditionalFormatting>
  <conditionalFormatting sqref="AW41 BA41:BC41 AF42:AZ47 BC42:BC47">
    <cfRule type="containsText" dxfId="566" priority="530" operator="containsText" text="T">
      <formula>NOT(ISERROR(SEARCH("T",AF41)))</formula>
    </cfRule>
  </conditionalFormatting>
  <conditionalFormatting sqref="AW176:AW181">
    <cfRule type="containsText" dxfId="565" priority="618" operator="containsText" text="T">
      <formula>NOT(ISERROR(SEARCH("T",AW176)))</formula>
    </cfRule>
  </conditionalFormatting>
  <conditionalFormatting sqref="AW218:AW224">
    <cfRule type="containsText" dxfId="564" priority="439" operator="containsText" text="17">
      <formula>NOT(ISERROR(SEARCH("17",AW218)))</formula>
    </cfRule>
    <cfRule type="containsText" dxfId="563" priority="440" operator="containsText" text="T">
      <formula>NOT(ISERROR(SEARCH("T",AW218)))</formula>
    </cfRule>
  </conditionalFormatting>
  <conditionalFormatting sqref="AW41:AX41 BA41:BC41 BC42:BC47">
    <cfRule type="containsText" dxfId="562" priority="531" operator="containsText" text="17">
      <formula>NOT(ISERROR(SEARCH("17",AW41)))</formula>
    </cfRule>
  </conditionalFormatting>
  <conditionalFormatting sqref="AW225:BC231">
    <cfRule type="containsText" dxfId="561" priority="432" operator="containsText" text="17">
      <formula>NOT(ISERROR(SEARCH("17",AW225)))</formula>
    </cfRule>
    <cfRule type="containsText" dxfId="560" priority="433" operator="containsText" text="T">
      <formula>NOT(ISERROR(SEARCH("T",AW225)))</formula>
    </cfRule>
  </conditionalFormatting>
  <conditionalFormatting sqref="AW152:BG158">
    <cfRule type="containsText" dxfId="559" priority="189" operator="containsText" text="17">
      <formula>NOT(ISERROR(SEARCH("17",AW152)))</formula>
    </cfRule>
  </conditionalFormatting>
  <conditionalFormatting sqref="AW168:CP174">
    <cfRule type="containsText" dxfId="558" priority="140" operator="containsText" text="17">
      <formula>NOT(ISERROR(SEARCH("17",AW168)))</formula>
    </cfRule>
  </conditionalFormatting>
  <conditionalFormatting sqref="AX28:AX32 BB28:BD32">
    <cfRule type="containsText" dxfId="557" priority="520" operator="containsText" text="T">
      <formula>NOT(ISERROR(SEARCH("T",AX28)))</formula>
    </cfRule>
  </conditionalFormatting>
  <conditionalFormatting sqref="AX41">
    <cfRule type="containsText" dxfId="556" priority="532" operator="containsText" text="T">
      <formula>NOT(ISERROR(SEARCH("T",AX41)))</formula>
    </cfRule>
  </conditionalFormatting>
  <conditionalFormatting sqref="AX48:AX49 BB48:BD49">
    <cfRule type="containsText" dxfId="555" priority="510" operator="containsText" text="T">
      <formula>NOT(ISERROR(SEARCH("T",AX48)))</formula>
    </cfRule>
  </conditionalFormatting>
  <conditionalFormatting sqref="AX180:AX181 AY182:AY185 BM191 BU200:BU202 BV203:BV205">
    <cfRule type="containsText" dxfId="554" priority="7254" operator="containsText" text="T">
      <formula>NOT(ISERROR(SEARCH("T",AX180)))</formula>
    </cfRule>
    <cfRule type="containsText" dxfId="553" priority="7255" operator="containsText" text="17">
      <formula>NOT(ISERROR(SEARCH("17",AX180)))</formula>
    </cfRule>
    <cfRule type="containsText" dxfId="552" priority="7256" operator="containsText" text="T">
      <formula>NOT(ISERROR(SEARCH("T",AX180)))</formula>
    </cfRule>
  </conditionalFormatting>
  <conditionalFormatting sqref="AX183:AX190">
    <cfRule type="containsText" dxfId="551" priority="605" operator="containsText" text="T">
      <formula>NOT(ISERROR(SEARCH("T",AX183)))</formula>
    </cfRule>
  </conditionalFormatting>
  <conditionalFormatting sqref="AX192">
    <cfRule type="containsText" dxfId="550" priority="2304" operator="containsText" text="17">
      <formula>NOT(ISERROR(SEARCH("17",AX192)))</formula>
    </cfRule>
    <cfRule type="containsText" dxfId="549" priority="2305" operator="containsText" text="T">
      <formula>NOT(ISERROR(SEARCH("T",AX192)))</formula>
    </cfRule>
    <cfRule type="containsText" dxfId="548" priority="6201" operator="containsText" text="17">
      <formula>NOT(ISERROR(SEARCH("17",AX192)))</formula>
    </cfRule>
    <cfRule type="containsText" dxfId="547" priority="6202" operator="containsText" text="T">
      <formula>NOT(ISERROR(SEARCH("T",AX192)))</formula>
    </cfRule>
  </conditionalFormatting>
  <conditionalFormatting sqref="AX196:AX198">
    <cfRule type="containsText" dxfId="546" priority="7229" operator="containsText" text="17">
      <formula>NOT(ISERROR(SEARCH("17",AX196)))</formula>
    </cfRule>
    <cfRule type="containsText" dxfId="545" priority="7230" operator="containsText" text="T">
      <formula>NOT(ISERROR(SEARCH("T",AX196)))</formula>
    </cfRule>
  </conditionalFormatting>
  <conditionalFormatting sqref="AX225:AX231">
    <cfRule type="containsText" dxfId="544" priority="429" operator="containsText" text="17">
      <formula>NOT(ISERROR(SEARCH("17",AX225)))</formula>
    </cfRule>
    <cfRule type="containsText" dxfId="543" priority="430" operator="containsText" text="T">
      <formula>NOT(ISERROR(SEARCH("T",AX225)))</formula>
    </cfRule>
  </conditionalFormatting>
  <conditionalFormatting sqref="AX28:AY32 BB28:BD32">
    <cfRule type="containsText" dxfId="542" priority="521" operator="containsText" text="17">
      <formula>NOT(ISERROR(SEARCH("17",AX28)))</formula>
    </cfRule>
  </conditionalFormatting>
  <conditionalFormatting sqref="AX48:AY49 BB48:BD49">
    <cfRule type="containsText" dxfId="541" priority="511" operator="containsText" text="17">
      <formula>NOT(ISERROR(SEARCH("17",AX48)))</formula>
    </cfRule>
  </conditionalFormatting>
  <conditionalFormatting sqref="AX170:BA170">
    <cfRule type="containsText" dxfId="540" priority="8663" operator="containsText" text="17">
      <formula>NOT(ISERROR(SEARCH("17",AX170)))</formula>
    </cfRule>
    <cfRule type="containsText" dxfId="539" priority="8664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8" priority="4995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7" priority="4996" operator="containsText" text="T">
      <formula>NOT(ISERROR(SEARCH("T",AX199)))</formula>
    </cfRule>
  </conditionalFormatting>
  <conditionalFormatting sqref="AX33:BC33">
    <cfRule type="containsText" dxfId="536" priority="8767" operator="containsText" text="T">
      <formula>NOT(ISERROR(SEARCH("T",AX33)))</formula>
    </cfRule>
  </conditionalFormatting>
  <conditionalFormatting sqref="AX113:BD116">
    <cfRule type="containsText" dxfId="535" priority="412" operator="containsText" text="17">
      <formula>NOT(ISERROR(SEARCH("17",AX113)))</formula>
    </cfRule>
    <cfRule type="containsText" dxfId="534" priority="413" operator="containsText" text="T">
      <formula>NOT(ISERROR(SEARCH("T",AX113)))</formula>
    </cfRule>
  </conditionalFormatting>
  <conditionalFormatting sqref="AX232:BD234">
    <cfRule type="containsText" dxfId="533" priority="422" operator="containsText" text="17">
      <formula>NOT(ISERROR(SEARCH("17",AX232)))</formula>
    </cfRule>
    <cfRule type="containsText" dxfId="532" priority="423" operator="containsText" text="T">
      <formula>NOT(ISERROR(SEARCH("T",AX232)))</formula>
    </cfRule>
  </conditionalFormatting>
  <conditionalFormatting sqref="AX199:BE199 AX206:BD206 AX213">
    <cfRule type="containsText" dxfId="531" priority="5003" operator="containsText" text="17">
      <formula>NOT(ISERROR(SEARCH("17",AX199)))</formula>
    </cfRule>
    <cfRule type="containsText" dxfId="530" priority="5004" operator="containsText" text="T">
      <formula>NOT(ISERROR(SEARCH("T",AX199)))</formula>
    </cfRule>
  </conditionalFormatting>
  <conditionalFormatting sqref="AX159:BH165">
    <cfRule type="containsText" dxfId="529" priority="179" operator="containsText" text="17">
      <formula>NOT(ISERROR(SEARCH("17",AX159)))</formula>
    </cfRule>
  </conditionalFormatting>
  <conditionalFormatting sqref="AX175:CP181">
    <cfRule type="containsText" dxfId="528" priority="107" operator="containsText" text="T">
      <formula>NOT(ISERROR(SEARCH("T",AX175)))</formula>
    </cfRule>
  </conditionalFormatting>
  <conditionalFormatting sqref="AY28:AY32">
    <cfRule type="containsText" dxfId="527" priority="522" operator="containsText" text="T">
      <formula>NOT(ISERROR(SEARCH("T",AY28)))</formula>
    </cfRule>
  </conditionalFormatting>
  <conditionalFormatting sqref="AY33">
    <cfRule type="containsText" dxfId="526" priority="8141" operator="containsText" text="17">
      <formula>NOT(ISERROR(SEARCH("17",AY33)))</formula>
    </cfRule>
    <cfRule type="containsText" dxfId="525" priority="8142" operator="containsText" text="T">
      <formula>NOT(ISERROR(SEARCH("T",AY33)))</formula>
    </cfRule>
  </conditionalFormatting>
  <conditionalFormatting sqref="AY48:AY49">
    <cfRule type="containsText" dxfId="524" priority="512" operator="containsText" text="T">
      <formula>NOT(ISERROR(SEARCH("T",AY48)))</formula>
    </cfRule>
  </conditionalFormatting>
  <conditionalFormatting sqref="AY50:AY53 BC50:BE53">
    <cfRule type="containsText" dxfId="523" priority="500" operator="containsText" text="T">
      <formula>NOT(ISERROR(SEARCH("T",AY50)))</formula>
    </cfRule>
  </conditionalFormatting>
  <conditionalFormatting sqref="AY63:AY66 BC63:BI66">
    <cfRule type="containsText" dxfId="522" priority="490" operator="containsText" text="T">
      <formula>NOT(ISERROR(SEARCH("T",AY63)))</formula>
    </cfRule>
  </conditionalFormatting>
  <conditionalFormatting sqref="AY91:AY96">
    <cfRule type="containsText" dxfId="521" priority="592" operator="containsText" text="T">
      <formula>NOT(ISERROR(SEARCH("T",AY91)))</formula>
    </cfRule>
  </conditionalFormatting>
  <conditionalFormatting sqref="AY113:AY116">
    <cfRule type="containsText" dxfId="520" priority="409" operator="containsText" text="17">
      <formula>NOT(ISERROR(SEARCH("17",AY113)))</formula>
    </cfRule>
    <cfRule type="containsText" dxfId="519" priority="410" operator="containsText" text="T">
      <formula>NOT(ISERROR(SEARCH("T",AY113)))</formula>
    </cfRule>
  </conditionalFormatting>
  <conditionalFormatting sqref="AY182:AY185 BM191 BU200:BU202 BV203:BV205 AX180:AX181">
    <cfRule type="containsText" dxfId="518" priority="7253" operator="containsText" text="17">
      <formula>NOT(ISERROR(SEARCH("17",AX180)))</formula>
    </cfRule>
  </conditionalFormatting>
  <conditionalFormatting sqref="AY189">
    <cfRule type="containsText" dxfId="517" priority="4827" operator="containsText" text="17">
      <formula>NOT(ISERROR(SEARCH("17",AY189)))</formula>
    </cfRule>
    <cfRule type="containsText" dxfId="516" priority="4828" operator="containsText" text="T">
      <formula>NOT(ISERROR(SEARCH("T",AY189)))</formula>
    </cfRule>
    <cfRule type="containsText" dxfId="515" priority="4845" operator="containsText" text="17">
      <formula>NOT(ISERROR(SEARCH("17",AY189)))</formula>
    </cfRule>
    <cfRule type="containsText" dxfId="514" priority="4846" operator="containsText" text="T">
      <formula>NOT(ISERROR(SEARCH("T",AY189)))</formula>
    </cfRule>
  </conditionalFormatting>
  <conditionalFormatting sqref="AY190 AX191:BH191 BK191 BO191:BS191">
    <cfRule type="containsText" dxfId="513" priority="8449" operator="containsText" text="T">
      <formula>NOT(ISERROR(SEARCH("T",AX190)))</formula>
    </cfRule>
  </conditionalFormatting>
  <conditionalFormatting sqref="AY199 AX206">
    <cfRule type="containsText" dxfId="512" priority="2078" operator="containsText" text="17">
      <formula>NOT(ISERROR(SEARCH("17",AX199)))</formula>
    </cfRule>
    <cfRule type="containsText" dxfId="511" priority="2079" operator="containsText" text="T">
      <formula>NOT(ISERROR(SEARCH("T",AX199)))</formula>
    </cfRule>
  </conditionalFormatting>
  <conditionalFormatting sqref="AY232:AY234">
    <cfRule type="containsText" dxfId="510" priority="419" operator="containsText" text="17">
      <formula>NOT(ISERROR(SEARCH("17",AY232)))</formula>
    </cfRule>
    <cfRule type="containsText" dxfId="509" priority="420" operator="containsText" text="T">
      <formula>NOT(ISERROR(SEARCH("T",AY232)))</formula>
    </cfRule>
  </conditionalFormatting>
  <conditionalFormatting sqref="AY50:AZ53 BC50:BE53">
    <cfRule type="containsText" dxfId="508" priority="501" operator="containsText" text="17">
      <formula>NOT(ISERROR(SEARCH("17",AY50)))</formula>
    </cfRule>
  </conditionalFormatting>
  <conditionalFormatting sqref="AY63:AZ66 BC63:BE66">
    <cfRule type="containsText" dxfId="507" priority="491" operator="containsText" text="17">
      <formula>NOT(ISERROR(SEARCH("17",AY63)))</formula>
    </cfRule>
  </conditionalFormatting>
  <conditionalFormatting sqref="AY79:BE82">
    <cfRule type="containsText" dxfId="506" priority="392" operator="containsText" text="17">
      <formula>NOT(ISERROR(SEARCH("17",AY79)))</formula>
    </cfRule>
    <cfRule type="containsText" dxfId="505" priority="393" operator="containsText" text="T">
      <formula>NOT(ISERROR(SEARCH("T",AY79)))</formula>
    </cfRule>
  </conditionalFormatting>
  <conditionalFormatting sqref="AY117:BE119">
    <cfRule type="containsText" dxfId="504" priority="402" operator="containsText" text="17">
      <formula>NOT(ISERROR(SEARCH("17",AY117)))</formula>
    </cfRule>
    <cfRule type="containsText" dxfId="503" priority="403" operator="containsText" text="T">
      <formula>NOT(ISERROR(SEARCH("T",AY117)))</formula>
    </cfRule>
  </conditionalFormatting>
  <conditionalFormatting sqref="AY207:BI213">
    <cfRule type="containsText" dxfId="502" priority="169" operator="containsText" text="17">
      <formula>NOT(ISERROR(SEARCH("17",AY207)))</formula>
    </cfRule>
  </conditionalFormatting>
  <conditionalFormatting sqref="AY207:BP213">
    <cfRule type="containsText" dxfId="501" priority="178" operator="containsText" text="T">
      <formula>NOT(ISERROR(SEARCH("T",AY207)))</formula>
    </cfRule>
  </conditionalFormatting>
  <conditionalFormatting sqref="AY193:BV213 AX195:BV195 BH214:BV215">
    <cfRule type="containsText" dxfId="500" priority="849" operator="containsText" text="T">
      <formula>NOT(ISERROR(SEARCH("T",AX193)))</formula>
    </cfRule>
  </conditionalFormatting>
  <conditionalFormatting sqref="AZ15:AZ20">
    <cfRule type="containsText" dxfId="499" priority="579" operator="containsText" text="T">
      <formula>NOT(ISERROR(SEARCH("T",AZ15)))</formula>
    </cfRule>
  </conditionalFormatting>
  <conditionalFormatting sqref="AZ50:AZ53">
    <cfRule type="containsText" dxfId="498" priority="502" operator="containsText" text="T">
      <formula>NOT(ISERROR(SEARCH("T",AZ50)))</formula>
    </cfRule>
  </conditionalFormatting>
  <conditionalFormatting sqref="AZ63:AZ66">
    <cfRule type="containsText" dxfId="497" priority="492" operator="containsText" text="T">
      <formula>NOT(ISERROR(SEARCH("T",AZ63)))</formula>
    </cfRule>
  </conditionalFormatting>
  <conditionalFormatting sqref="AZ79:AZ82">
    <cfRule type="containsText" dxfId="496" priority="389" operator="containsText" text="17">
      <formula>NOT(ISERROR(SEARCH("17",AZ79)))</formula>
    </cfRule>
    <cfRule type="containsText" dxfId="495" priority="390" operator="containsText" text="T">
      <formula>NOT(ISERROR(SEARCH("T",AZ79)))</formula>
    </cfRule>
  </conditionalFormatting>
  <conditionalFormatting sqref="AZ86:AZ89 BD86:BF89">
    <cfRule type="containsText" dxfId="494" priority="466" operator="containsText" text="T">
      <formula>NOT(ISERROR(SEARCH("T",AZ86)))</formula>
    </cfRule>
  </conditionalFormatting>
  <conditionalFormatting sqref="AZ117:AZ119">
    <cfRule type="containsText" dxfId="493" priority="399" operator="containsText" text="17">
      <formula>NOT(ISERROR(SEARCH("17",AZ117)))</formula>
    </cfRule>
    <cfRule type="containsText" dxfId="492" priority="400" operator="containsText" text="T">
      <formula>NOT(ISERROR(SEARCH("T",AZ117)))</formula>
    </cfRule>
  </conditionalFormatting>
  <conditionalFormatting sqref="AZ59:BA62 BD59:BF62">
    <cfRule type="containsText" dxfId="491" priority="477" operator="containsText" text="17">
      <formula>NOT(ISERROR(SEARCH("17",AZ59)))</formula>
    </cfRule>
  </conditionalFormatting>
  <conditionalFormatting sqref="AZ86:BA89 BD86:BF89">
    <cfRule type="containsText" dxfId="490" priority="467" operator="containsText" text="17">
      <formula>NOT(ISERROR(SEARCH("17",AZ86)))</formula>
    </cfRule>
  </conditionalFormatting>
  <conditionalFormatting sqref="AZ93:BB93">
    <cfRule type="containsText" dxfId="489" priority="3991" operator="containsText" text="17">
      <formula>NOT(ISERROR(SEARCH("17",AZ93)))</formula>
    </cfRule>
    <cfRule type="containsText" dxfId="488" priority="3992" operator="containsText" text="T">
      <formula>NOT(ISERROR(SEARCH("T",AZ93)))</formula>
    </cfRule>
  </conditionalFormatting>
  <conditionalFormatting sqref="AZ175:BB178">
    <cfRule type="containsText" dxfId="487" priority="868" operator="containsText" text="T">
      <formula>NOT(ISERROR(SEARCH("T",AZ175)))</formula>
    </cfRule>
  </conditionalFormatting>
  <conditionalFormatting sqref="AZ180:BB181 AZ182:BC183">
    <cfRule type="containsText" dxfId="486" priority="862" operator="containsText" text="T">
      <formula>NOT(ISERROR(SEARCH("T",AZ180)))</formula>
    </cfRule>
  </conditionalFormatting>
  <conditionalFormatting sqref="AZ185:BC188 AZ189:BW190">
    <cfRule type="containsText" dxfId="485" priority="856" operator="containsText" text="T">
      <formula>NOT(ISERROR(SEARCH("T",AZ185)))</formula>
    </cfRule>
  </conditionalFormatting>
  <conditionalFormatting sqref="AZ200:BJ206">
    <cfRule type="containsText" dxfId="484" priority="158" operator="containsText" text="17">
      <formula>NOT(ISERROR(SEARCH("17",AZ200)))</formula>
    </cfRule>
  </conditionalFormatting>
  <conditionalFormatting sqref="AZ200:BW206">
    <cfRule type="containsText" dxfId="483" priority="167" operator="containsText" text="T">
      <formula>NOT(ISERROR(SEARCH("T",AZ200)))</formula>
    </cfRule>
  </conditionalFormatting>
  <conditionalFormatting sqref="BA22:BA27">
    <cfRule type="containsText" dxfId="482" priority="484" operator="containsText" text="T">
      <formula>NOT(ISERROR(SEARCH("T",BA22)))</formula>
    </cfRule>
    <cfRule type="containsText" dxfId="481" priority="485" operator="containsText" text="17">
      <formula>NOT(ISERROR(SEARCH("17",BA22)))</formula>
    </cfRule>
  </conditionalFormatting>
  <conditionalFormatting sqref="BA35:BA40">
    <cfRule type="containsText" dxfId="480" priority="566" operator="containsText" text="T">
      <formula>NOT(ISERROR(SEARCH("T",BA35)))</formula>
    </cfRule>
  </conditionalFormatting>
  <conditionalFormatting sqref="BA59:BA62">
    <cfRule type="containsText" dxfId="479" priority="478" operator="containsText" text="T">
      <formula>NOT(ISERROR(SEARCH("T",BA59)))</formula>
    </cfRule>
  </conditionalFormatting>
  <conditionalFormatting sqref="BA83:BA85 BE83:BG85">
    <cfRule type="containsText" dxfId="478" priority="456" operator="containsText" text="T">
      <formula>NOT(ISERROR(SEARCH("T",BA83)))</formula>
    </cfRule>
  </conditionalFormatting>
  <conditionalFormatting sqref="BA86:BA89">
    <cfRule type="containsText" dxfId="477" priority="468" operator="containsText" text="T">
      <formula>NOT(ISERROR(SEARCH("T",BA86)))</formula>
    </cfRule>
  </conditionalFormatting>
  <conditionalFormatting sqref="BA199 AZ206">
    <cfRule type="containsText" dxfId="476" priority="4991" operator="containsText" text="17">
      <formula>NOT(ISERROR(SEARCH("17",AZ199)))</formula>
    </cfRule>
    <cfRule type="containsText" dxfId="475" priority="4992" operator="containsText" text="T">
      <formula>NOT(ISERROR(SEARCH("T",AZ199)))</formula>
    </cfRule>
  </conditionalFormatting>
  <conditionalFormatting sqref="BA214:BA217 BE214:BG217">
    <cfRule type="containsText" dxfId="474" priority="446" operator="containsText" text="T">
      <formula>NOT(ISERROR(SEARCH("T",BA214)))</formula>
    </cfRule>
  </conditionalFormatting>
  <conditionalFormatting sqref="BA22:BB27">
    <cfRule type="containsText" dxfId="473" priority="487" operator="containsText" text="T">
      <formula>NOT(ISERROR(SEARCH("T",BA22)))</formula>
    </cfRule>
  </conditionalFormatting>
  <conditionalFormatting sqref="BA83:BB85 BE83:BG85">
    <cfRule type="containsText" dxfId="472" priority="457" operator="containsText" text="17">
      <formula>NOT(ISERROR(SEARCH("17",BA83)))</formula>
    </cfRule>
  </conditionalFormatting>
  <conditionalFormatting sqref="BA214:BB217 BE214:BG217">
    <cfRule type="containsText" dxfId="471" priority="447" operator="containsText" text="17">
      <formula>NOT(ISERROR(SEARCH("17",BA214)))</formula>
    </cfRule>
  </conditionalFormatting>
  <conditionalFormatting sqref="BA76:BG78">
    <cfRule type="containsText" dxfId="470" priority="367" operator="containsText" text="17">
      <formula>NOT(ISERROR(SEARCH("17",BA76)))</formula>
    </cfRule>
    <cfRule type="containsText" dxfId="469" priority="368" operator="containsText" text="T">
      <formula>NOT(ISERROR(SEARCH("T",BA76)))</formula>
    </cfRule>
  </conditionalFormatting>
  <conditionalFormatting sqref="BA107:BG112">
    <cfRule type="containsText" dxfId="468" priority="377" operator="containsText" text="17">
      <formula>NOT(ISERROR(SEARCH("17",BA107)))</formula>
    </cfRule>
    <cfRule type="containsText" dxfId="467" priority="378" operator="containsText" text="T">
      <formula>NOT(ISERROR(SEARCH("T",BA107)))</formula>
    </cfRule>
  </conditionalFormatting>
  <conditionalFormatting sqref="BA192:BK199">
    <cfRule type="containsText" dxfId="466" priority="141" operator="containsText" text="17">
      <formula>NOT(ISERROR(SEARCH("17",BA192)))</formula>
    </cfRule>
  </conditionalFormatting>
  <conditionalFormatting sqref="BA192:BR199">
    <cfRule type="containsText" dxfId="465" priority="148" operator="containsText" text="T">
      <formula>NOT(ISERROR(SEARCH("T",BA192)))</formula>
    </cfRule>
  </conditionalFormatting>
  <conditionalFormatting sqref="BA192:BX199 AY193:BV213 AX195:BV195 AZ200:BW206 BH214:BV215">
    <cfRule type="containsText" dxfId="464" priority="850" operator="containsText" text="17">
      <formula>NOT(ISERROR(SEARCH("17",AX192)))</formula>
    </cfRule>
  </conditionalFormatting>
  <conditionalFormatting sqref="BA192:BX199">
    <cfRule type="containsText" dxfId="463" priority="157" operator="containsText" text="T">
      <formula>NOT(ISERROR(SEARCH("T",BA192)))</formula>
    </cfRule>
  </conditionalFormatting>
  <conditionalFormatting sqref="BB22:BB27">
    <cfRule type="containsText" dxfId="462" priority="553" operator="containsText" text="T">
      <formula>NOT(ISERROR(SEARCH("T",BB22)))</formula>
    </cfRule>
  </conditionalFormatting>
  <conditionalFormatting sqref="BB76:BB78">
    <cfRule type="containsText" dxfId="461" priority="364" operator="containsText" text="17">
      <formula>NOT(ISERROR(SEARCH("17",BB76)))</formula>
    </cfRule>
    <cfRule type="containsText" dxfId="460" priority="365" operator="containsText" text="T">
      <formula>NOT(ISERROR(SEARCH("T",BB76)))</formula>
    </cfRule>
  </conditionalFormatting>
  <conditionalFormatting sqref="BB83:BB85">
    <cfRule type="containsText" dxfId="459" priority="458" operator="containsText" text="T">
      <formula>NOT(ISERROR(SEARCH("T",BB83)))</formula>
    </cfRule>
  </conditionalFormatting>
  <conditionalFormatting sqref="BB107:BB112">
    <cfRule type="containsText" dxfId="458" priority="374" operator="containsText" text="17">
      <formula>NOT(ISERROR(SEARCH("17",BB107)))</formula>
    </cfRule>
    <cfRule type="containsText" dxfId="457" priority="375" operator="containsText" text="T">
      <formula>NOT(ISERROR(SEARCH("T",BB107)))</formula>
    </cfRule>
  </conditionalFormatting>
  <conditionalFormatting sqref="BB199 BD199:BI199 BA206 BC206:BH206">
    <cfRule type="containsText" dxfId="456" priority="5005" operator="containsText" text="17">
      <formula>NOT(ISERROR(SEARCH("17",BA199)))</formula>
    </cfRule>
    <cfRule type="containsText" dxfId="455" priority="5006" operator="containsText" text="T">
      <formula>NOT(ISERROR(SEARCH("T",BA199)))</formula>
    </cfRule>
  </conditionalFormatting>
  <conditionalFormatting sqref="BB214:BB217">
    <cfRule type="containsText" dxfId="454" priority="448" operator="containsText" text="T">
      <formula>NOT(ISERROR(SEARCH("T",BB214)))</formula>
    </cfRule>
  </conditionalFormatting>
  <conditionalFormatting sqref="BB218:BB224 BF218:BH224">
    <cfRule type="containsText" dxfId="453" priority="436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2" priority="8481" operator="containsText" text="T">
      <formula>NOT(ISERROR(SEARCH("T",AX35)))</formula>
    </cfRule>
  </conditionalFormatting>
  <conditionalFormatting sqref="BB218:BC224 BF218:BH224">
    <cfRule type="containsText" dxfId="451" priority="437" operator="containsText" text="17">
      <formula>NOT(ISERROR(SEARCH("17",BB218)))</formula>
    </cfRule>
  </conditionalFormatting>
  <conditionalFormatting sqref="BB72:BH75">
    <cfRule type="containsText" dxfId="450" priority="357" operator="containsText" text="17">
      <formula>NOT(ISERROR(SEARCH("17",BB72)))</formula>
    </cfRule>
    <cfRule type="containsText" dxfId="449" priority="358" operator="containsText" text="T">
      <formula>NOT(ISERROR(SEARCH("T",BB72)))</formula>
    </cfRule>
  </conditionalFormatting>
  <conditionalFormatting sqref="BB106:BH106">
    <cfRule type="containsText" dxfId="448" priority="347" operator="containsText" text="17">
      <formula>NOT(ISERROR(SEARCH("17",BB106)))</formula>
    </cfRule>
    <cfRule type="containsText" dxfId="447" priority="348" operator="containsText" text="T">
      <formula>NOT(ISERROR(SEARCH("T",BB106)))</formula>
    </cfRule>
  </conditionalFormatting>
  <conditionalFormatting sqref="BB120:BH120">
    <cfRule type="containsText" dxfId="446" priority="327" operator="containsText" text="17">
      <formula>NOT(ISERROR(SEARCH("17",BB120)))</formula>
    </cfRule>
    <cfRule type="containsText" dxfId="445" priority="328" operator="containsText" text="T">
      <formula>NOT(ISERROR(SEARCH("T",BB120)))</formula>
    </cfRule>
  </conditionalFormatting>
  <conditionalFormatting sqref="BB122:BH122">
    <cfRule type="containsText" dxfId="444" priority="317" operator="containsText" text="17">
      <formula>NOT(ISERROR(SEARCH("17",BB122)))</formula>
    </cfRule>
    <cfRule type="containsText" dxfId="443" priority="318" operator="containsText" text="T">
      <formula>NOT(ISERROR(SEARCH("T",BB122)))</formula>
    </cfRule>
  </conditionalFormatting>
  <conditionalFormatting sqref="BB124:BH126">
    <cfRule type="containsText" dxfId="442" priority="337" operator="containsText" text="17">
      <formula>NOT(ISERROR(SEARCH("17",BB124)))</formula>
    </cfRule>
    <cfRule type="containsText" dxfId="441" priority="338" operator="containsText" text="T">
      <formula>NOT(ISERROR(SEARCH("T",BB124)))</formula>
    </cfRule>
  </conditionalFormatting>
  <conditionalFormatting sqref="BB168:BL174">
    <cfRule type="containsText" dxfId="440" priority="117" operator="containsText" text="17">
      <formula>NOT(ISERROR(SEARCH("17",BB168)))</formula>
    </cfRule>
  </conditionalFormatting>
  <conditionalFormatting sqref="BB194:BN194 BB196:BN198">
    <cfRule type="containsText" dxfId="439" priority="851" operator="containsText" text="17">
      <formula>NOT(ISERROR(SEARCH("17",BB194)))</formula>
    </cfRule>
  </conditionalFormatting>
  <conditionalFormatting sqref="BB168:BY174">
    <cfRule type="containsText" dxfId="438" priority="126" operator="containsText" text="T">
      <formula>NOT(ISERROR(SEARCH("T",BB168)))</formula>
    </cfRule>
    <cfRule type="containsText" dxfId="437" priority="129" operator="containsText" text="17">
      <formula>NOT(ISERROR(SEARCH("17",BB168)))</formula>
    </cfRule>
    <cfRule type="containsText" dxfId="436" priority="131" operator="containsText" text="T">
      <formula>NOT(ISERROR(SEARCH("T",BB168)))</formula>
    </cfRule>
  </conditionalFormatting>
  <conditionalFormatting sqref="BC34">
    <cfRule type="containsText" dxfId="435" priority="7995" operator="containsText" text="17">
      <formula>NOT(ISERROR(SEARCH("17",BC34)))</formula>
    </cfRule>
    <cfRule type="containsText" dxfId="434" priority="7996" operator="containsText" text="T">
      <formula>NOT(ISERROR(SEARCH("T",BC34)))</formula>
    </cfRule>
    <cfRule type="containsText" dxfId="433" priority="7997" operator="containsText" text="17">
      <formula>NOT(ISERROR(SEARCH("17",BC34)))</formula>
    </cfRule>
    <cfRule type="containsText" dxfId="432" priority="7998" operator="containsText" text="T">
      <formula>NOT(ISERROR(SEARCH("T",BC34)))</formula>
    </cfRule>
  </conditionalFormatting>
  <conditionalFormatting sqref="BC42:BC47">
    <cfRule type="containsText" dxfId="431" priority="540" operator="containsText" text="T">
      <formula>NOT(ISERROR(SEARCH("T",BC42)))</formula>
    </cfRule>
  </conditionalFormatting>
  <conditionalFormatting sqref="BC72:BC75">
    <cfRule type="containsText" dxfId="430" priority="354" operator="containsText" text="17">
      <formula>NOT(ISERROR(SEARCH("17",BC72)))</formula>
    </cfRule>
    <cfRule type="containsText" dxfId="429" priority="355" operator="containsText" text="T">
      <formula>NOT(ISERROR(SEARCH("T",BC72)))</formula>
    </cfRule>
  </conditionalFormatting>
  <conditionalFormatting sqref="BC106">
    <cfRule type="containsText" dxfId="428" priority="344" operator="containsText" text="17">
      <formula>NOT(ISERROR(SEARCH("17",BC106)))</formula>
    </cfRule>
    <cfRule type="containsText" dxfId="427" priority="345" operator="containsText" text="T">
      <formula>NOT(ISERROR(SEARCH("T",BC106)))</formula>
    </cfRule>
  </conditionalFormatting>
  <conditionalFormatting sqref="BC120">
    <cfRule type="containsText" dxfId="426" priority="324" operator="containsText" text="17">
      <formula>NOT(ISERROR(SEARCH("17",BC120)))</formula>
    </cfRule>
    <cfRule type="containsText" dxfId="425" priority="325" operator="containsText" text="T">
      <formula>NOT(ISERROR(SEARCH("T",BC120)))</formula>
    </cfRule>
  </conditionalFormatting>
  <conditionalFormatting sqref="BC122">
    <cfRule type="containsText" dxfId="424" priority="314" operator="containsText" text="17">
      <formula>NOT(ISERROR(SEARCH("17",BC122)))</formula>
    </cfRule>
    <cfRule type="containsText" dxfId="423" priority="315" operator="containsText" text="T">
      <formula>NOT(ISERROR(SEARCH("T",BC122)))</formula>
    </cfRule>
  </conditionalFormatting>
  <conditionalFormatting sqref="BC124:BC126">
    <cfRule type="containsText" dxfId="422" priority="334" operator="containsText" text="17">
      <formula>NOT(ISERROR(SEARCH("17",BC124)))</formula>
    </cfRule>
    <cfRule type="containsText" dxfId="421" priority="335" operator="containsText" text="T">
      <formula>NOT(ISERROR(SEARCH("T",BC124)))</formula>
    </cfRule>
  </conditionalFormatting>
  <conditionalFormatting sqref="BC182:BC183">
    <cfRule type="containsText" dxfId="420" priority="863" operator="containsText" text="17">
      <formula>NOT(ISERROR(SEARCH("17",BC182)))</formula>
    </cfRule>
  </conditionalFormatting>
  <conditionalFormatting sqref="BC186:BC188 BC189:BV190">
    <cfRule type="containsText" dxfId="419" priority="857" operator="containsText" text="17">
      <formula>NOT(ISERROR(SEARCH("17",BC186)))</formula>
    </cfRule>
  </conditionalFormatting>
  <conditionalFormatting sqref="BC199 BB206 BS127">
    <cfRule type="containsText" dxfId="418" priority="2080" operator="containsText" text="17">
      <formula>NOT(ISERROR(SEARCH("17",BB127)))</formula>
    </cfRule>
  </conditionalFormatting>
  <conditionalFormatting sqref="BC218:BC224">
    <cfRule type="containsText" dxfId="417" priority="438" operator="containsText" text="T">
      <formula>NOT(ISERROR(SEARCH("T",BC218)))</formula>
    </cfRule>
  </conditionalFormatting>
  <conditionalFormatting sqref="BC225:BC231 BG225:BI231">
    <cfRule type="containsText" dxfId="416" priority="426" operator="containsText" text="T">
      <formula>NOT(ISERROR(SEARCH("T",BC225)))</formula>
    </cfRule>
  </conditionalFormatting>
  <conditionalFormatting sqref="BC16:BD20">
    <cfRule type="containsText" dxfId="415" priority="8314" operator="containsText" text="17">
      <formula>NOT(ISERROR(SEARCH("17",BC16)))</formula>
    </cfRule>
  </conditionalFormatting>
  <conditionalFormatting sqref="BC225:BD231 BG225:BI231">
    <cfRule type="containsText" dxfId="414" priority="427" operator="containsText" text="17">
      <formula>NOT(ISERROR(SEARCH("17",BC225)))</formula>
    </cfRule>
  </conditionalFormatting>
  <conditionalFormatting sqref="BC69:BI71">
    <cfRule type="containsText" dxfId="413" priority="277" operator="containsText" text="17">
      <formula>NOT(ISERROR(SEARCH("17",BC69)))</formula>
    </cfRule>
    <cfRule type="containsText" dxfId="412" priority="278" operator="containsText" text="T">
      <formula>NOT(ISERROR(SEARCH("T",BC69)))</formula>
    </cfRule>
  </conditionalFormatting>
  <conditionalFormatting sqref="BC103:BI104">
    <cfRule type="containsText" dxfId="411" priority="307" operator="containsText" text="17">
      <formula>NOT(ISERROR(SEARCH("17",BC103)))</formula>
    </cfRule>
    <cfRule type="containsText" dxfId="410" priority="308" operator="containsText" text="T">
      <formula>NOT(ISERROR(SEARCH("T",BC103)))</formula>
    </cfRule>
  </conditionalFormatting>
  <conditionalFormatting sqref="BC121:BI121">
    <cfRule type="containsText" dxfId="409" priority="297" operator="containsText" text="17">
      <formula>NOT(ISERROR(SEARCH("17",BC121)))</formula>
    </cfRule>
    <cfRule type="containsText" dxfId="408" priority="298" operator="containsText" text="T">
      <formula>NOT(ISERROR(SEARCH("T",BC121)))</formula>
    </cfRule>
  </conditionalFormatting>
  <conditionalFormatting sqref="BC123:BI123">
    <cfRule type="containsText" dxfId="407" priority="287" operator="containsText" text="17">
      <formula>NOT(ISERROR(SEARCH("17",BC123)))</formula>
    </cfRule>
    <cfRule type="containsText" dxfId="406" priority="288" operator="containsText" text="T">
      <formula>NOT(ISERROR(SEARCH("T",BC123)))</formula>
    </cfRule>
  </conditionalFormatting>
  <conditionalFormatting sqref="BC175:BM181">
    <cfRule type="containsText" dxfId="405" priority="93" operator="containsText" text="17">
      <formula>NOT(ISERROR(SEARCH("17",BC175)))</formula>
    </cfRule>
  </conditionalFormatting>
  <conditionalFormatting sqref="BC199:BR199 BB206:BQ206 BS127">
    <cfRule type="containsText" dxfId="404" priority="4985" operator="containsText" text="17">
      <formula>NOT(ISERROR(SEARCH("17",BB127)))</formula>
    </cfRule>
  </conditionalFormatting>
  <conditionalFormatting sqref="BC175:BZ181">
    <cfRule type="containsText" dxfId="403" priority="102" operator="containsText" text="T">
      <formula>NOT(ISERROR(SEARCH("T",BC175)))</formula>
    </cfRule>
    <cfRule type="containsText" dxfId="402" priority="105" operator="containsText" text="17">
      <formula>NOT(ISERROR(SEARCH("17",BC175)))</formula>
    </cfRule>
  </conditionalFormatting>
  <conditionalFormatting sqref="BC175:CP181">
    <cfRule type="containsText" dxfId="401" priority="116" operator="containsText" text="17">
      <formula>NOT(ISERROR(SEARCH("17",BC175)))</formula>
    </cfRule>
  </conditionalFormatting>
  <conditionalFormatting sqref="BD69:BD71">
    <cfRule type="containsText" dxfId="400" priority="274" operator="containsText" text="17">
      <formula>NOT(ISERROR(SEARCH("17",BD69)))</formula>
    </cfRule>
    <cfRule type="containsText" dxfId="399" priority="275" operator="containsText" text="T">
      <formula>NOT(ISERROR(SEARCH("T",BD69)))</formula>
    </cfRule>
  </conditionalFormatting>
  <conditionalFormatting sqref="BD103:BD104">
    <cfRule type="containsText" dxfId="398" priority="304" operator="containsText" text="17">
      <formula>NOT(ISERROR(SEARCH("17",BD103)))</formula>
    </cfRule>
    <cfRule type="containsText" dxfId="397" priority="305" operator="containsText" text="T">
      <formula>NOT(ISERROR(SEARCH("T",BD103)))</formula>
    </cfRule>
  </conditionalFormatting>
  <conditionalFormatting sqref="BD113:BD116 BH113:BJ116">
    <cfRule type="containsText" dxfId="396" priority="406" operator="containsText" text="T">
      <formula>NOT(ISERROR(SEARCH("T",BD113)))</formula>
    </cfRule>
  </conditionalFormatting>
  <conditionalFormatting sqref="BD121">
    <cfRule type="containsText" dxfId="395" priority="294" operator="containsText" text="17">
      <formula>NOT(ISERROR(SEARCH("17",BD121)))</formula>
    </cfRule>
    <cfRule type="containsText" dxfId="394" priority="295" operator="containsText" text="T">
      <formula>NOT(ISERROR(SEARCH("T",BD121)))</formula>
    </cfRule>
  </conditionalFormatting>
  <conditionalFormatting sqref="BD123">
    <cfRule type="containsText" dxfId="393" priority="284" operator="containsText" text="17">
      <formula>NOT(ISERROR(SEARCH("17",BD123)))</formula>
    </cfRule>
    <cfRule type="containsText" dxfId="392" priority="285" operator="containsText" text="T">
      <formula>NOT(ISERROR(SEARCH("T",BD123)))</formula>
    </cfRule>
  </conditionalFormatting>
  <conditionalFormatting sqref="BD225:BD231">
    <cfRule type="containsText" dxfId="391" priority="428" operator="containsText" text="T">
      <formula>NOT(ISERROR(SEARCH("T",BD225)))</formula>
    </cfRule>
  </conditionalFormatting>
  <conditionalFormatting sqref="BD232:BD234 BH232:BJ234">
    <cfRule type="containsText" dxfId="390" priority="416" operator="containsText" text="T">
      <formula>NOT(ISERROR(SEARCH("T",BD232)))</formula>
    </cfRule>
  </conditionalFormatting>
  <conditionalFormatting sqref="BD35:BE39">
    <cfRule type="containsText" dxfId="389" priority="984" operator="containsText" text="T">
      <formula>NOT(ISERROR(SEARCH("T",BD35)))</formula>
    </cfRule>
  </conditionalFormatting>
  <conditionalFormatting sqref="BD113:BE116 BH113:BJ116">
    <cfRule type="containsText" dxfId="388" priority="407" operator="containsText" text="17">
      <formula>NOT(ISERROR(SEARCH("17",BD113)))</formula>
    </cfRule>
  </conditionalFormatting>
  <conditionalFormatting sqref="BD232:BE234 BH232:BV234">
    <cfRule type="containsText" dxfId="387" priority="417" operator="containsText" text="17">
      <formula>NOT(ISERROR(SEARCH("17",BD232)))</formula>
    </cfRule>
  </conditionalFormatting>
  <conditionalFormatting sqref="BD41:BG45">
    <cfRule type="containsText" dxfId="386" priority="977" operator="containsText" text="T">
      <formula>NOT(ISERROR(SEARCH("T",BD41)))</formula>
    </cfRule>
  </conditionalFormatting>
  <conditionalFormatting sqref="BD47:BG47 BE48:BH48">
    <cfRule type="containsText" dxfId="385" priority="972" operator="containsText" text="T">
      <formula>NOT(ISERROR(SEARCH("T",BD47)))</formula>
    </cfRule>
  </conditionalFormatting>
  <conditionalFormatting sqref="BD67:BJ68">
    <cfRule type="containsText" dxfId="384" priority="247" operator="containsText" text="17">
      <formula>NOT(ISERROR(SEARCH("17",BD67)))</formula>
    </cfRule>
    <cfRule type="containsText" dxfId="383" priority="248" operator="containsText" text="T">
      <formula>NOT(ISERROR(SEARCH("T",BD67)))</formula>
    </cfRule>
  </conditionalFormatting>
  <conditionalFormatting sqref="BD99:BJ102">
    <cfRule type="containsText" dxfId="382" priority="267" operator="containsText" text="17">
      <formula>NOT(ISERROR(SEARCH("17",BD99)))</formula>
    </cfRule>
    <cfRule type="containsText" dxfId="381" priority="268" operator="containsText" text="T">
      <formula>NOT(ISERROR(SEARCH("T",BD99)))</formula>
    </cfRule>
  </conditionalFormatting>
  <conditionalFormatting sqref="BD105:BJ105">
    <cfRule type="containsText" dxfId="380" priority="257" operator="containsText" text="17">
      <formula>NOT(ISERROR(SEARCH("17",BD105)))</formula>
    </cfRule>
    <cfRule type="containsText" dxfId="379" priority="258" operator="containsText" text="T">
      <formula>NOT(ISERROR(SEARCH("T",BD105)))</formula>
    </cfRule>
  </conditionalFormatting>
  <conditionalFormatting sqref="BD54:BN59 AZ59:AZ62 BD60:BI62">
    <cfRule type="containsText" dxfId="378" priority="476" operator="containsText" text="T">
      <formula>NOT(ISERROR(SEARCH("T",AZ54)))</formula>
    </cfRule>
  </conditionalFormatting>
  <conditionalFormatting sqref="BD182:BN188">
    <cfRule type="containsText" dxfId="377" priority="69" operator="containsText" text="17">
      <formula>NOT(ISERROR(SEARCH("17",BD182)))</formula>
    </cfRule>
  </conditionalFormatting>
  <conditionalFormatting sqref="BD182:CA188">
    <cfRule type="containsText" dxfId="376" priority="78" operator="containsText" text="T">
      <formula>NOT(ISERROR(SEARCH("T",BD182)))</formula>
    </cfRule>
    <cfRule type="containsText" dxfId="375" priority="81" operator="containsText" text="17">
      <formula>NOT(ISERROR(SEARCH("17",BD182)))</formula>
    </cfRule>
  </conditionalFormatting>
  <conditionalFormatting sqref="BD182:CP188">
    <cfRule type="containsText" dxfId="374" priority="83" operator="containsText" text="T">
      <formula>NOT(ISERROR(SEARCH("T",BD182)))</formula>
    </cfRule>
    <cfRule type="containsText" dxfId="373" priority="92" operator="containsText" text="17">
      <formula>NOT(ISERROR(SEARCH("17",BD182)))</formula>
    </cfRule>
  </conditionalFormatting>
  <conditionalFormatting sqref="BE15:BE20">
    <cfRule type="containsText" dxfId="372" priority="65" operator="containsText" text="T">
      <formula>NOT(ISERROR(SEARCH("T",BE15)))</formula>
    </cfRule>
  </conditionalFormatting>
  <conditionalFormatting sqref="BE67:BE68">
    <cfRule type="containsText" dxfId="371" priority="244" operator="containsText" text="17">
      <formula>NOT(ISERROR(SEARCH("17",BE67)))</formula>
    </cfRule>
    <cfRule type="containsText" dxfId="370" priority="245" operator="containsText" text="T">
      <formula>NOT(ISERROR(SEARCH("T",BE67)))</formula>
    </cfRule>
  </conditionalFormatting>
  <conditionalFormatting sqref="BE79:BE82 BI79:BK82">
    <cfRule type="containsText" dxfId="369" priority="386" operator="containsText" text="T">
      <formula>NOT(ISERROR(SEARCH("T",BE79)))</formula>
    </cfRule>
  </conditionalFormatting>
  <conditionalFormatting sqref="BE99:BE102">
    <cfRule type="containsText" dxfId="368" priority="264" operator="containsText" text="17">
      <formula>NOT(ISERROR(SEARCH("17",BE99)))</formula>
    </cfRule>
    <cfRule type="containsText" dxfId="367" priority="265" operator="containsText" text="T">
      <formula>NOT(ISERROR(SEARCH("T",BE99)))</formula>
    </cfRule>
  </conditionalFormatting>
  <conditionalFormatting sqref="BE105">
    <cfRule type="containsText" dxfId="366" priority="254" operator="containsText" text="17">
      <formula>NOT(ISERROR(SEARCH("17",BE105)))</formula>
    </cfRule>
    <cfRule type="containsText" dxfId="365" priority="255" operator="containsText" text="T">
      <formula>NOT(ISERROR(SEARCH("T",BE105)))</formula>
    </cfRule>
  </conditionalFormatting>
  <conditionalFormatting sqref="BE113:BE116">
    <cfRule type="containsText" dxfId="364" priority="408" operator="containsText" text="T">
      <formula>NOT(ISERROR(SEARCH("T",BE113)))</formula>
    </cfRule>
  </conditionalFormatting>
  <conditionalFormatting sqref="BE117:BE119 BI117:BK119">
    <cfRule type="containsText" dxfId="363" priority="396" operator="containsText" text="T">
      <formula>NOT(ISERROR(SEARCH("T",BE117)))</formula>
    </cfRule>
  </conditionalFormatting>
  <conditionalFormatting sqref="BE232:BE234">
    <cfRule type="containsText" dxfId="362" priority="418" operator="containsText" text="T">
      <formula>NOT(ISERROR(SEARCH("T",BE232)))</formula>
    </cfRule>
  </conditionalFormatting>
  <conditionalFormatting sqref="BE23:BF27">
    <cfRule type="containsText" dxfId="361" priority="997" operator="containsText" text="17">
      <formula>NOT(ISERROR(SEARCH("17",BE23)))</formula>
    </cfRule>
  </conditionalFormatting>
  <conditionalFormatting sqref="BE79:BF82 BI79:BK82">
    <cfRule type="containsText" dxfId="360" priority="387" operator="containsText" text="17">
      <formula>NOT(ISERROR(SEARCH("17",BE79)))</formula>
    </cfRule>
  </conditionalFormatting>
  <conditionalFormatting sqref="BE117:BF119 BI117:CI119">
    <cfRule type="containsText" dxfId="359" priority="397" operator="containsText" text="17">
      <formula>NOT(ISERROR(SEARCH("17",BE117)))</formula>
    </cfRule>
  </conditionalFormatting>
  <conditionalFormatting sqref="BE199:BF199 BD206:BE206">
    <cfRule type="containsText" dxfId="358" priority="2076" operator="containsText" text="17">
      <formula>NOT(ISERROR(SEARCH("17",BD199)))</formula>
    </cfRule>
    <cfRule type="containsText" dxfId="357" priority="2077" operator="containsText" text="T">
      <formula>NOT(ISERROR(SEARCH("T",BD199)))</formula>
    </cfRule>
  </conditionalFormatting>
  <conditionalFormatting sqref="BE97:BK98">
    <cfRule type="containsText" dxfId="356" priority="237" operator="containsText" text="17">
      <formula>NOT(ISERROR(SEARCH("17",BE97)))</formula>
    </cfRule>
    <cfRule type="containsText" dxfId="355" priority="238" operator="containsText" text="T">
      <formula>NOT(ISERROR(SEARCH("T",BE97)))</formula>
    </cfRule>
  </conditionalFormatting>
  <conditionalFormatting sqref="BE131:BK137">
    <cfRule type="containsText" dxfId="354" priority="227" operator="containsText" text="17">
      <formula>NOT(ISERROR(SEARCH("17",BE131)))</formula>
    </cfRule>
    <cfRule type="containsText" dxfId="353" priority="228" operator="containsText" text="T">
      <formula>NOT(ISERROR(SEARCH("T",BE131)))</formula>
    </cfRule>
  </conditionalFormatting>
  <conditionalFormatting sqref="BE14:BO14">
    <cfRule type="containsText" dxfId="352" priority="57" operator="containsText" text="17">
      <formula>NOT(ISERROR(SEARCH("17",BE14)))</formula>
    </cfRule>
    <cfRule type="containsText" dxfId="351" priority="58" operator="containsText" text="T">
      <formula>NOT(ISERROR(SEARCH("T",BE14)))</formula>
    </cfRule>
  </conditionalFormatting>
  <conditionalFormatting sqref="BE15:BY20 BE14:BM14">
    <cfRule type="containsText" dxfId="350" priority="64" operator="containsText" text="17">
      <formula>NOT(ISERROR(SEARCH("17",BE14)))</formula>
    </cfRule>
  </conditionalFormatting>
  <conditionalFormatting sqref="BF35:BF40">
    <cfRule type="containsText" dxfId="349" priority="53" operator="containsText" text="T">
      <formula>NOT(ISERROR(SEARCH("T",BF35)))</formula>
    </cfRule>
  </conditionalFormatting>
  <conditionalFormatting sqref="BF79:BF82">
    <cfRule type="containsText" dxfId="348" priority="388" operator="containsText" text="T">
      <formula>NOT(ISERROR(SEARCH("T",BF79)))</formula>
    </cfRule>
  </conditionalFormatting>
  <conditionalFormatting sqref="BF93:BF96 AZ94:BB96 BG94:BI96 BS97 BM231:BV234">
    <cfRule type="containsText" dxfId="347" priority="8511" operator="containsText" text="T">
      <formula>NOT(ISERROR(SEARCH("T",AZ93)))</formula>
    </cfRule>
  </conditionalFormatting>
  <conditionalFormatting sqref="BF93:BF96 AZ94:BB96 BS97 BG94:BI96 BM231:BV234">
    <cfRule type="containsText" dxfId="346" priority="8510" operator="containsText" text="17">
      <formula>NOT(ISERROR(SEARCH("17",AZ93)))</formula>
    </cfRule>
  </conditionalFormatting>
  <conditionalFormatting sqref="BF97:BF98">
    <cfRule type="containsText" dxfId="345" priority="234" operator="containsText" text="17">
      <formula>NOT(ISERROR(SEARCH("17",BF97)))</formula>
    </cfRule>
    <cfRule type="containsText" dxfId="344" priority="235" operator="containsText" text="T">
      <formula>NOT(ISERROR(SEARCH("T",BF97)))</formula>
    </cfRule>
  </conditionalFormatting>
  <conditionalFormatting sqref="BF117:BF119">
    <cfRule type="containsText" dxfId="343" priority="398" operator="containsText" text="T">
      <formula>NOT(ISERROR(SEARCH("T",BF117)))</formula>
    </cfRule>
  </conditionalFormatting>
  <conditionalFormatting sqref="BF131:BF137">
    <cfRule type="containsText" dxfId="342" priority="224" operator="containsText" text="17">
      <formula>NOT(ISERROR(SEARCH("17",BF131)))</formula>
    </cfRule>
    <cfRule type="containsText" dxfId="341" priority="225" operator="containsText" text="T">
      <formula>NOT(ISERROR(SEARCH("T",BF131)))</formula>
    </cfRule>
  </conditionalFormatting>
  <conditionalFormatting sqref="BF138:BL144">
    <cfRule type="containsText" dxfId="340" priority="217" operator="containsText" text="17">
      <formula>NOT(ISERROR(SEARCH("17",BF138)))</formula>
    </cfRule>
    <cfRule type="containsText" dxfId="339" priority="218" operator="containsText" text="T">
      <formula>NOT(ISERROR(SEARCH("T",BF138)))</formula>
    </cfRule>
  </conditionalFormatting>
  <conditionalFormatting sqref="BF34:BP34">
    <cfRule type="containsText" dxfId="338" priority="45" operator="containsText" text="17">
      <formula>NOT(ISERROR(SEARCH("17",BF34)))</formula>
    </cfRule>
    <cfRule type="containsText" dxfId="337" priority="46" operator="containsText" text="T">
      <formula>NOT(ISERROR(SEARCH("T",BF34)))</formula>
    </cfRule>
  </conditionalFormatting>
  <conditionalFormatting sqref="BF35:BZ40 BF34:BN34">
    <cfRule type="containsText" dxfId="336" priority="52" operator="containsText" text="17">
      <formula>NOT(ISERROR(SEARCH("17",BF34)))</formula>
    </cfRule>
  </conditionalFormatting>
  <conditionalFormatting sqref="BF50:CA52 BF53:BN53">
    <cfRule type="containsText" dxfId="335" priority="967" operator="containsText" text="T">
      <formula>NOT(ISERROR(SEARCH("T",BF50)))</formula>
    </cfRule>
  </conditionalFormatting>
  <conditionalFormatting sqref="BG22:BG27">
    <cfRule type="containsText" dxfId="334" priority="41" operator="containsText" text="T">
      <formula>NOT(ISERROR(SEARCH("T",BG22)))</formula>
    </cfRule>
  </conditionalFormatting>
  <conditionalFormatting sqref="BG41:BG45">
    <cfRule type="containsText" dxfId="333" priority="978" operator="containsText" text="17">
      <formula>NOT(ISERROR(SEARCH("17",BG41)))</formula>
    </cfRule>
  </conditionalFormatting>
  <conditionalFormatting sqref="BG47">
    <cfRule type="containsText" dxfId="332" priority="976" operator="containsText" text="17">
      <formula>NOT(ISERROR(SEARCH("17",BG47)))</formula>
    </cfRule>
  </conditionalFormatting>
  <conditionalFormatting sqref="BG76:BG78 BK76:BM78">
    <cfRule type="containsText" dxfId="331" priority="361" operator="containsText" text="T">
      <formula>NOT(ISERROR(SEARCH("T",BG76)))</formula>
    </cfRule>
  </conditionalFormatting>
  <conditionalFormatting sqref="BG86 BG93:BI93">
    <cfRule type="containsText" dxfId="330" priority="4035" operator="containsText" text="17">
      <formula>NOT(ISERROR(SEARCH("17",BG86)))</formula>
    </cfRule>
    <cfRule type="containsText" dxfId="329" priority="4036" operator="containsText" text="T">
      <formula>NOT(ISERROR(SEARCH("T",BG86)))</formula>
    </cfRule>
  </conditionalFormatting>
  <conditionalFormatting sqref="BG107:BG112 BK107:BM112">
    <cfRule type="containsText" dxfId="328" priority="371" operator="containsText" text="T">
      <formula>NOT(ISERROR(SEARCH("T",BG107)))</formula>
    </cfRule>
  </conditionalFormatting>
  <conditionalFormatting sqref="BG138:BG144">
    <cfRule type="containsText" dxfId="327" priority="214" operator="containsText" text="17">
      <formula>NOT(ISERROR(SEARCH("17",BG138)))</formula>
    </cfRule>
    <cfRule type="containsText" dxfId="326" priority="215" operator="containsText" text="T">
      <formula>NOT(ISERROR(SEARCH("T",BG138)))</formula>
    </cfRule>
  </conditionalFormatting>
  <conditionalFormatting sqref="BG30:BH32 BG33:BZ33">
    <cfRule type="containsText" dxfId="325" priority="991" operator="containsText" text="17">
      <formula>NOT(ISERROR(SEARCH("17",BG30)))</formula>
    </cfRule>
  </conditionalFormatting>
  <conditionalFormatting sqref="BG48:BH48">
    <cfRule type="containsText" dxfId="324" priority="973" operator="containsText" text="17">
      <formula>NOT(ISERROR(SEARCH("17",BG48)))</formula>
    </cfRule>
  </conditionalFormatting>
  <conditionalFormatting sqref="BG76:BH78 BK76:BM78">
    <cfRule type="containsText" dxfId="323" priority="362" operator="containsText" text="17">
      <formula>NOT(ISERROR(SEARCH("17",BG76)))</formula>
    </cfRule>
  </conditionalFormatting>
  <conditionalFormatting sqref="BG107:BH112 BK107:BM112">
    <cfRule type="containsText" dxfId="322" priority="372" operator="containsText" text="17">
      <formula>NOT(ISERROR(SEARCH("17",BG107)))</formula>
    </cfRule>
  </conditionalFormatting>
  <conditionalFormatting sqref="BG145:BM151">
    <cfRule type="containsText" dxfId="321" priority="207" operator="containsText" text="17">
      <formula>NOT(ISERROR(SEARCH("17",BG145)))</formula>
    </cfRule>
    <cfRule type="containsText" dxfId="320" priority="208" operator="containsText" text="T">
      <formula>NOT(ISERROR(SEARCH("T",BG145)))</formula>
    </cfRule>
  </conditionalFormatting>
  <conditionalFormatting sqref="BG21:BQ21">
    <cfRule type="containsText" dxfId="319" priority="33" operator="containsText" text="17">
      <formula>NOT(ISERROR(SEARCH("17",BG21)))</formula>
    </cfRule>
    <cfRule type="containsText" dxfId="318" priority="34" operator="containsText" text="T">
      <formula>NOT(ISERROR(SEARCH("T",BG21)))</formula>
    </cfRule>
  </conditionalFormatting>
  <conditionalFormatting sqref="BG50:BQ52">
    <cfRule type="containsText" dxfId="317" priority="971" operator="containsText" text="17">
      <formula>NOT(ISERROR(SEARCH("17",BG50)))</formula>
    </cfRule>
  </conditionalFormatting>
  <conditionalFormatting sqref="BG51:BS52 BG53:BN59 BG60:BI66">
    <cfRule type="containsText" dxfId="316" priority="968" operator="containsText" text="17">
      <formula>NOT(ISERROR(SEARCH("17",BG51)))</formula>
    </cfRule>
  </conditionalFormatting>
  <conditionalFormatting sqref="BG22:CA27 BG21:BO21">
    <cfRule type="containsText" dxfId="315" priority="40" operator="containsText" text="17">
      <formula>NOT(ISERROR(SEARCH("17",BG21)))</formula>
    </cfRule>
  </conditionalFormatting>
  <conditionalFormatting sqref="BH42:BH47">
    <cfRule type="containsText" dxfId="314" priority="29" operator="containsText" text="T">
      <formula>NOT(ISERROR(SEARCH("T",BH42)))</formula>
    </cfRule>
  </conditionalFormatting>
  <conditionalFormatting sqref="BH72:BH75 BL72:BN75">
    <cfRule type="containsText" dxfId="313" priority="351" operator="containsText" text="T">
      <formula>NOT(ISERROR(SEARCH("T",BH72)))</formula>
    </cfRule>
  </conditionalFormatting>
  <conditionalFormatting sqref="BH76:BH78">
    <cfRule type="containsText" dxfId="312" priority="363" operator="containsText" text="T">
      <formula>NOT(ISERROR(SEARCH("T",BH76)))</formula>
    </cfRule>
  </conditionalFormatting>
  <conditionalFormatting sqref="BH106 BL106:BN106">
    <cfRule type="containsText" dxfId="311" priority="341" operator="containsText" text="T">
      <formula>NOT(ISERROR(SEARCH("T",BH106)))</formula>
    </cfRule>
  </conditionalFormatting>
  <conditionalFormatting sqref="BH107:BH112">
    <cfRule type="containsText" dxfId="310" priority="373" operator="containsText" text="T">
      <formula>NOT(ISERROR(SEARCH("T",BH107)))</formula>
    </cfRule>
  </conditionalFormatting>
  <conditionalFormatting sqref="BH120 BL120:BN120">
    <cfRule type="containsText" dxfId="309" priority="321" operator="containsText" text="T">
      <formula>NOT(ISERROR(SEARCH("T",BH120)))</formula>
    </cfRule>
  </conditionalFormatting>
  <conditionalFormatting sqref="BH122 BL122:BN122">
    <cfRule type="containsText" dxfId="308" priority="311" operator="containsText" text="T">
      <formula>NOT(ISERROR(SEARCH("T",BH122)))</formula>
    </cfRule>
  </conditionalFormatting>
  <conditionalFormatting sqref="BH124:BH126 BL124:BN126">
    <cfRule type="containsText" dxfId="307" priority="331" operator="containsText" text="T">
      <formula>NOT(ISERROR(SEARCH("T",BH124)))</formula>
    </cfRule>
  </conditionalFormatting>
  <conditionalFormatting sqref="BH145:BH151">
    <cfRule type="containsText" dxfId="306" priority="204" operator="containsText" text="17">
      <formula>NOT(ISERROR(SEARCH("17",BH145)))</formula>
    </cfRule>
    <cfRule type="containsText" dxfId="305" priority="205" operator="containsText" text="T">
      <formula>NOT(ISERROR(SEARCH("T",BH145)))</formula>
    </cfRule>
  </conditionalFormatting>
  <conditionalFormatting sqref="BH72:BI75 BL72:BN75">
    <cfRule type="containsText" dxfId="304" priority="352" operator="containsText" text="17">
      <formula>NOT(ISERROR(SEARCH("17",BH72)))</formula>
    </cfRule>
  </conditionalFormatting>
  <conditionalFormatting sqref="BH106:BI106 BL106:CJ106">
    <cfRule type="containsText" dxfId="303" priority="342" operator="containsText" text="17">
      <formula>NOT(ISERROR(SEARCH("17",BH106)))</formula>
    </cfRule>
  </conditionalFormatting>
  <conditionalFormatting sqref="BH120:BI120 BL120:CI120">
    <cfRule type="containsText" dxfId="302" priority="322" operator="containsText" text="17">
      <formula>NOT(ISERROR(SEARCH("17",BH120)))</formula>
    </cfRule>
  </conditionalFormatting>
  <conditionalFormatting sqref="BH122:BI122 BL122:BN122">
    <cfRule type="containsText" dxfId="301" priority="312" operator="containsText" text="17">
      <formula>NOT(ISERROR(SEARCH("17",BH122)))</formula>
    </cfRule>
  </conditionalFormatting>
  <conditionalFormatting sqref="BH124:BI126 BL124:BZ126">
    <cfRule type="containsText" dxfId="300" priority="332" operator="containsText" text="17">
      <formula>NOT(ISERROR(SEARCH("17",BH124)))</formula>
    </cfRule>
  </conditionalFormatting>
  <conditionalFormatting sqref="BH214:BI216">
    <cfRule type="containsText" dxfId="299" priority="5791" operator="containsText" text="17">
      <formula>NOT(ISERROR(SEARCH("17",BH214)))</formula>
    </cfRule>
    <cfRule type="containsText" dxfId="298" priority="5792" operator="containsText" text="T">
      <formula>NOT(ISERROR(SEARCH("T",BH214)))</formula>
    </cfRule>
  </conditionalFormatting>
  <conditionalFormatting sqref="BH152:BN158">
    <cfRule type="containsText" dxfId="297" priority="197" operator="containsText" text="17">
      <formula>NOT(ISERROR(SEARCH("17",BH152)))</formula>
    </cfRule>
    <cfRule type="containsText" dxfId="296" priority="198" operator="containsText" text="T">
      <formula>NOT(ISERROR(SEARCH("T",BH152)))</formula>
    </cfRule>
  </conditionalFormatting>
  <conditionalFormatting sqref="BH41:BR41">
    <cfRule type="containsText" dxfId="295" priority="21" operator="containsText" text="17">
      <formula>NOT(ISERROR(SEARCH("17",BH41)))</formula>
    </cfRule>
    <cfRule type="containsText" dxfId="294" priority="22" operator="containsText" text="T">
      <formula>NOT(ISERROR(SEARCH("T",BH41)))</formula>
    </cfRule>
  </conditionalFormatting>
  <conditionalFormatting sqref="BH42:CB47 BH41:BP41">
    <cfRule type="containsText" dxfId="293" priority="28" operator="containsText" text="17">
      <formula>NOT(ISERROR(SEARCH("17",BH41)))</formula>
    </cfRule>
  </conditionalFormatting>
  <conditionalFormatting sqref="BH84:CE89">
    <cfRule type="containsText" dxfId="292" priority="944" operator="containsText" text="17">
      <formula>NOT(ISERROR(SEARCH("17",BH84)))</formula>
    </cfRule>
  </conditionalFormatting>
  <conditionalFormatting sqref="BI28:BI32">
    <cfRule type="containsText" dxfId="291" priority="14" operator="containsText" text="T">
      <formula>NOT(ISERROR(SEARCH("T",BI28)))</formula>
    </cfRule>
  </conditionalFormatting>
  <conditionalFormatting sqref="BI48:BI49">
    <cfRule type="containsText" dxfId="290" priority="9" operator="containsText" text="T">
      <formula>NOT(ISERROR(SEARCH("T",BI48)))</formula>
    </cfRule>
  </conditionalFormatting>
  <conditionalFormatting sqref="BI69:BI71 BM69:BO71">
    <cfRule type="containsText" dxfId="289" priority="271" operator="containsText" text="T">
      <formula>NOT(ISERROR(SEARCH("T",BI69)))</formula>
    </cfRule>
  </conditionalFormatting>
  <conditionalFormatting sqref="BI72:BI75">
    <cfRule type="containsText" dxfId="288" priority="353" operator="containsText" text="T">
      <formula>NOT(ISERROR(SEARCH("T",BI72)))</formula>
    </cfRule>
  </conditionalFormatting>
  <conditionalFormatting sqref="BI103:BI104 BM103:BO104">
    <cfRule type="containsText" dxfId="287" priority="301" operator="containsText" text="T">
      <formula>NOT(ISERROR(SEARCH("T",BI103)))</formula>
    </cfRule>
  </conditionalFormatting>
  <conditionalFormatting sqref="BI106">
    <cfRule type="containsText" dxfId="286" priority="343" operator="containsText" text="T">
      <formula>NOT(ISERROR(SEARCH("T",BI106)))</formula>
    </cfRule>
  </conditionalFormatting>
  <conditionalFormatting sqref="BI120">
    <cfRule type="containsText" dxfId="285" priority="323" operator="containsText" text="T">
      <formula>NOT(ISERROR(SEARCH("T",BI120)))</formula>
    </cfRule>
  </conditionalFormatting>
  <conditionalFormatting sqref="BI121 BM121:BO121">
    <cfRule type="containsText" dxfId="284" priority="291" operator="containsText" text="T">
      <formula>NOT(ISERROR(SEARCH("T",BI121)))</formula>
    </cfRule>
  </conditionalFormatting>
  <conditionalFormatting sqref="BI122">
    <cfRule type="containsText" dxfId="283" priority="313" operator="containsText" text="T">
      <formula>NOT(ISERROR(SEARCH("T",BI122)))</formula>
    </cfRule>
  </conditionalFormatting>
  <conditionalFormatting sqref="BI123 BM123:BO123">
    <cfRule type="containsText" dxfId="282" priority="281" operator="containsText" text="T">
      <formula>NOT(ISERROR(SEARCH("T",BI123)))</formula>
    </cfRule>
  </conditionalFormatting>
  <conditionalFormatting sqref="BI124:BI126">
    <cfRule type="containsText" dxfId="281" priority="333" operator="containsText" text="T">
      <formula>NOT(ISERROR(SEARCH("T",BI124)))</formula>
    </cfRule>
  </conditionalFormatting>
  <conditionalFormatting sqref="BI152:BI158">
    <cfRule type="containsText" dxfId="280" priority="194" operator="containsText" text="17">
      <formula>NOT(ISERROR(SEARCH("17",BI152)))</formula>
    </cfRule>
    <cfRule type="containsText" dxfId="279" priority="195" operator="containsText" text="T">
      <formula>NOT(ISERROR(SEARCH("T",BI152)))</formula>
    </cfRule>
  </conditionalFormatting>
  <conditionalFormatting sqref="BI69:BJ71 BM69:BO71">
    <cfRule type="containsText" dxfId="278" priority="272" operator="containsText" text="17">
      <formula>NOT(ISERROR(SEARCH("17",BI69)))</formula>
    </cfRule>
  </conditionalFormatting>
  <conditionalFormatting sqref="BI103:BJ104 BM103:BO104">
    <cfRule type="containsText" dxfId="277" priority="302" operator="containsText" text="17">
      <formula>NOT(ISERROR(SEARCH("17",BI103)))</formula>
    </cfRule>
  </conditionalFormatting>
  <conditionalFormatting sqref="BI121:BJ121 BM121:BO121">
    <cfRule type="containsText" dxfId="276" priority="292" operator="containsText" text="17">
      <formula>NOT(ISERROR(SEARCH("17",BI121)))</formula>
    </cfRule>
  </conditionalFormatting>
  <conditionalFormatting sqref="BI123:BJ123 BM123:BZ123">
    <cfRule type="containsText" dxfId="275" priority="282" operator="containsText" text="17">
      <formula>NOT(ISERROR(SEARCH("17",BI123)))</formula>
    </cfRule>
  </conditionalFormatting>
  <conditionalFormatting sqref="BI214:BJ216 BM214:BM216">
    <cfRule type="containsText" dxfId="274" priority="5798" operator="containsText" text="T">
      <formula>NOT(ISERROR(SEARCH("T",BI214)))</formula>
    </cfRule>
  </conditionalFormatting>
  <conditionalFormatting sqref="BI159:BO165">
    <cfRule type="containsText" dxfId="273" priority="187" operator="containsText" text="17">
      <formula>NOT(ISERROR(SEARCH("17",BI159)))</formula>
    </cfRule>
    <cfRule type="containsText" dxfId="272" priority="188" operator="containsText" text="T">
      <formula>NOT(ISERROR(SEARCH("T",BI159)))</formula>
    </cfRule>
  </conditionalFormatting>
  <conditionalFormatting sqref="BI28:CC32 CF28:CF32">
    <cfRule type="containsText" dxfId="271" priority="11" operator="containsText" text="T">
      <formula>NOT(ISERROR(SEARCH("T",BI28)))</formula>
    </cfRule>
  </conditionalFormatting>
  <conditionalFormatting sqref="BI28:CC32">
    <cfRule type="containsText" dxfId="270" priority="13" operator="containsText" text="17">
      <formula>NOT(ISERROR(SEARCH("17",BI28)))</formula>
    </cfRule>
  </conditionalFormatting>
  <conditionalFormatting sqref="BI48:CC49 CF48:CF49">
    <cfRule type="containsText" dxfId="269" priority="6" operator="containsText" text="T">
      <formula>NOT(ISERROR(SEARCH("T",BI48)))</formula>
    </cfRule>
  </conditionalFormatting>
  <conditionalFormatting sqref="BI48:CC49">
    <cfRule type="containsText" dxfId="268" priority="8" operator="containsText" text="17">
      <formula>NOT(ISERROR(SEARCH("17",BI48)))</formula>
    </cfRule>
  </conditionalFormatting>
  <conditionalFormatting sqref="BJ60:BJ68">
    <cfRule type="containsText" dxfId="267" priority="4" operator="containsText" text="T">
      <formula>NOT(ISERROR(SEARCH("T",BJ60)))</formula>
    </cfRule>
  </conditionalFormatting>
  <conditionalFormatting sqref="BJ69:BJ71">
    <cfRule type="containsText" dxfId="266" priority="273" operator="containsText" text="T">
      <formula>NOT(ISERROR(SEARCH("T",BJ69)))</formula>
    </cfRule>
  </conditionalFormatting>
  <conditionalFormatting sqref="BJ99:BJ102 BN99:BP102">
    <cfRule type="containsText" dxfId="265" priority="261" operator="containsText" text="T">
      <formula>NOT(ISERROR(SEARCH("T",BJ99)))</formula>
    </cfRule>
  </conditionalFormatting>
  <conditionalFormatting sqref="BJ103:BJ104">
    <cfRule type="containsText" dxfId="264" priority="303" operator="containsText" text="T">
      <formula>NOT(ISERROR(SEARCH("T",BJ103)))</formula>
    </cfRule>
  </conditionalFormatting>
  <conditionalFormatting sqref="BJ105 BN105:BP105">
    <cfRule type="containsText" dxfId="263" priority="251" operator="containsText" text="T">
      <formula>NOT(ISERROR(SEARCH("T",BJ105)))</formula>
    </cfRule>
  </conditionalFormatting>
  <conditionalFormatting sqref="BJ121">
    <cfRule type="containsText" dxfId="262" priority="293" operator="containsText" text="T">
      <formula>NOT(ISERROR(SEARCH("T",BJ121)))</formula>
    </cfRule>
  </conditionalFormatting>
  <conditionalFormatting sqref="BJ123">
    <cfRule type="containsText" dxfId="261" priority="283" operator="containsText" text="T">
      <formula>NOT(ISERROR(SEARCH("T",BJ123)))</formula>
    </cfRule>
  </conditionalFormatting>
  <conditionalFormatting sqref="BJ159:BJ165">
    <cfRule type="containsText" dxfId="260" priority="184" operator="containsText" text="17">
      <formula>NOT(ISERROR(SEARCH("17",BJ159)))</formula>
    </cfRule>
    <cfRule type="containsText" dxfId="259" priority="185" operator="containsText" text="T">
      <formula>NOT(ISERROR(SEARCH("T",BJ159)))</formula>
    </cfRule>
  </conditionalFormatting>
  <conditionalFormatting sqref="BJ199 BI206">
    <cfRule type="containsText" dxfId="258" priority="4983" operator="containsText" text="17">
      <formula>NOT(ISERROR(SEARCH("17",BI199)))</formula>
    </cfRule>
    <cfRule type="containsText" dxfId="257" priority="4984" operator="containsText" text="T">
      <formula>NOT(ISERROR(SEARCH("T",BI199)))</formula>
    </cfRule>
  </conditionalFormatting>
  <conditionalFormatting sqref="BJ99:BK102 BN99:BP102">
    <cfRule type="containsText" dxfId="256" priority="262" operator="containsText" text="17">
      <formula>NOT(ISERROR(SEARCH("17",BJ99)))</formula>
    </cfRule>
  </conditionalFormatting>
  <conditionalFormatting sqref="BJ105:BK105 BN105:CJ105">
    <cfRule type="containsText" dxfId="255" priority="252" operator="containsText" text="17">
      <formula>NOT(ISERROR(SEARCH("17",BJ105)))</formula>
    </cfRule>
  </conditionalFormatting>
  <conditionalFormatting sqref="BJ207:BP213">
    <cfRule type="containsText" dxfId="254" priority="177" operator="containsText" text="17">
      <formula>NOT(ISERROR(SEARCH("17",BJ207)))</formula>
    </cfRule>
  </conditionalFormatting>
  <conditionalFormatting sqref="BJ228:BV231 BK232:BV234">
    <cfRule type="containsText" dxfId="253" priority="5622" operator="containsText" text="T">
      <formula>NOT(ISERROR(SEARCH("T",BJ228)))</formula>
    </cfRule>
    <cfRule type="containsText" dxfId="252" priority="5625" operator="containsText" text="17">
      <formula>NOT(ISERROR(SEARCH("17",BJ228)))</formula>
    </cfRule>
  </conditionalFormatting>
  <conditionalFormatting sqref="BJ228:BV231 BK232:CP234">
    <cfRule type="containsText" dxfId="251" priority="5626" operator="containsText" text="T">
      <formula>NOT(ISERROR(SEARCH("T",BJ228)))</formula>
    </cfRule>
  </conditionalFormatting>
  <conditionalFormatting sqref="BJ228:BV231">
    <cfRule type="containsText" dxfId="250" priority="5621" operator="containsText" text="17">
      <formula>NOT(ISERROR(SEARCH("17",BJ228)))</formula>
    </cfRule>
  </conditionalFormatting>
  <conditionalFormatting sqref="BJ60:CD66 CG60:CG66">
    <cfRule type="containsText" dxfId="249" priority="1" operator="containsText" text="T">
      <formula>NOT(ISERROR(SEARCH("T",BJ60)))</formula>
    </cfRule>
  </conditionalFormatting>
  <conditionalFormatting sqref="BJ60:CD66">
    <cfRule type="containsText" dxfId="248" priority="3" operator="containsText" text="17">
      <formula>NOT(ISERROR(SEARCH("17",BJ60)))</formula>
    </cfRule>
  </conditionalFormatting>
  <conditionalFormatting sqref="BK67:BK68">
    <cfRule type="containsText" dxfId="247" priority="243" operator="containsText" text="T">
      <formula>NOT(ISERROR(SEARCH("T",BK67)))</formula>
    </cfRule>
  </conditionalFormatting>
  <conditionalFormatting sqref="BK97:BK98 BO97:CP98">
    <cfRule type="containsText" dxfId="246" priority="231" operator="containsText" text="T">
      <formula>NOT(ISERROR(SEARCH("T",BK97)))</formula>
    </cfRule>
  </conditionalFormatting>
  <conditionalFormatting sqref="BK99:BK102">
    <cfRule type="containsText" dxfId="245" priority="263" operator="containsText" text="T">
      <formula>NOT(ISERROR(SEARCH("T",BK99)))</formula>
    </cfRule>
  </conditionalFormatting>
  <conditionalFormatting sqref="BK105">
    <cfRule type="containsText" dxfId="244" priority="253" operator="containsText" text="T">
      <formula>NOT(ISERROR(SEARCH("T",BK105)))</formula>
    </cfRule>
  </conditionalFormatting>
  <conditionalFormatting sqref="BK131:BK137 BO131:BQ137">
    <cfRule type="containsText" dxfId="243" priority="221" operator="containsText" text="T">
      <formula>NOT(ISERROR(SEARCH("T",BK131)))</formula>
    </cfRule>
  </conditionalFormatting>
  <conditionalFormatting sqref="BK199 BJ206">
    <cfRule type="containsText" dxfId="242" priority="4999" operator="containsText" text="17">
      <formula>NOT(ISERROR(SEARCH("17",BJ199)))</formula>
    </cfRule>
    <cfRule type="containsText" dxfId="241" priority="5000" operator="containsText" text="T">
      <formula>NOT(ISERROR(SEARCH("T",BJ199)))</formula>
    </cfRule>
  </conditionalFormatting>
  <conditionalFormatting sqref="BK207:BK213">
    <cfRule type="containsText" dxfId="240" priority="174" operator="containsText" text="17">
      <formula>NOT(ISERROR(SEARCH("17",BK207)))</formula>
    </cfRule>
    <cfRule type="containsText" dxfId="239" priority="175" operator="containsText" text="T">
      <formula>NOT(ISERROR(SEARCH("T",BK207)))</formula>
    </cfRule>
  </conditionalFormatting>
  <conditionalFormatting sqref="BK217:BK223 BL224:BL230">
    <cfRule type="containsText" dxfId="238" priority="5549" operator="containsText" text="17">
      <formula>NOT(ISERROR(SEARCH("17",BK217)))</formula>
    </cfRule>
    <cfRule type="containsText" dxfId="237" priority="5550" operator="containsText" text="T">
      <formula>NOT(ISERROR(SEARCH("T",BK217)))</formula>
    </cfRule>
  </conditionalFormatting>
  <conditionalFormatting sqref="BK97:BL98 BO97:CP98">
    <cfRule type="containsText" dxfId="236" priority="232" operator="containsText" text="17">
      <formula>NOT(ISERROR(SEARCH("17",BK97)))</formula>
    </cfRule>
  </conditionalFormatting>
  <conditionalFormatting sqref="BK131:BL137 BO131:BQ137">
    <cfRule type="containsText" dxfId="235" priority="222" operator="containsText" text="17">
      <formula>NOT(ISERROR(SEARCH("17",BK131)))</formula>
    </cfRule>
  </conditionalFormatting>
  <conditionalFormatting sqref="BK217:BN217">
    <cfRule type="containsText" dxfId="234" priority="5247" operator="containsText" text="17">
      <formula>NOT(ISERROR(SEARCH("17",BK217)))</formula>
    </cfRule>
    <cfRule type="containsText" dxfId="233" priority="5248" operator="containsText" text="T">
      <formula>NOT(ISERROR(SEARCH("T",BK217)))</formula>
    </cfRule>
  </conditionalFormatting>
  <conditionalFormatting sqref="BK218:BN223">
    <cfRule type="containsText" dxfId="232" priority="5555" operator="containsText" text="17">
      <formula>NOT(ISERROR(SEARCH("17",BK218)))</formula>
    </cfRule>
    <cfRule type="containsText" dxfId="231" priority="5556" operator="containsText" text="T">
      <formula>NOT(ISERROR(SEARCH("T",BK218)))</formula>
    </cfRule>
  </conditionalFormatting>
  <conditionalFormatting sqref="BK200:BQ206">
    <cfRule type="containsText" dxfId="230" priority="164" operator="containsText" text="17">
      <formula>NOT(ISERROR(SEARCH("17",BK200)))</formula>
    </cfRule>
    <cfRule type="containsText" dxfId="229" priority="165" operator="containsText" text="T">
      <formula>NOT(ISERROR(SEARCH("T",BK200)))</formula>
    </cfRule>
  </conditionalFormatting>
  <conditionalFormatting sqref="BK85:BW89">
    <cfRule type="containsText" dxfId="228" priority="945" operator="containsText" text="17">
      <formula>NOT(ISERROR(SEARCH("17",BK85)))</formula>
    </cfRule>
  </conditionalFormatting>
  <conditionalFormatting sqref="BL79">
    <cfRule type="containsText" dxfId="227" priority="3803" operator="containsText" text="17">
      <formula>NOT(ISERROR(SEARCH("17",BL79)))</formula>
    </cfRule>
    <cfRule type="containsText" dxfId="226" priority="3804" operator="containsText" text="T">
      <formula>NOT(ISERROR(SEARCH("T",BL79)))</formula>
    </cfRule>
  </conditionalFormatting>
  <conditionalFormatting sqref="BL97:BL98">
    <cfRule type="containsText" dxfId="225" priority="233" operator="containsText" text="T">
      <formula>NOT(ISERROR(SEARCH("T",BL97)))</formula>
    </cfRule>
  </conditionalFormatting>
  <conditionalFormatting sqref="BL131:BL137">
    <cfRule type="containsText" dxfId="224" priority="223" operator="containsText" text="T">
      <formula>NOT(ISERROR(SEARCH("T",BL131)))</formula>
    </cfRule>
  </conditionalFormatting>
  <conditionalFormatting sqref="BL138:BL144 BP138:BR144">
    <cfRule type="containsText" dxfId="223" priority="211" operator="containsText" text="T">
      <formula>NOT(ISERROR(SEARCH("T",BL138)))</formula>
    </cfRule>
  </conditionalFormatting>
  <conditionalFormatting sqref="BL200:BL206">
    <cfRule type="containsText" dxfId="222" priority="162" operator="containsText" text="17">
      <formula>NOT(ISERROR(SEARCH("17",BL200)))</formula>
    </cfRule>
    <cfRule type="containsText" dxfId="221" priority="163" operator="containsText" text="T">
      <formula>NOT(ISERROR(SEARCH("T",BL200)))</formula>
    </cfRule>
  </conditionalFormatting>
  <conditionalFormatting sqref="BL138:BM144 BP138:BR144">
    <cfRule type="containsText" dxfId="220" priority="212" operator="containsText" text="17">
      <formula>NOT(ISERROR(SEARCH("17",BL138)))</formula>
    </cfRule>
  </conditionalFormatting>
  <conditionalFormatting sqref="BL199:BM199 BK206:BL206">
    <cfRule type="containsText" dxfId="219" priority="2074" operator="containsText" text="17">
      <formula>NOT(ISERROR(SEARCH("17",BK199)))</formula>
    </cfRule>
    <cfRule type="containsText" dxfId="218" priority="2075" operator="containsText" text="T">
      <formula>NOT(ISERROR(SEARCH("T",BK199)))</formula>
    </cfRule>
  </conditionalFormatting>
  <conditionalFormatting sqref="BL224:BP230 BO214:BO223">
    <cfRule type="containsText" dxfId="217" priority="5553" operator="containsText" text="17">
      <formula>NOT(ISERROR(SEARCH("17",BL214)))</formula>
    </cfRule>
  </conditionalFormatting>
  <conditionalFormatting sqref="BL217:BQ217">
    <cfRule type="containsText" dxfId="216" priority="5249" operator="containsText" text="17">
      <formula>NOT(ISERROR(SEARCH("17",BL217)))</formula>
    </cfRule>
    <cfRule type="containsText" dxfId="215" priority="5250" operator="containsText" text="T">
      <formula>NOT(ISERROR(SEARCH("T",BL217)))</formula>
    </cfRule>
  </conditionalFormatting>
  <conditionalFormatting sqref="BL218:BQ223 BM224:BV230">
    <cfRule type="containsText" dxfId="214" priority="5561" operator="containsText" text="17">
      <formula>NOT(ISERROR(SEARCH("17",BL218)))</formula>
    </cfRule>
    <cfRule type="containsText" dxfId="213" priority="5562" operator="containsText" text="T">
      <formula>NOT(ISERROR(SEARCH("T",BL218)))</formula>
    </cfRule>
  </conditionalFormatting>
  <conditionalFormatting sqref="BL192:BR199">
    <cfRule type="containsText" dxfId="212" priority="147" operator="containsText" text="17">
      <formula>NOT(ISERROR(SEARCH("17",BL192)))</formula>
    </cfRule>
  </conditionalFormatting>
  <conditionalFormatting sqref="BM138:BM144">
    <cfRule type="containsText" dxfId="211" priority="213" operator="containsText" text="T">
      <formula>NOT(ISERROR(SEARCH("T",BM138)))</formula>
    </cfRule>
  </conditionalFormatting>
  <conditionalFormatting sqref="BM145:BM151 BQ145:BS151">
    <cfRule type="containsText" dxfId="210" priority="201" operator="containsText" text="T">
      <formula>NOT(ISERROR(SEARCH("T",BM145)))</formula>
    </cfRule>
  </conditionalFormatting>
  <conditionalFormatting sqref="BM192:BM199">
    <cfRule type="containsText" dxfId="209" priority="145" operator="containsText" text="17">
      <formula>NOT(ISERROR(SEARCH("17",BM192)))</formula>
    </cfRule>
    <cfRule type="containsText" dxfId="208" priority="146" operator="containsText" text="T">
      <formula>NOT(ISERROR(SEARCH("T",BM192)))</formula>
    </cfRule>
  </conditionalFormatting>
  <conditionalFormatting sqref="BM214:BM216 BI214:BJ216">
    <cfRule type="containsText" dxfId="207" priority="5797" operator="containsText" text="17">
      <formula>NOT(ISERROR(SEARCH("17",BI214)))</formula>
    </cfRule>
  </conditionalFormatting>
  <conditionalFormatting sqref="BM214:BM216">
    <cfRule type="containsText" dxfId="206" priority="5795" operator="containsText" text="17">
      <formula>NOT(ISERROR(SEARCH("17",BM214)))</formula>
    </cfRule>
    <cfRule type="containsText" dxfId="205" priority="5796" operator="containsText" text="T">
      <formula>NOT(ISERROR(SEARCH("T",BM214)))</formula>
    </cfRule>
  </conditionalFormatting>
  <conditionalFormatting sqref="BM145:BN151 BQ145:BS151">
    <cfRule type="containsText" dxfId="204" priority="202" operator="containsText" text="17">
      <formula>NOT(ISERROR(SEARCH("17",BM145)))</formula>
    </cfRule>
  </conditionalFormatting>
  <conditionalFormatting sqref="BM168:BS174">
    <cfRule type="containsText" dxfId="203" priority="123" operator="containsText" text="17">
      <formula>NOT(ISERROR(SEARCH("17",BM168)))</formula>
    </cfRule>
    <cfRule type="containsText" dxfId="202" priority="124" operator="containsText" text="T">
      <formula>NOT(ISERROR(SEARCH("T",BM168)))</formula>
    </cfRule>
  </conditionalFormatting>
  <conditionalFormatting sqref="BM193:BU215">
    <cfRule type="containsText" dxfId="201" priority="852" operator="containsText" text="17">
      <formula>NOT(ISERROR(SEARCH("17",BM193)))</formula>
    </cfRule>
  </conditionalFormatting>
  <conditionalFormatting sqref="BM92:BY96">
    <cfRule type="containsText" dxfId="200" priority="939" operator="containsText" text="17">
      <formula>NOT(ISERROR(SEARCH("17",BM92)))</formula>
    </cfRule>
  </conditionalFormatting>
  <conditionalFormatting sqref="BM79:CJ82 CF83:CJ84">
    <cfRule type="containsText" dxfId="199" priority="950" operator="containsText" text="17">
      <formula>NOT(ISERROR(SEARCH("17",BM79)))</formula>
    </cfRule>
  </conditionalFormatting>
  <conditionalFormatting sqref="BN145:BN151">
    <cfRule type="containsText" dxfId="198" priority="203" operator="containsText" text="T">
      <formula>NOT(ISERROR(SEARCH("T",BN145)))</formula>
    </cfRule>
  </conditionalFormatting>
  <conditionalFormatting sqref="BN152:BN158 BR152:BT158">
    <cfRule type="containsText" dxfId="197" priority="191" operator="containsText" text="T">
      <formula>NOT(ISERROR(SEARCH("T",BN152)))</formula>
    </cfRule>
  </conditionalFormatting>
  <conditionalFormatting sqref="BN168:BN174">
    <cfRule type="containsText" dxfId="196" priority="121" operator="containsText" text="17">
      <formula>NOT(ISERROR(SEARCH("17",BN168)))</formula>
    </cfRule>
    <cfRule type="containsText" dxfId="195" priority="122" operator="containsText" text="T">
      <formula>NOT(ISERROR(SEARCH("T",BN168)))</formula>
    </cfRule>
  </conditionalFormatting>
  <conditionalFormatting sqref="BN152:BO158 BR152:BT158">
    <cfRule type="containsText" dxfId="194" priority="192" operator="containsText" text="17">
      <formula>NOT(ISERROR(SEARCH("17",BN152)))</formula>
    </cfRule>
  </conditionalFormatting>
  <conditionalFormatting sqref="BN67:BP68 BJ67:BK68">
    <cfRule type="containsText" dxfId="193" priority="242" operator="containsText" text="17">
      <formula>NOT(ISERROR(SEARCH("17",BJ67)))</formula>
    </cfRule>
  </conditionalFormatting>
  <conditionalFormatting sqref="BN67:BP68">
    <cfRule type="containsText" dxfId="192" priority="241" operator="containsText" text="T">
      <formula>NOT(ISERROR(SEARCH("T",BN67)))</formula>
    </cfRule>
  </conditionalFormatting>
  <conditionalFormatting sqref="BN175:BT181">
    <cfRule type="containsText" dxfId="191" priority="99" operator="containsText" text="17">
      <formula>NOT(ISERROR(SEARCH("17",BN175)))</formula>
    </cfRule>
    <cfRule type="containsText" dxfId="190" priority="100" operator="containsText" text="T">
      <formula>NOT(ISERROR(SEARCH("T",BN175)))</formula>
    </cfRule>
  </conditionalFormatting>
  <conditionalFormatting sqref="BN192:BW199 BM193:BN215 BP193:BU215 BN200:BO206 BQ200:BV206">
    <cfRule type="containsText" dxfId="189" priority="853" operator="containsText" text="T">
      <formula>NOT(ISERROR(SEARCH("T",BM192)))</formula>
    </cfRule>
  </conditionalFormatting>
  <conditionalFormatting sqref="BN107:CJ109">
    <cfRule type="containsText" dxfId="188" priority="928" operator="containsText" text="17">
      <formula>NOT(ISERROR(SEARCH("17",BN107)))</formula>
    </cfRule>
  </conditionalFormatting>
  <conditionalFormatting sqref="BN111:CJ112 BM113:CJ115 CJ116">
    <cfRule type="containsText" dxfId="187" priority="922" operator="containsText" text="17">
      <formula>NOT(ISERROR(SEARCH("17",BM111)))</formula>
    </cfRule>
  </conditionalFormatting>
  <conditionalFormatting sqref="BO152:BO158">
    <cfRule type="containsText" dxfId="186" priority="193" operator="containsText" text="T">
      <formula>NOT(ISERROR(SEARCH("T",BO152)))</formula>
    </cfRule>
  </conditionalFormatting>
  <conditionalFormatting sqref="BO159:BO165 BS159:BU165">
    <cfRule type="containsText" dxfId="185" priority="181" operator="containsText" text="T">
      <formula>NOT(ISERROR(SEARCH("T",BO159)))</formula>
    </cfRule>
  </conditionalFormatting>
  <conditionalFormatting sqref="BO175:BO181">
    <cfRule type="containsText" dxfId="184" priority="97" operator="containsText" text="17">
      <formula>NOT(ISERROR(SEARCH("17",BO175)))</formula>
    </cfRule>
    <cfRule type="containsText" dxfId="183" priority="98" operator="containsText" text="T">
      <formula>NOT(ISERROR(SEARCH("T",BO175)))</formula>
    </cfRule>
  </conditionalFormatting>
  <conditionalFormatting sqref="BO214:BO216">
    <cfRule type="containsText" dxfId="182" priority="5819" operator="containsText" text="17">
      <formula>NOT(ISERROR(SEARCH("17",BO214)))</formula>
    </cfRule>
    <cfRule type="containsText" dxfId="181" priority="5820" operator="containsText" text="T">
      <formula>NOT(ISERROR(SEARCH("T",BO214)))</formula>
    </cfRule>
  </conditionalFormatting>
  <conditionalFormatting sqref="BO214:BO223 BL224:BP230">
    <cfRule type="containsText" dxfId="180" priority="5554" operator="containsText" text="T">
      <formula>NOT(ISERROR(SEARCH("T",BL214)))</formula>
    </cfRule>
  </conditionalFormatting>
  <conditionalFormatting sqref="BO159:BP165 BS159:BU165">
    <cfRule type="containsText" dxfId="179" priority="182" operator="containsText" text="17">
      <formula>NOT(ISERROR(SEARCH("17",BO159)))</formula>
    </cfRule>
  </conditionalFormatting>
  <conditionalFormatting sqref="BO182:BU188">
    <cfRule type="containsText" dxfId="178" priority="75" operator="containsText" text="17">
      <formula>NOT(ISERROR(SEARCH("17",BO182)))</formula>
    </cfRule>
    <cfRule type="containsText" dxfId="177" priority="76" operator="containsText" text="T">
      <formula>NOT(ISERROR(SEARCH("T",BO182)))</formula>
    </cfRule>
  </conditionalFormatting>
  <conditionalFormatting sqref="BO118:CA120">
    <cfRule type="containsText" dxfId="176" priority="917" operator="containsText" text="17">
      <formula>NOT(ISERROR(SEARCH("17",BO118)))</formula>
    </cfRule>
  </conditionalFormatting>
  <conditionalFormatting sqref="BO73:CK75 BN76:CK77 CK78">
    <cfRule type="containsText" dxfId="175" priority="956" operator="containsText" text="17">
      <formula>NOT(ISERROR(SEARCH("17",BN73)))</formula>
    </cfRule>
  </conditionalFormatting>
  <conditionalFormatting sqref="BP159:BP165">
    <cfRule type="containsText" dxfId="174" priority="183" operator="containsText" text="T">
      <formula>NOT(ISERROR(SEARCH("T",BP159)))</formula>
    </cfRule>
  </conditionalFormatting>
  <conditionalFormatting sqref="BP182:BP188">
    <cfRule type="containsText" dxfId="173" priority="73" operator="containsText" text="17">
      <formula>NOT(ISERROR(SEARCH("17",BP182)))</formula>
    </cfRule>
    <cfRule type="containsText" dxfId="172" priority="74" operator="containsText" text="T">
      <formula>NOT(ISERROR(SEARCH("T",BP182)))</formula>
    </cfRule>
  </conditionalFormatting>
  <conditionalFormatting sqref="BP192:BP199 BO193:BO215 BP194:BT194 BM195:BS195 BO196:BT198">
    <cfRule type="containsText" dxfId="171" priority="855" operator="containsText" text="T">
      <formula>NOT(ISERROR(SEARCH("T",BM192)))</formula>
    </cfRule>
  </conditionalFormatting>
  <conditionalFormatting sqref="BP200:BP213">
    <cfRule type="containsText" dxfId="170" priority="168" operator="containsText" text="T">
      <formula>NOT(ISERROR(SEARCH("T",BP200)))</formula>
    </cfRule>
  </conditionalFormatting>
  <conditionalFormatting sqref="BP217:BP223 BQ224:BQ230 BR217:BU223">
    <cfRule type="containsText" dxfId="169" priority="5563" operator="containsText" text="17">
      <formula>NOT(ISERROR(SEARCH("17",BP217)))</formula>
    </cfRule>
  </conditionalFormatting>
  <conditionalFormatting sqref="BP217:BP223 BR217:BU223 BQ224:BQ230">
    <cfRule type="containsText" dxfId="168" priority="5564" operator="containsText" text="T">
      <formula>NOT(ISERROR(SEARCH("T",BP217)))</formula>
    </cfRule>
  </conditionalFormatting>
  <conditionalFormatting sqref="BP207:BQ213">
    <cfRule type="containsText" dxfId="167" priority="172" operator="containsText" text="17">
      <formula>NOT(ISERROR(SEARCH("17",BP207)))</formula>
    </cfRule>
  </conditionalFormatting>
  <conditionalFormatting sqref="BP194:BT194 BM195:BS195 BO196:BT198">
    <cfRule type="containsText" dxfId="166" priority="854" operator="containsText" text="17">
      <formula>NOT(ISERROR(SEARCH("17",BM194)))</formula>
    </cfRule>
  </conditionalFormatting>
  <conditionalFormatting sqref="BP14:BV14">
    <cfRule type="containsText" dxfId="165" priority="66" operator="containsText" text="17">
      <formula>NOT(ISERROR(SEARCH("17",BP14)))</formula>
    </cfRule>
    <cfRule type="containsText" dxfId="164" priority="67" operator="containsText" text="T">
      <formula>NOT(ISERROR(SEARCH("T",BP14)))</formula>
    </cfRule>
  </conditionalFormatting>
  <conditionalFormatting sqref="BP189:BV190">
    <cfRule type="containsText" dxfId="163" priority="859" operator="containsText" text="T">
      <formula>NOT(ISERROR(SEARCH("T",BP189)))</formula>
    </cfRule>
  </conditionalFormatting>
  <conditionalFormatting sqref="BP80:CB82">
    <cfRule type="containsText" dxfId="162" priority="951" operator="containsText" text="17">
      <formula>NOT(ISERROR(SEARCH("17",BP80)))</formula>
    </cfRule>
  </conditionalFormatting>
  <conditionalFormatting sqref="BP106:CB109">
    <cfRule type="containsText" dxfId="161" priority="929" operator="containsText" text="17">
      <formula>NOT(ISERROR(SEARCH("17",BP106)))</formula>
    </cfRule>
  </conditionalFormatting>
  <conditionalFormatting sqref="BP112:CB115">
    <cfRule type="containsText" dxfId="160" priority="923" operator="containsText" text="17">
      <formula>NOT(ISERROR(SEARCH("17",BP112)))</formula>
    </cfRule>
  </conditionalFormatting>
  <conditionalFormatting sqref="BQ14">
    <cfRule type="containsText" dxfId="159" priority="62" operator="containsText" text="17">
      <formula>NOT(ISERROR(SEARCH("17",BQ14)))</formula>
    </cfRule>
    <cfRule type="containsText" dxfId="158" priority="63" operator="containsText" text="T">
      <formula>NOT(ISERROR(SEARCH("T",BQ14)))</formula>
    </cfRule>
  </conditionalFormatting>
  <conditionalFormatting sqref="BQ192:BQ206">
    <cfRule type="containsText" dxfId="157" priority="151" operator="containsText" text="T">
      <formula>NOT(ISERROR(SEARCH("T",BQ192)))</formula>
    </cfRule>
  </conditionalFormatting>
  <conditionalFormatting sqref="BQ207:BQ213">
    <cfRule type="containsText" dxfId="156" priority="173" operator="containsText" text="T">
      <formula>NOT(ISERROR(SEARCH("T",BQ207)))</formula>
    </cfRule>
  </conditionalFormatting>
  <conditionalFormatting sqref="BQ214:BQ223">
    <cfRule type="containsText" dxfId="155" priority="5547" operator="containsText" text="17">
      <formula>NOT(ISERROR(SEARCH("17",BQ214)))</formula>
    </cfRule>
    <cfRule type="containsText" dxfId="154" priority="5548" operator="containsText" text="T">
      <formula>NOT(ISERROR(SEARCH("T",BQ214)))</formula>
    </cfRule>
  </conditionalFormatting>
  <conditionalFormatting sqref="BQ200:BR206">
    <cfRule type="containsText" dxfId="153" priority="160" operator="containsText" text="17">
      <formula>NOT(ISERROR(SEARCH("17",BQ200)))</formula>
    </cfRule>
  </conditionalFormatting>
  <conditionalFormatting sqref="BQ214:BU216">
    <cfRule type="containsText" dxfId="152" priority="5775" operator="containsText" text="17">
      <formula>NOT(ISERROR(SEARCH("17",BQ214)))</formula>
    </cfRule>
    <cfRule type="containsText" dxfId="151" priority="5776" operator="containsText" text="T">
      <formula>NOT(ISERROR(SEARCH("T",BQ214)))</formula>
    </cfRule>
  </conditionalFormatting>
  <conditionalFormatting sqref="BQ34:BW34">
    <cfRule type="containsText" dxfId="150" priority="54" operator="containsText" text="17">
      <formula>NOT(ISERROR(SEARCH("17",BQ34)))</formula>
    </cfRule>
    <cfRule type="containsText" dxfId="149" priority="55" operator="containsText" text="T">
      <formula>NOT(ISERROR(SEARCH("T",BQ34)))</formula>
    </cfRule>
  </conditionalFormatting>
  <conditionalFormatting sqref="BQ100:CB102 BP103:CB103">
    <cfRule type="containsText" dxfId="148" priority="934" operator="containsText" text="17">
      <formula>NOT(ISERROR(SEARCH("17",BP100)))</formula>
    </cfRule>
  </conditionalFormatting>
  <conditionalFormatting sqref="BR34">
    <cfRule type="containsText" dxfId="147" priority="50" operator="containsText" text="17">
      <formula>NOT(ISERROR(SEARCH("17",BR34)))</formula>
    </cfRule>
    <cfRule type="containsText" dxfId="146" priority="51" operator="containsText" text="T">
      <formula>NOT(ISERROR(SEARCH("T",BR34)))</formula>
    </cfRule>
  </conditionalFormatting>
  <conditionalFormatting sqref="BR192:BR199">
    <cfRule type="containsText" dxfId="145" priority="142" operator="containsText" text="T">
      <formula>NOT(ISERROR(SEARCH("T",BR192)))</formula>
    </cfRule>
  </conditionalFormatting>
  <conditionalFormatting sqref="BR200:BR206">
    <cfRule type="containsText" dxfId="144" priority="161" operator="containsText" text="T">
      <formula>NOT(ISERROR(SEARCH("T",BR200)))</formula>
    </cfRule>
  </conditionalFormatting>
  <conditionalFormatting sqref="BR50:BS50 BU50:BY50">
    <cfRule type="containsText" dxfId="143" priority="969" operator="containsText" text="17">
      <formula>NOT(ISERROR(SEARCH("17",BR50)))</formula>
    </cfRule>
    <cfRule type="containsText" dxfId="142" priority="970" operator="containsText" text="T">
      <formula>NOT(ISERROR(SEARCH("T",BR50)))</formula>
    </cfRule>
  </conditionalFormatting>
  <conditionalFormatting sqref="BR192:BS199">
    <cfRule type="containsText" dxfId="141" priority="143" operator="containsText" text="17">
      <formula>NOT(ISERROR(SEARCH("17",BR192)))</formula>
    </cfRule>
  </conditionalFormatting>
  <conditionalFormatting sqref="BR214:BV216">
    <cfRule type="containsText" dxfId="140" priority="5781" operator="containsText" text="17">
      <formula>NOT(ISERROR(SEARCH("17",BR214)))</formula>
    </cfRule>
    <cfRule type="containsText" dxfId="139" priority="5782" operator="containsText" text="T">
      <formula>NOT(ISERROR(SEARCH("T",BR214)))</formula>
    </cfRule>
  </conditionalFormatting>
  <conditionalFormatting sqref="BR217:BV230">
    <cfRule type="containsText" dxfId="138" priority="5245" operator="containsText" text="17">
      <formula>NOT(ISERROR(SEARCH("17",BR217)))</formula>
    </cfRule>
    <cfRule type="containsText" dxfId="137" priority="5246" operator="containsText" text="T">
      <formula>NOT(ISERROR(SEARCH("T",BR217)))</formula>
    </cfRule>
  </conditionalFormatting>
  <conditionalFormatting sqref="BR21:BX21">
    <cfRule type="containsText" dxfId="136" priority="42" operator="containsText" text="17">
      <formula>NOT(ISERROR(SEARCH("17",BR21)))</formula>
    </cfRule>
    <cfRule type="containsText" dxfId="135" priority="43" operator="containsText" text="T">
      <formula>NOT(ISERROR(SEARCH("T",BR21)))</formula>
    </cfRule>
  </conditionalFormatting>
  <conditionalFormatting sqref="BR68:CD71 BQ74:CC77">
    <cfRule type="containsText" dxfId="134" priority="957" operator="containsText" text="17">
      <formula>NOT(ISERROR(SEARCH("17",BQ68)))</formula>
    </cfRule>
  </conditionalFormatting>
  <conditionalFormatting sqref="BS21">
    <cfRule type="containsText" dxfId="133" priority="38" operator="containsText" text="17">
      <formula>NOT(ISERROR(SEARCH("17",BS21)))</formula>
    </cfRule>
    <cfRule type="containsText" dxfId="132" priority="39" operator="containsText" text="T">
      <formula>NOT(ISERROR(SEARCH("T",BS21)))</formula>
    </cfRule>
  </conditionalFormatting>
  <conditionalFormatting sqref="BS127 BC199 BB206">
    <cfRule type="containsText" dxfId="131" priority="2081" operator="containsText" text="T">
      <formula>NOT(ISERROR(SEARCH("T",BB127)))</formula>
    </cfRule>
  </conditionalFormatting>
  <conditionalFormatting sqref="BS127 BC199:BR199 BB206:BQ206">
    <cfRule type="containsText" dxfId="130" priority="4986" operator="containsText" text="T">
      <formula>NOT(ISERROR(SEARCH("T",BB127)))</formula>
    </cfRule>
  </conditionalFormatting>
  <conditionalFormatting sqref="BS168:BS181">
    <cfRule type="containsText" dxfId="129" priority="103" operator="containsText" text="T">
      <formula>NOT(ISERROR(SEARCH("T",BS168)))</formula>
    </cfRule>
  </conditionalFormatting>
  <conditionalFormatting sqref="BS192:BS199">
    <cfRule type="containsText" dxfId="128" priority="144" operator="containsText" text="T">
      <formula>NOT(ISERROR(SEARCH("T",BS192)))</formula>
    </cfRule>
  </conditionalFormatting>
  <conditionalFormatting sqref="BS168:BT174">
    <cfRule type="containsText" dxfId="127" priority="119" operator="containsText" text="17">
      <formula>NOT(ISERROR(SEARCH("17",BS168)))</formula>
    </cfRule>
  </conditionalFormatting>
  <conditionalFormatting sqref="BS199:BT199 BR206:BS206">
    <cfRule type="containsText" dxfId="126" priority="2084" operator="containsText" text="17">
      <formula>NOT(ISERROR(SEARCH("17",BR199)))</formula>
    </cfRule>
    <cfRule type="containsText" dxfId="125" priority="2085" operator="containsText" text="T">
      <formula>NOT(ISERROR(SEARCH("T",BR199)))</formula>
    </cfRule>
  </conditionalFormatting>
  <conditionalFormatting sqref="BS41:BY41">
    <cfRule type="containsText" dxfId="124" priority="30" operator="containsText" text="17">
      <formula>NOT(ISERROR(SEARCH("17",BS41)))</formula>
    </cfRule>
    <cfRule type="containsText" dxfId="123" priority="31" operator="containsText" text="T">
      <formula>NOT(ISERROR(SEARCH("T",BS41)))</formula>
    </cfRule>
  </conditionalFormatting>
  <conditionalFormatting sqref="BT41">
    <cfRule type="containsText" dxfId="122" priority="26" operator="containsText" text="17">
      <formula>NOT(ISERROR(SEARCH("17",BT41)))</formula>
    </cfRule>
    <cfRule type="containsText" dxfId="121" priority="27" operator="containsText" text="T">
      <formula>NOT(ISERROR(SEARCH("T",BT41)))</formula>
    </cfRule>
  </conditionalFormatting>
  <conditionalFormatting sqref="BT50:BT52 BZ50:BZ52 BU51:BY52">
    <cfRule type="containsText" dxfId="120" priority="8494" operator="containsText" text="17">
      <formula>NOT(ISERROR(SEARCH("17",BT50)))</formula>
    </cfRule>
    <cfRule type="containsText" dxfId="119" priority="8495" operator="containsText" text="T">
      <formula>NOT(ISERROR(SEARCH("T",BT50)))</formula>
    </cfRule>
  </conditionalFormatting>
  <conditionalFormatting sqref="BT145:BT148">
    <cfRule type="containsText" dxfId="118" priority="1524" operator="containsText" text="17">
      <formula>NOT(ISERROR(SEARCH("17",BT145)))</formula>
    </cfRule>
    <cfRule type="containsText" dxfId="117" priority="1525" operator="containsText" text="T">
      <formula>NOT(ISERROR(SEARCH("T",BT145)))</formula>
    </cfRule>
    <cfRule type="containsText" dxfId="116" priority="8469" operator="containsText" text="T">
      <formula>NOT(ISERROR(SEARCH("T",BT145)))</formula>
    </cfRule>
  </conditionalFormatting>
  <conditionalFormatting sqref="BT168:BT174">
    <cfRule type="containsText" dxfId="115" priority="120" operator="containsText" text="T">
      <formula>NOT(ISERROR(SEARCH("T",BT168)))</formula>
    </cfRule>
  </conditionalFormatting>
  <conditionalFormatting sqref="BT175:BT188">
    <cfRule type="containsText" dxfId="114" priority="79" operator="containsText" text="T">
      <formula>NOT(ISERROR(SEARCH("T",BT175)))</formula>
    </cfRule>
  </conditionalFormatting>
  <conditionalFormatting sqref="BT175:BU181">
    <cfRule type="containsText" dxfId="113" priority="95" operator="containsText" text="17">
      <formula>NOT(ISERROR(SEARCH("17",BT175)))</formula>
    </cfRule>
  </conditionalFormatting>
  <conditionalFormatting sqref="BT139:CQ144">
    <cfRule type="containsText" dxfId="112" priority="900" operator="containsText" text="17">
      <formula>NOT(ISERROR(SEARCH("17",BT139)))</formula>
    </cfRule>
    <cfRule type="containsText" dxfId="111" priority="903" operator="containsText" text="T">
      <formula>NOT(ISERROR(SEARCH("T",BT139)))</formula>
    </cfRule>
  </conditionalFormatting>
  <conditionalFormatting sqref="BU175:BU181">
    <cfRule type="containsText" dxfId="110" priority="96" operator="containsText" text="T">
      <formula>NOT(ISERROR(SEARCH("T",BU175)))</formula>
    </cfRule>
  </conditionalFormatting>
  <conditionalFormatting sqref="BU182:BU188">
    <cfRule type="containsText" dxfId="109" priority="70" operator="containsText" text="T">
      <formula>NOT(ISERROR(SEARCH("T",BU182)))</formula>
    </cfRule>
  </conditionalFormatting>
  <conditionalFormatting sqref="BU200:BU202 AX210:AX211">
    <cfRule type="containsText" dxfId="108" priority="8455" operator="containsText" text="T">
      <formula>NOT(ISERROR(SEARCH("T",AX200)))</formula>
    </cfRule>
  </conditionalFormatting>
  <conditionalFormatting sqref="BU200:BU202 AY190 AX191:BH191 BK191 BO191:BS191">
    <cfRule type="containsText" dxfId="107" priority="8448" operator="containsText" text="17">
      <formula>NOT(ISERROR(SEARCH("17",AX190)))</formula>
    </cfRule>
  </conditionalFormatting>
  <conditionalFormatting sqref="BU182:BV188">
    <cfRule type="containsText" dxfId="106" priority="71" operator="containsText" text="17">
      <formula>NOT(ISERROR(SEARCH("17",BU182)))</formula>
    </cfRule>
  </conditionalFormatting>
  <conditionalFormatting sqref="BU200:BW206">
    <cfRule type="containsText" dxfId="105" priority="166" operator="containsText" text="17">
      <formula>NOT(ISERROR(SEARCH("17",BU200)))</formula>
    </cfRule>
  </conditionalFormatting>
  <conditionalFormatting sqref="BU153:CQ158">
    <cfRule type="containsText" dxfId="104" priority="887" operator="containsText" text="17">
      <formula>NOT(ISERROR(SEARCH("17",BU153)))</formula>
    </cfRule>
    <cfRule type="containsText" dxfId="103" priority="890" operator="containsText" text="T">
      <formula>NOT(ISERROR(SEARCH("T",BU153)))</formula>
    </cfRule>
  </conditionalFormatting>
  <conditionalFormatting sqref="BU146:CR151 BV160:CQ165">
    <cfRule type="containsText" dxfId="102" priority="8302" operator="containsText" text="17">
      <formula>NOT(ISERROR(SEARCH("17",BU146)))</formula>
    </cfRule>
  </conditionalFormatting>
  <conditionalFormatting sqref="BU146:CR151">
    <cfRule type="containsText" dxfId="101" priority="899" operator="containsText" text="T">
      <formula>NOT(ISERROR(SEARCH("T",BU146)))</formula>
    </cfRule>
  </conditionalFormatting>
  <conditionalFormatting sqref="BV14 BZ14:CB14 BE15:BY20 CB15:CB20">
    <cfRule type="containsText" dxfId="100" priority="59" operator="containsText" text="T">
      <formula>NOT(ISERROR(SEARCH("T",BE14)))</formula>
    </cfRule>
  </conditionalFormatting>
  <conditionalFormatting sqref="BV182:BV188">
    <cfRule type="containsText" dxfId="99" priority="72" operator="containsText" text="T">
      <formula>NOT(ISERROR(SEARCH("T",BV182)))</formula>
    </cfRule>
  </conditionalFormatting>
  <conditionalFormatting sqref="BV192:BV199">
    <cfRule type="containsText" dxfId="98" priority="152" operator="containsText" text="17">
      <formula>NOT(ISERROR(SEARCH("17",BV192)))</formula>
    </cfRule>
    <cfRule type="containsText" dxfId="97" priority="153" operator="containsText" text="T">
      <formula>NOT(ISERROR(SEARCH("T",BV192)))</formula>
    </cfRule>
    <cfRule type="containsText" dxfId="96" priority="154" operator="containsText" text="17">
      <formula>NOT(ISERROR(SEARCH("17",BV192)))</formula>
    </cfRule>
    <cfRule type="containsText" dxfId="95" priority="155" operator="containsText" text="T">
      <formula>NOT(ISERROR(SEARCH("T",BV192)))</formula>
    </cfRule>
    <cfRule type="containsText" dxfId="94" priority="156" operator="containsText" text="17">
      <formula>NOT(ISERROR(SEARCH("17",BV192)))</formula>
    </cfRule>
  </conditionalFormatting>
  <conditionalFormatting sqref="BV199 BU206">
    <cfRule type="containsText" dxfId="93" priority="2082" operator="containsText" text="17">
      <formula>NOT(ISERROR(SEARCH("17",BU199)))</formula>
    </cfRule>
    <cfRule type="containsText" dxfId="92" priority="2083" operator="containsText" text="T">
      <formula>NOT(ISERROR(SEARCH("T",BU199)))</formula>
    </cfRule>
  </conditionalFormatting>
  <conditionalFormatting sqref="BV214:BV216">
    <cfRule type="containsText" dxfId="91" priority="5783" operator="containsText" text="17">
      <formula>NOT(ISERROR(SEARCH("17",BV214)))</formula>
    </cfRule>
    <cfRule type="containsText" dxfId="90" priority="5784" operator="containsText" text="T">
      <formula>NOT(ISERROR(SEARCH("T",BV214)))</formula>
    </cfRule>
  </conditionalFormatting>
  <conditionalFormatting sqref="BV14:BW14 BZ14:CB14 CB15:CB20">
    <cfRule type="containsText" dxfId="89" priority="60" operator="containsText" text="17">
      <formula>NOT(ISERROR(SEARCH("17",BV14)))</formula>
    </cfRule>
  </conditionalFormatting>
  <conditionalFormatting sqref="BV84:BW84 BX84:CD89">
    <cfRule type="containsText" dxfId="88" priority="947" operator="containsText" text="T">
      <formula>NOT(ISERROR(SEARCH("T",BV84)))</formula>
    </cfRule>
  </conditionalFormatting>
  <conditionalFormatting sqref="BV84:BW84">
    <cfRule type="containsText" dxfId="87" priority="946" operator="containsText" text="17">
      <formula>NOT(ISERROR(SEARCH("17",BV84)))</formula>
    </cfRule>
  </conditionalFormatting>
  <conditionalFormatting sqref="BV192:BX199">
    <cfRule type="containsText" dxfId="86" priority="149" operator="containsText" text="17">
      <formula>NOT(ISERROR(SEARCH("17",BV192)))</formula>
    </cfRule>
    <cfRule type="containsText" dxfId="85" priority="150" operator="containsText" text="T">
      <formula>NOT(ISERROR(SEARCH("T",BV192)))</formula>
    </cfRule>
  </conditionalFormatting>
  <conditionalFormatting sqref="BV133:CH137">
    <cfRule type="containsText" dxfId="84" priority="906" operator="containsText" text="17">
      <formula>NOT(ISERROR(SEARCH("17",BV133)))</formula>
    </cfRule>
  </conditionalFormatting>
  <conditionalFormatting sqref="BV160:CQ165">
    <cfRule type="containsText" dxfId="83" priority="886" operator="containsText" text="T">
      <formula>NOT(ISERROR(SEARCH("T",BV160)))</formula>
    </cfRule>
  </conditionalFormatting>
  <conditionalFormatting sqref="BW14">
    <cfRule type="containsText" dxfId="82" priority="61" operator="containsText" text="T">
      <formula>NOT(ISERROR(SEARCH("T",BW14)))</formula>
    </cfRule>
  </conditionalFormatting>
  <conditionalFormatting sqref="BW34 CA34:CC34 BF35:BZ40 CC35:CC40">
    <cfRule type="containsText" dxfId="81" priority="47" operator="containsText" text="T">
      <formula>NOT(ISERROR(SEARCH("T",BF34)))</formula>
    </cfRule>
  </conditionalFormatting>
  <conditionalFormatting sqref="BW168:BW174">
    <cfRule type="containsText" dxfId="80" priority="134" operator="containsText" text="17">
      <formula>NOT(ISERROR(SEARCH("17",BW168)))</formula>
    </cfRule>
    <cfRule type="containsText" dxfId="79" priority="135" operator="containsText" text="T">
      <formula>NOT(ISERROR(SEARCH("T",BW168)))</formula>
    </cfRule>
    <cfRule type="containsText" dxfId="78" priority="136" operator="containsText" text="17">
      <formula>NOT(ISERROR(SEARCH("17",BW168)))</formula>
    </cfRule>
    <cfRule type="containsText" dxfId="77" priority="137" operator="containsText" text="T">
      <formula>NOT(ISERROR(SEARCH("T",BW168)))</formula>
    </cfRule>
    <cfRule type="containsText" dxfId="76" priority="138" operator="containsText" text="17">
      <formula>NOT(ISERROR(SEARCH("17",BW168)))</formula>
    </cfRule>
    <cfRule type="containsText" dxfId="75" priority="139" operator="containsText" text="T">
      <formula>NOT(ISERROR(SEARCH("T",BW168)))</formula>
    </cfRule>
  </conditionalFormatting>
  <conditionalFormatting sqref="BW34:BX34 CA34:CC34 CC35:CC40">
    <cfRule type="containsText" dxfId="74" priority="48" operator="containsText" text="17">
      <formula>NOT(ISERROR(SEARCH("17",BW34)))</formula>
    </cfRule>
  </conditionalFormatting>
  <conditionalFormatting sqref="BW168:BY174">
    <cfRule type="containsText" dxfId="73" priority="125" operator="containsText" text="17">
      <formula>NOT(ISERROR(SEARCH("17",BW168)))</formula>
    </cfRule>
  </conditionalFormatting>
  <conditionalFormatting sqref="BW160:CG165">
    <cfRule type="containsText" dxfId="72" priority="884" operator="containsText" text="17">
      <formula>NOT(ISERROR(SEARCH("17",BW160)))</formula>
    </cfRule>
  </conditionalFormatting>
  <conditionalFormatting sqref="BW140:CI144">
    <cfRule type="containsText" dxfId="71" priority="901" operator="containsText" text="17">
      <formula>NOT(ISERROR(SEARCH("17",BW140)))</formula>
    </cfRule>
  </conditionalFormatting>
  <conditionalFormatting sqref="BW154:CI158">
    <cfRule type="containsText" dxfId="70" priority="888" operator="containsText" text="17">
      <formula>NOT(ISERROR(SEARCH("17",BW154)))</formula>
    </cfRule>
  </conditionalFormatting>
  <conditionalFormatting sqref="BW161:CI165">
    <cfRule type="containsText" dxfId="69" priority="881" operator="containsText" text="17">
      <formula>NOT(ISERROR(SEARCH("17",BW161)))</formula>
    </cfRule>
  </conditionalFormatting>
  <conditionalFormatting sqref="BX21 CB21:CD21 BG22:CA27 CD22:CD27">
    <cfRule type="containsText" dxfId="68" priority="35" operator="containsText" text="T">
      <formula>NOT(ISERROR(SEARCH("T",BG21)))</formula>
    </cfRule>
  </conditionalFormatting>
  <conditionalFormatting sqref="BX34">
    <cfRule type="containsText" dxfId="67" priority="49" operator="containsText" text="T">
      <formula>NOT(ISERROR(SEARCH("T",BX34)))</formula>
    </cfRule>
  </conditionalFormatting>
  <conditionalFormatting sqref="BX175:BX181">
    <cfRule type="containsText" dxfId="66" priority="110" operator="containsText" text="17">
      <formula>NOT(ISERROR(SEARCH("17",BX175)))</formula>
    </cfRule>
    <cfRule type="containsText" dxfId="65" priority="111" operator="containsText" text="T">
      <formula>NOT(ISERROR(SEARCH("T",BX175)))</formula>
    </cfRule>
    <cfRule type="containsText" dxfId="64" priority="112" operator="containsText" text="17">
      <formula>NOT(ISERROR(SEARCH("17",BX175)))</formula>
    </cfRule>
    <cfRule type="containsText" dxfId="63" priority="113" operator="containsText" text="T">
      <formula>NOT(ISERROR(SEARCH("T",BX175)))</formula>
    </cfRule>
    <cfRule type="containsText" dxfId="62" priority="114" operator="containsText" text="17">
      <formula>NOT(ISERROR(SEARCH("17",BX175)))</formula>
    </cfRule>
    <cfRule type="containsText" dxfId="61" priority="115" operator="containsText" text="T">
      <formula>NOT(ISERROR(SEARCH("T",BX175)))</formula>
    </cfRule>
  </conditionalFormatting>
  <conditionalFormatting sqref="BX21:BY21 CB21:CD21 CD22:CD27">
    <cfRule type="containsText" dxfId="60" priority="36" operator="containsText" text="17">
      <formula>NOT(ISERROR(SEARCH("17",BX21)))</formula>
    </cfRule>
  </conditionalFormatting>
  <conditionalFormatting sqref="BX91:BY91 BZ91:CF96">
    <cfRule type="containsText" dxfId="59" priority="940" operator="containsText" text="17">
      <formula>NOT(ISERROR(SEARCH("17",BX91)))</formula>
    </cfRule>
    <cfRule type="containsText" dxfId="58" priority="941" operator="containsText" text="T">
      <formula>NOT(ISERROR(SEARCH("T",BX91)))</formula>
    </cfRule>
  </conditionalFormatting>
  <conditionalFormatting sqref="BX175:BZ181">
    <cfRule type="containsText" dxfId="57" priority="101" operator="containsText" text="17">
      <formula>NOT(ISERROR(SEARCH("17",BX175)))</formula>
    </cfRule>
  </conditionalFormatting>
  <conditionalFormatting sqref="BX146:CH151">
    <cfRule type="containsText" dxfId="56" priority="897" operator="containsText" text="17">
      <formula>NOT(ISERROR(SEARCH("17",BX146)))</formula>
    </cfRule>
  </conditionalFormatting>
  <conditionalFormatting sqref="BX147:CJ151">
    <cfRule type="containsText" dxfId="55" priority="894" operator="containsText" text="17">
      <formula>NOT(ISERROR(SEARCH("17",BX147)))</formula>
    </cfRule>
  </conditionalFormatting>
  <conditionalFormatting sqref="BY21">
    <cfRule type="containsText" dxfId="54" priority="37" operator="containsText" text="T">
      <formula>NOT(ISERROR(SEARCH("T",BY21)))</formula>
    </cfRule>
  </conditionalFormatting>
  <conditionalFormatting sqref="BY41 CC41:CE41 BH42:CB47 CE42:CE47">
    <cfRule type="containsText" dxfId="53" priority="23" operator="containsText" text="T">
      <formula>NOT(ISERROR(SEARCH("T",BH41)))</formula>
    </cfRule>
  </conditionalFormatting>
  <conditionalFormatting sqref="BY182:BY188">
    <cfRule type="containsText" dxfId="52" priority="86" operator="containsText" text="17">
      <formula>NOT(ISERROR(SEARCH("17",BY182)))</formula>
    </cfRule>
    <cfRule type="containsText" dxfId="51" priority="87" operator="containsText" text="T">
      <formula>NOT(ISERROR(SEARCH("T",BY182)))</formula>
    </cfRule>
    <cfRule type="containsText" dxfId="50" priority="88" operator="containsText" text="17">
      <formula>NOT(ISERROR(SEARCH("17",BY182)))</formula>
    </cfRule>
    <cfRule type="containsText" dxfId="49" priority="89" operator="containsText" text="T">
      <formula>NOT(ISERROR(SEARCH("T",BY182)))</formula>
    </cfRule>
    <cfRule type="containsText" dxfId="48" priority="90" operator="containsText" text="17">
      <formula>NOT(ISERROR(SEARCH("17",BY182)))</formula>
    </cfRule>
    <cfRule type="containsText" dxfId="47" priority="91" operator="containsText" text="T">
      <formula>NOT(ISERROR(SEARCH("T",BY182)))</formula>
    </cfRule>
  </conditionalFormatting>
  <conditionalFormatting sqref="BY41:BZ41 CC41:CE41 CE42:CE47">
    <cfRule type="containsText" dxfId="46" priority="24" operator="containsText" text="17">
      <formula>NOT(ISERROR(SEARCH("17",BY41)))</formula>
    </cfRule>
  </conditionalFormatting>
  <conditionalFormatting sqref="BY122:BZ122 CA122:CG126">
    <cfRule type="containsText" dxfId="45" priority="912" operator="containsText" text="17">
      <formula>NOT(ISERROR(SEARCH("17",BY122)))</formula>
    </cfRule>
    <cfRule type="containsText" dxfId="44" priority="913" operator="containsText" text="T">
      <formula>NOT(ISERROR(SEARCH("T",BY122)))</formula>
    </cfRule>
  </conditionalFormatting>
  <conditionalFormatting sqref="BY182:CA188">
    <cfRule type="containsText" dxfId="43" priority="77" operator="containsText" text="17">
      <formula>NOT(ISERROR(SEARCH("17",BY182)))</formula>
    </cfRule>
  </conditionalFormatting>
  <conditionalFormatting sqref="BZ41">
    <cfRule type="containsText" dxfId="42" priority="25" operator="containsText" text="T">
      <formula>NOT(ISERROR(SEARCH("T",BZ41)))</formula>
    </cfRule>
  </conditionalFormatting>
  <conditionalFormatting sqref="BZ117:CA117 CB117:CH120">
    <cfRule type="containsText" dxfId="41" priority="919" operator="containsText" text="T">
      <formula>NOT(ISERROR(SEARCH("T",BZ117)))</formula>
    </cfRule>
  </conditionalFormatting>
  <conditionalFormatting sqref="BZ117:CA117">
    <cfRule type="containsText" dxfId="40" priority="918" operator="containsText" text="17">
      <formula>NOT(ISERROR(SEARCH("17",BZ117)))</formula>
    </cfRule>
  </conditionalFormatting>
  <conditionalFormatting sqref="CA79:CB79 CC79:CH82">
    <cfRule type="containsText" dxfId="39" priority="953" operator="containsText" text="T">
      <formula>NOT(ISERROR(SEARCH("T",CA79)))</formula>
    </cfRule>
  </conditionalFormatting>
  <conditionalFormatting sqref="CA79:CB79">
    <cfRule type="containsText" dxfId="38" priority="952" operator="containsText" text="17">
      <formula>NOT(ISERROR(SEARCH("17",CA79)))</formula>
    </cfRule>
  </conditionalFormatting>
  <conditionalFormatting sqref="CA99:CB99 CC99:CI103">
    <cfRule type="containsText" dxfId="37" priority="935" operator="containsText" text="17">
      <formula>NOT(ISERROR(SEARCH("17",CA99)))</formula>
    </cfRule>
    <cfRule type="containsText" dxfId="36" priority="936" operator="containsText" text="T">
      <formula>NOT(ISERROR(SEARCH("T",CA99)))</formula>
    </cfRule>
  </conditionalFormatting>
  <conditionalFormatting sqref="CA111:CB111 CC111:CI115">
    <cfRule type="containsText" dxfId="35" priority="925" operator="containsText" text="T">
      <formula>NOT(ISERROR(SEARCH("T",CA111)))</formula>
    </cfRule>
  </conditionalFormatting>
  <conditionalFormatting sqref="CA111:CB111">
    <cfRule type="containsText" dxfId="34" priority="924" operator="containsText" text="17">
      <formula>NOT(ISERROR(SEARCH("17",CA111)))</formula>
    </cfRule>
  </conditionalFormatting>
  <conditionalFormatting sqref="CB15:CB20">
    <cfRule type="containsText" dxfId="33" priority="68" operator="containsText" text="T">
      <formula>NOT(ISERROR(SEARCH("T",CB15)))</formula>
    </cfRule>
  </conditionalFormatting>
  <conditionalFormatting sqref="CC35:CC40">
    <cfRule type="containsText" dxfId="32" priority="56" operator="containsText" text="T">
      <formula>NOT(ISERROR(SEARCH("T",CC35)))</formula>
    </cfRule>
  </conditionalFormatting>
  <conditionalFormatting sqref="CC67:CD67 CE67:CK71 CB73:CC73 CD73:CJ77">
    <cfRule type="containsText" dxfId="31" priority="959" operator="containsText" text="T">
      <formula>NOT(ISERROR(SEARCH("T",CB67)))</formula>
    </cfRule>
  </conditionalFormatting>
  <conditionalFormatting sqref="CC67:CD67 CE67:CK71 CB73:CC73">
    <cfRule type="containsText" dxfId="30" priority="958" operator="containsText" text="17">
      <formula>NOT(ISERROR(SEARCH("17",CB67)))</formula>
    </cfRule>
  </conditionalFormatting>
  <conditionalFormatting sqref="CC105:CI109 BQ105:CP105">
    <cfRule type="containsText" dxfId="29" priority="931" operator="containsText" text="T">
      <formula>NOT(ISERROR(SEARCH("T",BQ105)))</formula>
    </cfRule>
  </conditionalFormatting>
  <conditionalFormatting sqref="CD22:CD27">
    <cfRule type="containsText" dxfId="28" priority="44" operator="containsText" text="T">
      <formula>NOT(ISERROR(SEARCH("T",CD22)))</formula>
    </cfRule>
  </conditionalFormatting>
  <conditionalFormatting sqref="CE42:CE47">
    <cfRule type="containsText" dxfId="27" priority="32" operator="containsText" text="T">
      <formula>NOT(ISERROR(SEARCH("T",CE42)))</formula>
    </cfRule>
  </conditionalFormatting>
  <conditionalFormatting sqref="CF28:CF32">
    <cfRule type="containsText" dxfId="26" priority="12" operator="containsText" text="17">
      <formula>NOT(ISERROR(SEARCH("17",CF28)))</formula>
    </cfRule>
  </conditionalFormatting>
  <conditionalFormatting sqref="CF48:CF49">
    <cfRule type="containsText" dxfId="25" priority="7" operator="containsText" text="17">
      <formula>NOT(ISERROR(SEARCH("17",CF48)))</formula>
    </cfRule>
  </conditionalFormatting>
  <conditionalFormatting sqref="CF28:CP32">
    <cfRule type="containsText" dxfId="24" priority="15" operator="containsText" text="T">
      <formula>NOT(ISERROR(SEARCH("T",CF28)))</formula>
    </cfRule>
  </conditionalFormatting>
  <conditionalFormatting sqref="CF41:CP49">
    <cfRule type="containsText" dxfId="23" priority="10" operator="containsText" text="T">
      <formula>NOT(ISERROR(SEARCH("T",CF41)))</formula>
    </cfRule>
  </conditionalFormatting>
  <conditionalFormatting sqref="CG60:CG66">
    <cfRule type="containsText" dxfId="22" priority="2" operator="containsText" text="17">
      <formula>NOT(ISERROR(SEARCH("17",CG60)))</formula>
    </cfRule>
  </conditionalFormatting>
  <conditionalFormatting sqref="CG132:CH132 CI132:CO137">
    <cfRule type="containsText" dxfId="21" priority="907" operator="containsText" text="17">
      <formula>NOT(ISERROR(SEARCH("17",CG132)))</formula>
    </cfRule>
    <cfRule type="containsText" dxfId="20" priority="908" operator="containsText" text="T">
      <formula>NOT(ISERROR(SEARCH("T",CG132)))</formula>
    </cfRule>
  </conditionalFormatting>
  <conditionalFormatting sqref="CG60:CP66">
    <cfRule type="containsText" dxfId="19" priority="5" operator="containsText" text="T">
      <formula>NOT(ISERROR(SEARCH("T",CG60)))</formula>
    </cfRule>
  </conditionalFormatting>
  <conditionalFormatting sqref="CH139:CI139">
    <cfRule type="containsText" dxfId="18" priority="902" operator="containsText" text="17">
      <formula>NOT(ISERROR(SEARCH("17",CH139)))</formula>
    </cfRule>
  </conditionalFormatting>
  <conditionalFormatting sqref="CH153:CI153">
    <cfRule type="containsText" dxfId="17" priority="889" operator="containsText" text="17">
      <formula>NOT(ISERROR(SEARCH("17",CH153)))</formula>
    </cfRule>
  </conditionalFormatting>
  <conditionalFormatting sqref="CH160:CI160 CJ160:CP165">
    <cfRule type="containsText" dxfId="16" priority="882" operator="containsText" text="17">
      <formula>NOT(ISERROR(SEARCH("17",CH160)))</formula>
    </cfRule>
  </conditionalFormatting>
  <conditionalFormatting sqref="CH160:CI160 CK160:CO165">
    <cfRule type="containsText" dxfId="15" priority="883" operator="containsText" text="T">
      <formula>NOT(ISERROR(SEARCH("T",CH160)))</formula>
    </cfRule>
  </conditionalFormatting>
  <conditionalFormatting sqref="CI79:CI84 CF83:CH84">
    <cfRule type="containsText" dxfId="14" priority="955" operator="containsText" text="T">
      <formula>NOT(ISERROR(SEARCH("T",CF79)))</formula>
    </cfRule>
  </conditionalFormatting>
  <conditionalFormatting sqref="CI79:CI84">
    <cfRule type="containsText" dxfId="13" priority="954" operator="containsText" text="17">
      <formula>NOT(ISERROR(SEARCH("17",CI79)))</formula>
    </cfRule>
  </conditionalFormatting>
  <conditionalFormatting sqref="CI121:CI122">
    <cfRule type="containsText" dxfId="12" priority="916" operator="containsText" text="17">
      <formula>NOT(ISERROR(SEARCH("17",CI121)))</formula>
    </cfRule>
  </conditionalFormatting>
  <conditionalFormatting sqref="CI146:CJ146 CK146:CQ151">
    <cfRule type="containsText" dxfId="11" priority="895" operator="containsText" text="17">
      <formula>NOT(ISERROR(SEARCH("17",CI146)))</formula>
    </cfRule>
  </conditionalFormatting>
  <conditionalFormatting sqref="CI146:CJ146 CL146:CP151">
    <cfRule type="containsText" dxfId="10" priority="896" operator="containsText" text="T">
      <formula>NOT(ISERROR(SEARCH("T",CI146)))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376"/>
  <sheetViews>
    <sheetView tabSelected="1" workbookViewId="0">
      <pane xSplit="2" ySplit="1" topLeftCell="C345" activePane="bottomRight" state="frozen"/>
      <selection pane="topRight" activeCell="C1" sqref="C1"/>
      <selection pane="bottomLeft" activeCell="A2" sqref="A2"/>
      <selection pane="bottomRight" activeCell="D369" sqref="D369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2" si="32">I170-A170</f>
        <v>27</v>
      </c>
      <c r="K170" s="81">
        <v>19.52</v>
      </c>
      <c r="L170" s="82">
        <v>9.18</v>
      </c>
      <c r="M170" s="25">
        <f t="shared" ref="M170:M188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/>
      <c r="J183" s="83"/>
      <c r="K183" s="25"/>
      <c r="L183" s="25"/>
      <c r="M183" s="25"/>
      <c r="N183" s="25"/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/>
      <c r="J184" s="83"/>
      <c r="K184" s="25"/>
      <c r="L184" s="25"/>
      <c r="M184" s="25"/>
      <c r="N184" s="25"/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/>
      <c r="J185" s="83"/>
      <c r="K185" s="25"/>
      <c r="L185" s="25"/>
      <c r="M185" s="25"/>
      <c r="N185" s="25"/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/>
      <c r="J186" s="83"/>
      <c r="K186" s="25"/>
      <c r="L186" s="25"/>
      <c r="M186" s="25"/>
      <c r="N186" s="25"/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/>
      <c r="J189" s="78"/>
      <c r="K189" s="25"/>
      <c r="L189" s="25"/>
      <c r="M189" s="25"/>
      <c r="N189" s="25"/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/>
      <c r="J190" s="78"/>
      <c r="K190" s="25"/>
      <c r="L190" s="25"/>
      <c r="M190" s="25"/>
      <c r="N190" s="25"/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/>
      <c r="J191" s="78"/>
      <c r="K191" s="25"/>
      <c r="L191" s="25"/>
      <c r="M191" s="25"/>
      <c r="N191" s="25"/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/>
      <c r="J192" s="78"/>
      <c r="K192" s="25"/>
      <c r="L192" s="25"/>
      <c r="M192" s="25"/>
      <c r="N192" s="25"/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/>
      <c r="J193" s="78"/>
      <c r="K193" s="25"/>
      <c r="L193" s="25"/>
      <c r="M193" s="25"/>
      <c r="N193" s="25"/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/>
      <c r="J194" s="78"/>
      <c r="K194" s="25"/>
      <c r="L194" s="25"/>
      <c r="M194" s="25"/>
      <c r="N194" s="25"/>
    </row>
    <row r="195" spans="1:14" x14ac:dyDescent="0.25">
      <c r="A195" s="77">
        <v>45989</v>
      </c>
      <c r="B195" s="25" t="s">
        <v>564</v>
      </c>
      <c r="C195" s="77">
        <f t="shared" ref="C195:C258" si="34">A195+23</f>
        <v>46012</v>
      </c>
      <c r="D195" s="77">
        <f t="shared" ref="D195:D258" si="35">A195+7</f>
        <v>45996</v>
      </c>
      <c r="E195" s="77">
        <f t="shared" ref="E195:E258" si="36">A195+14</f>
        <v>46003</v>
      </c>
      <c r="F195" s="77">
        <f t="shared" ref="F195:F258" si="37">A195+20</f>
        <v>46009</v>
      </c>
      <c r="G195" s="77">
        <f t="shared" ref="G195:G258" si="38">A195+8</f>
        <v>45997</v>
      </c>
      <c r="H195" s="77">
        <f t="shared" ref="H195:H258" si="39">A195+15</f>
        <v>46004</v>
      </c>
      <c r="I195" s="77"/>
      <c r="J195" s="78"/>
      <c r="K195" s="25"/>
      <c r="L195" s="25"/>
      <c r="M195" s="25"/>
      <c r="N195" s="25"/>
    </row>
    <row r="196" spans="1:14" x14ac:dyDescent="0.25">
      <c r="A196" s="77">
        <v>45989</v>
      </c>
      <c r="B196" s="25" t="s">
        <v>565</v>
      </c>
      <c r="C196" s="77">
        <f t="shared" si="34"/>
        <v>46012</v>
      </c>
      <c r="D196" s="77">
        <f t="shared" si="35"/>
        <v>45996</v>
      </c>
      <c r="E196" s="77">
        <f t="shared" si="36"/>
        <v>46003</v>
      </c>
      <c r="F196" s="77">
        <f t="shared" si="37"/>
        <v>46009</v>
      </c>
      <c r="G196" s="77">
        <f t="shared" si="38"/>
        <v>45997</v>
      </c>
      <c r="H196" s="77">
        <f t="shared" si="39"/>
        <v>46004</v>
      </c>
      <c r="I196" s="77"/>
      <c r="J196" s="78"/>
      <c r="K196" s="25"/>
      <c r="L196" s="25"/>
      <c r="M196" s="25"/>
      <c r="N196" s="25"/>
    </row>
    <row r="197" spans="1:14" x14ac:dyDescent="0.25">
      <c r="A197" s="77">
        <v>45989</v>
      </c>
      <c r="B197" s="25" t="s">
        <v>566</v>
      </c>
      <c r="C197" s="77">
        <f t="shared" si="34"/>
        <v>46012</v>
      </c>
      <c r="D197" s="77">
        <f t="shared" si="35"/>
        <v>45996</v>
      </c>
      <c r="E197" s="77">
        <f t="shared" si="36"/>
        <v>46003</v>
      </c>
      <c r="F197" s="77">
        <f t="shared" si="37"/>
        <v>46009</v>
      </c>
      <c r="G197" s="77">
        <f t="shared" si="38"/>
        <v>45997</v>
      </c>
      <c r="H197" s="77">
        <f t="shared" si="39"/>
        <v>46004</v>
      </c>
      <c r="I197" s="77"/>
      <c r="J197" s="78"/>
      <c r="K197" s="25"/>
      <c r="L197" s="25"/>
      <c r="M197" s="25"/>
      <c r="N197" s="25"/>
    </row>
    <row r="198" spans="1:14" x14ac:dyDescent="0.25">
      <c r="A198" s="77">
        <v>45989</v>
      </c>
      <c r="B198" s="25" t="s">
        <v>567</v>
      </c>
      <c r="C198" s="77">
        <f t="shared" si="34"/>
        <v>46012</v>
      </c>
      <c r="D198" s="77">
        <f t="shared" si="35"/>
        <v>45996</v>
      </c>
      <c r="E198" s="77">
        <f t="shared" si="36"/>
        <v>46003</v>
      </c>
      <c r="F198" s="77">
        <f t="shared" si="37"/>
        <v>46009</v>
      </c>
      <c r="G198" s="77">
        <f t="shared" si="38"/>
        <v>45997</v>
      </c>
      <c r="H198" s="77">
        <f t="shared" si="39"/>
        <v>46004</v>
      </c>
      <c r="I198" s="77"/>
      <c r="J198" s="78"/>
      <c r="K198" s="25"/>
      <c r="L198" s="25"/>
      <c r="M198" s="25"/>
      <c r="N198" s="25"/>
    </row>
    <row r="199" spans="1:14" x14ac:dyDescent="0.25">
      <c r="A199" s="77">
        <v>45989</v>
      </c>
      <c r="B199" s="25" t="s">
        <v>568</v>
      </c>
      <c r="C199" s="77">
        <f t="shared" si="34"/>
        <v>46012</v>
      </c>
      <c r="D199" s="77">
        <f t="shared" si="35"/>
        <v>45996</v>
      </c>
      <c r="E199" s="77">
        <f t="shared" si="36"/>
        <v>46003</v>
      </c>
      <c r="F199" s="77">
        <f t="shared" si="37"/>
        <v>46009</v>
      </c>
      <c r="G199" s="77">
        <f t="shared" si="38"/>
        <v>45997</v>
      </c>
      <c r="H199" s="77">
        <f t="shared" si="39"/>
        <v>46004</v>
      </c>
      <c r="I199" s="77"/>
      <c r="J199" s="78"/>
      <c r="K199" s="25"/>
      <c r="L199" s="25"/>
      <c r="M199" s="25"/>
      <c r="N199" s="25"/>
    </row>
    <row r="200" spans="1:14" x14ac:dyDescent="0.25">
      <c r="A200" s="77">
        <v>45989</v>
      </c>
      <c r="B200" s="25" t="s">
        <v>569</v>
      </c>
      <c r="C200" s="77">
        <f t="shared" si="34"/>
        <v>46012</v>
      </c>
      <c r="D200" s="77">
        <f t="shared" si="35"/>
        <v>45996</v>
      </c>
      <c r="E200" s="77">
        <f t="shared" si="36"/>
        <v>46003</v>
      </c>
      <c r="F200" s="77">
        <f t="shared" si="37"/>
        <v>46009</v>
      </c>
      <c r="G200" s="77">
        <f t="shared" si="38"/>
        <v>45997</v>
      </c>
      <c r="H200" s="77">
        <f t="shared" si="39"/>
        <v>46004</v>
      </c>
      <c r="I200" s="77"/>
      <c r="J200" s="78"/>
      <c r="K200" s="25"/>
      <c r="L200" s="25"/>
      <c r="M200" s="25"/>
      <c r="N200" s="25"/>
    </row>
    <row r="201" spans="1:14" x14ac:dyDescent="0.25">
      <c r="A201" s="77">
        <v>45990</v>
      </c>
      <c r="B201" s="25" t="s">
        <v>570</v>
      </c>
      <c r="C201" s="77">
        <f t="shared" si="34"/>
        <v>46013</v>
      </c>
      <c r="D201" s="77">
        <f t="shared" si="35"/>
        <v>45997</v>
      </c>
      <c r="E201" s="77">
        <f t="shared" si="36"/>
        <v>46004</v>
      </c>
      <c r="F201" s="77">
        <f t="shared" si="37"/>
        <v>46010</v>
      </c>
      <c r="G201" s="77">
        <f t="shared" si="38"/>
        <v>45998</v>
      </c>
      <c r="H201" s="77">
        <f t="shared" si="39"/>
        <v>46005</v>
      </c>
      <c r="I201" s="77"/>
      <c r="J201" s="78"/>
      <c r="K201" s="25"/>
      <c r="L201" s="25"/>
      <c r="M201" s="25"/>
      <c r="N201" s="25"/>
    </row>
    <row r="202" spans="1:14" x14ac:dyDescent="0.25">
      <c r="A202" s="77">
        <v>45990</v>
      </c>
      <c r="B202" s="25" t="s">
        <v>571</v>
      </c>
      <c r="C202" s="77">
        <f t="shared" si="34"/>
        <v>46013</v>
      </c>
      <c r="D202" s="77">
        <f t="shared" si="35"/>
        <v>45997</v>
      </c>
      <c r="E202" s="77">
        <f t="shared" si="36"/>
        <v>46004</v>
      </c>
      <c r="F202" s="77">
        <f t="shared" si="37"/>
        <v>46010</v>
      </c>
      <c r="G202" s="77">
        <f t="shared" si="38"/>
        <v>45998</v>
      </c>
      <c r="H202" s="77">
        <f t="shared" si="39"/>
        <v>46005</v>
      </c>
      <c r="I202" s="77"/>
      <c r="J202" s="78"/>
      <c r="K202" s="25"/>
      <c r="L202" s="25"/>
      <c r="M202" s="25"/>
      <c r="N202" s="25"/>
    </row>
    <row r="203" spans="1:14" x14ac:dyDescent="0.25">
      <c r="A203" s="77">
        <v>45990</v>
      </c>
      <c r="B203" s="25" t="s">
        <v>572</v>
      </c>
      <c r="C203" s="77">
        <f t="shared" si="34"/>
        <v>46013</v>
      </c>
      <c r="D203" s="77">
        <f t="shared" si="35"/>
        <v>45997</v>
      </c>
      <c r="E203" s="77">
        <f t="shared" si="36"/>
        <v>46004</v>
      </c>
      <c r="F203" s="77">
        <f t="shared" si="37"/>
        <v>46010</v>
      </c>
      <c r="G203" s="77">
        <f t="shared" si="38"/>
        <v>45998</v>
      </c>
      <c r="H203" s="77">
        <f t="shared" si="39"/>
        <v>46005</v>
      </c>
      <c r="I203" s="77"/>
      <c r="J203" s="78"/>
      <c r="K203" s="25"/>
      <c r="L203" s="25"/>
      <c r="M203" s="25"/>
      <c r="N203" s="25"/>
    </row>
    <row r="204" spans="1:14" x14ac:dyDescent="0.25">
      <c r="A204" s="77">
        <v>45990</v>
      </c>
      <c r="B204" s="25" t="s">
        <v>573</v>
      </c>
      <c r="C204" s="77">
        <f t="shared" si="34"/>
        <v>46013</v>
      </c>
      <c r="D204" s="77">
        <f t="shared" si="35"/>
        <v>45997</v>
      </c>
      <c r="E204" s="77">
        <f t="shared" si="36"/>
        <v>46004</v>
      </c>
      <c r="F204" s="77">
        <f t="shared" si="37"/>
        <v>46010</v>
      </c>
      <c r="G204" s="77">
        <f t="shared" si="38"/>
        <v>45998</v>
      </c>
      <c r="H204" s="77">
        <f t="shared" si="39"/>
        <v>46005</v>
      </c>
      <c r="I204" s="77"/>
      <c r="J204" s="78"/>
      <c r="K204" s="25"/>
      <c r="L204" s="25"/>
      <c r="M204" s="25"/>
      <c r="N204" s="25"/>
    </row>
    <row r="205" spans="1:14" x14ac:dyDescent="0.25">
      <c r="A205" s="77">
        <v>45990</v>
      </c>
      <c r="B205" s="25" t="s">
        <v>574</v>
      </c>
      <c r="C205" s="77">
        <f t="shared" si="34"/>
        <v>46013</v>
      </c>
      <c r="D205" s="77">
        <f t="shared" si="35"/>
        <v>45997</v>
      </c>
      <c r="E205" s="77">
        <f t="shared" si="36"/>
        <v>46004</v>
      </c>
      <c r="F205" s="77">
        <f t="shared" si="37"/>
        <v>46010</v>
      </c>
      <c r="G205" s="77">
        <f t="shared" si="38"/>
        <v>45998</v>
      </c>
      <c r="H205" s="77">
        <f t="shared" si="39"/>
        <v>46005</v>
      </c>
      <c r="I205" s="77"/>
      <c r="J205" s="78"/>
      <c r="K205" s="25"/>
      <c r="L205" s="25"/>
      <c r="M205" s="25"/>
      <c r="N205" s="25"/>
    </row>
    <row r="206" spans="1:14" x14ac:dyDescent="0.25">
      <c r="A206" s="77">
        <v>45990</v>
      </c>
      <c r="B206" s="25" t="s">
        <v>575</v>
      </c>
      <c r="C206" s="77">
        <f t="shared" si="34"/>
        <v>46013</v>
      </c>
      <c r="D206" s="77">
        <f t="shared" si="35"/>
        <v>45997</v>
      </c>
      <c r="E206" s="77">
        <f t="shared" si="36"/>
        <v>46004</v>
      </c>
      <c r="F206" s="77">
        <f t="shared" si="37"/>
        <v>46010</v>
      </c>
      <c r="G206" s="77">
        <f t="shared" si="38"/>
        <v>45998</v>
      </c>
      <c r="H206" s="77">
        <f t="shared" si="39"/>
        <v>46005</v>
      </c>
      <c r="I206" s="77"/>
      <c r="J206" s="78"/>
      <c r="K206" s="25"/>
      <c r="L206" s="25"/>
      <c r="M206" s="25"/>
      <c r="N206" s="25"/>
    </row>
    <row r="207" spans="1:14" x14ac:dyDescent="0.25">
      <c r="A207" s="77">
        <v>45990</v>
      </c>
      <c r="B207" s="25" t="s">
        <v>576</v>
      </c>
      <c r="C207" s="77">
        <f t="shared" si="34"/>
        <v>46013</v>
      </c>
      <c r="D207" s="77">
        <f t="shared" si="35"/>
        <v>45997</v>
      </c>
      <c r="E207" s="77">
        <f t="shared" si="36"/>
        <v>46004</v>
      </c>
      <c r="F207" s="77">
        <f t="shared" si="37"/>
        <v>46010</v>
      </c>
      <c r="G207" s="77">
        <f t="shared" si="38"/>
        <v>45998</v>
      </c>
      <c r="H207" s="77">
        <f t="shared" si="39"/>
        <v>46005</v>
      </c>
      <c r="I207" s="77"/>
      <c r="J207" s="78"/>
      <c r="K207" s="25"/>
      <c r="L207" s="25"/>
      <c r="M207" s="25"/>
      <c r="N207" s="25"/>
    </row>
    <row r="208" spans="1:14" x14ac:dyDescent="0.25">
      <c r="A208" s="77">
        <v>45991</v>
      </c>
      <c r="B208" s="25" t="s">
        <v>458</v>
      </c>
      <c r="C208" s="77">
        <f t="shared" si="34"/>
        <v>46014</v>
      </c>
      <c r="D208" s="77">
        <f t="shared" si="35"/>
        <v>45998</v>
      </c>
      <c r="E208" s="77">
        <f t="shared" si="36"/>
        <v>46005</v>
      </c>
      <c r="F208" s="77">
        <f t="shared" si="37"/>
        <v>46011</v>
      </c>
      <c r="G208" s="77">
        <f t="shared" si="38"/>
        <v>45999</v>
      </c>
      <c r="H208" s="77">
        <f t="shared" si="39"/>
        <v>46006</v>
      </c>
      <c r="I208" s="77"/>
      <c r="J208" s="78"/>
      <c r="K208" s="25"/>
      <c r="L208" s="25"/>
      <c r="M208" s="25"/>
      <c r="N208" s="25"/>
    </row>
    <row r="209" spans="1:14" x14ac:dyDescent="0.25">
      <c r="A209" s="77">
        <v>45991</v>
      </c>
      <c r="B209" s="25" t="s">
        <v>459</v>
      </c>
      <c r="C209" s="77">
        <f t="shared" si="34"/>
        <v>46014</v>
      </c>
      <c r="D209" s="77">
        <f t="shared" si="35"/>
        <v>45998</v>
      </c>
      <c r="E209" s="77">
        <f t="shared" si="36"/>
        <v>46005</v>
      </c>
      <c r="F209" s="77">
        <f t="shared" si="37"/>
        <v>46011</v>
      </c>
      <c r="G209" s="77">
        <f t="shared" si="38"/>
        <v>45999</v>
      </c>
      <c r="H209" s="77">
        <f t="shared" si="39"/>
        <v>46006</v>
      </c>
      <c r="I209" s="77"/>
      <c r="J209" s="78"/>
      <c r="K209" s="25"/>
      <c r="L209" s="25"/>
      <c r="M209" s="25"/>
      <c r="N209" s="25"/>
    </row>
    <row r="210" spans="1:14" x14ac:dyDescent="0.25">
      <c r="A210" s="77">
        <v>45991</v>
      </c>
      <c r="B210" s="25" t="s">
        <v>460</v>
      </c>
      <c r="C210" s="77">
        <f t="shared" si="34"/>
        <v>46014</v>
      </c>
      <c r="D210" s="77">
        <f t="shared" si="35"/>
        <v>45998</v>
      </c>
      <c r="E210" s="77">
        <f t="shared" si="36"/>
        <v>46005</v>
      </c>
      <c r="F210" s="77">
        <f t="shared" si="37"/>
        <v>46011</v>
      </c>
      <c r="G210" s="77">
        <f t="shared" si="38"/>
        <v>45999</v>
      </c>
      <c r="H210" s="77">
        <f t="shared" si="39"/>
        <v>46006</v>
      </c>
      <c r="I210" s="77"/>
      <c r="J210" s="78"/>
      <c r="K210" s="25"/>
      <c r="L210" s="25"/>
      <c r="M210" s="25"/>
      <c r="N210" s="25"/>
    </row>
    <row r="211" spans="1:14" x14ac:dyDescent="0.25">
      <c r="A211" s="77">
        <v>45991</v>
      </c>
      <c r="B211" s="25" t="s">
        <v>461</v>
      </c>
      <c r="C211" s="77">
        <f t="shared" si="34"/>
        <v>46014</v>
      </c>
      <c r="D211" s="77">
        <f t="shared" si="35"/>
        <v>45998</v>
      </c>
      <c r="E211" s="77">
        <f t="shared" si="36"/>
        <v>46005</v>
      </c>
      <c r="F211" s="77">
        <f t="shared" si="37"/>
        <v>46011</v>
      </c>
      <c r="G211" s="77">
        <f t="shared" si="38"/>
        <v>45999</v>
      </c>
      <c r="H211" s="77">
        <f t="shared" si="39"/>
        <v>46006</v>
      </c>
      <c r="I211" s="77"/>
      <c r="J211" s="78"/>
      <c r="K211" s="25"/>
      <c r="L211" s="25"/>
      <c r="M211" s="25"/>
      <c r="N211" s="25"/>
    </row>
    <row r="212" spans="1:14" x14ac:dyDescent="0.25">
      <c r="A212" s="77">
        <v>45991</v>
      </c>
      <c r="B212" s="25" t="s">
        <v>577</v>
      </c>
      <c r="C212" s="77">
        <f t="shared" si="34"/>
        <v>46014</v>
      </c>
      <c r="D212" s="77">
        <f t="shared" si="35"/>
        <v>45998</v>
      </c>
      <c r="E212" s="77">
        <f t="shared" si="36"/>
        <v>46005</v>
      </c>
      <c r="F212" s="77">
        <f t="shared" si="37"/>
        <v>46011</v>
      </c>
      <c r="G212" s="77">
        <f t="shared" si="38"/>
        <v>45999</v>
      </c>
      <c r="H212" s="77">
        <f t="shared" si="39"/>
        <v>46006</v>
      </c>
      <c r="I212" s="77"/>
      <c r="J212" s="78"/>
      <c r="K212" s="25"/>
      <c r="L212" s="25"/>
      <c r="M212" s="25"/>
      <c r="N212" s="25"/>
    </row>
    <row r="213" spans="1:14" x14ac:dyDescent="0.25">
      <c r="A213" s="77">
        <v>45991</v>
      </c>
      <c r="B213" s="25" t="s">
        <v>578</v>
      </c>
      <c r="C213" s="77">
        <f t="shared" si="34"/>
        <v>46014</v>
      </c>
      <c r="D213" s="77">
        <f t="shared" si="35"/>
        <v>45998</v>
      </c>
      <c r="E213" s="77">
        <f t="shared" si="36"/>
        <v>46005</v>
      </c>
      <c r="F213" s="77">
        <f t="shared" si="37"/>
        <v>46011</v>
      </c>
      <c r="G213" s="77">
        <f t="shared" si="38"/>
        <v>45999</v>
      </c>
      <c r="H213" s="77">
        <f t="shared" si="39"/>
        <v>46006</v>
      </c>
      <c r="I213" s="77"/>
      <c r="J213" s="78"/>
      <c r="K213" s="25"/>
      <c r="L213" s="25"/>
      <c r="M213" s="25"/>
      <c r="N213" s="25"/>
    </row>
    <row r="214" spans="1:14" x14ac:dyDescent="0.25">
      <c r="A214" s="77">
        <v>45991</v>
      </c>
      <c r="B214" s="25" t="s">
        <v>1144</v>
      </c>
      <c r="C214" s="77">
        <f t="shared" si="34"/>
        <v>46014</v>
      </c>
      <c r="D214" s="77">
        <f t="shared" si="35"/>
        <v>45998</v>
      </c>
      <c r="E214" s="77">
        <f t="shared" si="36"/>
        <v>46005</v>
      </c>
      <c r="F214" s="77">
        <f t="shared" si="37"/>
        <v>46011</v>
      </c>
      <c r="G214" s="77">
        <f t="shared" si="38"/>
        <v>45999</v>
      </c>
      <c r="H214" s="77">
        <f t="shared" si="39"/>
        <v>46006</v>
      </c>
      <c r="I214" s="77"/>
      <c r="J214" s="78"/>
      <c r="K214" s="25"/>
      <c r="L214" s="25"/>
      <c r="M214" s="25"/>
      <c r="N214" s="25"/>
    </row>
    <row r="215" spans="1:14" x14ac:dyDescent="0.25">
      <c r="A215" s="77">
        <v>45992</v>
      </c>
      <c r="B215" s="25" t="s">
        <v>462</v>
      </c>
      <c r="C215" s="77">
        <f t="shared" si="34"/>
        <v>46015</v>
      </c>
      <c r="D215" s="77">
        <f t="shared" si="35"/>
        <v>45999</v>
      </c>
      <c r="E215" s="77">
        <f t="shared" si="36"/>
        <v>46006</v>
      </c>
      <c r="F215" s="77">
        <f t="shared" si="37"/>
        <v>46012</v>
      </c>
      <c r="G215" s="77">
        <f t="shared" si="38"/>
        <v>46000</v>
      </c>
      <c r="H215" s="77">
        <f t="shared" si="39"/>
        <v>46007</v>
      </c>
      <c r="I215" s="77"/>
      <c r="J215" s="78"/>
      <c r="K215" s="25"/>
      <c r="L215" s="25"/>
      <c r="M215" s="25"/>
      <c r="N215" s="25"/>
    </row>
    <row r="216" spans="1:14" x14ac:dyDescent="0.25">
      <c r="A216" s="77">
        <v>45992</v>
      </c>
      <c r="B216" s="25" t="s">
        <v>463</v>
      </c>
      <c r="C216" s="77">
        <f t="shared" si="34"/>
        <v>46015</v>
      </c>
      <c r="D216" s="77">
        <f t="shared" si="35"/>
        <v>45999</v>
      </c>
      <c r="E216" s="77">
        <f t="shared" si="36"/>
        <v>46006</v>
      </c>
      <c r="F216" s="77">
        <f t="shared" si="37"/>
        <v>46012</v>
      </c>
      <c r="G216" s="77">
        <f t="shared" si="38"/>
        <v>46000</v>
      </c>
      <c r="H216" s="77">
        <f t="shared" si="39"/>
        <v>46007</v>
      </c>
      <c r="I216" s="77"/>
      <c r="J216" s="78"/>
      <c r="K216" s="25"/>
      <c r="L216" s="25"/>
      <c r="M216" s="25"/>
      <c r="N216" s="25"/>
    </row>
    <row r="217" spans="1:14" x14ac:dyDescent="0.25">
      <c r="A217" s="77">
        <v>45992</v>
      </c>
      <c r="B217" s="25" t="s">
        <v>464</v>
      </c>
      <c r="C217" s="77">
        <f t="shared" si="34"/>
        <v>46015</v>
      </c>
      <c r="D217" s="77">
        <f t="shared" si="35"/>
        <v>45999</v>
      </c>
      <c r="E217" s="77">
        <f t="shared" si="36"/>
        <v>46006</v>
      </c>
      <c r="F217" s="77">
        <f t="shared" si="37"/>
        <v>46012</v>
      </c>
      <c r="G217" s="77">
        <f t="shared" si="38"/>
        <v>46000</v>
      </c>
      <c r="H217" s="77">
        <f t="shared" si="39"/>
        <v>46007</v>
      </c>
      <c r="I217" s="77"/>
      <c r="J217" s="78"/>
      <c r="K217" s="25"/>
      <c r="L217" s="25"/>
      <c r="M217" s="25"/>
      <c r="N217" s="25"/>
    </row>
    <row r="218" spans="1:14" x14ac:dyDescent="0.25">
      <c r="A218" s="77">
        <v>45992</v>
      </c>
      <c r="B218" s="25" t="s">
        <v>424</v>
      </c>
      <c r="C218" s="77">
        <f t="shared" si="34"/>
        <v>46015</v>
      </c>
      <c r="D218" s="77">
        <f t="shared" si="35"/>
        <v>45999</v>
      </c>
      <c r="E218" s="77">
        <f t="shared" si="36"/>
        <v>46006</v>
      </c>
      <c r="F218" s="77">
        <f t="shared" si="37"/>
        <v>46012</v>
      </c>
      <c r="G218" s="77">
        <f t="shared" si="38"/>
        <v>46000</v>
      </c>
      <c r="H218" s="77">
        <f t="shared" si="39"/>
        <v>46007</v>
      </c>
      <c r="I218" s="77"/>
      <c r="J218" s="78"/>
      <c r="K218" s="25"/>
      <c r="L218" s="25"/>
      <c r="M218" s="25"/>
      <c r="N218" s="25"/>
    </row>
    <row r="219" spans="1:14" x14ac:dyDescent="0.25">
      <c r="A219" s="77">
        <v>45992</v>
      </c>
      <c r="B219" s="25" t="s">
        <v>425</v>
      </c>
      <c r="C219" s="77">
        <f t="shared" si="34"/>
        <v>46015</v>
      </c>
      <c r="D219" s="77">
        <f t="shared" si="35"/>
        <v>45999</v>
      </c>
      <c r="E219" s="77">
        <f t="shared" si="36"/>
        <v>46006</v>
      </c>
      <c r="F219" s="77">
        <f t="shared" si="37"/>
        <v>46012</v>
      </c>
      <c r="G219" s="77">
        <f t="shared" si="38"/>
        <v>46000</v>
      </c>
      <c r="H219" s="77">
        <f t="shared" si="39"/>
        <v>46007</v>
      </c>
      <c r="I219" s="77"/>
      <c r="J219" s="78"/>
      <c r="K219" s="25"/>
      <c r="L219" s="25"/>
      <c r="M219" s="25"/>
      <c r="N219" s="25"/>
    </row>
    <row r="220" spans="1:14" x14ac:dyDescent="0.25">
      <c r="A220" s="77">
        <v>45992</v>
      </c>
      <c r="B220" s="25" t="s">
        <v>426</v>
      </c>
      <c r="C220" s="77">
        <f t="shared" si="34"/>
        <v>46015</v>
      </c>
      <c r="D220" s="77">
        <f t="shared" si="35"/>
        <v>45999</v>
      </c>
      <c r="E220" s="77">
        <f t="shared" si="36"/>
        <v>46006</v>
      </c>
      <c r="F220" s="77">
        <f t="shared" si="37"/>
        <v>46012</v>
      </c>
      <c r="G220" s="77">
        <f t="shared" si="38"/>
        <v>46000</v>
      </c>
      <c r="H220" s="77">
        <f t="shared" si="39"/>
        <v>46007</v>
      </c>
      <c r="I220" s="77"/>
      <c r="J220" s="78"/>
      <c r="K220" s="25"/>
      <c r="L220" s="25"/>
      <c r="M220" s="25"/>
      <c r="N220" s="25"/>
    </row>
    <row r="221" spans="1:14" x14ac:dyDescent="0.25">
      <c r="A221" s="77">
        <v>45992</v>
      </c>
      <c r="B221" s="25" t="s">
        <v>427</v>
      </c>
      <c r="C221" s="77">
        <f t="shared" si="34"/>
        <v>46015</v>
      </c>
      <c r="D221" s="77">
        <f t="shared" si="35"/>
        <v>45999</v>
      </c>
      <c r="E221" s="77">
        <f t="shared" si="36"/>
        <v>46006</v>
      </c>
      <c r="F221" s="77">
        <f t="shared" si="37"/>
        <v>46012</v>
      </c>
      <c r="G221" s="77">
        <f t="shared" si="38"/>
        <v>46000</v>
      </c>
      <c r="H221" s="77">
        <f t="shared" si="39"/>
        <v>46007</v>
      </c>
      <c r="I221" s="77"/>
      <c r="J221" s="78"/>
      <c r="K221" s="25"/>
      <c r="L221" s="25"/>
      <c r="M221" s="25"/>
      <c r="N221" s="25"/>
    </row>
    <row r="222" spans="1:14" x14ac:dyDescent="0.25">
      <c r="A222" s="77">
        <v>45994</v>
      </c>
      <c r="B222" s="25" t="s">
        <v>421</v>
      </c>
      <c r="C222" s="77">
        <f t="shared" si="34"/>
        <v>46017</v>
      </c>
      <c r="D222" s="77">
        <f t="shared" si="35"/>
        <v>46001</v>
      </c>
      <c r="E222" s="77">
        <f t="shared" si="36"/>
        <v>46008</v>
      </c>
      <c r="F222" s="77">
        <f t="shared" si="37"/>
        <v>46014</v>
      </c>
      <c r="G222" s="77">
        <f t="shared" si="38"/>
        <v>46002</v>
      </c>
      <c r="H222" s="77">
        <f t="shared" si="39"/>
        <v>46009</v>
      </c>
      <c r="I222" s="77"/>
      <c r="J222" s="78"/>
      <c r="K222" s="25"/>
      <c r="L222" s="25"/>
      <c r="M222" s="25"/>
      <c r="N222" s="25"/>
    </row>
    <row r="223" spans="1:14" x14ac:dyDescent="0.25">
      <c r="A223" s="77">
        <v>45994</v>
      </c>
      <c r="B223" s="25" t="s">
        <v>422</v>
      </c>
      <c r="C223" s="77">
        <f t="shared" si="34"/>
        <v>46017</v>
      </c>
      <c r="D223" s="77">
        <f t="shared" si="35"/>
        <v>46001</v>
      </c>
      <c r="E223" s="77">
        <f t="shared" si="36"/>
        <v>46008</v>
      </c>
      <c r="F223" s="77">
        <f t="shared" si="37"/>
        <v>46014</v>
      </c>
      <c r="G223" s="77">
        <f t="shared" si="38"/>
        <v>46002</v>
      </c>
      <c r="H223" s="77">
        <f t="shared" si="39"/>
        <v>46009</v>
      </c>
      <c r="I223" s="77"/>
      <c r="J223" s="78"/>
      <c r="K223" s="25"/>
      <c r="L223" s="25"/>
      <c r="M223" s="25"/>
      <c r="N223" s="25"/>
    </row>
    <row r="224" spans="1:14" x14ac:dyDescent="0.25">
      <c r="A224" s="77">
        <v>45994</v>
      </c>
      <c r="B224" s="25" t="s">
        <v>423</v>
      </c>
      <c r="C224" s="77">
        <f t="shared" si="34"/>
        <v>46017</v>
      </c>
      <c r="D224" s="77">
        <f t="shared" si="35"/>
        <v>46001</v>
      </c>
      <c r="E224" s="77">
        <f t="shared" si="36"/>
        <v>46008</v>
      </c>
      <c r="F224" s="77">
        <f t="shared" si="37"/>
        <v>46014</v>
      </c>
      <c r="G224" s="77">
        <f t="shared" si="38"/>
        <v>46002</v>
      </c>
      <c r="H224" s="77">
        <f t="shared" si="39"/>
        <v>46009</v>
      </c>
      <c r="I224" s="77"/>
      <c r="J224" s="78"/>
      <c r="K224" s="25"/>
      <c r="L224" s="25"/>
      <c r="M224" s="25"/>
      <c r="N224" s="25"/>
    </row>
    <row r="225" spans="1:14" x14ac:dyDescent="0.25">
      <c r="A225" s="77">
        <v>45994</v>
      </c>
      <c r="B225" s="25" t="s">
        <v>452</v>
      </c>
      <c r="C225" s="77">
        <f t="shared" si="34"/>
        <v>46017</v>
      </c>
      <c r="D225" s="77">
        <f t="shared" si="35"/>
        <v>46001</v>
      </c>
      <c r="E225" s="77">
        <f t="shared" si="36"/>
        <v>46008</v>
      </c>
      <c r="F225" s="77">
        <f t="shared" si="37"/>
        <v>46014</v>
      </c>
      <c r="G225" s="77">
        <f t="shared" si="38"/>
        <v>46002</v>
      </c>
      <c r="H225" s="77">
        <f t="shared" si="39"/>
        <v>46009</v>
      </c>
      <c r="I225" s="77"/>
      <c r="J225" s="78"/>
      <c r="K225" s="25"/>
      <c r="L225" s="25"/>
      <c r="M225" s="25"/>
      <c r="N225" s="25"/>
    </row>
    <row r="226" spans="1:14" x14ac:dyDescent="0.25">
      <c r="A226" s="77">
        <v>45994</v>
      </c>
      <c r="B226" s="25" t="s">
        <v>453</v>
      </c>
      <c r="C226" s="77">
        <f t="shared" si="34"/>
        <v>46017</v>
      </c>
      <c r="D226" s="77">
        <f t="shared" si="35"/>
        <v>46001</v>
      </c>
      <c r="E226" s="77">
        <f t="shared" si="36"/>
        <v>46008</v>
      </c>
      <c r="F226" s="77">
        <f t="shared" si="37"/>
        <v>46014</v>
      </c>
      <c r="G226" s="77">
        <f t="shared" si="38"/>
        <v>46002</v>
      </c>
      <c r="H226" s="77">
        <f t="shared" si="39"/>
        <v>46009</v>
      </c>
      <c r="I226" s="77"/>
      <c r="J226" s="78"/>
      <c r="K226" s="25"/>
      <c r="L226" s="25"/>
      <c r="M226" s="25"/>
      <c r="N226" s="25"/>
    </row>
    <row r="227" spans="1:14" x14ac:dyDescent="0.25">
      <c r="A227" s="77">
        <v>45994</v>
      </c>
      <c r="B227" s="25" t="s">
        <v>454</v>
      </c>
      <c r="C227" s="77">
        <f t="shared" si="34"/>
        <v>46017</v>
      </c>
      <c r="D227" s="77">
        <f t="shared" si="35"/>
        <v>46001</v>
      </c>
      <c r="E227" s="77">
        <f t="shared" si="36"/>
        <v>46008</v>
      </c>
      <c r="F227" s="77">
        <f t="shared" si="37"/>
        <v>46014</v>
      </c>
      <c r="G227" s="77">
        <f t="shared" si="38"/>
        <v>46002</v>
      </c>
      <c r="H227" s="77">
        <f t="shared" si="39"/>
        <v>46009</v>
      </c>
      <c r="I227" s="77"/>
      <c r="J227" s="78"/>
      <c r="K227" s="25"/>
      <c r="L227" s="25"/>
      <c r="M227" s="25"/>
      <c r="N227" s="25"/>
    </row>
    <row r="228" spans="1:14" x14ac:dyDescent="0.25">
      <c r="A228" s="77">
        <v>45994</v>
      </c>
      <c r="B228" s="25" t="s">
        <v>455</v>
      </c>
      <c r="C228" s="77">
        <f t="shared" si="34"/>
        <v>46017</v>
      </c>
      <c r="D228" s="77">
        <f t="shared" si="35"/>
        <v>46001</v>
      </c>
      <c r="E228" s="77">
        <f t="shared" si="36"/>
        <v>46008</v>
      </c>
      <c r="F228" s="77">
        <f t="shared" si="37"/>
        <v>46014</v>
      </c>
      <c r="G228" s="77">
        <f t="shared" si="38"/>
        <v>46002</v>
      </c>
      <c r="H228" s="77">
        <f t="shared" si="39"/>
        <v>46009</v>
      </c>
      <c r="I228" s="77"/>
      <c r="J228" s="78"/>
      <c r="K228" s="25"/>
      <c r="L228" s="25"/>
      <c r="M228" s="25"/>
      <c r="N228" s="25"/>
    </row>
    <row r="229" spans="1:14" x14ac:dyDescent="0.25">
      <c r="A229" s="77">
        <v>45994</v>
      </c>
      <c r="B229" s="25" t="s">
        <v>456</v>
      </c>
      <c r="C229" s="77">
        <f t="shared" si="34"/>
        <v>46017</v>
      </c>
      <c r="D229" s="77">
        <f t="shared" si="35"/>
        <v>46001</v>
      </c>
      <c r="E229" s="77">
        <f t="shared" si="36"/>
        <v>46008</v>
      </c>
      <c r="F229" s="77">
        <f t="shared" si="37"/>
        <v>46014</v>
      </c>
      <c r="G229" s="77">
        <f t="shared" si="38"/>
        <v>46002</v>
      </c>
      <c r="H229" s="77">
        <f t="shared" si="39"/>
        <v>46009</v>
      </c>
      <c r="I229" s="77"/>
      <c r="J229" s="78"/>
      <c r="K229" s="25"/>
      <c r="L229" s="25"/>
      <c r="M229" s="25"/>
      <c r="N229" s="25"/>
    </row>
    <row r="230" spans="1:14" x14ac:dyDescent="0.25">
      <c r="A230" s="77">
        <v>45994</v>
      </c>
      <c r="B230" s="25" t="s">
        <v>457</v>
      </c>
      <c r="C230" s="77">
        <f t="shared" si="34"/>
        <v>46017</v>
      </c>
      <c r="D230" s="77">
        <f t="shared" si="35"/>
        <v>46001</v>
      </c>
      <c r="E230" s="77">
        <f t="shared" si="36"/>
        <v>46008</v>
      </c>
      <c r="F230" s="77">
        <f t="shared" si="37"/>
        <v>46014</v>
      </c>
      <c r="G230" s="77">
        <f t="shared" si="38"/>
        <v>46002</v>
      </c>
      <c r="H230" s="77">
        <f t="shared" si="39"/>
        <v>46009</v>
      </c>
      <c r="I230" s="77"/>
      <c r="J230" s="78"/>
      <c r="K230" s="25"/>
      <c r="L230" s="25"/>
      <c r="M230" s="25"/>
      <c r="N230" s="25"/>
    </row>
    <row r="231" spans="1:14" x14ac:dyDescent="0.25">
      <c r="A231" s="77">
        <v>45995</v>
      </c>
      <c r="B231" s="25" t="s">
        <v>417</v>
      </c>
      <c r="C231" s="77">
        <f t="shared" si="34"/>
        <v>46018</v>
      </c>
      <c r="D231" s="77">
        <f t="shared" si="35"/>
        <v>46002</v>
      </c>
      <c r="E231" s="77">
        <f t="shared" si="36"/>
        <v>46009</v>
      </c>
      <c r="F231" s="77">
        <f t="shared" si="37"/>
        <v>46015</v>
      </c>
      <c r="G231" s="77">
        <f t="shared" si="38"/>
        <v>46003</v>
      </c>
      <c r="H231" s="77">
        <f t="shared" si="39"/>
        <v>46010</v>
      </c>
      <c r="I231" s="77"/>
      <c r="J231" s="78"/>
      <c r="K231" s="25"/>
      <c r="L231" s="25"/>
      <c r="M231" s="25"/>
      <c r="N231" s="25"/>
    </row>
    <row r="232" spans="1:14" x14ac:dyDescent="0.25">
      <c r="A232" s="77">
        <v>45995</v>
      </c>
      <c r="B232" s="25" t="s">
        <v>418</v>
      </c>
      <c r="C232" s="77">
        <f t="shared" si="34"/>
        <v>46018</v>
      </c>
      <c r="D232" s="77">
        <f t="shared" si="35"/>
        <v>46002</v>
      </c>
      <c r="E232" s="77">
        <f t="shared" si="36"/>
        <v>46009</v>
      </c>
      <c r="F232" s="77">
        <f t="shared" si="37"/>
        <v>46015</v>
      </c>
      <c r="G232" s="77">
        <f t="shared" si="38"/>
        <v>46003</v>
      </c>
      <c r="H232" s="77">
        <f t="shared" si="39"/>
        <v>46010</v>
      </c>
      <c r="I232" s="77"/>
      <c r="J232" s="78"/>
      <c r="K232" s="25"/>
      <c r="L232" s="25"/>
      <c r="M232" s="25"/>
      <c r="N232" s="25"/>
    </row>
    <row r="233" spans="1:14" x14ac:dyDescent="0.25">
      <c r="A233" s="77">
        <v>45995</v>
      </c>
      <c r="B233" s="25" t="s">
        <v>419</v>
      </c>
      <c r="C233" s="77">
        <f t="shared" si="34"/>
        <v>46018</v>
      </c>
      <c r="D233" s="77">
        <f t="shared" si="35"/>
        <v>46002</v>
      </c>
      <c r="E233" s="77">
        <f t="shared" si="36"/>
        <v>46009</v>
      </c>
      <c r="F233" s="77">
        <f t="shared" si="37"/>
        <v>46015</v>
      </c>
      <c r="G233" s="77">
        <f t="shared" si="38"/>
        <v>46003</v>
      </c>
      <c r="H233" s="77">
        <f t="shared" si="39"/>
        <v>46010</v>
      </c>
      <c r="I233" s="77"/>
      <c r="J233" s="78"/>
      <c r="K233" s="25"/>
      <c r="L233" s="25"/>
      <c r="M233" s="25"/>
      <c r="N233" s="25"/>
    </row>
    <row r="234" spans="1:14" x14ac:dyDescent="0.25">
      <c r="A234" s="77">
        <v>45995</v>
      </c>
      <c r="B234" s="25" t="s">
        <v>420</v>
      </c>
      <c r="C234" s="77">
        <f t="shared" si="34"/>
        <v>46018</v>
      </c>
      <c r="D234" s="77">
        <f t="shared" si="35"/>
        <v>46002</v>
      </c>
      <c r="E234" s="77">
        <f t="shared" si="36"/>
        <v>46009</v>
      </c>
      <c r="F234" s="77">
        <f t="shared" si="37"/>
        <v>46015</v>
      </c>
      <c r="G234" s="77">
        <f t="shared" si="38"/>
        <v>46003</v>
      </c>
      <c r="H234" s="77">
        <f t="shared" si="39"/>
        <v>46010</v>
      </c>
      <c r="I234" s="77"/>
      <c r="J234" s="78"/>
      <c r="K234" s="25"/>
      <c r="L234" s="25"/>
      <c r="M234" s="25"/>
      <c r="N234" s="25"/>
    </row>
    <row r="235" spans="1:14" x14ac:dyDescent="0.25">
      <c r="A235" s="77">
        <v>45995</v>
      </c>
      <c r="B235" s="25" t="s">
        <v>451</v>
      </c>
      <c r="C235" s="77">
        <f t="shared" si="34"/>
        <v>46018</v>
      </c>
      <c r="D235" s="77">
        <f t="shared" si="35"/>
        <v>46002</v>
      </c>
      <c r="E235" s="77">
        <f t="shared" si="36"/>
        <v>46009</v>
      </c>
      <c r="F235" s="77">
        <f t="shared" si="37"/>
        <v>46015</v>
      </c>
      <c r="G235" s="77">
        <f t="shared" si="38"/>
        <v>46003</v>
      </c>
      <c r="H235" s="77">
        <f t="shared" si="39"/>
        <v>46010</v>
      </c>
      <c r="I235" s="77"/>
      <c r="J235" s="78"/>
      <c r="K235" s="25"/>
      <c r="L235" s="25"/>
      <c r="M235" s="25"/>
      <c r="N235" s="25"/>
    </row>
    <row r="236" spans="1:14" x14ac:dyDescent="0.25">
      <c r="A236" s="77">
        <v>45995</v>
      </c>
      <c r="B236" s="25" t="s">
        <v>465</v>
      </c>
      <c r="C236" s="77">
        <f t="shared" si="34"/>
        <v>46018</v>
      </c>
      <c r="D236" s="77">
        <f t="shared" si="35"/>
        <v>46002</v>
      </c>
      <c r="E236" s="77">
        <f t="shared" si="36"/>
        <v>46009</v>
      </c>
      <c r="F236" s="77">
        <f t="shared" si="37"/>
        <v>46015</v>
      </c>
      <c r="G236" s="77">
        <f t="shared" si="38"/>
        <v>46003</v>
      </c>
      <c r="H236" s="77">
        <f t="shared" si="39"/>
        <v>46010</v>
      </c>
      <c r="I236" s="77"/>
      <c r="J236" s="78"/>
      <c r="K236" s="25"/>
      <c r="L236" s="25"/>
      <c r="M236" s="25"/>
      <c r="N236" s="25"/>
    </row>
    <row r="237" spans="1:14" x14ac:dyDescent="0.25">
      <c r="A237" s="77">
        <v>45995</v>
      </c>
      <c r="B237" s="25" t="s">
        <v>467</v>
      </c>
      <c r="C237" s="77">
        <f t="shared" si="34"/>
        <v>46018</v>
      </c>
      <c r="D237" s="77">
        <f t="shared" si="35"/>
        <v>46002</v>
      </c>
      <c r="E237" s="77">
        <f t="shared" si="36"/>
        <v>46009</v>
      </c>
      <c r="F237" s="77">
        <f t="shared" si="37"/>
        <v>46015</v>
      </c>
      <c r="G237" s="77">
        <f t="shared" si="38"/>
        <v>46003</v>
      </c>
      <c r="H237" s="77">
        <f t="shared" si="39"/>
        <v>46010</v>
      </c>
      <c r="I237" s="77"/>
      <c r="J237" s="78"/>
      <c r="K237" s="25"/>
      <c r="L237" s="25"/>
      <c r="M237" s="25"/>
      <c r="N237" s="25"/>
    </row>
    <row r="238" spans="1:14" x14ac:dyDescent="0.25">
      <c r="A238" s="77">
        <v>45995</v>
      </c>
      <c r="B238" s="25" t="s">
        <v>469</v>
      </c>
      <c r="C238" s="77">
        <f t="shared" si="34"/>
        <v>46018</v>
      </c>
      <c r="D238" s="77">
        <f t="shared" si="35"/>
        <v>46002</v>
      </c>
      <c r="E238" s="77">
        <f t="shared" si="36"/>
        <v>46009</v>
      </c>
      <c r="F238" s="77">
        <f t="shared" si="37"/>
        <v>46015</v>
      </c>
      <c r="G238" s="77">
        <f t="shared" si="38"/>
        <v>46003</v>
      </c>
      <c r="H238" s="77">
        <f t="shared" si="39"/>
        <v>46010</v>
      </c>
      <c r="I238" s="77"/>
      <c r="J238" s="78"/>
      <c r="K238" s="25"/>
      <c r="L238" s="25"/>
      <c r="M238" s="25"/>
      <c r="N238" s="25"/>
    </row>
    <row r="239" spans="1:14" x14ac:dyDescent="0.25">
      <c r="A239" s="77">
        <v>45995</v>
      </c>
      <c r="B239" s="25" t="s">
        <v>470</v>
      </c>
      <c r="C239" s="77">
        <f t="shared" si="34"/>
        <v>46018</v>
      </c>
      <c r="D239" s="77">
        <f t="shared" si="35"/>
        <v>46002</v>
      </c>
      <c r="E239" s="77">
        <f t="shared" si="36"/>
        <v>46009</v>
      </c>
      <c r="F239" s="77">
        <f t="shared" si="37"/>
        <v>46015</v>
      </c>
      <c r="G239" s="77">
        <f t="shared" si="38"/>
        <v>46003</v>
      </c>
      <c r="H239" s="77">
        <f t="shared" si="39"/>
        <v>46010</v>
      </c>
      <c r="I239" s="77"/>
      <c r="J239" s="78"/>
      <c r="K239" s="25"/>
      <c r="L239" s="25"/>
      <c r="M239" s="25"/>
      <c r="N239" s="25"/>
    </row>
    <row r="240" spans="1:14" x14ac:dyDescent="0.25">
      <c r="A240" s="77">
        <v>45995</v>
      </c>
      <c r="B240" s="25" t="s">
        <v>471</v>
      </c>
      <c r="C240" s="77">
        <f t="shared" si="34"/>
        <v>46018</v>
      </c>
      <c r="D240" s="77">
        <f t="shared" si="35"/>
        <v>46002</v>
      </c>
      <c r="E240" s="77">
        <f t="shared" si="36"/>
        <v>46009</v>
      </c>
      <c r="F240" s="77">
        <f t="shared" si="37"/>
        <v>46015</v>
      </c>
      <c r="G240" s="77">
        <f t="shared" si="38"/>
        <v>46003</v>
      </c>
      <c r="H240" s="77">
        <f t="shared" si="39"/>
        <v>46010</v>
      </c>
      <c r="I240" s="77"/>
      <c r="J240" s="78"/>
      <c r="K240" s="25"/>
      <c r="L240" s="25"/>
      <c r="M240" s="25"/>
      <c r="N240" s="25"/>
    </row>
    <row r="241" spans="1:14" x14ac:dyDescent="0.25">
      <c r="A241" s="77">
        <v>45996</v>
      </c>
      <c r="B241" s="25" t="s">
        <v>414</v>
      </c>
      <c r="C241" s="77">
        <f t="shared" si="34"/>
        <v>46019</v>
      </c>
      <c r="D241" s="77">
        <f t="shared" si="35"/>
        <v>46003</v>
      </c>
      <c r="E241" s="77">
        <f t="shared" si="36"/>
        <v>46010</v>
      </c>
      <c r="F241" s="77">
        <f t="shared" si="37"/>
        <v>46016</v>
      </c>
      <c r="G241" s="77">
        <f t="shared" si="38"/>
        <v>46004</v>
      </c>
      <c r="H241" s="77">
        <f t="shared" si="39"/>
        <v>46011</v>
      </c>
      <c r="I241" s="77"/>
      <c r="J241" s="78"/>
      <c r="K241" s="25"/>
      <c r="L241" s="25"/>
      <c r="M241" s="25"/>
      <c r="N241" s="25"/>
    </row>
    <row r="242" spans="1:14" x14ac:dyDescent="0.25">
      <c r="A242" s="77">
        <v>45996</v>
      </c>
      <c r="B242" s="25" t="s">
        <v>415</v>
      </c>
      <c r="C242" s="77">
        <f t="shared" si="34"/>
        <v>46019</v>
      </c>
      <c r="D242" s="77">
        <f t="shared" si="35"/>
        <v>46003</v>
      </c>
      <c r="E242" s="77">
        <f t="shared" si="36"/>
        <v>46010</v>
      </c>
      <c r="F242" s="77">
        <f t="shared" si="37"/>
        <v>46016</v>
      </c>
      <c r="G242" s="77">
        <f t="shared" si="38"/>
        <v>46004</v>
      </c>
      <c r="H242" s="77">
        <f t="shared" si="39"/>
        <v>46011</v>
      </c>
      <c r="I242" s="77"/>
      <c r="J242" s="78"/>
      <c r="K242" s="25"/>
      <c r="L242" s="25"/>
      <c r="M242" s="25"/>
      <c r="N242" s="25"/>
    </row>
    <row r="243" spans="1:14" x14ac:dyDescent="0.25">
      <c r="A243" s="77">
        <v>45996</v>
      </c>
      <c r="B243" s="25" t="s">
        <v>416</v>
      </c>
      <c r="C243" s="77">
        <f t="shared" si="34"/>
        <v>46019</v>
      </c>
      <c r="D243" s="77">
        <f t="shared" si="35"/>
        <v>46003</v>
      </c>
      <c r="E243" s="77">
        <f t="shared" si="36"/>
        <v>46010</v>
      </c>
      <c r="F243" s="77">
        <f t="shared" si="37"/>
        <v>46016</v>
      </c>
      <c r="G243" s="77">
        <f t="shared" si="38"/>
        <v>46004</v>
      </c>
      <c r="H243" s="77">
        <f t="shared" si="39"/>
        <v>46011</v>
      </c>
      <c r="I243" s="77"/>
      <c r="J243" s="78"/>
      <c r="K243" s="25"/>
      <c r="L243" s="25"/>
      <c r="M243" s="25"/>
      <c r="N243" s="25"/>
    </row>
    <row r="244" spans="1:14" x14ac:dyDescent="0.25">
      <c r="A244" s="77">
        <v>45996</v>
      </c>
      <c r="B244" s="25" t="s">
        <v>448</v>
      </c>
      <c r="C244" s="77">
        <f t="shared" si="34"/>
        <v>46019</v>
      </c>
      <c r="D244" s="77">
        <f t="shared" si="35"/>
        <v>46003</v>
      </c>
      <c r="E244" s="77">
        <f t="shared" si="36"/>
        <v>46010</v>
      </c>
      <c r="F244" s="77">
        <f t="shared" si="37"/>
        <v>46016</v>
      </c>
      <c r="G244" s="77">
        <f t="shared" si="38"/>
        <v>46004</v>
      </c>
      <c r="H244" s="77">
        <f t="shared" si="39"/>
        <v>46011</v>
      </c>
      <c r="I244" s="77"/>
      <c r="J244" s="78"/>
      <c r="K244" s="25"/>
      <c r="L244" s="25"/>
      <c r="M244" s="25"/>
      <c r="N244" s="25"/>
    </row>
    <row r="245" spans="1:14" x14ac:dyDescent="0.25">
      <c r="A245" s="77">
        <v>45996</v>
      </c>
      <c r="B245" s="25" t="s">
        <v>449</v>
      </c>
      <c r="C245" s="77">
        <f t="shared" si="34"/>
        <v>46019</v>
      </c>
      <c r="D245" s="77">
        <f t="shared" si="35"/>
        <v>46003</v>
      </c>
      <c r="E245" s="77">
        <f t="shared" si="36"/>
        <v>46010</v>
      </c>
      <c r="F245" s="77">
        <f t="shared" si="37"/>
        <v>46016</v>
      </c>
      <c r="G245" s="77">
        <f t="shared" si="38"/>
        <v>46004</v>
      </c>
      <c r="H245" s="77">
        <f t="shared" si="39"/>
        <v>46011</v>
      </c>
      <c r="I245" s="77"/>
      <c r="J245" s="78"/>
      <c r="K245" s="25"/>
      <c r="L245" s="25"/>
      <c r="M245" s="25"/>
      <c r="N245" s="25"/>
    </row>
    <row r="246" spans="1:14" x14ac:dyDescent="0.25">
      <c r="A246" s="77">
        <v>45996</v>
      </c>
      <c r="B246" s="25" t="s">
        <v>466</v>
      </c>
      <c r="C246" s="77">
        <f t="shared" si="34"/>
        <v>46019</v>
      </c>
      <c r="D246" s="77">
        <f t="shared" si="35"/>
        <v>46003</v>
      </c>
      <c r="E246" s="77">
        <f t="shared" si="36"/>
        <v>46010</v>
      </c>
      <c r="F246" s="77">
        <f t="shared" si="37"/>
        <v>46016</v>
      </c>
      <c r="G246" s="77">
        <f t="shared" si="38"/>
        <v>46004</v>
      </c>
      <c r="H246" s="77">
        <f t="shared" si="39"/>
        <v>46011</v>
      </c>
      <c r="I246" s="77"/>
      <c r="J246" s="78"/>
      <c r="K246" s="25"/>
      <c r="L246" s="25"/>
      <c r="M246" s="25"/>
      <c r="N246" s="25"/>
    </row>
    <row r="247" spans="1:14" x14ac:dyDescent="0.25">
      <c r="A247" s="77">
        <v>45996</v>
      </c>
      <c r="B247" s="25" t="s">
        <v>468</v>
      </c>
      <c r="C247" s="77">
        <f t="shared" si="34"/>
        <v>46019</v>
      </c>
      <c r="D247" s="77">
        <f t="shared" si="35"/>
        <v>46003</v>
      </c>
      <c r="E247" s="77">
        <f t="shared" si="36"/>
        <v>46010</v>
      </c>
      <c r="F247" s="77">
        <f t="shared" si="37"/>
        <v>46016</v>
      </c>
      <c r="G247" s="77">
        <f t="shared" si="38"/>
        <v>46004</v>
      </c>
      <c r="H247" s="77">
        <f t="shared" si="39"/>
        <v>46011</v>
      </c>
      <c r="I247" s="77"/>
      <c r="J247" s="78"/>
      <c r="K247" s="25"/>
      <c r="L247" s="25"/>
      <c r="M247" s="25"/>
      <c r="N247" s="25"/>
    </row>
    <row r="248" spans="1:14" x14ac:dyDescent="0.25">
      <c r="A248" s="77">
        <v>45997</v>
      </c>
      <c r="B248" s="25" t="s">
        <v>412</v>
      </c>
      <c r="C248" s="77">
        <f t="shared" si="34"/>
        <v>46020</v>
      </c>
      <c r="D248" s="77">
        <f t="shared" si="35"/>
        <v>46004</v>
      </c>
      <c r="E248" s="77">
        <f t="shared" si="36"/>
        <v>46011</v>
      </c>
      <c r="F248" s="77">
        <f t="shared" si="37"/>
        <v>46017</v>
      </c>
      <c r="G248" s="77">
        <f t="shared" si="38"/>
        <v>46005</v>
      </c>
      <c r="H248" s="77">
        <f t="shared" si="39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34"/>
        <v>46020</v>
      </c>
      <c r="D249" s="77">
        <f t="shared" si="35"/>
        <v>46004</v>
      </c>
      <c r="E249" s="77">
        <f t="shared" si="36"/>
        <v>46011</v>
      </c>
      <c r="F249" s="77">
        <f t="shared" si="37"/>
        <v>46017</v>
      </c>
      <c r="G249" s="77">
        <f t="shared" si="38"/>
        <v>46005</v>
      </c>
      <c r="H249" s="77">
        <f t="shared" si="39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34"/>
        <v>46020</v>
      </c>
      <c r="D250" s="77">
        <f t="shared" si="35"/>
        <v>46004</v>
      </c>
      <c r="E250" s="77">
        <f t="shared" si="36"/>
        <v>46011</v>
      </c>
      <c r="F250" s="77">
        <f t="shared" si="37"/>
        <v>46017</v>
      </c>
      <c r="G250" s="77">
        <f t="shared" si="38"/>
        <v>46005</v>
      </c>
      <c r="H250" s="77">
        <f t="shared" si="39"/>
        <v>46012</v>
      </c>
      <c r="I250" s="77"/>
      <c r="J250" s="78"/>
      <c r="K250" s="25"/>
      <c r="L250" s="25"/>
      <c r="M250" s="25"/>
      <c r="N250" s="25"/>
    </row>
    <row r="251" spans="1:14" x14ac:dyDescent="0.25">
      <c r="A251" s="77">
        <v>45997</v>
      </c>
      <c r="B251" s="25" t="s">
        <v>445</v>
      </c>
      <c r="C251" s="77">
        <f t="shared" si="34"/>
        <v>46020</v>
      </c>
      <c r="D251" s="77">
        <f t="shared" si="35"/>
        <v>46004</v>
      </c>
      <c r="E251" s="77">
        <f t="shared" si="36"/>
        <v>46011</v>
      </c>
      <c r="F251" s="77">
        <f t="shared" si="37"/>
        <v>46017</v>
      </c>
      <c r="G251" s="77">
        <f t="shared" si="38"/>
        <v>46005</v>
      </c>
      <c r="H251" s="77">
        <f t="shared" si="39"/>
        <v>46012</v>
      </c>
      <c r="I251" s="77"/>
      <c r="J251" s="78"/>
      <c r="K251" s="25"/>
      <c r="L251" s="25"/>
      <c r="M251" s="25"/>
      <c r="N251" s="25"/>
    </row>
    <row r="252" spans="1:14" x14ac:dyDescent="0.25">
      <c r="A252" s="77">
        <v>45997</v>
      </c>
      <c r="B252" s="25" t="s">
        <v>446</v>
      </c>
      <c r="C252" s="77">
        <f t="shared" si="34"/>
        <v>46020</v>
      </c>
      <c r="D252" s="77">
        <f t="shared" si="35"/>
        <v>46004</v>
      </c>
      <c r="E252" s="77">
        <f t="shared" si="36"/>
        <v>46011</v>
      </c>
      <c r="F252" s="77">
        <f t="shared" si="37"/>
        <v>46017</v>
      </c>
      <c r="G252" s="77">
        <f t="shared" si="38"/>
        <v>46005</v>
      </c>
      <c r="H252" s="77">
        <f t="shared" si="39"/>
        <v>46012</v>
      </c>
      <c r="I252" s="77"/>
      <c r="J252" s="78"/>
      <c r="K252" s="25"/>
      <c r="L252" s="25"/>
      <c r="M252" s="25"/>
      <c r="N252" s="25"/>
    </row>
    <row r="253" spans="1:14" x14ac:dyDescent="0.25">
      <c r="A253" s="77">
        <v>45997</v>
      </c>
      <c r="B253" s="25" t="s">
        <v>447</v>
      </c>
      <c r="C253" s="77">
        <f t="shared" si="34"/>
        <v>46020</v>
      </c>
      <c r="D253" s="77">
        <f t="shared" si="35"/>
        <v>46004</v>
      </c>
      <c r="E253" s="77">
        <f t="shared" si="36"/>
        <v>46011</v>
      </c>
      <c r="F253" s="77">
        <f t="shared" si="37"/>
        <v>46017</v>
      </c>
      <c r="G253" s="77">
        <f t="shared" si="38"/>
        <v>46005</v>
      </c>
      <c r="H253" s="77">
        <f t="shared" si="39"/>
        <v>46012</v>
      </c>
      <c r="I253" s="77"/>
      <c r="J253" s="78"/>
      <c r="K253" s="25"/>
      <c r="L253" s="25"/>
      <c r="M253" s="25"/>
      <c r="N253" s="25"/>
    </row>
    <row r="254" spans="1:14" x14ac:dyDescent="0.25">
      <c r="A254" s="77">
        <v>45997</v>
      </c>
      <c r="B254" s="25" t="s">
        <v>450</v>
      </c>
      <c r="C254" s="77">
        <f t="shared" si="34"/>
        <v>46020</v>
      </c>
      <c r="D254" s="77">
        <f t="shared" si="35"/>
        <v>46004</v>
      </c>
      <c r="E254" s="77">
        <f t="shared" si="36"/>
        <v>46011</v>
      </c>
      <c r="F254" s="77">
        <f t="shared" si="37"/>
        <v>46017</v>
      </c>
      <c r="G254" s="77">
        <f t="shared" si="38"/>
        <v>46005</v>
      </c>
      <c r="H254" s="77">
        <f t="shared" si="39"/>
        <v>46012</v>
      </c>
      <c r="I254" s="77"/>
      <c r="J254" s="78"/>
      <c r="K254" s="25"/>
      <c r="L254" s="25"/>
      <c r="M254" s="25"/>
      <c r="N254" s="25"/>
    </row>
    <row r="255" spans="1:14" x14ac:dyDescent="0.25">
      <c r="A255" s="77">
        <v>45998</v>
      </c>
      <c r="B255" s="25" t="s">
        <v>442</v>
      </c>
      <c r="C255" s="77">
        <f t="shared" si="34"/>
        <v>46021</v>
      </c>
      <c r="D255" s="77">
        <f t="shared" si="35"/>
        <v>46005</v>
      </c>
      <c r="E255" s="77">
        <f t="shared" si="36"/>
        <v>46012</v>
      </c>
      <c r="F255" s="77">
        <f t="shared" si="37"/>
        <v>46018</v>
      </c>
      <c r="G255" s="77">
        <f t="shared" si="38"/>
        <v>46006</v>
      </c>
      <c r="H255" s="77">
        <f t="shared" si="39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34"/>
        <v>46021</v>
      </c>
      <c r="D256" s="77">
        <f t="shared" si="35"/>
        <v>46005</v>
      </c>
      <c r="E256" s="77">
        <f t="shared" si="36"/>
        <v>46012</v>
      </c>
      <c r="F256" s="77">
        <f t="shared" si="37"/>
        <v>46018</v>
      </c>
      <c r="G256" s="77">
        <f t="shared" si="38"/>
        <v>46006</v>
      </c>
      <c r="H256" s="77">
        <f t="shared" si="39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34"/>
        <v>46021</v>
      </c>
      <c r="D257" s="77">
        <f t="shared" si="35"/>
        <v>46005</v>
      </c>
      <c r="E257" s="77">
        <f t="shared" si="36"/>
        <v>46012</v>
      </c>
      <c r="F257" s="77">
        <f t="shared" si="37"/>
        <v>46018</v>
      </c>
      <c r="G257" s="77">
        <f t="shared" si="38"/>
        <v>46006</v>
      </c>
      <c r="H257" s="77">
        <f t="shared" si="39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34"/>
        <v>46021</v>
      </c>
      <c r="D258" s="77">
        <f t="shared" si="35"/>
        <v>46005</v>
      </c>
      <c r="E258" s="77">
        <f t="shared" si="36"/>
        <v>46012</v>
      </c>
      <c r="F258" s="77">
        <f t="shared" si="37"/>
        <v>46018</v>
      </c>
      <c r="G258" s="77">
        <f t="shared" si="38"/>
        <v>46006</v>
      </c>
      <c r="H258" s="77">
        <f t="shared" si="39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40">A259+23</f>
        <v>46021</v>
      </c>
      <c r="D259" s="77">
        <f t="shared" ref="D259:D322" si="41">A259+7</f>
        <v>46005</v>
      </c>
      <c r="E259" s="77">
        <f t="shared" ref="E259:E322" si="42">A259+14</f>
        <v>46012</v>
      </c>
      <c r="F259" s="77">
        <f t="shared" ref="F259:F322" si="43">A259+20</f>
        <v>46018</v>
      </c>
      <c r="G259" s="77">
        <f t="shared" ref="G259:G322" si="44">A259+8</f>
        <v>46006</v>
      </c>
      <c r="H259" s="77">
        <f t="shared" ref="H259:H322" si="45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40"/>
        <v>46021</v>
      </c>
      <c r="D260" s="77">
        <f t="shared" si="41"/>
        <v>46005</v>
      </c>
      <c r="E260" s="77">
        <f t="shared" si="42"/>
        <v>46012</v>
      </c>
      <c r="F260" s="77">
        <f t="shared" si="43"/>
        <v>46018</v>
      </c>
      <c r="G260" s="77">
        <f t="shared" si="44"/>
        <v>46006</v>
      </c>
      <c r="H260" s="77">
        <f t="shared" si="45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40"/>
        <v>46021</v>
      </c>
      <c r="D261" s="77">
        <f t="shared" si="41"/>
        <v>46005</v>
      </c>
      <c r="E261" s="77">
        <f t="shared" si="42"/>
        <v>46012</v>
      </c>
      <c r="F261" s="77">
        <f t="shared" si="43"/>
        <v>46018</v>
      </c>
      <c r="G261" s="77">
        <f t="shared" si="44"/>
        <v>46006</v>
      </c>
      <c r="H261" s="77">
        <f t="shared" si="45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40"/>
        <v>46021</v>
      </c>
      <c r="D262" s="77">
        <f t="shared" si="41"/>
        <v>46005</v>
      </c>
      <c r="E262" s="77">
        <f t="shared" si="42"/>
        <v>46012</v>
      </c>
      <c r="F262" s="77">
        <f t="shared" si="43"/>
        <v>46018</v>
      </c>
      <c r="G262" s="77">
        <f t="shared" si="44"/>
        <v>46006</v>
      </c>
      <c r="H262" s="77">
        <f t="shared" si="45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40"/>
        <v>46021</v>
      </c>
      <c r="D263" s="77">
        <f t="shared" si="41"/>
        <v>46005</v>
      </c>
      <c r="E263" s="77">
        <f t="shared" si="42"/>
        <v>46012</v>
      </c>
      <c r="F263" s="77">
        <f t="shared" si="43"/>
        <v>46018</v>
      </c>
      <c r="G263" s="77">
        <f t="shared" si="44"/>
        <v>46006</v>
      </c>
      <c r="H263" s="77">
        <f t="shared" si="45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40"/>
        <v>46022</v>
      </c>
      <c r="D264" s="77">
        <f t="shared" si="41"/>
        <v>46006</v>
      </c>
      <c r="E264" s="77">
        <f t="shared" si="42"/>
        <v>46013</v>
      </c>
      <c r="F264" s="77">
        <f t="shared" si="43"/>
        <v>46019</v>
      </c>
      <c r="G264" s="77">
        <f t="shared" si="44"/>
        <v>46007</v>
      </c>
      <c r="H264" s="77">
        <f t="shared" si="45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40"/>
        <v>46022</v>
      </c>
      <c r="D265" s="77">
        <f t="shared" si="41"/>
        <v>46006</v>
      </c>
      <c r="E265" s="77">
        <f t="shared" si="42"/>
        <v>46013</v>
      </c>
      <c r="F265" s="77">
        <f t="shared" si="43"/>
        <v>46019</v>
      </c>
      <c r="G265" s="77">
        <f t="shared" si="44"/>
        <v>46007</v>
      </c>
      <c r="H265" s="77">
        <f t="shared" si="45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40"/>
        <v>46022</v>
      </c>
      <c r="D266" s="77">
        <f t="shared" si="41"/>
        <v>46006</v>
      </c>
      <c r="E266" s="77">
        <f t="shared" si="42"/>
        <v>46013</v>
      </c>
      <c r="F266" s="77">
        <f t="shared" si="43"/>
        <v>46019</v>
      </c>
      <c r="G266" s="77">
        <f t="shared" si="44"/>
        <v>46007</v>
      </c>
      <c r="H266" s="77">
        <f t="shared" si="45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40"/>
        <v>46022</v>
      </c>
      <c r="D267" s="77">
        <f t="shared" si="41"/>
        <v>46006</v>
      </c>
      <c r="E267" s="77">
        <f t="shared" si="42"/>
        <v>46013</v>
      </c>
      <c r="F267" s="77">
        <f t="shared" si="43"/>
        <v>46019</v>
      </c>
      <c r="G267" s="77">
        <f t="shared" si="44"/>
        <v>46007</v>
      </c>
      <c r="H267" s="77">
        <f t="shared" si="45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40"/>
        <v>46022</v>
      </c>
      <c r="D268" s="77">
        <f t="shared" si="41"/>
        <v>46006</v>
      </c>
      <c r="E268" s="77">
        <f t="shared" si="42"/>
        <v>46013</v>
      </c>
      <c r="F268" s="77">
        <f t="shared" si="43"/>
        <v>46019</v>
      </c>
      <c r="G268" s="77">
        <f t="shared" si="44"/>
        <v>46007</v>
      </c>
      <c r="H268" s="77">
        <f t="shared" si="45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40"/>
        <v>46022</v>
      </c>
      <c r="D269" s="77">
        <f t="shared" si="41"/>
        <v>46006</v>
      </c>
      <c r="E269" s="77">
        <f t="shared" si="42"/>
        <v>46013</v>
      </c>
      <c r="F269" s="77">
        <f t="shared" si="43"/>
        <v>46019</v>
      </c>
      <c r="G269" s="77">
        <f t="shared" si="44"/>
        <v>46007</v>
      </c>
      <c r="H269" s="77">
        <f t="shared" si="45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40"/>
        <v>46022</v>
      </c>
      <c r="D270" s="77">
        <f t="shared" si="41"/>
        <v>46006</v>
      </c>
      <c r="E270" s="77">
        <f t="shared" si="42"/>
        <v>46013</v>
      </c>
      <c r="F270" s="77">
        <f t="shared" si="43"/>
        <v>46019</v>
      </c>
      <c r="G270" s="77">
        <f t="shared" si="44"/>
        <v>46007</v>
      </c>
      <c r="H270" s="77">
        <f t="shared" si="45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40"/>
        <v>46023</v>
      </c>
      <c r="D271" s="77">
        <f t="shared" si="41"/>
        <v>46007</v>
      </c>
      <c r="E271" s="77">
        <f t="shared" si="42"/>
        <v>46014</v>
      </c>
      <c r="F271" s="77">
        <f t="shared" si="43"/>
        <v>46020</v>
      </c>
      <c r="G271" s="77">
        <f t="shared" si="44"/>
        <v>46008</v>
      </c>
      <c r="H271" s="77">
        <f t="shared" si="45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40"/>
        <v>46023</v>
      </c>
      <c r="D272" s="77">
        <f t="shared" si="41"/>
        <v>46007</v>
      </c>
      <c r="E272" s="77">
        <f t="shared" si="42"/>
        <v>46014</v>
      </c>
      <c r="F272" s="77">
        <f t="shared" si="43"/>
        <v>46020</v>
      </c>
      <c r="G272" s="77">
        <f t="shared" si="44"/>
        <v>46008</v>
      </c>
      <c r="H272" s="77">
        <f t="shared" si="45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40"/>
        <v>46023</v>
      </c>
      <c r="D273" s="77">
        <f t="shared" si="41"/>
        <v>46007</v>
      </c>
      <c r="E273" s="77">
        <f t="shared" si="42"/>
        <v>46014</v>
      </c>
      <c r="F273" s="77">
        <f t="shared" si="43"/>
        <v>46020</v>
      </c>
      <c r="G273" s="77">
        <f t="shared" si="44"/>
        <v>46008</v>
      </c>
      <c r="H273" s="77">
        <f t="shared" si="45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40"/>
        <v>46023</v>
      </c>
      <c r="D274" s="77">
        <f t="shared" si="41"/>
        <v>46007</v>
      </c>
      <c r="E274" s="77">
        <f t="shared" si="42"/>
        <v>46014</v>
      </c>
      <c r="F274" s="77">
        <f t="shared" si="43"/>
        <v>46020</v>
      </c>
      <c r="G274" s="77">
        <f t="shared" si="44"/>
        <v>46008</v>
      </c>
      <c r="H274" s="77">
        <f t="shared" si="45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40"/>
        <v>46023</v>
      </c>
      <c r="D275" s="77">
        <f t="shared" si="41"/>
        <v>46007</v>
      </c>
      <c r="E275" s="77">
        <f t="shared" si="42"/>
        <v>46014</v>
      </c>
      <c r="F275" s="77">
        <f t="shared" si="43"/>
        <v>46020</v>
      </c>
      <c r="G275" s="77">
        <f t="shared" si="44"/>
        <v>46008</v>
      </c>
      <c r="H275" s="77">
        <f t="shared" si="45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40"/>
        <v>46023</v>
      </c>
      <c r="D276" s="77">
        <f t="shared" si="41"/>
        <v>46007</v>
      </c>
      <c r="E276" s="77">
        <f t="shared" si="42"/>
        <v>46014</v>
      </c>
      <c r="F276" s="77">
        <f t="shared" si="43"/>
        <v>46020</v>
      </c>
      <c r="G276" s="77">
        <f t="shared" si="44"/>
        <v>46008</v>
      </c>
      <c r="H276" s="77">
        <f t="shared" si="45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40"/>
        <v>46023</v>
      </c>
      <c r="D277" s="77">
        <f t="shared" si="41"/>
        <v>46007</v>
      </c>
      <c r="E277" s="77">
        <f t="shared" si="42"/>
        <v>46014</v>
      </c>
      <c r="F277" s="77">
        <f t="shared" si="43"/>
        <v>46020</v>
      </c>
      <c r="G277" s="77">
        <f t="shared" si="44"/>
        <v>46008</v>
      </c>
      <c r="H277" s="77">
        <f t="shared" si="45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40"/>
        <v>46024</v>
      </c>
      <c r="D278" s="77">
        <f t="shared" si="41"/>
        <v>46008</v>
      </c>
      <c r="E278" s="77">
        <f t="shared" si="42"/>
        <v>46015</v>
      </c>
      <c r="F278" s="77">
        <f t="shared" si="43"/>
        <v>46021</v>
      </c>
      <c r="G278" s="77">
        <f t="shared" si="44"/>
        <v>46009</v>
      </c>
      <c r="H278" s="77">
        <f t="shared" si="45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40"/>
        <v>46024</v>
      </c>
      <c r="D279" s="77">
        <f t="shared" si="41"/>
        <v>46008</v>
      </c>
      <c r="E279" s="77">
        <f t="shared" si="42"/>
        <v>46015</v>
      </c>
      <c r="F279" s="77">
        <f t="shared" si="43"/>
        <v>46021</v>
      </c>
      <c r="G279" s="77">
        <f t="shared" si="44"/>
        <v>46009</v>
      </c>
      <c r="H279" s="77">
        <f t="shared" si="45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40"/>
        <v>46024</v>
      </c>
      <c r="D280" s="77">
        <f t="shared" si="41"/>
        <v>46008</v>
      </c>
      <c r="E280" s="77">
        <f t="shared" si="42"/>
        <v>46015</v>
      </c>
      <c r="F280" s="77">
        <f t="shared" si="43"/>
        <v>46021</v>
      </c>
      <c r="G280" s="77">
        <f t="shared" si="44"/>
        <v>46009</v>
      </c>
      <c r="H280" s="77">
        <f t="shared" si="45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40"/>
        <v>46024</v>
      </c>
      <c r="D281" s="77">
        <f t="shared" si="41"/>
        <v>46008</v>
      </c>
      <c r="E281" s="77">
        <f t="shared" si="42"/>
        <v>46015</v>
      </c>
      <c r="F281" s="77">
        <f t="shared" si="43"/>
        <v>46021</v>
      </c>
      <c r="G281" s="77">
        <f t="shared" si="44"/>
        <v>46009</v>
      </c>
      <c r="H281" s="77">
        <f t="shared" si="45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40"/>
        <v>46024</v>
      </c>
      <c r="D282" s="77">
        <f t="shared" si="41"/>
        <v>46008</v>
      </c>
      <c r="E282" s="77">
        <f t="shared" si="42"/>
        <v>46015</v>
      </c>
      <c r="F282" s="77">
        <f t="shared" si="43"/>
        <v>46021</v>
      </c>
      <c r="G282" s="77">
        <f t="shared" si="44"/>
        <v>46009</v>
      </c>
      <c r="H282" s="77">
        <f t="shared" si="45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40"/>
        <v>46024</v>
      </c>
      <c r="D283" s="77">
        <f t="shared" si="41"/>
        <v>46008</v>
      </c>
      <c r="E283" s="77">
        <f t="shared" si="42"/>
        <v>46015</v>
      </c>
      <c r="F283" s="77">
        <f t="shared" si="43"/>
        <v>46021</v>
      </c>
      <c r="G283" s="77">
        <f t="shared" si="44"/>
        <v>46009</v>
      </c>
      <c r="H283" s="77">
        <f t="shared" si="45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40"/>
        <v>46024</v>
      </c>
      <c r="D284" s="77">
        <f t="shared" si="41"/>
        <v>46008</v>
      </c>
      <c r="E284" s="77">
        <f t="shared" si="42"/>
        <v>46015</v>
      </c>
      <c r="F284" s="77">
        <f t="shared" si="43"/>
        <v>46021</v>
      </c>
      <c r="G284" s="77">
        <f t="shared" si="44"/>
        <v>46009</v>
      </c>
      <c r="H284" s="77">
        <f t="shared" si="45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40"/>
        <v>46025</v>
      </c>
      <c r="D285" s="77">
        <f t="shared" si="41"/>
        <v>46009</v>
      </c>
      <c r="E285" s="77">
        <f t="shared" si="42"/>
        <v>46016</v>
      </c>
      <c r="F285" s="77">
        <f t="shared" si="43"/>
        <v>46022</v>
      </c>
      <c r="G285" s="77">
        <f t="shared" si="44"/>
        <v>46010</v>
      </c>
      <c r="H285" s="77">
        <f t="shared" si="45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40"/>
        <v>46025</v>
      </c>
      <c r="D286" s="77">
        <f t="shared" si="41"/>
        <v>46009</v>
      </c>
      <c r="E286" s="77">
        <f t="shared" si="42"/>
        <v>46016</v>
      </c>
      <c r="F286" s="77">
        <f t="shared" si="43"/>
        <v>46022</v>
      </c>
      <c r="G286" s="77">
        <f t="shared" si="44"/>
        <v>46010</v>
      </c>
      <c r="H286" s="77">
        <f t="shared" si="45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40"/>
        <v>46025</v>
      </c>
      <c r="D287" s="77">
        <f t="shared" si="41"/>
        <v>46009</v>
      </c>
      <c r="E287" s="77">
        <f t="shared" si="42"/>
        <v>46016</v>
      </c>
      <c r="F287" s="77">
        <f t="shared" si="43"/>
        <v>46022</v>
      </c>
      <c r="G287" s="77">
        <f t="shared" si="44"/>
        <v>46010</v>
      </c>
      <c r="H287" s="77">
        <f t="shared" si="45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40"/>
        <v>46025</v>
      </c>
      <c r="D288" s="77">
        <f t="shared" si="41"/>
        <v>46009</v>
      </c>
      <c r="E288" s="77">
        <f t="shared" si="42"/>
        <v>46016</v>
      </c>
      <c r="F288" s="77">
        <f t="shared" si="43"/>
        <v>46022</v>
      </c>
      <c r="G288" s="77">
        <f t="shared" si="44"/>
        <v>46010</v>
      </c>
      <c r="H288" s="77">
        <f t="shared" si="45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40"/>
        <v>46025</v>
      </c>
      <c r="D289" s="77">
        <f t="shared" si="41"/>
        <v>46009</v>
      </c>
      <c r="E289" s="77">
        <f t="shared" si="42"/>
        <v>46016</v>
      </c>
      <c r="F289" s="77">
        <f t="shared" si="43"/>
        <v>46022</v>
      </c>
      <c r="G289" s="77">
        <f t="shared" si="44"/>
        <v>46010</v>
      </c>
      <c r="H289" s="77">
        <f t="shared" si="45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40"/>
        <v>46025</v>
      </c>
      <c r="D290" s="77">
        <f t="shared" si="41"/>
        <v>46009</v>
      </c>
      <c r="E290" s="77">
        <f t="shared" si="42"/>
        <v>46016</v>
      </c>
      <c r="F290" s="77">
        <f t="shared" si="43"/>
        <v>46022</v>
      </c>
      <c r="G290" s="77">
        <f t="shared" si="44"/>
        <v>46010</v>
      </c>
      <c r="H290" s="77">
        <f t="shared" si="45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40"/>
        <v>46025</v>
      </c>
      <c r="D291" s="77">
        <f t="shared" si="41"/>
        <v>46009</v>
      </c>
      <c r="E291" s="77">
        <f t="shared" si="42"/>
        <v>46016</v>
      </c>
      <c r="F291" s="77">
        <f t="shared" si="43"/>
        <v>46022</v>
      </c>
      <c r="G291" s="77">
        <f t="shared" si="44"/>
        <v>46010</v>
      </c>
      <c r="H291" s="77">
        <f t="shared" si="45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40"/>
        <v>46026</v>
      </c>
      <c r="D292" s="77">
        <f t="shared" si="41"/>
        <v>46010</v>
      </c>
      <c r="E292" s="77">
        <f t="shared" si="42"/>
        <v>46017</v>
      </c>
      <c r="F292" s="77">
        <f t="shared" si="43"/>
        <v>46023</v>
      </c>
      <c r="G292" s="77">
        <f t="shared" si="44"/>
        <v>46011</v>
      </c>
      <c r="H292" s="77">
        <f t="shared" si="45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40"/>
        <v>46026</v>
      </c>
      <c r="D293" s="77">
        <f t="shared" si="41"/>
        <v>46010</v>
      </c>
      <c r="E293" s="77">
        <f t="shared" si="42"/>
        <v>46017</v>
      </c>
      <c r="F293" s="77">
        <f t="shared" si="43"/>
        <v>46023</v>
      </c>
      <c r="G293" s="77">
        <f t="shared" si="44"/>
        <v>46011</v>
      </c>
      <c r="H293" s="77">
        <f t="shared" si="45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40"/>
        <v>46026</v>
      </c>
      <c r="D294" s="77">
        <f t="shared" si="41"/>
        <v>46010</v>
      </c>
      <c r="E294" s="77">
        <f t="shared" si="42"/>
        <v>46017</v>
      </c>
      <c r="F294" s="77">
        <f t="shared" si="43"/>
        <v>46023</v>
      </c>
      <c r="G294" s="77">
        <f t="shared" si="44"/>
        <v>46011</v>
      </c>
      <c r="H294" s="77">
        <f t="shared" si="45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40"/>
        <v>46026</v>
      </c>
      <c r="D295" s="77">
        <f t="shared" si="41"/>
        <v>46010</v>
      </c>
      <c r="E295" s="77">
        <f t="shared" si="42"/>
        <v>46017</v>
      </c>
      <c r="F295" s="77">
        <f t="shared" si="43"/>
        <v>46023</v>
      </c>
      <c r="G295" s="77">
        <f t="shared" si="44"/>
        <v>46011</v>
      </c>
      <c r="H295" s="77">
        <f t="shared" si="45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40"/>
        <v>46026</v>
      </c>
      <c r="D296" s="77">
        <f t="shared" si="41"/>
        <v>46010</v>
      </c>
      <c r="E296" s="77">
        <f t="shared" si="42"/>
        <v>46017</v>
      </c>
      <c r="F296" s="77">
        <f t="shared" si="43"/>
        <v>46023</v>
      </c>
      <c r="G296" s="77">
        <f t="shared" si="44"/>
        <v>46011</v>
      </c>
      <c r="H296" s="77">
        <f t="shared" si="45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40"/>
        <v>46026</v>
      </c>
      <c r="D297" s="77">
        <f t="shared" si="41"/>
        <v>46010</v>
      </c>
      <c r="E297" s="77">
        <f t="shared" si="42"/>
        <v>46017</v>
      </c>
      <c r="F297" s="77">
        <f t="shared" si="43"/>
        <v>46023</v>
      </c>
      <c r="G297" s="77">
        <f t="shared" si="44"/>
        <v>46011</v>
      </c>
      <c r="H297" s="77">
        <f t="shared" si="45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40"/>
        <v>46026</v>
      </c>
      <c r="D298" s="77">
        <f t="shared" si="41"/>
        <v>46010</v>
      </c>
      <c r="E298" s="77">
        <f t="shared" si="42"/>
        <v>46017</v>
      </c>
      <c r="F298" s="77">
        <f t="shared" si="43"/>
        <v>46023</v>
      </c>
      <c r="G298" s="77">
        <f t="shared" si="44"/>
        <v>46011</v>
      </c>
      <c r="H298" s="77">
        <f t="shared" si="45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40"/>
        <v>46027</v>
      </c>
      <c r="D299" s="77">
        <f t="shared" si="41"/>
        <v>46011</v>
      </c>
      <c r="E299" s="77">
        <f t="shared" si="42"/>
        <v>46018</v>
      </c>
      <c r="F299" s="77">
        <f t="shared" si="43"/>
        <v>46024</v>
      </c>
      <c r="G299" s="77">
        <f t="shared" si="44"/>
        <v>46012</v>
      </c>
      <c r="H299" s="77">
        <f t="shared" si="45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40"/>
        <v>46027</v>
      </c>
      <c r="D300" s="77">
        <f t="shared" si="41"/>
        <v>46011</v>
      </c>
      <c r="E300" s="77">
        <f t="shared" si="42"/>
        <v>46018</v>
      </c>
      <c r="F300" s="77">
        <f t="shared" si="43"/>
        <v>46024</v>
      </c>
      <c r="G300" s="77">
        <f t="shared" si="44"/>
        <v>46012</v>
      </c>
      <c r="H300" s="77">
        <f t="shared" si="45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40"/>
        <v>46027</v>
      </c>
      <c r="D301" s="77">
        <f t="shared" si="41"/>
        <v>46011</v>
      </c>
      <c r="E301" s="77">
        <f t="shared" si="42"/>
        <v>46018</v>
      </c>
      <c r="F301" s="77">
        <f t="shared" si="43"/>
        <v>46024</v>
      </c>
      <c r="G301" s="77">
        <f t="shared" si="44"/>
        <v>46012</v>
      </c>
      <c r="H301" s="77">
        <f t="shared" si="45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40"/>
        <v>46027</v>
      </c>
      <c r="D302" s="77">
        <f t="shared" si="41"/>
        <v>46011</v>
      </c>
      <c r="E302" s="77">
        <f t="shared" si="42"/>
        <v>46018</v>
      </c>
      <c r="F302" s="77">
        <f t="shared" si="43"/>
        <v>46024</v>
      </c>
      <c r="G302" s="77">
        <f t="shared" si="44"/>
        <v>46012</v>
      </c>
      <c r="H302" s="77">
        <f t="shared" si="45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40"/>
        <v>46027</v>
      </c>
      <c r="D303" s="77">
        <f t="shared" si="41"/>
        <v>46011</v>
      </c>
      <c r="E303" s="77">
        <f t="shared" si="42"/>
        <v>46018</v>
      </c>
      <c r="F303" s="77">
        <f t="shared" si="43"/>
        <v>46024</v>
      </c>
      <c r="G303" s="77">
        <f t="shared" si="44"/>
        <v>46012</v>
      </c>
      <c r="H303" s="77">
        <f t="shared" si="45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40"/>
        <v>46027</v>
      </c>
      <c r="D304" s="77">
        <f t="shared" si="41"/>
        <v>46011</v>
      </c>
      <c r="E304" s="77">
        <f t="shared" si="42"/>
        <v>46018</v>
      </c>
      <c r="F304" s="77">
        <f t="shared" si="43"/>
        <v>46024</v>
      </c>
      <c r="G304" s="77">
        <f t="shared" si="44"/>
        <v>46012</v>
      </c>
      <c r="H304" s="77">
        <f t="shared" si="45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40"/>
        <v>46027</v>
      </c>
      <c r="D305" s="77">
        <f t="shared" si="41"/>
        <v>46011</v>
      </c>
      <c r="E305" s="77">
        <f t="shared" si="42"/>
        <v>46018</v>
      </c>
      <c r="F305" s="77">
        <f t="shared" si="43"/>
        <v>46024</v>
      </c>
      <c r="G305" s="77">
        <f t="shared" si="44"/>
        <v>46012</v>
      </c>
      <c r="H305" s="77">
        <f t="shared" si="45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40"/>
        <v>46028</v>
      </c>
      <c r="D306" s="77">
        <f t="shared" si="41"/>
        <v>46012</v>
      </c>
      <c r="E306" s="77">
        <f t="shared" si="42"/>
        <v>46019</v>
      </c>
      <c r="F306" s="77">
        <f t="shared" si="43"/>
        <v>46025</v>
      </c>
      <c r="G306" s="77">
        <f t="shared" si="44"/>
        <v>46013</v>
      </c>
      <c r="H306" s="77">
        <f t="shared" si="45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40"/>
        <v>46028</v>
      </c>
      <c r="D307" s="77">
        <f t="shared" si="41"/>
        <v>46012</v>
      </c>
      <c r="E307" s="77">
        <f t="shared" si="42"/>
        <v>46019</v>
      </c>
      <c r="F307" s="77">
        <f t="shared" si="43"/>
        <v>46025</v>
      </c>
      <c r="G307" s="77">
        <f t="shared" si="44"/>
        <v>46013</v>
      </c>
      <c r="H307" s="77">
        <f t="shared" si="45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40"/>
        <v>46028</v>
      </c>
      <c r="D308" s="77">
        <f t="shared" si="41"/>
        <v>46012</v>
      </c>
      <c r="E308" s="77">
        <f t="shared" si="42"/>
        <v>46019</v>
      </c>
      <c r="F308" s="77">
        <f t="shared" si="43"/>
        <v>46025</v>
      </c>
      <c r="G308" s="77">
        <f t="shared" si="44"/>
        <v>46013</v>
      </c>
      <c r="H308" s="77">
        <f t="shared" si="45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40"/>
        <v>46028</v>
      </c>
      <c r="D309" s="77">
        <f t="shared" si="41"/>
        <v>46012</v>
      </c>
      <c r="E309" s="77">
        <f t="shared" si="42"/>
        <v>46019</v>
      </c>
      <c r="F309" s="77">
        <f t="shared" si="43"/>
        <v>46025</v>
      </c>
      <c r="G309" s="77">
        <f t="shared" si="44"/>
        <v>46013</v>
      </c>
      <c r="H309" s="77">
        <f t="shared" si="45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40"/>
        <v>46028</v>
      </c>
      <c r="D310" s="77">
        <f t="shared" si="41"/>
        <v>46012</v>
      </c>
      <c r="E310" s="77">
        <f t="shared" si="42"/>
        <v>46019</v>
      </c>
      <c r="F310" s="77">
        <f t="shared" si="43"/>
        <v>46025</v>
      </c>
      <c r="G310" s="77">
        <f t="shared" si="44"/>
        <v>46013</v>
      </c>
      <c r="H310" s="77">
        <f t="shared" si="45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40"/>
        <v>46028</v>
      </c>
      <c r="D311" s="77">
        <f t="shared" si="41"/>
        <v>46012</v>
      </c>
      <c r="E311" s="77">
        <f t="shared" si="42"/>
        <v>46019</v>
      </c>
      <c r="F311" s="77">
        <f t="shared" si="43"/>
        <v>46025</v>
      </c>
      <c r="G311" s="77">
        <f t="shared" si="44"/>
        <v>46013</v>
      </c>
      <c r="H311" s="77">
        <f t="shared" si="45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40"/>
        <v>46028</v>
      </c>
      <c r="D312" s="77">
        <f t="shared" si="41"/>
        <v>46012</v>
      </c>
      <c r="E312" s="77">
        <f t="shared" si="42"/>
        <v>46019</v>
      </c>
      <c r="F312" s="77">
        <f t="shared" si="43"/>
        <v>46025</v>
      </c>
      <c r="G312" s="77">
        <f t="shared" si="44"/>
        <v>46013</v>
      </c>
      <c r="H312" s="77">
        <f t="shared" si="45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40"/>
        <v>46028</v>
      </c>
      <c r="D313" s="77">
        <f t="shared" si="41"/>
        <v>46012</v>
      </c>
      <c r="E313" s="77">
        <f t="shared" si="42"/>
        <v>46019</v>
      </c>
      <c r="F313" s="77">
        <f t="shared" si="43"/>
        <v>46025</v>
      </c>
      <c r="G313" s="77">
        <f t="shared" si="44"/>
        <v>46013</v>
      </c>
      <c r="H313" s="77">
        <f t="shared" si="45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40"/>
        <v>46029</v>
      </c>
      <c r="D314" s="77">
        <f t="shared" si="41"/>
        <v>46013</v>
      </c>
      <c r="E314" s="77">
        <f t="shared" si="42"/>
        <v>46020</v>
      </c>
      <c r="F314" s="77">
        <f t="shared" si="43"/>
        <v>46026</v>
      </c>
      <c r="G314" s="77">
        <f t="shared" si="44"/>
        <v>46014</v>
      </c>
      <c r="H314" s="77">
        <f t="shared" si="45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40"/>
        <v>46029</v>
      </c>
      <c r="D315" s="77">
        <f t="shared" si="41"/>
        <v>46013</v>
      </c>
      <c r="E315" s="77">
        <f t="shared" si="42"/>
        <v>46020</v>
      </c>
      <c r="F315" s="77">
        <f t="shared" si="43"/>
        <v>46026</v>
      </c>
      <c r="G315" s="77">
        <f t="shared" si="44"/>
        <v>46014</v>
      </c>
      <c r="H315" s="77">
        <f t="shared" si="45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40"/>
        <v>46029</v>
      </c>
      <c r="D316" s="77">
        <f t="shared" si="41"/>
        <v>46013</v>
      </c>
      <c r="E316" s="77">
        <f t="shared" si="42"/>
        <v>46020</v>
      </c>
      <c r="F316" s="77">
        <f t="shared" si="43"/>
        <v>46026</v>
      </c>
      <c r="G316" s="77">
        <f t="shared" si="44"/>
        <v>46014</v>
      </c>
      <c r="H316" s="77">
        <f t="shared" si="45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40"/>
        <v>46029</v>
      </c>
      <c r="D317" s="77">
        <f t="shared" si="41"/>
        <v>46013</v>
      </c>
      <c r="E317" s="77">
        <f t="shared" si="42"/>
        <v>46020</v>
      </c>
      <c r="F317" s="77">
        <f t="shared" si="43"/>
        <v>46026</v>
      </c>
      <c r="G317" s="77">
        <f t="shared" si="44"/>
        <v>46014</v>
      </c>
      <c r="H317" s="77">
        <f t="shared" si="45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40"/>
        <v>46029</v>
      </c>
      <c r="D318" s="77">
        <f t="shared" si="41"/>
        <v>46013</v>
      </c>
      <c r="E318" s="77">
        <f t="shared" si="42"/>
        <v>46020</v>
      </c>
      <c r="F318" s="77">
        <f t="shared" si="43"/>
        <v>46026</v>
      </c>
      <c r="G318" s="77">
        <f t="shared" si="44"/>
        <v>46014</v>
      </c>
      <c r="H318" s="77">
        <f t="shared" si="45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40"/>
        <v>46029</v>
      </c>
      <c r="D319" s="77">
        <f t="shared" si="41"/>
        <v>46013</v>
      </c>
      <c r="E319" s="77">
        <f t="shared" si="42"/>
        <v>46020</v>
      </c>
      <c r="F319" s="77">
        <f t="shared" si="43"/>
        <v>46026</v>
      </c>
      <c r="G319" s="77">
        <f t="shared" si="44"/>
        <v>46014</v>
      </c>
      <c r="H319" s="77">
        <f t="shared" si="45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40"/>
        <v>46029</v>
      </c>
      <c r="D320" s="77">
        <f t="shared" si="41"/>
        <v>46013</v>
      </c>
      <c r="E320" s="77">
        <f t="shared" si="42"/>
        <v>46020</v>
      </c>
      <c r="F320" s="77">
        <f t="shared" si="43"/>
        <v>46026</v>
      </c>
      <c r="G320" s="77">
        <f t="shared" si="44"/>
        <v>46014</v>
      </c>
      <c r="H320" s="77">
        <f t="shared" si="45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40"/>
        <v>46030</v>
      </c>
      <c r="D321" s="77">
        <f t="shared" si="41"/>
        <v>46014</v>
      </c>
      <c r="E321" s="77">
        <f t="shared" si="42"/>
        <v>46021</v>
      </c>
      <c r="F321" s="77">
        <f t="shared" si="43"/>
        <v>46027</v>
      </c>
      <c r="G321" s="77">
        <f t="shared" si="44"/>
        <v>46015</v>
      </c>
      <c r="H321" s="77">
        <f t="shared" si="45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40"/>
        <v>46030</v>
      </c>
      <c r="D322" s="77">
        <f t="shared" si="41"/>
        <v>46014</v>
      </c>
      <c r="E322" s="77">
        <f t="shared" si="42"/>
        <v>46021</v>
      </c>
      <c r="F322" s="77">
        <f t="shared" si="43"/>
        <v>46027</v>
      </c>
      <c r="G322" s="77">
        <f t="shared" si="44"/>
        <v>46015</v>
      </c>
      <c r="H322" s="77">
        <f t="shared" si="45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46">A323+23</f>
        <v>46030</v>
      </c>
      <c r="D323" s="77">
        <f t="shared" ref="D323:D334" si="47">A323+7</f>
        <v>46014</v>
      </c>
      <c r="E323" s="77">
        <f t="shared" ref="E323:E334" si="48">A323+14</f>
        <v>46021</v>
      </c>
      <c r="F323" s="77">
        <f t="shared" ref="F323:F334" si="49">A323+20</f>
        <v>46027</v>
      </c>
      <c r="G323" s="77">
        <f t="shared" ref="G323:G334" si="50">A323+8</f>
        <v>46015</v>
      </c>
      <c r="H323" s="77">
        <f t="shared" ref="H323:H334" si="51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46"/>
        <v>46030</v>
      </c>
      <c r="D324" s="77">
        <f t="shared" si="47"/>
        <v>46014</v>
      </c>
      <c r="E324" s="77">
        <f t="shared" si="48"/>
        <v>46021</v>
      </c>
      <c r="F324" s="77">
        <f t="shared" si="49"/>
        <v>46027</v>
      </c>
      <c r="G324" s="77">
        <f t="shared" si="50"/>
        <v>46015</v>
      </c>
      <c r="H324" s="77">
        <f t="shared" si="51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46"/>
        <v>46030</v>
      </c>
      <c r="D325" s="77">
        <f t="shared" si="47"/>
        <v>46014</v>
      </c>
      <c r="E325" s="77">
        <f t="shared" si="48"/>
        <v>46021</v>
      </c>
      <c r="F325" s="77">
        <f t="shared" si="49"/>
        <v>46027</v>
      </c>
      <c r="G325" s="77">
        <f t="shared" si="50"/>
        <v>46015</v>
      </c>
      <c r="H325" s="77">
        <f t="shared" si="51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46"/>
        <v>46030</v>
      </c>
      <c r="D326" s="77">
        <f t="shared" si="47"/>
        <v>46014</v>
      </c>
      <c r="E326" s="77">
        <f t="shared" si="48"/>
        <v>46021</v>
      </c>
      <c r="F326" s="77">
        <f t="shared" si="49"/>
        <v>46027</v>
      </c>
      <c r="G326" s="77">
        <f t="shared" si="50"/>
        <v>46015</v>
      </c>
      <c r="H326" s="77">
        <f t="shared" si="51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46"/>
        <v>46030</v>
      </c>
      <c r="D327" s="77">
        <f t="shared" si="47"/>
        <v>46014</v>
      </c>
      <c r="E327" s="77">
        <f t="shared" si="48"/>
        <v>46021</v>
      </c>
      <c r="F327" s="77">
        <f t="shared" si="49"/>
        <v>46027</v>
      </c>
      <c r="G327" s="77">
        <f t="shared" si="50"/>
        <v>46015</v>
      </c>
      <c r="H327" s="77">
        <f t="shared" si="51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46"/>
        <v>46031</v>
      </c>
      <c r="D328" s="77">
        <f t="shared" si="47"/>
        <v>46015</v>
      </c>
      <c r="E328" s="77">
        <f t="shared" si="48"/>
        <v>46022</v>
      </c>
      <c r="F328" s="77">
        <f t="shared" si="49"/>
        <v>46028</v>
      </c>
      <c r="G328" s="77">
        <f t="shared" si="50"/>
        <v>46016</v>
      </c>
      <c r="H328" s="77">
        <f t="shared" si="51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46"/>
        <v>46031</v>
      </c>
      <c r="D329" s="77">
        <f t="shared" si="47"/>
        <v>46015</v>
      </c>
      <c r="E329" s="77">
        <f t="shared" si="48"/>
        <v>46022</v>
      </c>
      <c r="F329" s="77">
        <f t="shared" si="49"/>
        <v>46028</v>
      </c>
      <c r="G329" s="77">
        <f t="shared" si="50"/>
        <v>46016</v>
      </c>
      <c r="H329" s="77">
        <f t="shared" si="51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46"/>
        <v>46031</v>
      </c>
      <c r="D330" s="77">
        <f t="shared" si="47"/>
        <v>46015</v>
      </c>
      <c r="E330" s="77">
        <f t="shared" si="48"/>
        <v>46022</v>
      </c>
      <c r="F330" s="77">
        <f t="shared" si="49"/>
        <v>46028</v>
      </c>
      <c r="G330" s="77">
        <f t="shared" si="50"/>
        <v>46016</v>
      </c>
      <c r="H330" s="77">
        <f t="shared" si="51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46"/>
        <v>46031</v>
      </c>
      <c r="D331" s="77">
        <f t="shared" si="47"/>
        <v>46015</v>
      </c>
      <c r="E331" s="77">
        <f t="shared" si="48"/>
        <v>46022</v>
      </c>
      <c r="F331" s="77">
        <f t="shared" si="49"/>
        <v>46028</v>
      </c>
      <c r="G331" s="77">
        <f t="shared" si="50"/>
        <v>46016</v>
      </c>
      <c r="H331" s="77">
        <f t="shared" si="51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46"/>
        <v>46031</v>
      </c>
      <c r="D332" s="77">
        <f t="shared" si="47"/>
        <v>46015</v>
      </c>
      <c r="E332" s="77">
        <f t="shared" si="48"/>
        <v>46022</v>
      </c>
      <c r="F332" s="77">
        <f t="shared" si="49"/>
        <v>46028</v>
      </c>
      <c r="G332" s="77">
        <f t="shared" si="50"/>
        <v>46016</v>
      </c>
      <c r="H332" s="77">
        <f t="shared" si="51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46"/>
        <v>46031</v>
      </c>
      <c r="D333" s="77">
        <f t="shared" si="47"/>
        <v>46015</v>
      </c>
      <c r="E333" s="77">
        <f t="shared" si="48"/>
        <v>46022</v>
      </c>
      <c r="F333" s="77">
        <f t="shared" si="49"/>
        <v>46028</v>
      </c>
      <c r="G333" s="77">
        <f t="shared" si="50"/>
        <v>46016</v>
      </c>
      <c r="H333" s="77">
        <f t="shared" si="51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46"/>
        <v>46031</v>
      </c>
      <c r="D334" s="77">
        <f t="shared" si="47"/>
        <v>46015</v>
      </c>
      <c r="E334" s="77">
        <f t="shared" si="48"/>
        <v>46022</v>
      </c>
      <c r="F334" s="77">
        <f t="shared" si="49"/>
        <v>46028</v>
      </c>
      <c r="G334" s="77">
        <f t="shared" si="50"/>
        <v>46016</v>
      </c>
      <c r="H334" s="77">
        <f t="shared" si="51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52">A335+23</f>
        <v>46032</v>
      </c>
      <c r="D335" s="77">
        <f t="shared" ref="D335:D348" si="53">A335+7</f>
        <v>46016</v>
      </c>
      <c r="E335" s="77">
        <f t="shared" ref="E335:E348" si="54">A335+14</f>
        <v>46023</v>
      </c>
      <c r="F335" s="77">
        <f t="shared" ref="F335:F348" si="55">A335+20</f>
        <v>46029</v>
      </c>
      <c r="G335" s="77">
        <f t="shared" ref="G335:G348" si="56">A335+8</f>
        <v>46017</v>
      </c>
      <c r="H335" s="77">
        <f t="shared" ref="H335:H348" si="57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52"/>
        <v>46032</v>
      </c>
      <c r="D336" s="77">
        <f t="shared" si="53"/>
        <v>46016</v>
      </c>
      <c r="E336" s="77">
        <f t="shared" si="54"/>
        <v>46023</v>
      </c>
      <c r="F336" s="77">
        <f t="shared" si="55"/>
        <v>46029</v>
      </c>
      <c r="G336" s="77">
        <f t="shared" si="56"/>
        <v>46017</v>
      </c>
      <c r="H336" s="77">
        <f t="shared" si="57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52"/>
        <v>46032</v>
      </c>
      <c r="D337" s="77">
        <f t="shared" si="53"/>
        <v>46016</v>
      </c>
      <c r="E337" s="77">
        <f t="shared" si="54"/>
        <v>46023</v>
      </c>
      <c r="F337" s="77">
        <f t="shared" si="55"/>
        <v>46029</v>
      </c>
      <c r="G337" s="77">
        <f t="shared" si="56"/>
        <v>46017</v>
      </c>
      <c r="H337" s="77">
        <f t="shared" si="57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52"/>
        <v>46032</v>
      </c>
      <c r="D338" s="77">
        <f t="shared" si="53"/>
        <v>46016</v>
      </c>
      <c r="E338" s="77">
        <f t="shared" si="54"/>
        <v>46023</v>
      </c>
      <c r="F338" s="77">
        <f t="shared" si="55"/>
        <v>46029</v>
      </c>
      <c r="G338" s="77">
        <f t="shared" si="56"/>
        <v>46017</v>
      </c>
      <c r="H338" s="77">
        <f t="shared" si="57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52"/>
        <v>46032</v>
      </c>
      <c r="D339" s="77">
        <f t="shared" si="53"/>
        <v>46016</v>
      </c>
      <c r="E339" s="77">
        <f t="shared" si="54"/>
        <v>46023</v>
      </c>
      <c r="F339" s="77">
        <f t="shared" si="55"/>
        <v>46029</v>
      </c>
      <c r="G339" s="77">
        <f t="shared" si="56"/>
        <v>46017</v>
      </c>
      <c r="H339" s="77">
        <f t="shared" si="57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52"/>
        <v>46032</v>
      </c>
      <c r="D340" s="77">
        <f t="shared" si="53"/>
        <v>46016</v>
      </c>
      <c r="E340" s="77">
        <f t="shared" si="54"/>
        <v>46023</v>
      </c>
      <c r="F340" s="77">
        <f t="shared" si="55"/>
        <v>46029</v>
      </c>
      <c r="G340" s="77">
        <f t="shared" si="56"/>
        <v>46017</v>
      </c>
      <c r="H340" s="77">
        <f t="shared" si="57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52"/>
        <v>46032</v>
      </c>
      <c r="D341" s="77">
        <f t="shared" si="53"/>
        <v>46016</v>
      </c>
      <c r="E341" s="77">
        <f t="shared" si="54"/>
        <v>46023</v>
      </c>
      <c r="F341" s="77">
        <f t="shared" si="55"/>
        <v>46029</v>
      </c>
      <c r="G341" s="77">
        <f t="shared" si="56"/>
        <v>46017</v>
      </c>
      <c r="H341" s="77">
        <f t="shared" si="57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52"/>
        <v>46033</v>
      </c>
      <c r="D342" s="77">
        <f t="shared" si="53"/>
        <v>46017</v>
      </c>
      <c r="E342" s="77">
        <f t="shared" si="54"/>
        <v>46024</v>
      </c>
      <c r="F342" s="77">
        <f t="shared" si="55"/>
        <v>46030</v>
      </c>
      <c r="G342" s="77">
        <f t="shared" si="56"/>
        <v>46018</v>
      </c>
      <c r="H342" s="77">
        <f t="shared" si="57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52"/>
        <v>46033</v>
      </c>
      <c r="D343" s="77">
        <f t="shared" si="53"/>
        <v>46017</v>
      </c>
      <c r="E343" s="77">
        <f t="shared" si="54"/>
        <v>46024</v>
      </c>
      <c r="F343" s="77">
        <f t="shared" si="55"/>
        <v>46030</v>
      </c>
      <c r="G343" s="77">
        <f t="shared" si="56"/>
        <v>46018</v>
      </c>
      <c r="H343" s="77">
        <f t="shared" si="57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52"/>
        <v>46033</v>
      </c>
      <c r="D344" s="77">
        <f t="shared" si="53"/>
        <v>46017</v>
      </c>
      <c r="E344" s="77">
        <f t="shared" si="54"/>
        <v>46024</v>
      </c>
      <c r="F344" s="77">
        <f t="shared" si="55"/>
        <v>46030</v>
      </c>
      <c r="G344" s="77">
        <f t="shared" si="56"/>
        <v>46018</v>
      </c>
      <c r="H344" s="77">
        <f t="shared" si="57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52"/>
        <v>46033</v>
      </c>
      <c r="D345" s="77">
        <f t="shared" si="53"/>
        <v>46017</v>
      </c>
      <c r="E345" s="77">
        <f t="shared" si="54"/>
        <v>46024</v>
      </c>
      <c r="F345" s="77">
        <f t="shared" si="55"/>
        <v>46030</v>
      </c>
      <c r="G345" s="77">
        <f t="shared" si="56"/>
        <v>46018</v>
      </c>
      <c r="H345" s="77">
        <f t="shared" si="57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52"/>
        <v>46033</v>
      </c>
      <c r="D346" s="77">
        <f t="shared" si="53"/>
        <v>46017</v>
      </c>
      <c r="E346" s="77">
        <f t="shared" si="54"/>
        <v>46024</v>
      </c>
      <c r="F346" s="77">
        <f t="shared" si="55"/>
        <v>46030</v>
      </c>
      <c r="G346" s="77">
        <f t="shared" si="56"/>
        <v>46018</v>
      </c>
      <c r="H346" s="77">
        <f t="shared" si="57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52"/>
        <v>46033</v>
      </c>
      <c r="D347" s="77">
        <f t="shared" si="53"/>
        <v>46017</v>
      </c>
      <c r="E347" s="77">
        <f t="shared" si="54"/>
        <v>46024</v>
      </c>
      <c r="F347" s="77">
        <f t="shared" si="55"/>
        <v>46030</v>
      </c>
      <c r="G347" s="77">
        <f t="shared" si="56"/>
        <v>46018</v>
      </c>
      <c r="H347" s="77">
        <f t="shared" si="57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52"/>
        <v>46033</v>
      </c>
      <c r="D348" s="77">
        <f t="shared" si="53"/>
        <v>46017</v>
      </c>
      <c r="E348" s="77">
        <f t="shared" si="54"/>
        <v>46024</v>
      </c>
      <c r="F348" s="77">
        <f t="shared" si="55"/>
        <v>46030</v>
      </c>
      <c r="G348" s="77">
        <f t="shared" si="56"/>
        <v>46018</v>
      </c>
      <c r="H348" s="77">
        <f t="shared" si="57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58">A349+23</f>
        <v>46034</v>
      </c>
      <c r="D349" s="77">
        <f t="shared" ref="D349:D362" si="59">A349+7</f>
        <v>46018</v>
      </c>
      <c r="E349" s="77">
        <f t="shared" ref="E349:E362" si="60">A349+14</f>
        <v>46025</v>
      </c>
      <c r="F349" s="77">
        <f t="shared" ref="F349:F362" si="61">A349+20</f>
        <v>46031</v>
      </c>
      <c r="G349" s="77">
        <f t="shared" ref="G349:G362" si="62">A349+8</f>
        <v>46019</v>
      </c>
      <c r="H349" s="77">
        <f t="shared" ref="H349:H362" si="63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58"/>
        <v>46034</v>
      </c>
      <c r="D350" s="77">
        <f t="shared" si="59"/>
        <v>46018</v>
      </c>
      <c r="E350" s="77">
        <f t="shared" si="60"/>
        <v>46025</v>
      </c>
      <c r="F350" s="77">
        <f t="shared" si="61"/>
        <v>46031</v>
      </c>
      <c r="G350" s="77">
        <f t="shared" si="62"/>
        <v>46019</v>
      </c>
      <c r="H350" s="77">
        <f t="shared" si="63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58"/>
        <v>46034</v>
      </c>
      <c r="D351" s="77">
        <f t="shared" si="59"/>
        <v>46018</v>
      </c>
      <c r="E351" s="77">
        <f t="shared" si="60"/>
        <v>46025</v>
      </c>
      <c r="F351" s="77">
        <f t="shared" si="61"/>
        <v>46031</v>
      </c>
      <c r="G351" s="77">
        <f t="shared" si="62"/>
        <v>46019</v>
      </c>
      <c r="H351" s="77">
        <f t="shared" si="63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58"/>
        <v>46034</v>
      </c>
      <c r="D352" s="77">
        <f t="shared" si="59"/>
        <v>46018</v>
      </c>
      <c r="E352" s="77">
        <f t="shared" si="60"/>
        <v>46025</v>
      </c>
      <c r="F352" s="77">
        <f t="shared" si="61"/>
        <v>46031</v>
      </c>
      <c r="G352" s="77">
        <f t="shared" si="62"/>
        <v>46019</v>
      </c>
      <c r="H352" s="77">
        <f t="shared" si="63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58"/>
        <v>46034</v>
      </c>
      <c r="D353" s="77">
        <f t="shared" si="59"/>
        <v>46018</v>
      </c>
      <c r="E353" s="77">
        <f t="shared" si="60"/>
        <v>46025</v>
      </c>
      <c r="F353" s="77">
        <f t="shared" si="61"/>
        <v>46031</v>
      </c>
      <c r="G353" s="77">
        <f t="shared" si="62"/>
        <v>46019</v>
      </c>
      <c r="H353" s="77">
        <f t="shared" si="63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58"/>
        <v>46034</v>
      </c>
      <c r="D354" s="77">
        <f t="shared" si="59"/>
        <v>46018</v>
      </c>
      <c r="E354" s="77">
        <f t="shared" si="60"/>
        <v>46025</v>
      </c>
      <c r="F354" s="77">
        <f t="shared" si="61"/>
        <v>46031</v>
      </c>
      <c r="G354" s="77">
        <f t="shared" si="62"/>
        <v>46019</v>
      </c>
      <c r="H354" s="77">
        <f t="shared" si="63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58"/>
        <v>46034</v>
      </c>
      <c r="D355" s="77">
        <f t="shared" si="59"/>
        <v>46018</v>
      </c>
      <c r="E355" s="77">
        <f t="shared" si="60"/>
        <v>46025</v>
      </c>
      <c r="F355" s="77">
        <f t="shared" si="61"/>
        <v>46031</v>
      </c>
      <c r="G355" s="77">
        <f t="shared" si="62"/>
        <v>46019</v>
      </c>
      <c r="H355" s="77">
        <f t="shared" si="63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58"/>
        <v>46035</v>
      </c>
      <c r="D356" s="77">
        <f t="shared" si="59"/>
        <v>46019</v>
      </c>
      <c r="E356" s="77">
        <f t="shared" si="60"/>
        <v>46026</v>
      </c>
      <c r="F356" s="77">
        <f t="shared" si="61"/>
        <v>46032</v>
      </c>
      <c r="G356" s="77">
        <f t="shared" si="62"/>
        <v>46020</v>
      </c>
      <c r="H356" s="77">
        <f t="shared" si="63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58"/>
        <v>46035</v>
      </c>
      <c r="D357" s="77">
        <f t="shared" si="59"/>
        <v>46019</v>
      </c>
      <c r="E357" s="77">
        <f t="shared" si="60"/>
        <v>46026</v>
      </c>
      <c r="F357" s="77">
        <f t="shared" si="61"/>
        <v>46032</v>
      </c>
      <c r="G357" s="77">
        <f t="shared" si="62"/>
        <v>46020</v>
      </c>
      <c r="H357" s="77">
        <f t="shared" si="63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58"/>
        <v>46035</v>
      </c>
      <c r="D358" s="77">
        <f t="shared" si="59"/>
        <v>46019</v>
      </c>
      <c r="E358" s="77">
        <f t="shared" si="60"/>
        <v>46026</v>
      </c>
      <c r="F358" s="77">
        <f t="shared" si="61"/>
        <v>46032</v>
      </c>
      <c r="G358" s="77">
        <f t="shared" si="62"/>
        <v>46020</v>
      </c>
      <c r="H358" s="77">
        <f t="shared" si="63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58"/>
        <v>46035</v>
      </c>
      <c r="D359" s="77">
        <f t="shared" si="59"/>
        <v>46019</v>
      </c>
      <c r="E359" s="77">
        <f t="shared" si="60"/>
        <v>46026</v>
      </c>
      <c r="F359" s="77">
        <f t="shared" si="61"/>
        <v>46032</v>
      </c>
      <c r="G359" s="77">
        <f t="shared" si="62"/>
        <v>46020</v>
      </c>
      <c r="H359" s="77">
        <f t="shared" si="63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58"/>
        <v>46035</v>
      </c>
      <c r="D360" s="77">
        <f t="shared" si="59"/>
        <v>46019</v>
      </c>
      <c r="E360" s="77">
        <f t="shared" si="60"/>
        <v>46026</v>
      </c>
      <c r="F360" s="77">
        <f t="shared" si="61"/>
        <v>46032</v>
      </c>
      <c r="G360" s="77">
        <f t="shared" si="62"/>
        <v>46020</v>
      </c>
      <c r="H360" s="77">
        <f t="shared" si="63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58"/>
        <v>46035</v>
      </c>
      <c r="D361" s="77">
        <f t="shared" si="59"/>
        <v>46019</v>
      </c>
      <c r="E361" s="77">
        <f t="shared" si="60"/>
        <v>46026</v>
      </c>
      <c r="F361" s="77">
        <f t="shared" si="61"/>
        <v>46032</v>
      </c>
      <c r="G361" s="77">
        <f t="shared" si="62"/>
        <v>46020</v>
      </c>
      <c r="H361" s="77">
        <f t="shared" si="63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58"/>
        <v>46035</v>
      </c>
      <c r="D362" s="77">
        <f t="shared" si="59"/>
        <v>46019</v>
      </c>
      <c r="E362" s="77">
        <f t="shared" si="60"/>
        <v>46026</v>
      </c>
      <c r="F362" s="77">
        <f t="shared" si="61"/>
        <v>46032</v>
      </c>
      <c r="G362" s="77">
        <f t="shared" si="62"/>
        <v>46020</v>
      </c>
      <c r="H362" s="77">
        <f t="shared" si="63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64">A363+23</f>
        <v>46036</v>
      </c>
      <c r="D363" s="77">
        <f t="shared" ref="D363:D367" si="65">A363+7</f>
        <v>46020</v>
      </c>
      <c r="E363" s="77">
        <f t="shared" ref="E363:E367" si="66">A363+14</f>
        <v>46027</v>
      </c>
      <c r="F363" s="77">
        <f t="shared" ref="F363:F367" si="67">A363+20</f>
        <v>46033</v>
      </c>
      <c r="G363" s="77">
        <f t="shared" ref="G363:G367" si="68">A363+8</f>
        <v>46021</v>
      </c>
      <c r="H363" s="77">
        <f t="shared" ref="H363:H367" si="69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64"/>
        <v>46036</v>
      </c>
      <c r="D364" s="77">
        <f t="shared" si="65"/>
        <v>46020</v>
      </c>
      <c r="E364" s="77">
        <f t="shared" si="66"/>
        <v>46027</v>
      </c>
      <c r="F364" s="77">
        <f t="shared" si="67"/>
        <v>46033</v>
      </c>
      <c r="G364" s="77">
        <f t="shared" si="68"/>
        <v>46021</v>
      </c>
      <c r="H364" s="77">
        <f t="shared" si="69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64"/>
        <v>46036</v>
      </c>
      <c r="D365" s="77">
        <f t="shared" si="65"/>
        <v>46020</v>
      </c>
      <c r="E365" s="77">
        <f t="shared" si="66"/>
        <v>46027</v>
      </c>
      <c r="F365" s="77">
        <f t="shared" si="67"/>
        <v>46033</v>
      </c>
      <c r="G365" s="77">
        <f t="shared" si="68"/>
        <v>46021</v>
      </c>
      <c r="H365" s="77">
        <f t="shared" si="69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64"/>
        <v>46036</v>
      </c>
      <c r="D366" s="77">
        <f t="shared" si="65"/>
        <v>46020</v>
      </c>
      <c r="E366" s="77">
        <f t="shared" si="66"/>
        <v>46027</v>
      </c>
      <c r="F366" s="77">
        <f t="shared" si="67"/>
        <v>46033</v>
      </c>
      <c r="G366" s="77">
        <f t="shared" si="68"/>
        <v>46021</v>
      </c>
      <c r="H366" s="77">
        <f t="shared" si="69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64"/>
        <v>46036</v>
      </c>
      <c r="D367" s="77">
        <f t="shared" si="65"/>
        <v>46020</v>
      </c>
      <c r="E367" s="77">
        <f t="shared" si="66"/>
        <v>46027</v>
      </c>
      <c r="F367" s="77">
        <f t="shared" si="67"/>
        <v>46033</v>
      </c>
      <c r="G367" s="77">
        <f t="shared" si="68"/>
        <v>46021</v>
      </c>
      <c r="H367" s="77">
        <f t="shared" si="69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405</v>
      </c>
      <c r="C370" s="77">
        <f t="shared" ref="C370:C376" si="70">A370+23</f>
        <v>46037</v>
      </c>
      <c r="D370" s="77">
        <f t="shared" ref="D370:D376" si="71">A370+7</f>
        <v>46021</v>
      </c>
      <c r="E370" s="77">
        <f t="shared" ref="E370:E376" si="72">A370+14</f>
        <v>46028</v>
      </c>
      <c r="F370" s="77">
        <f t="shared" ref="F370:F376" si="73">A370+20</f>
        <v>46034</v>
      </c>
      <c r="G370" s="77">
        <f t="shared" ref="G370:G376" si="74">A370+8</f>
        <v>46022</v>
      </c>
      <c r="H370" s="77">
        <f t="shared" ref="H370:H376" si="75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406</v>
      </c>
      <c r="C371" s="77">
        <f t="shared" si="70"/>
        <v>46037</v>
      </c>
      <c r="D371" s="77">
        <f t="shared" si="71"/>
        <v>46021</v>
      </c>
      <c r="E371" s="77">
        <f t="shared" si="72"/>
        <v>46028</v>
      </c>
      <c r="F371" s="77">
        <f t="shared" si="73"/>
        <v>46034</v>
      </c>
      <c r="G371" s="77">
        <f t="shared" si="74"/>
        <v>46022</v>
      </c>
      <c r="H371" s="77">
        <f t="shared" si="75"/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407</v>
      </c>
      <c r="C372" s="77">
        <f t="shared" si="70"/>
        <v>46037</v>
      </c>
      <c r="D372" s="77">
        <f t="shared" si="71"/>
        <v>46021</v>
      </c>
      <c r="E372" s="77">
        <f t="shared" si="72"/>
        <v>46028</v>
      </c>
      <c r="F372" s="77">
        <f t="shared" si="73"/>
        <v>46034</v>
      </c>
      <c r="G372" s="77">
        <f t="shared" si="74"/>
        <v>46022</v>
      </c>
      <c r="H372" s="77">
        <f t="shared" si="75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408</v>
      </c>
      <c r="C373" s="77">
        <f t="shared" si="70"/>
        <v>46037</v>
      </c>
      <c r="D373" s="77">
        <f t="shared" si="71"/>
        <v>46021</v>
      </c>
      <c r="E373" s="77">
        <f t="shared" si="72"/>
        <v>46028</v>
      </c>
      <c r="F373" s="77">
        <f t="shared" si="73"/>
        <v>46034</v>
      </c>
      <c r="G373" s="77">
        <f t="shared" si="74"/>
        <v>46022</v>
      </c>
      <c r="H373" s="77">
        <f t="shared" si="75"/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409</v>
      </c>
      <c r="C374" s="77">
        <f t="shared" si="70"/>
        <v>46037</v>
      </c>
      <c r="D374" s="77">
        <f t="shared" si="71"/>
        <v>46021</v>
      </c>
      <c r="E374" s="77">
        <f t="shared" si="72"/>
        <v>46028</v>
      </c>
      <c r="F374" s="77">
        <f t="shared" si="73"/>
        <v>46034</v>
      </c>
      <c r="G374" s="77">
        <f t="shared" si="74"/>
        <v>46022</v>
      </c>
      <c r="H374" s="77">
        <f t="shared" si="75"/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410</v>
      </c>
      <c r="C375" s="77">
        <f t="shared" si="70"/>
        <v>46037</v>
      </c>
      <c r="D375" s="77">
        <f t="shared" si="71"/>
        <v>46021</v>
      </c>
      <c r="E375" s="77">
        <f t="shared" si="72"/>
        <v>46028</v>
      </c>
      <c r="F375" s="77">
        <f t="shared" si="73"/>
        <v>46034</v>
      </c>
      <c r="G375" s="77">
        <f t="shared" si="74"/>
        <v>46022</v>
      </c>
      <c r="H375" s="77">
        <f t="shared" si="75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411</v>
      </c>
      <c r="C376" s="77">
        <f t="shared" si="70"/>
        <v>46037</v>
      </c>
      <c r="D376" s="77">
        <f t="shared" si="71"/>
        <v>46021</v>
      </c>
      <c r="E376" s="77">
        <f t="shared" si="72"/>
        <v>46028</v>
      </c>
      <c r="F376" s="77">
        <f t="shared" si="73"/>
        <v>46034</v>
      </c>
      <c r="G376" s="77">
        <f t="shared" si="74"/>
        <v>46022</v>
      </c>
      <c r="H376" s="77">
        <f t="shared" si="75"/>
        <v>46029</v>
      </c>
      <c r="I376" s="77"/>
      <c r="J376" s="78"/>
      <c r="K376" s="25"/>
      <c r="L376" s="25"/>
      <c r="M376" s="25"/>
      <c r="N376" s="25"/>
    </row>
  </sheetData>
  <autoFilter ref="A2:N334" xr:uid="{20199F35-F489-4132-BF95-FF556C1B36C1}">
    <sortState xmlns:xlrd2="http://schemas.microsoft.com/office/spreadsheetml/2017/richdata2" ref="A3:N334">
      <sortCondition ref="A2:A334"/>
    </sortState>
  </autoFilter>
  <phoneticPr fontId="12" type="noConversion"/>
  <conditionalFormatting sqref="A377:B1048576 I189:I1048576 A349:A376">
    <cfRule type="expression" dxfId="9" priority="2">
      <formula>$K189&gt;0</formula>
    </cfRule>
  </conditionalFormatting>
  <conditionalFormatting sqref="A1:B169 A189:B221 A222:A341 A342:B348 J349:J376 C349:H376">
    <cfRule type="expression" dxfId="8" priority="10">
      <formula>$K1&gt;0</formula>
    </cfRule>
  </conditionalFormatting>
  <conditionalFormatting sqref="B349:B355">
    <cfRule type="expression" dxfId="7" priority="4">
      <formula>$K349&gt;0</formula>
    </cfRule>
  </conditionalFormatting>
  <conditionalFormatting sqref="B365:B369">
    <cfRule type="expression" dxfId="6" priority="1">
      <formula>$K365&gt;0</formula>
    </cfRule>
  </conditionalFormatting>
  <conditionalFormatting sqref="C1:H169 A170:I188 C189:H348 C363:H1048576">
    <cfRule type="expression" dxfId="5" priority="13">
      <formula>$J1&gt;0</formula>
    </cfRule>
  </conditionalFormatting>
  <conditionalFormatting sqref="I1:I169">
    <cfRule type="expression" dxfId="4" priority="8">
      <formula>$K1&gt;0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90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2025-12-23T04:11:17Z</dcterms:modified>
</cp:coreProperties>
</file>