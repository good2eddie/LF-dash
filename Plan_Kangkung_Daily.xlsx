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C656A784-0F3B-4FC3-B195-F68B8C23B414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48" i="3" l="1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D1028" i="3"/>
  <c r="E1028" i="3"/>
  <c r="F1028" i="3"/>
  <c r="G1028" i="3"/>
  <c r="H1028" i="3"/>
  <c r="I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D1014" i="3"/>
  <c r="E1014" i="3"/>
  <c r="F1014" i="3"/>
  <c r="G1014" i="3"/>
  <c r="H1014" i="3"/>
  <c r="I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D1007" i="3"/>
  <c r="E1007" i="3"/>
  <c r="F1007" i="3"/>
  <c r="G1007" i="3"/>
  <c r="H1007" i="3"/>
  <c r="I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I996" i="3"/>
  <c r="H996" i="3"/>
  <c r="G996" i="3"/>
  <c r="F996" i="3"/>
  <c r="E996" i="3"/>
  <c r="D996" i="3"/>
  <c r="I995" i="3"/>
  <c r="H995" i="3"/>
  <c r="G995" i="3"/>
  <c r="F995" i="3"/>
  <c r="E995" i="3"/>
  <c r="D995" i="3"/>
  <c r="I994" i="3"/>
  <c r="H994" i="3"/>
  <c r="G994" i="3"/>
  <c r="F994" i="3"/>
  <c r="E994" i="3"/>
  <c r="D994" i="3"/>
  <c r="D993" i="3"/>
  <c r="E993" i="3"/>
  <c r="F993" i="3"/>
  <c r="G993" i="3"/>
  <c r="H993" i="3"/>
  <c r="I993" i="3"/>
  <c r="N857" i="3"/>
  <c r="N856" i="3"/>
  <c r="N855" i="3"/>
  <c r="N854" i="3"/>
  <c r="N853" i="3"/>
  <c r="N852" i="3"/>
  <c r="N851" i="3"/>
  <c r="N850" i="3"/>
  <c r="N849" i="3"/>
  <c r="N848" i="3"/>
  <c r="N847" i="3"/>
  <c r="N846" i="3"/>
  <c r="N845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N844" i="3"/>
  <c r="N843" i="3"/>
  <c r="N842" i="3"/>
  <c r="N841" i="3"/>
  <c r="N840" i="3"/>
  <c r="N839" i="3"/>
  <c r="N838" i="3"/>
  <c r="N837" i="3"/>
  <c r="N836" i="3"/>
  <c r="N835" i="3"/>
  <c r="N834" i="3"/>
  <c r="N833" i="3"/>
  <c r="N832" i="3"/>
  <c r="N831" i="3"/>
  <c r="N830" i="3"/>
  <c r="N829" i="3"/>
  <c r="N828" i="3"/>
  <c r="N827" i="3"/>
  <c r="N826" i="3"/>
  <c r="N825" i="3"/>
  <c r="N824" i="3"/>
  <c r="N823" i="3"/>
  <c r="N822" i="3"/>
  <c r="N821" i="3"/>
  <c r="N820" i="3"/>
  <c r="N819" i="3"/>
  <c r="N818" i="3"/>
  <c r="N817" i="3"/>
  <c r="N816" i="3"/>
  <c r="N815" i="3"/>
  <c r="N814" i="3"/>
  <c r="N813" i="3"/>
  <c r="N812" i="3"/>
  <c r="N811" i="3"/>
  <c r="N810" i="3"/>
  <c r="N809" i="3"/>
  <c r="N808" i="3"/>
  <c r="N807" i="3"/>
  <c r="N806" i="3"/>
  <c r="N805" i="3"/>
  <c r="N801" i="3"/>
  <c r="N800" i="3"/>
  <c r="N799" i="3"/>
  <c r="N798" i="3"/>
  <c r="N797" i="3"/>
  <c r="N796" i="3"/>
  <c r="N795" i="3"/>
  <c r="N794" i="3"/>
  <c r="N804" i="3"/>
  <c r="N803" i="3"/>
  <c r="N802" i="3"/>
  <c r="N793" i="3"/>
  <c r="N792" i="3"/>
  <c r="N791" i="3"/>
  <c r="N790" i="3"/>
  <c r="N789" i="3"/>
  <c r="N788" i="3"/>
  <c r="N787" i="3"/>
  <c r="N786" i="3"/>
  <c r="K835" i="3"/>
  <c r="K834" i="3"/>
  <c r="K833" i="3"/>
  <c r="K832" i="3"/>
  <c r="K831" i="3"/>
  <c r="K830" i="3"/>
  <c r="K829" i="3"/>
  <c r="K842" i="3"/>
  <c r="K841" i="3"/>
  <c r="K840" i="3"/>
  <c r="K839" i="3"/>
  <c r="K838" i="3"/>
  <c r="K837" i="3"/>
  <c r="K836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4" i="3"/>
  <c r="K803" i="3"/>
  <c r="K802" i="3"/>
  <c r="K807" i="3"/>
  <c r="K806" i="3"/>
  <c r="K805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N785" i="3"/>
  <c r="N784" i="3"/>
  <c r="N783" i="3"/>
  <c r="N782" i="3"/>
  <c r="N781" i="3"/>
  <c r="N780" i="3"/>
  <c r="N779" i="3"/>
  <c r="N778" i="3"/>
  <c r="N777" i="3"/>
  <c r="N776" i="3"/>
  <c r="N775" i="3"/>
  <c r="K785" i="3"/>
  <c r="K784" i="3"/>
  <c r="K783" i="3"/>
  <c r="K782" i="3"/>
  <c r="K781" i="3"/>
  <c r="K780" i="3"/>
  <c r="K779" i="3"/>
  <c r="K778" i="3"/>
  <c r="K777" i="3"/>
  <c r="K776" i="3"/>
  <c r="K775" i="3"/>
  <c r="I992" i="3"/>
  <c r="H992" i="3"/>
  <c r="G992" i="3"/>
  <c r="F992" i="3"/>
  <c r="E992" i="3"/>
  <c r="D992" i="3"/>
  <c r="I991" i="3"/>
  <c r="H991" i="3"/>
  <c r="G991" i="3"/>
  <c r="F991" i="3"/>
  <c r="E991" i="3"/>
  <c r="D991" i="3"/>
  <c r="I990" i="3"/>
  <c r="H990" i="3"/>
  <c r="G990" i="3"/>
  <c r="F990" i="3"/>
  <c r="E990" i="3"/>
  <c r="D990" i="3"/>
  <c r="I989" i="3"/>
  <c r="H989" i="3"/>
  <c r="G989" i="3"/>
  <c r="F989" i="3"/>
  <c r="E989" i="3"/>
  <c r="D989" i="3"/>
  <c r="I988" i="3"/>
  <c r="H988" i="3"/>
  <c r="G988" i="3"/>
  <c r="F988" i="3"/>
  <c r="E988" i="3"/>
  <c r="D988" i="3"/>
  <c r="I987" i="3"/>
  <c r="H987" i="3"/>
  <c r="G987" i="3"/>
  <c r="F987" i="3"/>
  <c r="E987" i="3"/>
  <c r="D987" i="3"/>
  <c r="D986" i="3"/>
  <c r="E986" i="3"/>
  <c r="F986" i="3"/>
  <c r="G986" i="3"/>
  <c r="H986" i="3"/>
  <c r="I986" i="3"/>
  <c r="I985" i="3"/>
  <c r="H985" i="3"/>
  <c r="G985" i="3"/>
  <c r="F985" i="3"/>
  <c r="E985" i="3"/>
  <c r="D985" i="3"/>
  <c r="I984" i="3"/>
  <c r="H984" i="3"/>
  <c r="G984" i="3"/>
  <c r="F984" i="3"/>
  <c r="E984" i="3"/>
  <c r="D984" i="3"/>
  <c r="I983" i="3"/>
  <c r="H983" i="3"/>
  <c r="G983" i="3"/>
  <c r="F983" i="3"/>
  <c r="E983" i="3"/>
  <c r="D983" i="3"/>
  <c r="I982" i="3"/>
  <c r="H982" i="3"/>
  <c r="G982" i="3"/>
  <c r="F982" i="3"/>
  <c r="E982" i="3"/>
  <c r="D982" i="3"/>
  <c r="I981" i="3"/>
  <c r="H981" i="3"/>
  <c r="G981" i="3"/>
  <c r="F981" i="3"/>
  <c r="E981" i="3"/>
  <c r="D981" i="3"/>
  <c r="I980" i="3"/>
  <c r="H980" i="3"/>
  <c r="G980" i="3"/>
  <c r="F980" i="3"/>
  <c r="E980" i="3"/>
  <c r="D980" i="3"/>
  <c r="D979" i="3"/>
  <c r="E979" i="3"/>
  <c r="F979" i="3"/>
  <c r="G979" i="3"/>
  <c r="H979" i="3"/>
  <c r="I979" i="3"/>
  <c r="I978" i="3"/>
  <c r="H978" i="3"/>
  <c r="G978" i="3"/>
  <c r="F978" i="3"/>
  <c r="E978" i="3"/>
  <c r="D978" i="3"/>
  <c r="I977" i="3"/>
  <c r="H977" i="3"/>
  <c r="G977" i="3"/>
  <c r="F977" i="3"/>
  <c r="E977" i="3"/>
  <c r="D977" i="3"/>
  <c r="I976" i="3"/>
  <c r="H976" i="3"/>
  <c r="G976" i="3"/>
  <c r="F976" i="3"/>
  <c r="E976" i="3"/>
  <c r="D976" i="3"/>
  <c r="I975" i="3"/>
  <c r="H975" i="3"/>
  <c r="G975" i="3"/>
  <c r="F975" i="3"/>
  <c r="E975" i="3"/>
  <c r="D975" i="3"/>
  <c r="I974" i="3"/>
  <c r="H974" i="3"/>
  <c r="G974" i="3"/>
  <c r="F974" i="3"/>
  <c r="E974" i="3"/>
  <c r="D974" i="3"/>
  <c r="I973" i="3"/>
  <c r="H973" i="3"/>
  <c r="G973" i="3"/>
  <c r="F973" i="3"/>
  <c r="E973" i="3"/>
  <c r="D973" i="3"/>
  <c r="D972" i="3"/>
  <c r="E972" i="3"/>
  <c r="F972" i="3"/>
  <c r="G972" i="3"/>
  <c r="H972" i="3"/>
  <c r="I972" i="3"/>
  <c r="N774" i="3"/>
  <c r="N773" i="3"/>
  <c r="N772" i="3"/>
  <c r="N771" i="3"/>
  <c r="N770" i="3"/>
  <c r="N769" i="3"/>
  <c r="K774" i="3"/>
  <c r="K773" i="3"/>
  <c r="K772" i="3"/>
  <c r="K771" i="3"/>
  <c r="K770" i="3"/>
  <c r="K769" i="3"/>
  <c r="I971" i="3"/>
  <c r="H971" i="3"/>
  <c r="G971" i="3"/>
  <c r="F971" i="3"/>
  <c r="E971" i="3"/>
  <c r="D971" i="3"/>
  <c r="I970" i="3"/>
  <c r="H970" i="3"/>
  <c r="G970" i="3"/>
  <c r="F970" i="3"/>
  <c r="E970" i="3"/>
  <c r="D970" i="3"/>
  <c r="I969" i="3"/>
  <c r="H969" i="3"/>
  <c r="G969" i="3"/>
  <c r="F969" i="3"/>
  <c r="E969" i="3"/>
  <c r="D969" i="3"/>
  <c r="I968" i="3"/>
  <c r="H968" i="3"/>
  <c r="G968" i="3"/>
  <c r="F968" i="3"/>
  <c r="E968" i="3"/>
  <c r="D968" i="3"/>
  <c r="I967" i="3"/>
  <c r="H967" i="3"/>
  <c r="G967" i="3"/>
  <c r="F967" i="3"/>
  <c r="E967" i="3"/>
  <c r="D967" i="3"/>
  <c r="I966" i="3"/>
  <c r="H966" i="3"/>
  <c r="G966" i="3"/>
  <c r="F966" i="3"/>
  <c r="E966" i="3"/>
  <c r="D966" i="3"/>
  <c r="I965" i="3"/>
  <c r="H965" i="3"/>
  <c r="G965" i="3"/>
  <c r="F965" i="3"/>
  <c r="E965" i="3"/>
  <c r="D965" i="3"/>
  <c r="I964" i="3"/>
  <c r="H964" i="3"/>
  <c r="G964" i="3"/>
  <c r="F964" i="3"/>
  <c r="E964" i="3"/>
  <c r="D964" i="3"/>
  <c r="I963" i="3"/>
  <c r="H963" i="3"/>
  <c r="G963" i="3"/>
  <c r="F963" i="3"/>
  <c r="E963" i="3"/>
  <c r="D963" i="3"/>
  <c r="I962" i="3"/>
  <c r="H962" i="3"/>
  <c r="G962" i="3"/>
  <c r="F962" i="3"/>
  <c r="E962" i="3"/>
  <c r="D962" i="3"/>
  <c r="I961" i="3"/>
  <c r="H961" i="3"/>
  <c r="G961" i="3"/>
  <c r="F961" i="3"/>
  <c r="E961" i="3"/>
  <c r="D961" i="3"/>
  <c r="I960" i="3"/>
  <c r="H960" i="3"/>
  <c r="G960" i="3"/>
  <c r="F960" i="3"/>
  <c r="E960" i="3"/>
  <c r="D960" i="3"/>
  <c r="I959" i="3"/>
  <c r="H959" i="3"/>
  <c r="G959" i="3"/>
  <c r="F959" i="3"/>
  <c r="E959" i="3"/>
  <c r="D959" i="3"/>
  <c r="I958" i="3"/>
  <c r="H958" i="3"/>
  <c r="G958" i="3"/>
  <c r="F958" i="3"/>
  <c r="E958" i="3"/>
  <c r="D958" i="3"/>
  <c r="I957" i="3"/>
  <c r="H957" i="3"/>
  <c r="G957" i="3"/>
  <c r="F957" i="3"/>
  <c r="E957" i="3"/>
  <c r="D957" i="3"/>
  <c r="I956" i="3"/>
  <c r="H956" i="3"/>
  <c r="G956" i="3"/>
  <c r="F956" i="3"/>
  <c r="E956" i="3"/>
  <c r="D956" i="3"/>
  <c r="I955" i="3"/>
  <c r="H955" i="3"/>
  <c r="G955" i="3"/>
  <c r="F955" i="3"/>
  <c r="E955" i="3"/>
  <c r="D955" i="3"/>
  <c r="I954" i="3"/>
  <c r="H954" i="3"/>
  <c r="G954" i="3"/>
  <c r="F954" i="3"/>
  <c r="E954" i="3"/>
  <c r="D954" i="3"/>
  <c r="I953" i="3"/>
  <c r="H953" i="3"/>
  <c r="G953" i="3"/>
  <c r="F953" i="3"/>
  <c r="E953" i="3"/>
  <c r="D953" i="3"/>
  <c r="I952" i="3"/>
  <c r="H952" i="3"/>
  <c r="G952" i="3"/>
  <c r="F952" i="3"/>
  <c r="E952" i="3"/>
  <c r="D952" i="3"/>
  <c r="I951" i="3"/>
  <c r="H951" i="3"/>
  <c r="G951" i="3"/>
  <c r="F951" i="3"/>
  <c r="E951" i="3"/>
  <c r="D951" i="3"/>
  <c r="I950" i="3"/>
  <c r="H950" i="3"/>
  <c r="G950" i="3"/>
  <c r="F950" i="3"/>
  <c r="E950" i="3"/>
  <c r="D950" i="3"/>
  <c r="I949" i="3"/>
  <c r="H949" i="3"/>
  <c r="G949" i="3"/>
  <c r="F949" i="3"/>
  <c r="E949" i="3"/>
  <c r="D949" i="3"/>
  <c r="I948" i="3"/>
  <c r="H948" i="3"/>
  <c r="G948" i="3"/>
  <c r="F948" i="3"/>
  <c r="E948" i="3"/>
  <c r="D948" i="3"/>
  <c r="I947" i="3"/>
  <c r="H947" i="3"/>
  <c r="G947" i="3"/>
  <c r="F947" i="3"/>
  <c r="E947" i="3"/>
  <c r="D947" i="3"/>
  <c r="I946" i="3"/>
  <c r="H946" i="3"/>
  <c r="G946" i="3"/>
  <c r="F946" i="3"/>
  <c r="E946" i="3"/>
  <c r="D946" i="3"/>
  <c r="I945" i="3"/>
  <c r="H945" i="3"/>
  <c r="G945" i="3"/>
  <c r="F945" i="3"/>
  <c r="E945" i="3"/>
  <c r="D945" i="3"/>
  <c r="I944" i="3"/>
  <c r="H944" i="3"/>
  <c r="G944" i="3"/>
  <c r="F944" i="3"/>
  <c r="E944" i="3"/>
  <c r="D944" i="3"/>
  <c r="I943" i="3"/>
  <c r="H943" i="3"/>
  <c r="G943" i="3"/>
  <c r="F943" i="3"/>
  <c r="E943" i="3"/>
  <c r="D943" i="3"/>
  <c r="I942" i="3"/>
  <c r="H942" i="3"/>
  <c r="G942" i="3"/>
  <c r="F942" i="3"/>
  <c r="E942" i="3"/>
  <c r="D942" i="3"/>
  <c r="I941" i="3"/>
  <c r="H941" i="3"/>
  <c r="G941" i="3"/>
  <c r="F941" i="3"/>
  <c r="E941" i="3"/>
  <c r="D941" i="3"/>
  <c r="I940" i="3"/>
  <c r="H940" i="3"/>
  <c r="G940" i="3"/>
  <c r="F940" i="3"/>
  <c r="E940" i="3"/>
  <c r="D940" i="3"/>
  <c r="I939" i="3"/>
  <c r="H939" i="3"/>
  <c r="G939" i="3"/>
  <c r="F939" i="3"/>
  <c r="E939" i="3"/>
  <c r="D939" i="3"/>
  <c r="I938" i="3"/>
  <c r="H938" i="3"/>
  <c r="G938" i="3"/>
  <c r="F938" i="3"/>
  <c r="E938" i="3"/>
  <c r="D938" i="3"/>
  <c r="I937" i="3"/>
  <c r="H937" i="3"/>
  <c r="G937" i="3"/>
  <c r="F937" i="3"/>
  <c r="E937" i="3"/>
  <c r="D937" i="3"/>
  <c r="I936" i="3"/>
  <c r="H936" i="3"/>
  <c r="G936" i="3"/>
  <c r="F936" i="3"/>
  <c r="E936" i="3"/>
  <c r="D936" i="3"/>
  <c r="I935" i="3"/>
  <c r="H935" i="3"/>
  <c r="G935" i="3"/>
  <c r="F935" i="3"/>
  <c r="E935" i="3"/>
  <c r="D935" i="3"/>
  <c r="I934" i="3"/>
  <c r="H934" i="3"/>
  <c r="G934" i="3"/>
  <c r="F934" i="3"/>
  <c r="E934" i="3"/>
  <c r="D934" i="3"/>
  <c r="I933" i="3"/>
  <c r="H933" i="3"/>
  <c r="G933" i="3"/>
  <c r="F933" i="3"/>
  <c r="E933" i="3"/>
  <c r="D933" i="3"/>
  <c r="I932" i="3"/>
  <c r="H932" i="3"/>
  <c r="G932" i="3"/>
  <c r="F932" i="3"/>
  <c r="E932" i="3"/>
  <c r="D932" i="3"/>
  <c r="I931" i="3"/>
  <c r="H931" i="3"/>
  <c r="G931" i="3"/>
  <c r="F931" i="3"/>
  <c r="E931" i="3"/>
  <c r="D931" i="3"/>
  <c r="I930" i="3"/>
  <c r="H930" i="3"/>
  <c r="G930" i="3"/>
  <c r="F930" i="3"/>
  <c r="E930" i="3"/>
  <c r="D930" i="3"/>
  <c r="I929" i="3"/>
  <c r="H929" i="3"/>
  <c r="G929" i="3"/>
  <c r="F929" i="3"/>
  <c r="E929" i="3"/>
  <c r="D929" i="3"/>
  <c r="I928" i="3"/>
  <c r="H928" i="3"/>
  <c r="G928" i="3"/>
  <c r="F928" i="3"/>
  <c r="E928" i="3"/>
  <c r="D928" i="3"/>
  <c r="I927" i="3"/>
  <c r="H927" i="3"/>
  <c r="G927" i="3"/>
  <c r="F927" i="3"/>
  <c r="E927" i="3"/>
  <c r="D927" i="3"/>
  <c r="I926" i="3"/>
  <c r="H926" i="3"/>
  <c r="G926" i="3"/>
  <c r="F926" i="3"/>
  <c r="E926" i="3"/>
  <c r="D926" i="3"/>
  <c r="I925" i="3"/>
  <c r="H925" i="3"/>
  <c r="G925" i="3"/>
  <c r="F925" i="3"/>
  <c r="E925" i="3"/>
  <c r="D925" i="3"/>
  <c r="I924" i="3"/>
  <c r="H924" i="3"/>
  <c r="G924" i="3"/>
  <c r="F924" i="3"/>
  <c r="E924" i="3"/>
  <c r="D924" i="3"/>
  <c r="I923" i="3"/>
  <c r="H923" i="3"/>
  <c r="G923" i="3"/>
  <c r="F923" i="3"/>
  <c r="E923" i="3"/>
  <c r="D923" i="3"/>
  <c r="I922" i="3"/>
  <c r="H922" i="3"/>
  <c r="G922" i="3"/>
  <c r="F922" i="3"/>
  <c r="E922" i="3"/>
  <c r="D922" i="3"/>
  <c r="I921" i="3"/>
  <c r="H921" i="3"/>
  <c r="G921" i="3"/>
  <c r="F921" i="3"/>
  <c r="E921" i="3"/>
  <c r="D921" i="3"/>
  <c r="I920" i="3"/>
  <c r="H920" i="3"/>
  <c r="G920" i="3"/>
  <c r="F920" i="3"/>
  <c r="E920" i="3"/>
  <c r="D920" i="3"/>
  <c r="I919" i="3"/>
  <c r="H919" i="3"/>
  <c r="G919" i="3"/>
  <c r="F919" i="3"/>
  <c r="E919" i="3"/>
  <c r="D919" i="3"/>
  <c r="I918" i="3"/>
  <c r="H918" i="3"/>
  <c r="G918" i="3"/>
  <c r="F918" i="3"/>
  <c r="E918" i="3"/>
  <c r="D918" i="3"/>
  <c r="I917" i="3"/>
  <c r="H917" i="3"/>
  <c r="G917" i="3"/>
  <c r="F917" i="3"/>
  <c r="E917" i="3"/>
  <c r="D917" i="3"/>
  <c r="I916" i="3"/>
  <c r="H916" i="3"/>
  <c r="G916" i="3"/>
  <c r="F916" i="3"/>
  <c r="E916" i="3"/>
  <c r="D916" i="3"/>
  <c r="I915" i="3"/>
  <c r="H915" i="3"/>
  <c r="G915" i="3"/>
  <c r="F915" i="3"/>
  <c r="E915" i="3"/>
  <c r="D915" i="3"/>
  <c r="I914" i="3"/>
  <c r="H914" i="3"/>
  <c r="G914" i="3"/>
  <c r="F914" i="3"/>
  <c r="E914" i="3"/>
  <c r="D914" i="3"/>
  <c r="I913" i="3"/>
  <c r="H913" i="3"/>
  <c r="G913" i="3"/>
  <c r="F913" i="3"/>
  <c r="E913" i="3"/>
  <c r="D913" i="3"/>
  <c r="I912" i="3"/>
  <c r="H912" i="3"/>
  <c r="G912" i="3"/>
  <c r="F912" i="3"/>
  <c r="E912" i="3"/>
  <c r="D912" i="3"/>
  <c r="I911" i="3"/>
  <c r="H911" i="3"/>
  <c r="G911" i="3"/>
  <c r="F911" i="3"/>
  <c r="E911" i="3"/>
  <c r="D911" i="3"/>
  <c r="I910" i="3"/>
  <c r="H910" i="3"/>
  <c r="G910" i="3"/>
  <c r="F910" i="3"/>
  <c r="E910" i="3"/>
  <c r="D910" i="3"/>
  <c r="I909" i="3"/>
  <c r="H909" i="3"/>
  <c r="G909" i="3"/>
  <c r="F909" i="3"/>
  <c r="E909" i="3"/>
  <c r="D909" i="3"/>
  <c r="I908" i="3"/>
  <c r="H908" i="3"/>
  <c r="G908" i="3"/>
  <c r="F908" i="3"/>
  <c r="E908" i="3"/>
  <c r="D908" i="3"/>
  <c r="I907" i="3"/>
  <c r="H907" i="3"/>
  <c r="G907" i="3"/>
  <c r="F907" i="3"/>
  <c r="E907" i="3"/>
  <c r="D907" i="3"/>
  <c r="I906" i="3"/>
  <c r="H906" i="3"/>
  <c r="G906" i="3"/>
  <c r="F906" i="3"/>
  <c r="E906" i="3"/>
  <c r="D906" i="3"/>
  <c r="I905" i="3"/>
  <c r="H905" i="3"/>
  <c r="G905" i="3"/>
  <c r="F905" i="3"/>
  <c r="E905" i="3"/>
  <c r="D905" i="3"/>
  <c r="I904" i="3"/>
  <c r="H904" i="3"/>
  <c r="G904" i="3"/>
  <c r="F904" i="3"/>
  <c r="E904" i="3"/>
  <c r="D904" i="3"/>
  <c r="I903" i="3"/>
  <c r="H903" i="3"/>
  <c r="G903" i="3"/>
  <c r="F903" i="3"/>
  <c r="E903" i="3"/>
  <c r="D903" i="3"/>
  <c r="I902" i="3"/>
  <c r="H902" i="3"/>
  <c r="G902" i="3"/>
  <c r="F902" i="3"/>
  <c r="E902" i="3"/>
  <c r="D902" i="3"/>
  <c r="I901" i="3"/>
  <c r="H901" i="3"/>
  <c r="G901" i="3"/>
  <c r="F901" i="3"/>
  <c r="E901" i="3"/>
  <c r="D901" i="3"/>
  <c r="I900" i="3"/>
  <c r="H900" i="3"/>
  <c r="G900" i="3"/>
  <c r="F900" i="3"/>
  <c r="E900" i="3"/>
  <c r="D900" i="3"/>
  <c r="I899" i="3"/>
  <c r="H899" i="3"/>
  <c r="G899" i="3"/>
  <c r="F899" i="3"/>
  <c r="E899" i="3"/>
  <c r="D899" i="3"/>
  <c r="I898" i="3"/>
  <c r="H898" i="3"/>
  <c r="G898" i="3"/>
  <c r="F898" i="3"/>
  <c r="E898" i="3"/>
  <c r="D898" i="3"/>
  <c r="I897" i="3"/>
  <c r="H897" i="3"/>
  <c r="G897" i="3"/>
  <c r="F897" i="3"/>
  <c r="E897" i="3"/>
  <c r="D897" i="3"/>
  <c r="I896" i="3"/>
  <c r="H896" i="3"/>
  <c r="G896" i="3"/>
  <c r="F896" i="3"/>
  <c r="E896" i="3"/>
  <c r="D896" i="3"/>
  <c r="I895" i="3"/>
  <c r="H895" i="3"/>
  <c r="G895" i="3"/>
  <c r="F895" i="3"/>
  <c r="E895" i="3"/>
  <c r="D895" i="3"/>
  <c r="I894" i="3"/>
  <c r="H894" i="3"/>
  <c r="G894" i="3"/>
  <c r="F894" i="3"/>
  <c r="E894" i="3"/>
  <c r="D894" i="3"/>
  <c r="I893" i="3"/>
  <c r="H893" i="3"/>
  <c r="G893" i="3"/>
  <c r="F893" i="3"/>
  <c r="E893" i="3"/>
  <c r="D893" i="3"/>
  <c r="I892" i="3"/>
  <c r="H892" i="3"/>
  <c r="G892" i="3"/>
  <c r="F892" i="3"/>
  <c r="E892" i="3"/>
  <c r="D892" i="3"/>
  <c r="I891" i="3"/>
  <c r="H891" i="3"/>
  <c r="G891" i="3"/>
  <c r="F891" i="3"/>
  <c r="E891" i="3"/>
  <c r="D891" i="3"/>
  <c r="I890" i="3"/>
  <c r="H890" i="3"/>
  <c r="G890" i="3"/>
  <c r="F890" i="3"/>
  <c r="E890" i="3"/>
  <c r="D890" i="3"/>
  <c r="I889" i="3"/>
  <c r="H889" i="3"/>
  <c r="G889" i="3"/>
  <c r="F889" i="3"/>
  <c r="E889" i="3"/>
  <c r="D889" i="3"/>
  <c r="I888" i="3"/>
  <c r="H888" i="3"/>
  <c r="G888" i="3"/>
  <c r="F888" i="3"/>
  <c r="E888" i="3"/>
  <c r="D888" i="3"/>
  <c r="I887" i="3"/>
  <c r="H887" i="3"/>
  <c r="G887" i="3"/>
  <c r="F887" i="3"/>
  <c r="E887" i="3"/>
  <c r="D887" i="3"/>
  <c r="I886" i="3"/>
  <c r="H886" i="3"/>
  <c r="G886" i="3"/>
  <c r="F886" i="3"/>
  <c r="E886" i="3"/>
  <c r="D886" i="3"/>
  <c r="I885" i="3"/>
  <c r="H885" i="3"/>
  <c r="G885" i="3"/>
  <c r="F885" i="3"/>
  <c r="E885" i="3"/>
  <c r="D885" i="3"/>
  <c r="I884" i="3"/>
  <c r="H884" i="3"/>
  <c r="G884" i="3"/>
  <c r="F884" i="3"/>
  <c r="E884" i="3"/>
  <c r="D884" i="3"/>
  <c r="I883" i="3"/>
  <c r="H883" i="3"/>
  <c r="G883" i="3"/>
  <c r="F883" i="3"/>
  <c r="E883" i="3"/>
  <c r="D883" i="3"/>
  <c r="I882" i="3"/>
  <c r="H882" i="3"/>
  <c r="G882" i="3"/>
  <c r="F882" i="3"/>
  <c r="E882" i="3"/>
  <c r="D882" i="3"/>
  <c r="I881" i="3"/>
  <c r="H881" i="3"/>
  <c r="G881" i="3"/>
  <c r="F881" i="3"/>
  <c r="E881" i="3"/>
  <c r="D881" i="3"/>
  <c r="I880" i="3"/>
  <c r="H880" i="3"/>
  <c r="G880" i="3"/>
  <c r="F880" i="3"/>
  <c r="E880" i="3"/>
  <c r="D880" i="3"/>
  <c r="I879" i="3"/>
  <c r="H879" i="3"/>
  <c r="G879" i="3"/>
  <c r="F879" i="3"/>
  <c r="E879" i="3"/>
  <c r="D879" i="3"/>
  <c r="I878" i="3"/>
  <c r="H878" i="3"/>
  <c r="G878" i="3"/>
  <c r="F878" i="3"/>
  <c r="E878" i="3"/>
  <c r="D878" i="3"/>
  <c r="I877" i="3"/>
  <c r="H877" i="3"/>
  <c r="G877" i="3"/>
  <c r="F877" i="3"/>
  <c r="E877" i="3"/>
  <c r="D877" i="3"/>
  <c r="I876" i="3"/>
  <c r="H876" i="3"/>
  <c r="G876" i="3"/>
  <c r="F876" i="3"/>
  <c r="E876" i="3"/>
  <c r="D876" i="3"/>
  <c r="I875" i="3"/>
  <c r="H875" i="3"/>
  <c r="G875" i="3"/>
  <c r="F875" i="3"/>
  <c r="E875" i="3"/>
  <c r="D875" i="3"/>
  <c r="I874" i="3"/>
  <c r="H874" i="3"/>
  <c r="G874" i="3"/>
  <c r="F874" i="3"/>
  <c r="E874" i="3"/>
  <c r="D874" i="3"/>
  <c r="I873" i="3"/>
  <c r="H873" i="3"/>
  <c r="G873" i="3"/>
  <c r="F873" i="3"/>
  <c r="E873" i="3"/>
  <c r="D873" i="3"/>
  <c r="I872" i="3"/>
  <c r="H872" i="3"/>
  <c r="G872" i="3"/>
  <c r="F872" i="3"/>
  <c r="E872" i="3"/>
  <c r="D872" i="3"/>
  <c r="I871" i="3"/>
  <c r="H871" i="3"/>
  <c r="G871" i="3"/>
  <c r="F871" i="3"/>
  <c r="E871" i="3"/>
  <c r="D871" i="3"/>
  <c r="I870" i="3"/>
  <c r="H870" i="3"/>
  <c r="G870" i="3"/>
  <c r="F870" i="3"/>
  <c r="E870" i="3"/>
  <c r="D870" i="3"/>
  <c r="I869" i="3"/>
  <c r="H869" i="3"/>
  <c r="G869" i="3"/>
  <c r="F869" i="3"/>
  <c r="E869" i="3"/>
  <c r="D869" i="3"/>
  <c r="I868" i="3"/>
  <c r="H868" i="3"/>
  <c r="G868" i="3"/>
  <c r="F868" i="3"/>
  <c r="E868" i="3"/>
  <c r="D868" i="3"/>
  <c r="I867" i="3"/>
  <c r="H867" i="3"/>
  <c r="G867" i="3"/>
  <c r="F867" i="3"/>
  <c r="E867" i="3"/>
  <c r="D867" i="3"/>
  <c r="I866" i="3"/>
  <c r="H866" i="3"/>
  <c r="G866" i="3"/>
  <c r="F866" i="3"/>
  <c r="E866" i="3"/>
  <c r="D866" i="3"/>
  <c r="I865" i="3"/>
  <c r="H865" i="3"/>
  <c r="G865" i="3"/>
  <c r="F865" i="3"/>
  <c r="E865" i="3"/>
  <c r="D865" i="3"/>
  <c r="I864" i="3"/>
  <c r="H864" i="3"/>
  <c r="G864" i="3"/>
  <c r="F864" i="3"/>
  <c r="E864" i="3"/>
  <c r="D864" i="3"/>
  <c r="I863" i="3"/>
  <c r="H863" i="3"/>
  <c r="G863" i="3"/>
  <c r="F863" i="3"/>
  <c r="E863" i="3"/>
  <c r="D863" i="3"/>
  <c r="I862" i="3"/>
  <c r="H862" i="3"/>
  <c r="G862" i="3"/>
  <c r="F862" i="3"/>
  <c r="E862" i="3"/>
  <c r="D862" i="3"/>
  <c r="I861" i="3"/>
  <c r="H861" i="3"/>
  <c r="G861" i="3"/>
  <c r="F861" i="3"/>
  <c r="E861" i="3"/>
  <c r="D861" i="3"/>
  <c r="I860" i="3"/>
  <c r="H860" i="3"/>
  <c r="G860" i="3"/>
  <c r="F860" i="3"/>
  <c r="E860" i="3"/>
  <c r="D860" i="3"/>
  <c r="I859" i="3"/>
  <c r="H859" i="3"/>
  <c r="G859" i="3"/>
  <c r="F859" i="3"/>
  <c r="E859" i="3"/>
  <c r="D859" i="3"/>
  <c r="I858" i="3"/>
  <c r="H858" i="3"/>
  <c r="G858" i="3"/>
  <c r="F858" i="3"/>
  <c r="E858" i="3"/>
  <c r="D858" i="3"/>
  <c r="I857" i="3"/>
  <c r="H857" i="3"/>
  <c r="G857" i="3"/>
  <c r="F857" i="3"/>
  <c r="E857" i="3"/>
  <c r="D857" i="3"/>
  <c r="I856" i="3"/>
  <c r="H856" i="3"/>
  <c r="G856" i="3"/>
  <c r="F856" i="3"/>
  <c r="E856" i="3"/>
  <c r="D856" i="3"/>
  <c r="I855" i="3"/>
  <c r="H855" i="3"/>
  <c r="G855" i="3"/>
  <c r="F855" i="3"/>
  <c r="E855" i="3"/>
  <c r="D855" i="3"/>
  <c r="I854" i="3"/>
  <c r="H854" i="3"/>
  <c r="G854" i="3"/>
  <c r="F854" i="3"/>
  <c r="E854" i="3"/>
  <c r="D854" i="3"/>
  <c r="I853" i="3"/>
  <c r="H853" i="3"/>
  <c r="G853" i="3"/>
  <c r="F853" i="3"/>
  <c r="E853" i="3"/>
  <c r="D853" i="3"/>
  <c r="I852" i="3"/>
  <c r="H852" i="3"/>
  <c r="G852" i="3"/>
  <c r="F852" i="3"/>
  <c r="E852" i="3"/>
  <c r="D852" i="3"/>
  <c r="I851" i="3"/>
  <c r="H851" i="3"/>
  <c r="G851" i="3"/>
  <c r="F851" i="3"/>
  <c r="E851" i="3"/>
  <c r="D851" i="3"/>
  <c r="I850" i="3"/>
  <c r="H850" i="3"/>
  <c r="G850" i="3"/>
  <c r="F850" i="3"/>
  <c r="E850" i="3"/>
  <c r="D850" i="3"/>
  <c r="I849" i="3"/>
  <c r="H849" i="3"/>
  <c r="G849" i="3"/>
  <c r="F849" i="3"/>
  <c r="E849" i="3"/>
  <c r="D849" i="3"/>
  <c r="I848" i="3"/>
  <c r="H848" i="3"/>
  <c r="G848" i="3"/>
  <c r="F848" i="3"/>
  <c r="E848" i="3"/>
  <c r="D848" i="3"/>
  <c r="I847" i="3"/>
  <c r="H847" i="3"/>
  <c r="G847" i="3"/>
  <c r="F847" i="3"/>
  <c r="E847" i="3"/>
  <c r="D847" i="3"/>
  <c r="I846" i="3"/>
  <c r="H846" i="3"/>
  <c r="G846" i="3"/>
  <c r="F846" i="3"/>
  <c r="E846" i="3"/>
  <c r="D846" i="3"/>
  <c r="I845" i="3"/>
  <c r="H845" i="3"/>
  <c r="G845" i="3"/>
  <c r="F845" i="3"/>
  <c r="E845" i="3"/>
  <c r="D845" i="3"/>
  <c r="I844" i="3"/>
  <c r="H844" i="3"/>
  <c r="G844" i="3"/>
  <c r="F844" i="3"/>
  <c r="E844" i="3"/>
  <c r="D844" i="3"/>
  <c r="I843" i="3"/>
  <c r="H843" i="3"/>
  <c r="G843" i="3"/>
  <c r="F843" i="3"/>
  <c r="E843" i="3"/>
  <c r="D843" i="3"/>
  <c r="I842" i="3"/>
  <c r="H842" i="3"/>
  <c r="G842" i="3"/>
  <c r="F842" i="3"/>
  <c r="E842" i="3"/>
  <c r="D842" i="3"/>
  <c r="I841" i="3"/>
  <c r="H841" i="3"/>
  <c r="G841" i="3"/>
  <c r="F841" i="3"/>
  <c r="E841" i="3"/>
  <c r="D841" i="3"/>
  <c r="I840" i="3"/>
  <c r="H840" i="3"/>
  <c r="G840" i="3"/>
  <c r="F840" i="3"/>
  <c r="E840" i="3"/>
  <c r="D840" i="3"/>
  <c r="I839" i="3"/>
  <c r="H839" i="3"/>
  <c r="G839" i="3"/>
  <c r="F839" i="3"/>
  <c r="E839" i="3"/>
  <c r="D839" i="3"/>
  <c r="I838" i="3"/>
  <c r="H838" i="3"/>
  <c r="G838" i="3"/>
  <c r="F838" i="3"/>
  <c r="E838" i="3"/>
  <c r="D838" i="3"/>
  <c r="I837" i="3"/>
  <c r="H837" i="3"/>
  <c r="G837" i="3"/>
  <c r="F837" i="3"/>
  <c r="E837" i="3"/>
  <c r="D837" i="3"/>
  <c r="I836" i="3"/>
  <c r="H836" i="3"/>
  <c r="G836" i="3"/>
  <c r="F836" i="3"/>
  <c r="E836" i="3"/>
  <c r="D836" i="3"/>
  <c r="I835" i="3"/>
  <c r="H835" i="3"/>
  <c r="G835" i="3"/>
  <c r="F835" i="3"/>
  <c r="E835" i="3"/>
  <c r="D835" i="3"/>
  <c r="I834" i="3"/>
  <c r="H834" i="3"/>
  <c r="G834" i="3"/>
  <c r="F834" i="3"/>
  <c r="E834" i="3"/>
  <c r="D834" i="3"/>
  <c r="I833" i="3"/>
  <c r="H833" i="3"/>
  <c r="G833" i="3"/>
  <c r="F833" i="3"/>
  <c r="E833" i="3"/>
  <c r="D833" i="3"/>
  <c r="I832" i="3"/>
  <c r="H832" i="3"/>
  <c r="G832" i="3"/>
  <c r="F832" i="3"/>
  <c r="E832" i="3"/>
  <c r="D832" i="3"/>
  <c r="I831" i="3"/>
  <c r="H831" i="3"/>
  <c r="G831" i="3"/>
  <c r="F831" i="3"/>
  <c r="E831" i="3"/>
  <c r="D831" i="3"/>
  <c r="I830" i="3"/>
  <c r="H830" i="3"/>
  <c r="G830" i="3"/>
  <c r="F830" i="3"/>
  <c r="E830" i="3"/>
  <c r="D830" i="3"/>
  <c r="I829" i="3"/>
  <c r="H829" i="3"/>
  <c r="G829" i="3"/>
  <c r="F829" i="3"/>
  <c r="E829" i="3"/>
  <c r="D829" i="3"/>
  <c r="I828" i="3"/>
  <c r="H828" i="3"/>
  <c r="G828" i="3"/>
  <c r="F828" i="3"/>
  <c r="E828" i="3"/>
  <c r="D828" i="3"/>
  <c r="I827" i="3"/>
  <c r="H827" i="3"/>
  <c r="G827" i="3"/>
  <c r="F827" i="3"/>
  <c r="E827" i="3"/>
  <c r="D827" i="3"/>
  <c r="I826" i="3"/>
  <c r="H826" i="3"/>
  <c r="G826" i="3"/>
  <c r="F826" i="3"/>
  <c r="E826" i="3"/>
  <c r="D826" i="3"/>
  <c r="I825" i="3"/>
  <c r="H825" i="3"/>
  <c r="G825" i="3"/>
  <c r="F825" i="3"/>
  <c r="E825" i="3"/>
  <c r="D825" i="3"/>
  <c r="I824" i="3"/>
  <c r="H824" i="3"/>
  <c r="G824" i="3"/>
  <c r="F824" i="3"/>
  <c r="E824" i="3"/>
  <c r="D824" i="3"/>
  <c r="I823" i="3"/>
  <c r="H823" i="3"/>
  <c r="G823" i="3"/>
  <c r="F823" i="3"/>
  <c r="E823" i="3"/>
  <c r="D823" i="3"/>
  <c r="I822" i="3"/>
  <c r="H822" i="3"/>
  <c r="G822" i="3"/>
  <c r="F822" i="3"/>
  <c r="E822" i="3"/>
  <c r="D822" i="3"/>
  <c r="I821" i="3"/>
  <c r="H821" i="3"/>
  <c r="G821" i="3"/>
  <c r="F821" i="3"/>
  <c r="E821" i="3"/>
  <c r="D821" i="3"/>
  <c r="I820" i="3"/>
  <c r="H820" i="3"/>
  <c r="G820" i="3"/>
  <c r="F820" i="3"/>
  <c r="E820" i="3"/>
  <c r="D820" i="3"/>
  <c r="I819" i="3"/>
  <c r="H819" i="3"/>
  <c r="G819" i="3"/>
  <c r="F819" i="3"/>
  <c r="E819" i="3"/>
  <c r="D819" i="3"/>
  <c r="I818" i="3"/>
  <c r="H818" i="3"/>
  <c r="G818" i="3"/>
  <c r="F818" i="3"/>
  <c r="E818" i="3"/>
  <c r="D818" i="3"/>
  <c r="I817" i="3"/>
  <c r="H817" i="3"/>
  <c r="G817" i="3"/>
  <c r="F817" i="3"/>
  <c r="E817" i="3"/>
  <c r="D817" i="3"/>
  <c r="I816" i="3"/>
  <c r="H816" i="3"/>
  <c r="G816" i="3"/>
  <c r="F816" i="3"/>
  <c r="E816" i="3"/>
  <c r="D816" i="3"/>
  <c r="I815" i="3"/>
  <c r="H815" i="3"/>
  <c r="G815" i="3"/>
  <c r="F815" i="3"/>
  <c r="E815" i="3"/>
  <c r="D815" i="3"/>
  <c r="I814" i="3"/>
  <c r="H814" i="3"/>
  <c r="G814" i="3"/>
  <c r="F814" i="3"/>
  <c r="E814" i="3"/>
  <c r="D814" i="3"/>
  <c r="I813" i="3"/>
  <c r="H813" i="3"/>
  <c r="G813" i="3"/>
  <c r="F813" i="3"/>
  <c r="E813" i="3"/>
  <c r="D813" i="3"/>
  <c r="I812" i="3"/>
  <c r="H812" i="3"/>
  <c r="G812" i="3"/>
  <c r="F812" i="3"/>
  <c r="E812" i="3"/>
  <c r="D812" i="3"/>
  <c r="I811" i="3"/>
  <c r="H811" i="3"/>
  <c r="G811" i="3"/>
  <c r="F811" i="3"/>
  <c r="E811" i="3"/>
  <c r="D811" i="3"/>
  <c r="I810" i="3"/>
  <c r="H810" i="3"/>
  <c r="G810" i="3"/>
  <c r="F810" i="3"/>
  <c r="E810" i="3"/>
  <c r="D810" i="3"/>
  <c r="I809" i="3"/>
  <c r="H809" i="3"/>
  <c r="G809" i="3"/>
  <c r="F809" i="3"/>
  <c r="E809" i="3"/>
  <c r="D809" i="3"/>
  <c r="I808" i="3"/>
  <c r="H808" i="3"/>
  <c r="G808" i="3"/>
  <c r="F808" i="3"/>
  <c r="E808" i="3"/>
  <c r="D808" i="3"/>
  <c r="I807" i="3"/>
  <c r="H807" i="3"/>
  <c r="G807" i="3"/>
  <c r="F807" i="3"/>
  <c r="E807" i="3"/>
  <c r="D807" i="3"/>
  <c r="I806" i="3"/>
  <c r="H806" i="3"/>
  <c r="G806" i="3"/>
  <c r="F806" i="3"/>
  <c r="E806" i="3"/>
  <c r="D806" i="3"/>
  <c r="I805" i="3"/>
  <c r="H805" i="3"/>
  <c r="G805" i="3"/>
  <c r="F805" i="3"/>
  <c r="E805" i="3"/>
  <c r="D805" i="3"/>
  <c r="I804" i="3"/>
  <c r="H804" i="3"/>
  <c r="G804" i="3"/>
  <c r="F804" i="3"/>
  <c r="E804" i="3"/>
  <c r="D804" i="3"/>
  <c r="I803" i="3"/>
  <c r="H803" i="3"/>
  <c r="G803" i="3"/>
  <c r="F803" i="3"/>
  <c r="E803" i="3"/>
  <c r="D803" i="3"/>
  <c r="I802" i="3"/>
  <c r="H802" i="3"/>
  <c r="G802" i="3"/>
  <c r="F802" i="3"/>
  <c r="E802" i="3"/>
  <c r="D802" i="3"/>
  <c r="I801" i="3"/>
  <c r="H801" i="3"/>
  <c r="G801" i="3"/>
  <c r="F801" i="3"/>
  <c r="E801" i="3"/>
  <c r="D801" i="3"/>
  <c r="I800" i="3"/>
  <c r="H800" i="3"/>
  <c r="G800" i="3"/>
  <c r="F800" i="3"/>
  <c r="E800" i="3"/>
  <c r="D800" i="3"/>
  <c r="I799" i="3"/>
  <c r="H799" i="3"/>
  <c r="G799" i="3"/>
  <c r="F799" i="3"/>
  <c r="E799" i="3"/>
  <c r="D799" i="3"/>
  <c r="I798" i="3"/>
  <c r="H798" i="3"/>
  <c r="G798" i="3"/>
  <c r="F798" i="3"/>
  <c r="E798" i="3"/>
  <c r="D798" i="3"/>
  <c r="I797" i="3"/>
  <c r="H797" i="3"/>
  <c r="G797" i="3"/>
  <c r="F797" i="3"/>
  <c r="E797" i="3"/>
  <c r="D797" i="3"/>
  <c r="I796" i="3"/>
  <c r="H796" i="3"/>
  <c r="G796" i="3"/>
  <c r="F796" i="3"/>
  <c r="E796" i="3"/>
  <c r="D796" i="3"/>
  <c r="I795" i="3"/>
  <c r="H795" i="3"/>
  <c r="G795" i="3"/>
  <c r="F795" i="3"/>
  <c r="E795" i="3"/>
  <c r="D795" i="3"/>
  <c r="I794" i="3"/>
  <c r="H794" i="3"/>
  <c r="G794" i="3"/>
  <c r="F794" i="3"/>
  <c r="E794" i="3"/>
  <c r="D794" i="3"/>
  <c r="I793" i="3"/>
  <c r="H793" i="3"/>
  <c r="G793" i="3"/>
  <c r="F793" i="3"/>
  <c r="E793" i="3"/>
  <c r="D793" i="3"/>
  <c r="I792" i="3"/>
  <c r="H792" i="3"/>
  <c r="G792" i="3"/>
  <c r="F792" i="3"/>
  <c r="E792" i="3"/>
  <c r="D792" i="3"/>
  <c r="I791" i="3"/>
  <c r="H791" i="3"/>
  <c r="G791" i="3"/>
  <c r="F791" i="3"/>
  <c r="E791" i="3"/>
  <c r="D791" i="3"/>
  <c r="I790" i="3"/>
  <c r="H790" i="3"/>
  <c r="G790" i="3"/>
  <c r="F790" i="3"/>
  <c r="E790" i="3"/>
  <c r="D790" i="3"/>
  <c r="I789" i="3"/>
  <c r="H789" i="3"/>
  <c r="G789" i="3"/>
  <c r="F789" i="3"/>
  <c r="E789" i="3"/>
  <c r="D789" i="3"/>
  <c r="I788" i="3"/>
  <c r="H788" i="3"/>
  <c r="G788" i="3"/>
  <c r="F788" i="3"/>
  <c r="E788" i="3"/>
  <c r="D788" i="3"/>
  <c r="I787" i="3"/>
  <c r="H787" i="3"/>
  <c r="G787" i="3"/>
  <c r="F787" i="3"/>
  <c r="E787" i="3"/>
  <c r="D787" i="3"/>
  <c r="I786" i="3"/>
  <c r="H786" i="3"/>
  <c r="G786" i="3"/>
  <c r="F786" i="3"/>
  <c r="E786" i="3"/>
  <c r="D786" i="3"/>
  <c r="I785" i="3"/>
  <c r="H785" i="3"/>
  <c r="G785" i="3"/>
  <c r="F785" i="3"/>
  <c r="E785" i="3"/>
  <c r="D785" i="3"/>
  <c r="I784" i="3"/>
  <c r="H784" i="3"/>
  <c r="G784" i="3"/>
  <c r="F784" i="3"/>
  <c r="E784" i="3"/>
  <c r="D784" i="3"/>
  <c r="I783" i="3"/>
  <c r="H783" i="3"/>
  <c r="G783" i="3"/>
  <c r="F783" i="3"/>
  <c r="E783" i="3"/>
  <c r="D783" i="3"/>
  <c r="I782" i="3"/>
  <c r="H782" i="3"/>
  <c r="G782" i="3"/>
  <c r="F782" i="3"/>
  <c r="E782" i="3"/>
  <c r="D782" i="3"/>
  <c r="I781" i="3"/>
  <c r="H781" i="3"/>
  <c r="G781" i="3"/>
  <c r="F781" i="3"/>
  <c r="E781" i="3"/>
  <c r="D781" i="3"/>
  <c r="I780" i="3"/>
  <c r="H780" i="3"/>
  <c r="G780" i="3"/>
  <c r="F780" i="3"/>
  <c r="E780" i="3"/>
  <c r="D780" i="3"/>
  <c r="I779" i="3"/>
  <c r="H779" i="3"/>
  <c r="G779" i="3"/>
  <c r="F779" i="3"/>
  <c r="E779" i="3"/>
  <c r="D779" i="3"/>
  <c r="I778" i="3"/>
  <c r="H778" i="3"/>
  <c r="G778" i="3"/>
  <c r="F778" i="3"/>
  <c r="E778" i="3"/>
  <c r="D778" i="3"/>
  <c r="I777" i="3"/>
  <c r="H777" i="3"/>
  <c r="G777" i="3"/>
  <c r="F777" i="3"/>
  <c r="E777" i="3"/>
  <c r="D777" i="3"/>
  <c r="I776" i="3"/>
  <c r="H776" i="3"/>
  <c r="G776" i="3"/>
  <c r="F776" i="3"/>
  <c r="E776" i="3"/>
  <c r="D776" i="3"/>
  <c r="I775" i="3"/>
  <c r="H775" i="3"/>
  <c r="G775" i="3"/>
  <c r="F775" i="3"/>
  <c r="E775" i="3"/>
  <c r="D775" i="3"/>
  <c r="I774" i="3"/>
  <c r="H774" i="3"/>
  <c r="G774" i="3"/>
  <c r="F774" i="3"/>
  <c r="E774" i="3"/>
  <c r="D774" i="3"/>
  <c r="I773" i="3"/>
  <c r="H773" i="3"/>
  <c r="G773" i="3"/>
  <c r="F773" i="3"/>
  <c r="E773" i="3"/>
  <c r="D773" i="3"/>
  <c r="I772" i="3"/>
  <c r="H772" i="3"/>
  <c r="G772" i="3"/>
  <c r="F772" i="3"/>
  <c r="E772" i="3"/>
  <c r="D772" i="3"/>
  <c r="I771" i="3"/>
  <c r="H771" i="3"/>
  <c r="G771" i="3"/>
  <c r="F771" i="3"/>
  <c r="E771" i="3"/>
  <c r="D771" i="3"/>
  <c r="I770" i="3"/>
  <c r="H770" i="3"/>
  <c r="G770" i="3"/>
  <c r="F770" i="3"/>
  <c r="E770" i="3"/>
  <c r="D770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<sst xmlns="http://schemas.openxmlformats.org/spreadsheetml/2006/main" count="7992" uniqueCount="1381">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</sst>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5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46110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123</v>
      </c>
      <c r="R6" s="25">
        <f t="shared" ca="1" si="1"/>
        <v>123</v>
      </c>
      <c r="S6" s="25">
        <f t="shared" ca="1" si="1"/>
        <v>123</v>
      </c>
      <c r="T6" s="25">
        <f t="shared" ca="1" si="1"/>
        <v>123</v>
      </c>
      <c r="U6" s="25">
        <f t="shared" ca="1" si="1"/>
        <v>124</v>
      </c>
      <c r="V6" s="25">
        <f ca="1">IF(V7="","",$B$1-V7)</f>
        <v>124</v>
      </c>
      <c r="W6" s="25">
        <f ca="1">IF(W7="","",$B$1-W7)</f>
        <v>124</v>
      </c>
      <c r="X6" s="25">
        <f ca="1">IF(X7="","",$B$1-X7)</f>
        <v>124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128</v>
      </c>
      <c r="D10" s="25">
        <f t="shared" ca="1" si="2"/>
        <v>128</v>
      </c>
      <c r="E10" s="25">
        <f t="shared" ca="1" si="2"/>
        <v>128</v>
      </c>
      <c r="F10" s="25">
        <f t="shared" ca="1" si="2"/>
        <v>128</v>
      </c>
      <c r="G10" s="25">
        <f t="shared" ca="1" si="2"/>
        <v>128</v>
      </c>
      <c r="H10" s="25">
        <f t="shared" ca="1" si="2"/>
        <v>128</v>
      </c>
      <c r="J10" s="25">
        <f t="shared" ref="J10:P10" ca="1" si="3">IF(J11="","",$B$1-J11)</f>
        <v>128</v>
      </c>
      <c r="K10" s="25">
        <f t="shared" ca="1" si="3"/>
        <v>126</v>
      </c>
      <c r="L10" s="25">
        <f t="shared" ca="1" si="3"/>
        <v>126</v>
      </c>
      <c r="M10" s="25">
        <f t="shared" ca="1" si="3"/>
        <v>126</v>
      </c>
      <c r="N10" s="25">
        <f t="shared" ca="1" si="3"/>
        <v>126</v>
      </c>
      <c r="O10" s="25">
        <f t="shared" ca="1" si="3"/>
        <v>126</v>
      </c>
      <c r="P10" s="25">
        <f t="shared" ca="1" si="3"/>
        <v>126</v>
      </c>
      <c r="R10" s="25">
        <f t="shared" ref="R10:W10" ca="1" si="4">IF(R11="","",$B$1-R11)</f>
        <v>126</v>
      </c>
      <c r="S10" s="25">
        <f t="shared" ca="1" si="4"/>
        <v>125</v>
      </c>
      <c r="T10" s="25">
        <f t="shared" ca="1" si="4"/>
        <v>125</v>
      </c>
      <c r="U10" s="25">
        <f t="shared" ca="1" si="4"/>
        <v>124</v>
      </c>
      <c r="V10" s="25">
        <f t="shared" ca="1" si="4"/>
        <v>124</v>
      </c>
      <c r="W10" s="25">
        <f t="shared" ca="1" si="4"/>
        <v>124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129</v>
      </c>
      <c r="D14" s="25">
        <f t="shared" ca="1" si="5"/>
        <v>129</v>
      </c>
      <c r="E14" s="25">
        <f t="shared" ca="1" si="5"/>
        <v>129</v>
      </c>
      <c r="F14" s="25">
        <f t="shared" ca="1" si="5"/>
        <v>129</v>
      </c>
      <c r="G14" s="25">
        <f t="shared" ca="1" si="5"/>
        <v>129</v>
      </c>
      <c r="H14" s="25">
        <f t="shared" ca="1" si="5"/>
        <v>129</v>
      </c>
      <c r="J14" s="25">
        <f t="shared" ref="J14:P14" ca="1" si="6">IF(J15="","",$B$1-J15)</f>
        <v>129</v>
      </c>
      <c r="K14" s="25">
        <f t="shared" ca="1" si="6"/>
        <v>127</v>
      </c>
      <c r="L14" s="25">
        <f t="shared" ca="1" si="6"/>
        <v>127</v>
      </c>
      <c r="M14" s="25">
        <f t="shared" ca="1" si="6"/>
        <v>127</v>
      </c>
      <c r="N14" s="25">
        <f t="shared" ca="1" si="6"/>
        <v>127</v>
      </c>
      <c r="O14" s="25">
        <f t="shared" ca="1" si="6"/>
        <v>127</v>
      </c>
      <c r="P14" s="25">
        <f t="shared" ca="1" si="6"/>
        <v>127</v>
      </c>
      <c r="R14" s="25">
        <f t="shared" ref="R14:W14" ca="1" si="7">IF(R15="","",$B$1-R15)</f>
        <v>127</v>
      </c>
      <c r="S14" s="25">
        <f t="shared" ca="1" si="7"/>
        <v>125</v>
      </c>
      <c r="T14" s="25">
        <f t="shared" ca="1" si="7"/>
        <v>125</v>
      </c>
      <c r="U14" s="25">
        <f t="shared" ca="1" si="7"/>
        <v>125</v>
      </c>
      <c r="V14" s="25">
        <f t="shared" ca="1" si="7"/>
        <v>125</v>
      </c>
      <c r="W14" s="25">
        <f t="shared" ca="1" si="7"/>
        <v>125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63</v>
      </c>
      <c r="D24" s="25">
        <f t="shared" ca="1" si="8"/>
        <v>63</v>
      </c>
      <c r="E24" s="25">
        <f t="shared" ca="1" si="8"/>
        <v>63</v>
      </c>
      <c r="F24" s="25">
        <f t="shared" ca="1" si="8"/>
        <v>63</v>
      </c>
      <c r="G24" s="25">
        <f t="shared" ca="1" si="8"/>
        <v>63</v>
      </c>
      <c r="H24" s="25">
        <f t="shared" ca="1" si="8"/>
        <v>63</v>
      </c>
      <c r="J24" s="25">
        <f ca="1">IF(J25="","",$B$1-J25)</f>
        <v>63</v>
      </c>
      <c r="K24" s="25">
        <f t="shared" ref="K24:AI24" ca="1" si="9">IF(K25="","",$B$1-K25)</f>
        <v>59</v>
      </c>
      <c r="L24" s="25">
        <f t="shared" ca="1" si="9"/>
        <v>59</v>
      </c>
      <c r="M24" s="25">
        <f t="shared" ca="1" si="9"/>
        <v>59</v>
      </c>
      <c r="N24" s="25">
        <f t="shared" ca="1" si="9"/>
        <v>59</v>
      </c>
      <c r="O24" s="25">
        <f t="shared" ca="1" si="9"/>
        <v>59</v>
      </c>
      <c r="P24" s="25">
        <f t="shared" ca="1" si="9"/>
        <v>59</v>
      </c>
      <c r="R24" s="25">
        <f t="shared" ca="1" si="9"/>
        <v>59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64</v>
      </c>
      <c r="L28" s="25">
        <f t="shared" ca="1" si="11"/>
        <v>64</v>
      </c>
      <c r="M28" s="25">
        <f t="shared" ca="1" si="11"/>
        <v>64</v>
      </c>
      <c r="N28" s="25">
        <f t="shared" ca="1" si="11"/>
        <v>64</v>
      </c>
      <c r="O28" s="25">
        <f t="shared" ca="1" si="11"/>
        <v>64</v>
      </c>
      <c r="P28" s="25">
        <f t="shared" ca="1" si="11"/>
        <v>64</v>
      </c>
      <c r="R28" s="25">
        <f t="shared" ref="R28:X28" ca="1" si="12">IF(R29="","",$B$1-R29)</f>
        <v>64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138</v>
      </c>
      <c r="D41" s="25">
        <f t="shared" ca="1" si="14"/>
        <v>138</v>
      </c>
      <c r="E41" s="25">
        <f t="shared" ca="1" si="14"/>
        <v>138</v>
      </c>
      <c r="F41" s="25">
        <f t="shared" ca="1" si="14"/>
        <v>138</v>
      </c>
      <c r="G41" s="25">
        <f t="shared" ca="1" si="14"/>
        <v>137</v>
      </c>
      <c r="H41" s="25">
        <f t="shared" ca="1" si="14"/>
        <v>137</v>
      </c>
      <c r="J41" s="25">
        <f t="shared" ca="1" si="14"/>
        <v>137</v>
      </c>
      <c r="K41" s="25">
        <f t="shared" ca="1" si="14"/>
        <v>137</v>
      </c>
      <c r="L41" s="25">
        <f t="shared" ca="1" si="14"/>
        <v>137</v>
      </c>
      <c r="M41" s="25">
        <f t="shared" ca="1" si="14"/>
        <v>137</v>
      </c>
      <c r="N41" s="25">
        <f t="shared" ca="1" si="14"/>
        <v>137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140</v>
      </c>
      <c r="D45" s="25">
        <f ca="1">IF(D46="","",$B$1-D46)</f>
        <v>140</v>
      </c>
      <c r="E45" s="25">
        <f ca="1">IF(E46="","",$B$1-E46)</f>
        <v>139</v>
      </c>
      <c r="F45" s="25">
        <f ca="1">IF(F46="","",$B$1-F46)</f>
        <v>139</v>
      </c>
      <c r="H45" s="25">
        <f ca="1">IF(H46="","",$B$1-H46)</f>
        <v>139</v>
      </c>
      <c r="J45" s="25">
        <f t="shared" ref="J45:P45" ca="1" si="15">IF(J46="","",$B$1-J46)</f>
        <v>139</v>
      </c>
      <c r="K45" s="25">
        <f t="shared" ca="1" si="15"/>
        <v>139</v>
      </c>
      <c r="L45" s="25">
        <f t="shared" ca="1" si="15"/>
        <v>139</v>
      </c>
      <c r="M45" s="25">
        <f t="shared" ca="1" si="15"/>
        <v>139</v>
      </c>
      <c r="N45" s="25">
        <f t="shared" ca="1" si="15"/>
        <v>138</v>
      </c>
      <c r="O45" s="25">
        <f t="shared" ca="1" si="15"/>
        <v>138</v>
      </c>
      <c r="P45" s="25">
        <f t="shared" ca="1" si="15"/>
        <v>138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141</v>
      </c>
      <c r="D49" s="25">
        <f ca="1">IF(D50="","",$B$1-D50)</f>
        <v>141</v>
      </c>
      <c r="E49" s="25">
        <f ca="1">IF(E50="","",$B$1-E50)</f>
        <v>141</v>
      </c>
      <c r="F49" s="25">
        <f ca="1">IF(F50="","",$B$1-F50)</f>
        <v>141</v>
      </c>
      <c r="H49" s="25">
        <f ca="1">IF(H50="","",$B$1-H50)</f>
        <v>141</v>
      </c>
      <c r="J49" s="25">
        <f t="shared" ref="J49:P49" ca="1" si="16">IF(J50="","",$B$1-J50)</f>
        <v>141</v>
      </c>
      <c r="K49" s="25">
        <f t="shared" ca="1" si="16"/>
        <v>141</v>
      </c>
      <c r="L49" s="25">
        <f t="shared" ca="1" si="16"/>
        <v>140</v>
      </c>
      <c r="M49" s="25">
        <f t="shared" ca="1" si="16"/>
        <v>140</v>
      </c>
      <c r="N49" s="25">
        <f t="shared" ca="1" si="16"/>
        <v>140</v>
      </c>
      <c r="O49" s="25">
        <f t="shared" ca="1" si="16"/>
        <v>140</v>
      </c>
      <c r="P49" s="25">
        <f t="shared" ca="1" si="16"/>
        <v>140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133</v>
      </c>
      <c r="D58" s="25">
        <f t="shared" ca="1" si="17"/>
        <v>133</v>
      </c>
      <c r="E58" s="25">
        <f t="shared" ca="1" si="17"/>
        <v>133</v>
      </c>
      <c r="F58" s="25">
        <f t="shared" ca="1" si="17"/>
        <v>133</v>
      </c>
      <c r="G58" s="25">
        <f t="shared" ca="1" si="17"/>
        <v>133</v>
      </c>
      <c r="H58" s="25">
        <f t="shared" ca="1" si="17"/>
        <v>133</v>
      </c>
      <c r="J58" s="25">
        <f t="shared" ref="J58:P58" ca="1" si="18">IF(J59="","",$B$1-J59)</f>
        <v>133</v>
      </c>
      <c r="K58" s="25">
        <f t="shared" ca="1" si="18"/>
        <v>132</v>
      </c>
      <c r="L58" s="25">
        <f t="shared" ca="1" si="18"/>
        <v>132</v>
      </c>
      <c r="M58" s="25">
        <f t="shared" ca="1" si="18"/>
        <v>132</v>
      </c>
      <c r="N58" s="25">
        <f t="shared" ca="1" si="18"/>
        <v>132</v>
      </c>
      <c r="O58" s="25">
        <f t="shared" ca="1" si="18"/>
        <v>132</v>
      </c>
      <c r="P58" s="25">
        <f t="shared" ca="1" si="18"/>
        <v>132</v>
      </c>
      <c r="R58" s="25">
        <f t="shared" ref="R58:X58" ca="1" si="19">IF(R59="","",$B$1-R59)</f>
        <v>132</v>
      </c>
      <c r="S58" s="25">
        <f t="shared" ca="1" si="19"/>
        <v>131</v>
      </c>
      <c r="T58" s="25">
        <f t="shared" ca="1" si="19"/>
        <v>131</v>
      </c>
      <c r="U58" s="25">
        <f t="shared" ca="1" si="19"/>
        <v>131</v>
      </c>
      <c r="V58" s="25">
        <f t="shared" ca="1" si="19"/>
        <v>131</v>
      </c>
      <c r="W58" s="25">
        <f t="shared" ca="1" si="19"/>
        <v>131</v>
      </c>
      <c r="X58" s="25">
        <f t="shared" ca="1" si="19"/>
        <v>131</v>
      </c>
      <c r="Z58" s="25">
        <f ca="1">IF(Z59="","",$B$1-Z59)</f>
        <v>131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134</v>
      </c>
      <c r="E62" s="25">
        <f t="shared" ca="1" si="20"/>
        <v>134</v>
      </c>
      <c r="F62" s="25">
        <f t="shared" ca="1" si="20"/>
        <v>134</v>
      </c>
      <c r="G62" s="25">
        <f t="shared" ca="1" si="20"/>
        <v>134</v>
      </c>
      <c r="H62" s="25">
        <f t="shared" ca="1" si="20"/>
        <v>134</v>
      </c>
      <c r="J62" s="25">
        <f t="shared" ref="J62:P62" ca="1" si="21">IF(J63="","",$B$1-J63)</f>
        <v>134</v>
      </c>
      <c r="K62" s="25">
        <f t="shared" ca="1" si="21"/>
        <v>134</v>
      </c>
      <c r="L62" s="25">
        <f t="shared" ca="1" si="21"/>
        <v>134</v>
      </c>
      <c r="M62" s="25">
        <f t="shared" ca="1" si="21"/>
        <v>135</v>
      </c>
      <c r="N62" s="25">
        <f t="shared" ca="1" si="21"/>
        <v>135</v>
      </c>
      <c r="O62" s="25">
        <f t="shared" ca="1" si="21"/>
        <v>135</v>
      </c>
      <c r="P62" s="25">
        <f t="shared" ca="1" si="21"/>
        <v>135</v>
      </c>
      <c r="R62" s="25">
        <f t="shared" ref="R62:X62" ca="1" si="22">IF(R63="","",$B$1-R63)</f>
        <v>135</v>
      </c>
      <c r="S62" s="25">
        <f t="shared" ca="1" si="22"/>
        <v>135</v>
      </c>
      <c r="T62" s="25">
        <f t="shared" ca="1" si="22"/>
        <v>135</v>
      </c>
      <c r="U62" s="25">
        <f t="shared" ca="1" si="22"/>
        <v>136</v>
      </c>
      <c r="V62" s="25">
        <f t="shared" ca="1" si="22"/>
        <v>136</v>
      </c>
      <c r="W62" s="25">
        <f t="shared" ca="1" si="22"/>
        <v>136</v>
      </c>
      <c r="X62" s="25">
        <f t="shared" ca="1" si="22"/>
        <v>136</v>
      </c>
      <c r="Z62" s="25">
        <f ca="1">IF(Z63="","",$B$1-Z63)</f>
        <v>136</v>
      </c>
      <c r="AA62" s="25">
        <f ca="1">IF(AA63="","",$B$1-AA63)</f>
        <v>136</v>
      </c>
      <c r="AB62" s="25">
        <f ca="1">IF(AB63="","",$B$1-AB63)</f>
        <v>136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119</v>
      </c>
      <c r="D71" s="25">
        <f t="shared" ca="1" si="23"/>
        <v>119</v>
      </c>
      <c r="E71" s="25">
        <f t="shared" ca="1" si="23"/>
        <v>119</v>
      </c>
      <c r="F71" s="25">
        <f t="shared" ca="1" si="23"/>
        <v>120</v>
      </c>
      <c r="G71" s="25">
        <f t="shared" ca="1" si="23"/>
        <v>120</v>
      </c>
      <c r="H71" s="25">
        <f t="shared" ca="1" si="23"/>
        <v>120</v>
      </c>
      <c r="J71" s="25">
        <f ca="1">IF(J72="","",$B$1-J72)</f>
        <v>120</v>
      </c>
      <c r="K71" s="25">
        <f t="shared" ref="K71:P71" ca="1" si="24">IF(K72="","",$B$1-K72)</f>
        <v>120</v>
      </c>
      <c r="L71" s="25">
        <f t="shared" ca="1" si="24"/>
        <v>120</v>
      </c>
      <c r="M71" s="25">
        <f t="shared" ca="1" si="24"/>
        <v>120</v>
      </c>
      <c r="N71" s="25">
        <f t="shared" ca="1" si="24"/>
        <v>121</v>
      </c>
      <c r="O71" s="25">
        <f t="shared" ca="1" si="24"/>
        <v>121</v>
      </c>
      <c r="P71" s="25">
        <f t="shared" ca="1" si="24"/>
        <v>121</v>
      </c>
      <c r="R71" s="25">
        <f t="shared" ref="R71:X71" ca="1" si="25">IF(R72="","",$B$1-R72)</f>
        <v>121</v>
      </c>
      <c r="S71" s="25">
        <f t="shared" ca="1" si="25"/>
        <v>121</v>
      </c>
      <c r="T71" s="25">
        <f t="shared" ca="1" si="25"/>
        <v>121</v>
      </c>
      <c r="U71" s="25">
        <f t="shared" ca="1" si="25"/>
        <v>121</v>
      </c>
      <c r="V71" s="25">
        <f t="shared" ca="1" si="25"/>
        <v>122</v>
      </c>
      <c r="W71" s="25">
        <f t="shared" ca="1" si="25"/>
        <v>122</v>
      </c>
      <c r="X71" s="25">
        <f t="shared" ca="1" si="25"/>
        <v>122</v>
      </c>
      <c r="Z71" s="25">
        <f ca="1">IF(Z72="","",$B$1-Z72)</f>
        <v>122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55" priority="129">
      <formula>LEN(TRIM(C72))=0</formula>
    </cfRule>
    <cfRule type="notContainsBlanks" dxfId="1254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53" priority="95">
      <formula>LEN(TRIM(C42))=0</formula>
    </cfRule>
    <cfRule type="notContainsBlanks" dxfId="1252" priority="96">
      <formula>LEN(TRIM(C42))&gt;0</formula>
    </cfRule>
    <cfRule type="containsBlanks" dxfId="1251" priority="97">
      <formula>LEN(TRIM(C42))=0</formula>
    </cfRule>
    <cfRule type="notContainsBlanks" dxfId="1250" priority="98">
      <formula>LEN(TRIM(C42))&gt;0</formula>
    </cfRule>
  </conditionalFormatting>
  <conditionalFormatting sqref="C46:F46">
    <cfRule type="containsBlanks" dxfId="1249" priority="109">
      <formula>LEN(TRIM(C46))=0</formula>
    </cfRule>
    <cfRule type="notContainsBlanks" dxfId="1248" priority="110">
      <formula>LEN(TRIM(C46))&gt;0</formula>
    </cfRule>
  </conditionalFormatting>
  <conditionalFormatting sqref="C50:F50">
    <cfRule type="containsBlanks" dxfId="1247" priority="249">
      <formula>LEN(TRIM(C50))=0</formula>
    </cfRule>
    <cfRule type="notContainsBlanks" dxfId="1246" priority="250">
      <formula>LEN(TRIM(C50))&gt;0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45" priority="196">
      <formula>LEN(TRIM(C7))=0</formula>
    </cfRule>
    <cfRule type="notContainsBlanks" dxfId="1244" priority="197">
      <formula>LEN(TRIM(C7))&gt;0</formula>
    </cfRule>
  </conditionalFormatting>
  <conditionalFormatting sqref="C11:H11">
    <cfRule type="containsBlanks" dxfId="1243" priority="242">
      <formula>LEN(TRIM(C11))=0</formula>
    </cfRule>
    <cfRule type="notContainsBlanks" dxfId="1242" priority="243">
      <formula>LEN(TRIM(C11))&gt;0</formula>
    </cfRule>
  </conditionalFormatting>
  <conditionalFormatting sqref="C15:H15">
    <cfRule type="containsBlanks" dxfId="1241" priority="61">
      <formula>LEN(TRIM(C15))=0</formula>
    </cfRule>
    <cfRule type="notContainsBlanks" dxfId="1240" priority="62">
      <formula>LEN(TRIM(C15))&gt;0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39" priority="3">
      <formula>LEN(TRIM(C25))=0</formula>
    </cfRule>
    <cfRule type="notContainsBlanks" dxfId="1238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37" priority="63">
      <formula>LEN(TRIM(C29))=0</formula>
    </cfRule>
    <cfRule type="notContainsBlanks" dxfId="1236" priority="64">
      <formula>LEN(TRIM(C29))&gt;0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35" priority="99">
      <formula>LEN(TRIM(C42))=0</formula>
    </cfRule>
    <cfRule type="notContainsBlanks" dxfId="1234" priority="100">
      <formula>LEN(TRIM(C42))&gt;0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33" priority="163">
      <formula>LEN(TRIM(C59))=0</formula>
    </cfRule>
    <cfRule type="notContainsBlanks" dxfId="1232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31" priority="79">
      <formula>LEN(TRIM(C63))=0</formula>
    </cfRule>
    <cfRule type="notContainsBlanks" dxfId="1230" priority="80">
      <formula>LEN(TRIM(C63))&gt;0</formula>
    </cfRule>
  </conditionalFormatting>
  <conditionalFormatting sqref="C72:H72">
    <cfRule type="containsBlanks" dxfId="1229" priority="15">
      <formula>LEN(TRIM(C72))=0</formula>
    </cfRule>
    <cfRule type="notContainsBlanks" dxfId="1228" priority="16">
      <formula>LEN(TRIM(C72))&gt;0</formula>
    </cfRule>
  </conditionalFormatting>
  <conditionalFormatting sqref="C76:H76">
    <cfRule type="containsBlanks" dxfId="1227" priority="194">
      <formula>LEN(TRIM(C76))=0</formula>
    </cfRule>
    <cfRule type="notContainsBlanks" dxfId="1226" priority="195">
      <formula>LEN(TRIM(C76))&gt;0</formula>
    </cfRule>
  </conditionalFormatting>
  <conditionalFormatting sqref="D63:H63">
    <cfRule type="containsBlanks" dxfId="1225" priority="77">
      <formula>LEN(TRIM(D63))=0</formula>
    </cfRule>
    <cfRule type="notContainsBlanks" dxfId="1224" priority="78">
      <formula>LEN(TRIM(D63))&gt;0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23" priority="228">
      <formula>LEN(TRIM(E46))=0</formula>
    </cfRule>
    <cfRule type="notContainsBlanks" dxfId="1222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21" priority="13">
      <formula>LEN(TRIM(F72))=0</formula>
    </cfRule>
    <cfRule type="notContainsBlanks" dxfId="1220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219" priority="182">
      <formula>LEN(TRIM(G42))=0</formula>
    </cfRule>
    <cfRule type="notContainsBlanks" dxfId="1218" priority="183">
      <formula>LEN(TRIM(G42))&gt;0</formula>
    </cfRule>
  </conditionalFormatting>
  <conditionalFormatting sqref="H6"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217" priority="105">
      <formula>LEN(TRIM(H46))=0</formula>
    </cfRule>
    <cfRule type="notContainsBlanks" dxfId="1216" priority="106">
      <formula>LEN(TRIM(H46))&gt;0</formula>
    </cfRule>
    <cfRule type="containsBlanks" dxfId="1215" priority="107">
      <formula>LEN(TRIM(H46))=0</formula>
    </cfRule>
    <cfRule type="notContainsBlanks" dxfId="1214" priority="108">
      <formula>LEN(TRIM(H46))&gt;0</formula>
    </cfRule>
  </conditionalFormatting>
  <conditionalFormatting sqref="H50">
    <cfRule type="containsBlanks" dxfId="1213" priority="113">
      <formula>LEN(TRIM(H50))=0</formula>
    </cfRule>
    <cfRule type="notContainsBlanks" dxfId="1212" priority="114">
      <formula>LEN(TRIM(H50))&gt;0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11" priority="220">
      <formula>LEN(TRIM(J72))=0</formula>
    </cfRule>
    <cfRule type="notContainsBlanks" dxfId="1210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209" priority="115">
      <formula>LEN(TRIM(J21))=0</formula>
    </cfRule>
    <cfRule type="notContainsBlanks" dxfId="1208" priority="116">
      <formula>LEN(TRIM(J21))&gt;0</formula>
    </cfRule>
  </conditionalFormatting>
  <conditionalFormatting sqref="J63:L63">
    <cfRule type="containsBlanks" dxfId="1207" priority="161">
      <formula>LEN(TRIM(J63))=0</formula>
    </cfRule>
    <cfRule type="notContainsBlanks" dxfId="1206" priority="162">
      <formula>LEN(TRIM(J63))&gt;0</formula>
    </cfRule>
  </conditionalFormatting>
  <conditionalFormatting sqref="J46:M46">
    <cfRule type="containsBlanks" dxfId="1205" priority="101">
      <formula>LEN(TRIM(J46))=0</formula>
    </cfRule>
    <cfRule type="notContainsBlanks" dxfId="1204" priority="102">
      <formula>LEN(TRIM(J46))&gt;0</formula>
    </cfRule>
  </conditionalFormatting>
  <conditionalFormatting sqref="J72:M72">
    <cfRule type="containsBlanks" dxfId="1203" priority="133">
      <formula>LEN(TRIM(J72))=0</formula>
    </cfRule>
    <cfRule type="notContainsBlanks" dxfId="1202" priority="134">
      <formula>LEN(TRIM(J72))&gt;0</formula>
    </cfRule>
  </conditionalFormatting>
  <conditionalFormatting sqref="J42:N42">
    <cfRule type="containsBlanks" dxfId="1201" priority="91">
      <formula>LEN(TRIM(J42))=0</formula>
    </cfRule>
    <cfRule type="notContainsBlanks" dxfId="1200" priority="92">
      <formula>LEN(TRIM(J42))&gt;0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99" priority="155">
      <formula>LEN(TRIM(J7))=0</formula>
    </cfRule>
    <cfRule type="notContainsBlanks" dxfId="1198" priority="156">
      <formula>LEN(TRIM(J7))&gt;0</formula>
    </cfRule>
  </conditionalFormatting>
  <conditionalFormatting sqref="J11:P11">
    <cfRule type="containsBlanks" dxfId="1197" priority="57">
      <formula>LEN(TRIM(J11))=0</formula>
    </cfRule>
    <cfRule type="notContainsBlanks" dxfId="1196" priority="58">
      <formula>LEN(TRIM(J11))&gt;0</formula>
    </cfRule>
  </conditionalFormatting>
  <conditionalFormatting sqref="J15:P15">
    <cfRule type="containsBlanks" dxfId="1195" priority="59">
      <formula>LEN(TRIM(J15))=0</formula>
    </cfRule>
    <cfRule type="notContainsBlanks" dxfId="1194" priority="60">
      <formula>LEN(TRIM(J15))&gt;0</formula>
    </cfRule>
  </conditionalFormatting>
  <conditionalFormatting sqref="J25:P25">
    <cfRule type="containsBlanks" dxfId="1193" priority="5">
      <formula>LEN(TRIM(J25))=0</formula>
    </cfRule>
    <cfRule type="notContainsBlanks" dxfId="1192" priority="6">
      <formula>LEN(TRIM(J25))&gt;0</formula>
    </cfRule>
  </conditionalFormatting>
  <conditionalFormatting sqref="J29:P29">
    <cfRule type="containsBlanks" dxfId="1191" priority="1">
      <formula>LEN(TRIM(J29))=0</formula>
    </cfRule>
    <cfRule type="notContainsBlanks" dxfId="1190" priority="2">
      <formula>LEN(TRIM(J29))&gt;0</formula>
    </cfRule>
  </conditionalFormatting>
  <conditionalFormatting sqref="J42:P42">
    <cfRule type="containsBlanks" dxfId="1189" priority="93">
      <formula>LEN(TRIM(J42))=0</formula>
    </cfRule>
    <cfRule type="notContainsBlanks" dxfId="1188" priority="94">
      <formula>LEN(TRIM(J42))&gt;0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87" priority="103">
      <formula>LEN(TRIM(J46))=0</formula>
    </cfRule>
    <cfRule type="notContainsBlanks" dxfId="1186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85" priority="111">
      <formula>LEN(TRIM(J50))=0</formula>
    </cfRule>
    <cfRule type="notContainsBlanks" dxfId="1184" priority="112">
      <formula>LEN(TRIM(J50))&gt;0</formula>
    </cfRule>
  </conditionalFormatting>
  <conditionalFormatting sqref="J59:P59">
    <cfRule type="containsBlanks" dxfId="1183" priority="75">
      <formula>LEN(TRIM(J59))=0</formula>
    </cfRule>
    <cfRule type="notContainsBlanks" dxfId="1182" priority="76">
      <formula>LEN(TRIM(J59))&gt;0</formula>
    </cfRule>
  </conditionalFormatting>
  <conditionalFormatting sqref="J63:P63">
    <cfRule type="containsBlanks" dxfId="1181" priority="83">
      <formula>LEN(TRIM(J63))=0</formula>
    </cfRule>
    <cfRule type="notContainsBlanks" dxfId="1180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79" priority="17">
      <formula>LEN(TRIM(J72))=0</formula>
    </cfRule>
    <cfRule type="notContainsBlanks" dxfId="1178" priority="18">
      <formula>LEN(TRIM(J72))&gt;0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77" priority="192">
      <formula>LEN(TRIM(J76))=0</formula>
    </cfRule>
    <cfRule type="notContainsBlanks" dxfId="1176" priority="193">
      <formula>LEN(TRIM(J76))&gt;0</formula>
    </cfRule>
  </conditionalFormatting>
  <conditionalFormatting sqref="K11:P11">
    <cfRule type="containsBlanks" dxfId="1175" priority="159">
      <formula>LEN(TRIM(K11))=0</formula>
    </cfRule>
    <cfRule type="notContainsBlanks" dxfId="1174" priority="160">
      <formula>LEN(TRIM(K11))&gt;0</formula>
    </cfRule>
  </conditionalFormatting>
  <conditionalFormatting sqref="K59:P59">
    <cfRule type="containsBlanks" dxfId="1173" priority="165">
      <formula>LEN(TRIM(K59))=0</formula>
    </cfRule>
    <cfRule type="notContainsBlanks" dxfId="1172" priority="166">
      <formula>LEN(TRIM(K59))&gt;0</formula>
    </cfRule>
    <cfRule type="containsBlanks" dxfId="1171" priority="167">
      <formula>LEN(TRIM(K59))=0</formula>
    </cfRule>
    <cfRule type="notContainsBlanks" dxfId="1170" priority="168">
      <formula>LEN(TRIM(K59))&gt;0</formula>
    </cfRule>
  </conditionalFormatting>
  <conditionalFormatting sqref="L76:P76">
    <cfRule type="containsBlanks" dxfId="1169" priority="205">
      <formula>LEN(TRIM(L76))=0</formula>
    </cfRule>
    <cfRule type="notContainsBlanks" dxfId="1168" priority="206">
      <formula>LEN(TRIM(L76))&gt;0</formula>
    </cfRule>
  </conditionalFormatting>
  <conditionalFormatting sqref="M50:P50">
    <cfRule type="containsBlanks" dxfId="1167" priority="232">
      <formula>LEN(TRIM(M50))=0</formula>
    </cfRule>
    <cfRule type="notContainsBlanks" dxfId="1166" priority="233">
      <formula>LEN(TRIM(M50))&gt;0</formula>
    </cfRule>
  </conditionalFormatting>
  <conditionalFormatting sqref="M63:P63">
    <cfRule type="containsBlanks" dxfId="1165" priority="81">
      <formula>LEN(TRIM(M63))=0</formula>
    </cfRule>
    <cfRule type="notContainsBlanks" dxfId="1164" priority="82">
      <formula>LEN(TRIM(M63))&gt;0</formula>
    </cfRule>
  </conditionalFormatting>
  <conditionalFormatting sqref="N46:P46">
    <cfRule type="containsBlanks" dxfId="1163" priority="184">
      <formula>LEN(TRIM(N46))=0</formula>
    </cfRule>
    <cfRule type="notContainsBlanks" dxfId="1162" priority="185">
      <formula>LEN(TRIM(N46))&gt;0</formula>
    </cfRule>
    <cfRule type="containsBlanks" dxfId="1161" priority="226">
      <formula>LEN(TRIM(N46))=0</formula>
    </cfRule>
    <cfRule type="notContainsBlanks" dxfId="1160" priority="227">
      <formula>LEN(TRIM(N46))&gt;0</formula>
    </cfRule>
  </conditionalFormatting>
  <conditionalFormatting sqref="O46:P46">
    <cfRule type="containsBlanks" dxfId="1159" priority="230">
      <formula>LEN(TRIM(O46))=0</formula>
    </cfRule>
    <cfRule type="notContainsBlanks" dxfId="1158" priority="231">
      <formula>LEN(TRIM(O46))&gt;0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57" priority="151">
      <formula>LEN(TRIM(P7))=0</formula>
    </cfRule>
    <cfRule type="notContainsBlanks" dxfId="1156" priority="152">
      <formula>LEN(TRIM(P7))&gt;0</formula>
    </cfRule>
    <cfRule type="containsBlanks" dxfId="1155" priority="153">
      <formula>LEN(TRIM(P7))=0</formula>
    </cfRule>
    <cfRule type="notContainsBlanks" dxfId="1154" priority="154">
      <formula>LEN(TRIM(P7))&gt;0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53" priority="54">
      <formula>LEN(TRIM(R11))&gt;0</formula>
    </cfRule>
  </conditionalFormatting>
  <conditionalFormatting sqref="R15">
    <cfRule type="containsBlanks" dxfId="1152" priority="55">
      <formula>LEN(TRIM(R15))=0</formula>
    </cfRule>
    <cfRule type="notContainsBlanks" dxfId="1151" priority="56">
      <formula>LEN(TRIM(R15))&gt;0</formula>
    </cfRule>
  </conditionalFormatting>
  <conditionalFormatting sqref="R59">
    <cfRule type="containsBlanks" dxfId="1150" priority="69">
      <formula>LEN(TRIM(R59))=0</formula>
    </cfRule>
    <cfRule type="notContainsBlanks" dxfId="1149" priority="70">
      <formula>LEN(TRIM(R59))&gt;0</formula>
    </cfRule>
    <cfRule type="containsBlanks" dxfId="1148" priority="71">
      <formula>LEN(TRIM(R59))=0</formula>
    </cfRule>
    <cfRule type="notContainsBlanks" dxfId="1147" priority="72">
      <formula>LEN(TRIM(R59))&gt;0</formula>
    </cfRule>
  </conditionalFormatting>
  <conditionalFormatting sqref="R72">
    <cfRule type="containsBlanks" dxfId="1146" priority="218">
      <formula>LEN(TRIM(R72))=0</formula>
    </cfRule>
    <cfRule type="notContainsBlanks" dxfId="1145" priority="219">
      <formula>LEN(TRIM(R72))&gt;0</formula>
    </cfRule>
  </conditionalFormatting>
  <conditionalFormatting sqref="R63:S63">
    <cfRule type="containsBlanks" dxfId="1144" priority="172">
      <formula>LEN(TRIM(R63))=0</formula>
    </cfRule>
    <cfRule type="notContainsBlanks" dxfId="1143" priority="173">
      <formula>LEN(TRIM(R63))&gt;0</formula>
    </cfRule>
  </conditionalFormatting>
  <conditionalFormatting sqref="R76:S76">
    <cfRule type="containsBlanks" dxfId="1142" priority="188">
      <formula>LEN(TRIM(R76))=0</formula>
    </cfRule>
    <cfRule type="notContainsBlanks" dxfId="1141" priority="189">
      <formula>LEN(TRIM(R76))&gt;0</formula>
    </cfRule>
  </conditionalFormatting>
  <conditionalFormatting sqref="R7:T7">
    <cfRule type="containsBlanks" dxfId="1140" priority="23">
      <formula>LEN(TRIM(R7))=0</formula>
    </cfRule>
    <cfRule type="notContainsBlanks" dxfId="1139" priority="24">
      <formula>LEN(TRIM(R7))&gt;0</formula>
    </cfRule>
    <cfRule type="containsBlanks" dxfId="1138" priority="25">
      <formula>LEN(TRIM(R7))=0</formula>
    </cfRule>
    <cfRule type="notContainsBlanks" dxfId="1137" priority="26">
      <formula>LEN(TRIM(R7))&gt;0</formula>
    </cfRule>
  </conditionalFormatting>
  <conditionalFormatting sqref="R11:T11">
    <cfRule type="containsBlanks" dxfId="1136" priority="47">
      <formula>LEN(TRIM(R11))=0</formula>
    </cfRule>
    <cfRule type="notContainsBlanks" dxfId="1135" priority="48">
      <formula>LEN(TRIM(R11))&gt;0</formula>
    </cfRule>
  </conditionalFormatting>
  <conditionalFormatting sqref="R63:T63">
    <cfRule type="containsBlanks" dxfId="1134" priority="174">
      <formula>LEN(TRIM(R63))=0</formula>
    </cfRule>
    <cfRule type="notContainsBlanks" dxfId="1133" priority="175">
      <formula>LEN(TRIM(R63))&gt;0</formula>
    </cfRule>
    <cfRule type="containsBlanks" dxfId="1132" priority="180">
      <formula>LEN(TRIM(R63))=0</formula>
    </cfRule>
    <cfRule type="notContainsBlanks" dxfId="1131" priority="181">
      <formula>LEN(TRIM(R63))&gt;0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30" priority="27">
      <formula>LEN(TRIM(R7))=0</formula>
    </cfRule>
    <cfRule type="notContainsBlanks" dxfId="1129" priority="28">
      <formula>LEN(TRIM(R7))&gt;0</formula>
    </cfRule>
  </conditionalFormatting>
  <conditionalFormatting sqref="R25:X25">
    <cfRule type="containsBlanks" dxfId="1128" priority="39">
      <formula>LEN(TRIM(R25))=0</formula>
    </cfRule>
    <cfRule type="notContainsBlanks" dxfId="1127" priority="40">
      <formula>LEN(TRIM(R25))&gt;0</formula>
    </cfRule>
  </conditionalFormatting>
  <conditionalFormatting sqref="R29:X29">
    <cfRule type="containsBlanks" dxfId="1126" priority="9">
      <formula>LEN(TRIM(R29))=0</formula>
    </cfRule>
    <cfRule type="notContainsBlanks" dxfId="1125" priority="10">
      <formula>LEN(TRIM(R29))&gt;0</formula>
    </cfRule>
  </conditionalFormatting>
  <conditionalFormatting sqref="R59:X59">
    <cfRule type="containsBlanks" dxfId="1124" priority="73">
      <formula>LEN(TRIM(R59))=0</formula>
    </cfRule>
    <cfRule type="notContainsBlanks" dxfId="1123" priority="74">
      <formula>LEN(TRIM(R59))&gt;0</formula>
    </cfRule>
  </conditionalFormatting>
  <conditionalFormatting sqref="R72:X72">
    <cfRule type="containsBlanks" dxfId="1122" priority="19">
      <formula>LEN(TRIM(R72))=0</formula>
    </cfRule>
    <cfRule type="notContainsBlanks" dxfId="1121" priority="20">
      <formula>LEN(TRIM(R72))&gt;0</formula>
    </cfRule>
  </conditionalFormatting>
  <conditionalFormatting sqref="R76:X76">
    <cfRule type="containsBlanks" dxfId="1120" priority="190">
      <formula>LEN(TRIM(R76))=0</formula>
    </cfRule>
    <cfRule type="notContainsBlanks" dxfId="1119" priority="191">
      <formula>LEN(TRIM(R76))&gt;0</formula>
    </cfRule>
  </conditionalFormatting>
  <conditionalFormatting sqref="S15:W15">
    <cfRule type="containsBlanks" dxfId="1118" priority="211">
      <formula>LEN(TRIM(S15))=0</formula>
    </cfRule>
    <cfRule type="notContainsBlanks" dxfId="1117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116" priority="170">
      <formula>LEN(TRIM(S59))=0</formula>
    </cfRule>
    <cfRule type="notContainsBlanks" dxfId="1115" priority="171">
      <formula>LEN(TRIM(S59))&gt;0</formula>
    </cfRule>
  </conditionalFormatting>
  <conditionalFormatting sqref="U11:X11 R11">
    <cfRule type="containsBlanks" dxfId="1114" priority="53">
      <formula>LEN(TRIM(R11))=0</formula>
    </cfRule>
  </conditionalFormatting>
  <conditionalFormatting sqref="U63:X63">
    <cfRule type="containsBlanks" dxfId="1113" priority="85">
      <formula>LEN(TRIM(U63))=0</formula>
    </cfRule>
    <cfRule type="notContainsBlanks" dxfId="1112" priority="86">
      <formula>LEN(TRIM(U63))&gt;0</formula>
    </cfRule>
    <cfRule type="containsBlanks" dxfId="1111" priority="87">
      <formula>LEN(TRIM(U63))=0</formula>
    </cfRule>
    <cfRule type="notContainsBlanks" dxfId="1110" priority="88">
      <formula>LEN(TRIM(U63))&gt;0</formula>
    </cfRule>
    <cfRule type="containsBlanks" dxfId="1109" priority="89">
      <formula>LEN(TRIM(U63))=0</formula>
    </cfRule>
    <cfRule type="notContainsBlanks" dxfId="1108" priority="90">
      <formula>LEN(TRIM(U63))&gt;0</formula>
    </cfRule>
  </conditionalFormatting>
  <conditionalFormatting sqref="V11:W11">
    <cfRule type="containsBlanks" dxfId="1107" priority="49">
      <formula>LEN(TRIM(V11))=0</formula>
    </cfRule>
    <cfRule type="notContainsBlanks" dxfId="1106" priority="50">
      <formula>LEN(TRIM(V11))&gt;0</formula>
    </cfRule>
  </conditionalFormatting>
  <conditionalFormatting sqref="W15:X15">
    <cfRule type="containsBlanks" dxfId="1105" priority="201">
      <formula>LEN(TRIM(W15))=0</formula>
    </cfRule>
    <cfRule type="notContainsBlanks" dxfId="1104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103" priority="213">
      <formula>LEN(TRIM(W33))=0</formula>
    </cfRule>
    <cfRule type="notContainsBlanks" dxfId="1102" priority="214">
      <formula>LEN(TRIM(W33))&gt;0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01" priority="282">
      <formula>LEN(TRIM(X21))=0</formula>
    </cfRule>
    <cfRule type="notContainsBlanks" dxfId="1100" priority="283">
      <formula>LEN(TRIM(X21))&gt;0</formula>
    </cfRule>
    <cfRule type="containsBlanks" dxfId="1099" priority="284">
      <formula>LEN(TRIM(X21))=0</formula>
    </cfRule>
    <cfRule type="notContainsBlanks" dxfId="1098" priority="285">
      <formula>LEN(TRIM(X21))&gt;0</formula>
    </cfRule>
    <cfRule type="containsBlanks" dxfId="1097" priority="286">
      <formula>LEN(TRIM(X21))=0</formula>
    </cfRule>
    <cfRule type="notContainsBlanks" dxfId="1096" priority="287">
      <formula>LEN(TRIM(X21))&gt;0</formula>
    </cfRule>
    <cfRule type="containsBlanks" dxfId="1095" priority="288">
      <formula>LEN(TRIM(X21))=0</formula>
    </cfRule>
    <cfRule type="notContainsBlanks" dxfId="1094" priority="289">
      <formula>LEN(TRIM(X21))&gt;0</formula>
    </cfRule>
    <cfRule type="containsBlanks" dxfId="1093" priority="290">
      <formula>LEN(TRIM(X21))=0</formula>
    </cfRule>
    <cfRule type="notContainsBlanks" dxfId="1092" priority="291">
      <formula>LEN(TRIM(X21))&gt;0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91" priority="65">
      <formula>LEN(TRIM(Z59))=0</formula>
    </cfRule>
    <cfRule type="notContainsBlanks" dxfId="1090" priority="66">
      <formula>LEN(TRIM(Z59))&gt;0</formula>
    </cfRule>
  </conditionalFormatting>
  <conditionalFormatting sqref="Z72">
    <cfRule type="containsBlanks" dxfId="1089" priority="135">
      <formula>LEN(TRIM(Z72))=0</formula>
    </cfRule>
    <cfRule type="notContainsBlanks" dxfId="1088" priority="136">
      <formula>LEN(TRIM(Z72))&gt;0</formula>
    </cfRule>
  </conditionalFormatting>
  <conditionalFormatting sqref="Z76">
    <cfRule type="containsBlanks" dxfId="1087" priority="216">
      <formula>LEN(TRIM(Z76))=0</formula>
    </cfRule>
    <cfRule type="notContainsBlanks" dxfId="1086" priority="217">
      <formula>LEN(TRIM(Z76))&gt;0</formula>
    </cfRule>
  </conditionalFormatting>
  <conditionalFormatting sqref="Z63:AA63">
    <cfRule type="containsBlanks" dxfId="1085" priority="176">
      <formula>LEN(TRIM(Z63))=0</formula>
    </cfRule>
    <cfRule type="notContainsBlanks" dxfId="1084" priority="177">
      <formula>LEN(TRIM(Z63))&gt;0</formula>
    </cfRule>
  </conditionalFormatting>
  <conditionalFormatting sqref="Z59:AB59">
    <cfRule type="containsBlanks" dxfId="1083" priority="67">
      <formula>LEN(TRIM(Z59))=0</formula>
    </cfRule>
    <cfRule type="notContainsBlanks" dxfId="1082" priority="68">
      <formula>LEN(TRIM(Z59))&gt;0</formula>
    </cfRule>
  </conditionalFormatting>
  <conditionalFormatting sqref="Z63:AB63">
    <cfRule type="containsBlanks" dxfId="1081" priority="178">
      <formula>LEN(TRIM(Z63))=0</formula>
    </cfRule>
    <cfRule type="notContainsBlanks" dxfId="1080" priority="179">
      <formula>LEN(TRIM(Z63))&gt;0</formula>
    </cfRule>
    <cfRule type="containsBlanks" dxfId="1079" priority="186">
      <formula>LEN(TRIM(Z63))=0</formula>
    </cfRule>
    <cfRule type="notContainsBlanks" dxfId="1078" priority="187">
      <formula>LEN(TRIM(Z63))&gt;0</formula>
    </cfRule>
  </conditionalFormatting>
  <conditionalFormatting sqref="Z25:AI25">
    <cfRule type="containsBlanks" dxfId="1077" priority="121">
      <formula>LEN(TRIM(Z25))=0</formula>
    </cfRule>
    <cfRule type="notContainsBlanks" dxfId="1076" priority="122">
      <formula>LEN(TRIM(Z25))&gt;0</formula>
    </cfRule>
  </conditionalFormatting>
  <conditionalFormatting sqref="Z29:AI29">
    <cfRule type="containsBlanks" dxfId="1075" priority="7">
      <formula>LEN(TRIM(Z29))=0</formula>
    </cfRule>
    <cfRule type="notContainsBlanks" dxfId="1074" priority="8">
      <formula>LEN(TRIM(Z29))&gt;0</formula>
    </cfRule>
  </conditionalFormatting>
  <conditionalFormatting sqref="AA59:AB59">
    <cfRule type="containsBlanks" dxfId="1073" priority="147">
      <formula>LEN(TRIM(AA59))=0</formula>
    </cfRule>
    <cfRule type="notContainsBlanks" dxfId="1072" priority="148">
      <formula>LEN(TRIM(AA59))&gt;0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71" priority="274">
      <formula>LEN(TRIM(AF21))=0</formula>
    </cfRule>
    <cfRule type="notContainsBlanks" dxfId="1070" priority="275">
      <formula>LEN(TRIM(AF21))&gt;0</formula>
    </cfRule>
    <cfRule type="containsBlanks" dxfId="1069" priority="276">
      <formula>LEN(TRIM(AF21))=0</formula>
    </cfRule>
    <cfRule type="notContainsBlanks" dxfId="1068" priority="277">
      <formula>LEN(TRIM(AF21))&gt;0</formula>
    </cfRule>
    <cfRule type="containsBlanks" dxfId="1067" priority="278">
      <formula>LEN(TRIM(AF21))=0</formula>
    </cfRule>
    <cfRule type="notContainsBlanks" dxfId="1066" priority="279">
      <formula>LEN(TRIM(AF21))&gt;0</formula>
    </cfRule>
    <cfRule type="containsBlanks" dxfId="1065" priority="280">
      <formula>LEN(TRIM(AF21))=0</formula>
    </cfRule>
    <cfRule type="notContainsBlanks" dxfId="1064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63" priority="117">
      <formula>LEN(TRIM(AF21))=0</formula>
    </cfRule>
    <cfRule type="notContainsBlanks" dxfId="1062" priority="118">
      <formula>LEN(TRIM(AF21))&gt;0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61" priority="292">
      <formula>LEN(TRIM(AG33))=0</formula>
    </cfRule>
    <cfRule type="notContainsBlanks" dxfId="1060" priority="293">
      <formula>LEN(TRIM(AG33))&gt;0</formula>
    </cfRule>
    <cfRule type="containsBlanks" dxfId="1059" priority="294">
      <formula>LEN(TRIM(AG33))=0</formula>
    </cfRule>
    <cfRule type="notContainsBlanks" dxfId="1058" priority="295">
      <formula>LEN(TRIM(AG33))&gt;0</formula>
    </cfRule>
    <cfRule type="containsBlanks" dxfId="1057" priority="296">
      <formula>LEN(TRIM(AG33))=0</formula>
    </cfRule>
    <cfRule type="notContainsBlanks" dxfId="1056" priority="297">
      <formula>LEN(TRIM(AG33))&gt;0</formula>
    </cfRule>
    <cfRule type="containsBlanks" dxfId="1055" priority="298">
      <formula>LEN(TRIM(AG33))=0</formula>
    </cfRule>
    <cfRule type="notContainsBlanks" dxfId="1054" priority="299">
      <formula>LEN(TRIM(AG33))&gt;0</formula>
    </cfRule>
    <cfRule type="containsBlanks" dxfId="1053" priority="300">
      <formula>LEN(TRIM(AG33))=0</formula>
    </cfRule>
    <cfRule type="notContainsBlanks" dxfId="1052" priority="301">
      <formula>LEN(TRIM(AG33))&gt;0</formula>
    </cfRule>
    <cfRule type="containsBlanks" dxfId="1051" priority="302">
      <formula>LEN(TRIM(AG33))=0</formula>
    </cfRule>
    <cfRule type="notContainsBlanks" dxfId="1050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49" priority="911">
      <formula>LEN(TRIM(E14))=0</formula>
    </cfRule>
  </conditionalFormatting>
  <conditionalFormatting sqref="J114:J119 BT207:BV213 AW168:BA174 BZ168:CP174">
    <cfRule type="containsText" dxfId="1048" priority="906" operator="containsText" text="T">
      <formula>NOT(ISERROR(SEARCH("T",J114)))</formula>
    </cfRule>
  </conditionalFormatting>
  <conditionalFormatting sqref="J120:M126">
    <cfRule type="containsText" dxfId="1047" priority="447" operator="containsText" text="T">
      <formula>NOT(ISERROR(SEARCH("T",J120)))</formula>
    </cfRule>
  </conditionalFormatting>
  <conditionalFormatting sqref="J113:T113">
    <cfRule type="containsText" dxfId="1046" priority="898" operator="containsText" text="17">
      <formula>NOT(ISERROR(SEARCH("17",J113)))</formula>
    </cfRule>
    <cfRule type="containsText" dxfId="1045" priority="899" operator="containsText" text="T">
      <formula>NOT(ISERROR(SEARCH("T",J113)))</formula>
    </cfRule>
  </conditionalFormatting>
  <conditionalFormatting sqref="J67:X68 BT207:BV213">
    <cfRule type="containsText" dxfId="1044" priority="843" operator="containsText" text="17">
      <formula>NOT(ISERROR(SEARCH("17",J67)))</formula>
    </cfRule>
  </conditionalFormatting>
  <conditionalFormatting sqref="J97:X98">
    <cfRule type="containsText" dxfId="1043" priority="833" operator="containsText" text="17">
      <formula>NOT(ISERROR(SEARCH("17",J97)))</formula>
    </cfRule>
  </conditionalFormatting>
  <conditionalFormatting sqref="J67:Z68">
    <cfRule type="containsText" dxfId="1042" priority="837" operator="containsText" text="T">
      <formula>NOT(ISERROR(SEARCH("T",J67)))</formula>
    </cfRule>
  </conditionalFormatting>
  <conditionalFormatting sqref="J97:Z98">
    <cfRule type="containsText" dxfId="1041" priority="827" operator="containsText" text="T">
      <formula>NOT(ISERROR(SEARCH("T",J97)))</formula>
    </cfRule>
  </conditionalFormatting>
  <conditionalFormatting sqref="J127:Z130">
    <cfRule type="containsText" dxfId="1040" priority="807" operator="containsText" text="T">
      <formula>NOT(ISERROR(SEARCH("T",J127)))</formula>
    </cfRule>
  </conditionalFormatting>
  <conditionalFormatting sqref="J114:AD119 J113:R113">
    <cfRule type="containsText" dxfId="1039" priority="905" operator="containsText" text="17">
      <formula>NOT(ISERROR(SEARCH("17",J113)))</formula>
    </cfRule>
  </conditionalFormatting>
  <conditionalFormatting sqref="J48:AO49">
    <cfRule type="containsText" dxfId="1038" priority="580" operator="containsText" text="17">
      <formula>NOT(ISERROR(SEARCH("17",J48)))</formula>
    </cfRule>
  </conditionalFormatting>
  <conditionalFormatting sqref="J63:AP66">
    <cfRule type="containsText" dxfId="1037" priority="560" operator="containsText" text="17">
      <formula>NOT(ISERROR(SEARCH("17",J63)))</formula>
    </cfRule>
  </conditionalFormatting>
  <conditionalFormatting sqref="J48:AQ49">
    <cfRule type="containsText" dxfId="1036" priority="574" operator="containsText" text="T">
      <formula>NOT(ISERROR(SEARCH("T",J48)))</formula>
    </cfRule>
  </conditionalFormatting>
  <conditionalFormatting sqref="J59:AQ62">
    <cfRule type="containsText" dxfId="1035" priority="546" operator="containsText" text="17">
      <formula>NOT(ISERROR(SEARCH("17",J59)))</formula>
    </cfRule>
  </conditionalFormatting>
  <conditionalFormatting sqref="J86:AQ89">
    <cfRule type="containsText" dxfId="1034" priority="536" operator="containsText" text="17">
      <formula>NOT(ISERROR(SEARCH("17",J86)))</formula>
    </cfRule>
  </conditionalFormatting>
  <conditionalFormatting sqref="J50:AR53">
    <cfRule type="containsText" dxfId="1033" priority="564" operator="containsText" text="T">
      <formula>NOT(ISERROR(SEARCH("T",J50)))</formula>
    </cfRule>
  </conditionalFormatting>
  <conditionalFormatting sqref="J63:AR66">
    <cfRule type="containsText" dxfId="1032" priority="554" operator="containsText" text="T">
      <formula>NOT(ISERROR(SEARCH("T",J63)))</formula>
    </cfRule>
  </conditionalFormatting>
  <conditionalFormatting sqref="J83:AR85">
    <cfRule type="containsText" dxfId="1031" priority="526" operator="containsText" text="17">
      <formula>NOT(ISERROR(SEARCH("17",J83)))</formula>
    </cfRule>
  </conditionalFormatting>
  <conditionalFormatting sqref="J214:AR217">
    <cfRule type="containsText" dxfId="1030" priority="516" operator="containsText" text="17">
      <formula>NOT(ISERROR(SEARCH("17",J214)))</formula>
    </cfRule>
  </conditionalFormatting>
  <conditionalFormatting sqref="J59:AS62">
    <cfRule type="containsText" dxfId="1029" priority="540" operator="containsText" text="T">
      <formula>NOT(ISERROR(SEARCH("T",J59)))</formula>
    </cfRule>
  </conditionalFormatting>
  <conditionalFormatting sqref="J86:AS89">
    <cfRule type="containsText" dxfId="1028" priority="530" operator="containsText" text="T">
      <formula>NOT(ISERROR(SEARCH("T",J86)))</formula>
    </cfRule>
  </conditionalFormatting>
  <conditionalFormatting sqref="J218:AS224">
    <cfRule type="containsText" dxfId="1027" priority="506" operator="containsText" text="17">
      <formula>NOT(ISERROR(SEARCH("17",J218)))</formula>
    </cfRule>
  </conditionalFormatting>
  <conditionalFormatting sqref="J83:AT85">
    <cfRule type="containsText" dxfId="1026" priority="520" operator="containsText" text="T">
      <formula>NOT(ISERROR(SEARCH("T",J83)))</formula>
    </cfRule>
  </conditionalFormatting>
  <conditionalFormatting sqref="J214:AT217">
    <cfRule type="containsText" dxfId="1025" priority="510" operator="containsText" text="T">
      <formula>NOT(ISERROR(SEARCH("T",J214)))</formula>
    </cfRule>
  </conditionalFormatting>
  <conditionalFormatting sqref="J225:AT231">
    <cfRule type="containsText" dxfId="1024" priority="496" operator="containsText" text="17">
      <formula>NOT(ISERROR(SEARCH("17",J225)))</formula>
    </cfRule>
  </conditionalFormatting>
  <conditionalFormatting sqref="J218:AU224">
    <cfRule type="containsText" dxfId="1023" priority="500" operator="containsText" text="T">
      <formula>NOT(ISERROR(SEARCH("T",J218)))</formula>
    </cfRule>
  </conditionalFormatting>
  <conditionalFormatting sqref="J232:AU234">
    <cfRule type="containsText" dxfId="1022" priority="486" operator="containsText" text="17">
      <formula>NOT(ISERROR(SEARCH("17",J232)))</formula>
    </cfRule>
  </conditionalFormatting>
  <conditionalFormatting sqref="J225:AV231">
    <cfRule type="containsText" dxfId="1021" priority="490" operator="containsText" text="T">
      <formula>NOT(ISERROR(SEARCH("T",J225)))</formula>
    </cfRule>
  </conditionalFormatting>
  <conditionalFormatting sqref="J232:AW234">
    <cfRule type="containsText" dxfId="1020" priority="480" operator="containsText" text="T">
      <formula>NOT(ISERROR(SEARCH("T",J232)))</formula>
    </cfRule>
  </conditionalFormatting>
  <conditionalFormatting sqref="J33:CP33">
    <cfRule type="containsText" dxfId="1019" priority="1058" operator="containsText" text="T">
      <formula>NOT(ISERROR(SEARCH("T",J33)))</formula>
    </cfRule>
  </conditionalFormatting>
  <conditionalFormatting sqref="K77:K82">
    <cfRule type="containsText" dxfId="1018" priority="893" operator="containsText" text="T">
      <formula>NOT(ISERROR(SEARCH("T",K77)))</formula>
    </cfRule>
  </conditionalFormatting>
  <conditionalFormatting sqref="K76:U76">
    <cfRule type="containsText" dxfId="1017" priority="885" operator="containsText" text="17">
      <formula>NOT(ISERROR(SEARCH("17",K76)))</formula>
    </cfRule>
    <cfRule type="containsText" dxfId="1016" priority="886" operator="containsText" text="T">
      <formula>NOT(ISERROR(SEARCH("T",K76)))</formula>
    </cfRule>
  </conditionalFormatting>
  <conditionalFormatting sqref="K77:AE82 K76:S76">
    <cfRule type="containsText" dxfId="1015" priority="892" operator="containsText" text="17">
      <formula>NOT(ISERROR(SEARCH("17",K76)))</formula>
    </cfRule>
  </conditionalFormatting>
  <conditionalFormatting sqref="L107:L112">
    <cfRule type="containsText" dxfId="1014" priority="880" operator="containsText" text="T">
      <formula>NOT(ISERROR(SEARCH("T",L107)))</formula>
    </cfRule>
  </conditionalFormatting>
  <conditionalFormatting sqref="L106:V106">
    <cfRule type="containsText" dxfId="1013" priority="872" operator="containsText" text="17">
      <formula>NOT(ISERROR(SEARCH("17",L106)))</formula>
    </cfRule>
    <cfRule type="containsText" dxfId="1012" priority="873" operator="containsText" text="T">
      <formula>NOT(ISERROR(SEARCH("T",L106)))</formula>
    </cfRule>
  </conditionalFormatting>
  <conditionalFormatting sqref="L107:AF112 L106:T106">
    <cfRule type="containsText" dxfId="1011" priority="879" operator="containsText" text="17">
      <formula>NOT(ISERROR(SEARCH("17",L106)))</formula>
    </cfRule>
  </conditionalFormatting>
  <conditionalFormatting sqref="M120:AG126 AJ120:AJ126">
    <cfRule type="containsText" dxfId="1010" priority="444" operator="containsText" text="T">
      <formula>NOT(ISERROR(SEARCH("T",M120)))</formula>
    </cfRule>
  </conditionalFormatting>
  <conditionalFormatting sqref="M120:AG126">
    <cfRule type="containsText" dxfId="1009" priority="446" operator="containsText" text="17">
      <formula>NOT(ISERROR(SEARCH("17",M120)))</formula>
    </cfRule>
  </conditionalFormatting>
  <conditionalFormatting sqref="N70:N75">
    <cfRule type="containsText" dxfId="1008" priority="867" operator="containsText" text="T">
      <formula>NOT(ISERROR(SEARCH("T",N70)))</formula>
    </cfRule>
  </conditionalFormatting>
  <conditionalFormatting sqref="N69:X69">
    <cfRule type="containsText" dxfId="1007" priority="859" operator="containsText" text="17">
      <formula>NOT(ISERROR(SEARCH("17",N69)))</formula>
    </cfRule>
    <cfRule type="containsText" dxfId="1006" priority="860" operator="containsText" text="T">
      <formula>NOT(ISERROR(SEARCH("T",N69)))</formula>
    </cfRule>
  </conditionalFormatting>
  <conditionalFormatting sqref="N70:AH75 N69:V69">
    <cfRule type="containsText" dxfId="1005" priority="866" operator="containsText" text="17">
      <formula>NOT(ISERROR(SEARCH("17",N69)))</formula>
    </cfRule>
  </conditionalFormatting>
  <conditionalFormatting sqref="O100:O105">
    <cfRule type="containsText" dxfId="1004" priority="854" operator="containsText" text="T">
      <formula>NOT(ISERROR(SEARCH("T",O100)))</formula>
    </cfRule>
  </conditionalFormatting>
  <conditionalFormatting sqref="O99:Y99">
    <cfRule type="containsText" dxfId="1003" priority="846" operator="containsText" text="17">
      <formula>NOT(ISERROR(SEARCH("17",O99)))</formula>
    </cfRule>
    <cfRule type="containsText" dxfId="1002" priority="847" operator="containsText" text="T">
      <formula>NOT(ISERROR(SEARCH("T",O99)))</formula>
    </cfRule>
  </conditionalFormatting>
  <conditionalFormatting sqref="O100:AI105 O99:W99">
    <cfRule type="containsText" dxfId="1001" priority="853" operator="containsText" text="17">
      <formula>NOT(ISERROR(SEARCH("17",O99)))</formula>
    </cfRule>
  </conditionalFormatting>
  <conditionalFormatting sqref="P67:Z68">
    <cfRule type="containsText" dxfId="1000" priority="836" operator="containsText" text="17">
      <formula>NOT(ISERROR(SEARCH("17",P67)))</formula>
    </cfRule>
  </conditionalFormatting>
  <conditionalFormatting sqref="P97:Z98">
    <cfRule type="containsText" dxfId="999" priority="826" operator="containsText" text="17">
      <formula>NOT(ISERROR(SEARCH("17",P97)))</formula>
    </cfRule>
  </conditionalFormatting>
  <conditionalFormatting sqref="P127:Z130">
    <cfRule type="containsText" dxfId="998" priority="806" operator="containsText" text="17">
      <formula>NOT(ISERROR(SEARCH("17",P127)))</formula>
    </cfRule>
  </conditionalFormatting>
  <conditionalFormatting sqref="Q132:Q137">
    <cfRule type="containsText" dxfId="997" priority="801" operator="containsText" text="T">
      <formula>NOT(ISERROR(SEARCH("T",Q132)))</formula>
    </cfRule>
  </conditionalFormatting>
  <conditionalFormatting sqref="Q131:AA131">
    <cfRule type="containsText" dxfId="996" priority="793" operator="containsText" text="17">
      <formula>NOT(ISERROR(SEARCH("17",Q131)))</formula>
    </cfRule>
    <cfRule type="containsText" dxfId="995" priority="794" operator="containsText" text="T">
      <formula>NOT(ISERROR(SEARCH("T",Q131)))</formula>
    </cfRule>
  </conditionalFormatting>
  <conditionalFormatting sqref="Q132:AK137 Q131:Y131">
    <cfRule type="containsText" dxfId="994" priority="800" operator="containsText" text="17">
      <formula>NOT(ISERROR(SEARCH("17",Q131)))</formula>
    </cfRule>
  </conditionalFormatting>
  <conditionalFormatting sqref="R139:R144">
    <cfRule type="containsText" dxfId="993" priority="788" operator="containsText" text="T">
      <formula>NOT(ISERROR(SEARCH("T",R139)))</formula>
    </cfRule>
  </conditionalFormatting>
  <conditionalFormatting sqref="R138:AB138">
    <cfRule type="containsText" dxfId="992" priority="780" operator="containsText" text="17">
      <formula>NOT(ISERROR(SEARCH("17",R138)))</formula>
    </cfRule>
    <cfRule type="containsText" dxfId="991" priority="781" operator="containsText" text="T">
      <formula>NOT(ISERROR(SEARCH("T",R138)))</formula>
    </cfRule>
  </conditionalFormatting>
  <conditionalFormatting sqref="R139:AL144 R138:Z138">
    <cfRule type="containsText" dxfId="990" priority="787" operator="containsText" text="17">
      <formula>NOT(ISERROR(SEARCH("17",R138)))</formula>
    </cfRule>
  </conditionalFormatting>
  <conditionalFormatting sqref="S146:S151">
    <cfRule type="containsText" dxfId="989" priority="775" operator="containsText" text="T">
      <formula>NOT(ISERROR(SEARCH("T",S146)))</formula>
    </cfRule>
  </conditionalFormatting>
  <conditionalFormatting sqref="S145:AC145">
    <cfRule type="containsText" dxfId="988" priority="767" operator="containsText" text="17">
      <formula>NOT(ISERROR(SEARCH("17",S145)))</formula>
    </cfRule>
    <cfRule type="containsText" dxfId="987" priority="768" operator="containsText" text="T">
      <formula>NOT(ISERROR(SEARCH("T",S145)))</formula>
    </cfRule>
  </conditionalFormatting>
  <conditionalFormatting sqref="S146:AM151 S145:AA145">
    <cfRule type="containsText" dxfId="986" priority="774" operator="containsText" text="17">
      <formula>NOT(ISERROR(SEARCH("17",S145)))</formula>
    </cfRule>
  </conditionalFormatting>
  <conditionalFormatting sqref="T153:T158">
    <cfRule type="containsText" dxfId="985" priority="762" operator="containsText" text="T">
      <formula>NOT(ISERROR(SEARCH("T",T153)))</formula>
    </cfRule>
  </conditionalFormatting>
  <conditionalFormatting sqref="T152:AD152">
    <cfRule type="containsText" dxfId="984" priority="754" operator="containsText" text="17">
      <formula>NOT(ISERROR(SEARCH("17",T152)))</formula>
    </cfRule>
    <cfRule type="containsText" dxfId="983" priority="755" operator="containsText" text="T">
      <formula>NOT(ISERROR(SEARCH("T",T152)))</formula>
    </cfRule>
  </conditionalFormatting>
  <conditionalFormatting sqref="T153:AN158 T152:AB152">
    <cfRule type="containsText" dxfId="982" priority="761" operator="containsText" text="17">
      <formula>NOT(ISERROR(SEARCH("17",T152)))</formula>
    </cfRule>
  </conditionalFormatting>
  <conditionalFormatting sqref="U160:U165">
    <cfRule type="containsText" dxfId="981" priority="749" operator="containsText" text="T">
      <formula>NOT(ISERROR(SEARCH("T",U160)))</formula>
    </cfRule>
  </conditionalFormatting>
  <conditionalFormatting sqref="U113:AA113">
    <cfRule type="containsText" dxfId="980" priority="907" operator="containsText" text="17">
      <formula>NOT(ISERROR(SEARCH("17",U113)))</formula>
    </cfRule>
    <cfRule type="containsText" dxfId="979" priority="908" operator="containsText" text="T">
      <formula>NOT(ISERROR(SEARCH("T",U113)))</formula>
    </cfRule>
  </conditionalFormatting>
  <conditionalFormatting sqref="U159:AE159">
    <cfRule type="containsText" dxfId="978" priority="741" operator="containsText" text="17">
      <formula>NOT(ISERROR(SEARCH("17",U159)))</formula>
    </cfRule>
    <cfRule type="containsText" dxfId="977" priority="742" operator="containsText" text="T">
      <formula>NOT(ISERROR(SEARCH("T",U159)))</formula>
    </cfRule>
  </conditionalFormatting>
  <conditionalFormatting sqref="U160:AO165 U159:AC159">
    <cfRule type="containsText" dxfId="976" priority="748" operator="containsText" text="17">
      <formula>NOT(ISERROR(SEARCH("17",U159)))</formula>
    </cfRule>
  </conditionalFormatting>
  <conditionalFormatting sqref="V113">
    <cfRule type="containsText" dxfId="975" priority="903" operator="containsText" text="17">
      <formula>NOT(ISERROR(SEARCH("17",V113)))</formula>
    </cfRule>
    <cfRule type="containsText" dxfId="974" priority="904" operator="containsText" text="T">
      <formula>NOT(ISERROR(SEARCH("T",V113)))</formula>
    </cfRule>
  </conditionalFormatting>
  <conditionalFormatting sqref="V208:V213">
    <cfRule type="containsText" dxfId="973" priority="736" operator="containsText" text="T">
      <formula>NOT(ISERROR(SEARCH("T",V208)))</formula>
    </cfRule>
  </conditionalFormatting>
  <conditionalFormatting sqref="V76:AB76">
    <cfRule type="containsText" dxfId="972" priority="894" operator="containsText" text="17">
      <formula>NOT(ISERROR(SEARCH("17",V76)))</formula>
    </cfRule>
    <cfRule type="containsText" dxfId="971" priority="895" operator="containsText" text="T">
      <formula>NOT(ISERROR(SEARCH("T",V76)))</formula>
    </cfRule>
  </conditionalFormatting>
  <conditionalFormatting sqref="V207:AF207">
    <cfRule type="containsText" dxfId="970" priority="728" operator="containsText" text="17">
      <formula>NOT(ISERROR(SEARCH("17",V207)))</formula>
    </cfRule>
    <cfRule type="containsText" dxfId="969" priority="729" operator="containsText" text="T">
      <formula>NOT(ISERROR(SEARCH("T",V207)))</formula>
    </cfRule>
  </conditionalFormatting>
  <conditionalFormatting sqref="V208:AP213 V207:AD207">
    <cfRule type="containsText" dxfId="968" priority="735" operator="containsText" text="17">
      <formula>NOT(ISERROR(SEARCH("17",V207)))</formula>
    </cfRule>
  </conditionalFormatting>
  <conditionalFormatting sqref="W76">
    <cfRule type="containsText" dxfId="967" priority="890" operator="containsText" text="17">
      <formula>NOT(ISERROR(SEARCH("17",W76)))</formula>
    </cfRule>
    <cfRule type="containsText" dxfId="966" priority="891" operator="containsText" text="T">
      <formula>NOT(ISERROR(SEARCH("T",W76)))</formula>
    </cfRule>
  </conditionalFormatting>
  <conditionalFormatting sqref="W201:W206">
    <cfRule type="containsText" dxfId="965" priority="723" operator="containsText" text="T">
      <formula>NOT(ISERROR(SEARCH("T",W201)))</formula>
    </cfRule>
  </conditionalFormatting>
  <conditionalFormatting sqref="W106:AC106">
    <cfRule type="containsText" dxfId="964" priority="881" operator="containsText" text="17">
      <formula>NOT(ISERROR(SEARCH("17",W106)))</formula>
    </cfRule>
    <cfRule type="containsText" dxfId="963" priority="882" operator="containsText" text="T">
      <formula>NOT(ISERROR(SEARCH("T",W106)))</formula>
    </cfRule>
  </conditionalFormatting>
  <conditionalFormatting sqref="W200:AG200">
    <cfRule type="containsText" dxfId="962" priority="715" operator="containsText" text="17">
      <formula>NOT(ISERROR(SEARCH("17",W200)))</formula>
    </cfRule>
    <cfRule type="containsText" dxfId="961" priority="716" operator="containsText" text="T">
      <formula>NOT(ISERROR(SEARCH("T",W200)))</formula>
    </cfRule>
  </conditionalFormatting>
  <conditionalFormatting sqref="W201:AQ206 W200:AE200">
    <cfRule type="containsText" dxfId="960" priority="722" operator="containsText" text="17">
      <formula>NOT(ISERROR(SEARCH("17",W200)))</formula>
    </cfRule>
  </conditionalFormatting>
  <conditionalFormatting sqref="X106">
    <cfRule type="containsText" dxfId="959" priority="877" operator="containsText" text="17">
      <formula>NOT(ISERROR(SEARCH("17",X106)))</formula>
    </cfRule>
    <cfRule type="containsText" dxfId="958" priority="878" operator="containsText" text="T">
      <formula>NOT(ISERROR(SEARCH("T",X106)))</formula>
    </cfRule>
  </conditionalFormatting>
  <conditionalFormatting sqref="X194:X199">
    <cfRule type="containsText" dxfId="957" priority="710" operator="containsText" text="T">
      <formula>NOT(ISERROR(SEARCH("T",X194)))</formula>
    </cfRule>
  </conditionalFormatting>
  <conditionalFormatting sqref="X192:AH193">
    <cfRule type="containsText" dxfId="956" priority="697" operator="containsText" text="17">
      <formula>NOT(ISERROR(SEARCH("17",X192)))</formula>
    </cfRule>
    <cfRule type="containsText" dxfId="955" priority="698" operator="containsText" text="T">
      <formula>NOT(ISERROR(SEARCH("T",X192)))</formula>
    </cfRule>
  </conditionalFormatting>
  <conditionalFormatting sqref="Y169:Y174">
    <cfRule type="containsText" dxfId="954" priority="692" operator="containsText" text="T">
      <formula>NOT(ISERROR(SEARCH("T",Y169)))</formula>
    </cfRule>
  </conditionalFormatting>
  <conditionalFormatting sqref="Y69:AE69">
    <cfRule type="containsText" dxfId="953" priority="868" operator="containsText" text="17">
      <formula>NOT(ISERROR(SEARCH("17",Y69)))</formula>
    </cfRule>
    <cfRule type="containsText" dxfId="952" priority="869" operator="containsText" text="T">
      <formula>NOT(ISERROR(SEARCH("T",Y69)))</formula>
    </cfRule>
  </conditionalFormatting>
  <conditionalFormatting sqref="Y168:AI168">
    <cfRule type="containsText" dxfId="951" priority="684" operator="containsText" text="17">
      <formula>NOT(ISERROR(SEARCH("17",Y168)))</formula>
    </cfRule>
    <cfRule type="containsText" dxfId="950" priority="685" operator="containsText" text="T">
      <formula>NOT(ISERROR(SEARCH("T",Y168)))</formula>
    </cfRule>
  </conditionalFormatting>
  <conditionalFormatting sqref="Y169:AS174 Y168:AG168">
    <cfRule type="containsText" dxfId="949" priority="691" operator="containsText" text="17">
      <formula>NOT(ISERROR(SEARCH("17",Y168)))</formula>
    </cfRule>
  </conditionalFormatting>
  <conditionalFormatting sqref="Z69">
    <cfRule type="containsText" dxfId="948" priority="864" operator="containsText" text="17">
      <formula>NOT(ISERROR(SEARCH("17",Z69)))</formula>
    </cfRule>
    <cfRule type="containsText" dxfId="947" priority="865" operator="containsText" text="T">
      <formula>NOT(ISERROR(SEARCH("T",Z69)))</formula>
    </cfRule>
  </conditionalFormatting>
  <conditionalFormatting sqref="Z176:Z181">
    <cfRule type="containsText" dxfId="946" priority="679" operator="containsText" text="T">
      <formula>NOT(ISERROR(SEARCH("T",Z176)))</formula>
    </cfRule>
  </conditionalFormatting>
  <conditionalFormatting sqref="Z99:AF99">
    <cfRule type="containsText" dxfId="945" priority="855" operator="containsText" text="17">
      <formula>NOT(ISERROR(SEARCH("17",Z99)))</formula>
    </cfRule>
    <cfRule type="containsText" dxfId="944" priority="856" operator="containsText" text="T">
      <formula>NOT(ISERROR(SEARCH("T",Z99)))</formula>
    </cfRule>
  </conditionalFormatting>
  <conditionalFormatting sqref="Z175:AJ175">
    <cfRule type="containsText" dxfId="943" priority="671" operator="containsText" text="17">
      <formula>NOT(ISERROR(SEARCH("17",Z175)))</formula>
    </cfRule>
    <cfRule type="containsText" dxfId="942" priority="672" operator="containsText" text="T">
      <formula>NOT(ISERROR(SEARCH("T",Z175)))</formula>
    </cfRule>
  </conditionalFormatting>
  <conditionalFormatting sqref="Z176:AT181 Z175:AH175">
    <cfRule type="containsText" dxfId="941" priority="678" operator="containsText" text="17">
      <formula>NOT(ISERROR(SEARCH("17",Z175)))</formula>
    </cfRule>
  </conditionalFormatting>
  <conditionalFormatting sqref="AA99">
    <cfRule type="containsText" dxfId="940" priority="851" operator="containsText" text="17">
      <formula>NOT(ISERROR(SEARCH("17",AA99)))</formula>
    </cfRule>
    <cfRule type="containsText" dxfId="939" priority="852" operator="containsText" text="T">
      <formula>NOT(ISERROR(SEARCH("T",AA99)))</formula>
    </cfRule>
  </conditionalFormatting>
  <conditionalFormatting sqref="AA113 AE113:AG113 J114:AD119 AG114:AG119">
    <cfRule type="containsText" dxfId="938" priority="900" operator="containsText" text="T">
      <formula>NOT(ISERROR(SEARCH("T",J113)))</formula>
    </cfRule>
  </conditionalFormatting>
  <conditionalFormatting sqref="AA183:AA190">
    <cfRule type="containsText" dxfId="937" priority="666" operator="containsText" text="T">
      <formula>NOT(ISERROR(SEARCH("T",AA183)))</formula>
    </cfRule>
  </conditionalFormatting>
  <conditionalFormatting sqref="AA113:AB113 AE113:AG113 AG114:AG119">
    <cfRule type="containsText" dxfId="936" priority="901" operator="containsText" text="17">
      <formula>NOT(ISERROR(SEARCH("17",AA113)))</formula>
    </cfRule>
  </conditionalFormatting>
  <conditionalFormatting sqref="AA67:AG68">
    <cfRule type="containsText" dxfId="935" priority="844" operator="containsText" text="17">
      <formula>NOT(ISERROR(SEARCH("17",AA67)))</formula>
    </cfRule>
    <cfRule type="containsText" dxfId="934" priority="845" operator="containsText" text="T">
      <formula>NOT(ISERROR(SEARCH("T",AA67)))</formula>
    </cfRule>
  </conditionalFormatting>
  <conditionalFormatting sqref="AA97:AG98">
    <cfRule type="containsText" dxfId="933" priority="834" operator="containsText" text="17">
      <formula>NOT(ISERROR(SEARCH("17",AA97)))</formula>
    </cfRule>
    <cfRule type="containsText" dxfId="932" priority="835" operator="containsText" text="T">
      <formula>NOT(ISERROR(SEARCH("T",AA97)))</formula>
    </cfRule>
  </conditionalFormatting>
  <conditionalFormatting sqref="AA127:AG130">
    <cfRule type="containsText" dxfId="931" priority="814" operator="containsText" text="17">
      <formula>NOT(ISERROR(SEARCH("17",AA127)))</formula>
    </cfRule>
    <cfRule type="containsText" dxfId="930" priority="815" operator="containsText" text="T">
      <formula>NOT(ISERROR(SEARCH("T",AA127)))</formula>
    </cfRule>
  </conditionalFormatting>
  <conditionalFormatting sqref="AA182:AK182">
    <cfRule type="containsText" dxfId="929" priority="658" operator="containsText" text="17">
      <formula>NOT(ISERROR(SEARCH("17",AA182)))</formula>
    </cfRule>
    <cfRule type="containsText" dxfId="928" priority="659" operator="containsText" text="T">
      <formula>NOT(ISERROR(SEARCH("T",AA182)))</formula>
    </cfRule>
  </conditionalFormatting>
  <conditionalFormatting sqref="AA183:AU190 AA182:AI182">
    <cfRule type="containsText" dxfId="927" priority="665" operator="containsText" text="17">
      <formula>NOT(ISERROR(SEARCH("17",AA182)))</formula>
    </cfRule>
  </conditionalFormatting>
  <conditionalFormatting sqref="AB67:AB68">
    <cfRule type="containsText" dxfId="926" priority="841" operator="containsText" text="17">
      <formula>NOT(ISERROR(SEARCH("17",AB67)))</formula>
    </cfRule>
    <cfRule type="containsText" dxfId="925" priority="842" operator="containsText" text="T">
      <formula>NOT(ISERROR(SEARCH("T",AB67)))</formula>
    </cfRule>
  </conditionalFormatting>
  <conditionalFormatting sqref="AB76 AF76:AH76 K77:AE82 AH77:AH82">
    <cfRule type="containsText" dxfId="924" priority="887" operator="containsText" text="T">
      <formula>NOT(ISERROR(SEARCH("T",K76)))</formula>
    </cfRule>
  </conditionalFormatting>
  <conditionalFormatting sqref="AB91:AB96">
    <cfRule type="containsText" dxfId="923" priority="653" operator="containsText" text="T">
      <formula>NOT(ISERROR(SEARCH("T",AB91)))</formula>
    </cfRule>
  </conditionalFormatting>
  <conditionalFormatting sqref="AB97:AB98">
    <cfRule type="containsText" dxfId="922" priority="831" operator="containsText" text="17">
      <formula>NOT(ISERROR(SEARCH("17",AB97)))</formula>
    </cfRule>
    <cfRule type="containsText" dxfId="921" priority="832" operator="containsText" text="T">
      <formula>NOT(ISERROR(SEARCH("T",AB97)))</formula>
    </cfRule>
  </conditionalFormatting>
  <conditionalFormatting sqref="AB113">
    <cfRule type="containsText" dxfId="920" priority="902" operator="containsText" text="T">
      <formula>NOT(ISERROR(SEARCH("T",AB113)))</formula>
    </cfRule>
  </conditionalFormatting>
  <conditionalFormatting sqref="AB127:AB130">
    <cfRule type="containsText" dxfId="919" priority="811" operator="containsText" text="17">
      <formula>NOT(ISERROR(SEARCH("17",AB127)))</formula>
    </cfRule>
    <cfRule type="containsText" dxfId="918" priority="812" operator="containsText" text="T">
      <formula>NOT(ISERROR(SEARCH("T",AB127)))</formula>
    </cfRule>
  </conditionalFormatting>
  <conditionalFormatting sqref="AB76:AC76 AF76:AH76 AH77:AH82">
    <cfRule type="containsText" dxfId="917" priority="888" operator="containsText" text="17">
      <formula>NOT(ISERROR(SEARCH("17",AB76)))</formula>
    </cfRule>
  </conditionalFormatting>
  <conditionalFormatting sqref="AB131:AH131">
    <cfRule type="containsText" dxfId="916" priority="802" operator="containsText" text="17">
      <formula>NOT(ISERROR(SEARCH("17",AB131)))</formula>
    </cfRule>
    <cfRule type="containsText" dxfId="915" priority="803" operator="containsText" text="T">
      <formula>NOT(ISERROR(SEARCH("T",AB131)))</formula>
    </cfRule>
  </conditionalFormatting>
  <conditionalFormatting sqref="AB90:AL90">
    <cfRule type="containsText" dxfId="914" priority="645" operator="containsText" text="17">
      <formula>NOT(ISERROR(SEARCH("17",AB90)))</formula>
    </cfRule>
    <cfRule type="containsText" dxfId="913" priority="646" operator="containsText" text="T">
      <formula>NOT(ISERROR(SEARCH("T",AB90)))</formula>
    </cfRule>
  </conditionalFormatting>
  <conditionalFormatting sqref="AB91:AV96 AB90:AJ90">
    <cfRule type="containsText" dxfId="912" priority="652" operator="containsText" text="17">
      <formula>NOT(ISERROR(SEARCH("17",AB90)))</formula>
    </cfRule>
  </conditionalFormatting>
  <conditionalFormatting sqref="AC15:AC20">
    <cfRule type="containsText" dxfId="911" priority="640" operator="containsText" text="T">
      <formula>NOT(ISERROR(SEARCH("T",AC15)))</formula>
    </cfRule>
  </conditionalFormatting>
  <conditionalFormatting sqref="AC76">
    <cfRule type="containsText" dxfId="910" priority="889" operator="containsText" text="T">
      <formula>NOT(ISERROR(SEARCH("T",AC76)))</formula>
    </cfRule>
  </conditionalFormatting>
  <conditionalFormatting sqref="AC106 L107:AF112 AI107:AI112">
    <cfRule type="containsText" dxfId="909" priority="874" operator="containsText" text="T">
      <formula>NOT(ISERROR(SEARCH("T",L106)))</formula>
    </cfRule>
  </conditionalFormatting>
  <conditionalFormatting sqref="AC131">
    <cfRule type="containsText" dxfId="908" priority="798" operator="containsText" text="17">
      <formula>NOT(ISERROR(SEARCH("17",AC131)))</formula>
    </cfRule>
    <cfRule type="containsText" dxfId="907" priority="799" operator="containsText" text="T">
      <formula>NOT(ISERROR(SEARCH("T",AC131)))</formula>
    </cfRule>
  </conditionalFormatting>
  <conditionalFormatting sqref="AC106:AD106 AI107:AI112">
    <cfRule type="containsText" dxfId="906" priority="875" operator="containsText" text="17">
      <formula>NOT(ISERROR(SEARCH("17",AC106)))</formula>
    </cfRule>
  </conditionalFormatting>
  <conditionalFormatting sqref="AC138:AI138">
    <cfRule type="containsText" dxfId="905" priority="789" operator="containsText" text="17">
      <formula>NOT(ISERROR(SEARCH("17",AC138)))</formula>
    </cfRule>
    <cfRule type="containsText" dxfId="904" priority="790" operator="containsText" text="T">
      <formula>NOT(ISERROR(SEARCH("T",AC138)))</formula>
    </cfRule>
  </conditionalFormatting>
  <conditionalFormatting sqref="AC14:AM14">
    <cfRule type="containsText" dxfId="903" priority="632" operator="containsText" text="17">
      <formula>NOT(ISERROR(SEARCH("17",AC14)))</formula>
    </cfRule>
    <cfRule type="containsText" dxfId="902" priority="633" operator="containsText" text="T">
      <formula>NOT(ISERROR(SEARCH("T",AC14)))</formula>
    </cfRule>
  </conditionalFormatting>
  <conditionalFormatting sqref="AC15:AW20 AC14:AK14">
    <cfRule type="containsText" dxfId="901" priority="639" operator="containsText" text="17">
      <formula>NOT(ISERROR(SEARCH("17",AC14)))</formula>
    </cfRule>
  </conditionalFormatting>
  <conditionalFormatting sqref="AD35:AD40">
    <cfRule type="containsText" dxfId="900" priority="627" operator="containsText" text="T">
      <formula>NOT(ISERROR(SEARCH("T",AD35)))</formula>
    </cfRule>
  </conditionalFormatting>
  <conditionalFormatting sqref="AD106">
    <cfRule type="containsText" dxfId="899" priority="876" operator="containsText" text="T">
      <formula>NOT(ISERROR(SEARCH("T",AD106)))</formula>
    </cfRule>
  </conditionalFormatting>
  <conditionalFormatting sqref="AD138">
    <cfRule type="containsText" dxfId="898" priority="785" operator="containsText" text="17">
      <formula>NOT(ISERROR(SEARCH("17",AD138)))</formula>
    </cfRule>
    <cfRule type="containsText" dxfId="897" priority="786" operator="containsText" text="T">
      <formula>NOT(ISERROR(SEARCH("T",AD138)))</formula>
    </cfRule>
  </conditionalFormatting>
  <conditionalFormatting sqref="AD145:AJ145">
    <cfRule type="containsText" dxfId="896" priority="776" operator="containsText" text="17">
      <formula>NOT(ISERROR(SEARCH("17",AD145)))</formula>
    </cfRule>
    <cfRule type="containsText" dxfId="895" priority="777" operator="containsText" text="T">
      <formula>NOT(ISERROR(SEARCH("T",AD145)))</formula>
    </cfRule>
  </conditionalFormatting>
  <conditionalFormatting sqref="AD34:AN34">
    <cfRule type="containsText" dxfId="894" priority="619" operator="containsText" text="17">
      <formula>NOT(ISERROR(SEARCH("17",AD34)))</formula>
    </cfRule>
    <cfRule type="containsText" dxfId="893" priority="620" operator="containsText" text="T">
      <formula>NOT(ISERROR(SEARCH("T",AD34)))</formula>
    </cfRule>
  </conditionalFormatting>
  <conditionalFormatting sqref="AD35:AX40 AD34:AL34">
    <cfRule type="containsText" dxfId="892" priority="626" operator="containsText" text="17">
      <formula>NOT(ISERROR(SEARCH("17",AD34)))</formula>
    </cfRule>
  </conditionalFormatting>
  <conditionalFormatting sqref="AE22:AE27">
    <cfRule type="containsText" dxfId="891" priority="614" operator="containsText" text="T">
      <formula>NOT(ISERROR(SEARCH("T",AE22)))</formula>
    </cfRule>
  </conditionalFormatting>
  <conditionalFormatting sqref="AE69 AI69:AK69 N70:AH75 AK70:AK75">
    <cfRule type="containsText" dxfId="890" priority="861" operator="containsText" text="T">
      <formula>NOT(ISERROR(SEARCH("T",N69)))</formula>
    </cfRule>
  </conditionalFormatting>
  <conditionalFormatting sqref="AE145">
    <cfRule type="containsText" dxfId="889" priority="772" operator="containsText" text="17">
      <formula>NOT(ISERROR(SEARCH("17",AE145)))</formula>
    </cfRule>
    <cfRule type="containsText" dxfId="888" priority="773" operator="containsText" text="T">
      <formula>NOT(ISERROR(SEARCH("T",AE145)))</formula>
    </cfRule>
  </conditionalFormatting>
  <conditionalFormatting sqref="AE69:AF69 AI69:AK69 AK70:AK75">
    <cfRule type="containsText" dxfId="887" priority="862" operator="containsText" text="17">
      <formula>NOT(ISERROR(SEARCH("17",AE69)))</formula>
    </cfRule>
  </conditionalFormatting>
  <conditionalFormatting sqref="AE152:AK152">
    <cfRule type="containsText" dxfId="886" priority="763" operator="containsText" text="17">
      <formula>NOT(ISERROR(SEARCH("17",AE152)))</formula>
    </cfRule>
    <cfRule type="containsText" dxfId="885" priority="764" operator="containsText" text="T">
      <formula>NOT(ISERROR(SEARCH("T",AE152)))</formula>
    </cfRule>
  </conditionalFormatting>
  <conditionalFormatting sqref="AE21:AO21">
    <cfRule type="containsText" dxfId="884" priority="606" operator="containsText" text="17">
      <formula>NOT(ISERROR(SEARCH("17",AE21)))</formula>
    </cfRule>
    <cfRule type="containsText" dxfId="883" priority="607" operator="containsText" text="T">
      <formula>NOT(ISERROR(SEARCH("T",AE21)))</formula>
    </cfRule>
  </conditionalFormatting>
  <conditionalFormatting sqref="AE22:AY27 AE21:AM21">
    <cfRule type="containsText" dxfId="882" priority="613" operator="containsText" text="17">
      <formula>NOT(ISERROR(SEARCH("17",AE21)))</formula>
    </cfRule>
  </conditionalFormatting>
  <conditionalFormatting sqref="AF42:AF47">
    <cfRule type="containsText" dxfId="881" priority="601" operator="containsText" text="T">
      <formula>NOT(ISERROR(SEARCH("T",AF42)))</formula>
    </cfRule>
  </conditionalFormatting>
  <conditionalFormatting sqref="AF69">
    <cfRule type="containsText" dxfId="880" priority="863" operator="containsText" text="T">
      <formula>NOT(ISERROR(SEARCH("T",AF69)))</formula>
    </cfRule>
  </conditionalFormatting>
  <conditionalFormatting sqref="AF99 AJ99:AL99 O100:AI105 AL100:AL105">
    <cfRule type="containsText" dxfId="879" priority="848" operator="containsText" text="T">
      <formula>NOT(ISERROR(SEARCH("T",O99)))</formula>
    </cfRule>
  </conditionalFormatting>
  <conditionalFormatting sqref="AF152">
    <cfRule type="containsText" dxfId="878" priority="759" operator="containsText" text="17">
      <formula>NOT(ISERROR(SEARCH("17",AF152)))</formula>
    </cfRule>
    <cfRule type="containsText" dxfId="877" priority="760" operator="containsText" text="T">
      <formula>NOT(ISERROR(SEARCH("T",AF152)))</formula>
    </cfRule>
  </conditionalFormatting>
  <conditionalFormatting sqref="AF99:AG99 AJ99:AL99 AL100:AL105">
    <cfRule type="containsText" dxfId="876" priority="849" operator="containsText" text="17">
      <formula>NOT(ISERROR(SEARCH("17",AF99)))</formula>
    </cfRule>
  </conditionalFormatting>
  <conditionalFormatting sqref="AF159:AL159">
    <cfRule type="containsText" dxfId="875" priority="750" operator="containsText" text="17">
      <formula>NOT(ISERROR(SEARCH("17",AF159)))</formula>
    </cfRule>
    <cfRule type="containsText" dxfId="874" priority="751" operator="containsText" text="T">
      <formula>NOT(ISERROR(SEARCH("T",AF159)))</formula>
    </cfRule>
  </conditionalFormatting>
  <conditionalFormatting sqref="AF41:AP41">
    <cfRule type="containsText" dxfId="873" priority="593" operator="containsText" text="17">
      <formula>NOT(ISERROR(SEARCH("17",AF41)))</formula>
    </cfRule>
    <cfRule type="containsText" dxfId="872" priority="594" operator="containsText" text="T">
      <formula>NOT(ISERROR(SEARCH("T",AF41)))</formula>
    </cfRule>
  </conditionalFormatting>
  <conditionalFormatting sqref="AF42:AZ47 AF41:AN41">
    <cfRule type="containsText" dxfId="871" priority="600" operator="containsText" text="17">
      <formula>NOT(ISERROR(SEARCH("17",AF41)))</formula>
    </cfRule>
  </conditionalFormatting>
  <conditionalFormatting sqref="AG67:AG68">
    <cfRule type="containsText" dxfId="870" priority="838" operator="containsText" text="T">
      <formula>NOT(ISERROR(SEARCH("T",AG67)))</formula>
    </cfRule>
  </conditionalFormatting>
  <conditionalFormatting sqref="AG97:AG98">
    <cfRule type="containsText" dxfId="869" priority="828" operator="containsText" text="T">
      <formula>NOT(ISERROR(SEARCH("T",AG97)))</formula>
    </cfRule>
  </conditionalFormatting>
  <conditionalFormatting sqref="AG99">
    <cfRule type="containsText" dxfId="868" priority="850" operator="containsText" text="T">
      <formula>NOT(ISERROR(SEARCH("T",AG99)))</formula>
    </cfRule>
  </conditionalFormatting>
  <conditionalFormatting sqref="AG114:AG119">
    <cfRule type="containsText" dxfId="867" priority="910" operator="containsText" text="T">
      <formula>NOT(ISERROR(SEARCH("T",AG114)))</formula>
    </cfRule>
  </conditionalFormatting>
  <conditionalFormatting sqref="AG127:AG130 AK127:AM130">
    <cfRule type="containsText" dxfId="866" priority="808" operator="containsText" text="T">
      <formula>NOT(ISERROR(SEARCH("T",AG127)))</formula>
    </cfRule>
  </conditionalFormatting>
  <conditionalFormatting sqref="AG159">
    <cfRule type="containsText" dxfId="865" priority="746" operator="containsText" text="17">
      <formula>NOT(ISERROR(SEARCH("17",AG159)))</formula>
    </cfRule>
    <cfRule type="containsText" dxfId="864" priority="747" operator="containsText" text="T">
      <formula>NOT(ISERROR(SEARCH("T",AG159)))</formula>
    </cfRule>
  </conditionalFormatting>
  <conditionalFormatting sqref="AG67:AH68">
    <cfRule type="containsText" dxfId="863" priority="839" operator="containsText" text="17">
      <formula>NOT(ISERROR(SEARCH("17",AG67)))</formula>
    </cfRule>
  </conditionalFormatting>
  <conditionalFormatting sqref="AG97:AH98">
    <cfRule type="containsText" dxfId="862" priority="829" operator="containsText" text="17">
      <formula>NOT(ISERROR(SEARCH("17",AG97)))</formula>
    </cfRule>
  </conditionalFormatting>
  <conditionalFormatting sqref="AG127:AH130 AK127:AM130">
    <cfRule type="containsText" dxfId="861" priority="809" operator="containsText" text="17">
      <formula>NOT(ISERROR(SEARCH("17",AG127)))</formula>
    </cfRule>
  </conditionalFormatting>
  <conditionalFormatting sqref="AG207:AM207">
    <cfRule type="containsText" dxfId="860" priority="737" operator="containsText" text="17">
      <formula>NOT(ISERROR(SEARCH("17",AG207)))</formula>
    </cfRule>
    <cfRule type="containsText" dxfId="859" priority="738" operator="containsText" text="T">
      <formula>NOT(ISERROR(SEARCH("T",AG207)))</formula>
    </cfRule>
  </conditionalFormatting>
  <conditionalFormatting sqref="AG28:AO32">
    <cfRule type="containsText" dxfId="858" priority="590" operator="containsText" text="17">
      <formula>NOT(ISERROR(SEARCH("17",AG28)))</formula>
    </cfRule>
  </conditionalFormatting>
  <conditionalFormatting sqref="AG28:AQ32">
    <cfRule type="containsText" dxfId="857" priority="583" operator="containsText" text="17">
      <formula>NOT(ISERROR(SEARCH("17",AG28)))</formula>
    </cfRule>
    <cfRule type="containsText" dxfId="856" priority="584" operator="containsText" text="T">
      <formula>NOT(ISERROR(SEARCH("T",AG28)))</formula>
    </cfRule>
  </conditionalFormatting>
  <conditionalFormatting sqref="AG48:AQ49">
    <cfRule type="containsText" dxfId="855" priority="573" operator="containsText" text="17">
      <formula>NOT(ISERROR(SEARCH("17",AG48)))</formula>
    </cfRule>
  </conditionalFormatting>
  <conditionalFormatting sqref="AG106:AY106">
    <cfRule type="containsText" dxfId="854" priority="411" operator="containsText" text="17">
      <formula>NOT(ISERROR(SEARCH("17",AG106)))</formula>
    </cfRule>
  </conditionalFormatting>
  <conditionalFormatting sqref="AG106:BA106">
    <cfRule type="containsText" dxfId="853" priority="405" operator="containsText" text="T">
      <formula>NOT(ISERROR(SEARCH("T",AG106)))</formula>
    </cfRule>
  </conditionalFormatting>
  <conditionalFormatting sqref="AH67:AH68">
    <cfRule type="containsText" dxfId="852" priority="840" operator="containsText" text="T">
      <formula>NOT(ISERROR(SEARCH("T",AH67)))</formula>
    </cfRule>
  </conditionalFormatting>
  <conditionalFormatting sqref="AH77:AH82">
    <cfRule type="containsText" dxfId="851" priority="897" operator="containsText" text="T">
      <formula>NOT(ISERROR(SEARCH("T",AH77)))</formula>
    </cfRule>
  </conditionalFormatting>
  <conditionalFormatting sqref="AH97:AH98">
    <cfRule type="containsText" dxfId="850" priority="830" operator="containsText" text="T">
      <formula>NOT(ISERROR(SEARCH("T",AH97)))</formula>
    </cfRule>
  </conditionalFormatting>
  <conditionalFormatting sqref="AH127:AH130">
    <cfRule type="containsText" dxfId="849" priority="810" operator="containsText" text="T">
      <formula>NOT(ISERROR(SEARCH("T",AH127)))</formula>
    </cfRule>
  </conditionalFormatting>
  <conditionalFormatting sqref="AH131 AL131:AN131 Q132:AK137 AN132:AN137">
    <cfRule type="containsText" dxfId="848" priority="795" operator="containsText" text="T">
      <formula>NOT(ISERROR(SEARCH("T",Q131)))</formula>
    </cfRule>
  </conditionalFormatting>
  <conditionalFormatting sqref="AH207">
    <cfRule type="containsText" dxfId="847" priority="733" operator="containsText" text="17">
      <formula>NOT(ISERROR(SEARCH("17",AH207)))</formula>
    </cfRule>
    <cfRule type="containsText" dxfId="846" priority="734" operator="containsText" text="T">
      <formula>NOT(ISERROR(SEARCH("T",AH207)))</formula>
    </cfRule>
  </conditionalFormatting>
  <conditionalFormatting sqref="AH131:AI131 AL131:AN131 AN132:AN137">
    <cfRule type="containsText" dxfId="845" priority="796" operator="containsText" text="17">
      <formula>NOT(ISERROR(SEARCH("17",AH131)))</formula>
    </cfRule>
  </conditionalFormatting>
  <conditionalFormatting sqref="AH200:AN200">
    <cfRule type="containsText" dxfId="844" priority="724" operator="containsText" text="17">
      <formula>NOT(ISERROR(SEARCH("17",AH200)))</formula>
    </cfRule>
    <cfRule type="containsText" dxfId="843" priority="725" operator="containsText" text="T">
      <formula>NOT(ISERROR(SEARCH("T",AH200)))</formula>
    </cfRule>
  </conditionalFormatting>
  <conditionalFormatting sqref="AH50:AP53">
    <cfRule type="containsText" dxfId="842" priority="570" operator="containsText" text="17">
      <formula>NOT(ISERROR(SEARCH("17",AH50)))</formula>
    </cfRule>
  </conditionalFormatting>
  <conditionalFormatting sqref="AH50:AR53">
    <cfRule type="containsText" dxfId="841" priority="563" operator="containsText" text="17">
      <formula>NOT(ISERROR(SEARCH("17",AH50)))</formula>
    </cfRule>
  </conditionalFormatting>
  <conditionalFormatting sqref="AH63:AR66">
    <cfRule type="containsText" dxfId="840" priority="553" operator="containsText" text="17">
      <formula>NOT(ISERROR(SEARCH("17",AH63)))</formula>
    </cfRule>
  </conditionalFormatting>
  <conditionalFormatting sqref="AH113:AU116">
    <cfRule type="containsText" dxfId="839" priority="476" operator="containsText" text="17">
      <formula>NOT(ISERROR(SEARCH("17",AH113)))</formula>
    </cfRule>
  </conditionalFormatting>
  <conditionalFormatting sqref="AH117:AV119">
    <cfRule type="containsText" dxfId="838" priority="466" operator="containsText" text="17">
      <formula>NOT(ISERROR(SEARCH("17",AH117)))</formula>
    </cfRule>
  </conditionalFormatting>
  <conditionalFormatting sqref="AH113:AW116">
    <cfRule type="containsText" dxfId="837" priority="470" operator="containsText" text="T">
      <formula>NOT(ISERROR(SEARCH("T",AH113)))</formula>
    </cfRule>
  </conditionalFormatting>
  <conditionalFormatting sqref="AH117:AX119">
    <cfRule type="containsText" dxfId="836" priority="460" operator="containsText" text="T">
      <formula>NOT(ISERROR(SEARCH("T",AH117)))</formula>
    </cfRule>
  </conditionalFormatting>
  <conditionalFormatting sqref="AI131">
    <cfRule type="containsText" dxfId="835" priority="797" operator="containsText" text="T">
      <formula>NOT(ISERROR(SEARCH("T",AI131)))</formula>
    </cfRule>
  </conditionalFormatting>
  <conditionalFormatting sqref="AI138 AM138:AO138 R139:AL144 AO139:AO144">
    <cfRule type="containsText" dxfId="834" priority="782" operator="containsText" text="T">
      <formula>NOT(ISERROR(SEARCH("T",R138)))</formula>
    </cfRule>
  </conditionalFormatting>
  <conditionalFormatting sqref="AI200">
    <cfRule type="containsText" dxfId="833" priority="720" operator="containsText" text="17">
      <formula>NOT(ISERROR(SEARCH("17",AI200)))</formula>
    </cfRule>
    <cfRule type="containsText" dxfId="832" priority="721" operator="containsText" text="T">
      <formula>NOT(ISERROR(SEARCH("T",AI200)))</formula>
    </cfRule>
  </conditionalFormatting>
  <conditionalFormatting sqref="AI138:AJ138 AM138:AO138 AO139:AO144">
    <cfRule type="containsText" dxfId="831" priority="783" operator="containsText" text="17">
      <formula>NOT(ISERROR(SEARCH("17",AI138)))</formula>
    </cfRule>
  </conditionalFormatting>
  <conditionalFormatting sqref="AI107:AO112">
    <cfRule type="containsText" dxfId="830" priority="884" operator="containsText" text="T">
      <formula>NOT(ISERROR(SEARCH("T",AI107)))</formula>
    </cfRule>
  </conditionalFormatting>
  <conditionalFormatting sqref="AI192:AO192">
    <cfRule type="containsText" dxfId="829" priority="701" operator="containsText" text="T">
      <formula>NOT(ISERROR(SEARCH("T",AI192)))</formula>
    </cfRule>
  </conditionalFormatting>
  <conditionalFormatting sqref="AI193:AO193">
    <cfRule type="containsText" dxfId="828" priority="711" operator="containsText" text="17">
      <formula>NOT(ISERROR(SEARCH("17",AI193)))</formula>
    </cfRule>
    <cfRule type="containsText" dxfId="827" priority="712" operator="containsText" text="T">
      <formula>NOT(ISERROR(SEARCH("T",AI193)))</formula>
    </cfRule>
  </conditionalFormatting>
  <conditionalFormatting sqref="AI192:AP192 AS192:AU192">
    <cfRule type="containsText" dxfId="826" priority="699" operator="containsText" text="17">
      <formula>NOT(ISERROR(SEARCH("17",AI192)))</formula>
    </cfRule>
  </conditionalFormatting>
  <conditionalFormatting sqref="AI59:AS62">
    <cfRule type="containsText" dxfId="825" priority="539" operator="containsText" text="17">
      <formula>NOT(ISERROR(SEARCH("17",AI59)))</formula>
    </cfRule>
  </conditionalFormatting>
  <conditionalFormatting sqref="AI86:AS89">
    <cfRule type="containsText" dxfId="824" priority="529" operator="containsText" text="17">
      <formula>NOT(ISERROR(SEARCH("17",AI86)))</formula>
    </cfRule>
  </conditionalFormatting>
  <conditionalFormatting sqref="AI79:AV82">
    <cfRule type="containsText" dxfId="823" priority="456" operator="containsText" text="17">
      <formula>NOT(ISERROR(SEARCH("17",AI79)))</formula>
    </cfRule>
  </conditionalFormatting>
  <conditionalFormatting sqref="AI76:AX78">
    <cfRule type="containsText" dxfId="822" priority="431" operator="containsText" text="17">
      <formula>NOT(ISERROR(SEARCH("17",AI76)))</formula>
    </cfRule>
  </conditionalFormatting>
  <conditionalFormatting sqref="AI79:AX82">
    <cfRule type="containsText" dxfId="821" priority="450" operator="containsText" text="T">
      <formula>NOT(ISERROR(SEARCH("T",AI79)))</formula>
    </cfRule>
  </conditionalFormatting>
  <conditionalFormatting sqref="AI76:AZ78">
    <cfRule type="containsText" dxfId="820" priority="425" operator="containsText" text="T">
      <formula>NOT(ISERROR(SEARCH("T",AI76)))</formula>
    </cfRule>
  </conditionalFormatting>
  <conditionalFormatting sqref="AJ120:AJ126">
    <cfRule type="containsText" dxfId="819" priority="445" operator="containsText" text="17">
      <formula>NOT(ISERROR(SEARCH("17",AJ120)))</formula>
    </cfRule>
    <cfRule type="containsText" dxfId="818" priority="448" operator="containsText" text="T">
      <formula>NOT(ISERROR(SEARCH("T",AJ120)))</formula>
    </cfRule>
  </conditionalFormatting>
  <conditionalFormatting sqref="AJ138">
    <cfRule type="containsText" dxfId="817" priority="784" operator="containsText" text="T">
      <formula>NOT(ISERROR(SEARCH("T",AJ138)))</formula>
    </cfRule>
  </conditionalFormatting>
  <conditionalFormatting sqref="AJ145 AN145:AP145 S146:AM151 AP146:AP151">
    <cfRule type="containsText" dxfId="816" priority="769" operator="containsText" text="T">
      <formula>NOT(ISERROR(SEARCH("T",S145)))</formula>
    </cfRule>
  </conditionalFormatting>
  <conditionalFormatting sqref="AJ192:AJ193">
    <cfRule type="containsText" dxfId="815" priority="707" operator="containsText" text="17">
      <formula>NOT(ISERROR(SEARCH("17",AJ192)))</formula>
    </cfRule>
    <cfRule type="containsText" dxfId="814" priority="708" operator="containsText" text="T">
      <formula>NOT(ISERROR(SEARCH("T",AJ192)))</formula>
    </cfRule>
  </conditionalFormatting>
  <conditionalFormatting sqref="AJ145:AK145 AN145:AP145 AP146:AP151">
    <cfRule type="containsText" dxfId="813" priority="770" operator="containsText" text="17">
      <formula>NOT(ISERROR(SEARCH("17",AJ145)))</formula>
    </cfRule>
  </conditionalFormatting>
  <conditionalFormatting sqref="AJ168:AP168">
    <cfRule type="containsText" dxfId="812" priority="693" operator="containsText" text="17">
      <formula>NOT(ISERROR(SEARCH("17",AJ168)))</formula>
    </cfRule>
    <cfRule type="containsText" dxfId="811" priority="694" operator="containsText" text="T">
      <formula>NOT(ISERROR(SEARCH("T",AJ168)))</formula>
    </cfRule>
  </conditionalFormatting>
  <conditionalFormatting sqref="AJ83:AT85">
    <cfRule type="containsText" dxfId="810" priority="519" operator="containsText" text="17">
      <formula>NOT(ISERROR(SEARCH("17",AJ83)))</formula>
    </cfRule>
  </conditionalFormatting>
  <conditionalFormatting sqref="AJ214:AT217">
    <cfRule type="containsText" dxfId="809" priority="509" operator="containsText" text="17">
      <formula>NOT(ISERROR(SEARCH("17",AJ214)))</formula>
    </cfRule>
  </conditionalFormatting>
  <conditionalFormatting sqref="AK70:AK75">
    <cfRule type="containsText" dxfId="808" priority="871" operator="containsText" text="T">
      <formula>NOT(ISERROR(SEARCH("T",AK70)))</formula>
    </cfRule>
  </conditionalFormatting>
  <conditionalFormatting sqref="AK129:AK130 P127:X130">
    <cfRule type="containsText" dxfId="807" priority="813" operator="containsText" text="17">
      <formula>NOT(ISERROR(SEARCH("17",P127)))</formula>
    </cfRule>
  </conditionalFormatting>
  <conditionalFormatting sqref="AK145">
    <cfRule type="containsText" dxfId="806" priority="771" operator="containsText" text="T">
      <formula>NOT(ISERROR(SEARCH("T",AK145)))</formula>
    </cfRule>
  </conditionalFormatting>
  <conditionalFormatting sqref="AK152 AO152:AQ152 T153:AN158 AQ153:AQ158">
    <cfRule type="containsText" dxfId="805" priority="756" operator="containsText" text="T">
      <formula>NOT(ISERROR(SEARCH("T",T152)))</formula>
    </cfRule>
  </conditionalFormatting>
  <conditionalFormatting sqref="AK168">
    <cfRule type="containsText" dxfId="804" priority="689" operator="containsText" text="17">
      <formula>NOT(ISERROR(SEARCH("17",AK168)))</formula>
    </cfRule>
    <cfRule type="containsText" dxfId="803" priority="690" operator="containsText" text="T">
      <formula>NOT(ISERROR(SEARCH("T",AK168)))</formula>
    </cfRule>
  </conditionalFormatting>
  <conditionalFormatting sqref="AK152:AL152 AO152:AQ152 AQ153:AQ158">
    <cfRule type="containsText" dxfId="802" priority="757" operator="containsText" text="17">
      <formula>NOT(ISERROR(SEARCH("17",AK152)))</formula>
    </cfRule>
  </conditionalFormatting>
  <conditionalFormatting sqref="AK175:AQ175">
    <cfRule type="containsText" dxfId="801" priority="680" operator="containsText" text="17">
      <formula>NOT(ISERROR(SEARCH("17",AK175)))</formula>
    </cfRule>
    <cfRule type="containsText" dxfId="800" priority="681" operator="containsText" text="T">
      <formula>NOT(ISERROR(SEARCH("T",AK175)))</formula>
    </cfRule>
  </conditionalFormatting>
  <conditionalFormatting sqref="AK218:AU224">
    <cfRule type="containsText" dxfId="799" priority="499" operator="containsText" text="17">
      <formula>NOT(ISERROR(SEARCH("17",AK218)))</formula>
    </cfRule>
  </conditionalFormatting>
  <conditionalFormatting sqref="AK120:AY120">
    <cfRule type="containsText" dxfId="798" priority="391" operator="containsText" text="17">
      <formula>NOT(ISERROR(SEARCH("17",AK120)))</formula>
    </cfRule>
  </conditionalFormatting>
  <conditionalFormatting sqref="AK122:AY122">
    <cfRule type="containsText" dxfId="797" priority="381" operator="containsText" text="17">
      <formula>NOT(ISERROR(SEARCH("17",AK122)))</formula>
    </cfRule>
  </conditionalFormatting>
  <conditionalFormatting sqref="AK124:AY126">
    <cfRule type="containsText" dxfId="796" priority="401" operator="containsText" text="17">
      <formula>NOT(ISERROR(SEARCH("17",AK124)))</formula>
    </cfRule>
  </conditionalFormatting>
  <conditionalFormatting sqref="AK121:AZ121">
    <cfRule type="containsText" dxfId="795" priority="361" operator="containsText" text="17">
      <formula>NOT(ISERROR(SEARCH("17",AK121)))</formula>
    </cfRule>
  </conditionalFormatting>
  <conditionalFormatting sqref="AK123:AZ123">
    <cfRule type="containsText" dxfId="794" priority="351" operator="containsText" text="17">
      <formula>NOT(ISERROR(SEARCH("17",AK123)))</formula>
    </cfRule>
  </conditionalFormatting>
  <conditionalFormatting sqref="AK67:BA68">
    <cfRule type="containsText" dxfId="793" priority="311" operator="containsText" text="17">
      <formula>NOT(ISERROR(SEARCH("17",AK67)))</formula>
    </cfRule>
  </conditionalFormatting>
  <conditionalFormatting sqref="AK120:BA120">
    <cfRule type="containsText" dxfId="792" priority="385" operator="containsText" text="T">
      <formula>NOT(ISERROR(SEARCH("T",AK120)))</formula>
    </cfRule>
  </conditionalFormatting>
  <conditionalFormatting sqref="AK122:BA122">
    <cfRule type="containsText" dxfId="791" priority="375" operator="containsText" text="T">
      <formula>NOT(ISERROR(SEARCH("T",AK122)))</formula>
    </cfRule>
  </conditionalFormatting>
  <conditionalFormatting sqref="AK124:BA126">
    <cfRule type="containsText" dxfId="790" priority="395" operator="containsText" text="T">
      <formula>NOT(ISERROR(SEARCH("T",AK124)))</formula>
    </cfRule>
  </conditionalFormatting>
  <conditionalFormatting sqref="AK97:BB98">
    <cfRule type="containsText" dxfId="789" priority="301" operator="containsText" text="17">
      <formula>NOT(ISERROR(SEARCH("17",AK97)))</formula>
    </cfRule>
  </conditionalFormatting>
  <conditionalFormatting sqref="AK121:BB121">
    <cfRule type="containsText" dxfId="788" priority="355" operator="containsText" text="T">
      <formula>NOT(ISERROR(SEARCH("T",AK121)))</formula>
    </cfRule>
  </conditionalFormatting>
  <conditionalFormatting sqref="AK123:BB123">
    <cfRule type="containsText" dxfId="787" priority="345" operator="containsText" text="T">
      <formula>NOT(ISERROR(SEARCH("T",AK123)))</formula>
    </cfRule>
  </conditionalFormatting>
  <conditionalFormatting sqref="AK67:BC68">
    <cfRule type="containsText" dxfId="786" priority="305" operator="containsText" text="T">
      <formula>NOT(ISERROR(SEARCH("T",AK67)))</formula>
    </cfRule>
  </conditionalFormatting>
  <conditionalFormatting sqref="AK97:BD98">
    <cfRule type="containsText" dxfId="785" priority="295" operator="containsText" text="T">
      <formula>NOT(ISERROR(SEARCH("T",AK97)))</formula>
    </cfRule>
  </conditionalFormatting>
  <conditionalFormatting sqref="AL100:AL105">
    <cfRule type="containsText" dxfId="784" priority="858" operator="containsText" text="T">
      <formula>NOT(ISERROR(SEARCH("T",AL100)))</formula>
    </cfRule>
  </conditionalFormatting>
  <conditionalFormatting sqref="AL152">
    <cfRule type="containsText" dxfId="783" priority="758" operator="containsText" text="T">
      <formula>NOT(ISERROR(SEARCH("T",AL152)))</formula>
    </cfRule>
  </conditionalFormatting>
  <conditionalFormatting sqref="AL159 AP159:AR159 U160:AO165 AR160:AR165">
    <cfRule type="containsText" dxfId="782" priority="743" operator="containsText" text="T">
      <formula>NOT(ISERROR(SEARCH("T",U159)))</formula>
    </cfRule>
  </conditionalFormatting>
  <conditionalFormatting sqref="AL175">
    <cfRule type="containsText" dxfId="781" priority="676" operator="containsText" text="17">
      <formula>NOT(ISERROR(SEARCH("17",AL175)))</formula>
    </cfRule>
    <cfRule type="containsText" dxfId="780" priority="677" operator="containsText" text="T">
      <formula>NOT(ISERROR(SEARCH("T",AL175)))</formula>
    </cfRule>
  </conditionalFormatting>
  <conditionalFormatting sqref="AL159:AM159 AP159:AR159 AR160:AR165">
    <cfRule type="containsText" dxfId="779" priority="744" operator="containsText" text="17">
      <formula>NOT(ISERROR(SEARCH("17",AL159)))</formula>
    </cfRule>
  </conditionalFormatting>
  <conditionalFormatting sqref="AL182:AR182">
    <cfRule type="containsText" dxfId="778" priority="667" operator="containsText" text="17">
      <formula>NOT(ISERROR(SEARCH("17",AL182)))</formula>
    </cfRule>
    <cfRule type="containsText" dxfId="777" priority="668" operator="containsText" text="T">
      <formula>NOT(ISERROR(SEARCH("T",AL182)))</formula>
    </cfRule>
  </conditionalFormatting>
  <conditionalFormatting sqref="AL225:AV231">
    <cfRule type="containsText" dxfId="776" priority="489" operator="containsText" text="17">
      <formula>NOT(ISERROR(SEARCH("17",AL225)))</formula>
    </cfRule>
  </conditionalFormatting>
  <conditionalFormatting sqref="AL72:AY75">
    <cfRule type="containsText" dxfId="775" priority="421" operator="containsText" text="17">
      <formula>NOT(ISERROR(SEARCH("17",AL72)))</formula>
    </cfRule>
  </conditionalFormatting>
  <conditionalFormatting sqref="AL69:AZ71">
    <cfRule type="containsText" dxfId="774" priority="341" operator="containsText" text="17">
      <formula>NOT(ISERROR(SEARCH("17",AL69)))</formula>
    </cfRule>
  </conditionalFormatting>
  <conditionalFormatting sqref="AL72:BA75">
    <cfRule type="containsText" dxfId="773" priority="415" operator="containsText" text="T">
      <formula>NOT(ISERROR(SEARCH("T",AL72)))</formula>
    </cfRule>
  </conditionalFormatting>
  <conditionalFormatting sqref="AL69:BB71">
    <cfRule type="containsText" dxfId="772" priority="335" operator="containsText" text="T">
      <formula>NOT(ISERROR(SEARCH("T",AL69)))</formula>
    </cfRule>
  </conditionalFormatting>
  <conditionalFormatting sqref="AM159">
    <cfRule type="containsText" dxfId="771" priority="745" operator="containsText" text="T">
      <formula>NOT(ISERROR(SEARCH("T",AM159)))</formula>
    </cfRule>
  </conditionalFormatting>
  <conditionalFormatting sqref="AM182">
    <cfRule type="containsText" dxfId="770" priority="663" operator="containsText" text="17">
      <formula>NOT(ISERROR(SEARCH("17",AM182)))</formula>
    </cfRule>
    <cfRule type="containsText" dxfId="769" priority="664" operator="containsText" text="T">
      <formula>NOT(ISERROR(SEARCH("T",AM182)))</formula>
    </cfRule>
  </conditionalFormatting>
  <conditionalFormatting sqref="AM207 AQ207:AS207 V208:AP213 AS208:AS213">
    <cfRule type="containsText" dxfId="768" priority="730" operator="containsText" text="T">
      <formula>NOT(ISERROR(SEARCH("T",V207)))</formula>
    </cfRule>
  </conditionalFormatting>
  <conditionalFormatting sqref="AM207:AN207 AQ207:AS207 AS208:AS213">
    <cfRule type="containsText" dxfId="767" priority="731" operator="containsText" text="17">
      <formula>NOT(ISERROR(SEARCH("17",AM207)))</formula>
    </cfRule>
  </conditionalFormatting>
  <conditionalFormatting sqref="AM90:AS90">
    <cfRule type="containsText" dxfId="766" priority="654" operator="containsText" text="17">
      <formula>NOT(ISERROR(SEARCH("17",AM90)))</formula>
    </cfRule>
    <cfRule type="containsText" dxfId="765" priority="655" operator="containsText" text="T">
      <formula>NOT(ISERROR(SEARCH("T",AM90)))</formula>
    </cfRule>
  </conditionalFormatting>
  <conditionalFormatting sqref="AM113:AW116">
    <cfRule type="containsText" dxfId="764" priority="469" operator="containsText" text="17">
      <formula>NOT(ISERROR(SEARCH("17",AM113)))</formula>
    </cfRule>
  </conditionalFormatting>
  <conditionalFormatting sqref="AM232:AW234">
    <cfRule type="containsText" dxfId="763" priority="479" operator="containsText" text="17">
      <formula>NOT(ISERROR(SEARCH("17",AM232)))</formula>
    </cfRule>
  </conditionalFormatting>
  <conditionalFormatting sqref="AM103:AZ104">
    <cfRule type="containsText" dxfId="762" priority="371" operator="containsText" text="17">
      <formula>NOT(ISERROR(SEARCH("17",AM103)))</formula>
    </cfRule>
  </conditionalFormatting>
  <conditionalFormatting sqref="AM99:BA102">
    <cfRule type="containsText" dxfId="761" priority="331" operator="containsText" text="17">
      <formula>NOT(ISERROR(SEARCH("17",AM99)))</formula>
    </cfRule>
  </conditionalFormatting>
  <conditionalFormatting sqref="AM105:BA105">
    <cfRule type="containsText" dxfId="760" priority="321" operator="containsText" text="17">
      <formula>NOT(ISERROR(SEARCH("17",AM105)))</formula>
    </cfRule>
  </conditionalFormatting>
  <conditionalFormatting sqref="AM103:BB104">
    <cfRule type="containsText" dxfId="759" priority="365" operator="containsText" text="T">
      <formula>NOT(ISERROR(SEARCH("T",AM103)))</formula>
    </cfRule>
  </conditionalFormatting>
  <conditionalFormatting sqref="AM99:BC102">
    <cfRule type="containsText" dxfId="758" priority="325" operator="containsText" text="T">
      <formula>NOT(ISERROR(SEARCH("T",AM99)))</formula>
    </cfRule>
  </conditionalFormatting>
  <conditionalFormatting sqref="AM105:BC105">
    <cfRule type="containsText" dxfId="757" priority="315" operator="containsText" text="T">
      <formula>NOT(ISERROR(SEARCH("T",AM105)))</formula>
    </cfRule>
  </conditionalFormatting>
  <conditionalFormatting sqref="AN90">
    <cfRule type="containsText" dxfId="756" priority="650" operator="containsText" text="17">
      <formula>NOT(ISERROR(SEARCH("17",AN90)))</formula>
    </cfRule>
    <cfRule type="containsText" dxfId="755" priority="651" operator="containsText" text="T">
      <formula>NOT(ISERROR(SEARCH("T",AN90)))</formula>
    </cfRule>
  </conditionalFormatting>
  <conditionalFormatting sqref="AN132:AN137">
    <cfRule type="containsText" dxfId="754" priority="805" operator="containsText" text="T">
      <formula>NOT(ISERROR(SEARCH("T",AN132)))</formula>
    </cfRule>
  </conditionalFormatting>
  <conditionalFormatting sqref="AN200 AR200:AT200 W201:AQ206 AT201:AT206">
    <cfRule type="containsText" dxfId="753" priority="717" operator="containsText" text="T">
      <formula>NOT(ISERROR(SEARCH("T",W200)))</formula>
    </cfRule>
  </conditionalFormatting>
  <conditionalFormatting sqref="AN207">
    <cfRule type="containsText" dxfId="752" priority="732" operator="containsText" text="T">
      <formula>NOT(ISERROR(SEARCH("T",AN207)))</formula>
    </cfRule>
  </conditionalFormatting>
  <conditionalFormatting sqref="AN200:AO200 AR200:AT200 AT201:AT206">
    <cfRule type="containsText" dxfId="751" priority="718" operator="containsText" text="17">
      <formula>NOT(ISERROR(SEARCH("17",AN200)))</formula>
    </cfRule>
  </conditionalFormatting>
  <conditionalFormatting sqref="AN14:AT14">
    <cfRule type="containsText" dxfId="750" priority="641" operator="containsText" text="17">
      <formula>NOT(ISERROR(SEARCH("17",AN14)))</formula>
    </cfRule>
    <cfRule type="containsText" dxfId="749" priority="642" operator="containsText" text="T">
      <formula>NOT(ISERROR(SEARCH("T",AN14)))</formula>
    </cfRule>
  </conditionalFormatting>
  <conditionalFormatting sqref="AN79:AX82">
    <cfRule type="containsText" dxfId="748" priority="449" operator="containsText" text="17">
      <formula>NOT(ISERROR(SEARCH("17",AN79)))</formula>
    </cfRule>
  </conditionalFormatting>
  <conditionalFormatting sqref="AN117:AX119">
    <cfRule type="containsText" dxfId="747" priority="459" operator="containsText" text="17">
      <formula>NOT(ISERROR(SEARCH("17",AN117)))</formula>
    </cfRule>
  </conditionalFormatting>
  <conditionalFormatting sqref="AO14">
    <cfRule type="containsText" dxfId="746" priority="637" operator="containsText" text="17">
      <formula>NOT(ISERROR(SEARCH("17",AO14)))</formula>
    </cfRule>
    <cfRule type="containsText" dxfId="745" priority="638" operator="containsText" text="T">
      <formula>NOT(ISERROR(SEARCH("T",AO14)))</formula>
    </cfRule>
  </conditionalFormatting>
  <conditionalFormatting sqref="AO139:AO144">
    <cfRule type="containsText" dxfId="744" priority="792" operator="containsText" text="T">
      <formula>NOT(ISERROR(SEARCH("T",AO139)))</formula>
    </cfRule>
  </conditionalFormatting>
  <conditionalFormatting sqref="AO192:AO193 AS192:AU193 X194:AR199 AU194:AU199">
    <cfRule type="containsText" dxfId="743" priority="704" operator="containsText" text="T">
      <formula>NOT(ISERROR(SEARCH("T",X192)))</formula>
    </cfRule>
  </conditionalFormatting>
  <conditionalFormatting sqref="AO200">
    <cfRule type="containsText" dxfId="742" priority="719" operator="containsText" text="T">
      <formula>NOT(ISERROR(SEARCH("T",AO200)))</formula>
    </cfRule>
  </conditionalFormatting>
  <conditionalFormatting sqref="AO193:AP193 AS193:AU193 AU194:AU199">
    <cfRule type="containsText" dxfId="741" priority="705" operator="containsText" text="17">
      <formula>NOT(ISERROR(SEARCH("17",AO193)))</formula>
    </cfRule>
  </conditionalFormatting>
  <conditionalFormatting sqref="AO34:AU34">
    <cfRule type="containsText" dxfId="740" priority="628" operator="containsText" text="17">
      <formula>NOT(ISERROR(SEARCH("17",AO34)))</formula>
    </cfRule>
    <cfRule type="containsText" dxfId="739" priority="629" operator="containsText" text="T">
      <formula>NOT(ISERROR(SEARCH("T",AO34)))</formula>
    </cfRule>
  </conditionalFormatting>
  <conditionalFormatting sqref="AO131:BB137">
    <cfRule type="containsText" dxfId="738" priority="291" operator="containsText" text="17">
      <formula>NOT(ISERROR(SEARCH("17",AO131)))</formula>
    </cfRule>
  </conditionalFormatting>
  <conditionalFormatting sqref="AO131:BD137">
    <cfRule type="containsText" dxfId="737" priority="285" operator="containsText" text="T">
      <formula>NOT(ISERROR(SEARCH("T",AO131)))</formula>
    </cfRule>
  </conditionalFormatting>
  <conditionalFormatting sqref="AP34">
    <cfRule type="containsText" dxfId="736" priority="624" operator="containsText" text="17">
      <formula>NOT(ISERROR(SEARCH("17",AP34)))</formula>
    </cfRule>
    <cfRule type="containsText" dxfId="735" priority="625" operator="containsText" text="T">
      <formula>NOT(ISERROR(SEARCH("T",AP34)))</formula>
    </cfRule>
  </conditionalFormatting>
  <conditionalFormatting sqref="AP146:AP151">
    <cfRule type="containsText" dxfId="734" priority="779" operator="containsText" text="T">
      <formula>NOT(ISERROR(SEARCH("T",AP146)))</formula>
    </cfRule>
  </conditionalFormatting>
  <conditionalFormatting sqref="AP168 AT168:AV168 Y169:AS174 AV169:AV174">
    <cfRule type="containsText" dxfId="733" priority="686" operator="containsText" text="T">
      <formula>NOT(ISERROR(SEARCH("T",Y168)))</formula>
    </cfRule>
  </conditionalFormatting>
  <conditionalFormatting sqref="AP192:AP193">
    <cfRule type="containsText" dxfId="732" priority="706" operator="containsText" text="T">
      <formula>NOT(ISERROR(SEARCH("T",AP192)))</formula>
    </cfRule>
  </conditionalFormatting>
  <conditionalFormatting sqref="AP168:AQ168 AT168:AV168 AV169:AV174">
    <cfRule type="containsText" dxfId="731" priority="687" operator="containsText" text="17">
      <formula>NOT(ISERROR(SEARCH("17",AP168)))</formula>
    </cfRule>
  </conditionalFormatting>
  <conditionalFormatting sqref="AP21:AV21">
    <cfRule type="containsText" dxfId="730" priority="615" operator="containsText" text="17">
      <formula>NOT(ISERROR(SEARCH("17",AP21)))</formula>
    </cfRule>
    <cfRule type="containsText" dxfId="729" priority="616" operator="containsText" text="T">
      <formula>NOT(ISERROR(SEARCH("T",AP21)))</formula>
    </cfRule>
  </conditionalFormatting>
  <conditionalFormatting sqref="AP107:AX112">
    <cfRule type="containsText" dxfId="728" priority="441" operator="containsText" text="17">
      <formula>NOT(ISERROR(SEARCH("17",AP107)))</formula>
    </cfRule>
  </conditionalFormatting>
  <conditionalFormatting sqref="AP76:AZ78">
    <cfRule type="containsText" dxfId="727" priority="424" operator="containsText" text="17">
      <formula>NOT(ISERROR(SEARCH("17",AP76)))</formula>
    </cfRule>
  </conditionalFormatting>
  <conditionalFormatting sqref="AP107:AZ112">
    <cfRule type="containsText" dxfId="726" priority="434" operator="containsText" text="17">
      <formula>NOT(ISERROR(SEARCH("17",AP107)))</formula>
    </cfRule>
    <cfRule type="containsText" dxfId="725" priority="435" operator="containsText" text="T">
      <formula>NOT(ISERROR(SEARCH("T",AP107)))</formula>
    </cfRule>
  </conditionalFormatting>
  <conditionalFormatting sqref="AP138:BC144">
    <cfRule type="containsText" dxfId="724" priority="281" operator="containsText" text="17">
      <formula>NOT(ISERROR(SEARCH("17",AP138)))</formula>
    </cfRule>
  </conditionalFormatting>
  <conditionalFormatting sqref="AP138:BE144">
    <cfRule type="containsText" dxfId="723" priority="275" operator="containsText" text="T">
      <formula>NOT(ISERROR(SEARCH("T",AP138)))</formula>
    </cfRule>
  </conditionalFormatting>
  <conditionalFormatting sqref="AQ21">
    <cfRule type="containsText" dxfId="722" priority="611" operator="containsText" text="17">
      <formula>NOT(ISERROR(SEARCH("17",AQ21)))</formula>
    </cfRule>
    <cfRule type="containsText" dxfId="721" priority="612" operator="containsText" text="T">
      <formula>NOT(ISERROR(SEARCH("T",AQ21)))</formula>
    </cfRule>
  </conditionalFormatting>
  <conditionalFormatting sqref="AQ153:AQ158">
    <cfRule type="containsText" dxfId="720" priority="766" operator="containsText" text="T">
      <formula>NOT(ISERROR(SEARCH("T",AQ153)))</formula>
    </cfRule>
  </conditionalFormatting>
  <conditionalFormatting sqref="AQ168">
    <cfRule type="containsText" dxfId="719" priority="688" operator="containsText" text="T">
      <formula>NOT(ISERROR(SEARCH("T",AQ168)))</formula>
    </cfRule>
  </conditionalFormatting>
  <conditionalFormatting sqref="AQ175 AU175:AW175 Z176:AT181 AW176:AW181">
    <cfRule type="containsText" dxfId="718" priority="673" operator="containsText" text="T">
      <formula>NOT(ISERROR(SEARCH("T",Z175)))</formula>
    </cfRule>
  </conditionalFormatting>
  <conditionalFormatting sqref="AQ175:AR175 AU175:AW175 AW176:AW181">
    <cfRule type="containsText" dxfId="717" priority="674" operator="containsText" text="17">
      <formula>NOT(ISERROR(SEARCH("17",AQ175)))</formula>
    </cfRule>
  </conditionalFormatting>
  <conditionalFormatting sqref="AQ41:AW41">
    <cfRule type="containsText" dxfId="716" priority="602" operator="containsText" text="17">
      <formula>NOT(ISERROR(SEARCH("17",AQ41)))</formula>
    </cfRule>
    <cfRule type="containsText" dxfId="715" priority="603" operator="containsText" text="T">
      <formula>NOT(ISERROR(SEARCH("T",AQ41)))</formula>
    </cfRule>
  </conditionalFormatting>
  <conditionalFormatting sqref="AQ72:BA75">
    <cfRule type="containsText" dxfId="714" priority="414" operator="containsText" text="17">
      <formula>NOT(ISERROR(SEARCH("17",AQ72)))</formula>
    </cfRule>
  </conditionalFormatting>
  <conditionalFormatting sqref="AQ106:BA106">
    <cfRule type="containsText" dxfId="713" priority="404" operator="containsText" text="17">
      <formula>NOT(ISERROR(SEARCH("17",AQ106)))</formula>
    </cfRule>
  </conditionalFormatting>
  <conditionalFormatting sqref="AQ120:BA120">
    <cfRule type="containsText" dxfId="712" priority="384" operator="containsText" text="17">
      <formula>NOT(ISERROR(SEARCH("17",AQ120)))</formula>
    </cfRule>
  </conditionalFormatting>
  <conditionalFormatting sqref="AQ122:BA122">
    <cfRule type="containsText" dxfId="711" priority="374" operator="containsText" text="17">
      <formula>NOT(ISERROR(SEARCH("17",AQ122)))</formula>
    </cfRule>
  </conditionalFormatting>
  <conditionalFormatting sqref="AQ124:BA126">
    <cfRule type="containsText" dxfId="710" priority="394" operator="containsText" text="17">
      <formula>NOT(ISERROR(SEARCH("17",AQ124)))</formula>
    </cfRule>
  </conditionalFormatting>
  <conditionalFormatting sqref="AQ145:BD151">
    <cfRule type="containsText" dxfId="709" priority="271" operator="containsText" text="17">
      <formula>NOT(ISERROR(SEARCH("17",AQ145)))</formula>
    </cfRule>
  </conditionalFormatting>
  <conditionalFormatting sqref="AQ145:BF151">
    <cfRule type="containsText" dxfId="708" priority="265" operator="containsText" text="T">
      <formula>NOT(ISERROR(SEARCH("T",AQ145)))</formula>
    </cfRule>
  </conditionalFormatting>
  <conditionalFormatting sqref="AR41">
    <cfRule type="containsText" dxfId="707" priority="598" operator="containsText" text="17">
      <formula>NOT(ISERROR(SEARCH("17",AR41)))</formula>
    </cfRule>
    <cfRule type="containsText" dxfId="706" priority="599" operator="containsText" text="T">
      <formula>NOT(ISERROR(SEARCH("T",AR41)))</formula>
    </cfRule>
  </conditionalFormatting>
  <conditionalFormatting sqref="AR160:AR165">
    <cfRule type="containsText" dxfId="705" priority="753" operator="containsText" text="T">
      <formula>NOT(ISERROR(SEARCH("T",AR160)))</formula>
    </cfRule>
  </conditionalFormatting>
  <conditionalFormatting sqref="AR175">
    <cfRule type="containsText" dxfId="704" priority="675" operator="containsText" text="T">
      <formula>NOT(ISERROR(SEARCH("T",AR175)))</formula>
    </cfRule>
  </conditionalFormatting>
  <conditionalFormatting sqref="AR182 AV182:AX182 AA183:AU190 AX183:AX190">
    <cfRule type="containsText" dxfId="703" priority="660" operator="containsText" text="T">
      <formula>NOT(ISERROR(SEARCH("T",AA182)))</formula>
    </cfRule>
  </conditionalFormatting>
  <conditionalFormatting sqref="AR182:AS182 AV182:AX182 AX183:AX190">
    <cfRule type="containsText" dxfId="702" priority="661" operator="containsText" text="17">
      <formula>NOT(ISERROR(SEARCH("17",AR182)))</formula>
    </cfRule>
  </conditionalFormatting>
  <conditionalFormatting sqref="AR28:AX32">
    <cfRule type="containsText" dxfId="701" priority="591" operator="containsText" text="17">
      <formula>NOT(ISERROR(SEARCH("17",AR28)))</formula>
    </cfRule>
    <cfRule type="containsText" dxfId="700" priority="592" operator="containsText" text="T">
      <formula>NOT(ISERROR(SEARCH("T",AR28)))</formula>
    </cfRule>
  </conditionalFormatting>
  <conditionalFormatting sqref="AR48:AX49">
    <cfRule type="containsText" dxfId="699" priority="581" operator="containsText" text="17">
      <formula>NOT(ISERROR(SEARCH("17",AR48)))</formula>
    </cfRule>
    <cfRule type="containsText" dxfId="698" priority="582" operator="containsText" text="T">
      <formula>NOT(ISERROR(SEARCH("T",AR48)))</formula>
    </cfRule>
  </conditionalFormatting>
  <conditionalFormatting sqref="AR69:BB71">
    <cfRule type="containsText" dxfId="697" priority="334" operator="containsText" text="17">
      <formula>NOT(ISERROR(SEARCH("17",AR69)))</formula>
    </cfRule>
  </conditionalFormatting>
  <conditionalFormatting sqref="AR103:BB104">
    <cfRule type="containsText" dxfId="696" priority="364" operator="containsText" text="17">
      <formula>NOT(ISERROR(SEARCH("17",AR103)))</formula>
    </cfRule>
  </conditionalFormatting>
  <conditionalFormatting sqref="AR121:BB121">
    <cfRule type="containsText" dxfId="695" priority="354" operator="containsText" text="17">
      <formula>NOT(ISERROR(SEARCH("17",AR121)))</formula>
    </cfRule>
  </conditionalFormatting>
  <conditionalFormatting sqref="AR123:BB123">
    <cfRule type="containsText" dxfId="694" priority="344" operator="containsText" text="17">
      <formula>NOT(ISERROR(SEARCH("17",AR123)))</formula>
    </cfRule>
  </conditionalFormatting>
  <conditionalFormatting sqref="AR152:BE158">
    <cfRule type="containsText" dxfId="693" priority="261" operator="containsText" text="17">
      <formula>NOT(ISERROR(SEARCH("17",AR152)))</formula>
    </cfRule>
  </conditionalFormatting>
  <conditionalFormatting sqref="AR152:BG158">
    <cfRule type="containsText" dxfId="692" priority="255" operator="containsText" text="T">
      <formula>NOT(ISERROR(SEARCH("T",AR152)))</formula>
    </cfRule>
  </conditionalFormatting>
  <conditionalFormatting sqref="AS28:AS32">
    <cfRule type="containsText" dxfId="691" priority="588" operator="containsText" text="17">
      <formula>NOT(ISERROR(SEARCH("17",AS28)))</formula>
    </cfRule>
    <cfRule type="containsText" dxfId="690" priority="589" operator="containsText" text="T">
      <formula>NOT(ISERROR(SEARCH("T",AS28)))</formula>
    </cfRule>
  </conditionalFormatting>
  <conditionalFormatting sqref="AS48:AS49">
    <cfRule type="containsText" dxfId="689" priority="578" operator="containsText" text="17">
      <formula>NOT(ISERROR(SEARCH("17",AS48)))</formula>
    </cfRule>
    <cfRule type="containsText" dxfId="688" priority="579" operator="containsText" text="T">
      <formula>NOT(ISERROR(SEARCH("T",AS48)))</formula>
    </cfRule>
  </conditionalFormatting>
  <conditionalFormatting sqref="AS90 AW90:AY90 AB91:AV96 AY91:AY96">
    <cfRule type="containsText" dxfId="687" priority="647" operator="containsText" text="T">
      <formula>NOT(ISERROR(SEARCH("T",AB90)))</formula>
    </cfRule>
  </conditionalFormatting>
  <conditionalFormatting sqref="AS182">
    <cfRule type="containsText" dxfId="686" priority="662" operator="containsText" text="T">
      <formula>NOT(ISERROR(SEARCH("T",AS182)))</formula>
    </cfRule>
  </conditionalFormatting>
  <conditionalFormatting sqref="AS192:AS193 X194:AR199 X192:AF193">
    <cfRule type="containsText" dxfId="685" priority="709" operator="containsText" text="17">
      <formula>NOT(ISERROR(SEARCH("17",X192)))</formula>
    </cfRule>
  </conditionalFormatting>
  <conditionalFormatting sqref="AS208:AS213">
    <cfRule type="containsText" dxfId="684" priority="740" operator="containsText" text="T">
      <formula>NOT(ISERROR(SEARCH("T",AS208)))</formula>
    </cfRule>
  </conditionalFormatting>
  <conditionalFormatting sqref="AS90:AT90 AW90:AY90 AY91:AY96">
    <cfRule type="containsText" dxfId="683" priority="648" operator="containsText" text="17">
      <formula>NOT(ISERROR(SEARCH("17",AS90)))</formula>
    </cfRule>
  </conditionalFormatting>
  <conditionalFormatting sqref="AS50:AY53">
    <cfRule type="containsText" dxfId="682" priority="571" operator="containsText" text="17">
      <formula>NOT(ISERROR(SEARCH("17",AS50)))</formula>
    </cfRule>
    <cfRule type="containsText" dxfId="681" priority="572" operator="containsText" text="T">
      <formula>NOT(ISERROR(SEARCH("T",AS50)))</formula>
    </cfRule>
  </conditionalFormatting>
  <conditionalFormatting sqref="AS63:AY66">
    <cfRule type="containsText" dxfId="680" priority="561" operator="containsText" text="17">
      <formula>NOT(ISERROR(SEARCH("17",AS63)))</formula>
    </cfRule>
    <cfRule type="containsText" dxfId="679" priority="562" operator="containsText" text="T">
      <formula>NOT(ISERROR(SEARCH("T",AS63)))</formula>
    </cfRule>
  </conditionalFormatting>
  <conditionalFormatting sqref="AS67:BC68">
    <cfRule type="containsText" dxfId="678" priority="304" operator="containsText" text="17">
      <formula>NOT(ISERROR(SEARCH("17",AS67)))</formula>
    </cfRule>
  </conditionalFormatting>
  <conditionalFormatting sqref="AS99:BC102">
    <cfRule type="containsText" dxfId="677" priority="324" operator="containsText" text="17">
      <formula>NOT(ISERROR(SEARCH("17",AS99)))</formula>
    </cfRule>
  </conditionalFormatting>
  <conditionalFormatting sqref="AS105:BC105">
    <cfRule type="containsText" dxfId="676" priority="314" operator="containsText" text="17">
      <formula>NOT(ISERROR(SEARCH("17",AS105)))</formula>
    </cfRule>
  </conditionalFormatting>
  <conditionalFormatting sqref="AS159:BF165">
    <cfRule type="containsText" dxfId="675" priority="251" operator="containsText" text="17">
      <formula>NOT(ISERROR(SEARCH("17",AS159)))</formula>
    </cfRule>
  </conditionalFormatting>
  <conditionalFormatting sqref="AS159:BH165">
    <cfRule type="containsText" dxfId="674" priority="245" operator="containsText" text="T">
      <formula>NOT(ISERROR(SEARCH("T",AS159)))</formula>
    </cfRule>
  </conditionalFormatting>
  <conditionalFormatting sqref="AT14 AX14:AZ14 AC15:AW20 AZ15:AZ20">
    <cfRule type="containsText" dxfId="673" priority="634" operator="containsText" text="T">
      <formula>NOT(ISERROR(SEARCH("T",AC14)))</formula>
    </cfRule>
  </conditionalFormatting>
  <conditionalFormatting sqref="AT50:AT53">
    <cfRule type="containsText" dxfId="672" priority="568" operator="containsText" text="17">
      <formula>NOT(ISERROR(SEARCH("17",AT50)))</formula>
    </cfRule>
    <cfRule type="containsText" dxfId="671" priority="569" operator="containsText" text="T">
      <formula>NOT(ISERROR(SEARCH("T",AT50)))</formula>
    </cfRule>
  </conditionalFormatting>
  <conditionalFormatting sqref="AT63:AT66">
    <cfRule type="containsText" dxfId="670" priority="558" operator="containsText" text="17">
      <formula>NOT(ISERROR(SEARCH("17",AT63)))</formula>
    </cfRule>
    <cfRule type="containsText" dxfId="669" priority="559" operator="containsText" text="T">
      <formula>NOT(ISERROR(SEARCH("T",AT63)))</formula>
    </cfRule>
  </conditionalFormatting>
  <conditionalFormatting sqref="AT90">
    <cfRule type="containsText" dxfId="668" priority="649" operator="containsText" text="T">
      <formula>NOT(ISERROR(SEARCH("T",AT90)))</formula>
    </cfRule>
  </conditionalFormatting>
  <conditionalFormatting sqref="AT201:AT206">
    <cfRule type="containsText" dxfId="667" priority="727" operator="containsText" text="T">
      <formula>NOT(ISERROR(SEARCH("T",AT201)))</formula>
    </cfRule>
  </conditionalFormatting>
  <conditionalFormatting sqref="AT14:AU14 AX14:AZ14 AZ15:AZ20">
    <cfRule type="containsText" dxfId="666" priority="635" operator="containsText" text="17">
      <formula>NOT(ISERROR(SEARCH("17",AT14)))</formula>
    </cfRule>
  </conditionalFormatting>
  <conditionalFormatting sqref="AT59:AZ62">
    <cfRule type="containsText" dxfId="665" priority="547" operator="containsText" text="17">
      <formula>NOT(ISERROR(SEARCH("17",AT59)))</formula>
    </cfRule>
    <cfRule type="containsText" dxfId="664" priority="548" operator="containsText" text="T">
      <formula>NOT(ISERROR(SEARCH("T",AT59)))</formula>
    </cfRule>
  </conditionalFormatting>
  <conditionalFormatting sqref="AT86:AZ89">
    <cfRule type="containsText" dxfId="663" priority="537" operator="containsText" text="17">
      <formula>NOT(ISERROR(SEARCH("17",AT86)))</formula>
    </cfRule>
    <cfRule type="containsText" dxfId="662" priority="538" operator="containsText" text="T">
      <formula>NOT(ISERROR(SEARCH("T",AT86)))</formula>
    </cfRule>
  </conditionalFormatting>
  <conditionalFormatting sqref="AT97:BD98">
    <cfRule type="containsText" dxfId="661" priority="294" operator="containsText" text="17">
      <formula>NOT(ISERROR(SEARCH("17",AT97)))</formula>
    </cfRule>
  </conditionalFormatting>
  <conditionalFormatting sqref="AT131:BD137">
    <cfRule type="containsText" dxfId="660" priority="284" operator="containsText" text="17">
      <formula>NOT(ISERROR(SEARCH("17",AT131)))</formula>
    </cfRule>
  </conditionalFormatting>
  <conditionalFormatting sqref="AU14">
    <cfRule type="containsText" dxfId="659" priority="636" operator="containsText" text="T">
      <formula>NOT(ISERROR(SEARCH("T",AU14)))</formula>
    </cfRule>
  </conditionalFormatting>
  <conditionalFormatting sqref="AU34 AY34:BA34 AD35:AX40 BA35:BA40">
    <cfRule type="containsText" dxfId="658" priority="621" operator="containsText" text="T">
      <formula>NOT(ISERROR(SEARCH("T",AD34)))</formula>
    </cfRule>
  </conditionalFormatting>
  <conditionalFormatting sqref="AU59:AU62">
    <cfRule type="containsText" dxfId="657" priority="544" operator="containsText" text="17">
      <formula>NOT(ISERROR(SEARCH("17",AU59)))</formula>
    </cfRule>
    <cfRule type="containsText" dxfId="656" priority="545" operator="containsText" text="T">
      <formula>NOT(ISERROR(SEARCH("T",AU59)))</formula>
    </cfRule>
  </conditionalFormatting>
  <conditionalFormatting sqref="AU86:AU89">
    <cfRule type="containsText" dxfId="655" priority="534" operator="containsText" text="17">
      <formula>NOT(ISERROR(SEARCH("17",AU86)))</formula>
    </cfRule>
    <cfRule type="containsText" dxfId="654" priority="535" operator="containsText" text="T">
      <formula>NOT(ISERROR(SEARCH("T",AU86)))</formula>
    </cfRule>
  </conditionalFormatting>
  <conditionalFormatting sqref="AU194:AU199">
    <cfRule type="containsText" dxfId="653" priority="714" operator="containsText" text="T">
      <formula>NOT(ISERROR(SEARCH("T",AU194)))</formula>
    </cfRule>
  </conditionalFormatting>
  <conditionalFormatting sqref="AU34:AV34 AY34:BA34 BA35:BA40">
    <cfRule type="containsText" dxfId="652" priority="622" operator="containsText" text="17">
      <formula>NOT(ISERROR(SEARCH("17",AU34)))</formula>
    </cfRule>
  </conditionalFormatting>
  <conditionalFormatting sqref="AU83:BA85">
    <cfRule type="containsText" dxfId="651" priority="527" operator="containsText" text="17">
      <formula>NOT(ISERROR(SEARCH("17",AU83)))</formula>
    </cfRule>
    <cfRule type="containsText" dxfId="650" priority="528" operator="containsText" text="T">
      <formula>NOT(ISERROR(SEARCH("T",AU83)))</formula>
    </cfRule>
  </conditionalFormatting>
  <conditionalFormatting sqref="AU214:BA217">
    <cfRule type="containsText" dxfId="649" priority="517" operator="containsText" text="17">
      <formula>NOT(ISERROR(SEARCH("17",AU214)))</formula>
    </cfRule>
    <cfRule type="containsText" dxfId="648" priority="518" operator="containsText" text="T">
      <formula>NOT(ISERROR(SEARCH("T",AU214)))</formula>
    </cfRule>
  </conditionalFormatting>
  <conditionalFormatting sqref="AU138:BE144">
    <cfRule type="containsText" dxfId="647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46" priority="8533" operator="containsText" text="17">
      <formula>NOT(ISERROR(SEARCH("17",J14)))</formula>
    </cfRule>
  </conditionalFormatting>
  <conditionalFormatting sqref="AV21 AZ21:BB21 AE22:AY27">
    <cfRule type="containsText" dxfId="645" priority="608" operator="containsText" text="T">
      <formula>NOT(ISERROR(SEARCH("T",AE21)))</formula>
    </cfRule>
  </conditionalFormatting>
  <conditionalFormatting sqref="AV34">
    <cfRule type="containsText" dxfId="644" priority="623" operator="containsText" text="T">
      <formula>NOT(ISERROR(SEARCH("T",AV34)))</formula>
    </cfRule>
  </conditionalFormatting>
  <conditionalFormatting sqref="AV83:AV85">
    <cfRule type="containsText" dxfId="643" priority="524" operator="containsText" text="17">
      <formula>NOT(ISERROR(SEARCH("17",AV83)))</formula>
    </cfRule>
    <cfRule type="containsText" dxfId="642" priority="525" operator="containsText" text="T">
      <formula>NOT(ISERROR(SEARCH("T",AV83)))</formula>
    </cfRule>
  </conditionalFormatting>
  <conditionalFormatting sqref="AV169:AV174">
    <cfRule type="containsText" dxfId="641" priority="696" operator="containsText" text="T">
      <formula>NOT(ISERROR(SEARCH("T",AV169)))</formula>
    </cfRule>
  </conditionalFormatting>
  <conditionalFormatting sqref="AV214:AV217">
    <cfRule type="containsText" dxfId="640" priority="514" operator="containsText" text="17">
      <formula>NOT(ISERROR(SEARCH("17",AV214)))</formula>
    </cfRule>
    <cfRule type="containsText" dxfId="639" priority="515" operator="containsText" text="T">
      <formula>NOT(ISERROR(SEARCH("T",AV214)))</formula>
    </cfRule>
  </conditionalFormatting>
  <conditionalFormatting sqref="AV21:AW21 AZ21:BB21 BB22:BF27">
    <cfRule type="containsText" dxfId="638" priority="609" operator="containsText" text="17">
      <formula>NOT(ISERROR(SEARCH("17",AV21)))</formula>
    </cfRule>
  </conditionalFormatting>
  <conditionalFormatting sqref="AV218:BB224">
    <cfRule type="containsText" dxfId="637" priority="507" operator="containsText" text="17">
      <formula>NOT(ISERROR(SEARCH("17",AV218)))</formula>
    </cfRule>
    <cfRule type="containsText" dxfId="636" priority="508" operator="containsText" text="T">
      <formula>NOT(ISERROR(SEARCH("T",AV218)))</formula>
    </cfRule>
  </conditionalFormatting>
  <conditionalFormatting sqref="AV145:BF151">
    <cfRule type="containsText" dxfId="635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34" priority="7303" operator="containsText" text="T">
      <formula>NOT(ISERROR(SEARCH("T",J14)))</formula>
    </cfRule>
  </conditionalFormatting>
  <conditionalFormatting sqref="AW21">
    <cfRule type="containsText" dxfId="633" priority="610" operator="containsText" text="T">
      <formula>NOT(ISERROR(SEARCH("T",AW21)))</formula>
    </cfRule>
  </conditionalFormatting>
  <conditionalFormatting sqref="AW41 BA41:BC41 AF42:AZ47 BC42:BC47">
    <cfRule type="containsText" dxfId="632" priority="595" operator="containsText" text="T">
      <formula>NOT(ISERROR(SEARCH("T",AF41)))</formula>
    </cfRule>
  </conditionalFormatting>
  <conditionalFormatting sqref="AW176:AW181">
    <cfRule type="containsText" dxfId="631" priority="683" operator="containsText" text="T">
      <formula>NOT(ISERROR(SEARCH("T",AW176)))</formula>
    </cfRule>
  </conditionalFormatting>
  <conditionalFormatting sqref="AW218:AW224">
    <cfRule type="containsText" dxfId="630" priority="504" operator="containsText" text="17">
      <formula>NOT(ISERROR(SEARCH("17",AW218)))</formula>
    </cfRule>
    <cfRule type="containsText" dxfId="629" priority="505" operator="containsText" text="T">
      <formula>NOT(ISERROR(SEARCH("T",AW218)))</formula>
    </cfRule>
  </conditionalFormatting>
  <conditionalFormatting sqref="AW41:AX41 BA41:BC41 BC42:BC47">
    <cfRule type="containsText" dxfId="628" priority="596" operator="containsText" text="17">
      <formula>NOT(ISERROR(SEARCH("17",AW41)))</formula>
    </cfRule>
  </conditionalFormatting>
  <conditionalFormatting sqref="AW225:BC231">
    <cfRule type="containsText" dxfId="627" priority="497" operator="containsText" text="17">
      <formula>NOT(ISERROR(SEARCH("17",AW225)))</formula>
    </cfRule>
    <cfRule type="containsText" dxfId="626" priority="498" operator="containsText" text="T">
      <formula>NOT(ISERROR(SEARCH("T",AW225)))</formula>
    </cfRule>
  </conditionalFormatting>
  <conditionalFormatting sqref="AW152:BG158">
    <cfRule type="containsText" dxfId="625" priority="254" operator="containsText" text="17">
      <formula>NOT(ISERROR(SEARCH("17",AW152)))</formula>
    </cfRule>
  </conditionalFormatting>
  <conditionalFormatting sqref="AW168:CP174">
    <cfRule type="containsText" dxfId="624" priority="205" operator="containsText" text="17">
      <formula>NOT(ISERROR(SEARCH("17",AW168)))</formula>
    </cfRule>
  </conditionalFormatting>
  <conditionalFormatting sqref="AX28:AX32 BB28:BD32">
    <cfRule type="containsText" dxfId="623" priority="585" operator="containsText" text="T">
      <formula>NOT(ISERROR(SEARCH("T",AX28)))</formula>
    </cfRule>
  </conditionalFormatting>
  <conditionalFormatting sqref="AX41">
    <cfRule type="containsText" dxfId="622" priority="597" operator="containsText" text="T">
      <formula>NOT(ISERROR(SEARCH("T",AX41)))</formula>
    </cfRule>
  </conditionalFormatting>
  <conditionalFormatting sqref="AX48:AX49 BB48:BD49">
    <cfRule type="containsText" dxfId="621" priority="575" operator="containsText" text="T">
      <formula>NOT(ISERROR(SEARCH("T",AX48)))</formula>
    </cfRule>
  </conditionalFormatting>
  <conditionalFormatting sqref="AX180:AX181 AY182:AY185 BM191 BU200:BU202 BV203:BV205">
    <cfRule type="containsText" dxfId="620" priority="7319" operator="containsText" text="T">
      <formula>NOT(ISERROR(SEARCH("T",AX180)))</formula>
    </cfRule>
    <cfRule type="containsText" dxfId="619" priority="7320" operator="containsText" text="17">
      <formula>NOT(ISERROR(SEARCH("17",AX180)))</formula>
    </cfRule>
    <cfRule type="containsText" dxfId="618" priority="7321" operator="containsText" text="T">
      <formula>NOT(ISERROR(SEARCH("T",AX180)))</formula>
    </cfRule>
  </conditionalFormatting>
  <conditionalFormatting sqref="AX183:AX190">
    <cfRule type="containsText" dxfId="617" priority="670" operator="containsText" text="T">
      <formula>NOT(ISERROR(SEARCH("T",AX183)))</formula>
    </cfRule>
  </conditionalFormatting>
  <conditionalFormatting sqref="AX192">
    <cfRule type="containsText" dxfId="616" priority="2369" operator="containsText" text="17">
      <formula>NOT(ISERROR(SEARCH("17",AX192)))</formula>
    </cfRule>
    <cfRule type="containsText" dxfId="615" priority="2370" operator="containsText" text="T">
      <formula>NOT(ISERROR(SEARCH("T",AX192)))</formula>
    </cfRule>
    <cfRule type="containsText" dxfId="614" priority="6266" operator="containsText" text="17">
      <formula>NOT(ISERROR(SEARCH("17",AX192)))</formula>
    </cfRule>
    <cfRule type="containsText" dxfId="613" priority="6267" operator="containsText" text="T">
      <formula>NOT(ISERROR(SEARCH("T",AX192)))</formula>
    </cfRule>
  </conditionalFormatting>
  <conditionalFormatting sqref="AX196:AX198">
    <cfRule type="containsText" dxfId="612" priority="7294" operator="containsText" text="17">
      <formula>NOT(ISERROR(SEARCH("17",AX196)))</formula>
    </cfRule>
    <cfRule type="containsText" dxfId="611" priority="7295" operator="containsText" text="T">
      <formula>NOT(ISERROR(SEARCH("T",AX196)))</formula>
    </cfRule>
  </conditionalFormatting>
  <conditionalFormatting sqref="AX225:AX231">
    <cfRule type="containsText" dxfId="610" priority="494" operator="containsText" text="17">
      <formula>NOT(ISERROR(SEARCH("17",AX225)))</formula>
    </cfRule>
    <cfRule type="containsText" dxfId="609" priority="495" operator="containsText" text="T">
      <formula>NOT(ISERROR(SEARCH("T",AX225)))</formula>
    </cfRule>
  </conditionalFormatting>
  <conditionalFormatting sqref="AX28:AY32 BB28:BD32">
    <cfRule type="containsText" dxfId="608" priority="586" operator="containsText" text="17">
      <formula>NOT(ISERROR(SEARCH("17",AX28)))</formula>
    </cfRule>
  </conditionalFormatting>
  <conditionalFormatting sqref="AX48:AY49 BB48:BD49">
    <cfRule type="containsText" dxfId="607" priority="576" operator="containsText" text="17">
      <formula>NOT(ISERROR(SEARCH("17",AX48)))</formula>
    </cfRule>
  </conditionalFormatting>
  <conditionalFormatting sqref="AX170:BA170">
    <cfRule type="containsText" dxfId="606" priority="8728" operator="containsText" text="17">
      <formula>NOT(ISERROR(SEARCH("17",AX170)))</formula>
    </cfRule>
    <cfRule type="containsText" dxfId="605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04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03" priority="5061" operator="containsText" text="T">
      <formula>NOT(ISERROR(SEARCH("T",AX199)))</formula>
    </cfRule>
  </conditionalFormatting>
  <conditionalFormatting sqref="AX33:BC33">
    <cfRule type="containsText" dxfId="602" priority="8832" operator="containsText" text="T">
      <formula>NOT(ISERROR(SEARCH("T",AX33)))</formula>
    </cfRule>
  </conditionalFormatting>
  <conditionalFormatting sqref="AX113:BD116">
    <cfRule type="containsText" dxfId="601" priority="477" operator="containsText" text="17">
      <formula>NOT(ISERROR(SEARCH("17",AX113)))</formula>
    </cfRule>
    <cfRule type="containsText" dxfId="600" priority="478" operator="containsText" text="T">
      <formula>NOT(ISERROR(SEARCH("T",AX113)))</formula>
    </cfRule>
  </conditionalFormatting>
  <conditionalFormatting sqref="AX232:BD234">
    <cfRule type="containsText" dxfId="599" priority="487" operator="containsText" text="17">
      <formula>NOT(ISERROR(SEARCH("17",AX232)))</formula>
    </cfRule>
    <cfRule type="containsText" dxfId="598" priority="488" operator="containsText" text="T">
      <formula>NOT(ISERROR(SEARCH("T",AX232)))</formula>
    </cfRule>
  </conditionalFormatting>
  <conditionalFormatting sqref="AX199:BE199 AX206:BD206 AX213">
    <cfRule type="containsText" dxfId="597" priority="5068" operator="containsText" text="17">
      <formula>NOT(ISERROR(SEARCH("17",AX199)))</formula>
    </cfRule>
    <cfRule type="containsText" dxfId="596" priority="5069" operator="containsText" text="T">
      <formula>NOT(ISERROR(SEARCH("T",AX199)))</formula>
    </cfRule>
  </conditionalFormatting>
  <conditionalFormatting sqref="AX159:BH165">
    <cfRule type="containsText" dxfId="595" priority="244" operator="containsText" text="17">
      <formula>NOT(ISERROR(SEARCH("17",AX159)))</formula>
    </cfRule>
  </conditionalFormatting>
  <conditionalFormatting sqref="AX175:CP181">
    <cfRule type="containsText" dxfId="594" priority="172" operator="containsText" text="T">
      <formula>NOT(ISERROR(SEARCH("T",AX175)))</formula>
    </cfRule>
  </conditionalFormatting>
  <conditionalFormatting sqref="AY28:AY32">
    <cfRule type="containsText" dxfId="593" priority="587" operator="containsText" text="T">
      <formula>NOT(ISERROR(SEARCH("T",AY28)))</formula>
    </cfRule>
  </conditionalFormatting>
  <conditionalFormatting sqref="AY33">
    <cfRule type="containsText" dxfId="592" priority="8206" operator="containsText" text="17">
      <formula>NOT(ISERROR(SEARCH("17",AY33)))</formula>
    </cfRule>
    <cfRule type="containsText" dxfId="591" priority="8207" operator="containsText" text="T">
      <formula>NOT(ISERROR(SEARCH("T",AY33)))</formula>
    </cfRule>
  </conditionalFormatting>
  <conditionalFormatting sqref="AY48:AY49">
    <cfRule type="containsText" dxfId="590" priority="577" operator="containsText" text="T">
      <formula>NOT(ISERROR(SEARCH("T",AY48)))</formula>
    </cfRule>
  </conditionalFormatting>
  <conditionalFormatting sqref="AY50:AY53 BC50:BE53">
    <cfRule type="containsText" dxfId="589" priority="565" operator="containsText" text="T">
      <formula>NOT(ISERROR(SEARCH("T",AY50)))</formula>
    </cfRule>
  </conditionalFormatting>
  <conditionalFormatting sqref="AY63:AY66 BC63:BI66">
    <cfRule type="containsText" dxfId="588" priority="555" operator="containsText" text="T">
      <formula>NOT(ISERROR(SEARCH("T",AY63)))</formula>
    </cfRule>
  </conditionalFormatting>
  <conditionalFormatting sqref="AY91:AY96">
    <cfRule type="containsText" dxfId="587" priority="657" operator="containsText" text="T">
      <formula>NOT(ISERROR(SEARCH("T",AY91)))</formula>
    </cfRule>
  </conditionalFormatting>
  <conditionalFormatting sqref="AY113:AY116">
    <cfRule type="containsText" dxfId="586" priority="474" operator="containsText" text="17">
      <formula>NOT(ISERROR(SEARCH("17",AY113)))</formula>
    </cfRule>
    <cfRule type="containsText" dxfId="585" priority="475" operator="containsText" text="T">
      <formula>NOT(ISERROR(SEARCH("T",AY113)))</formula>
    </cfRule>
  </conditionalFormatting>
  <conditionalFormatting sqref="AY182:AY185 BM191 BU200:BU202 BV203:BV205 AX180:AX181">
    <cfRule type="containsText" dxfId="584" priority="7318" operator="containsText" text="17">
      <formula>NOT(ISERROR(SEARCH("17",AX180)))</formula>
    </cfRule>
  </conditionalFormatting>
  <conditionalFormatting sqref="AY189">
    <cfRule type="containsText" dxfId="583" priority="4892" operator="containsText" text="17">
      <formula>NOT(ISERROR(SEARCH("17",AY189)))</formula>
    </cfRule>
    <cfRule type="containsText" dxfId="582" priority="4893" operator="containsText" text="T">
      <formula>NOT(ISERROR(SEARCH("T",AY189)))</formula>
    </cfRule>
    <cfRule type="containsText" dxfId="581" priority="4910" operator="containsText" text="17">
      <formula>NOT(ISERROR(SEARCH("17",AY189)))</formula>
    </cfRule>
    <cfRule type="containsText" dxfId="580" priority="4911" operator="containsText" text="T">
      <formula>NOT(ISERROR(SEARCH("T",AY189)))</formula>
    </cfRule>
  </conditionalFormatting>
  <conditionalFormatting sqref="AY190 AX191:BH191 BK191 BO191:BS191">
    <cfRule type="containsText" dxfId="579" priority="8514" operator="containsText" text="T">
      <formula>NOT(ISERROR(SEARCH("T",AX190)))</formula>
    </cfRule>
  </conditionalFormatting>
  <conditionalFormatting sqref="AY199 AX206">
    <cfRule type="containsText" dxfId="578" priority="2143" operator="containsText" text="17">
      <formula>NOT(ISERROR(SEARCH("17",AX199)))</formula>
    </cfRule>
    <cfRule type="containsText" dxfId="577" priority="2144" operator="containsText" text="T">
      <formula>NOT(ISERROR(SEARCH("T",AX199)))</formula>
    </cfRule>
  </conditionalFormatting>
  <conditionalFormatting sqref="AY232:AY234">
    <cfRule type="containsText" dxfId="576" priority="484" operator="containsText" text="17">
      <formula>NOT(ISERROR(SEARCH("17",AY232)))</formula>
    </cfRule>
    <cfRule type="containsText" dxfId="575" priority="485" operator="containsText" text="T">
      <formula>NOT(ISERROR(SEARCH("T",AY232)))</formula>
    </cfRule>
  </conditionalFormatting>
  <conditionalFormatting sqref="AY50:AZ53 BC50:BE53">
    <cfRule type="containsText" dxfId="574" priority="566" operator="containsText" text="17">
      <formula>NOT(ISERROR(SEARCH("17",AY50)))</formula>
    </cfRule>
  </conditionalFormatting>
  <conditionalFormatting sqref="AY63:AZ66 BC63:BE66">
    <cfRule type="containsText" dxfId="573" priority="556" operator="containsText" text="17">
      <formula>NOT(ISERROR(SEARCH("17",AY63)))</formula>
    </cfRule>
  </conditionalFormatting>
  <conditionalFormatting sqref="AY79:BE82">
    <cfRule type="containsText" dxfId="572" priority="457" operator="containsText" text="17">
      <formula>NOT(ISERROR(SEARCH("17",AY79)))</formula>
    </cfRule>
    <cfRule type="containsText" dxfId="571" priority="458" operator="containsText" text="T">
      <formula>NOT(ISERROR(SEARCH("T",AY79)))</formula>
    </cfRule>
  </conditionalFormatting>
  <conditionalFormatting sqref="AY117:BE119">
    <cfRule type="containsText" dxfId="570" priority="467" operator="containsText" text="17">
      <formula>NOT(ISERROR(SEARCH("17",AY117)))</formula>
    </cfRule>
    <cfRule type="containsText" dxfId="569" priority="468" operator="containsText" text="T">
      <formula>NOT(ISERROR(SEARCH("T",AY117)))</formula>
    </cfRule>
  </conditionalFormatting>
  <conditionalFormatting sqref="AY207:BI213">
    <cfRule type="containsText" dxfId="568" priority="234" operator="containsText" text="17">
      <formula>NOT(ISERROR(SEARCH("17",AY207)))</formula>
    </cfRule>
  </conditionalFormatting>
  <conditionalFormatting sqref="AY207:BP213">
    <cfRule type="containsText" dxfId="567" priority="243" operator="containsText" text="T">
      <formula>NOT(ISERROR(SEARCH("T",AY207)))</formula>
    </cfRule>
  </conditionalFormatting>
  <conditionalFormatting sqref="AY193:BV213 AX195:BV195 BH214:BL215">
    <cfRule type="containsText" dxfId="566" priority="914" operator="containsText" text="T">
      <formula>NOT(ISERROR(SEARCH("T",AX193)))</formula>
    </cfRule>
  </conditionalFormatting>
  <conditionalFormatting sqref="AZ15:AZ20">
    <cfRule type="containsText" dxfId="565" priority="644" operator="containsText" text="T">
      <formula>NOT(ISERROR(SEARCH("T",AZ15)))</formula>
    </cfRule>
  </conditionalFormatting>
  <conditionalFormatting sqref="AZ50:AZ53">
    <cfRule type="containsText" dxfId="564" priority="567" operator="containsText" text="T">
      <formula>NOT(ISERROR(SEARCH("T",AZ50)))</formula>
    </cfRule>
  </conditionalFormatting>
  <conditionalFormatting sqref="AZ63:AZ66">
    <cfRule type="containsText" dxfId="563" priority="557" operator="containsText" text="T">
      <formula>NOT(ISERROR(SEARCH("T",AZ63)))</formula>
    </cfRule>
  </conditionalFormatting>
  <conditionalFormatting sqref="AZ79:AZ82">
    <cfRule type="containsText" dxfId="562" priority="454" operator="containsText" text="17">
      <formula>NOT(ISERROR(SEARCH("17",AZ79)))</formula>
    </cfRule>
    <cfRule type="containsText" dxfId="561" priority="455" operator="containsText" text="T">
      <formula>NOT(ISERROR(SEARCH("T",AZ79)))</formula>
    </cfRule>
  </conditionalFormatting>
  <conditionalFormatting sqref="AZ86:AZ89 BD86:BF89">
    <cfRule type="containsText" dxfId="560" priority="531" operator="containsText" text="T">
      <formula>NOT(ISERROR(SEARCH("T",AZ86)))</formula>
    </cfRule>
  </conditionalFormatting>
  <conditionalFormatting sqref="AZ117:AZ119">
    <cfRule type="containsText" dxfId="559" priority="464" operator="containsText" text="17">
      <formula>NOT(ISERROR(SEARCH("17",AZ117)))</formula>
    </cfRule>
    <cfRule type="containsText" dxfId="558" priority="465" operator="containsText" text="T">
      <formula>NOT(ISERROR(SEARCH("T",AZ117)))</formula>
    </cfRule>
  </conditionalFormatting>
  <conditionalFormatting sqref="AZ59:BA62 BD59:BF62">
    <cfRule type="containsText" dxfId="557" priority="542" operator="containsText" text="17">
      <formula>NOT(ISERROR(SEARCH("17",AZ59)))</formula>
    </cfRule>
  </conditionalFormatting>
  <conditionalFormatting sqref="AZ86:BA89 BD86:BF89">
    <cfRule type="containsText" dxfId="556" priority="532" operator="containsText" text="17">
      <formula>NOT(ISERROR(SEARCH("17",AZ86)))</formula>
    </cfRule>
  </conditionalFormatting>
  <conditionalFormatting sqref="AZ93:BB93">
    <cfRule type="containsText" dxfId="555" priority="4056" operator="containsText" text="17">
      <formula>NOT(ISERROR(SEARCH("17",AZ93)))</formula>
    </cfRule>
    <cfRule type="containsText" dxfId="554" priority="4057" operator="containsText" text="T">
      <formula>NOT(ISERROR(SEARCH("T",AZ93)))</formula>
    </cfRule>
  </conditionalFormatting>
  <conditionalFormatting sqref="AZ175:BB178">
    <cfRule type="containsText" dxfId="553" priority="933" operator="containsText" text="T">
      <formula>NOT(ISERROR(SEARCH("T",AZ175)))</formula>
    </cfRule>
  </conditionalFormatting>
  <conditionalFormatting sqref="AZ180:BB181 AZ182:BC183">
    <cfRule type="containsText" dxfId="552" priority="927" operator="containsText" text="T">
      <formula>NOT(ISERROR(SEARCH("T",AZ180)))</formula>
    </cfRule>
  </conditionalFormatting>
  <conditionalFormatting sqref="AZ185:BC188 AZ189:BW190">
    <cfRule type="containsText" dxfId="551" priority="921" operator="containsText" text="T">
      <formula>NOT(ISERROR(SEARCH("T",AZ185)))</formula>
    </cfRule>
  </conditionalFormatting>
  <conditionalFormatting sqref="AZ200:BJ206">
    <cfRule type="containsText" dxfId="550" priority="223" operator="containsText" text="17">
      <formula>NOT(ISERROR(SEARCH("17",AZ200)))</formula>
    </cfRule>
  </conditionalFormatting>
  <conditionalFormatting sqref="AZ200:BW206">
    <cfRule type="containsText" dxfId="549" priority="232" operator="containsText" text="T">
      <formula>NOT(ISERROR(SEARCH("T",AZ200)))</formula>
    </cfRule>
  </conditionalFormatting>
  <conditionalFormatting sqref="BA22:BA27">
    <cfRule type="containsText" dxfId="548" priority="549" operator="containsText" text="T">
      <formula>NOT(ISERROR(SEARCH("T",BA22)))</formula>
    </cfRule>
    <cfRule type="containsText" dxfId="547" priority="550" operator="containsText" text="17">
      <formula>NOT(ISERROR(SEARCH("17",BA22)))</formula>
    </cfRule>
  </conditionalFormatting>
  <conditionalFormatting sqref="BA35:BA40">
    <cfRule type="containsText" dxfId="546" priority="631" operator="containsText" text="T">
      <formula>NOT(ISERROR(SEARCH("T",BA35)))</formula>
    </cfRule>
  </conditionalFormatting>
  <conditionalFormatting sqref="BA59:BA62">
    <cfRule type="containsText" dxfId="545" priority="543" operator="containsText" text="T">
      <formula>NOT(ISERROR(SEARCH("T",BA59)))</formula>
    </cfRule>
  </conditionalFormatting>
  <conditionalFormatting sqref="BA83:BA85 BE83:BG85">
    <cfRule type="containsText" dxfId="544" priority="521" operator="containsText" text="T">
      <formula>NOT(ISERROR(SEARCH("T",BA83)))</formula>
    </cfRule>
  </conditionalFormatting>
  <conditionalFormatting sqref="BA86:BA89">
    <cfRule type="containsText" dxfId="543" priority="533" operator="containsText" text="T">
      <formula>NOT(ISERROR(SEARCH("T",BA86)))</formula>
    </cfRule>
  </conditionalFormatting>
  <conditionalFormatting sqref="BA199 AZ206">
    <cfRule type="containsText" dxfId="542" priority="5056" operator="containsText" text="17">
      <formula>NOT(ISERROR(SEARCH("17",AZ199)))</formula>
    </cfRule>
    <cfRule type="containsText" dxfId="541" priority="5057" operator="containsText" text="T">
      <formula>NOT(ISERROR(SEARCH("T",AZ199)))</formula>
    </cfRule>
  </conditionalFormatting>
  <conditionalFormatting sqref="BA214:BA217 BE214:BG217">
    <cfRule type="containsText" dxfId="540" priority="511" operator="containsText" text="T">
      <formula>NOT(ISERROR(SEARCH("T",BA214)))</formula>
    </cfRule>
  </conditionalFormatting>
  <conditionalFormatting sqref="BA22:BB27">
    <cfRule type="containsText" dxfId="539" priority="552" operator="containsText" text="T">
      <formula>NOT(ISERROR(SEARCH("T",BA22)))</formula>
    </cfRule>
  </conditionalFormatting>
  <conditionalFormatting sqref="BA83:BB85 BE83:BG85">
    <cfRule type="containsText" dxfId="538" priority="522" operator="containsText" text="17">
      <formula>NOT(ISERROR(SEARCH("17",BA83)))</formula>
    </cfRule>
  </conditionalFormatting>
  <conditionalFormatting sqref="BA214:BB217 BE214:BG217">
    <cfRule type="containsText" dxfId="537" priority="512" operator="containsText" text="17">
      <formula>NOT(ISERROR(SEARCH("17",BA214)))</formula>
    </cfRule>
  </conditionalFormatting>
  <conditionalFormatting sqref="BA76:BG78">
    <cfRule type="containsText" dxfId="536" priority="432" operator="containsText" text="17">
      <formula>NOT(ISERROR(SEARCH("17",BA76)))</formula>
    </cfRule>
    <cfRule type="containsText" dxfId="535" priority="433" operator="containsText" text="T">
      <formula>NOT(ISERROR(SEARCH("T",BA76)))</formula>
    </cfRule>
  </conditionalFormatting>
  <conditionalFormatting sqref="BA107:BG112">
    <cfRule type="containsText" dxfId="534" priority="442" operator="containsText" text="17">
      <formula>NOT(ISERROR(SEARCH("17",BA107)))</formula>
    </cfRule>
    <cfRule type="containsText" dxfId="533" priority="443" operator="containsText" text="T">
      <formula>NOT(ISERROR(SEARCH("T",BA107)))</formula>
    </cfRule>
  </conditionalFormatting>
  <conditionalFormatting sqref="BA192:BK199">
    <cfRule type="containsText" dxfId="532" priority="206" operator="containsText" text="17">
      <formula>NOT(ISERROR(SEARCH("17",BA192)))</formula>
    </cfRule>
  </conditionalFormatting>
  <conditionalFormatting sqref="BA192:BR199">
    <cfRule type="containsText" dxfId="531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30" priority="915" operator="containsText" text="17">
      <formula>NOT(ISERROR(SEARCH("17",AX192)))</formula>
    </cfRule>
  </conditionalFormatting>
  <conditionalFormatting sqref="BA192:BX199">
    <cfRule type="containsText" dxfId="529" priority="222" operator="containsText" text="T">
      <formula>NOT(ISERROR(SEARCH("T",BA192)))</formula>
    </cfRule>
  </conditionalFormatting>
  <conditionalFormatting sqref="BB22:BB27">
    <cfRule type="containsText" dxfId="528" priority="618" operator="containsText" text="T">
      <formula>NOT(ISERROR(SEARCH("T",BB22)))</formula>
    </cfRule>
  </conditionalFormatting>
  <conditionalFormatting sqref="BB76:BB78">
    <cfRule type="containsText" dxfId="527" priority="429" operator="containsText" text="17">
      <formula>NOT(ISERROR(SEARCH("17",BB76)))</formula>
    </cfRule>
    <cfRule type="containsText" dxfId="526" priority="430" operator="containsText" text="T">
      <formula>NOT(ISERROR(SEARCH("T",BB76)))</formula>
    </cfRule>
  </conditionalFormatting>
  <conditionalFormatting sqref="BB83:BB85">
    <cfRule type="containsText" dxfId="525" priority="523" operator="containsText" text="T">
      <formula>NOT(ISERROR(SEARCH("T",BB83)))</formula>
    </cfRule>
  </conditionalFormatting>
  <conditionalFormatting sqref="BB107:BB112">
    <cfRule type="containsText" dxfId="524" priority="439" operator="containsText" text="17">
      <formula>NOT(ISERROR(SEARCH("17",BB107)))</formula>
    </cfRule>
    <cfRule type="containsText" dxfId="523" priority="440" operator="containsText" text="T">
      <formula>NOT(ISERROR(SEARCH("T",BB107)))</formula>
    </cfRule>
  </conditionalFormatting>
  <conditionalFormatting sqref="BB199 BD199:BI199 BA206 BC206:BH206">
    <cfRule type="containsText" dxfId="522" priority="5070" operator="containsText" text="17">
      <formula>NOT(ISERROR(SEARCH("17",BA199)))</formula>
    </cfRule>
    <cfRule type="containsText" dxfId="521" priority="5071" operator="containsText" text="T">
      <formula>NOT(ISERROR(SEARCH("T",BA199)))</formula>
    </cfRule>
  </conditionalFormatting>
  <conditionalFormatting sqref="BB214:BB217">
    <cfRule type="containsText" dxfId="520" priority="513" operator="containsText" text="T">
      <formula>NOT(ISERROR(SEARCH("T",BB214)))</formula>
    </cfRule>
  </conditionalFormatting>
  <conditionalFormatting sqref="BB218:BB224 BF218:BH224">
    <cfRule type="containsText" dxfId="519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18" priority="8546" operator="containsText" text="T">
      <formula>NOT(ISERROR(SEARCH("T",AX35)))</formula>
    </cfRule>
  </conditionalFormatting>
  <conditionalFormatting sqref="BB218:BC224 BF218:BH224">
    <cfRule type="containsText" dxfId="517" priority="502" operator="containsText" text="17">
      <formula>NOT(ISERROR(SEARCH("17",BB218)))</formula>
    </cfRule>
  </conditionalFormatting>
  <conditionalFormatting sqref="BB72:BH75">
    <cfRule type="containsText" dxfId="516" priority="422" operator="containsText" text="17">
      <formula>NOT(ISERROR(SEARCH("17",BB72)))</formula>
    </cfRule>
    <cfRule type="containsText" dxfId="515" priority="423" operator="containsText" text="T">
      <formula>NOT(ISERROR(SEARCH("T",BB72)))</formula>
    </cfRule>
  </conditionalFormatting>
  <conditionalFormatting sqref="BB106:BH106">
    <cfRule type="containsText" dxfId="514" priority="412" operator="containsText" text="17">
      <formula>NOT(ISERROR(SEARCH("17",BB106)))</formula>
    </cfRule>
    <cfRule type="containsText" dxfId="513" priority="413" operator="containsText" text="T">
      <formula>NOT(ISERROR(SEARCH("T",BB106)))</formula>
    </cfRule>
  </conditionalFormatting>
  <conditionalFormatting sqref="BB120:BH120">
    <cfRule type="containsText" dxfId="512" priority="392" operator="containsText" text="17">
      <formula>NOT(ISERROR(SEARCH("17",BB120)))</formula>
    </cfRule>
    <cfRule type="containsText" dxfId="511" priority="393" operator="containsText" text="T">
      <formula>NOT(ISERROR(SEARCH("T",BB120)))</formula>
    </cfRule>
  </conditionalFormatting>
  <conditionalFormatting sqref="BB122:BH122">
    <cfRule type="containsText" dxfId="510" priority="382" operator="containsText" text="17">
      <formula>NOT(ISERROR(SEARCH("17",BB122)))</formula>
    </cfRule>
    <cfRule type="containsText" dxfId="509" priority="383" operator="containsText" text="T">
      <formula>NOT(ISERROR(SEARCH("T",BB122)))</formula>
    </cfRule>
  </conditionalFormatting>
  <conditionalFormatting sqref="BB124:BH126">
    <cfRule type="containsText" dxfId="508" priority="402" operator="containsText" text="17">
      <formula>NOT(ISERROR(SEARCH("17",BB124)))</formula>
    </cfRule>
    <cfRule type="containsText" dxfId="507" priority="403" operator="containsText" text="T">
      <formula>NOT(ISERROR(SEARCH("T",BB124)))</formula>
    </cfRule>
  </conditionalFormatting>
  <conditionalFormatting sqref="BB168:BL174">
    <cfRule type="containsText" dxfId="506" priority="182" operator="containsText" text="17">
      <formula>NOT(ISERROR(SEARCH("17",BB168)))</formula>
    </cfRule>
  </conditionalFormatting>
  <conditionalFormatting sqref="BB194:BN194 BB196:BN198">
    <cfRule type="containsText" dxfId="505" priority="916" operator="containsText" text="17">
      <formula>NOT(ISERROR(SEARCH("17",BB194)))</formula>
    </cfRule>
  </conditionalFormatting>
  <conditionalFormatting sqref="BB168:BY174">
    <cfRule type="containsText" dxfId="504" priority="191" operator="containsText" text="T">
      <formula>NOT(ISERROR(SEARCH("T",BB168)))</formula>
    </cfRule>
    <cfRule type="containsText" dxfId="503" priority="194" operator="containsText" text="17">
      <formula>NOT(ISERROR(SEARCH("17",BB168)))</formula>
    </cfRule>
    <cfRule type="containsText" dxfId="502" priority="196" operator="containsText" text="T">
      <formula>NOT(ISERROR(SEARCH("T",BB168)))</formula>
    </cfRule>
  </conditionalFormatting>
  <conditionalFormatting sqref="BC34">
    <cfRule type="containsText" dxfId="501" priority="8060" operator="containsText" text="17">
      <formula>NOT(ISERROR(SEARCH("17",BC34)))</formula>
    </cfRule>
    <cfRule type="containsText" dxfId="500" priority="8061" operator="containsText" text="T">
      <formula>NOT(ISERROR(SEARCH("T",BC34)))</formula>
    </cfRule>
    <cfRule type="containsText" dxfId="499" priority="8062" operator="containsText" text="17">
      <formula>NOT(ISERROR(SEARCH("17",BC34)))</formula>
    </cfRule>
    <cfRule type="containsText" dxfId="498" priority="8063" operator="containsText" text="T">
      <formula>NOT(ISERROR(SEARCH("T",BC34)))</formula>
    </cfRule>
  </conditionalFormatting>
  <conditionalFormatting sqref="BC42:BC47">
    <cfRule type="containsText" dxfId="497" priority="605" operator="containsText" text="T">
      <formula>NOT(ISERROR(SEARCH("T",BC42)))</formula>
    </cfRule>
  </conditionalFormatting>
  <conditionalFormatting sqref="BC72:BC75">
    <cfRule type="containsText" dxfId="496" priority="419" operator="containsText" text="17">
      <formula>NOT(ISERROR(SEARCH("17",BC72)))</formula>
    </cfRule>
    <cfRule type="containsText" dxfId="495" priority="420" operator="containsText" text="T">
      <formula>NOT(ISERROR(SEARCH("T",BC72)))</formula>
    </cfRule>
  </conditionalFormatting>
  <conditionalFormatting sqref="BC106">
    <cfRule type="containsText" dxfId="494" priority="409" operator="containsText" text="17">
      <formula>NOT(ISERROR(SEARCH("17",BC106)))</formula>
    </cfRule>
    <cfRule type="containsText" dxfId="493" priority="410" operator="containsText" text="T">
      <formula>NOT(ISERROR(SEARCH("T",BC106)))</formula>
    </cfRule>
  </conditionalFormatting>
  <conditionalFormatting sqref="BC120">
    <cfRule type="containsText" dxfId="492" priority="389" operator="containsText" text="17">
      <formula>NOT(ISERROR(SEARCH("17",BC120)))</formula>
    </cfRule>
    <cfRule type="containsText" dxfId="491" priority="390" operator="containsText" text="T">
      <formula>NOT(ISERROR(SEARCH("T",BC120)))</formula>
    </cfRule>
  </conditionalFormatting>
  <conditionalFormatting sqref="BC122">
    <cfRule type="containsText" dxfId="490" priority="379" operator="containsText" text="17">
      <formula>NOT(ISERROR(SEARCH("17",BC122)))</formula>
    </cfRule>
    <cfRule type="containsText" dxfId="489" priority="380" operator="containsText" text="T">
      <formula>NOT(ISERROR(SEARCH("T",BC122)))</formula>
    </cfRule>
  </conditionalFormatting>
  <conditionalFormatting sqref="BC124:BC126">
    <cfRule type="containsText" dxfId="488" priority="399" operator="containsText" text="17">
      <formula>NOT(ISERROR(SEARCH("17",BC124)))</formula>
    </cfRule>
    <cfRule type="containsText" dxfId="487" priority="400" operator="containsText" text="T">
      <formula>NOT(ISERROR(SEARCH("T",BC124)))</formula>
    </cfRule>
  </conditionalFormatting>
  <conditionalFormatting sqref="BC182:BC183">
    <cfRule type="containsText" dxfId="486" priority="928" operator="containsText" text="17">
      <formula>NOT(ISERROR(SEARCH("17",BC182)))</formula>
    </cfRule>
  </conditionalFormatting>
  <conditionalFormatting sqref="BC186:BC188 BC189:BV190">
    <cfRule type="containsText" dxfId="485" priority="922" operator="containsText" text="17">
      <formula>NOT(ISERROR(SEARCH("17",BC186)))</formula>
    </cfRule>
  </conditionalFormatting>
  <conditionalFormatting sqref="BC199 BB206 BS127">
    <cfRule type="containsText" dxfId="484" priority="2145" operator="containsText" text="17">
      <formula>NOT(ISERROR(SEARCH("17",BB127)))</formula>
    </cfRule>
  </conditionalFormatting>
  <conditionalFormatting sqref="BC218:BC224">
    <cfRule type="containsText" dxfId="483" priority="503" operator="containsText" text="T">
      <formula>NOT(ISERROR(SEARCH("T",BC218)))</formula>
    </cfRule>
  </conditionalFormatting>
  <conditionalFormatting sqref="BC225:BC231 BG225:BI231">
    <cfRule type="containsText" dxfId="482" priority="491" operator="containsText" text="T">
      <formula>NOT(ISERROR(SEARCH("T",BC225)))</formula>
    </cfRule>
  </conditionalFormatting>
  <conditionalFormatting sqref="BC16:BD20">
    <cfRule type="containsText" dxfId="481" priority="8379" operator="containsText" text="17">
      <formula>NOT(ISERROR(SEARCH("17",BC16)))</formula>
    </cfRule>
  </conditionalFormatting>
  <conditionalFormatting sqref="BC225:BD231 BG225:BI231">
    <cfRule type="containsText" dxfId="480" priority="492" operator="containsText" text="17">
      <formula>NOT(ISERROR(SEARCH("17",BC225)))</formula>
    </cfRule>
  </conditionalFormatting>
  <conditionalFormatting sqref="BC69:BI71">
    <cfRule type="containsText" dxfId="479" priority="342" operator="containsText" text="17">
      <formula>NOT(ISERROR(SEARCH("17",BC69)))</formula>
    </cfRule>
    <cfRule type="containsText" dxfId="478" priority="343" operator="containsText" text="T">
      <formula>NOT(ISERROR(SEARCH("T",BC69)))</formula>
    </cfRule>
  </conditionalFormatting>
  <conditionalFormatting sqref="BC103:BI104">
    <cfRule type="containsText" dxfId="477" priority="372" operator="containsText" text="17">
      <formula>NOT(ISERROR(SEARCH("17",BC103)))</formula>
    </cfRule>
    <cfRule type="containsText" dxfId="476" priority="373" operator="containsText" text="T">
      <formula>NOT(ISERROR(SEARCH("T",BC103)))</formula>
    </cfRule>
  </conditionalFormatting>
  <conditionalFormatting sqref="BC121:BI121">
    <cfRule type="containsText" dxfId="475" priority="362" operator="containsText" text="17">
      <formula>NOT(ISERROR(SEARCH("17",BC121)))</formula>
    </cfRule>
    <cfRule type="containsText" dxfId="474" priority="363" operator="containsText" text="T">
      <formula>NOT(ISERROR(SEARCH("T",BC121)))</formula>
    </cfRule>
  </conditionalFormatting>
  <conditionalFormatting sqref="BC123:BI123">
    <cfRule type="containsText" dxfId="473" priority="352" operator="containsText" text="17">
      <formula>NOT(ISERROR(SEARCH("17",BC123)))</formula>
    </cfRule>
    <cfRule type="containsText" dxfId="472" priority="353" operator="containsText" text="T">
      <formula>NOT(ISERROR(SEARCH("T",BC123)))</formula>
    </cfRule>
  </conditionalFormatting>
  <conditionalFormatting sqref="BC175:BM181">
    <cfRule type="containsText" dxfId="471" priority="158" operator="containsText" text="17">
      <formula>NOT(ISERROR(SEARCH("17",BC175)))</formula>
    </cfRule>
  </conditionalFormatting>
  <conditionalFormatting sqref="BC199:BR199 BB206:BQ206 BS127">
    <cfRule type="containsText" dxfId="470" priority="5050" operator="containsText" text="17">
      <formula>NOT(ISERROR(SEARCH("17",BB127)))</formula>
    </cfRule>
  </conditionalFormatting>
  <conditionalFormatting sqref="BC175:BZ181">
    <cfRule type="containsText" dxfId="469" priority="167" operator="containsText" text="T">
      <formula>NOT(ISERROR(SEARCH("T",BC175)))</formula>
    </cfRule>
    <cfRule type="containsText" dxfId="468" priority="170" operator="containsText" text="17">
      <formula>NOT(ISERROR(SEARCH("17",BC175)))</formula>
    </cfRule>
  </conditionalFormatting>
  <conditionalFormatting sqref="BC175:CP181">
    <cfRule type="containsText" dxfId="467" priority="181" operator="containsText" text="17">
      <formula>NOT(ISERROR(SEARCH("17",BC175)))</formula>
    </cfRule>
  </conditionalFormatting>
  <conditionalFormatting sqref="BD69:BD71">
    <cfRule type="containsText" dxfId="466" priority="339" operator="containsText" text="17">
      <formula>NOT(ISERROR(SEARCH("17",BD69)))</formula>
    </cfRule>
    <cfRule type="containsText" dxfId="465" priority="340" operator="containsText" text="T">
      <formula>NOT(ISERROR(SEARCH("T",BD69)))</formula>
    </cfRule>
  </conditionalFormatting>
  <conditionalFormatting sqref="BD103:BD104">
    <cfRule type="containsText" dxfId="464" priority="369" operator="containsText" text="17">
      <formula>NOT(ISERROR(SEARCH("17",BD103)))</formula>
    </cfRule>
    <cfRule type="containsText" dxfId="463" priority="370" operator="containsText" text="T">
      <formula>NOT(ISERROR(SEARCH("T",BD103)))</formula>
    </cfRule>
  </conditionalFormatting>
  <conditionalFormatting sqref="BD113:BD116 BH113:BJ116">
    <cfRule type="containsText" dxfId="462" priority="471" operator="containsText" text="T">
      <formula>NOT(ISERROR(SEARCH("T",BD113)))</formula>
    </cfRule>
  </conditionalFormatting>
  <conditionalFormatting sqref="BD121">
    <cfRule type="containsText" dxfId="461" priority="359" operator="containsText" text="17">
      <formula>NOT(ISERROR(SEARCH("17",BD121)))</formula>
    </cfRule>
    <cfRule type="containsText" dxfId="460" priority="360" operator="containsText" text="T">
      <formula>NOT(ISERROR(SEARCH("T",BD121)))</formula>
    </cfRule>
  </conditionalFormatting>
  <conditionalFormatting sqref="BD123">
    <cfRule type="containsText" dxfId="459" priority="349" operator="containsText" text="17">
      <formula>NOT(ISERROR(SEARCH("17",BD123)))</formula>
    </cfRule>
    <cfRule type="containsText" dxfId="458" priority="350" operator="containsText" text="T">
      <formula>NOT(ISERROR(SEARCH("T",BD123)))</formula>
    </cfRule>
  </conditionalFormatting>
  <conditionalFormatting sqref="BD225:BD231">
    <cfRule type="containsText" dxfId="457" priority="493" operator="containsText" text="T">
      <formula>NOT(ISERROR(SEARCH("T",BD225)))</formula>
    </cfRule>
  </conditionalFormatting>
  <conditionalFormatting sqref="BD232:BD234 BH232:BJ234">
    <cfRule type="containsText" dxfId="456" priority="481" operator="containsText" text="T">
      <formula>NOT(ISERROR(SEARCH("T",BD232)))</formula>
    </cfRule>
  </conditionalFormatting>
  <conditionalFormatting sqref="BD35:BE39">
    <cfRule type="containsText" dxfId="455" priority="1049" operator="containsText" text="T">
      <formula>NOT(ISERROR(SEARCH("T",BD35)))</formula>
    </cfRule>
  </conditionalFormatting>
  <conditionalFormatting sqref="BD113:BE116 BH113:BJ116">
    <cfRule type="containsText" dxfId="454" priority="472" operator="containsText" text="17">
      <formula>NOT(ISERROR(SEARCH("17",BD113)))</formula>
    </cfRule>
  </conditionalFormatting>
  <conditionalFormatting sqref="BD232:BE234 BH232:BN234">
    <cfRule type="containsText" dxfId="453" priority="482" operator="containsText" text="17">
      <formula>NOT(ISERROR(SEARCH("17",BD232)))</formula>
    </cfRule>
  </conditionalFormatting>
  <conditionalFormatting sqref="BD41:BG45">
    <cfRule type="containsText" dxfId="452" priority="1042" operator="containsText" text="T">
      <formula>NOT(ISERROR(SEARCH("T",BD41)))</formula>
    </cfRule>
  </conditionalFormatting>
  <conditionalFormatting sqref="BD47:BG47 BE48:BH48">
    <cfRule type="containsText" dxfId="451" priority="1037" operator="containsText" text="T">
      <formula>NOT(ISERROR(SEARCH("T",BD47)))</formula>
    </cfRule>
  </conditionalFormatting>
  <conditionalFormatting sqref="BD67:BJ68">
    <cfRule type="containsText" dxfId="450" priority="312" operator="containsText" text="17">
      <formula>NOT(ISERROR(SEARCH("17",BD67)))</formula>
    </cfRule>
    <cfRule type="containsText" dxfId="449" priority="313" operator="containsText" text="T">
      <formula>NOT(ISERROR(SEARCH("T",BD67)))</formula>
    </cfRule>
  </conditionalFormatting>
  <conditionalFormatting sqref="BD99:BJ102">
    <cfRule type="containsText" dxfId="448" priority="332" operator="containsText" text="17">
      <formula>NOT(ISERROR(SEARCH("17",BD99)))</formula>
    </cfRule>
    <cfRule type="containsText" dxfId="447" priority="333" operator="containsText" text="T">
      <formula>NOT(ISERROR(SEARCH("T",BD99)))</formula>
    </cfRule>
  </conditionalFormatting>
  <conditionalFormatting sqref="BD105:BJ105">
    <cfRule type="containsText" dxfId="446" priority="322" operator="containsText" text="17">
      <formula>NOT(ISERROR(SEARCH("17",BD105)))</formula>
    </cfRule>
    <cfRule type="containsText" dxfId="445" priority="323" operator="containsText" text="T">
      <formula>NOT(ISERROR(SEARCH("T",BD105)))</formula>
    </cfRule>
  </conditionalFormatting>
  <conditionalFormatting sqref="BD54:BN59 AZ59:AZ62 BD60:BI62">
    <cfRule type="containsText" dxfId="444" priority="541" operator="containsText" text="T">
      <formula>NOT(ISERROR(SEARCH("T",AZ54)))</formula>
    </cfRule>
  </conditionalFormatting>
  <conditionalFormatting sqref="BD182:BN188">
    <cfRule type="containsText" dxfId="443" priority="134" operator="containsText" text="17">
      <formula>NOT(ISERROR(SEARCH("17",BD182)))</formula>
    </cfRule>
  </conditionalFormatting>
  <conditionalFormatting sqref="BD182:CA188">
    <cfRule type="containsText" dxfId="442" priority="143" operator="containsText" text="T">
      <formula>NOT(ISERROR(SEARCH("T",BD182)))</formula>
    </cfRule>
    <cfRule type="containsText" dxfId="441" priority="146" operator="containsText" text="17">
      <formula>NOT(ISERROR(SEARCH("17",BD182)))</formula>
    </cfRule>
  </conditionalFormatting>
  <conditionalFormatting sqref="BD182:CP188">
    <cfRule type="containsText" dxfId="440" priority="148" operator="containsText" text="T">
      <formula>NOT(ISERROR(SEARCH("T",BD182)))</formula>
    </cfRule>
    <cfRule type="containsText" dxfId="439" priority="157" operator="containsText" text="17">
      <formula>NOT(ISERROR(SEARCH("17",BD182)))</formula>
    </cfRule>
  </conditionalFormatting>
  <conditionalFormatting sqref="BE15:BE20">
    <cfRule type="containsText" dxfId="438" priority="130" operator="containsText" text="T">
      <formula>NOT(ISERROR(SEARCH("T",BE15)))</formula>
    </cfRule>
  </conditionalFormatting>
  <conditionalFormatting sqref="BE67:BE68">
    <cfRule type="containsText" dxfId="437" priority="309" operator="containsText" text="17">
      <formula>NOT(ISERROR(SEARCH("17",BE67)))</formula>
    </cfRule>
    <cfRule type="containsText" dxfId="436" priority="310" operator="containsText" text="T">
      <formula>NOT(ISERROR(SEARCH("T",BE67)))</formula>
    </cfRule>
  </conditionalFormatting>
  <conditionalFormatting sqref="BE79:BE82 BI79:BK82">
    <cfRule type="containsText" dxfId="435" priority="451" operator="containsText" text="T">
      <formula>NOT(ISERROR(SEARCH("T",BE79)))</formula>
    </cfRule>
  </conditionalFormatting>
  <conditionalFormatting sqref="BE99:BE102">
    <cfRule type="containsText" dxfId="434" priority="329" operator="containsText" text="17">
      <formula>NOT(ISERROR(SEARCH("17",BE99)))</formula>
    </cfRule>
    <cfRule type="containsText" dxfId="433" priority="330" operator="containsText" text="T">
      <formula>NOT(ISERROR(SEARCH("T",BE99)))</formula>
    </cfRule>
  </conditionalFormatting>
  <conditionalFormatting sqref="BE105">
    <cfRule type="containsText" dxfId="432" priority="319" operator="containsText" text="17">
      <formula>NOT(ISERROR(SEARCH("17",BE105)))</formula>
    </cfRule>
    <cfRule type="containsText" dxfId="431" priority="320" operator="containsText" text="T">
      <formula>NOT(ISERROR(SEARCH("T",BE105)))</formula>
    </cfRule>
  </conditionalFormatting>
  <conditionalFormatting sqref="BE113:BE116">
    <cfRule type="containsText" dxfId="430" priority="473" operator="containsText" text="T">
      <formula>NOT(ISERROR(SEARCH("T",BE113)))</formula>
    </cfRule>
  </conditionalFormatting>
  <conditionalFormatting sqref="BE117:BE119 BI117:BK119">
    <cfRule type="containsText" dxfId="429" priority="461" operator="containsText" text="T">
      <formula>NOT(ISERROR(SEARCH("T",BE117)))</formula>
    </cfRule>
  </conditionalFormatting>
  <conditionalFormatting sqref="BE232:BE234">
    <cfRule type="containsText" dxfId="428" priority="483" operator="containsText" text="T">
      <formula>NOT(ISERROR(SEARCH("T",BE232)))</formula>
    </cfRule>
  </conditionalFormatting>
  <conditionalFormatting sqref="BE23:BF27">
    <cfRule type="containsText" dxfId="427" priority="1062" operator="containsText" text="17">
      <formula>NOT(ISERROR(SEARCH("17",BE23)))</formula>
    </cfRule>
  </conditionalFormatting>
  <conditionalFormatting sqref="BE79:BF82 BI79:BK82">
    <cfRule type="containsText" dxfId="426" priority="452" operator="containsText" text="17">
      <formula>NOT(ISERROR(SEARCH("17",BE79)))</formula>
    </cfRule>
  </conditionalFormatting>
  <conditionalFormatting sqref="BE117:BF119 BI117:BP119">
    <cfRule type="containsText" dxfId="425" priority="462" operator="containsText" text="17">
      <formula>NOT(ISERROR(SEARCH("17",BE117)))</formula>
    </cfRule>
  </conditionalFormatting>
  <conditionalFormatting sqref="BE199:BF199 BD206:BE206">
    <cfRule type="containsText" dxfId="424" priority="2141" operator="containsText" text="17">
      <formula>NOT(ISERROR(SEARCH("17",BD199)))</formula>
    </cfRule>
    <cfRule type="containsText" dxfId="423" priority="2142" operator="containsText" text="T">
      <formula>NOT(ISERROR(SEARCH("T",BD199)))</formula>
    </cfRule>
  </conditionalFormatting>
  <conditionalFormatting sqref="BE97:BK98">
    <cfRule type="containsText" dxfId="422" priority="302" operator="containsText" text="17">
      <formula>NOT(ISERROR(SEARCH("17",BE97)))</formula>
    </cfRule>
    <cfRule type="containsText" dxfId="421" priority="303" operator="containsText" text="T">
      <formula>NOT(ISERROR(SEARCH("T",BE97)))</formula>
    </cfRule>
  </conditionalFormatting>
  <conditionalFormatting sqref="BE131:BK137">
    <cfRule type="containsText" dxfId="420" priority="292" operator="containsText" text="17">
      <formula>NOT(ISERROR(SEARCH("17",BE131)))</formula>
    </cfRule>
    <cfRule type="containsText" dxfId="419" priority="293" operator="containsText" text="T">
      <formula>NOT(ISERROR(SEARCH("T",BE131)))</formula>
    </cfRule>
  </conditionalFormatting>
  <conditionalFormatting sqref="BE14:BO14">
    <cfRule type="containsText" dxfId="418" priority="122" operator="containsText" text="17">
      <formula>NOT(ISERROR(SEARCH("17",BE14)))</formula>
    </cfRule>
    <cfRule type="containsText" dxfId="417" priority="123" operator="containsText" text="T">
      <formula>NOT(ISERROR(SEARCH("T",BE14)))</formula>
    </cfRule>
  </conditionalFormatting>
  <conditionalFormatting sqref="BE15:BY20 BE14:BM14">
    <cfRule type="containsText" dxfId="416" priority="129" operator="containsText" text="17">
      <formula>NOT(ISERROR(SEARCH("17",BE14)))</formula>
    </cfRule>
  </conditionalFormatting>
  <conditionalFormatting sqref="BF35:BF40">
    <cfRule type="containsText" dxfId="415" priority="118" operator="containsText" text="T">
      <formula>NOT(ISERROR(SEARCH("T",BF35)))</formula>
    </cfRule>
  </conditionalFormatting>
  <conditionalFormatting sqref="BF79:BF82">
    <cfRule type="containsText" dxfId="414" priority="453" operator="containsText" text="T">
      <formula>NOT(ISERROR(SEARCH("T",BF79)))</formula>
    </cfRule>
  </conditionalFormatting>
  <conditionalFormatting sqref="BF93:BF96 AZ94:BB96 BG94:BI96 BS97 BM231:BN234">
    <cfRule type="containsText" dxfId="413" priority="8576" operator="containsText" text="T">
      <formula>NOT(ISERROR(SEARCH("T",AZ93)))</formula>
    </cfRule>
  </conditionalFormatting>
  <conditionalFormatting sqref="BF93:BF96 AZ94:BB96 BS97 BG94:BI96 BM231:BN234">
    <cfRule type="containsText" dxfId="412" priority="8575" operator="containsText" text="17">
      <formula>NOT(ISERROR(SEARCH("17",AZ93)))</formula>
    </cfRule>
  </conditionalFormatting>
  <conditionalFormatting sqref="BF97:BF98">
    <cfRule type="containsText" dxfId="411" priority="299" operator="containsText" text="17">
      <formula>NOT(ISERROR(SEARCH("17",BF97)))</formula>
    </cfRule>
    <cfRule type="containsText" dxfId="410" priority="300" operator="containsText" text="T">
      <formula>NOT(ISERROR(SEARCH("T",BF97)))</formula>
    </cfRule>
  </conditionalFormatting>
  <conditionalFormatting sqref="BF117:BF119">
    <cfRule type="containsText" dxfId="409" priority="463" operator="containsText" text="T">
      <formula>NOT(ISERROR(SEARCH("T",BF117)))</formula>
    </cfRule>
  </conditionalFormatting>
  <conditionalFormatting sqref="BF131:BF137">
    <cfRule type="containsText" dxfId="408" priority="289" operator="containsText" text="17">
      <formula>NOT(ISERROR(SEARCH("17",BF131)))</formula>
    </cfRule>
    <cfRule type="containsText" dxfId="407" priority="290" operator="containsText" text="T">
      <formula>NOT(ISERROR(SEARCH("T",BF131)))</formula>
    </cfRule>
  </conditionalFormatting>
  <conditionalFormatting sqref="BF138:BL144">
    <cfRule type="containsText" dxfId="406" priority="282" operator="containsText" text="17">
      <formula>NOT(ISERROR(SEARCH("17",BF138)))</formula>
    </cfRule>
    <cfRule type="containsText" dxfId="405" priority="283" operator="containsText" text="T">
      <formula>NOT(ISERROR(SEARCH("T",BF138)))</formula>
    </cfRule>
  </conditionalFormatting>
  <conditionalFormatting sqref="BF34:BP34">
    <cfRule type="containsText" dxfId="404" priority="110" operator="containsText" text="17">
      <formula>NOT(ISERROR(SEARCH("17",BF34)))</formula>
    </cfRule>
    <cfRule type="containsText" dxfId="403" priority="111" operator="containsText" text="T">
      <formula>NOT(ISERROR(SEARCH("T",BF34)))</formula>
    </cfRule>
  </conditionalFormatting>
  <conditionalFormatting sqref="BF35:BZ40 BF34:BN34">
    <cfRule type="containsText" dxfId="402" priority="117" operator="containsText" text="17">
      <formula>NOT(ISERROR(SEARCH("17",BF34)))</formula>
    </cfRule>
  </conditionalFormatting>
  <conditionalFormatting sqref="BF50:CA52 BF53:BN53">
    <cfRule type="containsText" dxfId="401" priority="1032" operator="containsText" text="T">
      <formula>NOT(ISERROR(SEARCH("T",BF50)))</formula>
    </cfRule>
  </conditionalFormatting>
  <conditionalFormatting sqref="BG22:BG27">
    <cfRule type="containsText" dxfId="400" priority="106" operator="containsText" text="T">
      <formula>NOT(ISERROR(SEARCH("T",BG22)))</formula>
    </cfRule>
  </conditionalFormatting>
  <conditionalFormatting sqref="BG41:BG45">
    <cfRule type="containsText" dxfId="399" priority="1043" operator="containsText" text="17">
      <formula>NOT(ISERROR(SEARCH("17",BG41)))</formula>
    </cfRule>
  </conditionalFormatting>
  <conditionalFormatting sqref="BG47">
    <cfRule type="containsText" dxfId="398" priority="1041" operator="containsText" text="17">
      <formula>NOT(ISERROR(SEARCH("17",BG47)))</formula>
    </cfRule>
  </conditionalFormatting>
  <conditionalFormatting sqref="BG76:BG78 BK76:BM78">
    <cfRule type="containsText" dxfId="397" priority="426" operator="containsText" text="T">
      <formula>NOT(ISERROR(SEARCH("T",BG76)))</formula>
    </cfRule>
  </conditionalFormatting>
  <conditionalFormatting sqref="BG86 BG93:BI93">
    <cfRule type="containsText" dxfId="396" priority="4100" operator="containsText" text="17">
      <formula>NOT(ISERROR(SEARCH("17",BG86)))</formula>
    </cfRule>
    <cfRule type="containsText" dxfId="395" priority="4101" operator="containsText" text="T">
      <formula>NOT(ISERROR(SEARCH("T",BG86)))</formula>
    </cfRule>
  </conditionalFormatting>
  <conditionalFormatting sqref="BG107:BG112 BK107:BM112">
    <cfRule type="containsText" dxfId="394" priority="436" operator="containsText" text="T">
      <formula>NOT(ISERROR(SEARCH("T",BG107)))</formula>
    </cfRule>
  </conditionalFormatting>
  <conditionalFormatting sqref="BG138:BG144">
    <cfRule type="containsText" dxfId="393" priority="279" operator="containsText" text="17">
      <formula>NOT(ISERROR(SEARCH("17",BG138)))</formula>
    </cfRule>
    <cfRule type="containsText" dxfId="392" priority="280" operator="containsText" text="T">
      <formula>NOT(ISERROR(SEARCH("T",BG138)))</formula>
    </cfRule>
  </conditionalFormatting>
  <conditionalFormatting sqref="BG30:BH32 BG33:BZ33">
    <cfRule type="containsText" dxfId="391" priority="1056" operator="containsText" text="17">
      <formula>NOT(ISERROR(SEARCH("17",BG30)))</formula>
    </cfRule>
  </conditionalFormatting>
  <conditionalFormatting sqref="BG48:BH48">
    <cfRule type="containsText" dxfId="390" priority="1038" operator="containsText" text="17">
      <formula>NOT(ISERROR(SEARCH("17",BG48)))</formula>
    </cfRule>
  </conditionalFormatting>
  <conditionalFormatting sqref="BG76:BH78 BK76:BM78">
    <cfRule type="containsText" dxfId="389" priority="427" operator="containsText" text="17">
      <formula>NOT(ISERROR(SEARCH("17",BG76)))</formula>
    </cfRule>
  </conditionalFormatting>
  <conditionalFormatting sqref="BG107:BH112 BK107:BM112">
    <cfRule type="containsText" dxfId="388" priority="437" operator="containsText" text="17">
      <formula>NOT(ISERROR(SEARCH("17",BG107)))</formula>
    </cfRule>
  </conditionalFormatting>
  <conditionalFormatting sqref="BG145:BM151">
    <cfRule type="containsText" dxfId="387" priority="272" operator="containsText" text="17">
      <formula>NOT(ISERROR(SEARCH("17",BG145)))</formula>
    </cfRule>
    <cfRule type="containsText" dxfId="386" priority="273" operator="containsText" text="T">
      <formula>NOT(ISERROR(SEARCH("T",BG145)))</formula>
    </cfRule>
  </conditionalFormatting>
  <conditionalFormatting sqref="BG21:BQ21">
    <cfRule type="containsText" dxfId="385" priority="98" operator="containsText" text="17">
      <formula>NOT(ISERROR(SEARCH("17",BG21)))</formula>
    </cfRule>
    <cfRule type="containsText" dxfId="384" priority="99" operator="containsText" text="T">
      <formula>NOT(ISERROR(SEARCH("T",BG21)))</formula>
    </cfRule>
  </conditionalFormatting>
  <conditionalFormatting sqref="BG50:BQ52">
    <cfRule type="containsText" dxfId="383" priority="1036" operator="containsText" text="17">
      <formula>NOT(ISERROR(SEARCH("17",BG50)))</formula>
    </cfRule>
  </conditionalFormatting>
  <conditionalFormatting sqref="BG51:BS52 BG53:BN59 BG60:BI66">
    <cfRule type="containsText" dxfId="382" priority="1033" operator="containsText" text="17">
      <formula>NOT(ISERROR(SEARCH("17",BG51)))</formula>
    </cfRule>
  </conditionalFormatting>
  <conditionalFormatting sqref="BG22:CA27 BG21:BO21">
    <cfRule type="containsText" dxfId="381" priority="105" operator="containsText" text="17">
      <formula>NOT(ISERROR(SEARCH("17",BG21)))</formula>
    </cfRule>
  </conditionalFormatting>
  <conditionalFormatting sqref="BH42:BH47">
    <cfRule type="containsText" dxfId="380" priority="94" operator="containsText" text="T">
      <formula>NOT(ISERROR(SEARCH("T",BH42)))</formula>
    </cfRule>
  </conditionalFormatting>
  <conditionalFormatting sqref="BH72:BH75 BL72:BN75">
    <cfRule type="containsText" dxfId="379" priority="416" operator="containsText" text="T">
      <formula>NOT(ISERROR(SEARCH("T",BH72)))</formula>
    </cfRule>
  </conditionalFormatting>
  <conditionalFormatting sqref="BH76:BH78">
    <cfRule type="containsText" dxfId="378" priority="428" operator="containsText" text="T">
      <formula>NOT(ISERROR(SEARCH("T",BH76)))</formula>
    </cfRule>
  </conditionalFormatting>
  <conditionalFormatting sqref="BH106 BL106:BN106">
    <cfRule type="containsText" dxfId="377" priority="406" operator="containsText" text="T">
      <formula>NOT(ISERROR(SEARCH("T",BH106)))</formula>
    </cfRule>
  </conditionalFormatting>
  <conditionalFormatting sqref="BH107:BH112">
    <cfRule type="containsText" dxfId="376" priority="438" operator="containsText" text="T">
      <formula>NOT(ISERROR(SEARCH("T",BH107)))</formula>
    </cfRule>
  </conditionalFormatting>
  <conditionalFormatting sqref="BH120 BL120:BN120">
    <cfRule type="containsText" dxfId="375" priority="386" operator="containsText" text="T">
      <formula>NOT(ISERROR(SEARCH("T",BH120)))</formula>
    </cfRule>
  </conditionalFormatting>
  <conditionalFormatting sqref="BH122 BL122:BO122">
    <cfRule type="containsText" dxfId="374" priority="376" operator="containsText" text="T">
      <formula>NOT(ISERROR(SEARCH("T",BH122)))</formula>
    </cfRule>
  </conditionalFormatting>
  <conditionalFormatting sqref="BH124:BH126 BL124:BN126">
    <cfRule type="containsText" dxfId="373" priority="396" operator="containsText" text="T">
      <formula>NOT(ISERROR(SEARCH("T",BH124)))</formula>
    </cfRule>
  </conditionalFormatting>
  <conditionalFormatting sqref="BH145:BH151">
    <cfRule type="containsText" dxfId="372" priority="269" operator="containsText" text="17">
      <formula>NOT(ISERROR(SEARCH("17",BH145)))</formula>
    </cfRule>
    <cfRule type="containsText" dxfId="371" priority="270" operator="containsText" text="T">
      <formula>NOT(ISERROR(SEARCH("T",BH145)))</formula>
    </cfRule>
  </conditionalFormatting>
  <conditionalFormatting sqref="BH72:BI75 BL72:BN75">
    <cfRule type="containsText" dxfId="370" priority="417" operator="containsText" text="17">
      <formula>NOT(ISERROR(SEARCH("17",BH72)))</formula>
    </cfRule>
  </conditionalFormatting>
  <conditionalFormatting sqref="BH106:BI106 BL106:CJ106">
    <cfRule type="containsText" dxfId="369" priority="407" operator="containsText" text="17">
      <formula>NOT(ISERROR(SEARCH("17",BH106)))</formula>
    </cfRule>
  </conditionalFormatting>
  <conditionalFormatting sqref="BH120:BI120 BL120:BO120">
    <cfRule type="containsText" dxfId="368" priority="387" operator="containsText" text="17">
      <formula>NOT(ISERROR(SEARCH("17",BH120)))</formula>
    </cfRule>
  </conditionalFormatting>
  <conditionalFormatting sqref="BH122:BI122 BL122:BO122">
    <cfRule type="containsText" dxfId="367" priority="377" operator="containsText" text="17">
      <formula>NOT(ISERROR(SEARCH("17",BH122)))</formula>
    </cfRule>
  </conditionalFormatting>
  <conditionalFormatting sqref="BH124:BI126 BL124:BO126">
    <cfRule type="containsText" dxfId="366" priority="397" operator="containsText" text="17">
      <formula>NOT(ISERROR(SEARCH("17",BH124)))</formula>
    </cfRule>
  </conditionalFormatting>
  <conditionalFormatting sqref="BH214:BI216">
    <cfRule type="containsText" dxfId="365" priority="5856" operator="containsText" text="17">
      <formula>NOT(ISERROR(SEARCH("17",BH214)))</formula>
    </cfRule>
    <cfRule type="containsText" dxfId="364" priority="5857" operator="containsText" text="T">
      <formula>NOT(ISERROR(SEARCH("T",BH214)))</formula>
    </cfRule>
  </conditionalFormatting>
  <conditionalFormatting sqref="BH84:BK89">
    <cfRule type="containsText" dxfId="363" priority="1009" operator="containsText" text="17">
      <formula>NOT(ISERROR(SEARCH("17",BH84)))</formula>
    </cfRule>
  </conditionalFormatting>
  <conditionalFormatting sqref="BH152:BN158">
    <cfRule type="containsText" dxfId="362" priority="262" operator="containsText" text="17">
      <formula>NOT(ISERROR(SEARCH("17",BH152)))</formula>
    </cfRule>
    <cfRule type="containsText" dxfId="361" priority="263" operator="containsText" text="T">
      <formula>NOT(ISERROR(SEARCH("T",BH152)))</formula>
    </cfRule>
  </conditionalFormatting>
  <conditionalFormatting sqref="BH41:BR41">
    <cfRule type="containsText" dxfId="360" priority="86" operator="containsText" text="17">
      <formula>NOT(ISERROR(SEARCH("17",BH41)))</formula>
    </cfRule>
    <cfRule type="containsText" dxfId="359" priority="87" operator="containsText" text="T">
      <formula>NOT(ISERROR(SEARCH("T",BH41)))</formula>
    </cfRule>
  </conditionalFormatting>
  <conditionalFormatting sqref="BH42:CB47 BH41:BP41">
    <cfRule type="containsText" dxfId="358" priority="93" operator="containsText" text="17">
      <formula>NOT(ISERROR(SEARCH("17",BH41)))</formula>
    </cfRule>
  </conditionalFormatting>
  <conditionalFormatting sqref="BI28:BI32">
    <cfRule type="containsText" dxfId="357" priority="79" operator="containsText" text="T">
      <formula>NOT(ISERROR(SEARCH("T",BI28)))</formula>
    </cfRule>
  </conditionalFormatting>
  <conditionalFormatting sqref="BI48:BI49">
    <cfRule type="containsText" dxfId="356" priority="74" operator="containsText" text="T">
      <formula>NOT(ISERROR(SEARCH("T",BI48)))</formula>
    </cfRule>
  </conditionalFormatting>
  <conditionalFormatting sqref="BI69:BI71 BM69:BO71">
    <cfRule type="containsText" dxfId="355" priority="336" operator="containsText" text="T">
      <formula>NOT(ISERROR(SEARCH("T",BI69)))</formula>
    </cfRule>
  </conditionalFormatting>
  <conditionalFormatting sqref="BI72:BI75">
    <cfRule type="containsText" dxfId="354" priority="418" operator="containsText" text="T">
      <formula>NOT(ISERROR(SEARCH("T",BI72)))</formula>
    </cfRule>
  </conditionalFormatting>
  <conditionalFormatting sqref="BI103:BI104 BM103:BO104">
    <cfRule type="containsText" dxfId="353" priority="366" operator="containsText" text="T">
      <formula>NOT(ISERROR(SEARCH("T",BI103)))</formula>
    </cfRule>
  </conditionalFormatting>
  <conditionalFormatting sqref="BI106">
    <cfRule type="containsText" dxfId="352" priority="408" operator="containsText" text="T">
      <formula>NOT(ISERROR(SEARCH("T",BI106)))</formula>
    </cfRule>
  </conditionalFormatting>
  <conditionalFormatting sqref="BI120">
    <cfRule type="containsText" dxfId="351" priority="388" operator="containsText" text="T">
      <formula>NOT(ISERROR(SEARCH("T",BI120)))</formula>
    </cfRule>
  </conditionalFormatting>
  <conditionalFormatting sqref="BI121 BM121:BO121">
    <cfRule type="containsText" dxfId="350" priority="356" operator="containsText" text="T">
      <formula>NOT(ISERROR(SEARCH("T",BI121)))</formula>
    </cfRule>
  </conditionalFormatting>
  <conditionalFormatting sqref="BI122">
    <cfRule type="containsText" dxfId="349" priority="378" operator="containsText" text="T">
      <formula>NOT(ISERROR(SEARCH("T",BI122)))</formula>
    </cfRule>
  </conditionalFormatting>
  <conditionalFormatting sqref="BI123 BM123:BO123">
    <cfRule type="containsText" dxfId="348" priority="346" operator="containsText" text="T">
      <formula>NOT(ISERROR(SEARCH("T",BI123)))</formula>
    </cfRule>
  </conditionalFormatting>
  <conditionalFormatting sqref="BI124:BI126">
    <cfRule type="containsText" dxfId="347" priority="398" operator="containsText" text="T">
      <formula>NOT(ISERROR(SEARCH("T",BI124)))</formula>
    </cfRule>
  </conditionalFormatting>
  <conditionalFormatting sqref="BI152:BI158">
    <cfRule type="containsText" dxfId="346" priority="259" operator="containsText" text="17">
      <formula>NOT(ISERROR(SEARCH("17",BI152)))</formula>
    </cfRule>
    <cfRule type="containsText" dxfId="345" priority="260" operator="containsText" text="T">
      <formula>NOT(ISERROR(SEARCH("T",BI152)))</formula>
    </cfRule>
  </conditionalFormatting>
  <conditionalFormatting sqref="BI69:BJ71 BM69:BO71">
    <cfRule type="containsText" dxfId="344" priority="337" operator="containsText" text="17">
      <formula>NOT(ISERROR(SEARCH("17",BI69)))</formula>
    </cfRule>
  </conditionalFormatting>
  <conditionalFormatting sqref="BI103:BJ104 BM103:BO104">
    <cfRule type="containsText" dxfId="343" priority="367" operator="containsText" text="17">
      <formula>NOT(ISERROR(SEARCH("17",BI103)))</formula>
    </cfRule>
  </conditionalFormatting>
  <conditionalFormatting sqref="BI121:BJ121 BM121:BO121">
    <cfRule type="containsText" dxfId="342" priority="357" operator="containsText" text="17">
      <formula>NOT(ISERROR(SEARCH("17",BI121)))</formula>
    </cfRule>
  </conditionalFormatting>
  <conditionalFormatting sqref="BI123:BJ123 BM123:BO123">
    <cfRule type="containsText" dxfId="341" priority="347" operator="containsText" text="17">
      <formula>NOT(ISERROR(SEARCH("17",BI123)))</formula>
    </cfRule>
  </conditionalFormatting>
  <conditionalFormatting sqref="BI214:BJ216">
    <cfRule type="containsText" dxfId="340" priority="5862" operator="containsText" text="17">
      <formula>NOT(ISERROR(SEARCH("17",BI214)))</formula>
    </cfRule>
    <cfRule type="containsText" dxfId="339" priority="5863" operator="containsText" text="T">
      <formula>NOT(ISERROR(SEARCH("T",BI214)))</formula>
    </cfRule>
  </conditionalFormatting>
  <conditionalFormatting sqref="BI218:BL220 BL221:BM223 BM224:BM227 BM228:BN230">
    <cfRule type="containsText" dxfId="338" priority="5627" operator="containsText" text="T">
      <formula>NOT(ISERROR(SEARCH("T",BI218)))</formula>
    </cfRule>
  </conditionalFormatting>
  <conditionalFormatting sqref="BI159:BO165">
    <cfRule type="containsText" dxfId="337" priority="252" operator="containsText" text="17">
      <formula>NOT(ISERROR(SEARCH("17",BI159)))</formula>
    </cfRule>
    <cfRule type="containsText" dxfId="336" priority="253" operator="containsText" text="T">
      <formula>NOT(ISERROR(SEARCH("T",BI159)))</formula>
    </cfRule>
  </conditionalFormatting>
  <conditionalFormatting sqref="BI28:CC32 CF28:CF32">
    <cfRule type="containsText" dxfId="335" priority="76" operator="containsText" text="T">
      <formula>NOT(ISERROR(SEARCH("T",BI28)))</formula>
    </cfRule>
  </conditionalFormatting>
  <conditionalFormatting sqref="BI28:CC32">
    <cfRule type="containsText" dxfId="334" priority="78" operator="containsText" text="17">
      <formula>NOT(ISERROR(SEARCH("17",BI28)))</formula>
    </cfRule>
  </conditionalFormatting>
  <conditionalFormatting sqref="BI48:CC49 CF48:CF49">
    <cfRule type="containsText" dxfId="333" priority="71" operator="containsText" text="T">
      <formula>NOT(ISERROR(SEARCH("T",BI48)))</formula>
    </cfRule>
  </conditionalFormatting>
  <conditionalFormatting sqref="BI48:CC49">
    <cfRule type="containsText" dxfId="332" priority="73" operator="containsText" text="17">
      <formula>NOT(ISERROR(SEARCH("17",BI48)))</formula>
    </cfRule>
  </conditionalFormatting>
  <conditionalFormatting sqref="BJ60:BJ68">
    <cfRule type="containsText" dxfId="331" priority="69" operator="containsText" text="T">
      <formula>NOT(ISERROR(SEARCH("T",BJ60)))</formula>
    </cfRule>
  </conditionalFormatting>
  <conditionalFormatting sqref="BJ69:BJ71">
    <cfRule type="containsText" dxfId="330" priority="338" operator="containsText" text="T">
      <formula>NOT(ISERROR(SEARCH("T",BJ69)))</formula>
    </cfRule>
  </conditionalFormatting>
  <conditionalFormatting sqref="BJ99:BJ102 BN99:BP102">
    <cfRule type="containsText" dxfId="329" priority="326" operator="containsText" text="T">
      <formula>NOT(ISERROR(SEARCH("T",BJ99)))</formula>
    </cfRule>
  </conditionalFormatting>
  <conditionalFormatting sqref="BJ103:BJ104">
    <cfRule type="containsText" dxfId="328" priority="368" operator="containsText" text="T">
      <formula>NOT(ISERROR(SEARCH("T",BJ103)))</formula>
    </cfRule>
  </conditionalFormatting>
  <conditionalFormatting sqref="BJ105 BN105:BP105">
    <cfRule type="containsText" dxfId="327" priority="316" operator="containsText" text="T">
      <formula>NOT(ISERROR(SEARCH("T",BJ105)))</formula>
    </cfRule>
  </conditionalFormatting>
  <conditionalFormatting sqref="BJ121">
    <cfRule type="containsText" dxfId="326" priority="358" operator="containsText" text="T">
      <formula>NOT(ISERROR(SEARCH("T",BJ121)))</formula>
    </cfRule>
  </conditionalFormatting>
  <conditionalFormatting sqref="BJ123">
    <cfRule type="containsText" dxfId="325" priority="348" operator="containsText" text="T">
      <formula>NOT(ISERROR(SEARCH("T",BJ123)))</formula>
    </cfRule>
  </conditionalFormatting>
  <conditionalFormatting sqref="BJ159:BJ165">
    <cfRule type="containsText" dxfId="324" priority="249" operator="containsText" text="17">
      <formula>NOT(ISERROR(SEARCH("17",BJ159)))</formula>
    </cfRule>
    <cfRule type="containsText" dxfId="323" priority="250" operator="containsText" text="T">
      <formula>NOT(ISERROR(SEARCH("T",BJ159)))</formula>
    </cfRule>
  </conditionalFormatting>
  <conditionalFormatting sqref="BJ199 BI206">
    <cfRule type="containsText" dxfId="322" priority="5048" operator="containsText" text="17">
      <formula>NOT(ISERROR(SEARCH("17",BI199)))</formula>
    </cfRule>
    <cfRule type="containsText" dxfId="321" priority="5049" operator="containsText" text="T">
      <formula>NOT(ISERROR(SEARCH("T",BI199)))</formula>
    </cfRule>
  </conditionalFormatting>
  <conditionalFormatting sqref="BJ99:BK102 BN99:BP102">
    <cfRule type="containsText" dxfId="320" priority="327" operator="containsText" text="17">
      <formula>NOT(ISERROR(SEARCH("17",BJ99)))</formula>
    </cfRule>
  </conditionalFormatting>
  <conditionalFormatting sqref="BJ105:BK105 BN105:CJ105">
    <cfRule type="containsText" dxfId="319" priority="317" operator="containsText" text="17">
      <formula>NOT(ISERROR(SEARCH("17",BJ105)))</formula>
    </cfRule>
  </conditionalFormatting>
  <conditionalFormatting sqref="BJ228:BN231 BK232:BN234">
    <cfRule type="containsText" dxfId="318" priority="5687" operator="containsText" text="T">
      <formula>NOT(ISERROR(SEARCH("T",BJ228)))</formula>
    </cfRule>
    <cfRule type="containsText" dxfId="317" priority="5690" operator="containsText" text="17">
      <formula>NOT(ISERROR(SEARCH("17",BJ228)))</formula>
    </cfRule>
    <cfRule type="containsText" dxfId="316" priority="5691" operator="containsText" text="T">
      <formula>NOT(ISERROR(SEARCH("T",BJ228)))</formula>
    </cfRule>
  </conditionalFormatting>
  <conditionalFormatting sqref="BJ228:BN231">
    <cfRule type="containsText" dxfId="315" priority="5686" operator="containsText" text="17">
      <formula>NOT(ISERROR(SEARCH("17",BJ228)))</formula>
    </cfRule>
  </conditionalFormatting>
  <conditionalFormatting sqref="BJ207:BP213">
    <cfRule type="containsText" dxfId="314" priority="242" operator="containsText" text="17">
      <formula>NOT(ISERROR(SEARCH("17",BJ207)))</formula>
    </cfRule>
  </conditionalFormatting>
  <conditionalFormatting sqref="BJ60:CD66 CG60:CG66">
    <cfRule type="containsText" dxfId="313" priority="66" operator="containsText" text="T">
      <formula>NOT(ISERROR(SEARCH("T",BJ60)))</formula>
    </cfRule>
  </conditionalFormatting>
  <conditionalFormatting sqref="BJ60:CD66">
    <cfRule type="containsText" dxfId="312" priority="68" operator="containsText" text="17">
      <formula>NOT(ISERROR(SEARCH("17",BJ60)))</formula>
    </cfRule>
  </conditionalFormatting>
  <conditionalFormatting sqref="BK67:BK68">
    <cfRule type="containsText" dxfId="311" priority="308" operator="containsText" text="T">
      <formula>NOT(ISERROR(SEARCH("T",BK67)))</formula>
    </cfRule>
  </conditionalFormatting>
  <conditionalFormatting sqref="BK85:BK89">
    <cfRule type="containsText" dxfId="310" priority="1010" operator="containsText" text="17">
      <formula>NOT(ISERROR(SEARCH("17",BK85)))</formula>
    </cfRule>
  </conditionalFormatting>
  <conditionalFormatting sqref="BK90:BK98">
    <cfRule type="containsText" dxfId="309" priority="64" operator="containsText" text="T">
      <formula>NOT(ISERROR(SEARCH("T",BK90)))</formula>
    </cfRule>
  </conditionalFormatting>
  <conditionalFormatting sqref="BK99:BK102">
    <cfRule type="containsText" dxfId="308" priority="328" operator="containsText" text="T">
      <formula>NOT(ISERROR(SEARCH("T",BK99)))</formula>
    </cfRule>
  </conditionalFormatting>
  <conditionalFormatting sqref="BK105">
    <cfRule type="containsText" dxfId="307" priority="318" operator="containsText" text="T">
      <formula>NOT(ISERROR(SEARCH("T",BK105)))</formula>
    </cfRule>
  </conditionalFormatting>
  <conditionalFormatting sqref="BK131:BK137 BO131:BQ137">
    <cfRule type="containsText" dxfId="306" priority="286" operator="containsText" text="T">
      <formula>NOT(ISERROR(SEARCH("T",BK131)))</formula>
    </cfRule>
  </conditionalFormatting>
  <conditionalFormatting sqref="BK199 BJ206">
    <cfRule type="containsText" dxfId="305" priority="5064" operator="containsText" text="17">
      <formula>NOT(ISERROR(SEARCH("17",BJ199)))</formula>
    </cfRule>
    <cfRule type="containsText" dxfId="304" priority="5065" operator="containsText" text="T">
      <formula>NOT(ISERROR(SEARCH("T",BJ199)))</formula>
    </cfRule>
  </conditionalFormatting>
  <conditionalFormatting sqref="BK207:BK213">
    <cfRule type="containsText" dxfId="303" priority="239" operator="containsText" text="17">
      <formula>NOT(ISERROR(SEARCH("17",BK207)))</formula>
    </cfRule>
    <cfRule type="containsText" dxfId="302" priority="240" operator="containsText" text="T">
      <formula>NOT(ISERROR(SEARCH("T",BK207)))</formula>
    </cfRule>
  </conditionalFormatting>
  <conditionalFormatting sqref="BK217:BK223 BL224:BL230">
    <cfRule type="containsText" dxfId="301" priority="5614" operator="containsText" text="17">
      <formula>NOT(ISERROR(SEARCH("17",BK217)))</formula>
    </cfRule>
    <cfRule type="containsText" dxfId="300" priority="5615" operator="containsText" text="T">
      <formula>NOT(ISERROR(SEARCH("T",BK217)))</formula>
    </cfRule>
  </conditionalFormatting>
  <conditionalFormatting sqref="BK131:BL137 BO131:BQ137">
    <cfRule type="containsText" dxfId="299" priority="287" operator="containsText" text="17">
      <formula>NOT(ISERROR(SEARCH("17",BK131)))</formula>
    </cfRule>
  </conditionalFormatting>
  <conditionalFormatting sqref="BK217:BL217">
    <cfRule type="containsText" dxfId="298" priority="5312" operator="containsText" text="17">
      <formula>NOT(ISERROR(SEARCH("17",BK217)))</formula>
    </cfRule>
    <cfRule type="containsText" dxfId="297" priority="5313" operator="containsText" text="T">
      <formula>NOT(ISERROR(SEARCH("T",BK217)))</formula>
    </cfRule>
  </conditionalFormatting>
  <conditionalFormatting sqref="BK218:BL220 BK221:BM223">
    <cfRule type="containsText" dxfId="296" priority="5620" operator="containsText" text="17">
      <formula>NOT(ISERROR(SEARCH("17",BK218)))</formula>
    </cfRule>
    <cfRule type="containsText" dxfId="295" priority="5621" operator="containsText" text="T">
      <formula>NOT(ISERROR(SEARCH("T",BK218)))</formula>
    </cfRule>
  </conditionalFormatting>
  <conditionalFormatting sqref="BK200:BQ206">
    <cfRule type="containsText" dxfId="294" priority="229" operator="containsText" text="17">
      <formula>NOT(ISERROR(SEARCH("17",BK200)))</formula>
    </cfRule>
    <cfRule type="containsText" dxfId="293" priority="230" operator="containsText" text="T">
      <formula>NOT(ISERROR(SEARCH("T",BK200)))</formula>
    </cfRule>
  </conditionalFormatting>
  <conditionalFormatting sqref="BK90:CE96 CH90:CH96">
    <cfRule type="containsText" dxfId="292" priority="61" operator="containsText" text="T">
      <formula>NOT(ISERROR(SEARCH("T",BK90)))</formula>
    </cfRule>
  </conditionalFormatting>
  <conditionalFormatting sqref="BK90:CE96">
    <cfRule type="containsText" dxfId="291" priority="63" operator="containsText" text="17">
      <formula>NOT(ISERROR(SEARCH("17",BK90)))</formula>
    </cfRule>
  </conditionalFormatting>
  <conditionalFormatting sqref="BL79">
    <cfRule type="containsText" dxfId="290" priority="3868" operator="containsText" text="17">
      <formula>NOT(ISERROR(SEARCH("17",BL79)))</formula>
    </cfRule>
    <cfRule type="containsText" dxfId="289" priority="3869" operator="containsText" text="T">
      <formula>NOT(ISERROR(SEARCH("T",BL79)))</formula>
    </cfRule>
  </conditionalFormatting>
  <conditionalFormatting sqref="BL83:BL89">
    <cfRule type="containsText" dxfId="288" priority="59" operator="containsText" text="T">
      <formula>NOT(ISERROR(SEARCH("T",BL83)))</formula>
    </cfRule>
  </conditionalFormatting>
  <conditionalFormatting sqref="BL97:BL98">
    <cfRule type="containsText" dxfId="287" priority="298" operator="containsText" text="T">
      <formula>NOT(ISERROR(SEARCH("T",BL97)))</formula>
    </cfRule>
  </conditionalFormatting>
  <conditionalFormatting sqref="BL131:BL137">
    <cfRule type="containsText" dxfId="286" priority="288" operator="containsText" text="T">
      <formula>NOT(ISERROR(SEARCH("T",BL131)))</formula>
    </cfRule>
  </conditionalFormatting>
  <conditionalFormatting sqref="BL138:BL144 BP138:BR144">
    <cfRule type="containsText" dxfId="285" priority="276" operator="containsText" text="T">
      <formula>NOT(ISERROR(SEARCH("T",BL138)))</formula>
    </cfRule>
  </conditionalFormatting>
  <conditionalFormatting sqref="BL200:BL206">
    <cfRule type="containsText" dxfId="284" priority="227" operator="containsText" text="17">
      <formula>NOT(ISERROR(SEARCH("17",BL200)))</formula>
    </cfRule>
    <cfRule type="containsText" dxfId="283" priority="228" operator="containsText" text="T">
      <formula>NOT(ISERROR(SEARCH("T",BL200)))</formula>
    </cfRule>
  </conditionalFormatting>
  <conditionalFormatting sqref="BL217">
    <cfRule type="containsText" dxfId="282" priority="5314" operator="containsText" text="17">
      <formula>NOT(ISERROR(SEARCH("17",BL217)))</formula>
    </cfRule>
    <cfRule type="containsText" dxfId="281" priority="5315" operator="containsText" text="T">
      <formula>NOT(ISERROR(SEARCH("T",BL217)))</formula>
    </cfRule>
  </conditionalFormatting>
  <conditionalFormatting sqref="BL218:BL220 BL221:BM223 BM224:BM227 BM228:BN230">
    <cfRule type="containsText" dxfId="280" priority="5626" operator="containsText" text="17">
      <formula>NOT(ISERROR(SEARCH("17",BL218)))</formula>
    </cfRule>
  </conditionalFormatting>
  <conditionalFormatting sqref="BL138:BM144 BP138:BR144">
    <cfRule type="containsText" dxfId="279" priority="277" operator="containsText" text="17">
      <formula>NOT(ISERROR(SEARCH("17",BL138)))</formula>
    </cfRule>
  </conditionalFormatting>
  <conditionalFormatting sqref="BL199:BM199 BK206:BL206">
    <cfRule type="containsText" dxfId="278" priority="2139" operator="containsText" text="17">
      <formula>NOT(ISERROR(SEARCH("17",BK199)))</formula>
    </cfRule>
    <cfRule type="containsText" dxfId="277" priority="2140" operator="containsText" text="T">
      <formula>NOT(ISERROR(SEARCH("T",BK199)))</formula>
    </cfRule>
  </conditionalFormatting>
  <conditionalFormatting sqref="BL224:BM227 BL228:BN230">
    <cfRule type="containsText" dxfId="276" priority="5618" operator="containsText" text="17">
      <formula>NOT(ISERROR(SEARCH("17",BL224)))</formula>
    </cfRule>
    <cfRule type="containsText" dxfId="275" priority="5619" operator="containsText" text="T">
      <formula>NOT(ISERROR(SEARCH("T",BL224)))</formula>
    </cfRule>
  </conditionalFormatting>
  <conditionalFormatting sqref="BL192:BR199">
    <cfRule type="containsText" dxfId="274" priority="212" operator="containsText" text="17">
      <formula>NOT(ISERROR(SEARCH("17",BL192)))</formula>
    </cfRule>
  </conditionalFormatting>
  <conditionalFormatting sqref="BL83:CF89 CI83:CI89">
    <cfRule type="containsText" dxfId="273" priority="56" operator="containsText" text="T">
      <formula>NOT(ISERROR(SEARCH("T",BL83)))</formula>
    </cfRule>
  </conditionalFormatting>
  <conditionalFormatting sqref="BL83:CF89">
    <cfRule type="containsText" dxfId="272" priority="58" operator="containsText" text="17">
      <formula>NOT(ISERROR(SEARCH("17",BL83)))</formula>
    </cfRule>
  </conditionalFormatting>
  <conditionalFormatting sqref="BM138:BM144">
    <cfRule type="containsText" dxfId="271" priority="278" operator="containsText" text="T">
      <formula>NOT(ISERROR(SEARCH("T",BM138)))</formula>
    </cfRule>
  </conditionalFormatting>
  <conditionalFormatting sqref="BM145:BM151 BQ145:BS151">
    <cfRule type="containsText" dxfId="270" priority="266" operator="containsText" text="T">
      <formula>NOT(ISERROR(SEARCH("T",BM145)))</formula>
    </cfRule>
  </conditionalFormatting>
  <conditionalFormatting sqref="BM192:BM199">
    <cfRule type="containsText" dxfId="269" priority="210" operator="containsText" text="17">
      <formula>NOT(ISERROR(SEARCH("17",BM192)))</formula>
    </cfRule>
    <cfRule type="containsText" dxfId="268" priority="211" operator="containsText" text="T">
      <formula>NOT(ISERROR(SEARCH("T",BM192)))</formula>
    </cfRule>
  </conditionalFormatting>
  <conditionalFormatting sqref="BM214:BM220">
    <cfRule type="containsText" dxfId="267" priority="54" operator="containsText" text="T">
      <formula>NOT(ISERROR(SEARCH("T",BM214)))</formula>
    </cfRule>
  </conditionalFormatting>
  <conditionalFormatting sqref="BM145:BN151 BQ145:BS151">
    <cfRule type="containsText" dxfId="266" priority="267" operator="containsText" text="17">
      <formula>NOT(ISERROR(SEARCH("17",BM145)))</formula>
    </cfRule>
  </conditionalFormatting>
  <conditionalFormatting sqref="BM168:BS174">
    <cfRule type="containsText" dxfId="265" priority="188" operator="containsText" text="17">
      <formula>NOT(ISERROR(SEARCH("17",BM168)))</formula>
    </cfRule>
    <cfRule type="containsText" dxfId="264" priority="189" operator="containsText" text="T">
      <formula>NOT(ISERROR(SEARCH("T",BM168)))</formula>
    </cfRule>
  </conditionalFormatting>
  <conditionalFormatting sqref="BM214:CG220 CJ214:CJ220">
    <cfRule type="containsText" dxfId="263" priority="51" operator="containsText" text="T">
      <formula>NOT(ISERROR(SEARCH("T",BM214)))</formula>
    </cfRule>
  </conditionalFormatting>
  <conditionalFormatting sqref="BM214:CG220">
    <cfRule type="containsText" dxfId="262" priority="53" operator="containsText" text="17">
      <formula>NOT(ISERROR(SEARCH("17",BM214)))</formula>
    </cfRule>
  </conditionalFormatting>
  <conditionalFormatting sqref="BM79:CJ82 CJ83:CJ84">
    <cfRule type="containsText" dxfId="261" priority="1015" operator="containsText" text="17">
      <formula>NOT(ISERROR(SEARCH("17",BM79)))</formula>
    </cfRule>
  </conditionalFormatting>
  <conditionalFormatting sqref="BN145:BN151">
    <cfRule type="containsText" dxfId="260" priority="268" operator="containsText" text="T">
      <formula>NOT(ISERROR(SEARCH("T",BN145)))</formula>
    </cfRule>
  </conditionalFormatting>
  <conditionalFormatting sqref="BN152:BN158 BR152:BT158">
    <cfRule type="containsText" dxfId="259" priority="256" operator="containsText" text="T">
      <formula>NOT(ISERROR(SEARCH("T",BN152)))</formula>
    </cfRule>
  </conditionalFormatting>
  <conditionalFormatting sqref="BN168:BN174">
    <cfRule type="containsText" dxfId="258" priority="186" operator="containsText" text="17">
      <formula>NOT(ISERROR(SEARCH("17",BN168)))</formula>
    </cfRule>
    <cfRule type="containsText" dxfId="257" priority="187" operator="containsText" text="T">
      <formula>NOT(ISERROR(SEARCH("T",BN168)))</formula>
    </cfRule>
  </conditionalFormatting>
  <conditionalFormatting sqref="BN221:BN227">
    <cfRule type="containsText" dxfId="256" priority="49" operator="containsText" text="T">
      <formula>NOT(ISERROR(SEARCH("T",BN221)))</formula>
    </cfRule>
  </conditionalFormatting>
  <conditionalFormatting sqref="BN152:BO158 BR152:BT158">
    <cfRule type="containsText" dxfId="255" priority="257" operator="containsText" text="17">
      <formula>NOT(ISERROR(SEARCH("17",BN152)))</formula>
    </cfRule>
  </conditionalFormatting>
  <conditionalFormatting sqref="BN67:BP68 BJ67:BK68">
    <cfRule type="containsText" dxfId="254" priority="307" operator="containsText" text="17">
      <formula>NOT(ISERROR(SEARCH("17",BJ67)))</formula>
    </cfRule>
  </conditionalFormatting>
  <conditionalFormatting sqref="BN67:BP68">
    <cfRule type="containsText" dxfId="253" priority="306" operator="containsText" text="T">
      <formula>NOT(ISERROR(SEARCH("T",BN67)))</formula>
    </cfRule>
  </conditionalFormatting>
  <conditionalFormatting sqref="BN175:BT181">
    <cfRule type="containsText" dxfId="252" priority="164" operator="containsText" text="17">
      <formula>NOT(ISERROR(SEARCH("17",BN175)))</formula>
    </cfRule>
    <cfRule type="containsText" dxfId="251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50" priority="918" operator="containsText" text="T">
      <formula>NOT(ISERROR(SEARCH("T",BM192)))</formula>
    </cfRule>
  </conditionalFormatting>
  <conditionalFormatting sqref="BN221:CH227 CK221:CK227">
    <cfRule type="containsText" dxfId="249" priority="46" operator="containsText" text="T">
      <formula>NOT(ISERROR(SEARCH("T",BN221)))</formula>
    </cfRule>
  </conditionalFormatting>
  <conditionalFormatting sqref="BN221:CH227">
    <cfRule type="containsText" dxfId="248" priority="48" operator="containsText" text="17">
      <formula>NOT(ISERROR(SEARCH("17",BN221)))</formula>
    </cfRule>
  </conditionalFormatting>
  <conditionalFormatting sqref="BN107:CJ109">
    <cfRule type="containsText" dxfId="247" priority="993" operator="containsText" text="17">
      <formula>NOT(ISERROR(SEARCH("17",BN107)))</formula>
    </cfRule>
  </conditionalFormatting>
  <conditionalFormatting sqref="BN111:CJ112 BM113:BP115">
    <cfRule type="containsText" dxfId="246" priority="987" operator="containsText" text="17">
      <formula>NOT(ISERROR(SEARCH("17",BM111)))</formula>
    </cfRule>
  </conditionalFormatting>
  <conditionalFormatting sqref="BO152:BO158">
    <cfRule type="containsText" dxfId="245" priority="258" operator="containsText" text="T">
      <formula>NOT(ISERROR(SEARCH("T",BO152)))</formula>
    </cfRule>
  </conditionalFormatting>
  <conditionalFormatting sqref="BO159:BO165 BS159:BU165">
    <cfRule type="containsText" dxfId="244" priority="246" operator="containsText" text="T">
      <formula>NOT(ISERROR(SEARCH("T",BO159)))</formula>
    </cfRule>
  </conditionalFormatting>
  <conditionalFormatting sqref="BO175:BO181">
    <cfRule type="containsText" dxfId="243" priority="162" operator="containsText" text="17">
      <formula>NOT(ISERROR(SEARCH("17",BO175)))</formula>
    </cfRule>
    <cfRule type="containsText" dxfId="242" priority="163" operator="containsText" text="T">
      <formula>NOT(ISERROR(SEARCH("T",BO175)))</formula>
    </cfRule>
  </conditionalFormatting>
  <conditionalFormatting sqref="BO228:BO234">
    <cfRule type="containsText" dxfId="241" priority="44" operator="containsText" text="T">
      <formula>NOT(ISERROR(SEARCH("T",BO228)))</formula>
    </cfRule>
  </conditionalFormatting>
  <conditionalFormatting sqref="BO118:BP119">
    <cfRule type="containsText" dxfId="240" priority="982" operator="containsText" text="17">
      <formula>NOT(ISERROR(SEARCH("17",BO118)))</formula>
    </cfRule>
  </conditionalFormatting>
  <conditionalFormatting sqref="BO159:BP165 BS159:BU165">
    <cfRule type="containsText" dxfId="239" priority="247" operator="containsText" text="17">
      <formula>NOT(ISERROR(SEARCH("17",BO159)))</formula>
    </cfRule>
  </conditionalFormatting>
  <conditionalFormatting sqref="BO182:BU188">
    <cfRule type="containsText" dxfId="238" priority="140" operator="containsText" text="17">
      <formula>NOT(ISERROR(SEARCH("17",BO182)))</formula>
    </cfRule>
    <cfRule type="containsText" dxfId="237" priority="141" operator="containsText" text="T">
      <formula>NOT(ISERROR(SEARCH("T",BO182)))</formula>
    </cfRule>
  </conditionalFormatting>
  <conditionalFormatting sqref="BO228:CI234 CL228:CL234">
    <cfRule type="containsText" dxfId="236" priority="41" operator="containsText" text="T">
      <formula>NOT(ISERROR(SEARCH("T",BO228)))</formula>
    </cfRule>
  </conditionalFormatting>
  <conditionalFormatting sqref="BO228:CI234">
    <cfRule type="containsText" dxfId="235" priority="43" operator="containsText" text="17">
      <formula>NOT(ISERROR(SEARCH("17",BO228)))</formula>
    </cfRule>
  </conditionalFormatting>
  <conditionalFormatting sqref="BO73:CK75 BN76:CK77 CK78">
    <cfRule type="containsText" dxfId="234" priority="1021" operator="containsText" text="17">
      <formula>NOT(ISERROR(SEARCH("17",BN73)))</formula>
    </cfRule>
  </conditionalFormatting>
  <conditionalFormatting sqref="BO97:CP98 BK97:BL98">
    <cfRule type="containsText" dxfId="233" priority="297" operator="containsText" text="17">
      <formula>NOT(ISERROR(SEARCH("17",BK97)))</formula>
    </cfRule>
  </conditionalFormatting>
  <conditionalFormatting sqref="BO97:CP98">
    <cfRule type="containsText" dxfId="232" priority="296" operator="containsText" text="T">
      <formula>NOT(ISERROR(SEARCH("T",BO97)))</formula>
    </cfRule>
  </conditionalFormatting>
  <conditionalFormatting sqref="BP159:BP165">
    <cfRule type="containsText" dxfId="231" priority="248" operator="containsText" text="T">
      <formula>NOT(ISERROR(SEARCH("T",BP159)))</formula>
    </cfRule>
  </conditionalFormatting>
  <conditionalFormatting sqref="BP182:BP188">
    <cfRule type="containsText" dxfId="230" priority="138" operator="containsText" text="17">
      <formula>NOT(ISERROR(SEARCH("17",BP182)))</formula>
    </cfRule>
    <cfRule type="containsText" dxfId="229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228" priority="920" operator="containsText" text="T">
      <formula>NOT(ISERROR(SEARCH("T",BM192)))</formula>
    </cfRule>
  </conditionalFormatting>
  <conditionalFormatting sqref="BP200:BP213">
    <cfRule type="containsText" dxfId="227" priority="233" operator="containsText" text="T">
      <formula>NOT(ISERROR(SEARCH("T",BP200)))</formula>
    </cfRule>
  </conditionalFormatting>
  <conditionalFormatting sqref="BP207:BQ213">
    <cfRule type="containsText" dxfId="226" priority="237" operator="containsText" text="17">
      <formula>NOT(ISERROR(SEARCH("17",BP207)))</formula>
    </cfRule>
  </conditionalFormatting>
  <conditionalFormatting sqref="BP194:BT194 BM195:BS195 BO196:BT198">
    <cfRule type="containsText" dxfId="225" priority="919" operator="containsText" text="17">
      <formula>NOT(ISERROR(SEARCH("17",BM194)))</formula>
    </cfRule>
  </conditionalFormatting>
  <conditionalFormatting sqref="BP14:BV14">
    <cfRule type="containsText" dxfId="224" priority="131" operator="containsText" text="17">
      <formula>NOT(ISERROR(SEARCH("17",BP14)))</formula>
    </cfRule>
    <cfRule type="containsText" dxfId="223" priority="132" operator="containsText" text="T">
      <formula>NOT(ISERROR(SEARCH("T",BP14)))</formula>
    </cfRule>
  </conditionalFormatting>
  <conditionalFormatting sqref="BP189:BV190">
    <cfRule type="containsText" dxfId="222" priority="924" operator="containsText" text="T">
      <formula>NOT(ISERROR(SEARCH("T",BP189)))</formula>
    </cfRule>
  </conditionalFormatting>
  <conditionalFormatting sqref="BP120:BZ126">
    <cfRule type="containsText" dxfId="221" priority="21" operator="containsText" text="17">
      <formula>NOT(ISERROR(SEARCH("17",BP120)))</formula>
    </cfRule>
  </conditionalFormatting>
  <conditionalFormatting sqref="BP80:CB82">
    <cfRule type="containsText" dxfId="220" priority="1016" operator="containsText" text="17">
      <formula>NOT(ISERROR(SEARCH("17",BP80)))</formula>
    </cfRule>
  </conditionalFormatting>
  <conditionalFormatting sqref="BP106:CB109">
    <cfRule type="containsText" dxfId="219" priority="994" operator="containsText" text="17">
      <formula>NOT(ISERROR(SEARCH("17",BP106)))</formula>
    </cfRule>
  </conditionalFormatting>
  <conditionalFormatting sqref="BP112:CB112">
    <cfRule type="containsText" dxfId="218" priority="988" operator="containsText" text="17">
      <formula>NOT(ISERROR(SEARCH("17",BP112)))</formula>
    </cfRule>
  </conditionalFormatting>
  <conditionalFormatting sqref="BP120:CM126">
    <cfRule type="containsText" dxfId="217" priority="30" operator="containsText" text="T">
      <formula>NOT(ISERROR(SEARCH("T",BP120)))</formula>
    </cfRule>
    <cfRule type="containsText" dxfId="216" priority="32" operator="containsText" text="17">
      <formula>NOT(ISERROR(SEARCH("17",BP120)))</formula>
    </cfRule>
  </conditionalFormatting>
  <conditionalFormatting sqref="BP120:CP126">
    <cfRule type="containsText" dxfId="215" priority="33" operator="containsText" text="T">
      <formula>NOT(ISERROR(SEARCH("T",BP120)))</formula>
    </cfRule>
    <cfRule type="containsText" dxfId="214" priority="40" operator="containsText" text="17">
      <formula>NOT(ISERROR(SEARCH("17",BP120)))</formula>
    </cfRule>
  </conditionalFormatting>
  <conditionalFormatting sqref="BQ14">
    <cfRule type="containsText" dxfId="213" priority="127" operator="containsText" text="17">
      <formula>NOT(ISERROR(SEARCH("17",BQ14)))</formula>
    </cfRule>
    <cfRule type="containsText" dxfId="212" priority="128" operator="containsText" text="T">
      <formula>NOT(ISERROR(SEARCH("T",BQ14)))</formula>
    </cfRule>
  </conditionalFormatting>
  <conditionalFormatting sqref="BQ192:BQ206">
    <cfRule type="containsText" dxfId="211" priority="216" operator="containsText" text="T">
      <formula>NOT(ISERROR(SEARCH("T",BQ192)))</formula>
    </cfRule>
  </conditionalFormatting>
  <conditionalFormatting sqref="BQ207:BQ213">
    <cfRule type="containsText" dxfId="210" priority="238" operator="containsText" text="T">
      <formula>NOT(ISERROR(SEARCH("T",BQ207)))</formula>
    </cfRule>
  </conditionalFormatting>
  <conditionalFormatting sqref="BQ200:BR206">
    <cfRule type="containsText" dxfId="209" priority="225" operator="containsText" text="17">
      <formula>NOT(ISERROR(SEARCH("17",BQ200)))</formula>
    </cfRule>
  </conditionalFormatting>
  <conditionalFormatting sqref="BQ34:BW34">
    <cfRule type="containsText" dxfId="208" priority="119" operator="containsText" text="17">
      <formula>NOT(ISERROR(SEARCH("17",BQ34)))</formula>
    </cfRule>
    <cfRule type="containsText" dxfId="207" priority="120" operator="containsText" text="T">
      <formula>NOT(ISERROR(SEARCH("T",BQ34)))</formula>
    </cfRule>
  </conditionalFormatting>
  <conditionalFormatting sqref="BQ113:CA119">
    <cfRule type="containsText" dxfId="206" priority="1" operator="containsText" text="17">
      <formula>NOT(ISERROR(SEARCH("17",BQ113)))</formula>
    </cfRule>
  </conditionalFormatting>
  <conditionalFormatting sqref="BQ100:CB102 BP103:CB103">
    <cfRule type="containsText" dxfId="205" priority="999" operator="containsText" text="17">
      <formula>NOT(ISERROR(SEARCH("17",BP100)))</formula>
    </cfRule>
  </conditionalFormatting>
  <conditionalFormatting sqref="BQ113:CN119">
    <cfRule type="containsText" dxfId="204" priority="10" operator="containsText" text="T">
      <formula>NOT(ISERROR(SEARCH("T",BQ113)))</formula>
    </cfRule>
    <cfRule type="containsText" dxfId="203" priority="12" operator="containsText" text="17">
      <formula>NOT(ISERROR(SEARCH("17",BQ113)))</formula>
    </cfRule>
  </conditionalFormatting>
  <conditionalFormatting sqref="BQ113:CP119">
    <cfRule type="containsText" dxfId="202" priority="13" operator="containsText" text="T">
      <formula>NOT(ISERROR(SEARCH("T",BQ113)))</formula>
    </cfRule>
    <cfRule type="containsText" dxfId="201" priority="20" operator="containsText" text="17">
      <formula>NOT(ISERROR(SEARCH("17",BQ113)))</formula>
    </cfRule>
  </conditionalFormatting>
  <conditionalFormatting sqref="BR34">
    <cfRule type="containsText" dxfId="200" priority="115" operator="containsText" text="17">
      <formula>NOT(ISERROR(SEARCH("17",BR34)))</formula>
    </cfRule>
    <cfRule type="containsText" dxfId="199" priority="116" operator="containsText" text="T">
      <formula>NOT(ISERROR(SEARCH("T",BR34)))</formula>
    </cfRule>
  </conditionalFormatting>
  <conditionalFormatting sqref="BR192:BR199">
    <cfRule type="containsText" dxfId="198" priority="207" operator="containsText" text="T">
      <formula>NOT(ISERROR(SEARCH("T",BR192)))</formula>
    </cfRule>
  </conditionalFormatting>
  <conditionalFormatting sqref="BR200:BR206">
    <cfRule type="containsText" dxfId="197" priority="226" operator="containsText" text="T">
      <formula>NOT(ISERROR(SEARCH("T",BR200)))</formula>
    </cfRule>
  </conditionalFormatting>
  <conditionalFormatting sqref="BR50:BS50 BU50:BY50">
    <cfRule type="containsText" dxfId="196" priority="1034" operator="containsText" text="17">
      <formula>NOT(ISERROR(SEARCH("17",BR50)))</formula>
    </cfRule>
    <cfRule type="containsText" dxfId="195" priority="1035" operator="containsText" text="T">
      <formula>NOT(ISERROR(SEARCH("T",BR50)))</formula>
    </cfRule>
  </conditionalFormatting>
  <conditionalFormatting sqref="BR192:BS199">
    <cfRule type="containsText" dxfId="194" priority="208" operator="containsText" text="17">
      <formula>NOT(ISERROR(SEARCH("17",BR192)))</formula>
    </cfRule>
  </conditionalFormatting>
  <conditionalFormatting sqref="BR21:BX21">
    <cfRule type="containsText" dxfId="193" priority="107" operator="containsText" text="17">
      <formula>NOT(ISERROR(SEARCH("17",BR21)))</formula>
    </cfRule>
    <cfRule type="containsText" dxfId="192" priority="108" operator="containsText" text="T">
      <formula>NOT(ISERROR(SEARCH("T",BR21)))</formula>
    </cfRule>
  </conditionalFormatting>
  <conditionalFormatting sqref="BR68:CD71 BQ74:CC77">
    <cfRule type="containsText" dxfId="191" priority="1022" operator="containsText" text="17">
      <formula>NOT(ISERROR(SEARCH("17",BQ68)))</formula>
    </cfRule>
  </conditionalFormatting>
  <conditionalFormatting sqref="BS21">
    <cfRule type="containsText" dxfId="190" priority="103" operator="containsText" text="17">
      <formula>NOT(ISERROR(SEARCH("17",BS21)))</formula>
    </cfRule>
    <cfRule type="containsText" dxfId="189" priority="104" operator="containsText" text="T">
      <formula>NOT(ISERROR(SEARCH("T",BS21)))</formula>
    </cfRule>
  </conditionalFormatting>
  <conditionalFormatting sqref="BS127 BC199 BB206">
    <cfRule type="containsText" dxfId="188" priority="2146" operator="containsText" text="T">
      <formula>NOT(ISERROR(SEARCH("T",BB127)))</formula>
    </cfRule>
  </conditionalFormatting>
  <conditionalFormatting sqref="BS127 BC199:BR199 BB206:BQ206">
    <cfRule type="containsText" dxfId="187" priority="5051" operator="containsText" text="T">
      <formula>NOT(ISERROR(SEARCH("T",BB127)))</formula>
    </cfRule>
  </conditionalFormatting>
  <conditionalFormatting sqref="BS168:BS181">
    <cfRule type="containsText" dxfId="186" priority="168" operator="containsText" text="T">
      <formula>NOT(ISERROR(SEARCH("T",BS168)))</formula>
    </cfRule>
  </conditionalFormatting>
  <conditionalFormatting sqref="BS192:BS199">
    <cfRule type="containsText" dxfId="185" priority="209" operator="containsText" text="T">
      <formula>NOT(ISERROR(SEARCH("T",BS192)))</formula>
    </cfRule>
  </conditionalFormatting>
  <conditionalFormatting sqref="BS168:BT174">
    <cfRule type="containsText" dxfId="184" priority="184" operator="containsText" text="17">
      <formula>NOT(ISERROR(SEARCH("17",BS168)))</formula>
    </cfRule>
  </conditionalFormatting>
  <conditionalFormatting sqref="BS199:BT199 BR206:BS206">
    <cfRule type="containsText" dxfId="183" priority="2149" operator="containsText" text="17">
      <formula>NOT(ISERROR(SEARCH("17",BR199)))</formula>
    </cfRule>
    <cfRule type="containsText" dxfId="182" priority="2150" operator="containsText" text="T">
      <formula>NOT(ISERROR(SEARCH("T",BR199)))</formula>
    </cfRule>
  </conditionalFormatting>
  <conditionalFormatting sqref="BS41:BY41">
    <cfRule type="containsText" dxfId="181" priority="95" operator="containsText" text="17">
      <formula>NOT(ISERROR(SEARCH("17",BS41)))</formula>
    </cfRule>
    <cfRule type="containsText" dxfId="180" priority="96" operator="containsText" text="T">
      <formula>NOT(ISERROR(SEARCH("T",BS41)))</formula>
    </cfRule>
  </conditionalFormatting>
  <conditionalFormatting sqref="BT41">
    <cfRule type="containsText" dxfId="179" priority="91" operator="containsText" text="17">
      <formula>NOT(ISERROR(SEARCH("17",BT41)))</formula>
    </cfRule>
    <cfRule type="containsText" dxfId="178" priority="92" operator="containsText" text="T">
      <formula>NOT(ISERROR(SEARCH("T",BT41)))</formula>
    </cfRule>
  </conditionalFormatting>
  <conditionalFormatting sqref="BT50:BT52 BZ50:BZ52 BU51:BY52">
    <cfRule type="containsText" dxfId="177" priority="8559" operator="containsText" text="17">
      <formula>NOT(ISERROR(SEARCH("17",BT50)))</formula>
    </cfRule>
    <cfRule type="containsText" dxfId="176" priority="8560" operator="containsText" text="T">
      <formula>NOT(ISERROR(SEARCH("T",BT50)))</formula>
    </cfRule>
  </conditionalFormatting>
  <conditionalFormatting sqref="BT145:BT148">
    <cfRule type="containsText" dxfId="175" priority="1589" operator="containsText" text="17">
      <formula>NOT(ISERROR(SEARCH("17",BT145)))</formula>
    </cfRule>
    <cfRule type="containsText" dxfId="174" priority="1590" operator="containsText" text="T">
      <formula>NOT(ISERROR(SEARCH("T",BT145)))</formula>
    </cfRule>
    <cfRule type="containsText" dxfId="173" priority="8534" operator="containsText" text="T">
      <formula>NOT(ISERROR(SEARCH("T",BT145)))</formula>
    </cfRule>
  </conditionalFormatting>
  <conditionalFormatting sqref="BT168:BT174">
    <cfRule type="containsText" dxfId="172" priority="185" operator="containsText" text="T">
      <formula>NOT(ISERROR(SEARCH("T",BT168)))</formula>
    </cfRule>
  </conditionalFormatting>
  <conditionalFormatting sqref="BT175:BT188">
    <cfRule type="containsText" dxfId="171" priority="144" operator="containsText" text="T">
      <formula>NOT(ISERROR(SEARCH("T",BT175)))</formula>
    </cfRule>
  </conditionalFormatting>
  <conditionalFormatting sqref="BT175:BU181">
    <cfRule type="containsText" dxfId="170" priority="160" operator="containsText" text="17">
      <formula>NOT(ISERROR(SEARCH("17",BT175)))</formula>
    </cfRule>
  </conditionalFormatting>
  <conditionalFormatting sqref="BT139:CQ144">
    <cfRule type="containsText" dxfId="169" priority="965" operator="containsText" text="17">
      <formula>NOT(ISERROR(SEARCH("17",BT139)))</formula>
    </cfRule>
    <cfRule type="containsText" dxfId="168" priority="968" operator="containsText" text="T">
      <formula>NOT(ISERROR(SEARCH("T",BT139)))</formula>
    </cfRule>
  </conditionalFormatting>
  <conditionalFormatting sqref="BU175:BU181">
    <cfRule type="containsText" dxfId="167" priority="161" operator="containsText" text="T">
      <formula>NOT(ISERROR(SEARCH("T",BU175)))</formula>
    </cfRule>
  </conditionalFormatting>
  <conditionalFormatting sqref="BU182:BU188">
    <cfRule type="containsText" dxfId="166" priority="135" operator="containsText" text="T">
      <formula>NOT(ISERROR(SEARCH("T",BU182)))</formula>
    </cfRule>
  </conditionalFormatting>
  <conditionalFormatting sqref="BU200:BU202 AX210:AX211">
    <cfRule type="containsText" dxfId="165" priority="8520" operator="containsText" text="T">
      <formula>NOT(ISERROR(SEARCH("T",AX200)))</formula>
    </cfRule>
  </conditionalFormatting>
  <conditionalFormatting sqref="BU200:BU202 AY190 AX191:BH191 BK191 BO191:BS191">
    <cfRule type="containsText" dxfId="164" priority="8513" operator="containsText" text="17">
      <formula>NOT(ISERROR(SEARCH("17",AX190)))</formula>
    </cfRule>
  </conditionalFormatting>
  <conditionalFormatting sqref="BU182:BV188">
    <cfRule type="containsText" dxfId="163" priority="136" operator="containsText" text="17">
      <formula>NOT(ISERROR(SEARCH("17",BU182)))</formula>
    </cfRule>
  </conditionalFormatting>
  <conditionalFormatting sqref="BU200:BW206">
    <cfRule type="containsText" dxfId="162" priority="231" operator="containsText" text="17">
      <formula>NOT(ISERROR(SEARCH("17",BU200)))</formula>
    </cfRule>
  </conditionalFormatting>
  <conditionalFormatting sqref="BU153:CQ158">
    <cfRule type="containsText" dxfId="161" priority="952" operator="containsText" text="17">
      <formula>NOT(ISERROR(SEARCH("17",BU153)))</formula>
    </cfRule>
    <cfRule type="containsText" dxfId="160" priority="955" operator="containsText" text="T">
      <formula>NOT(ISERROR(SEARCH("T",BU153)))</formula>
    </cfRule>
  </conditionalFormatting>
  <conditionalFormatting sqref="BU146:CR151 BV160:CQ165">
    <cfRule type="containsText" dxfId="159" priority="8367" operator="containsText" text="17">
      <formula>NOT(ISERROR(SEARCH("17",BU146)))</formula>
    </cfRule>
  </conditionalFormatting>
  <conditionalFormatting sqref="BU146:CR151">
    <cfRule type="containsText" dxfId="158" priority="964" operator="containsText" text="T">
      <formula>NOT(ISERROR(SEARCH("T",BU146)))</formula>
    </cfRule>
  </conditionalFormatting>
  <conditionalFormatting sqref="BV14 BZ14:CB14 BE15:BY20 CB15:CB20">
    <cfRule type="containsText" dxfId="157" priority="124" operator="containsText" text="T">
      <formula>NOT(ISERROR(SEARCH("T",BE14)))</formula>
    </cfRule>
  </conditionalFormatting>
  <conditionalFormatting sqref="BV182:BV188">
    <cfRule type="containsText" dxfId="156" priority="137" operator="containsText" text="T">
      <formula>NOT(ISERROR(SEARCH("T",BV182)))</formula>
    </cfRule>
  </conditionalFormatting>
  <conditionalFormatting sqref="BV192:BV199">
    <cfRule type="containsText" dxfId="155" priority="217" operator="containsText" text="17">
      <formula>NOT(ISERROR(SEARCH("17",BV192)))</formula>
    </cfRule>
    <cfRule type="containsText" dxfId="154" priority="218" operator="containsText" text="T">
      <formula>NOT(ISERROR(SEARCH("T",BV192)))</formula>
    </cfRule>
    <cfRule type="containsText" dxfId="153" priority="219" operator="containsText" text="17">
      <formula>NOT(ISERROR(SEARCH("17",BV192)))</formula>
    </cfRule>
    <cfRule type="containsText" dxfId="152" priority="220" operator="containsText" text="T">
      <formula>NOT(ISERROR(SEARCH("T",BV192)))</formula>
    </cfRule>
    <cfRule type="containsText" dxfId="151" priority="221" operator="containsText" text="17">
      <formula>NOT(ISERROR(SEARCH("17",BV192)))</formula>
    </cfRule>
  </conditionalFormatting>
  <conditionalFormatting sqref="BV199 BU206">
    <cfRule type="containsText" dxfId="150" priority="2147" operator="containsText" text="17">
      <formula>NOT(ISERROR(SEARCH("17",BU199)))</formula>
    </cfRule>
    <cfRule type="containsText" dxfId="149" priority="2148" operator="containsText" text="T">
      <formula>NOT(ISERROR(SEARCH("T",BU199)))</formula>
    </cfRule>
  </conditionalFormatting>
  <conditionalFormatting sqref="BV14:BW14 BZ14:CB14 CB15:CB20">
    <cfRule type="containsText" dxfId="148" priority="125" operator="containsText" text="17">
      <formula>NOT(ISERROR(SEARCH("17",BV14)))</formula>
    </cfRule>
  </conditionalFormatting>
  <conditionalFormatting sqref="BV192:BX199">
    <cfRule type="containsText" dxfId="147" priority="214" operator="containsText" text="17">
      <formula>NOT(ISERROR(SEARCH("17",BV192)))</formula>
    </cfRule>
    <cfRule type="containsText" dxfId="146" priority="215" operator="containsText" text="T">
      <formula>NOT(ISERROR(SEARCH("T",BV192)))</formula>
    </cfRule>
  </conditionalFormatting>
  <conditionalFormatting sqref="BV133:CH137">
    <cfRule type="containsText" dxfId="145" priority="971" operator="containsText" text="17">
      <formula>NOT(ISERROR(SEARCH("17",BV133)))</formula>
    </cfRule>
  </conditionalFormatting>
  <conditionalFormatting sqref="BV160:CQ165">
    <cfRule type="containsText" dxfId="144" priority="951" operator="containsText" text="T">
      <formula>NOT(ISERROR(SEARCH("T",BV160)))</formula>
    </cfRule>
  </conditionalFormatting>
  <conditionalFormatting sqref="BW14">
    <cfRule type="containsText" dxfId="143" priority="126" operator="containsText" text="T">
      <formula>NOT(ISERROR(SEARCH("T",BW14)))</formula>
    </cfRule>
  </conditionalFormatting>
  <conditionalFormatting sqref="BW34 CA34:CC34 BF35:BZ40 CC35:CC40">
    <cfRule type="containsText" dxfId="142" priority="112" operator="containsText" text="T">
      <formula>NOT(ISERROR(SEARCH("T",BF34)))</formula>
    </cfRule>
  </conditionalFormatting>
  <conditionalFormatting sqref="BW168:BW174">
    <cfRule type="containsText" dxfId="141" priority="199" operator="containsText" text="17">
      <formula>NOT(ISERROR(SEARCH("17",BW168)))</formula>
    </cfRule>
    <cfRule type="containsText" dxfId="140" priority="200" operator="containsText" text="T">
      <formula>NOT(ISERROR(SEARCH("T",BW168)))</formula>
    </cfRule>
    <cfRule type="containsText" dxfId="139" priority="201" operator="containsText" text="17">
      <formula>NOT(ISERROR(SEARCH("17",BW168)))</formula>
    </cfRule>
    <cfRule type="containsText" dxfId="138" priority="202" operator="containsText" text="T">
      <formula>NOT(ISERROR(SEARCH("T",BW168)))</formula>
    </cfRule>
    <cfRule type="containsText" dxfId="137" priority="203" operator="containsText" text="17">
      <formula>NOT(ISERROR(SEARCH("17",BW168)))</formula>
    </cfRule>
    <cfRule type="containsText" dxfId="136" priority="204" operator="containsText" text="T">
      <formula>NOT(ISERROR(SEARCH("T",BW168)))</formula>
    </cfRule>
  </conditionalFormatting>
  <conditionalFormatting sqref="BW34:BX34 CA34:CC34 CC35:CC40">
    <cfRule type="containsText" dxfId="135" priority="113" operator="containsText" text="17">
      <formula>NOT(ISERROR(SEARCH("17",BW34)))</formula>
    </cfRule>
  </conditionalFormatting>
  <conditionalFormatting sqref="BW168:BY174">
    <cfRule type="containsText" dxfId="134" priority="190" operator="containsText" text="17">
      <formula>NOT(ISERROR(SEARCH("17",BW168)))</formula>
    </cfRule>
  </conditionalFormatting>
  <conditionalFormatting sqref="BW160:CG165">
    <cfRule type="containsText" dxfId="133" priority="949" operator="containsText" text="17">
      <formula>NOT(ISERROR(SEARCH("17",BW160)))</formula>
    </cfRule>
  </conditionalFormatting>
  <conditionalFormatting sqref="BW140:CI144">
    <cfRule type="containsText" dxfId="132" priority="966" operator="containsText" text="17">
      <formula>NOT(ISERROR(SEARCH("17",BW140)))</formula>
    </cfRule>
  </conditionalFormatting>
  <conditionalFormatting sqref="BW154:CI158">
    <cfRule type="containsText" dxfId="131" priority="953" operator="containsText" text="17">
      <formula>NOT(ISERROR(SEARCH("17",BW154)))</formula>
    </cfRule>
  </conditionalFormatting>
  <conditionalFormatting sqref="BW161:CI165">
    <cfRule type="containsText" dxfId="130" priority="946" operator="containsText" text="17">
      <formula>NOT(ISERROR(SEARCH("17",BW161)))</formula>
    </cfRule>
  </conditionalFormatting>
  <conditionalFormatting sqref="BX21 CB21:CD21 BG22:CA27 CD22:CD27">
    <cfRule type="containsText" dxfId="129" priority="100" operator="containsText" text="T">
      <formula>NOT(ISERROR(SEARCH("T",BG21)))</formula>
    </cfRule>
  </conditionalFormatting>
  <conditionalFormatting sqref="BX34">
    <cfRule type="containsText" dxfId="128" priority="114" operator="containsText" text="T">
      <formula>NOT(ISERROR(SEARCH("T",BX34)))</formula>
    </cfRule>
  </conditionalFormatting>
  <conditionalFormatting sqref="BX175:BX181">
    <cfRule type="containsText" dxfId="127" priority="175" operator="containsText" text="17">
      <formula>NOT(ISERROR(SEARCH("17",BX175)))</formula>
    </cfRule>
    <cfRule type="containsText" dxfId="126" priority="176" operator="containsText" text="T">
      <formula>NOT(ISERROR(SEARCH("T",BX175)))</formula>
    </cfRule>
    <cfRule type="containsText" dxfId="125" priority="177" operator="containsText" text="17">
      <formula>NOT(ISERROR(SEARCH("17",BX175)))</formula>
    </cfRule>
    <cfRule type="containsText" dxfId="124" priority="178" operator="containsText" text="T">
      <formula>NOT(ISERROR(SEARCH("T",BX175)))</formula>
    </cfRule>
    <cfRule type="containsText" dxfId="123" priority="179" operator="containsText" text="17">
      <formula>NOT(ISERROR(SEARCH("17",BX175)))</formula>
    </cfRule>
    <cfRule type="containsText" dxfId="122" priority="180" operator="containsText" text="T">
      <formula>NOT(ISERROR(SEARCH("T",BX175)))</formula>
    </cfRule>
  </conditionalFormatting>
  <conditionalFormatting sqref="BX21:BY21 CB21:CD21 CD22:CD27">
    <cfRule type="containsText" dxfId="121" priority="101" operator="containsText" text="17">
      <formula>NOT(ISERROR(SEARCH("17",BX21)))</formula>
    </cfRule>
  </conditionalFormatting>
  <conditionalFormatting sqref="BX175:BZ181">
    <cfRule type="containsText" dxfId="120" priority="166" operator="containsText" text="17">
      <formula>NOT(ISERROR(SEARCH("17",BX175)))</formula>
    </cfRule>
  </conditionalFormatting>
  <conditionalFormatting sqref="BX146:CH151">
    <cfRule type="containsText" dxfId="119" priority="962" operator="containsText" text="17">
      <formula>NOT(ISERROR(SEARCH("17",BX146)))</formula>
    </cfRule>
  </conditionalFormatting>
  <conditionalFormatting sqref="BX147:CJ151">
    <cfRule type="containsText" dxfId="118" priority="959" operator="containsText" text="17">
      <formula>NOT(ISERROR(SEARCH("17",BX147)))</formula>
    </cfRule>
  </conditionalFormatting>
  <conditionalFormatting sqref="BY21">
    <cfRule type="containsText" dxfId="117" priority="102" operator="containsText" text="T">
      <formula>NOT(ISERROR(SEARCH("T",BY21)))</formula>
    </cfRule>
  </conditionalFormatting>
  <conditionalFormatting sqref="BY41 CC41:CE41 BH42:CB47 CE42:CE47">
    <cfRule type="containsText" dxfId="116" priority="88" operator="containsText" text="T">
      <formula>NOT(ISERROR(SEARCH("T",BH41)))</formula>
    </cfRule>
  </conditionalFormatting>
  <conditionalFormatting sqref="BY182:BY188">
    <cfRule type="containsText" dxfId="115" priority="151" operator="containsText" text="17">
      <formula>NOT(ISERROR(SEARCH("17",BY182)))</formula>
    </cfRule>
    <cfRule type="containsText" dxfId="114" priority="152" operator="containsText" text="T">
      <formula>NOT(ISERROR(SEARCH("T",BY182)))</formula>
    </cfRule>
    <cfRule type="containsText" dxfId="113" priority="153" operator="containsText" text="17">
      <formula>NOT(ISERROR(SEARCH("17",BY182)))</formula>
    </cfRule>
    <cfRule type="containsText" dxfId="112" priority="154" operator="containsText" text="T">
      <formula>NOT(ISERROR(SEARCH("T",BY182)))</formula>
    </cfRule>
    <cfRule type="containsText" dxfId="111" priority="155" operator="containsText" text="17">
      <formula>NOT(ISERROR(SEARCH("17",BY182)))</formula>
    </cfRule>
    <cfRule type="containsText" dxfId="110" priority="156" operator="containsText" text="T">
      <formula>NOT(ISERROR(SEARCH("T",BY182)))</formula>
    </cfRule>
  </conditionalFormatting>
  <conditionalFormatting sqref="BY41:BZ41 CC41:CE41 CE42:CE47">
    <cfRule type="containsText" dxfId="109" priority="89" operator="containsText" text="17">
      <formula>NOT(ISERROR(SEARCH("17",BY41)))</formula>
    </cfRule>
  </conditionalFormatting>
  <conditionalFormatting sqref="BY182:CA188">
    <cfRule type="containsText" dxfId="108" priority="142" operator="containsText" text="17">
      <formula>NOT(ISERROR(SEARCH("17",BY182)))</formula>
    </cfRule>
  </conditionalFormatting>
  <conditionalFormatting sqref="BZ41">
    <cfRule type="containsText" dxfId="107" priority="90" operator="containsText" text="T">
      <formula>NOT(ISERROR(SEARCH("T",BZ41)))</formula>
    </cfRule>
  </conditionalFormatting>
  <conditionalFormatting sqref="CA79:CB79 CC79:CI82">
    <cfRule type="containsText" dxfId="106" priority="1018" operator="containsText" text="T">
      <formula>NOT(ISERROR(SEARCH("T",CA79)))</formula>
    </cfRule>
  </conditionalFormatting>
  <conditionalFormatting sqref="CA79:CB79">
    <cfRule type="containsText" dxfId="105" priority="1017" operator="containsText" text="17">
      <formula>NOT(ISERROR(SEARCH("17",CA79)))</formula>
    </cfRule>
  </conditionalFormatting>
  <conditionalFormatting sqref="CA99:CB99 CC99:CI103">
    <cfRule type="containsText" dxfId="104" priority="1000" operator="containsText" text="17">
      <formula>NOT(ISERROR(SEARCH("17",CA99)))</formula>
    </cfRule>
    <cfRule type="containsText" dxfId="103" priority="1001" operator="containsText" text="T">
      <formula>NOT(ISERROR(SEARCH("T",CA99)))</formula>
    </cfRule>
  </conditionalFormatting>
  <conditionalFormatting sqref="CA111:CB111 CC111:CI112">
    <cfRule type="containsText" dxfId="102" priority="990" operator="containsText" text="T">
      <formula>NOT(ISERROR(SEARCH("T",CA111)))</formula>
    </cfRule>
  </conditionalFormatting>
  <conditionalFormatting sqref="CA111:CB111">
    <cfRule type="containsText" dxfId="101" priority="989" operator="containsText" text="17">
      <formula>NOT(ISERROR(SEARCH("17",CA111)))</formula>
    </cfRule>
  </conditionalFormatting>
  <conditionalFormatting sqref="CA120:CG126">
    <cfRule type="containsText" dxfId="100" priority="27" operator="containsText" text="17">
      <formula>NOT(ISERROR(SEARCH("17",CA120)))</formula>
    </cfRule>
    <cfRule type="containsText" dxfId="99" priority="28" operator="containsText" text="T">
      <formula>NOT(ISERROR(SEARCH("T",CA120)))</formula>
    </cfRule>
  </conditionalFormatting>
  <conditionalFormatting sqref="CB15:CB20">
    <cfRule type="containsText" dxfId="98" priority="133" operator="containsText" text="T">
      <formula>NOT(ISERROR(SEARCH("T",CB15)))</formula>
    </cfRule>
  </conditionalFormatting>
  <conditionalFormatting sqref="CB120:CB126">
    <cfRule type="containsText" dxfId="97" priority="25" operator="containsText" text="17">
      <formula>NOT(ISERROR(SEARCH("17",CB120)))</formula>
    </cfRule>
    <cfRule type="containsText" dxfId="96" priority="26" operator="containsText" text="T">
      <formula>NOT(ISERROR(SEARCH("T",CB120)))</formula>
    </cfRule>
  </conditionalFormatting>
  <conditionalFormatting sqref="CB113:CH119">
    <cfRule type="containsText" dxfId="95" priority="7" operator="containsText" text="17">
      <formula>NOT(ISERROR(SEARCH("17",CB113)))</formula>
    </cfRule>
    <cfRule type="containsText" dxfId="94" priority="8" operator="containsText" text="T">
      <formula>NOT(ISERROR(SEARCH("T",CB113)))</formula>
    </cfRule>
  </conditionalFormatting>
  <conditionalFormatting sqref="CC35:CC40">
    <cfRule type="containsText" dxfId="93" priority="121" operator="containsText" text="T">
      <formula>NOT(ISERROR(SEARCH("T",CC35)))</formula>
    </cfRule>
  </conditionalFormatting>
  <conditionalFormatting sqref="CC113:CC119">
    <cfRule type="containsText" dxfId="92" priority="5" operator="containsText" text="17">
      <formula>NOT(ISERROR(SEARCH("17",CC113)))</formula>
    </cfRule>
    <cfRule type="containsText" dxfId="91" priority="6" operator="containsText" text="T">
      <formula>NOT(ISERROR(SEARCH("T",CC113)))</formula>
    </cfRule>
  </conditionalFormatting>
  <conditionalFormatting sqref="CC67:CD67 CE67:CK71 CB73:CC73 CD73:CJ77">
    <cfRule type="containsText" dxfId="90" priority="1024" operator="containsText" text="T">
      <formula>NOT(ISERROR(SEARCH("T",CB67)))</formula>
    </cfRule>
  </conditionalFormatting>
  <conditionalFormatting sqref="CC67:CD67 CE67:CK71 CB73:CC73">
    <cfRule type="containsText" dxfId="89" priority="1023" operator="containsText" text="17">
      <formula>NOT(ISERROR(SEARCH("17",CB67)))</formula>
    </cfRule>
  </conditionalFormatting>
  <conditionalFormatting sqref="CC105:CI109 BQ105:CP105">
    <cfRule type="containsText" dxfId="88" priority="996" operator="containsText" text="T">
      <formula>NOT(ISERROR(SEARCH("T",BQ105)))</formula>
    </cfRule>
  </conditionalFormatting>
  <conditionalFormatting sqref="CD22:CD27">
    <cfRule type="containsText" dxfId="87" priority="109" operator="containsText" text="T">
      <formula>NOT(ISERROR(SEARCH("T",CD22)))</formula>
    </cfRule>
  </conditionalFormatting>
  <conditionalFormatting sqref="CE42:CE47">
    <cfRule type="containsText" dxfId="86" priority="97" operator="containsText" text="T">
      <formula>NOT(ISERROR(SEARCH("T",CE42)))</formula>
    </cfRule>
  </conditionalFormatting>
  <conditionalFormatting sqref="CF28:CF32">
    <cfRule type="containsText" dxfId="85" priority="77" operator="containsText" text="17">
      <formula>NOT(ISERROR(SEARCH("17",CF28)))</formula>
    </cfRule>
  </conditionalFormatting>
  <conditionalFormatting sqref="CF48:CF49">
    <cfRule type="containsText" dxfId="84" priority="72" operator="containsText" text="17">
      <formula>NOT(ISERROR(SEARCH("17",CF48)))</formula>
    </cfRule>
  </conditionalFormatting>
  <conditionalFormatting sqref="CF28:CP32">
    <cfRule type="containsText" dxfId="83" priority="80" operator="containsText" text="T">
      <formula>NOT(ISERROR(SEARCH("T",CF28)))</formula>
    </cfRule>
  </conditionalFormatting>
  <conditionalFormatting sqref="CF41:CP49">
    <cfRule type="containsText" dxfId="82" priority="75" operator="containsText" text="T">
      <formula>NOT(ISERROR(SEARCH("T",CF41)))</formula>
    </cfRule>
  </conditionalFormatting>
  <conditionalFormatting sqref="CG60:CG66">
    <cfRule type="containsText" dxfId="81" priority="67" operator="containsText" text="17">
      <formula>NOT(ISERROR(SEARCH("17",CG60)))</formula>
    </cfRule>
  </conditionalFormatting>
  <conditionalFormatting sqref="CG113:CG126">
    <cfRule type="containsText" dxfId="80" priority="11" operator="containsText" text="T">
      <formula>NOT(ISERROR(SEARCH("T",CG113)))</formula>
    </cfRule>
  </conditionalFormatting>
  <conditionalFormatting sqref="CG120:CH126">
    <cfRule type="containsText" dxfId="79" priority="23" operator="containsText" text="17">
      <formula>NOT(ISERROR(SEARCH("17",CG120)))</formula>
    </cfRule>
  </conditionalFormatting>
  <conditionalFormatting sqref="CG132:CH132 CI132:CO137">
    <cfRule type="containsText" dxfId="78" priority="972" operator="containsText" text="17">
      <formula>NOT(ISERROR(SEARCH("17",CG132)))</formula>
    </cfRule>
    <cfRule type="containsText" dxfId="77" priority="973" operator="containsText" text="T">
      <formula>NOT(ISERROR(SEARCH("T",CG132)))</formula>
    </cfRule>
  </conditionalFormatting>
  <conditionalFormatting sqref="CG60:CP66">
    <cfRule type="containsText" dxfId="76" priority="70" operator="containsText" text="T">
      <formula>NOT(ISERROR(SEARCH("T",CG60)))</formula>
    </cfRule>
  </conditionalFormatting>
  <conditionalFormatting sqref="CH90:CH96">
    <cfRule type="containsText" dxfId="75" priority="62" operator="containsText" text="17">
      <formula>NOT(ISERROR(SEARCH("17",CH90)))</formula>
    </cfRule>
  </conditionalFormatting>
  <conditionalFormatting sqref="CH113:CH119">
    <cfRule type="containsText" dxfId="74" priority="2" operator="containsText" text="T">
      <formula>NOT(ISERROR(SEARCH("T",CH113)))</formula>
    </cfRule>
  </conditionalFormatting>
  <conditionalFormatting sqref="CH120:CH126">
    <cfRule type="containsText" dxfId="73" priority="24" operator="containsText" text="T">
      <formula>NOT(ISERROR(SEARCH("T",CH120)))</formula>
    </cfRule>
  </conditionalFormatting>
  <conditionalFormatting sqref="CH113:CI119">
    <cfRule type="containsText" dxfId="72" priority="3" operator="containsText" text="17">
      <formula>NOT(ISERROR(SEARCH("17",CH113)))</formula>
    </cfRule>
  </conditionalFormatting>
  <conditionalFormatting sqref="CH139:CI139">
    <cfRule type="containsText" dxfId="71" priority="967" operator="containsText" text="17">
      <formula>NOT(ISERROR(SEARCH("17",CH139)))</formula>
    </cfRule>
  </conditionalFormatting>
  <conditionalFormatting sqref="CH153:CI153">
    <cfRule type="containsText" dxfId="70" priority="954" operator="containsText" text="17">
      <formula>NOT(ISERROR(SEARCH("17",CH153)))</formula>
    </cfRule>
  </conditionalFormatting>
  <conditionalFormatting sqref="CH160:CI160 CJ160:CP165">
    <cfRule type="containsText" dxfId="69" priority="947" operator="containsText" text="17">
      <formula>NOT(ISERROR(SEARCH("17",CH160)))</formula>
    </cfRule>
  </conditionalFormatting>
  <conditionalFormatting sqref="CH160:CI160 CK160:CO165">
    <cfRule type="containsText" dxfId="68" priority="948" operator="containsText" text="T">
      <formula>NOT(ISERROR(SEARCH("T",CH160)))</formula>
    </cfRule>
  </conditionalFormatting>
  <conditionalFormatting sqref="CH90:CP96">
    <cfRule type="containsText" dxfId="67" priority="65" operator="containsText" text="T">
      <formula>NOT(ISERROR(SEARCH("T",CH90)))</formula>
    </cfRule>
  </conditionalFormatting>
  <conditionalFormatting sqref="CI83:CI89">
    <cfRule type="containsText" dxfId="66" priority="57" operator="containsText" text="17">
      <formula>NOT(ISERROR(SEARCH("17",CI83)))</formula>
    </cfRule>
    <cfRule type="containsText" dxfId="65" priority="60" operator="containsText" text="T">
      <formula>NOT(ISERROR(SEARCH("T",CI83)))</formula>
    </cfRule>
  </conditionalFormatting>
  <conditionalFormatting sqref="CI113:CI119">
    <cfRule type="containsText" dxfId="64" priority="4" operator="containsText" text="T">
      <formula>NOT(ISERROR(SEARCH("T",CI113)))</formula>
    </cfRule>
  </conditionalFormatting>
  <conditionalFormatting sqref="CI146:CJ146 CK146:CQ151">
    <cfRule type="containsText" dxfId="63" priority="960" operator="containsText" text="17">
      <formula>NOT(ISERROR(SEARCH("17",CI146)))</formula>
    </cfRule>
  </conditionalFormatting>
  <conditionalFormatting sqref="CI146:CJ146 CL146:CP151">
    <cfRule type="containsText" dxfId="62" priority="961" operator="containsText" text="T">
      <formula>NOT(ISERROR(SEARCH("T",CI146)))</formula>
    </cfRule>
  </conditionalFormatting>
  <conditionalFormatting sqref="CJ214:CJ220">
    <cfRule type="containsText" dxfId="61" priority="52" operator="containsText" text="17">
      <formula>NOT(ISERROR(SEARCH("17",CJ214)))</formula>
    </cfRule>
  </conditionalFormatting>
  <conditionalFormatting sqref="CJ214:XFD220">
    <cfRule type="containsText" dxfId="60" priority="55" operator="containsText" text="T">
      <formula>NOT(ISERROR(SEARCH("T",CJ214)))</formula>
    </cfRule>
  </conditionalFormatting>
  <conditionalFormatting sqref="CK120:CK126">
    <cfRule type="containsText" dxfId="59" priority="34" operator="containsText" text="17">
      <formula>NOT(ISERROR(SEARCH("17",CK120)))</formula>
    </cfRule>
    <cfRule type="containsText" dxfId="58" priority="35" operator="containsText" text="T">
      <formula>NOT(ISERROR(SEARCH("T",CK120)))</formula>
    </cfRule>
    <cfRule type="containsText" dxfId="57" priority="36" operator="containsText" text="17">
      <formula>NOT(ISERROR(SEARCH("17",CK120)))</formula>
    </cfRule>
    <cfRule type="containsText" dxfId="56" priority="37" operator="containsText" text="T">
      <formula>NOT(ISERROR(SEARCH("T",CK120)))</formula>
    </cfRule>
    <cfRule type="containsText" dxfId="55" priority="38" operator="containsText" text="17">
      <formula>NOT(ISERROR(SEARCH("17",CK120)))</formula>
    </cfRule>
    <cfRule type="containsText" dxfId="54" priority="39" operator="containsText" text="T">
      <formula>NOT(ISERROR(SEARCH("T",CK120)))</formula>
    </cfRule>
  </conditionalFormatting>
  <conditionalFormatting sqref="CK221:CK227">
    <cfRule type="containsText" dxfId="53" priority="47" operator="containsText" text="17">
      <formula>NOT(ISERROR(SEARCH("17",CK221)))</formula>
    </cfRule>
  </conditionalFormatting>
  <conditionalFormatting sqref="CK120:CM126">
    <cfRule type="containsText" dxfId="52" priority="29" operator="containsText" text="17">
      <formula>NOT(ISERROR(SEARCH("17",CK120)))</formula>
    </cfRule>
  </conditionalFormatting>
  <conditionalFormatting sqref="CK221:CP227">
    <cfRule type="containsText" dxfId="51" priority="50" operator="containsText" text="T">
      <formula>NOT(ISERROR(SEARCH("T",CK221)))</formula>
    </cfRule>
  </conditionalFormatting>
  <conditionalFormatting sqref="CL113:CL119">
    <cfRule type="containsText" dxfId="50" priority="14" operator="containsText" text="17">
      <formula>NOT(ISERROR(SEARCH("17",CL113)))</formula>
    </cfRule>
    <cfRule type="containsText" dxfId="49" priority="15" operator="containsText" text="T">
      <formula>NOT(ISERROR(SEARCH("T",CL113)))</formula>
    </cfRule>
    <cfRule type="containsText" dxfId="48" priority="16" operator="containsText" text="17">
      <formula>NOT(ISERROR(SEARCH("17",CL113)))</formula>
    </cfRule>
    <cfRule type="containsText" dxfId="47" priority="17" operator="containsText" text="T">
      <formula>NOT(ISERROR(SEARCH("T",CL113)))</formula>
    </cfRule>
    <cfRule type="containsText" dxfId="46" priority="18" operator="containsText" text="17">
      <formula>NOT(ISERROR(SEARCH("17",CL113)))</formula>
    </cfRule>
    <cfRule type="containsText" dxfId="45" priority="19" operator="containsText" text="T">
      <formula>NOT(ISERROR(SEARCH("T",CL113)))</formula>
    </cfRule>
  </conditionalFormatting>
  <conditionalFormatting sqref="CL228:CL234">
    <cfRule type="containsText" dxfId="44" priority="42" operator="containsText" text="17">
      <formula>NOT(ISERROR(SEARCH("17",CL228)))</formula>
    </cfRule>
  </conditionalFormatting>
  <conditionalFormatting sqref="CL113:CN119">
    <cfRule type="containsText" dxfId="43" priority="9" operator="containsText" text="17">
      <formula>NOT(ISERROR(SEARCH("17",CL113)))</formula>
    </cfRule>
  </conditionalFormatting>
  <conditionalFormatting sqref="CL228:CP234">
    <cfRule type="containsText" dxfId="42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055"/>
  <sheetViews>
    <sheetView tabSelected="1" workbookViewId="0">
      <pane xSplit="2" ySplit="1" topLeftCell="C1027" activePane="bottomRight" state="frozen"/>
      <selection pane="topRight" activeCell="C1" sqref="C1"/>
      <selection pane="bottomLeft" activeCell="A2" sqref="A2"/>
      <selection pane="bottomRight" activeCell="G1037" sqref="G1037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322">A666+23</f>
        <v>46078</v>
      </c>
      <c r="E666" s="77">
        <f t="shared" ref="E666:E713" si="323">A666+7</f>
        <v>46062</v>
      </c>
      <c r="F666" s="77">
        <f t="shared" ref="F666:F713" si="324">A666+14</f>
        <v>46069</v>
      </c>
      <c r="G666" s="77">
        <f t="shared" ref="G666:G713" si="325">A666+20</f>
        <v>46075</v>
      </c>
      <c r="H666" s="77">
        <f t="shared" ref="H666:H713" si="326">A666+8</f>
        <v>46063</v>
      </c>
      <c r="I666" s="77">
        <f t="shared" ref="I666:I713" si="327">A666+15</f>
        <v>46070</v>
      </c>
      <c r="J666" s="77">
        <v>46085</v>
      </c>
      <c r="K666" s="25">
        <f t="shared" ref="K666:K673" si="328">J666-A666</f>
        <v>30</v>
      </c>
      <c r="L666" s="81">
        <v>13.82</v>
      </c>
      <c r="M666" s="81">
        <v>12.93</v>
      </c>
      <c r="N666" s="25">
        <f t="shared" ref="N666:N678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>
        <v>46086</v>
      </c>
      <c r="K673" s="25">
        <f t="shared" si="328"/>
        <v>30</v>
      </c>
      <c r="L673" s="81">
        <v>14.52</v>
      </c>
      <c r="M673" s="81">
        <v>13.67</v>
      </c>
      <c r="N673" s="25">
        <f t="shared" si="329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>
        <v>46086</v>
      </c>
      <c r="K674" s="25">
        <f t="shared" ref="K674:K676" si="330">J674-A674</f>
        <v>30</v>
      </c>
      <c r="L674" s="81">
        <v>15.31</v>
      </c>
      <c r="M674" s="81">
        <v>14.28</v>
      </c>
      <c r="N674" s="25">
        <f t="shared" si="329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>
        <v>46086</v>
      </c>
      <c r="K675" s="25">
        <f t="shared" si="330"/>
        <v>30</v>
      </c>
      <c r="L675" s="81">
        <v>15.63</v>
      </c>
      <c r="M675" s="81">
        <v>14.21</v>
      </c>
      <c r="N675" s="25">
        <f t="shared" si="329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>
        <v>46086</v>
      </c>
      <c r="K676" s="25">
        <f t="shared" si="330"/>
        <v>30</v>
      </c>
      <c r="L676" s="81">
        <v>14.87</v>
      </c>
      <c r="M676" s="81">
        <v>13.98</v>
      </c>
      <c r="N676" s="25">
        <f t="shared" si="329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>
        <v>46086</v>
      </c>
      <c r="K677" s="25">
        <f t="shared" ref="K677:K678" si="331">J677-A677</f>
        <v>30</v>
      </c>
      <c r="L677" s="81">
        <v>15.74</v>
      </c>
      <c r="M677" s="81">
        <v>14.91</v>
      </c>
      <c r="N677" s="25">
        <f t="shared" si="329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>
        <v>46086</v>
      </c>
      <c r="K678" s="25">
        <f t="shared" si="331"/>
        <v>30</v>
      </c>
      <c r="L678" s="81">
        <v>14.29</v>
      </c>
      <c r="M678" s="81">
        <v>13.34</v>
      </c>
      <c r="N678" s="25">
        <f t="shared" si="329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6" si="332">J679-A679</f>
        <v>29</v>
      </c>
      <c r="L679" s="81">
        <v>15.29</v>
      </c>
      <c r="M679" s="81">
        <v>14.51</v>
      </c>
      <c r="N679" s="25">
        <f t="shared" ref="N679:N686" si="333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2"/>
        <v>29</v>
      </c>
      <c r="L680" s="81">
        <v>14.64</v>
      </c>
      <c r="M680" s="81">
        <v>13.81</v>
      </c>
      <c r="N680" s="25">
        <f t="shared" si="333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>
        <v>46087</v>
      </c>
      <c r="K681" s="25">
        <f t="shared" si="332"/>
        <v>30</v>
      </c>
      <c r="L681" s="81">
        <v>16.62</v>
      </c>
      <c r="M681" s="81">
        <v>15.51</v>
      </c>
      <c r="N681" s="25">
        <f t="shared" si="333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>
        <v>46087</v>
      </c>
      <c r="K682" s="25">
        <f t="shared" si="332"/>
        <v>30</v>
      </c>
      <c r="L682" s="81">
        <v>15.87</v>
      </c>
      <c r="M682" s="81">
        <v>14.73</v>
      </c>
      <c r="N682" s="25">
        <f t="shared" si="333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>
        <v>46087</v>
      </c>
      <c r="K683" s="25">
        <f t="shared" si="332"/>
        <v>30</v>
      </c>
      <c r="L683" s="81">
        <v>14.66</v>
      </c>
      <c r="M683" s="81">
        <v>13.58</v>
      </c>
      <c r="N683" s="25">
        <f t="shared" si="333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>
        <v>46087</v>
      </c>
      <c r="K684" s="25">
        <f t="shared" si="332"/>
        <v>30</v>
      </c>
      <c r="L684" s="81">
        <v>15.9</v>
      </c>
      <c r="M684" s="81">
        <v>14.71</v>
      </c>
      <c r="N684" s="25">
        <f t="shared" si="333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>
        <v>46087</v>
      </c>
      <c r="K685" s="25">
        <f t="shared" si="332"/>
        <v>30</v>
      </c>
      <c r="L685" s="81">
        <v>14.78</v>
      </c>
      <c r="M685" s="81">
        <v>13.63</v>
      </c>
      <c r="N685" s="25">
        <f t="shared" si="333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>
        <v>46087</v>
      </c>
      <c r="K686" s="25">
        <f t="shared" si="332"/>
        <v>30</v>
      </c>
      <c r="L686" s="81">
        <v>15.1</v>
      </c>
      <c r="M686" s="81">
        <v>14.19</v>
      </c>
      <c r="N686" s="25">
        <f t="shared" si="333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>
        <v>46086</v>
      </c>
      <c r="K687" s="25">
        <f t="shared" ref="K687:K713" si="334">J687-A687</f>
        <v>29</v>
      </c>
      <c r="L687" s="81">
        <v>15.16</v>
      </c>
      <c r="M687" s="81">
        <v>14.12</v>
      </c>
      <c r="N687" s="25">
        <f t="shared" ref="N687:N713" si="335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>
        <v>46087</v>
      </c>
      <c r="K688" s="25">
        <f t="shared" si="334"/>
        <v>29</v>
      </c>
      <c r="L688" s="81">
        <v>14.36</v>
      </c>
      <c r="M688" s="81">
        <v>13.24</v>
      </c>
      <c r="N688" s="25">
        <f t="shared" si="335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>
        <v>46087</v>
      </c>
      <c r="K689" s="25">
        <f t="shared" si="334"/>
        <v>29</v>
      </c>
      <c r="L689" s="81">
        <v>15.08</v>
      </c>
      <c r="M689" s="81">
        <v>14.1</v>
      </c>
      <c r="N689" s="25">
        <f t="shared" si="335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>
        <v>46087</v>
      </c>
      <c r="K690" s="25">
        <f t="shared" si="334"/>
        <v>29</v>
      </c>
      <c r="L690" s="81">
        <v>14.59</v>
      </c>
      <c r="M690" s="81">
        <v>13.24</v>
      </c>
      <c r="N690" s="25">
        <f t="shared" si="335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>
        <v>46088</v>
      </c>
      <c r="K691" s="25">
        <f t="shared" si="334"/>
        <v>30</v>
      </c>
      <c r="L691" s="81">
        <v>15.83</v>
      </c>
      <c r="M691" s="81">
        <v>14.26</v>
      </c>
      <c r="N691" s="25">
        <f t="shared" si="335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>
        <v>46088</v>
      </c>
      <c r="K692" s="25">
        <f t="shared" si="334"/>
        <v>30</v>
      </c>
      <c r="L692" s="81">
        <v>15.64</v>
      </c>
      <c r="M692" s="81">
        <v>14.91</v>
      </c>
      <c r="N692" s="25">
        <f t="shared" si="335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>
        <v>46088</v>
      </c>
      <c r="K693" s="25">
        <f t="shared" si="334"/>
        <v>30</v>
      </c>
      <c r="L693" s="81">
        <v>16.82</v>
      </c>
      <c r="M693" s="81">
        <v>15.74</v>
      </c>
      <c r="N693" s="25">
        <f t="shared" si="335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>
        <v>46088</v>
      </c>
      <c r="K694" s="25">
        <f t="shared" si="334"/>
        <v>30</v>
      </c>
      <c r="L694" s="81">
        <v>16.989999999999998</v>
      </c>
      <c r="M694" s="81">
        <v>15.21</v>
      </c>
      <c r="N694" s="25">
        <f t="shared" si="335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>
        <v>46090</v>
      </c>
      <c r="K695" s="25">
        <f t="shared" si="334"/>
        <v>31</v>
      </c>
      <c r="L695" s="81">
        <v>15.26</v>
      </c>
      <c r="M695" s="81">
        <v>14.31</v>
      </c>
      <c r="N695" s="25">
        <f t="shared" si="335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>
        <v>46089</v>
      </c>
      <c r="K696" s="25">
        <f t="shared" si="334"/>
        <v>30</v>
      </c>
      <c r="L696" s="81">
        <v>15.91</v>
      </c>
      <c r="M696" s="81">
        <v>14.77</v>
      </c>
      <c r="N696" s="25">
        <f t="shared" si="335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>
        <v>46089</v>
      </c>
      <c r="K697" s="25">
        <f t="shared" si="334"/>
        <v>30</v>
      </c>
      <c r="L697" s="81">
        <v>16.38</v>
      </c>
      <c r="M697" s="81">
        <v>15.11</v>
      </c>
      <c r="N697" s="25">
        <f t="shared" si="335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>
        <v>46089</v>
      </c>
      <c r="K698" s="25">
        <f t="shared" si="334"/>
        <v>30</v>
      </c>
      <c r="L698" s="81">
        <v>16.16</v>
      </c>
      <c r="M698" s="81">
        <v>15.96</v>
      </c>
      <c r="N698" s="25">
        <f t="shared" si="335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>
        <v>46089</v>
      </c>
      <c r="K699" s="25">
        <f t="shared" si="334"/>
        <v>30</v>
      </c>
      <c r="L699" s="81">
        <v>15.31</v>
      </c>
      <c r="M699" s="81">
        <v>14.11</v>
      </c>
      <c r="N699" s="25">
        <f t="shared" si="335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>
        <v>46089</v>
      </c>
      <c r="K700" s="25">
        <f t="shared" si="334"/>
        <v>30</v>
      </c>
      <c r="L700" s="81">
        <v>16.100000000000001</v>
      </c>
      <c r="M700" s="81">
        <v>15.28</v>
      </c>
      <c r="N700" s="25">
        <f t="shared" si="335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>
        <v>46089</v>
      </c>
      <c r="K701" s="25">
        <f t="shared" si="334"/>
        <v>30</v>
      </c>
      <c r="L701" s="81">
        <v>15.24</v>
      </c>
      <c r="M701" s="81">
        <v>14.53</v>
      </c>
      <c r="N701" s="25">
        <f t="shared" si="335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>
        <v>46088</v>
      </c>
      <c r="K702" s="25">
        <f t="shared" si="334"/>
        <v>28</v>
      </c>
      <c r="L702" s="81">
        <v>17.14</v>
      </c>
      <c r="M702" s="81">
        <v>16.75</v>
      </c>
      <c r="N702" s="25">
        <f t="shared" si="335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>
        <v>46088</v>
      </c>
      <c r="K703" s="25">
        <f t="shared" si="334"/>
        <v>28</v>
      </c>
      <c r="L703" s="81">
        <v>16.190000000000001</v>
      </c>
      <c r="M703" s="81">
        <v>15.83</v>
      </c>
      <c r="N703" s="25">
        <f t="shared" si="335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>
        <v>46088</v>
      </c>
      <c r="K704" s="25">
        <f t="shared" si="334"/>
        <v>28</v>
      </c>
      <c r="L704" s="81">
        <v>17.61</v>
      </c>
      <c r="M704" s="81">
        <v>16.96</v>
      </c>
      <c r="N704" s="25">
        <f t="shared" si="335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>
        <v>46090</v>
      </c>
      <c r="K705" s="25">
        <f t="shared" si="334"/>
        <v>30</v>
      </c>
      <c r="L705" s="81">
        <v>15.42</v>
      </c>
      <c r="M705" s="81">
        <v>14.74</v>
      </c>
      <c r="N705" s="25">
        <f t="shared" si="335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>
        <v>46090</v>
      </c>
      <c r="K706" s="25">
        <f t="shared" si="334"/>
        <v>30</v>
      </c>
      <c r="L706" s="81">
        <v>14.74</v>
      </c>
      <c r="M706" s="81">
        <v>13.28</v>
      </c>
      <c r="N706" s="25">
        <f t="shared" si="335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>
        <v>46090</v>
      </c>
      <c r="K707" s="25">
        <f t="shared" si="334"/>
        <v>30</v>
      </c>
      <c r="L707" s="81">
        <v>13.56</v>
      </c>
      <c r="M707" s="81">
        <v>12.93</v>
      </c>
      <c r="N707" s="25">
        <f t="shared" si="335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>
        <v>46090</v>
      </c>
      <c r="K708" s="25">
        <f t="shared" si="334"/>
        <v>30</v>
      </c>
      <c r="L708" s="81">
        <v>14.37</v>
      </c>
      <c r="M708" s="81">
        <v>13.54</v>
      </c>
      <c r="N708" s="25">
        <f t="shared" si="335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>
        <v>46090</v>
      </c>
      <c r="K709" s="25">
        <f t="shared" si="334"/>
        <v>29</v>
      </c>
      <c r="L709" s="81">
        <v>15.81</v>
      </c>
      <c r="M709" s="81">
        <v>14.21</v>
      </c>
      <c r="N709" s="25">
        <f t="shared" si="335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>
        <v>46090</v>
      </c>
      <c r="K710" s="25">
        <f t="shared" si="334"/>
        <v>29</v>
      </c>
      <c r="L710" s="81">
        <v>14.73</v>
      </c>
      <c r="M710" s="81">
        <v>13.56</v>
      </c>
      <c r="N710" s="25">
        <f t="shared" si="335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>
        <v>46091</v>
      </c>
      <c r="K711" s="25">
        <f t="shared" si="334"/>
        <v>30</v>
      </c>
      <c r="L711" s="81">
        <v>14.71</v>
      </c>
      <c r="M711" s="81">
        <v>13.58</v>
      </c>
      <c r="N711" s="25">
        <f t="shared" si="335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>
        <v>46091</v>
      </c>
      <c r="K712" s="25">
        <f t="shared" si="334"/>
        <v>30</v>
      </c>
      <c r="L712" s="81">
        <v>15.36</v>
      </c>
      <c r="M712" s="81">
        <v>14.12</v>
      </c>
      <c r="N712" s="25">
        <f t="shared" si="335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>
        <v>46091</v>
      </c>
      <c r="K713" s="25">
        <f t="shared" si="334"/>
        <v>30</v>
      </c>
      <c r="L713" s="81">
        <v>15.69</v>
      </c>
      <c r="M713" s="81">
        <v>14.73</v>
      </c>
      <c r="N713" s="25">
        <f t="shared" si="335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336">A723+23</f>
        <v>46086</v>
      </c>
      <c r="E723" s="77">
        <f t="shared" ref="E723:E786" si="337">A723+7</f>
        <v>46070</v>
      </c>
      <c r="F723" s="77">
        <f t="shared" ref="F723:F786" si="338">A723+14</f>
        <v>46077</v>
      </c>
      <c r="G723" s="77">
        <f t="shared" ref="G723:G786" si="339">A723+20</f>
        <v>46083</v>
      </c>
      <c r="H723" s="77">
        <f t="shared" ref="H723:H786" si="340">A723+8</f>
        <v>46071</v>
      </c>
      <c r="I723" s="77">
        <f t="shared" ref="I723:I786" si="341">A723+15</f>
        <v>46078</v>
      </c>
      <c r="J723" s="77">
        <v>46093</v>
      </c>
      <c r="K723" s="25">
        <f t="shared" ref="K723:K769" si="342">J723-A723</f>
        <v>30</v>
      </c>
      <c r="L723" s="81">
        <v>17.25</v>
      </c>
      <c r="M723" s="81">
        <v>16.32</v>
      </c>
      <c r="N723" s="25">
        <f t="shared" ref="N723:N785" si="343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336"/>
        <v>46086</v>
      </c>
      <c r="E724" s="77">
        <f t="shared" si="337"/>
        <v>46070</v>
      </c>
      <c r="F724" s="77">
        <f t="shared" si="338"/>
        <v>46077</v>
      </c>
      <c r="G724" s="77">
        <f t="shared" si="339"/>
        <v>46083</v>
      </c>
      <c r="H724" s="77">
        <f t="shared" si="340"/>
        <v>46071</v>
      </c>
      <c r="I724" s="77">
        <f t="shared" si="341"/>
        <v>46078</v>
      </c>
      <c r="J724" s="77">
        <v>46093</v>
      </c>
      <c r="K724" s="25">
        <f t="shared" si="342"/>
        <v>30</v>
      </c>
      <c r="L724" s="81">
        <v>17.11</v>
      </c>
      <c r="M724" s="81">
        <v>16.149999999999999</v>
      </c>
      <c r="N724" s="25">
        <f t="shared" si="343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336"/>
        <v>46086</v>
      </c>
      <c r="E725" s="77">
        <f t="shared" si="337"/>
        <v>46070</v>
      </c>
      <c r="F725" s="77">
        <f t="shared" si="338"/>
        <v>46077</v>
      </c>
      <c r="G725" s="77">
        <f t="shared" si="339"/>
        <v>46083</v>
      </c>
      <c r="H725" s="77">
        <f t="shared" si="340"/>
        <v>46071</v>
      </c>
      <c r="I725" s="77">
        <f t="shared" si="341"/>
        <v>46078</v>
      </c>
      <c r="J725" s="77">
        <v>46093</v>
      </c>
      <c r="K725" s="25">
        <f t="shared" si="342"/>
        <v>30</v>
      </c>
      <c r="L725" s="81">
        <v>15.21</v>
      </c>
      <c r="M725" s="81">
        <v>14.25</v>
      </c>
      <c r="N725" s="25">
        <f t="shared" si="343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336"/>
        <v>46086</v>
      </c>
      <c r="E726" s="77">
        <f t="shared" si="337"/>
        <v>46070</v>
      </c>
      <c r="F726" s="77">
        <f t="shared" si="338"/>
        <v>46077</v>
      </c>
      <c r="G726" s="77">
        <f t="shared" si="339"/>
        <v>46083</v>
      </c>
      <c r="H726" s="77">
        <f t="shared" si="340"/>
        <v>46071</v>
      </c>
      <c r="I726" s="77">
        <f t="shared" si="341"/>
        <v>46078</v>
      </c>
      <c r="J726" s="77">
        <v>46093</v>
      </c>
      <c r="K726" s="25">
        <f t="shared" si="342"/>
        <v>30</v>
      </c>
      <c r="L726" s="81">
        <v>15.73</v>
      </c>
      <c r="M726" s="81">
        <v>14.66</v>
      </c>
      <c r="N726" s="25">
        <f t="shared" si="343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336"/>
        <v>46086</v>
      </c>
      <c r="E727" s="77">
        <f t="shared" si="337"/>
        <v>46070</v>
      </c>
      <c r="F727" s="77">
        <f t="shared" si="338"/>
        <v>46077</v>
      </c>
      <c r="G727" s="77">
        <f t="shared" si="339"/>
        <v>46083</v>
      </c>
      <c r="H727" s="77">
        <f t="shared" si="340"/>
        <v>46071</v>
      </c>
      <c r="I727" s="77">
        <f t="shared" si="341"/>
        <v>46078</v>
      </c>
      <c r="J727" s="77">
        <v>46093</v>
      </c>
      <c r="K727" s="25">
        <f t="shared" si="342"/>
        <v>30</v>
      </c>
      <c r="L727" s="81">
        <v>16.48</v>
      </c>
      <c r="M727" s="81">
        <v>15.74</v>
      </c>
      <c r="N727" s="25">
        <f t="shared" si="343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336"/>
        <v>46086</v>
      </c>
      <c r="E728" s="77">
        <f t="shared" si="337"/>
        <v>46070</v>
      </c>
      <c r="F728" s="77">
        <f t="shared" si="338"/>
        <v>46077</v>
      </c>
      <c r="G728" s="77">
        <f t="shared" si="339"/>
        <v>46083</v>
      </c>
      <c r="H728" s="77">
        <f t="shared" si="340"/>
        <v>46071</v>
      </c>
      <c r="I728" s="77">
        <f t="shared" si="341"/>
        <v>46078</v>
      </c>
      <c r="J728" s="77">
        <v>46093</v>
      </c>
      <c r="K728" s="25">
        <f t="shared" si="342"/>
        <v>30</v>
      </c>
      <c r="L728" s="81">
        <v>16.100000000000001</v>
      </c>
      <c r="M728" s="81">
        <v>15.21</v>
      </c>
      <c r="N728" s="25">
        <f t="shared" si="343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336"/>
        <v>46086</v>
      </c>
      <c r="E729" s="77">
        <f t="shared" si="337"/>
        <v>46070</v>
      </c>
      <c r="F729" s="77">
        <f t="shared" si="338"/>
        <v>46077</v>
      </c>
      <c r="G729" s="77">
        <f t="shared" si="339"/>
        <v>46083</v>
      </c>
      <c r="H729" s="77">
        <f t="shared" si="340"/>
        <v>46071</v>
      </c>
      <c r="I729" s="77">
        <f t="shared" si="341"/>
        <v>46078</v>
      </c>
      <c r="J729" s="77">
        <v>46093</v>
      </c>
      <c r="K729" s="25">
        <f t="shared" si="342"/>
        <v>30</v>
      </c>
      <c r="L729" s="81">
        <v>15.12</v>
      </c>
      <c r="M729" s="81">
        <v>14.26</v>
      </c>
      <c r="N729" s="25">
        <f t="shared" si="343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336"/>
        <v>46087</v>
      </c>
      <c r="E730" s="77">
        <f t="shared" si="337"/>
        <v>46071</v>
      </c>
      <c r="F730" s="77">
        <f t="shared" si="338"/>
        <v>46078</v>
      </c>
      <c r="G730" s="77">
        <f t="shared" si="339"/>
        <v>46084</v>
      </c>
      <c r="H730" s="77">
        <f t="shared" si="340"/>
        <v>46072</v>
      </c>
      <c r="I730" s="77">
        <f t="shared" si="341"/>
        <v>46079</v>
      </c>
      <c r="J730" s="77">
        <v>46094</v>
      </c>
      <c r="K730" s="25">
        <f t="shared" si="342"/>
        <v>30</v>
      </c>
      <c r="L730" s="81">
        <v>17.34</v>
      </c>
      <c r="M730" s="81">
        <v>16.28</v>
      </c>
      <c r="N730" s="25">
        <f t="shared" si="343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336"/>
        <v>46087</v>
      </c>
      <c r="E731" s="77">
        <f t="shared" si="337"/>
        <v>46071</v>
      </c>
      <c r="F731" s="77">
        <f t="shared" si="338"/>
        <v>46078</v>
      </c>
      <c r="G731" s="77">
        <f t="shared" si="339"/>
        <v>46084</v>
      </c>
      <c r="H731" s="77">
        <f t="shared" si="340"/>
        <v>46072</v>
      </c>
      <c r="I731" s="77">
        <f t="shared" si="341"/>
        <v>46079</v>
      </c>
      <c r="J731" s="77">
        <v>46094</v>
      </c>
      <c r="K731" s="25">
        <f t="shared" si="342"/>
        <v>30</v>
      </c>
      <c r="L731" s="81">
        <v>16.190000000000001</v>
      </c>
      <c r="M731" s="81">
        <v>15.73</v>
      </c>
      <c r="N731" s="25">
        <f t="shared" si="343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336"/>
        <v>46087</v>
      </c>
      <c r="E732" s="77">
        <f t="shared" si="337"/>
        <v>46071</v>
      </c>
      <c r="F732" s="77">
        <f t="shared" si="338"/>
        <v>46078</v>
      </c>
      <c r="G732" s="77">
        <f t="shared" si="339"/>
        <v>46084</v>
      </c>
      <c r="H732" s="77">
        <f t="shared" si="340"/>
        <v>46072</v>
      </c>
      <c r="I732" s="77">
        <f t="shared" si="341"/>
        <v>46079</v>
      </c>
      <c r="J732" s="77">
        <v>46094</v>
      </c>
      <c r="K732" s="25">
        <f t="shared" si="342"/>
        <v>30</v>
      </c>
      <c r="L732" s="81">
        <v>15.63</v>
      </c>
      <c r="M732" s="81">
        <v>14.54</v>
      </c>
      <c r="N732" s="25">
        <f t="shared" si="343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336"/>
        <v>46087</v>
      </c>
      <c r="E733" s="77">
        <f t="shared" si="337"/>
        <v>46071</v>
      </c>
      <c r="F733" s="77">
        <f t="shared" si="338"/>
        <v>46078</v>
      </c>
      <c r="G733" s="77">
        <f t="shared" si="339"/>
        <v>46084</v>
      </c>
      <c r="H733" s="77">
        <f t="shared" si="340"/>
        <v>46072</v>
      </c>
      <c r="I733" s="77">
        <f t="shared" si="341"/>
        <v>46079</v>
      </c>
      <c r="J733" s="77">
        <v>46094</v>
      </c>
      <c r="K733" s="25">
        <f t="shared" si="342"/>
        <v>30</v>
      </c>
      <c r="L733" s="25">
        <v>15.58</v>
      </c>
      <c r="M733" s="25">
        <v>14.37</v>
      </c>
      <c r="N733" s="25">
        <f t="shared" si="343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336"/>
        <v>46087</v>
      </c>
      <c r="E734" s="77">
        <f t="shared" si="337"/>
        <v>46071</v>
      </c>
      <c r="F734" s="77">
        <f t="shared" si="338"/>
        <v>46078</v>
      </c>
      <c r="G734" s="77">
        <f t="shared" si="339"/>
        <v>46084</v>
      </c>
      <c r="H734" s="77">
        <f t="shared" si="340"/>
        <v>46072</v>
      </c>
      <c r="I734" s="77">
        <f t="shared" si="341"/>
        <v>46079</v>
      </c>
      <c r="J734" s="77">
        <v>46094</v>
      </c>
      <c r="K734" s="25">
        <f t="shared" si="342"/>
        <v>30</v>
      </c>
      <c r="L734" s="25">
        <v>16.03</v>
      </c>
      <c r="M734" s="25">
        <v>15.1</v>
      </c>
      <c r="N734" s="25">
        <f t="shared" si="343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336"/>
        <v>46087</v>
      </c>
      <c r="E735" s="77">
        <f t="shared" si="337"/>
        <v>46071</v>
      </c>
      <c r="F735" s="77">
        <f t="shared" si="338"/>
        <v>46078</v>
      </c>
      <c r="G735" s="77">
        <f t="shared" si="339"/>
        <v>46084</v>
      </c>
      <c r="H735" s="77">
        <f t="shared" si="340"/>
        <v>46072</v>
      </c>
      <c r="I735" s="77">
        <f t="shared" si="341"/>
        <v>46079</v>
      </c>
      <c r="J735" s="77">
        <v>46094</v>
      </c>
      <c r="K735" s="25">
        <f t="shared" si="342"/>
        <v>30</v>
      </c>
      <c r="L735" s="25">
        <v>15.47</v>
      </c>
      <c r="M735" s="25">
        <v>14.26</v>
      </c>
      <c r="N735" s="25">
        <f t="shared" si="343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336"/>
        <v>46087</v>
      </c>
      <c r="E736" s="77">
        <f t="shared" si="337"/>
        <v>46071</v>
      </c>
      <c r="F736" s="77">
        <f t="shared" si="338"/>
        <v>46078</v>
      </c>
      <c r="G736" s="77">
        <f t="shared" si="339"/>
        <v>46084</v>
      </c>
      <c r="H736" s="77">
        <f t="shared" si="340"/>
        <v>46072</v>
      </c>
      <c r="I736" s="77">
        <f t="shared" si="341"/>
        <v>46079</v>
      </c>
      <c r="J736" s="77">
        <v>46094</v>
      </c>
      <c r="K736" s="25">
        <f t="shared" si="342"/>
        <v>30</v>
      </c>
      <c r="L736" s="25">
        <v>16.21</v>
      </c>
      <c r="M736" s="25">
        <v>15.17</v>
      </c>
      <c r="N736" s="25">
        <f t="shared" si="343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336"/>
        <v>46087</v>
      </c>
      <c r="E737" s="77">
        <f t="shared" si="337"/>
        <v>46071</v>
      </c>
      <c r="F737" s="77">
        <f t="shared" si="338"/>
        <v>46078</v>
      </c>
      <c r="G737" s="77">
        <f t="shared" si="339"/>
        <v>46084</v>
      </c>
      <c r="H737" s="77">
        <f t="shared" si="340"/>
        <v>46072</v>
      </c>
      <c r="I737" s="77">
        <f t="shared" si="341"/>
        <v>46079</v>
      </c>
      <c r="J737" s="77">
        <v>46094</v>
      </c>
      <c r="K737" s="25">
        <f t="shared" si="342"/>
        <v>30</v>
      </c>
      <c r="L737" s="25">
        <v>17.350000000000001</v>
      </c>
      <c r="M737" s="25">
        <v>16.21</v>
      </c>
      <c r="N737" s="25">
        <f t="shared" si="343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336"/>
        <v>46088</v>
      </c>
      <c r="E738" s="77">
        <f t="shared" si="337"/>
        <v>46072</v>
      </c>
      <c r="F738" s="77">
        <f t="shared" si="338"/>
        <v>46079</v>
      </c>
      <c r="G738" s="77">
        <f t="shared" si="339"/>
        <v>46085</v>
      </c>
      <c r="H738" s="77">
        <f t="shared" si="340"/>
        <v>46073</v>
      </c>
      <c r="I738" s="77">
        <f t="shared" si="341"/>
        <v>46080</v>
      </c>
      <c r="J738" s="77">
        <v>46094</v>
      </c>
      <c r="K738" s="25">
        <f t="shared" si="342"/>
        <v>29</v>
      </c>
      <c r="L738" s="25">
        <v>16.2</v>
      </c>
      <c r="M738" s="25">
        <v>15.16</v>
      </c>
      <c r="N738" s="25">
        <f t="shared" si="343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336"/>
        <v>46088</v>
      </c>
      <c r="E739" s="77">
        <f t="shared" si="337"/>
        <v>46072</v>
      </c>
      <c r="F739" s="77">
        <f t="shared" si="338"/>
        <v>46079</v>
      </c>
      <c r="G739" s="77">
        <f t="shared" si="339"/>
        <v>46085</v>
      </c>
      <c r="H739" s="77">
        <f t="shared" si="340"/>
        <v>46073</v>
      </c>
      <c r="I739" s="77">
        <f t="shared" si="341"/>
        <v>46080</v>
      </c>
      <c r="J739" s="77">
        <v>46095</v>
      </c>
      <c r="K739" s="25">
        <f t="shared" si="342"/>
        <v>30</v>
      </c>
      <c r="L739" s="25">
        <v>14.38</v>
      </c>
      <c r="M739" s="25">
        <v>12.25</v>
      </c>
      <c r="N739" s="25">
        <f t="shared" si="343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336"/>
        <v>46088</v>
      </c>
      <c r="E740" s="77">
        <f t="shared" si="337"/>
        <v>46072</v>
      </c>
      <c r="F740" s="77">
        <f t="shared" si="338"/>
        <v>46079</v>
      </c>
      <c r="G740" s="77">
        <f t="shared" si="339"/>
        <v>46085</v>
      </c>
      <c r="H740" s="77">
        <f t="shared" si="340"/>
        <v>46073</v>
      </c>
      <c r="I740" s="77">
        <f t="shared" si="341"/>
        <v>46080</v>
      </c>
      <c r="J740" s="77">
        <v>46095</v>
      </c>
      <c r="K740" s="25">
        <f t="shared" si="342"/>
        <v>30</v>
      </c>
      <c r="L740" s="25">
        <v>14.21</v>
      </c>
      <c r="M740" s="25">
        <v>12.37</v>
      </c>
      <c r="N740" s="25">
        <f t="shared" si="343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336"/>
        <v>46088</v>
      </c>
      <c r="E741" s="77">
        <f t="shared" si="337"/>
        <v>46072</v>
      </c>
      <c r="F741" s="77">
        <f t="shared" si="338"/>
        <v>46079</v>
      </c>
      <c r="G741" s="77">
        <f t="shared" si="339"/>
        <v>46085</v>
      </c>
      <c r="H741" s="77">
        <f t="shared" si="340"/>
        <v>46073</v>
      </c>
      <c r="I741" s="77">
        <f t="shared" si="341"/>
        <v>46080</v>
      </c>
      <c r="J741" s="77">
        <v>46095</v>
      </c>
      <c r="K741" s="25">
        <f t="shared" si="342"/>
        <v>30</v>
      </c>
      <c r="L741" s="25">
        <v>14.73</v>
      </c>
      <c r="M741" s="25">
        <v>12.54</v>
      </c>
      <c r="N741" s="25">
        <f t="shared" si="343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336"/>
        <v>46088</v>
      </c>
      <c r="E742" s="77">
        <f t="shared" si="337"/>
        <v>46072</v>
      </c>
      <c r="F742" s="77">
        <f t="shared" si="338"/>
        <v>46079</v>
      </c>
      <c r="G742" s="77">
        <f t="shared" si="339"/>
        <v>46085</v>
      </c>
      <c r="H742" s="77">
        <f t="shared" si="340"/>
        <v>46073</v>
      </c>
      <c r="I742" s="77">
        <f t="shared" si="341"/>
        <v>46080</v>
      </c>
      <c r="J742" s="77">
        <v>46095</v>
      </c>
      <c r="K742" s="25">
        <f t="shared" si="342"/>
        <v>30</v>
      </c>
      <c r="L742" s="25">
        <v>12.91</v>
      </c>
      <c r="M742" s="25">
        <v>11.24</v>
      </c>
      <c r="N742" s="25">
        <f t="shared" si="343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336"/>
        <v>46088</v>
      </c>
      <c r="E743" s="77">
        <f t="shared" si="337"/>
        <v>46072</v>
      </c>
      <c r="F743" s="77">
        <f t="shared" si="338"/>
        <v>46079</v>
      </c>
      <c r="G743" s="77">
        <f t="shared" si="339"/>
        <v>46085</v>
      </c>
      <c r="H743" s="77">
        <f t="shared" si="340"/>
        <v>46073</v>
      </c>
      <c r="I743" s="77">
        <f t="shared" si="341"/>
        <v>46080</v>
      </c>
      <c r="J743" s="77">
        <v>46095</v>
      </c>
      <c r="K743" s="25">
        <f t="shared" si="342"/>
        <v>30</v>
      </c>
      <c r="L743" s="25">
        <v>13.54</v>
      </c>
      <c r="M743" s="25">
        <v>11.58</v>
      </c>
      <c r="N743" s="25">
        <f t="shared" si="343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336"/>
        <v>46088</v>
      </c>
      <c r="E744" s="77">
        <f t="shared" si="337"/>
        <v>46072</v>
      </c>
      <c r="F744" s="77">
        <f t="shared" si="338"/>
        <v>46079</v>
      </c>
      <c r="G744" s="77">
        <f t="shared" si="339"/>
        <v>46085</v>
      </c>
      <c r="H744" s="77">
        <f t="shared" si="340"/>
        <v>46073</v>
      </c>
      <c r="I744" s="77">
        <f t="shared" si="341"/>
        <v>46080</v>
      </c>
      <c r="J744" s="77">
        <v>46095</v>
      </c>
      <c r="K744" s="25">
        <f t="shared" si="342"/>
        <v>30</v>
      </c>
      <c r="L744" s="25">
        <v>14.56</v>
      </c>
      <c r="M744" s="25">
        <v>12.41</v>
      </c>
      <c r="N744" s="25">
        <f t="shared" si="343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336"/>
        <v>46089</v>
      </c>
      <c r="E745" s="77">
        <f t="shared" si="337"/>
        <v>46073</v>
      </c>
      <c r="F745" s="77">
        <f t="shared" si="338"/>
        <v>46080</v>
      </c>
      <c r="G745" s="77">
        <f t="shared" si="339"/>
        <v>46086</v>
      </c>
      <c r="H745" s="77">
        <f t="shared" si="340"/>
        <v>46074</v>
      </c>
      <c r="I745" s="77">
        <f t="shared" si="341"/>
        <v>46081</v>
      </c>
      <c r="J745" s="77">
        <v>46095</v>
      </c>
      <c r="K745" s="25">
        <f t="shared" si="342"/>
        <v>29</v>
      </c>
      <c r="L745" s="25">
        <v>13.1</v>
      </c>
      <c r="M745" s="25">
        <v>10.32</v>
      </c>
      <c r="N745" s="25">
        <f t="shared" si="343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336"/>
        <v>46089</v>
      </c>
      <c r="E746" s="77">
        <f t="shared" si="337"/>
        <v>46073</v>
      </c>
      <c r="F746" s="77">
        <f t="shared" si="338"/>
        <v>46080</v>
      </c>
      <c r="G746" s="77">
        <f t="shared" si="339"/>
        <v>46086</v>
      </c>
      <c r="H746" s="77">
        <f t="shared" si="340"/>
        <v>46074</v>
      </c>
      <c r="I746" s="77">
        <f t="shared" si="341"/>
        <v>46081</v>
      </c>
      <c r="J746" s="77">
        <v>46095</v>
      </c>
      <c r="K746" s="25">
        <f t="shared" si="342"/>
        <v>29</v>
      </c>
      <c r="L746" s="25">
        <v>13.86</v>
      </c>
      <c r="M746" s="25">
        <v>11.73</v>
      </c>
      <c r="N746" s="25">
        <f t="shared" si="343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336"/>
        <v>46089</v>
      </c>
      <c r="E747" s="77">
        <f t="shared" si="337"/>
        <v>46073</v>
      </c>
      <c r="F747" s="77">
        <f t="shared" si="338"/>
        <v>46080</v>
      </c>
      <c r="G747" s="77">
        <f t="shared" si="339"/>
        <v>46086</v>
      </c>
      <c r="H747" s="77">
        <f t="shared" si="340"/>
        <v>46074</v>
      </c>
      <c r="I747" s="77">
        <f t="shared" si="341"/>
        <v>46081</v>
      </c>
      <c r="J747" s="77">
        <v>46095</v>
      </c>
      <c r="K747" s="25">
        <f t="shared" si="342"/>
        <v>29</v>
      </c>
      <c r="L747" s="25">
        <v>14.8</v>
      </c>
      <c r="M747" s="25">
        <v>12.64</v>
      </c>
      <c r="N747" s="25">
        <f t="shared" si="343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336"/>
        <v>46089</v>
      </c>
      <c r="E748" s="77">
        <f t="shared" si="337"/>
        <v>46073</v>
      </c>
      <c r="F748" s="77">
        <f t="shared" si="338"/>
        <v>46080</v>
      </c>
      <c r="G748" s="77">
        <f t="shared" si="339"/>
        <v>46086</v>
      </c>
      <c r="H748" s="77">
        <f t="shared" si="340"/>
        <v>46074</v>
      </c>
      <c r="I748" s="77">
        <f t="shared" si="341"/>
        <v>46081</v>
      </c>
      <c r="J748" s="77">
        <v>46095</v>
      </c>
      <c r="K748" s="25">
        <f t="shared" si="342"/>
        <v>29</v>
      </c>
      <c r="L748" s="25">
        <v>14.74</v>
      </c>
      <c r="M748" s="25">
        <v>12.58</v>
      </c>
      <c r="N748" s="25">
        <f t="shared" si="343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336"/>
        <v>46089</v>
      </c>
      <c r="E749" s="77">
        <f t="shared" si="337"/>
        <v>46073</v>
      </c>
      <c r="F749" s="77">
        <f t="shared" si="338"/>
        <v>46080</v>
      </c>
      <c r="G749" s="77">
        <f t="shared" si="339"/>
        <v>46086</v>
      </c>
      <c r="H749" s="77">
        <f t="shared" si="340"/>
        <v>46074</v>
      </c>
      <c r="I749" s="77">
        <f t="shared" si="341"/>
        <v>46081</v>
      </c>
      <c r="J749" s="77">
        <v>46096</v>
      </c>
      <c r="K749" s="25">
        <f t="shared" si="342"/>
        <v>30</v>
      </c>
      <c r="L749" s="25">
        <v>10.81</v>
      </c>
      <c r="M749" s="25">
        <v>8.5299999999999994</v>
      </c>
      <c r="N749" s="25">
        <f t="shared" si="343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336"/>
        <v>46089</v>
      </c>
      <c r="E750" s="77">
        <f t="shared" si="337"/>
        <v>46073</v>
      </c>
      <c r="F750" s="77">
        <f t="shared" si="338"/>
        <v>46080</v>
      </c>
      <c r="G750" s="77">
        <f t="shared" si="339"/>
        <v>46086</v>
      </c>
      <c r="H750" s="77">
        <f t="shared" si="340"/>
        <v>46074</v>
      </c>
      <c r="I750" s="77">
        <f t="shared" si="341"/>
        <v>46081</v>
      </c>
      <c r="J750" s="77">
        <v>46096</v>
      </c>
      <c r="K750" s="25">
        <f t="shared" si="342"/>
        <v>30</v>
      </c>
      <c r="L750" s="25">
        <v>11.28</v>
      </c>
      <c r="M750" s="25">
        <v>9.34</v>
      </c>
      <c r="N750" s="25">
        <f t="shared" si="343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336"/>
        <v>46089</v>
      </c>
      <c r="E751" s="77">
        <f t="shared" si="337"/>
        <v>46073</v>
      </c>
      <c r="F751" s="77">
        <f t="shared" si="338"/>
        <v>46080</v>
      </c>
      <c r="G751" s="77">
        <f t="shared" si="339"/>
        <v>46086</v>
      </c>
      <c r="H751" s="77">
        <f t="shared" si="340"/>
        <v>46074</v>
      </c>
      <c r="I751" s="77">
        <f t="shared" si="341"/>
        <v>46081</v>
      </c>
      <c r="J751" s="77">
        <v>46096</v>
      </c>
      <c r="K751" s="25">
        <f t="shared" si="342"/>
        <v>30</v>
      </c>
      <c r="L751" s="25">
        <v>10.36</v>
      </c>
      <c r="M751" s="25">
        <v>8.76</v>
      </c>
      <c r="N751" s="25">
        <f t="shared" si="343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336"/>
        <v>46090</v>
      </c>
      <c r="E752" s="77">
        <f t="shared" si="337"/>
        <v>46074</v>
      </c>
      <c r="F752" s="77">
        <f t="shared" si="338"/>
        <v>46081</v>
      </c>
      <c r="G752" s="77">
        <f t="shared" si="339"/>
        <v>46087</v>
      </c>
      <c r="H752" s="77">
        <f t="shared" si="340"/>
        <v>46075</v>
      </c>
      <c r="I752" s="77">
        <f t="shared" si="341"/>
        <v>46082</v>
      </c>
      <c r="J752" s="77">
        <v>46096</v>
      </c>
      <c r="K752" s="25">
        <f t="shared" si="342"/>
        <v>29</v>
      </c>
      <c r="L752" s="25">
        <v>12.17</v>
      </c>
      <c r="M752" s="25">
        <v>10.11</v>
      </c>
      <c r="N752" s="25">
        <f t="shared" si="343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336"/>
        <v>46090</v>
      </c>
      <c r="E753" s="77">
        <f t="shared" si="337"/>
        <v>46074</v>
      </c>
      <c r="F753" s="77">
        <f t="shared" si="338"/>
        <v>46081</v>
      </c>
      <c r="G753" s="77">
        <f t="shared" si="339"/>
        <v>46087</v>
      </c>
      <c r="H753" s="77">
        <f t="shared" si="340"/>
        <v>46075</v>
      </c>
      <c r="I753" s="77">
        <f t="shared" si="341"/>
        <v>46082</v>
      </c>
      <c r="J753" s="77">
        <v>46096</v>
      </c>
      <c r="K753" s="25">
        <f t="shared" si="342"/>
        <v>29</v>
      </c>
      <c r="L753" s="25">
        <v>12.54</v>
      </c>
      <c r="M753" s="25">
        <v>10.25</v>
      </c>
      <c r="N753" s="25">
        <f t="shared" si="343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336"/>
        <v>46090</v>
      </c>
      <c r="E754" s="77">
        <f t="shared" si="337"/>
        <v>46074</v>
      </c>
      <c r="F754" s="77">
        <f t="shared" si="338"/>
        <v>46081</v>
      </c>
      <c r="G754" s="77">
        <f t="shared" si="339"/>
        <v>46087</v>
      </c>
      <c r="H754" s="77">
        <f t="shared" si="340"/>
        <v>46075</v>
      </c>
      <c r="I754" s="77">
        <f t="shared" si="341"/>
        <v>46082</v>
      </c>
      <c r="J754" s="77">
        <v>46096</v>
      </c>
      <c r="K754" s="25">
        <f t="shared" si="342"/>
        <v>29</v>
      </c>
      <c r="L754" s="25">
        <v>11.86</v>
      </c>
      <c r="M754" s="25">
        <v>9.73</v>
      </c>
      <c r="N754" s="25">
        <f t="shared" si="343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336"/>
        <v>46090</v>
      </c>
      <c r="E755" s="77">
        <f t="shared" si="337"/>
        <v>46074</v>
      </c>
      <c r="F755" s="77">
        <f t="shared" si="338"/>
        <v>46081</v>
      </c>
      <c r="G755" s="77">
        <f t="shared" si="339"/>
        <v>46087</v>
      </c>
      <c r="H755" s="77">
        <f t="shared" si="340"/>
        <v>46075</v>
      </c>
      <c r="I755" s="77">
        <f t="shared" si="341"/>
        <v>46082</v>
      </c>
      <c r="J755" s="77">
        <v>46096</v>
      </c>
      <c r="K755" s="25">
        <f t="shared" si="342"/>
        <v>29</v>
      </c>
      <c r="L755" s="25">
        <v>10.25</v>
      </c>
      <c r="M755" s="25">
        <v>8.1199999999999992</v>
      </c>
      <c r="N755" s="25">
        <f t="shared" si="343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336"/>
        <v>46090</v>
      </c>
      <c r="E756" s="77">
        <f t="shared" si="337"/>
        <v>46074</v>
      </c>
      <c r="F756" s="77">
        <f t="shared" si="338"/>
        <v>46081</v>
      </c>
      <c r="G756" s="77">
        <f t="shared" si="339"/>
        <v>46087</v>
      </c>
      <c r="H756" s="77">
        <f t="shared" si="340"/>
        <v>46075</v>
      </c>
      <c r="I756" s="77">
        <f t="shared" si="341"/>
        <v>46082</v>
      </c>
      <c r="J756" s="77">
        <v>46096</v>
      </c>
      <c r="K756" s="25">
        <f t="shared" si="342"/>
        <v>29</v>
      </c>
      <c r="L756" s="25">
        <v>10.17</v>
      </c>
      <c r="M756" s="25">
        <v>8.36</v>
      </c>
      <c r="N756" s="25">
        <f t="shared" si="343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336"/>
        <v>46090</v>
      </c>
      <c r="E757" s="77">
        <f t="shared" si="337"/>
        <v>46074</v>
      </c>
      <c r="F757" s="77">
        <f t="shared" si="338"/>
        <v>46081</v>
      </c>
      <c r="G757" s="77">
        <f t="shared" si="339"/>
        <v>46087</v>
      </c>
      <c r="H757" s="77">
        <f t="shared" si="340"/>
        <v>46075</v>
      </c>
      <c r="I757" s="77">
        <f t="shared" si="341"/>
        <v>46082</v>
      </c>
      <c r="J757" s="77">
        <v>46096</v>
      </c>
      <c r="K757" s="25">
        <f t="shared" si="342"/>
        <v>29</v>
      </c>
      <c r="L757" s="25">
        <v>11.54</v>
      </c>
      <c r="M757" s="25">
        <v>9.1999999999999993</v>
      </c>
      <c r="N757" s="25">
        <f t="shared" si="343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336"/>
        <v>46090</v>
      </c>
      <c r="E758" s="77">
        <f t="shared" si="337"/>
        <v>46074</v>
      </c>
      <c r="F758" s="77">
        <f t="shared" si="338"/>
        <v>46081</v>
      </c>
      <c r="G758" s="77">
        <f t="shared" si="339"/>
        <v>46087</v>
      </c>
      <c r="H758" s="77">
        <f t="shared" si="340"/>
        <v>46075</v>
      </c>
      <c r="I758" s="77">
        <f t="shared" si="341"/>
        <v>46082</v>
      </c>
      <c r="J758" s="77">
        <v>46096</v>
      </c>
      <c r="K758" s="25">
        <f t="shared" si="342"/>
        <v>29</v>
      </c>
      <c r="L758" s="25">
        <v>10.68</v>
      </c>
      <c r="M758" s="25">
        <v>8.73</v>
      </c>
      <c r="N758" s="25">
        <f t="shared" si="343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336"/>
        <v>46091</v>
      </c>
      <c r="E759" s="77">
        <f t="shared" si="337"/>
        <v>46075</v>
      </c>
      <c r="F759" s="77">
        <f t="shared" si="338"/>
        <v>46082</v>
      </c>
      <c r="G759" s="77">
        <f t="shared" si="339"/>
        <v>46088</v>
      </c>
      <c r="H759" s="77">
        <f t="shared" si="340"/>
        <v>46076</v>
      </c>
      <c r="I759" s="77">
        <f t="shared" si="341"/>
        <v>46083</v>
      </c>
      <c r="J759" s="77">
        <v>46096</v>
      </c>
      <c r="K759" s="25">
        <f t="shared" si="342"/>
        <v>28</v>
      </c>
      <c r="L759" s="25">
        <v>12.54</v>
      </c>
      <c r="M759" s="25">
        <v>10.58</v>
      </c>
      <c r="N759" s="25">
        <f t="shared" si="343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336"/>
        <v>46091</v>
      </c>
      <c r="E760" s="77">
        <f t="shared" si="337"/>
        <v>46075</v>
      </c>
      <c r="F760" s="77">
        <f t="shared" si="338"/>
        <v>46082</v>
      </c>
      <c r="G760" s="77">
        <f t="shared" si="339"/>
        <v>46088</v>
      </c>
      <c r="H760" s="77">
        <f t="shared" si="340"/>
        <v>46076</v>
      </c>
      <c r="I760" s="77">
        <f t="shared" si="341"/>
        <v>46083</v>
      </c>
      <c r="J760" s="77">
        <v>46096</v>
      </c>
      <c r="K760" s="25">
        <f t="shared" si="342"/>
        <v>28</v>
      </c>
      <c r="L760" s="25">
        <v>13.1</v>
      </c>
      <c r="M760" s="25">
        <v>11.51</v>
      </c>
      <c r="N760" s="25">
        <f t="shared" si="343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336"/>
        <v>46091</v>
      </c>
      <c r="E761" s="77">
        <f t="shared" si="337"/>
        <v>46075</v>
      </c>
      <c r="F761" s="77">
        <f t="shared" si="338"/>
        <v>46082</v>
      </c>
      <c r="G761" s="77">
        <f t="shared" si="339"/>
        <v>46088</v>
      </c>
      <c r="H761" s="77">
        <f t="shared" si="340"/>
        <v>46076</v>
      </c>
      <c r="I761" s="77">
        <f t="shared" si="341"/>
        <v>46083</v>
      </c>
      <c r="J761" s="77">
        <v>46096</v>
      </c>
      <c r="K761" s="25">
        <f t="shared" si="342"/>
        <v>28</v>
      </c>
      <c r="L761" s="25">
        <v>11.51</v>
      </c>
      <c r="M761" s="25">
        <v>10.130000000000001</v>
      </c>
      <c r="N761" s="25">
        <f t="shared" si="343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336"/>
        <v>46091</v>
      </c>
      <c r="E762" s="77">
        <f t="shared" si="337"/>
        <v>46075</v>
      </c>
      <c r="F762" s="77">
        <f t="shared" si="338"/>
        <v>46082</v>
      </c>
      <c r="G762" s="77">
        <f t="shared" si="339"/>
        <v>46088</v>
      </c>
      <c r="H762" s="77">
        <f t="shared" si="340"/>
        <v>46076</v>
      </c>
      <c r="I762" s="77">
        <f t="shared" si="341"/>
        <v>46083</v>
      </c>
      <c r="J762" s="77">
        <v>46096</v>
      </c>
      <c r="K762" s="25">
        <f t="shared" si="342"/>
        <v>28</v>
      </c>
      <c r="L762" s="25">
        <v>13.14</v>
      </c>
      <c r="M762" s="25">
        <v>11.47</v>
      </c>
      <c r="N762" s="25">
        <f t="shared" si="343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336"/>
        <v>46091</v>
      </c>
      <c r="E763" s="77">
        <f t="shared" si="337"/>
        <v>46075</v>
      </c>
      <c r="F763" s="77">
        <f t="shared" si="338"/>
        <v>46082</v>
      </c>
      <c r="G763" s="77">
        <f t="shared" si="339"/>
        <v>46088</v>
      </c>
      <c r="H763" s="77">
        <f t="shared" si="340"/>
        <v>46076</v>
      </c>
      <c r="I763" s="77">
        <f t="shared" si="341"/>
        <v>46083</v>
      </c>
      <c r="J763" s="77">
        <v>46097</v>
      </c>
      <c r="K763" s="25">
        <f t="shared" si="342"/>
        <v>29</v>
      </c>
      <c r="L763" s="25">
        <v>13.07</v>
      </c>
      <c r="M763" s="25">
        <v>11.73</v>
      </c>
      <c r="N763" s="25">
        <f t="shared" si="343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336"/>
        <v>46091</v>
      </c>
      <c r="E764" s="77">
        <f t="shared" si="337"/>
        <v>46075</v>
      </c>
      <c r="F764" s="77">
        <f t="shared" si="338"/>
        <v>46082</v>
      </c>
      <c r="G764" s="77">
        <f t="shared" si="339"/>
        <v>46088</v>
      </c>
      <c r="H764" s="77">
        <f t="shared" si="340"/>
        <v>46076</v>
      </c>
      <c r="I764" s="77">
        <f t="shared" si="341"/>
        <v>46083</v>
      </c>
      <c r="J764" s="77">
        <v>46097</v>
      </c>
      <c r="K764" s="25">
        <f t="shared" si="342"/>
        <v>29</v>
      </c>
      <c r="L764" s="25">
        <v>12.16</v>
      </c>
      <c r="M764" s="25">
        <v>10.15</v>
      </c>
      <c r="N764" s="25">
        <f t="shared" si="343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336"/>
        <v>46091</v>
      </c>
      <c r="E765" s="77">
        <f t="shared" si="337"/>
        <v>46075</v>
      </c>
      <c r="F765" s="77">
        <f t="shared" si="338"/>
        <v>46082</v>
      </c>
      <c r="G765" s="77">
        <f t="shared" si="339"/>
        <v>46088</v>
      </c>
      <c r="H765" s="77">
        <f t="shared" si="340"/>
        <v>46076</v>
      </c>
      <c r="I765" s="77">
        <f t="shared" si="341"/>
        <v>46083</v>
      </c>
      <c r="J765" s="77">
        <v>46097</v>
      </c>
      <c r="K765" s="25">
        <f t="shared" si="342"/>
        <v>29</v>
      </c>
      <c r="L765" s="25">
        <v>12.33</v>
      </c>
      <c r="M765" s="25">
        <v>10.58</v>
      </c>
      <c r="N765" s="25">
        <f t="shared" si="343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336"/>
        <v>46092</v>
      </c>
      <c r="E766" s="77">
        <f t="shared" si="337"/>
        <v>46076</v>
      </c>
      <c r="F766" s="77">
        <f t="shared" si="338"/>
        <v>46083</v>
      </c>
      <c r="G766" s="77">
        <f t="shared" si="339"/>
        <v>46089</v>
      </c>
      <c r="H766" s="77">
        <f t="shared" si="340"/>
        <v>46077</v>
      </c>
      <c r="I766" s="77">
        <f t="shared" si="341"/>
        <v>46084</v>
      </c>
      <c r="J766" s="77">
        <v>46097</v>
      </c>
      <c r="K766" s="25">
        <f t="shared" si="342"/>
        <v>28</v>
      </c>
      <c r="L766" s="25">
        <v>13.1</v>
      </c>
      <c r="M766" s="25">
        <v>11.31</v>
      </c>
      <c r="N766" s="25">
        <f t="shared" si="343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336"/>
        <v>46092</v>
      </c>
      <c r="E767" s="77">
        <f t="shared" si="337"/>
        <v>46076</v>
      </c>
      <c r="F767" s="77">
        <f t="shared" si="338"/>
        <v>46083</v>
      </c>
      <c r="G767" s="77">
        <f t="shared" si="339"/>
        <v>46089</v>
      </c>
      <c r="H767" s="77">
        <f t="shared" si="340"/>
        <v>46077</v>
      </c>
      <c r="I767" s="77">
        <f t="shared" si="341"/>
        <v>46084</v>
      </c>
      <c r="J767" s="77">
        <v>46097</v>
      </c>
      <c r="K767" s="25">
        <f t="shared" si="342"/>
        <v>28</v>
      </c>
      <c r="L767" s="25">
        <v>12.93</v>
      </c>
      <c r="M767" s="25">
        <v>11.74</v>
      </c>
      <c r="N767" s="25">
        <f t="shared" si="343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336"/>
        <v>46092</v>
      </c>
      <c r="E768" s="77">
        <f t="shared" si="337"/>
        <v>46076</v>
      </c>
      <c r="F768" s="77">
        <f t="shared" si="338"/>
        <v>46083</v>
      </c>
      <c r="G768" s="77">
        <f t="shared" si="339"/>
        <v>46089</v>
      </c>
      <c r="H768" s="77">
        <f t="shared" si="340"/>
        <v>46077</v>
      </c>
      <c r="I768" s="77">
        <f t="shared" si="341"/>
        <v>46084</v>
      </c>
      <c r="J768" s="77">
        <v>46097</v>
      </c>
      <c r="K768" s="25">
        <f t="shared" si="342"/>
        <v>28</v>
      </c>
      <c r="L768" s="25">
        <v>14.11</v>
      </c>
      <c r="M768" s="25">
        <v>12.31</v>
      </c>
      <c r="N768" s="25">
        <f t="shared" si="343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336"/>
        <v>46092</v>
      </c>
      <c r="E769" s="77">
        <f t="shared" si="337"/>
        <v>46076</v>
      </c>
      <c r="F769" s="77">
        <f t="shared" si="338"/>
        <v>46083</v>
      </c>
      <c r="G769" s="77">
        <f t="shared" si="339"/>
        <v>46089</v>
      </c>
      <c r="H769" s="77">
        <f t="shared" si="340"/>
        <v>46077</v>
      </c>
      <c r="I769" s="77">
        <f t="shared" si="341"/>
        <v>46084</v>
      </c>
      <c r="J769" s="77">
        <v>46098</v>
      </c>
      <c r="K769" s="25">
        <f t="shared" si="342"/>
        <v>29</v>
      </c>
      <c r="L769" s="25">
        <v>13.52</v>
      </c>
      <c r="M769" s="25">
        <v>11.23</v>
      </c>
      <c r="N769" s="25">
        <f t="shared" si="343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336"/>
        <v>46092</v>
      </c>
      <c r="E770" s="77">
        <f t="shared" si="337"/>
        <v>46076</v>
      </c>
      <c r="F770" s="77">
        <f t="shared" si="338"/>
        <v>46083</v>
      </c>
      <c r="G770" s="77">
        <f t="shared" si="339"/>
        <v>46089</v>
      </c>
      <c r="H770" s="77">
        <f t="shared" si="340"/>
        <v>46077</v>
      </c>
      <c r="I770" s="77">
        <f t="shared" si="341"/>
        <v>46084</v>
      </c>
      <c r="J770" s="77">
        <v>46098</v>
      </c>
      <c r="K770" s="25">
        <f t="shared" ref="K770:K772" si="344">J770-A770</f>
        <v>29</v>
      </c>
      <c r="L770" s="25">
        <v>14.17</v>
      </c>
      <c r="M770" s="25">
        <v>12.16</v>
      </c>
      <c r="N770" s="25">
        <f t="shared" si="343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336"/>
        <v>46092</v>
      </c>
      <c r="E771" s="77">
        <f t="shared" si="337"/>
        <v>46076</v>
      </c>
      <c r="F771" s="77">
        <f t="shared" si="338"/>
        <v>46083</v>
      </c>
      <c r="G771" s="77">
        <f t="shared" si="339"/>
        <v>46089</v>
      </c>
      <c r="H771" s="77">
        <f t="shared" si="340"/>
        <v>46077</v>
      </c>
      <c r="I771" s="77">
        <f t="shared" si="341"/>
        <v>46084</v>
      </c>
      <c r="J771" s="77">
        <v>46098</v>
      </c>
      <c r="K771" s="25">
        <f t="shared" si="344"/>
        <v>29</v>
      </c>
      <c r="L771" s="25">
        <v>14.26</v>
      </c>
      <c r="M771" s="25">
        <v>12.33</v>
      </c>
      <c r="N771" s="25">
        <f t="shared" si="343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336"/>
        <v>46092</v>
      </c>
      <c r="E772" s="77">
        <f t="shared" si="337"/>
        <v>46076</v>
      </c>
      <c r="F772" s="77">
        <f t="shared" si="338"/>
        <v>46083</v>
      </c>
      <c r="G772" s="77">
        <f t="shared" si="339"/>
        <v>46089</v>
      </c>
      <c r="H772" s="77">
        <f t="shared" si="340"/>
        <v>46077</v>
      </c>
      <c r="I772" s="77">
        <f t="shared" si="341"/>
        <v>46084</v>
      </c>
      <c r="J772" s="77">
        <v>46098</v>
      </c>
      <c r="K772" s="25">
        <f t="shared" si="344"/>
        <v>29</v>
      </c>
      <c r="L772" s="25">
        <v>12.97</v>
      </c>
      <c r="M772" s="25">
        <v>11.58</v>
      </c>
      <c r="N772" s="25">
        <f t="shared" si="343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336"/>
        <v>46093</v>
      </c>
      <c r="E773" s="77">
        <f t="shared" si="337"/>
        <v>46077</v>
      </c>
      <c r="F773" s="77">
        <f t="shared" si="338"/>
        <v>46084</v>
      </c>
      <c r="G773" s="77">
        <f t="shared" si="339"/>
        <v>46090</v>
      </c>
      <c r="H773" s="77">
        <f t="shared" si="340"/>
        <v>46078</v>
      </c>
      <c r="I773" s="77">
        <f t="shared" si="341"/>
        <v>46085</v>
      </c>
      <c r="J773" s="77">
        <v>46098</v>
      </c>
      <c r="K773" s="25">
        <f t="shared" ref="K773:K775" si="345">J773-A773</f>
        <v>28</v>
      </c>
      <c r="L773" s="25">
        <v>14.1</v>
      </c>
      <c r="M773" s="25">
        <v>12.93</v>
      </c>
      <c r="N773" s="25">
        <f t="shared" si="343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336"/>
        <v>46093</v>
      </c>
      <c r="E774" s="77">
        <f t="shared" si="337"/>
        <v>46077</v>
      </c>
      <c r="F774" s="77">
        <f t="shared" si="338"/>
        <v>46084</v>
      </c>
      <c r="G774" s="77">
        <f t="shared" si="339"/>
        <v>46090</v>
      </c>
      <c r="H774" s="77">
        <f t="shared" si="340"/>
        <v>46078</v>
      </c>
      <c r="I774" s="77">
        <f t="shared" si="341"/>
        <v>46085</v>
      </c>
      <c r="J774" s="77">
        <v>46098</v>
      </c>
      <c r="K774" s="25">
        <f t="shared" si="345"/>
        <v>28</v>
      </c>
      <c r="L774" s="25">
        <v>13.88</v>
      </c>
      <c r="M774" s="25">
        <v>12.11</v>
      </c>
      <c r="N774" s="25">
        <f t="shared" si="343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336"/>
        <v>46093</v>
      </c>
      <c r="E775" s="77">
        <f t="shared" si="337"/>
        <v>46077</v>
      </c>
      <c r="F775" s="77">
        <f t="shared" si="338"/>
        <v>46084</v>
      </c>
      <c r="G775" s="77">
        <f t="shared" si="339"/>
        <v>46090</v>
      </c>
      <c r="H775" s="77">
        <f t="shared" si="340"/>
        <v>46078</v>
      </c>
      <c r="I775" s="77">
        <f t="shared" si="341"/>
        <v>46085</v>
      </c>
      <c r="J775" s="77">
        <v>46099</v>
      </c>
      <c r="K775" s="25">
        <f t="shared" si="345"/>
        <v>29</v>
      </c>
      <c r="L775" s="25">
        <v>13.26</v>
      </c>
      <c r="M775" s="25">
        <v>11.53</v>
      </c>
      <c r="N775" s="25">
        <f t="shared" si="343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336"/>
        <v>46093</v>
      </c>
      <c r="E776" s="77">
        <f t="shared" si="337"/>
        <v>46077</v>
      </c>
      <c r="F776" s="77">
        <f t="shared" si="338"/>
        <v>46084</v>
      </c>
      <c r="G776" s="77">
        <f t="shared" si="339"/>
        <v>46090</v>
      </c>
      <c r="H776" s="77">
        <f t="shared" si="340"/>
        <v>46078</v>
      </c>
      <c r="I776" s="77">
        <f t="shared" si="341"/>
        <v>46085</v>
      </c>
      <c r="J776" s="77">
        <v>46099</v>
      </c>
      <c r="K776" s="25">
        <f t="shared" ref="K776:K779" si="346">J776-A776</f>
        <v>29</v>
      </c>
      <c r="L776" s="25">
        <v>11.73</v>
      </c>
      <c r="M776" s="25">
        <v>10.15</v>
      </c>
      <c r="N776" s="25">
        <f t="shared" si="343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336"/>
        <v>46093</v>
      </c>
      <c r="E777" s="77">
        <f t="shared" si="337"/>
        <v>46077</v>
      </c>
      <c r="F777" s="77">
        <f t="shared" si="338"/>
        <v>46084</v>
      </c>
      <c r="G777" s="77">
        <f t="shared" si="339"/>
        <v>46090</v>
      </c>
      <c r="H777" s="77">
        <f t="shared" si="340"/>
        <v>46078</v>
      </c>
      <c r="I777" s="77">
        <f t="shared" si="341"/>
        <v>46085</v>
      </c>
      <c r="J777" s="77">
        <v>46099</v>
      </c>
      <c r="K777" s="25">
        <f t="shared" si="346"/>
        <v>29</v>
      </c>
      <c r="L777" s="25">
        <v>11.89</v>
      </c>
      <c r="M777" s="25">
        <v>10.34</v>
      </c>
      <c r="N777" s="25">
        <f t="shared" si="343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336"/>
        <v>46093</v>
      </c>
      <c r="E778" s="77">
        <f t="shared" si="337"/>
        <v>46077</v>
      </c>
      <c r="F778" s="77">
        <f t="shared" si="338"/>
        <v>46084</v>
      </c>
      <c r="G778" s="77">
        <f t="shared" si="339"/>
        <v>46090</v>
      </c>
      <c r="H778" s="77">
        <f t="shared" si="340"/>
        <v>46078</v>
      </c>
      <c r="I778" s="77">
        <f t="shared" si="341"/>
        <v>46085</v>
      </c>
      <c r="J778" s="77">
        <v>46099</v>
      </c>
      <c r="K778" s="25">
        <f t="shared" si="346"/>
        <v>29</v>
      </c>
      <c r="L778" s="25">
        <v>13.34</v>
      </c>
      <c r="M778" s="25">
        <v>11.73</v>
      </c>
      <c r="N778" s="25">
        <f t="shared" si="343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336"/>
        <v>46093</v>
      </c>
      <c r="E779" s="77">
        <f t="shared" si="337"/>
        <v>46077</v>
      </c>
      <c r="F779" s="77">
        <f t="shared" si="338"/>
        <v>46084</v>
      </c>
      <c r="G779" s="77">
        <f t="shared" si="339"/>
        <v>46090</v>
      </c>
      <c r="H779" s="77">
        <f t="shared" si="340"/>
        <v>46078</v>
      </c>
      <c r="I779" s="77">
        <f t="shared" si="341"/>
        <v>46085</v>
      </c>
      <c r="J779" s="77">
        <v>46099</v>
      </c>
      <c r="K779" s="25">
        <f t="shared" si="346"/>
        <v>29</v>
      </c>
      <c r="L779" s="25">
        <v>12.1</v>
      </c>
      <c r="M779" s="25">
        <v>10.58</v>
      </c>
      <c r="N779" s="25">
        <f t="shared" si="343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336"/>
        <v>46094</v>
      </c>
      <c r="E780" s="77">
        <f t="shared" si="337"/>
        <v>46078</v>
      </c>
      <c r="F780" s="77">
        <f t="shared" si="338"/>
        <v>46085</v>
      </c>
      <c r="G780" s="77">
        <f t="shared" si="339"/>
        <v>46091</v>
      </c>
      <c r="H780" s="77">
        <f t="shared" si="340"/>
        <v>46079</v>
      </c>
      <c r="I780" s="77">
        <f t="shared" si="341"/>
        <v>46086</v>
      </c>
      <c r="J780" s="77">
        <v>46099</v>
      </c>
      <c r="K780" s="25">
        <f t="shared" ref="K780:K786" si="347">J780-A780</f>
        <v>28</v>
      </c>
      <c r="L780" s="25">
        <v>11.81</v>
      </c>
      <c r="M780" s="25">
        <v>10.210000000000001</v>
      </c>
      <c r="N780" s="25">
        <f t="shared" si="343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336"/>
        <v>46094</v>
      </c>
      <c r="E781" s="77">
        <f t="shared" si="337"/>
        <v>46078</v>
      </c>
      <c r="F781" s="77">
        <f t="shared" si="338"/>
        <v>46085</v>
      </c>
      <c r="G781" s="77">
        <f t="shared" si="339"/>
        <v>46091</v>
      </c>
      <c r="H781" s="77">
        <f t="shared" si="340"/>
        <v>46079</v>
      </c>
      <c r="I781" s="77">
        <f t="shared" si="341"/>
        <v>46086</v>
      </c>
      <c r="J781" s="77">
        <v>46099</v>
      </c>
      <c r="K781" s="25">
        <f t="shared" si="347"/>
        <v>28</v>
      </c>
      <c r="L781" s="25">
        <v>13.45</v>
      </c>
      <c r="M781" s="25">
        <v>11.56</v>
      </c>
      <c r="N781" s="25">
        <f t="shared" si="343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336"/>
        <v>46094</v>
      </c>
      <c r="E782" s="77">
        <f t="shared" si="337"/>
        <v>46078</v>
      </c>
      <c r="F782" s="77">
        <f t="shared" si="338"/>
        <v>46085</v>
      </c>
      <c r="G782" s="77">
        <f t="shared" si="339"/>
        <v>46091</v>
      </c>
      <c r="H782" s="77">
        <f t="shared" si="340"/>
        <v>46079</v>
      </c>
      <c r="I782" s="77">
        <f t="shared" si="341"/>
        <v>46086</v>
      </c>
      <c r="J782" s="77">
        <v>46099</v>
      </c>
      <c r="K782" s="25">
        <f t="shared" si="347"/>
        <v>28</v>
      </c>
      <c r="L782" s="25">
        <v>12.26</v>
      </c>
      <c r="M782" s="25">
        <v>10.74</v>
      </c>
      <c r="N782" s="25">
        <f t="shared" si="343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336"/>
        <v>46094</v>
      </c>
      <c r="E783" s="77">
        <f t="shared" si="337"/>
        <v>46078</v>
      </c>
      <c r="F783" s="77">
        <f t="shared" si="338"/>
        <v>46085</v>
      </c>
      <c r="G783" s="77">
        <f t="shared" si="339"/>
        <v>46091</v>
      </c>
      <c r="H783" s="77">
        <f t="shared" si="340"/>
        <v>46079</v>
      </c>
      <c r="I783" s="77">
        <f t="shared" si="341"/>
        <v>46086</v>
      </c>
      <c r="J783" s="77">
        <v>46099</v>
      </c>
      <c r="K783" s="25">
        <f t="shared" si="347"/>
        <v>28</v>
      </c>
      <c r="L783" s="25">
        <v>11.91</v>
      </c>
      <c r="M783" s="25">
        <v>10.58</v>
      </c>
      <c r="N783" s="25">
        <f t="shared" si="343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336"/>
        <v>46094</v>
      </c>
      <c r="E784" s="77">
        <f t="shared" si="337"/>
        <v>46078</v>
      </c>
      <c r="F784" s="77">
        <f t="shared" si="338"/>
        <v>46085</v>
      </c>
      <c r="G784" s="77">
        <f t="shared" si="339"/>
        <v>46091</v>
      </c>
      <c r="H784" s="77">
        <f t="shared" si="340"/>
        <v>46079</v>
      </c>
      <c r="I784" s="77">
        <f t="shared" si="341"/>
        <v>46086</v>
      </c>
      <c r="J784" s="77">
        <v>46099</v>
      </c>
      <c r="K784" s="25">
        <f t="shared" si="347"/>
        <v>28</v>
      </c>
      <c r="L784" s="25">
        <v>13.16</v>
      </c>
      <c r="M784" s="25">
        <v>11.31</v>
      </c>
      <c r="N784" s="25">
        <f t="shared" si="343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336"/>
        <v>46094</v>
      </c>
      <c r="E785" s="77">
        <f t="shared" si="337"/>
        <v>46078</v>
      </c>
      <c r="F785" s="77">
        <f t="shared" si="338"/>
        <v>46085</v>
      </c>
      <c r="G785" s="77">
        <f t="shared" si="339"/>
        <v>46091</v>
      </c>
      <c r="H785" s="77">
        <f t="shared" si="340"/>
        <v>46079</v>
      </c>
      <c r="I785" s="77">
        <f t="shared" si="341"/>
        <v>46086</v>
      </c>
      <c r="J785" s="77">
        <v>46099</v>
      </c>
      <c r="K785" s="25">
        <f t="shared" si="347"/>
        <v>28</v>
      </c>
      <c r="L785" s="25">
        <v>14.08</v>
      </c>
      <c r="M785" s="25">
        <v>12.17</v>
      </c>
      <c r="N785" s="25">
        <f t="shared" si="343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336"/>
        <v>46094</v>
      </c>
      <c r="E786" s="77">
        <f t="shared" si="337"/>
        <v>46078</v>
      </c>
      <c r="F786" s="77">
        <f t="shared" si="338"/>
        <v>46085</v>
      </c>
      <c r="G786" s="77">
        <f t="shared" si="339"/>
        <v>46091</v>
      </c>
      <c r="H786" s="77">
        <f t="shared" si="340"/>
        <v>46079</v>
      </c>
      <c r="I786" s="77">
        <f t="shared" si="341"/>
        <v>46086</v>
      </c>
      <c r="J786" s="77">
        <v>46100</v>
      </c>
      <c r="K786" s="25">
        <f t="shared" si="347"/>
        <v>29</v>
      </c>
      <c r="L786" s="25">
        <v>14.74</v>
      </c>
      <c r="M786" s="25">
        <v>13.21</v>
      </c>
      <c r="N786" s="25">
        <f t="shared" ref="N786:N793" si="348">L786-M786</f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349">A787+23</f>
        <v>46095</v>
      </c>
      <c r="E787" s="77">
        <f t="shared" ref="E787:E850" si="350">A787+7</f>
        <v>46079</v>
      </c>
      <c r="F787" s="77">
        <f t="shared" ref="F787:F850" si="351">A787+14</f>
        <v>46086</v>
      </c>
      <c r="G787" s="77">
        <f t="shared" ref="G787:G850" si="352">A787+20</f>
        <v>46092</v>
      </c>
      <c r="H787" s="77">
        <f t="shared" ref="H787:H850" si="353">A787+8</f>
        <v>46080</v>
      </c>
      <c r="I787" s="77">
        <f t="shared" ref="I787:I850" si="354">A787+15</f>
        <v>46087</v>
      </c>
      <c r="J787" s="77">
        <v>46100</v>
      </c>
      <c r="K787" s="25">
        <f t="shared" ref="K787:K796" si="355">J787-A787</f>
        <v>28</v>
      </c>
      <c r="L787" s="25">
        <v>13.16</v>
      </c>
      <c r="M787" s="25">
        <v>11.13</v>
      </c>
      <c r="N787" s="25">
        <f t="shared" si="348"/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349"/>
        <v>46095</v>
      </c>
      <c r="E788" s="77">
        <f t="shared" si="350"/>
        <v>46079</v>
      </c>
      <c r="F788" s="77">
        <f t="shared" si="351"/>
        <v>46086</v>
      </c>
      <c r="G788" s="77">
        <f t="shared" si="352"/>
        <v>46092</v>
      </c>
      <c r="H788" s="77">
        <f t="shared" si="353"/>
        <v>46080</v>
      </c>
      <c r="I788" s="77">
        <f t="shared" si="354"/>
        <v>46087</v>
      </c>
      <c r="J788" s="77">
        <v>46100</v>
      </c>
      <c r="K788" s="25">
        <f t="shared" si="355"/>
        <v>28</v>
      </c>
      <c r="L788" s="25">
        <v>13.47</v>
      </c>
      <c r="M788" s="25">
        <v>11.76</v>
      </c>
      <c r="N788" s="25">
        <f t="shared" si="348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349"/>
        <v>46095</v>
      </c>
      <c r="E789" s="77">
        <f t="shared" si="350"/>
        <v>46079</v>
      </c>
      <c r="F789" s="77">
        <f t="shared" si="351"/>
        <v>46086</v>
      </c>
      <c r="G789" s="77">
        <f t="shared" si="352"/>
        <v>46092</v>
      </c>
      <c r="H789" s="77">
        <f t="shared" si="353"/>
        <v>46080</v>
      </c>
      <c r="I789" s="77">
        <f t="shared" si="354"/>
        <v>46087</v>
      </c>
      <c r="J789" s="77">
        <v>46100</v>
      </c>
      <c r="K789" s="25">
        <f t="shared" si="355"/>
        <v>28</v>
      </c>
      <c r="L789" s="25">
        <v>14.87</v>
      </c>
      <c r="M789" s="25">
        <v>13.11</v>
      </c>
      <c r="N789" s="25">
        <f t="shared" si="348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349"/>
        <v>46095</v>
      </c>
      <c r="E790" s="77">
        <f t="shared" si="350"/>
        <v>46079</v>
      </c>
      <c r="F790" s="77">
        <f t="shared" si="351"/>
        <v>46086</v>
      </c>
      <c r="G790" s="77">
        <f t="shared" si="352"/>
        <v>46092</v>
      </c>
      <c r="H790" s="77">
        <f t="shared" si="353"/>
        <v>46080</v>
      </c>
      <c r="I790" s="77">
        <f t="shared" si="354"/>
        <v>46087</v>
      </c>
      <c r="J790" s="77">
        <v>46100</v>
      </c>
      <c r="K790" s="25">
        <f t="shared" si="355"/>
        <v>28</v>
      </c>
      <c r="L790" s="25">
        <v>13.17</v>
      </c>
      <c r="M790" s="25">
        <v>11.62</v>
      </c>
      <c r="N790" s="25">
        <f t="shared" si="348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349"/>
        <v>46095</v>
      </c>
      <c r="E791" s="77">
        <f t="shared" si="350"/>
        <v>46079</v>
      </c>
      <c r="F791" s="77">
        <f t="shared" si="351"/>
        <v>46086</v>
      </c>
      <c r="G791" s="77">
        <f t="shared" si="352"/>
        <v>46092</v>
      </c>
      <c r="H791" s="77">
        <f t="shared" si="353"/>
        <v>46080</v>
      </c>
      <c r="I791" s="77">
        <f t="shared" si="354"/>
        <v>46087</v>
      </c>
      <c r="J791" s="77">
        <v>46100</v>
      </c>
      <c r="K791" s="25">
        <f t="shared" si="355"/>
        <v>28</v>
      </c>
      <c r="L791" s="25">
        <v>14.67</v>
      </c>
      <c r="M791" s="25">
        <v>13.92</v>
      </c>
      <c r="N791" s="25">
        <f t="shared" si="348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349"/>
        <v>46095</v>
      </c>
      <c r="E792" s="77">
        <f t="shared" si="350"/>
        <v>46079</v>
      </c>
      <c r="F792" s="77">
        <f t="shared" si="351"/>
        <v>46086</v>
      </c>
      <c r="G792" s="77">
        <f t="shared" si="352"/>
        <v>46092</v>
      </c>
      <c r="H792" s="77">
        <f t="shared" si="353"/>
        <v>46080</v>
      </c>
      <c r="I792" s="77">
        <f t="shared" si="354"/>
        <v>46087</v>
      </c>
      <c r="J792" s="77">
        <v>46100</v>
      </c>
      <c r="K792" s="25">
        <f t="shared" si="355"/>
        <v>28</v>
      </c>
      <c r="L792" s="25">
        <v>15.74</v>
      </c>
      <c r="M792" s="25">
        <v>14.62</v>
      </c>
      <c r="N792" s="25">
        <f t="shared" si="348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349"/>
        <v>46095</v>
      </c>
      <c r="E793" s="77">
        <f t="shared" si="350"/>
        <v>46079</v>
      </c>
      <c r="F793" s="77">
        <f t="shared" si="351"/>
        <v>46086</v>
      </c>
      <c r="G793" s="77">
        <f t="shared" si="352"/>
        <v>46092</v>
      </c>
      <c r="H793" s="77">
        <f t="shared" si="353"/>
        <v>46080</v>
      </c>
      <c r="I793" s="77">
        <f t="shared" si="354"/>
        <v>46087</v>
      </c>
      <c r="J793" s="77">
        <v>46100</v>
      </c>
      <c r="K793" s="25">
        <f t="shared" si="355"/>
        <v>28</v>
      </c>
      <c r="L793" s="25">
        <v>15.24</v>
      </c>
      <c r="M793" s="25">
        <v>14.25</v>
      </c>
      <c r="N793" s="25">
        <f t="shared" si="348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349"/>
        <v>46096</v>
      </c>
      <c r="E794" s="77">
        <f t="shared" si="350"/>
        <v>46080</v>
      </c>
      <c r="F794" s="77">
        <f t="shared" si="351"/>
        <v>46087</v>
      </c>
      <c r="G794" s="77">
        <f t="shared" si="352"/>
        <v>46093</v>
      </c>
      <c r="H794" s="77">
        <f t="shared" si="353"/>
        <v>46081</v>
      </c>
      <c r="I794" s="77">
        <f t="shared" si="354"/>
        <v>46088</v>
      </c>
      <c r="J794" s="77">
        <v>46102</v>
      </c>
      <c r="K794" s="25">
        <f t="shared" si="355"/>
        <v>29</v>
      </c>
      <c r="L794" s="25">
        <v>13.21</v>
      </c>
      <c r="M794" s="25">
        <v>10.24</v>
      </c>
      <c r="N794" s="25">
        <f t="shared" ref="N794:N796" si="356">L794-M794</f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349"/>
        <v>46096</v>
      </c>
      <c r="E795" s="77">
        <f t="shared" si="350"/>
        <v>46080</v>
      </c>
      <c r="F795" s="77">
        <f t="shared" si="351"/>
        <v>46087</v>
      </c>
      <c r="G795" s="77">
        <f t="shared" si="352"/>
        <v>46093</v>
      </c>
      <c r="H795" s="77">
        <f t="shared" si="353"/>
        <v>46081</v>
      </c>
      <c r="I795" s="77">
        <f t="shared" si="354"/>
        <v>46088</v>
      </c>
      <c r="J795" s="77">
        <v>46102</v>
      </c>
      <c r="K795" s="25">
        <f t="shared" si="355"/>
        <v>29</v>
      </c>
      <c r="L795" s="25">
        <v>12.47</v>
      </c>
      <c r="M795" s="25">
        <v>9.68</v>
      </c>
      <c r="N795" s="25">
        <f t="shared" si="356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349"/>
        <v>46096</v>
      </c>
      <c r="E796" s="77">
        <f t="shared" si="350"/>
        <v>46080</v>
      </c>
      <c r="F796" s="77">
        <f t="shared" si="351"/>
        <v>46087</v>
      </c>
      <c r="G796" s="77">
        <f t="shared" si="352"/>
        <v>46093</v>
      </c>
      <c r="H796" s="77">
        <f t="shared" si="353"/>
        <v>46081</v>
      </c>
      <c r="I796" s="77">
        <f t="shared" si="354"/>
        <v>46088</v>
      </c>
      <c r="J796" s="77">
        <v>46102</v>
      </c>
      <c r="K796" s="25">
        <f t="shared" ref="K796:K801" si="357">J796-A796</f>
        <v>29</v>
      </c>
      <c r="L796" s="25">
        <v>11.38</v>
      </c>
      <c r="M796" s="25">
        <v>9.2100000000000009</v>
      </c>
      <c r="N796" s="25">
        <f t="shared" si="356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349"/>
        <v>46096</v>
      </c>
      <c r="E797" s="77">
        <f t="shared" si="350"/>
        <v>46080</v>
      </c>
      <c r="F797" s="77">
        <f t="shared" si="351"/>
        <v>46087</v>
      </c>
      <c r="G797" s="77">
        <f t="shared" si="352"/>
        <v>46093</v>
      </c>
      <c r="H797" s="77">
        <f t="shared" si="353"/>
        <v>46081</v>
      </c>
      <c r="I797" s="77">
        <f t="shared" si="354"/>
        <v>46088</v>
      </c>
      <c r="J797" s="77">
        <v>46103</v>
      </c>
      <c r="K797" s="25">
        <f t="shared" ref="K797" si="358">J797-A797</f>
        <v>30</v>
      </c>
      <c r="L797" s="25">
        <v>12.54</v>
      </c>
      <c r="M797" s="25">
        <v>11.23</v>
      </c>
      <c r="N797" s="25">
        <f t="shared" ref="N797:N801" si="359">L797-M797</f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349"/>
        <v>46096</v>
      </c>
      <c r="E798" s="77">
        <f t="shared" si="350"/>
        <v>46080</v>
      </c>
      <c r="F798" s="77">
        <f t="shared" si="351"/>
        <v>46087</v>
      </c>
      <c r="G798" s="77">
        <f t="shared" si="352"/>
        <v>46093</v>
      </c>
      <c r="H798" s="77">
        <f t="shared" si="353"/>
        <v>46081</v>
      </c>
      <c r="I798" s="77">
        <f t="shared" si="354"/>
        <v>46088</v>
      </c>
      <c r="J798" s="77">
        <v>46103</v>
      </c>
      <c r="K798" s="25">
        <f t="shared" ref="K798:K804" si="360">J798-A798</f>
        <v>30</v>
      </c>
      <c r="L798" s="25">
        <v>12.1</v>
      </c>
      <c r="M798" s="25">
        <v>10.57</v>
      </c>
      <c r="N798" s="25">
        <f t="shared" si="359"/>
        <v>1.5299999999999994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349"/>
        <v>46096</v>
      </c>
      <c r="E799" s="77">
        <f t="shared" si="350"/>
        <v>46080</v>
      </c>
      <c r="F799" s="77">
        <f t="shared" si="351"/>
        <v>46087</v>
      </c>
      <c r="G799" s="77">
        <f t="shared" si="352"/>
        <v>46093</v>
      </c>
      <c r="H799" s="77">
        <f t="shared" si="353"/>
        <v>46081</v>
      </c>
      <c r="I799" s="77">
        <f t="shared" si="354"/>
        <v>46088</v>
      </c>
      <c r="J799" s="77">
        <v>46103</v>
      </c>
      <c r="K799" s="25">
        <f t="shared" si="360"/>
        <v>30</v>
      </c>
      <c r="L799" s="25">
        <v>13.11</v>
      </c>
      <c r="M799" s="25">
        <v>11.31</v>
      </c>
      <c r="N799" s="25">
        <f t="shared" si="359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349"/>
        <v>46096</v>
      </c>
      <c r="E800" s="77">
        <f t="shared" si="350"/>
        <v>46080</v>
      </c>
      <c r="F800" s="77">
        <f t="shared" si="351"/>
        <v>46087</v>
      </c>
      <c r="G800" s="77">
        <f t="shared" si="352"/>
        <v>46093</v>
      </c>
      <c r="H800" s="77">
        <f t="shared" si="353"/>
        <v>46081</v>
      </c>
      <c r="I800" s="77">
        <f t="shared" si="354"/>
        <v>46088</v>
      </c>
      <c r="J800" s="77">
        <v>46103</v>
      </c>
      <c r="K800" s="25">
        <f t="shared" si="360"/>
        <v>30</v>
      </c>
      <c r="L800" s="25">
        <v>13.17</v>
      </c>
      <c r="M800" s="25">
        <v>11.33</v>
      </c>
      <c r="N800" s="25">
        <f t="shared" si="359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349"/>
        <v>46096</v>
      </c>
      <c r="E801" s="77">
        <f t="shared" si="350"/>
        <v>46080</v>
      </c>
      <c r="F801" s="77">
        <f t="shared" si="351"/>
        <v>46087</v>
      </c>
      <c r="G801" s="77">
        <f t="shared" si="352"/>
        <v>46093</v>
      </c>
      <c r="H801" s="77">
        <f t="shared" si="353"/>
        <v>46081</v>
      </c>
      <c r="I801" s="77">
        <f t="shared" si="354"/>
        <v>46088</v>
      </c>
      <c r="J801" s="77">
        <v>46103</v>
      </c>
      <c r="K801" s="25">
        <f t="shared" si="360"/>
        <v>30</v>
      </c>
      <c r="L801" s="25">
        <v>12.46</v>
      </c>
      <c r="M801" s="25">
        <v>10.81</v>
      </c>
      <c r="N801" s="25">
        <f t="shared" si="359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349"/>
        <v>46097</v>
      </c>
      <c r="E802" s="77">
        <f t="shared" si="350"/>
        <v>46081</v>
      </c>
      <c r="F802" s="77">
        <f t="shared" si="351"/>
        <v>46088</v>
      </c>
      <c r="G802" s="77">
        <f t="shared" si="352"/>
        <v>46094</v>
      </c>
      <c r="H802" s="77">
        <f t="shared" si="353"/>
        <v>46082</v>
      </c>
      <c r="I802" s="77">
        <f t="shared" si="354"/>
        <v>46089</v>
      </c>
      <c r="J802" s="77">
        <v>46100</v>
      </c>
      <c r="K802" s="25">
        <f t="shared" si="360"/>
        <v>26</v>
      </c>
      <c r="L802" s="25">
        <v>14.56</v>
      </c>
      <c r="M802" s="25">
        <v>12.78</v>
      </c>
      <c r="N802" s="25">
        <f t="shared" ref="N802:N804" si="361">L802-M802</f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349"/>
        <v>46097</v>
      </c>
      <c r="E803" s="77">
        <f t="shared" si="350"/>
        <v>46081</v>
      </c>
      <c r="F803" s="77">
        <f t="shared" si="351"/>
        <v>46088</v>
      </c>
      <c r="G803" s="77">
        <f t="shared" si="352"/>
        <v>46094</v>
      </c>
      <c r="H803" s="77">
        <f t="shared" si="353"/>
        <v>46082</v>
      </c>
      <c r="I803" s="77">
        <f t="shared" si="354"/>
        <v>46089</v>
      </c>
      <c r="J803" s="77">
        <v>46100</v>
      </c>
      <c r="K803" s="25">
        <f t="shared" si="360"/>
        <v>26</v>
      </c>
      <c r="L803" s="25">
        <v>13.06</v>
      </c>
      <c r="M803" s="25">
        <v>11.87</v>
      </c>
      <c r="N803" s="25">
        <f t="shared" si="361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349"/>
        <v>46097</v>
      </c>
      <c r="E804" s="77">
        <f t="shared" si="350"/>
        <v>46081</v>
      </c>
      <c r="F804" s="77">
        <f t="shared" si="351"/>
        <v>46088</v>
      </c>
      <c r="G804" s="77">
        <f t="shared" si="352"/>
        <v>46094</v>
      </c>
      <c r="H804" s="77">
        <f t="shared" si="353"/>
        <v>46082</v>
      </c>
      <c r="I804" s="77">
        <f t="shared" si="354"/>
        <v>46089</v>
      </c>
      <c r="J804" s="77">
        <v>46100</v>
      </c>
      <c r="K804" s="25">
        <f t="shared" si="360"/>
        <v>26</v>
      </c>
      <c r="L804" s="25">
        <v>12.66</v>
      </c>
      <c r="M804" s="25">
        <v>10.31</v>
      </c>
      <c r="N804" s="25">
        <f t="shared" si="361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349"/>
        <v>46097</v>
      </c>
      <c r="E805" s="77">
        <f t="shared" si="350"/>
        <v>46081</v>
      </c>
      <c r="F805" s="77">
        <f t="shared" si="351"/>
        <v>46088</v>
      </c>
      <c r="G805" s="77">
        <f t="shared" si="352"/>
        <v>46094</v>
      </c>
      <c r="H805" s="77">
        <f t="shared" si="353"/>
        <v>46082</v>
      </c>
      <c r="I805" s="77">
        <f t="shared" si="354"/>
        <v>46089</v>
      </c>
      <c r="J805" s="77">
        <v>46103</v>
      </c>
      <c r="K805" s="25">
        <f t="shared" ref="K805:K807" si="362">J805-A805</f>
        <v>29</v>
      </c>
      <c r="L805" s="25">
        <v>9.24</v>
      </c>
      <c r="M805" s="25">
        <v>7.61</v>
      </c>
      <c r="N805" s="25">
        <f t="shared" ref="N805:N813" si="363">L805-M805</f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349"/>
        <v>46097</v>
      </c>
      <c r="E806" s="77">
        <f t="shared" si="350"/>
        <v>46081</v>
      </c>
      <c r="F806" s="77">
        <f t="shared" si="351"/>
        <v>46088</v>
      </c>
      <c r="G806" s="77">
        <f t="shared" si="352"/>
        <v>46094</v>
      </c>
      <c r="H806" s="77">
        <f t="shared" si="353"/>
        <v>46082</v>
      </c>
      <c r="I806" s="77">
        <f t="shared" si="354"/>
        <v>46089</v>
      </c>
      <c r="J806" s="77">
        <v>46103</v>
      </c>
      <c r="K806" s="25">
        <f t="shared" si="362"/>
        <v>29</v>
      </c>
      <c r="L806" s="25">
        <v>10.51</v>
      </c>
      <c r="M806" s="25">
        <v>8.24</v>
      </c>
      <c r="N806" s="25">
        <f t="shared" si="363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349"/>
        <v>46097</v>
      </c>
      <c r="E807" s="77">
        <f t="shared" si="350"/>
        <v>46081</v>
      </c>
      <c r="F807" s="77">
        <f t="shared" si="351"/>
        <v>46088</v>
      </c>
      <c r="G807" s="77">
        <f t="shared" si="352"/>
        <v>46094</v>
      </c>
      <c r="H807" s="77">
        <f t="shared" si="353"/>
        <v>46082</v>
      </c>
      <c r="I807" s="77">
        <f t="shared" si="354"/>
        <v>46089</v>
      </c>
      <c r="J807" s="77">
        <v>46103</v>
      </c>
      <c r="K807" s="25">
        <f t="shared" si="362"/>
        <v>29</v>
      </c>
      <c r="L807" s="25">
        <v>9.16</v>
      </c>
      <c r="M807" s="25">
        <v>7.59</v>
      </c>
      <c r="N807" s="25">
        <f t="shared" si="363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349"/>
        <v>46098</v>
      </c>
      <c r="E808" s="77">
        <f t="shared" si="350"/>
        <v>46082</v>
      </c>
      <c r="F808" s="77">
        <f t="shared" si="351"/>
        <v>46089</v>
      </c>
      <c r="G808" s="77">
        <f t="shared" si="352"/>
        <v>46095</v>
      </c>
      <c r="H808" s="77">
        <f t="shared" si="353"/>
        <v>46083</v>
      </c>
      <c r="I808" s="77">
        <f t="shared" si="354"/>
        <v>46090</v>
      </c>
      <c r="J808" s="77">
        <v>46103</v>
      </c>
      <c r="K808" s="25">
        <f t="shared" ref="K808:K813" si="364">J808-A808</f>
        <v>28</v>
      </c>
      <c r="L808" s="25">
        <v>14.25</v>
      </c>
      <c r="M808" s="25">
        <v>12.94</v>
      </c>
      <c r="N808" s="25">
        <f t="shared" si="363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349"/>
        <v>46098</v>
      </c>
      <c r="E809" s="77">
        <f t="shared" si="350"/>
        <v>46082</v>
      </c>
      <c r="F809" s="77">
        <f t="shared" si="351"/>
        <v>46089</v>
      </c>
      <c r="G809" s="77">
        <f t="shared" si="352"/>
        <v>46095</v>
      </c>
      <c r="H809" s="77">
        <f t="shared" si="353"/>
        <v>46083</v>
      </c>
      <c r="I809" s="77">
        <f t="shared" si="354"/>
        <v>46090</v>
      </c>
      <c r="J809" s="77">
        <v>46103</v>
      </c>
      <c r="K809" s="25">
        <f t="shared" si="364"/>
        <v>28</v>
      </c>
      <c r="L809" s="25">
        <v>13.78</v>
      </c>
      <c r="M809" s="25">
        <v>11.73</v>
      </c>
      <c r="N809" s="25">
        <f t="shared" si="363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349"/>
        <v>46098</v>
      </c>
      <c r="E810" s="77">
        <f t="shared" si="350"/>
        <v>46082</v>
      </c>
      <c r="F810" s="77">
        <f t="shared" si="351"/>
        <v>46089</v>
      </c>
      <c r="G810" s="77">
        <f t="shared" si="352"/>
        <v>46095</v>
      </c>
      <c r="H810" s="77">
        <f t="shared" si="353"/>
        <v>46083</v>
      </c>
      <c r="I810" s="77">
        <f t="shared" si="354"/>
        <v>46090</v>
      </c>
      <c r="J810" s="77">
        <v>46103</v>
      </c>
      <c r="K810" s="25">
        <f t="shared" si="364"/>
        <v>28</v>
      </c>
      <c r="L810" s="25">
        <v>12.92</v>
      </c>
      <c r="M810" s="25">
        <v>12.01</v>
      </c>
      <c r="N810" s="25">
        <f t="shared" si="363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349"/>
        <v>46098</v>
      </c>
      <c r="E811" s="77">
        <f t="shared" si="350"/>
        <v>46082</v>
      </c>
      <c r="F811" s="77">
        <f t="shared" si="351"/>
        <v>46089</v>
      </c>
      <c r="G811" s="77">
        <f t="shared" si="352"/>
        <v>46095</v>
      </c>
      <c r="H811" s="77">
        <f t="shared" si="353"/>
        <v>46083</v>
      </c>
      <c r="I811" s="77">
        <f t="shared" si="354"/>
        <v>46090</v>
      </c>
      <c r="J811" s="77">
        <v>46103</v>
      </c>
      <c r="K811" s="25">
        <f t="shared" si="364"/>
        <v>28</v>
      </c>
      <c r="L811" s="25">
        <v>13.42</v>
      </c>
      <c r="M811" s="25">
        <v>9.2100000000000009</v>
      </c>
      <c r="N811" s="25">
        <f t="shared" si="363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349"/>
        <v>46098</v>
      </c>
      <c r="E812" s="77">
        <f t="shared" si="350"/>
        <v>46082</v>
      </c>
      <c r="F812" s="77">
        <f t="shared" si="351"/>
        <v>46089</v>
      </c>
      <c r="G812" s="77">
        <f t="shared" si="352"/>
        <v>46095</v>
      </c>
      <c r="H812" s="77">
        <f t="shared" si="353"/>
        <v>46083</v>
      </c>
      <c r="I812" s="77">
        <f t="shared" si="354"/>
        <v>46090</v>
      </c>
      <c r="J812" s="77">
        <v>46103</v>
      </c>
      <c r="K812" s="25">
        <f t="shared" si="364"/>
        <v>28</v>
      </c>
      <c r="L812" s="25">
        <v>15.72</v>
      </c>
      <c r="M812" s="25">
        <v>13.66</v>
      </c>
      <c r="N812" s="25">
        <f t="shared" si="363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349"/>
        <v>46098</v>
      </c>
      <c r="E813" s="77">
        <f t="shared" si="350"/>
        <v>46082</v>
      </c>
      <c r="F813" s="77">
        <f t="shared" si="351"/>
        <v>46089</v>
      </c>
      <c r="G813" s="77">
        <f t="shared" si="352"/>
        <v>46095</v>
      </c>
      <c r="H813" s="77">
        <f t="shared" si="353"/>
        <v>46083</v>
      </c>
      <c r="I813" s="77">
        <f t="shared" si="354"/>
        <v>46090</v>
      </c>
      <c r="J813" s="77">
        <v>46103</v>
      </c>
      <c r="K813" s="25">
        <f t="shared" si="364"/>
        <v>28</v>
      </c>
      <c r="L813" s="25">
        <v>14.23</v>
      </c>
      <c r="M813" s="25">
        <v>12.73</v>
      </c>
      <c r="N813" s="25">
        <f t="shared" si="363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349"/>
        <v>46098</v>
      </c>
      <c r="E814" s="77">
        <f t="shared" si="350"/>
        <v>46082</v>
      </c>
      <c r="F814" s="77">
        <f t="shared" si="351"/>
        <v>46089</v>
      </c>
      <c r="G814" s="77">
        <f t="shared" si="352"/>
        <v>46095</v>
      </c>
      <c r="H814" s="77">
        <f t="shared" si="353"/>
        <v>46083</v>
      </c>
      <c r="I814" s="77">
        <f t="shared" si="354"/>
        <v>46090</v>
      </c>
      <c r="J814" s="77">
        <v>46104</v>
      </c>
      <c r="K814" s="25">
        <f t="shared" ref="K814" si="365">J814-A814</f>
        <v>29</v>
      </c>
      <c r="L814" s="25">
        <v>12.42</v>
      </c>
      <c r="M814" s="25">
        <v>11.32</v>
      </c>
      <c r="N814" s="25">
        <f t="shared" ref="N814:N828" si="366">L814-M814</f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349"/>
        <v>46099</v>
      </c>
      <c r="E815" s="77">
        <f t="shared" si="350"/>
        <v>46083</v>
      </c>
      <c r="F815" s="77">
        <f t="shared" si="351"/>
        <v>46090</v>
      </c>
      <c r="G815" s="77">
        <f t="shared" si="352"/>
        <v>46096</v>
      </c>
      <c r="H815" s="77">
        <f t="shared" si="353"/>
        <v>46084</v>
      </c>
      <c r="I815" s="77">
        <f t="shared" si="354"/>
        <v>46091</v>
      </c>
      <c r="J815" s="77">
        <v>46104</v>
      </c>
      <c r="K815" s="25">
        <f t="shared" ref="K815:K821" si="367">J815-A815</f>
        <v>28</v>
      </c>
      <c r="L815" s="25">
        <v>11.85</v>
      </c>
      <c r="M815" s="25">
        <v>10.31</v>
      </c>
      <c r="N815" s="25">
        <f t="shared" si="366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349"/>
        <v>46099</v>
      </c>
      <c r="E816" s="77">
        <f t="shared" si="350"/>
        <v>46083</v>
      </c>
      <c r="F816" s="77">
        <f t="shared" si="351"/>
        <v>46090</v>
      </c>
      <c r="G816" s="77">
        <f t="shared" si="352"/>
        <v>46096</v>
      </c>
      <c r="H816" s="77">
        <f t="shared" si="353"/>
        <v>46084</v>
      </c>
      <c r="I816" s="77">
        <f t="shared" si="354"/>
        <v>46091</v>
      </c>
      <c r="J816" s="77">
        <v>46104</v>
      </c>
      <c r="K816" s="25">
        <f t="shared" si="367"/>
        <v>28</v>
      </c>
      <c r="L816" s="25">
        <v>11.57</v>
      </c>
      <c r="M816" s="25">
        <v>10.210000000000001</v>
      </c>
      <c r="N816" s="25">
        <f t="shared" si="366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349"/>
        <v>46099</v>
      </c>
      <c r="E817" s="77">
        <f t="shared" si="350"/>
        <v>46083</v>
      </c>
      <c r="F817" s="77">
        <f t="shared" si="351"/>
        <v>46090</v>
      </c>
      <c r="G817" s="77">
        <f t="shared" si="352"/>
        <v>46096</v>
      </c>
      <c r="H817" s="77">
        <f t="shared" si="353"/>
        <v>46084</v>
      </c>
      <c r="I817" s="77">
        <f t="shared" si="354"/>
        <v>46091</v>
      </c>
      <c r="J817" s="77">
        <v>46104</v>
      </c>
      <c r="K817" s="25">
        <f t="shared" si="367"/>
        <v>28</v>
      </c>
      <c r="L817" s="25">
        <v>12.45</v>
      </c>
      <c r="M817" s="25">
        <v>11.78</v>
      </c>
      <c r="N817" s="25">
        <f t="shared" si="366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349"/>
        <v>46099</v>
      </c>
      <c r="E818" s="77">
        <f t="shared" si="350"/>
        <v>46083</v>
      </c>
      <c r="F818" s="77">
        <f t="shared" si="351"/>
        <v>46090</v>
      </c>
      <c r="G818" s="77">
        <f t="shared" si="352"/>
        <v>46096</v>
      </c>
      <c r="H818" s="77">
        <f t="shared" si="353"/>
        <v>46084</v>
      </c>
      <c r="I818" s="77">
        <f t="shared" si="354"/>
        <v>46091</v>
      </c>
      <c r="J818" s="77">
        <v>46104</v>
      </c>
      <c r="K818" s="25">
        <f t="shared" si="367"/>
        <v>28</v>
      </c>
      <c r="L818" s="25">
        <v>14.58</v>
      </c>
      <c r="M818" s="25">
        <v>13.23</v>
      </c>
      <c r="N818" s="25">
        <f t="shared" si="366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349"/>
        <v>46099</v>
      </c>
      <c r="E819" s="77">
        <f t="shared" si="350"/>
        <v>46083</v>
      </c>
      <c r="F819" s="77">
        <f t="shared" si="351"/>
        <v>46090</v>
      </c>
      <c r="G819" s="77">
        <f t="shared" si="352"/>
        <v>46096</v>
      </c>
      <c r="H819" s="77">
        <f t="shared" si="353"/>
        <v>46084</v>
      </c>
      <c r="I819" s="77">
        <f t="shared" si="354"/>
        <v>46091</v>
      </c>
      <c r="J819" s="77">
        <v>46104</v>
      </c>
      <c r="K819" s="25">
        <f t="shared" si="367"/>
        <v>28</v>
      </c>
      <c r="L819" s="25">
        <v>13.9</v>
      </c>
      <c r="M819" s="25">
        <v>12.32</v>
      </c>
      <c r="N819" s="25">
        <f t="shared" si="366"/>
        <v>1.58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349"/>
        <v>46099</v>
      </c>
      <c r="E820" s="77">
        <f t="shared" si="350"/>
        <v>46083</v>
      </c>
      <c r="F820" s="77">
        <f t="shared" si="351"/>
        <v>46090</v>
      </c>
      <c r="G820" s="77">
        <f t="shared" si="352"/>
        <v>46096</v>
      </c>
      <c r="H820" s="77">
        <f t="shared" si="353"/>
        <v>46084</v>
      </c>
      <c r="I820" s="77">
        <f t="shared" si="354"/>
        <v>46091</v>
      </c>
      <c r="J820" s="77">
        <v>46104</v>
      </c>
      <c r="K820" s="25">
        <f t="shared" si="367"/>
        <v>28</v>
      </c>
      <c r="L820" s="25">
        <v>11.77</v>
      </c>
      <c r="M820" s="25">
        <v>10.56</v>
      </c>
      <c r="N820" s="25">
        <f t="shared" si="366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349"/>
        <v>46099</v>
      </c>
      <c r="E821" s="77">
        <f t="shared" si="350"/>
        <v>46083</v>
      </c>
      <c r="F821" s="77">
        <f t="shared" si="351"/>
        <v>46090</v>
      </c>
      <c r="G821" s="77">
        <f t="shared" si="352"/>
        <v>46096</v>
      </c>
      <c r="H821" s="77">
        <f t="shared" si="353"/>
        <v>46084</v>
      </c>
      <c r="I821" s="77">
        <f t="shared" si="354"/>
        <v>46091</v>
      </c>
      <c r="J821" s="77">
        <v>46104</v>
      </c>
      <c r="K821" s="25">
        <f t="shared" si="367"/>
        <v>28</v>
      </c>
      <c r="L821" s="25">
        <v>14.32</v>
      </c>
      <c r="M821" s="25">
        <v>12.21</v>
      </c>
      <c r="N821" s="25">
        <f t="shared" si="366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349"/>
        <v>46100</v>
      </c>
      <c r="E822" s="77">
        <f t="shared" si="350"/>
        <v>46084</v>
      </c>
      <c r="F822" s="77">
        <f t="shared" si="351"/>
        <v>46091</v>
      </c>
      <c r="G822" s="77">
        <f t="shared" si="352"/>
        <v>46097</v>
      </c>
      <c r="H822" s="77">
        <f t="shared" si="353"/>
        <v>46085</v>
      </c>
      <c r="I822" s="77">
        <f t="shared" si="354"/>
        <v>46092</v>
      </c>
      <c r="J822" s="77">
        <v>46104</v>
      </c>
      <c r="K822" s="25">
        <f t="shared" ref="K822:K835" si="368">J822-A822</f>
        <v>27</v>
      </c>
      <c r="L822" s="25">
        <v>9.33</v>
      </c>
      <c r="M822" s="25">
        <v>7.83</v>
      </c>
      <c r="N822" s="25">
        <f t="shared" si="366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349"/>
        <v>46100</v>
      </c>
      <c r="E823" s="77">
        <f t="shared" si="350"/>
        <v>46084</v>
      </c>
      <c r="F823" s="77">
        <f t="shared" si="351"/>
        <v>46091</v>
      </c>
      <c r="G823" s="77">
        <f t="shared" si="352"/>
        <v>46097</v>
      </c>
      <c r="H823" s="77">
        <f t="shared" si="353"/>
        <v>46085</v>
      </c>
      <c r="I823" s="77">
        <f t="shared" si="354"/>
        <v>46092</v>
      </c>
      <c r="J823" s="77">
        <v>46104</v>
      </c>
      <c r="K823" s="25">
        <f t="shared" si="368"/>
        <v>27</v>
      </c>
      <c r="L823" s="25">
        <v>10.87</v>
      </c>
      <c r="M823" s="25">
        <v>8.52</v>
      </c>
      <c r="N823" s="25">
        <f t="shared" si="366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349"/>
        <v>46100</v>
      </c>
      <c r="E824" s="77">
        <f t="shared" si="350"/>
        <v>46084</v>
      </c>
      <c r="F824" s="77">
        <f t="shared" si="351"/>
        <v>46091</v>
      </c>
      <c r="G824" s="77">
        <f t="shared" si="352"/>
        <v>46097</v>
      </c>
      <c r="H824" s="77">
        <f t="shared" si="353"/>
        <v>46085</v>
      </c>
      <c r="I824" s="77">
        <f t="shared" si="354"/>
        <v>46092</v>
      </c>
      <c r="J824" s="77">
        <v>46104</v>
      </c>
      <c r="K824" s="25">
        <f t="shared" si="368"/>
        <v>27</v>
      </c>
      <c r="L824" s="25">
        <v>8.17</v>
      </c>
      <c r="M824" s="25">
        <v>6.32</v>
      </c>
      <c r="N824" s="25">
        <f t="shared" si="366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349"/>
        <v>46100</v>
      </c>
      <c r="E825" s="77">
        <f t="shared" si="350"/>
        <v>46084</v>
      </c>
      <c r="F825" s="77">
        <f t="shared" si="351"/>
        <v>46091</v>
      </c>
      <c r="G825" s="77">
        <f t="shared" si="352"/>
        <v>46097</v>
      </c>
      <c r="H825" s="77">
        <f t="shared" si="353"/>
        <v>46085</v>
      </c>
      <c r="I825" s="77">
        <f t="shared" si="354"/>
        <v>46092</v>
      </c>
      <c r="J825" s="77">
        <v>46104</v>
      </c>
      <c r="K825" s="25">
        <f t="shared" si="368"/>
        <v>27</v>
      </c>
      <c r="L825" s="25">
        <v>9.56</v>
      </c>
      <c r="M825" s="25">
        <v>7.24</v>
      </c>
      <c r="N825" s="25">
        <f t="shared" si="366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349"/>
        <v>46100</v>
      </c>
      <c r="E826" s="77">
        <f t="shared" si="350"/>
        <v>46084</v>
      </c>
      <c r="F826" s="77">
        <f t="shared" si="351"/>
        <v>46091</v>
      </c>
      <c r="G826" s="77">
        <f t="shared" si="352"/>
        <v>46097</v>
      </c>
      <c r="H826" s="77">
        <f t="shared" si="353"/>
        <v>46085</v>
      </c>
      <c r="I826" s="77">
        <f t="shared" si="354"/>
        <v>46092</v>
      </c>
      <c r="J826" s="77">
        <v>46104</v>
      </c>
      <c r="K826" s="25">
        <f t="shared" si="368"/>
        <v>27</v>
      </c>
      <c r="L826" s="25">
        <v>8.36</v>
      </c>
      <c r="M826" s="25">
        <v>6.79</v>
      </c>
      <c r="N826" s="25">
        <f t="shared" si="366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349"/>
        <v>46100</v>
      </c>
      <c r="E827" s="77">
        <f t="shared" si="350"/>
        <v>46084</v>
      </c>
      <c r="F827" s="77">
        <f t="shared" si="351"/>
        <v>46091</v>
      </c>
      <c r="G827" s="77">
        <f t="shared" si="352"/>
        <v>46097</v>
      </c>
      <c r="H827" s="77">
        <f t="shared" si="353"/>
        <v>46085</v>
      </c>
      <c r="I827" s="77">
        <f t="shared" si="354"/>
        <v>46092</v>
      </c>
      <c r="J827" s="77">
        <v>46104</v>
      </c>
      <c r="K827" s="25">
        <f t="shared" si="368"/>
        <v>27</v>
      </c>
      <c r="L827" s="25">
        <v>8.09</v>
      </c>
      <c r="M827" s="25">
        <v>7.24</v>
      </c>
      <c r="N827" s="25">
        <f t="shared" si="366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349"/>
        <v>46100</v>
      </c>
      <c r="E828" s="77">
        <f t="shared" si="350"/>
        <v>46084</v>
      </c>
      <c r="F828" s="77">
        <f t="shared" si="351"/>
        <v>46091</v>
      </c>
      <c r="G828" s="77">
        <f t="shared" si="352"/>
        <v>46097</v>
      </c>
      <c r="H828" s="77">
        <f t="shared" si="353"/>
        <v>46085</v>
      </c>
      <c r="I828" s="77">
        <f t="shared" si="354"/>
        <v>46092</v>
      </c>
      <c r="J828" s="77">
        <v>46104</v>
      </c>
      <c r="K828" s="25">
        <f t="shared" si="368"/>
        <v>27</v>
      </c>
      <c r="L828" s="25">
        <v>7.43</v>
      </c>
      <c r="M828" s="25">
        <v>6.98</v>
      </c>
      <c r="N828" s="25">
        <f t="shared" si="366"/>
        <v>0.44999999999999929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349"/>
        <v>46101</v>
      </c>
      <c r="E829" s="77">
        <f t="shared" si="350"/>
        <v>46085</v>
      </c>
      <c r="F829" s="77">
        <f t="shared" si="351"/>
        <v>46092</v>
      </c>
      <c r="G829" s="77">
        <f t="shared" si="352"/>
        <v>46098</v>
      </c>
      <c r="H829" s="77">
        <f t="shared" si="353"/>
        <v>46086</v>
      </c>
      <c r="I829" s="77">
        <f t="shared" si="354"/>
        <v>46093</v>
      </c>
      <c r="J829" s="77">
        <v>46105</v>
      </c>
      <c r="K829" s="25">
        <f t="shared" si="368"/>
        <v>27</v>
      </c>
      <c r="L829" s="25">
        <v>9.3699999999999992</v>
      </c>
      <c r="M829" s="25">
        <v>6.94</v>
      </c>
      <c r="N829" s="25">
        <f t="shared" ref="N829:N844" si="369">L829-M829</f>
        <v>2.4299999999999988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349"/>
        <v>46101</v>
      </c>
      <c r="E830" s="77">
        <f t="shared" si="350"/>
        <v>46085</v>
      </c>
      <c r="F830" s="77">
        <f t="shared" si="351"/>
        <v>46092</v>
      </c>
      <c r="G830" s="77">
        <f t="shared" si="352"/>
        <v>46098</v>
      </c>
      <c r="H830" s="77">
        <f t="shared" si="353"/>
        <v>46086</v>
      </c>
      <c r="I830" s="77">
        <f t="shared" si="354"/>
        <v>46093</v>
      </c>
      <c r="J830" s="77">
        <v>46105</v>
      </c>
      <c r="K830" s="25">
        <f t="shared" si="368"/>
        <v>27</v>
      </c>
      <c r="L830" s="25">
        <v>9.8699999999999992</v>
      </c>
      <c r="M830" s="25">
        <v>5.43</v>
      </c>
      <c r="N830" s="25">
        <f t="shared" si="369"/>
        <v>4.4399999999999995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349"/>
        <v>46101</v>
      </c>
      <c r="E831" s="77">
        <f t="shared" si="350"/>
        <v>46085</v>
      </c>
      <c r="F831" s="77">
        <f t="shared" si="351"/>
        <v>46092</v>
      </c>
      <c r="G831" s="77">
        <f t="shared" si="352"/>
        <v>46098</v>
      </c>
      <c r="H831" s="77">
        <f t="shared" si="353"/>
        <v>46086</v>
      </c>
      <c r="I831" s="77">
        <f t="shared" si="354"/>
        <v>46093</v>
      </c>
      <c r="J831" s="77">
        <v>46105</v>
      </c>
      <c r="K831" s="25">
        <f t="shared" si="368"/>
        <v>27</v>
      </c>
      <c r="L831" s="25">
        <v>10.210000000000001</v>
      </c>
      <c r="M831" s="25">
        <v>6.83</v>
      </c>
      <c r="N831" s="25">
        <f t="shared" si="369"/>
        <v>3.3800000000000008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349"/>
        <v>46101</v>
      </c>
      <c r="E832" s="77">
        <f t="shared" si="350"/>
        <v>46085</v>
      </c>
      <c r="F832" s="77">
        <f t="shared" si="351"/>
        <v>46092</v>
      </c>
      <c r="G832" s="77">
        <f t="shared" si="352"/>
        <v>46098</v>
      </c>
      <c r="H832" s="77">
        <f t="shared" si="353"/>
        <v>46086</v>
      </c>
      <c r="I832" s="77">
        <f t="shared" si="354"/>
        <v>46093</v>
      </c>
      <c r="J832" s="77">
        <v>46105</v>
      </c>
      <c r="K832" s="25">
        <f t="shared" si="368"/>
        <v>27</v>
      </c>
      <c r="L832" s="25">
        <v>8.52</v>
      </c>
      <c r="M832" s="25">
        <v>7.43</v>
      </c>
      <c r="N832" s="25">
        <f t="shared" si="369"/>
        <v>1.0899999999999999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349"/>
        <v>46101</v>
      </c>
      <c r="E833" s="77">
        <f t="shared" si="350"/>
        <v>46085</v>
      </c>
      <c r="F833" s="77">
        <f t="shared" si="351"/>
        <v>46092</v>
      </c>
      <c r="G833" s="77">
        <f t="shared" si="352"/>
        <v>46098</v>
      </c>
      <c r="H833" s="77">
        <f t="shared" si="353"/>
        <v>46086</v>
      </c>
      <c r="I833" s="77">
        <f t="shared" si="354"/>
        <v>46093</v>
      </c>
      <c r="J833" s="77">
        <v>46105</v>
      </c>
      <c r="K833" s="25">
        <f t="shared" si="368"/>
        <v>27</v>
      </c>
      <c r="L833" s="25">
        <v>10.78</v>
      </c>
      <c r="M833" s="25">
        <v>6.26</v>
      </c>
      <c r="N833" s="25">
        <f t="shared" si="369"/>
        <v>4.5199999999999996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349"/>
        <v>46101</v>
      </c>
      <c r="E834" s="77">
        <f t="shared" si="350"/>
        <v>46085</v>
      </c>
      <c r="F834" s="77">
        <f t="shared" si="351"/>
        <v>46092</v>
      </c>
      <c r="G834" s="77">
        <f t="shared" si="352"/>
        <v>46098</v>
      </c>
      <c r="H834" s="77">
        <f t="shared" si="353"/>
        <v>46086</v>
      </c>
      <c r="I834" s="77">
        <f t="shared" si="354"/>
        <v>46093</v>
      </c>
      <c r="J834" s="77">
        <v>46105</v>
      </c>
      <c r="K834" s="25">
        <f t="shared" si="368"/>
        <v>27</v>
      </c>
      <c r="L834" s="25">
        <v>9.89</v>
      </c>
      <c r="M834" s="25">
        <v>6.18</v>
      </c>
      <c r="N834" s="25">
        <f t="shared" si="369"/>
        <v>3.7100000000000009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349"/>
        <v>46101</v>
      </c>
      <c r="E835" s="77">
        <f t="shared" si="350"/>
        <v>46085</v>
      </c>
      <c r="F835" s="77">
        <f t="shared" si="351"/>
        <v>46092</v>
      </c>
      <c r="G835" s="77">
        <f t="shared" si="352"/>
        <v>46098</v>
      </c>
      <c r="H835" s="77">
        <f t="shared" si="353"/>
        <v>46086</v>
      </c>
      <c r="I835" s="77">
        <f t="shared" si="354"/>
        <v>46093</v>
      </c>
      <c r="J835" s="77">
        <v>46105</v>
      </c>
      <c r="K835" s="25">
        <f t="shared" si="368"/>
        <v>27</v>
      </c>
      <c r="L835" s="25">
        <v>9.4700000000000006</v>
      </c>
      <c r="M835" s="25">
        <v>6.14</v>
      </c>
      <c r="N835" s="25">
        <f t="shared" si="369"/>
        <v>3.330000000000001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349"/>
        <v>46102</v>
      </c>
      <c r="E836" s="77">
        <f t="shared" si="350"/>
        <v>46086</v>
      </c>
      <c r="F836" s="77">
        <f t="shared" si="351"/>
        <v>46093</v>
      </c>
      <c r="G836" s="77">
        <f t="shared" si="352"/>
        <v>46099</v>
      </c>
      <c r="H836" s="77">
        <f t="shared" si="353"/>
        <v>46087</v>
      </c>
      <c r="I836" s="77">
        <f t="shared" si="354"/>
        <v>46094</v>
      </c>
      <c r="J836" s="77">
        <v>46105</v>
      </c>
      <c r="K836" s="25">
        <f t="shared" ref="K836" si="370">J836-A836</f>
        <v>26</v>
      </c>
      <c r="L836" s="25">
        <v>12.45</v>
      </c>
      <c r="M836" s="25">
        <v>11.43</v>
      </c>
      <c r="N836" s="25">
        <f t="shared" si="369"/>
        <v>1.0199999999999996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349"/>
        <v>46102</v>
      </c>
      <c r="E837" s="77">
        <f t="shared" si="350"/>
        <v>46086</v>
      </c>
      <c r="F837" s="77">
        <f t="shared" si="351"/>
        <v>46093</v>
      </c>
      <c r="G837" s="77">
        <f t="shared" si="352"/>
        <v>46099</v>
      </c>
      <c r="H837" s="77">
        <f t="shared" si="353"/>
        <v>46087</v>
      </c>
      <c r="I837" s="77">
        <f t="shared" si="354"/>
        <v>46094</v>
      </c>
      <c r="J837" s="77">
        <v>46105</v>
      </c>
      <c r="K837" s="25">
        <f t="shared" ref="K837:K842" si="371">J837-A837</f>
        <v>26</v>
      </c>
      <c r="L837" s="25">
        <v>11.98</v>
      </c>
      <c r="M837" s="25">
        <v>10.92</v>
      </c>
      <c r="N837" s="25">
        <f t="shared" si="369"/>
        <v>1.0600000000000005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349"/>
        <v>46102</v>
      </c>
      <c r="E838" s="77">
        <f t="shared" si="350"/>
        <v>46086</v>
      </c>
      <c r="F838" s="77">
        <f t="shared" si="351"/>
        <v>46093</v>
      </c>
      <c r="G838" s="77">
        <f t="shared" si="352"/>
        <v>46099</v>
      </c>
      <c r="H838" s="77">
        <f t="shared" si="353"/>
        <v>46087</v>
      </c>
      <c r="I838" s="77">
        <f t="shared" si="354"/>
        <v>46094</v>
      </c>
      <c r="J838" s="77">
        <v>46105</v>
      </c>
      <c r="K838" s="25">
        <f t="shared" si="371"/>
        <v>26</v>
      </c>
      <c r="L838" s="25">
        <v>12.42</v>
      </c>
      <c r="M838" s="25">
        <v>10.73</v>
      </c>
      <c r="N838" s="25">
        <f t="shared" si="369"/>
        <v>1.6899999999999995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349"/>
        <v>46102</v>
      </c>
      <c r="E839" s="77">
        <f t="shared" si="350"/>
        <v>46086</v>
      </c>
      <c r="F839" s="77">
        <f t="shared" si="351"/>
        <v>46093</v>
      </c>
      <c r="G839" s="77">
        <f t="shared" si="352"/>
        <v>46099</v>
      </c>
      <c r="H839" s="77">
        <f t="shared" si="353"/>
        <v>46087</v>
      </c>
      <c r="I839" s="77">
        <f t="shared" si="354"/>
        <v>46094</v>
      </c>
      <c r="J839" s="77">
        <v>46105</v>
      </c>
      <c r="K839" s="25">
        <f t="shared" si="371"/>
        <v>26</v>
      </c>
      <c r="L839" s="25">
        <v>14.78</v>
      </c>
      <c r="M839" s="25">
        <v>11.34</v>
      </c>
      <c r="N839" s="25">
        <f t="shared" si="369"/>
        <v>3.4399999999999995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349"/>
        <v>46102</v>
      </c>
      <c r="E840" s="77">
        <f t="shared" si="350"/>
        <v>46086</v>
      </c>
      <c r="F840" s="77">
        <f t="shared" si="351"/>
        <v>46093</v>
      </c>
      <c r="G840" s="77">
        <f t="shared" si="352"/>
        <v>46099</v>
      </c>
      <c r="H840" s="77">
        <f t="shared" si="353"/>
        <v>46087</v>
      </c>
      <c r="I840" s="77">
        <f t="shared" si="354"/>
        <v>46094</v>
      </c>
      <c r="J840" s="77">
        <v>46105</v>
      </c>
      <c r="K840" s="25">
        <f t="shared" si="371"/>
        <v>26</v>
      </c>
      <c r="L840" s="25">
        <v>14.19</v>
      </c>
      <c r="M840" s="25">
        <v>13.27</v>
      </c>
      <c r="N840" s="25">
        <f t="shared" si="369"/>
        <v>0.91999999999999993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349"/>
        <v>46102</v>
      </c>
      <c r="E841" s="77">
        <f t="shared" si="350"/>
        <v>46086</v>
      </c>
      <c r="F841" s="77">
        <f t="shared" si="351"/>
        <v>46093</v>
      </c>
      <c r="G841" s="77">
        <f t="shared" si="352"/>
        <v>46099</v>
      </c>
      <c r="H841" s="77">
        <f t="shared" si="353"/>
        <v>46087</v>
      </c>
      <c r="I841" s="77">
        <f t="shared" si="354"/>
        <v>46094</v>
      </c>
      <c r="J841" s="77">
        <v>46105</v>
      </c>
      <c r="K841" s="25">
        <f t="shared" si="371"/>
        <v>26</v>
      </c>
      <c r="L841" s="25">
        <v>14.98</v>
      </c>
      <c r="M841" s="25">
        <v>13.11</v>
      </c>
      <c r="N841" s="25">
        <f t="shared" si="369"/>
        <v>1.870000000000001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349"/>
        <v>46102</v>
      </c>
      <c r="E842" s="77">
        <f t="shared" si="350"/>
        <v>46086</v>
      </c>
      <c r="F842" s="77">
        <f t="shared" si="351"/>
        <v>46093</v>
      </c>
      <c r="G842" s="77">
        <f t="shared" si="352"/>
        <v>46099</v>
      </c>
      <c r="H842" s="77">
        <f t="shared" si="353"/>
        <v>46087</v>
      </c>
      <c r="I842" s="77">
        <f t="shared" si="354"/>
        <v>46094</v>
      </c>
      <c r="J842" s="77">
        <v>46105</v>
      </c>
      <c r="K842" s="25">
        <f t="shared" si="371"/>
        <v>26</v>
      </c>
      <c r="L842" s="25">
        <v>13.21</v>
      </c>
      <c r="M842" s="25">
        <v>11.21</v>
      </c>
      <c r="N842" s="25">
        <f t="shared" si="369"/>
        <v>2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349"/>
        <v>46103</v>
      </c>
      <c r="E843" s="77">
        <f t="shared" si="350"/>
        <v>46087</v>
      </c>
      <c r="F843" s="77">
        <f t="shared" si="351"/>
        <v>46094</v>
      </c>
      <c r="G843" s="77">
        <f t="shared" si="352"/>
        <v>46100</v>
      </c>
      <c r="H843" s="77">
        <f t="shared" si="353"/>
        <v>46088</v>
      </c>
      <c r="I843" s="77">
        <f t="shared" si="354"/>
        <v>46095</v>
      </c>
      <c r="J843" s="77">
        <v>46105</v>
      </c>
      <c r="K843" s="25">
        <f t="shared" ref="K843:K844" si="372">J843-A843</f>
        <v>25</v>
      </c>
      <c r="L843" s="25">
        <v>12.57</v>
      </c>
      <c r="M843" s="25">
        <v>10.75</v>
      </c>
      <c r="N843" s="25">
        <f t="shared" si="369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349"/>
        <v>46103</v>
      </c>
      <c r="E844" s="77">
        <f t="shared" si="350"/>
        <v>46087</v>
      </c>
      <c r="F844" s="77">
        <f t="shared" si="351"/>
        <v>46094</v>
      </c>
      <c r="G844" s="77">
        <f t="shared" si="352"/>
        <v>46100</v>
      </c>
      <c r="H844" s="77">
        <f t="shared" si="353"/>
        <v>46088</v>
      </c>
      <c r="I844" s="77">
        <f t="shared" si="354"/>
        <v>46095</v>
      </c>
      <c r="J844" s="77">
        <v>46105</v>
      </c>
      <c r="K844" s="25">
        <f t="shared" si="372"/>
        <v>25</v>
      </c>
      <c r="L844" s="25">
        <v>11.99</v>
      </c>
      <c r="M844" s="25">
        <v>10.32</v>
      </c>
      <c r="N844" s="25">
        <f t="shared" si="369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349"/>
        <v>46103</v>
      </c>
      <c r="E845" s="77">
        <f t="shared" si="350"/>
        <v>46087</v>
      </c>
      <c r="F845" s="77">
        <f t="shared" si="351"/>
        <v>46094</v>
      </c>
      <c r="G845" s="77">
        <f t="shared" si="352"/>
        <v>46100</v>
      </c>
      <c r="H845" s="77">
        <f t="shared" si="353"/>
        <v>46088</v>
      </c>
      <c r="I845" s="77">
        <f t="shared" si="354"/>
        <v>46095</v>
      </c>
      <c r="J845" s="77">
        <v>46106</v>
      </c>
      <c r="K845" s="25">
        <f t="shared" ref="K845" si="373">J845-A845</f>
        <v>26</v>
      </c>
      <c r="L845" s="25">
        <v>10.79</v>
      </c>
      <c r="M845" s="25">
        <v>9.7799999999999994</v>
      </c>
      <c r="N845" s="25">
        <f t="shared" ref="N845:N857" si="374">L845-M845</f>
        <v>1.0099999999999998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349"/>
        <v>46103</v>
      </c>
      <c r="E846" s="77">
        <f t="shared" si="350"/>
        <v>46087</v>
      </c>
      <c r="F846" s="77">
        <f t="shared" si="351"/>
        <v>46094</v>
      </c>
      <c r="G846" s="77">
        <f t="shared" si="352"/>
        <v>46100</v>
      </c>
      <c r="H846" s="77">
        <f t="shared" si="353"/>
        <v>46088</v>
      </c>
      <c r="I846" s="77">
        <f t="shared" si="354"/>
        <v>46095</v>
      </c>
      <c r="J846" s="77">
        <v>46106</v>
      </c>
      <c r="K846" s="25">
        <f t="shared" ref="K846:K857" si="375">J846-A846</f>
        <v>26</v>
      </c>
      <c r="L846" s="25">
        <v>11.43</v>
      </c>
      <c r="M846" s="25">
        <v>9.51</v>
      </c>
      <c r="N846" s="25">
        <f t="shared" si="374"/>
        <v>1.92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349"/>
        <v>46103</v>
      </c>
      <c r="E847" s="77">
        <f t="shared" si="350"/>
        <v>46087</v>
      </c>
      <c r="F847" s="77">
        <f t="shared" si="351"/>
        <v>46094</v>
      </c>
      <c r="G847" s="77">
        <f t="shared" si="352"/>
        <v>46100</v>
      </c>
      <c r="H847" s="77">
        <f t="shared" si="353"/>
        <v>46088</v>
      </c>
      <c r="I847" s="77">
        <f t="shared" si="354"/>
        <v>46095</v>
      </c>
      <c r="J847" s="77">
        <v>46106</v>
      </c>
      <c r="K847" s="25">
        <f t="shared" si="375"/>
        <v>26</v>
      </c>
      <c r="L847" s="25">
        <v>10.94</v>
      </c>
      <c r="M847" s="25">
        <v>9.42</v>
      </c>
      <c r="N847" s="25">
        <f t="shared" si="374"/>
        <v>1.5199999999999996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349"/>
        <v>46103</v>
      </c>
      <c r="E848" s="77">
        <f t="shared" si="350"/>
        <v>46087</v>
      </c>
      <c r="F848" s="77">
        <f t="shared" si="351"/>
        <v>46094</v>
      </c>
      <c r="G848" s="77">
        <f t="shared" si="352"/>
        <v>46100</v>
      </c>
      <c r="H848" s="77">
        <f t="shared" si="353"/>
        <v>46088</v>
      </c>
      <c r="I848" s="77">
        <f t="shared" si="354"/>
        <v>46095</v>
      </c>
      <c r="J848" s="77">
        <v>46106</v>
      </c>
      <c r="K848" s="25">
        <f t="shared" si="375"/>
        <v>26</v>
      </c>
      <c r="L848" s="25">
        <v>9.93</v>
      </c>
      <c r="M848" s="25">
        <v>8.23</v>
      </c>
      <c r="N848" s="25">
        <f t="shared" si="374"/>
        <v>1.6999999999999993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349"/>
        <v>46103</v>
      </c>
      <c r="E849" s="77">
        <f t="shared" si="350"/>
        <v>46087</v>
      </c>
      <c r="F849" s="77">
        <f t="shared" si="351"/>
        <v>46094</v>
      </c>
      <c r="G849" s="77">
        <f t="shared" si="352"/>
        <v>46100</v>
      </c>
      <c r="H849" s="77">
        <f t="shared" si="353"/>
        <v>46088</v>
      </c>
      <c r="I849" s="77">
        <f t="shared" si="354"/>
        <v>46095</v>
      </c>
      <c r="J849" s="77">
        <v>46106</v>
      </c>
      <c r="K849" s="25">
        <f t="shared" si="375"/>
        <v>26</v>
      </c>
      <c r="L849" s="25">
        <v>10.73</v>
      </c>
      <c r="M849" s="25">
        <v>9.1199999999999992</v>
      </c>
      <c r="N849" s="25">
        <f t="shared" si="374"/>
        <v>1.6100000000000012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349"/>
        <v>46104</v>
      </c>
      <c r="E850" s="77">
        <f t="shared" si="350"/>
        <v>46088</v>
      </c>
      <c r="F850" s="77">
        <f t="shared" si="351"/>
        <v>46095</v>
      </c>
      <c r="G850" s="77">
        <f t="shared" si="352"/>
        <v>46101</v>
      </c>
      <c r="H850" s="77">
        <f t="shared" si="353"/>
        <v>46089</v>
      </c>
      <c r="I850" s="77">
        <f t="shared" si="354"/>
        <v>46096</v>
      </c>
      <c r="J850" s="77">
        <v>46106</v>
      </c>
      <c r="K850" s="25">
        <f t="shared" si="375"/>
        <v>25</v>
      </c>
      <c r="L850" s="25">
        <v>10.79</v>
      </c>
      <c r="M850" s="25">
        <v>9.14</v>
      </c>
      <c r="N850" s="25">
        <f t="shared" si="374"/>
        <v>1.6499999999999986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376">A851+23</f>
        <v>46104</v>
      </c>
      <c r="E851" s="77">
        <f t="shared" ref="E851:E914" si="377">A851+7</f>
        <v>46088</v>
      </c>
      <c r="F851" s="77">
        <f t="shared" ref="F851:F914" si="378">A851+14</f>
        <v>46095</v>
      </c>
      <c r="G851" s="77">
        <f t="shared" ref="G851:G914" si="379">A851+20</f>
        <v>46101</v>
      </c>
      <c r="H851" s="77">
        <f t="shared" ref="H851:H914" si="380">A851+8</f>
        <v>46089</v>
      </c>
      <c r="I851" s="77">
        <f t="shared" ref="I851:I914" si="381">A851+15</f>
        <v>46096</v>
      </c>
      <c r="J851" s="77">
        <v>46106</v>
      </c>
      <c r="K851" s="25">
        <f t="shared" si="375"/>
        <v>25</v>
      </c>
      <c r="L851" s="25">
        <v>10.72</v>
      </c>
      <c r="M851" s="25">
        <v>8.17</v>
      </c>
      <c r="N851" s="25">
        <f t="shared" si="374"/>
        <v>2.5500000000000007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376"/>
        <v>46104</v>
      </c>
      <c r="E852" s="77">
        <f t="shared" si="377"/>
        <v>46088</v>
      </c>
      <c r="F852" s="77">
        <f t="shared" si="378"/>
        <v>46095</v>
      </c>
      <c r="G852" s="77">
        <f t="shared" si="379"/>
        <v>46101</v>
      </c>
      <c r="H852" s="77">
        <f t="shared" si="380"/>
        <v>46089</v>
      </c>
      <c r="I852" s="77">
        <f t="shared" si="381"/>
        <v>46096</v>
      </c>
      <c r="J852" s="77">
        <v>46106</v>
      </c>
      <c r="K852" s="25">
        <f t="shared" si="375"/>
        <v>25</v>
      </c>
      <c r="L852" s="25">
        <v>11.48</v>
      </c>
      <c r="M852" s="25">
        <v>9.42</v>
      </c>
      <c r="N852" s="25">
        <f t="shared" si="374"/>
        <v>2.0600000000000005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376"/>
        <v>46104</v>
      </c>
      <c r="E853" s="77">
        <f t="shared" si="377"/>
        <v>46088</v>
      </c>
      <c r="F853" s="77">
        <f t="shared" si="378"/>
        <v>46095</v>
      </c>
      <c r="G853" s="77">
        <f t="shared" si="379"/>
        <v>46101</v>
      </c>
      <c r="H853" s="77">
        <f t="shared" si="380"/>
        <v>46089</v>
      </c>
      <c r="I853" s="77">
        <f t="shared" si="381"/>
        <v>46096</v>
      </c>
      <c r="J853" s="77">
        <v>46106</v>
      </c>
      <c r="K853" s="25">
        <f t="shared" si="375"/>
        <v>25</v>
      </c>
      <c r="L853" s="25">
        <v>12.22</v>
      </c>
      <c r="M853" s="25">
        <v>10.78</v>
      </c>
      <c r="N853" s="25">
        <f t="shared" si="374"/>
        <v>1.4400000000000013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376"/>
        <v>46104</v>
      </c>
      <c r="E854" s="77">
        <f t="shared" si="377"/>
        <v>46088</v>
      </c>
      <c r="F854" s="77">
        <f t="shared" si="378"/>
        <v>46095</v>
      </c>
      <c r="G854" s="77">
        <f t="shared" si="379"/>
        <v>46101</v>
      </c>
      <c r="H854" s="77">
        <f t="shared" si="380"/>
        <v>46089</v>
      </c>
      <c r="I854" s="77">
        <f t="shared" si="381"/>
        <v>46096</v>
      </c>
      <c r="J854" s="77">
        <v>46106</v>
      </c>
      <c r="K854" s="25">
        <f t="shared" si="375"/>
        <v>25</v>
      </c>
      <c r="L854" s="25">
        <v>9.42</v>
      </c>
      <c r="M854" s="25">
        <v>8.1199999999999992</v>
      </c>
      <c r="N854" s="25">
        <f t="shared" si="374"/>
        <v>1.3000000000000007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376"/>
        <v>46104</v>
      </c>
      <c r="E855" s="77">
        <f t="shared" si="377"/>
        <v>46088</v>
      </c>
      <c r="F855" s="77">
        <f t="shared" si="378"/>
        <v>46095</v>
      </c>
      <c r="G855" s="77">
        <f t="shared" si="379"/>
        <v>46101</v>
      </c>
      <c r="H855" s="77">
        <f t="shared" si="380"/>
        <v>46089</v>
      </c>
      <c r="I855" s="77">
        <f t="shared" si="381"/>
        <v>46096</v>
      </c>
      <c r="J855" s="77">
        <v>46106</v>
      </c>
      <c r="K855" s="25">
        <f t="shared" si="375"/>
        <v>25</v>
      </c>
      <c r="L855" s="25">
        <v>9.2799999999999994</v>
      </c>
      <c r="M855" s="25">
        <v>8.24</v>
      </c>
      <c r="N855" s="25">
        <f t="shared" si="374"/>
        <v>1.0399999999999991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376"/>
        <v>46104</v>
      </c>
      <c r="E856" s="77">
        <f t="shared" si="377"/>
        <v>46088</v>
      </c>
      <c r="F856" s="77">
        <f t="shared" si="378"/>
        <v>46095</v>
      </c>
      <c r="G856" s="77">
        <f t="shared" si="379"/>
        <v>46101</v>
      </c>
      <c r="H856" s="77">
        <f t="shared" si="380"/>
        <v>46089</v>
      </c>
      <c r="I856" s="77">
        <f t="shared" si="381"/>
        <v>46096</v>
      </c>
      <c r="J856" s="77">
        <v>46106</v>
      </c>
      <c r="K856" s="25">
        <f t="shared" si="375"/>
        <v>25</v>
      </c>
      <c r="L856" s="25">
        <v>10.83</v>
      </c>
      <c r="M856" s="25">
        <v>8.2899999999999991</v>
      </c>
      <c r="N856" s="25">
        <f t="shared" si="374"/>
        <v>2.5400000000000009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376"/>
        <v>46105</v>
      </c>
      <c r="E857" s="77">
        <f t="shared" si="377"/>
        <v>46089</v>
      </c>
      <c r="F857" s="77">
        <f t="shared" si="378"/>
        <v>46096</v>
      </c>
      <c r="G857" s="77">
        <f t="shared" si="379"/>
        <v>46102</v>
      </c>
      <c r="H857" s="77">
        <f t="shared" si="380"/>
        <v>46090</v>
      </c>
      <c r="I857" s="77">
        <f t="shared" si="381"/>
        <v>46097</v>
      </c>
      <c r="J857" s="77">
        <v>46106</v>
      </c>
      <c r="K857" s="25">
        <f t="shared" si="375"/>
        <v>24</v>
      </c>
      <c r="L857" s="25">
        <v>11.74</v>
      </c>
      <c r="M857" s="25">
        <v>10.11</v>
      </c>
      <c r="N857" s="25">
        <f t="shared" si="374"/>
        <v>1.6300000000000008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376"/>
        <v>46105</v>
      </c>
      <c r="E858" s="77">
        <f t="shared" si="377"/>
        <v>46089</v>
      </c>
      <c r="F858" s="77">
        <f t="shared" si="378"/>
        <v>46096</v>
      </c>
      <c r="G858" s="77">
        <f t="shared" si="379"/>
        <v>46102</v>
      </c>
      <c r="H858" s="77">
        <f t="shared" si="380"/>
        <v>46090</v>
      </c>
      <c r="I858" s="77">
        <f t="shared" si="381"/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376"/>
        <v>46105</v>
      </c>
      <c r="E859" s="77">
        <f t="shared" si="377"/>
        <v>46089</v>
      </c>
      <c r="F859" s="77">
        <f t="shared" si="378"/>
        <v>46096</v>
      </c>
      <c r="G859" s="77">
        <f t="shared" si="379"/>
        <v>46102</v>
      </c>
      <c r="H859" s="77">
        <f t="shared" si="380"/>
        <v>46090</v>
      </c>
      <c r="I859" s="77">
        <f t="shared" si="381"/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376"/>
        <v>46105</v>
      </c>
      <c r="E860" s="77">
        <f t="shared" si="377"/>
        <v>46089</v>
      </c>
      <c r="F860" s="77">
        <f t="shared" si="378"/>
        <v>46096</v>
      </c>
      <c r="G860" s="77">
        <f t="shared" si="379"/>
        <v>46102</v>
      </c>
      <c r="H860" s="77">
        <f t="shared" si="380"/>
        <v>46090</v>
      </c>
      <c r="I860" s="77">
        <f t="shared" si="381"/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376"/>
        <v>46105</v>
      </c>
      <c r="E861" s="77">
        <f t="shared" si="377"/>
        <v>46089</v>
      </c>
      <c r="F861" s="77">
        <f t="shared" si="378"/>
        <v>46096</v>
      </c>
      <c r="G861" s="77">
        <f t="shared" si="379"/>
        <v>46102</v>
      </c>
      <c r="H861" s="77">
        <f t="shared" si="380"/>
        <v>46090</v>
      </c>
      <c r="I861" s="77">
        <f t="shared" si="381"/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376"/>
        <v>46105</v>
      </c>
      <c r="E862" s="77">
        <f t="shared" si="377"/>
        <v>46089</v>
      </c>
      <c r="F862" s="77">
        <f t="shared" si="378"/>
        <v>46096</v>
      </c>
      <c r="G862" s="77">
        <f t="shared" si="379"/>
        <v>46102</v>
      </c>
      <c r="H862" s="77">
        <f t="shared" si="380"/>
        <v>46090</v>
      </c>
      <c r="I862" s="77">
        <f t="shared" si="381"/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376"/>
        <v>46105</v>
      </c>
      <c r="E863" s="77">
        <f t="shared" si="377"/>
        <v>46089</v>
      </c>
      <c r="F863" s="77">
        <f t="shared" si="378"/>
        <v>46096</v>
      </c>
      <c r="G863" s="77">
        <f t="shared" si="379"/>
        <v>46102</v>
      </c>
      <c r="H863" s="77">
        <f t="shared" si="380"/>
        <v>46090</v>
      </c>
      <c r="I863" s="77">
        <f t="shared" si="381"/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376"/>
        <v>46106</v>
      </c>
      <c r="E864" s="77">
        <f t="shared" si="377"/>
        <v>46090</v>
      </c>
      <c r="F864" s="77">
        <f t="shared" si="378"/>
        <v>46097</v>
      </c>
      <c r="G864" s="77">
        <f t="shared" si="379"/>
        <v>46103</v>
      </c>
      <c r="H864" s="77">
        <f t="shared" si="380"/>
        <v>46091</v>
      </c>
      <c r="I864" s="77">
        <f t="shared" si="381"/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376"/>
        <v>46106</v>
      </c>
      <c r="E865" s="77">
        <f t="shared" si="377"/>
        <v>46090</v>
      </c>
      <c r="F865" s="77">
        <f t="shared" si="378"/>
        <v>46097</v>
      </c>
      <c r="G865" s="77">
        <f t="shared" si="379"/>
        <v>46103</v>
      </c>
      <c r="H865" s="77">
        <f t="shared" si="380"/>
        <v>46091</v>
      </c>
      <c r="I865" s="77">
        <f t="shared" si="381"/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376"/>
        <v>46106</v>
      </c>
      <c r="E866" s="77">
        <f t="shared" si="377"/>
        <v>46090</v>
      </c>
      <c r="F866" s="77">
        <f t="shared" si="378"/>
        <v>46097</v>
      </c>
      <c r="G866" s="77">
        <f t="shared" si="379"/>
        <v>46103</v>
      </c>
      <c r="H866" s="77">
        <f t="shared" si="380"/>
        <v>46091</v>
      </c>
      <c r="I866" s="77">
        <f t="shared" si="381"/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376"/>
        <v>46106</v>
      </c>
      <c r="E867" s="77">
        <f t="shared" si="377"/>
        <v>46090</v>
      </c>
      <c r="F867" s="77">
        <f t="shared" si="378"/>
        <v>46097</v>
      </c>
      <c r="G867" s="77">
        <f t="shared" si="379"/>
        <v>46103</v>
      </c>
      <c r="H867" s="77">
        <f t="shared" si="380"/>
        <v>46091</v>
      </c>
      <c r="I867" s="77">
        <f t="shared" si="381"/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376"/>
        <v>46106</v>
      </c>
      <c r="E868" s="77">
        <f t="shared" si="377"/>
        <v>46090</v>
      </c>
      <c r="F868" s="77">
        <f t="shared" si="378"/>
        <v>46097</v>
      </c>
      <c r="G868" s="77">
        <f t="shared" si="379"/>
        <v>46103</v>
      </c>
      <c r="H868" s="77">
        <f t="shared" si="380"/>
        <v>46091</v>
      </c>
      <c r="I868" s="77">
        <f t="shared" si="381"/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376"/>
        <v>46106</v>
      </c>
      <c r="E869" s="77">
        <f t="shared" si="377"/>
        <v>46090</v>
      </c>
      <c r="F869" s="77">
        <f t="shared" si="378"/>
        <v>46097</v>
      </c>
      <c r="G869" s="77">
        <f t="shared" si="379"/>
        <v>46103</v>
      </c>
      <c r="H869" s="77">
        <f t="shared" si="380"/>
        <v>46091</v>
      </c>
      <c r="I869" s="77">
        <f t="shared" si="381"/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376"/>
        <v>46106</v>
      </c>
      <c r="E870" s="77">
        <f t="shared" si="377"/>
        <v>46090</v>
      </c>
      <c r="F870" s="77">
        <f t="shared" si="378"/>
        <v>46097</v>
      </c>
      <c r="G870" s="77">
        <f t="shared" si="379"/>
        <v>46103</v>
      </c>
      <c r="H870" s="77">
        <f t="shared" si="380"/>
        <v>46091</v>
      </c>
      <c r="I870" s="77">
        <f t="shared" si="381"/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376"/>
        <v>46107</v>
      </c>
      <c r="E871" s="77">
        <f t="shared" si="377"/>
        <v>46091</v>
      </c>
      <c r="F871" s="77">
        <f t="shared" si="378"/>
        <v>46098</v>
      </c>
      <c r="G871" s="77">
        <f t="shared" si="379"/>
        <v>46104</v>
      </c>
      <c r="H871" s="77">
        <f t="shared" si="380"/>
        <v>46092</v>
      </c>
      <c r="I871" s="77">
        <f t="shared" si="381"/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376"/>
        <v>46107</v>
      </c>
      <c r="E872" s="77">
        <f t="shared" si="377"/>
        <v>46091</v>
      </c>
      <c r="F872" s="77">
        <f t="shared" si="378"/>
        <v>46098</v>
      </c>
      <c r="G872" s="77">
        <f t="shared" si="379"/>
        <v>46104</v>
      </c>
      <c r="H872" s="77">
        <f t="shared" si="380"/>
        <v>46092</v>
      </c>
      <c r="I872" s="77">
        <f t="shared" si="381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376"/>
        <v>46107</v>
      </c>
      <c r="E873" s="77">
        <f t="shared" si="377"/>
        <v>46091</v>
      </c>
      <c r="F873" s="77">
        <f t="shared" si="378"/>
        <v>46098</v>
      </c>
      <c r="G873" s="77">
        <f t="shared" si="379"/>
        <v>46104</v>
      </c>
      <c r="H873" s="77">
        <f t="shared" si="380"/>
        <v>46092</v>
      </c>
      <c r="I873" s="77">
        <f t="shared" si="381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376"/>
        <v>46107</v>
      </c>
      <c r="E874" s="77">
        <f t="shared" si="377"/>
        <v>46091</v>
      </c>
      <c r="F874" s="77">
        <f t="shared" si="378"/>
        <v>46098</v>
      </c>
      <c r="G874" s="77">
        <f t="shared" si="379"/>
        <v>46104</v>
      </c>
      <c r="H874" s="77">
        <f t="shared" si="380"/>
        <v>46092</v>
      </c>
      <c r="I874" s="77">
        <f t="shared" si="381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376"/>
        <v>46107</v>
      </c>
      <c r="E875" s="77">
        <f t="shared" si="377"/>
        <v>46091</v>
      </c>
      <c r="F875" s="77">
        <f t="shared" si="378"/>
        <v>46098</v>
      </c>
      <c r="G875" s="77">
        <f t="shared" si="379"/>
        <v>46104</v>
      </c>
      <c r="H875" s="77">
        <f t="shared" si="380"/>
        <v>46092</v>
      </c>
      <c r="I875" s="77">
        <f t="shared" si="381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376"/>
        <v>46107</v>
      </c>
      <c r="E876" s="77">
        <f t="shared" si="377"/>
        <v>46091</v>
      </c>
      <c r="F876" s="77">
        <f t="shared" si="378"/>
        <v>46098</v>
      </c>
      <c r="G876" s="77">
        <f t="shared" si="379"/>
        <v>46104</v>
      </c>
      <c r="H876" s="77">
        <f t="shared" si="380"/>
        <v>46092</v>
      </c>
      <c r="I876" s="77">
        <f t="shared" si="381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376"/>
        <v>46107</v>
      </c>
      <c r="E877" s="77">
        <f t="shared" si="377"/>
        <v>46091</v>
      </c>
      <c r="F877" s="77">
        <f t="shared" si="378"/>
        <v>46098</v>
      </c>
      <c r="G877" s="77">
        <f t="shared" si="379"/>
        <v>46104</v>
      </c>
      <c r="H877" s="77">
        <f t="shared" si="380"/>
        <v>46092</v>
      </c>
      <c r="I877" s="77">
        <f t="shared" si="381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376"/>
        <v>46108</v>
      </c>
      <c r="E878" s="77">
        <f t="shared" si="377"/>
        <v>46092</v>
      </c>
      <c r="F878" s="77">
        <f t="shared" si="378"/>
        <v>46099</v>
      </c>
      <c r="G878" s="77">
        <f t="shared" si="379"/>
        <v>46105</v>
      </c>
      <c r="H878" s="77">
        <f t="shared" si="380"/>
        <v>46093</v>
      </c>
      <c r="I878" s="77">
        <f t="shared" si="381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376"/>
        <v>46108</v>
      </c>
      <c r="E879" s="77">
        <f t="shared" si="377"/>
        <v>46092</v>
      </c>
      <c r="F879" s="77">
        <f t="shared" si="378"/>
        <v>46099</v>
      </c>
      <c r="G879" s="77">
        <f t="shared" si="379"/>
        <v>46105</v>
      </c>
      <c r="H879" s="77">
        <f t="shared" si="380"/>
        <v>46093</v>
      </c>
      <c r="I879" s="77">
        <f t="shared" si="381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376"/>
        <v>46108</v>
      </c>
      <c r="E880" s="77">
        <f t="shared" si="377"/>
        <v>46092</v>
      </c>
      <c r="F880" s="77">
        <f t="shared" si="378"/>
        <v>46099</v>
      </c>
      <c r="G880" s="77">
        <f t="shared" si="379"/>
        <v>46105</v>
      </c>
      <c r="H880" s="77">
        <f t="shared" si="380"/>
        <v>46093</v>
      </c>
      <c r="I880" s="77">
        <f t="shared" si="381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376"/>
        <v>46108</v>
      </c>
      <c r="E881" s="77">
        <f t="shared" si="377"/>
        <v>46092</v>
      </c>
      <c r="F881" s="77">
        <f t="shared" si="378"/>
        <v>46099</v>
      </c>
      <c r="G881" s="77">
        <f t="shared" si="379"/>
        <v>46105</v>
      </c>
      <c r="H881" s="77">
        <f t="shared" si="380"/>
        <v>46093</v>
      </c>
      <c r="I881" s="77">
        <f t="shared" si="381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376"/>
        <v>46108</v>
      </c>
      <c r="E882" s="77">
        <f t="shared" si="377"/>
        <v>46092</v>
      </c>
      <c r="F882" s="77">
        <f t="shared" si="378"/>
        <v>46099</v>
      </c>
      <c r="G882" s="77">
        <f t="shared" si="379"/>
        <v>46105</v>
      </c>
      <c r="H882" s="77">
        <f t="shared" si="380"/>
        <v>46093</v>
      </c>
      <c r="I882" s="77">
        <f t="shared" si="381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376"/>
        <v>46108</v>
      </c>
      <c r="E883" s="77">
        <f t="shared" si="377"/>
        <v>46092</v>
      </c>
      <c r="F883" s="77">
        <f t="shared" si="378"/>
        <v>46099</v>
      </c>
      <c r="G883" s="77">
        <f t="shared" si="379"/>
        <v>46105</v>
      </c>
      <c r="H883" s="77">
        <f t="shared" si="380"/>
        <v>46093</v>
      </c>
      <c r="I883" s="77">
        <f t="shared" si="381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376"/>
        <v>46108</v>
      </c>
      <c r="E884" s="77">
        <f t="shared" si="377"/>
        <v>46092</v>
      </c>
      <c r="F884" s="77">
        <f t="shared" si="378"/>
        <v>46099</v>
      </c>
      <c r="G884" s="77">
        <f t="shared" si="379"/>
        <v>46105</v>
      </c>
      <c r="H884" s="77">
        <f t="shared" si="380"/>
        <v>46093</v>
      </c>
      <c r="I884" s="77">
        <f t="shared" si="381"/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376"/>
        <v>46109</v>
      </c>
      <c r="E885" s="77">
        <f t="shared" si="377"/>
        <v>46093</v>
      </c>
      <c r="F885" s="77">
        <f t="shared" si="378"/>
        <v>46100</v>
      </c>
      <c r="G885" s="77">
        <f t="shared" si="379"/>
        <v>46106</v>
      </c>
      <c r="H885" s="77">
        <f t="shared" si="380"/>
        <v>46094</v>
      </c>
      <c r="I885" s="77">
        <f t="shared" si="381"/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376"/>
        <v>46109</v>
      </c>
      <c r="E886" s="77">
        <f t="shared" si="377"/>
        <v>46093</v>
      </c>
      <c r="F886" s="77">
        <f t="shared" si="378"/>
        <v>46100</v>
      </c>
      <c r="G886" s="77">
        <f t="shared" si="379"/>
        <v>46106</v>
      </c>
      <c r="H886" s="77">
        <f t="shared" si="380"/>
        <v>46094</v>
      </c>
      <c r="I886" s="77">
        <f t="shared" si="381"/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376"/>
        <v>46109</v>
      </c>
      <c r="E887" s="77">
        <f t="shared" si="377"/>
        <v>46093</v>
      </c>
      <c r="F887" s="77">
        <f t="shared" si="378"/>
        <v>46100</v>
      </c>
      <c r="G887" s="77">
        <f t="shared" si="379"/>
        <v>46106</v>
      </c>
      <c r="H887" s="77">
        <f t="shared" si="380"/>
        <v>46094</v>
      </c>
      <c r="I887" s="77">
        <f t="shared" si="381"/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376"/>
        <v>46109</v>
      </c>
      <c r="E888" s="77">
        <f t="shared" si="377"/>
        <v>46093</v>
      </c>
      <c r="F888" s="77">
        <f t="shared" si="378"/>
        <v>46100</v>
      </c>
      <c r="G888" s="77">
        <f t="shared" si="379"/>
        <v>46106</v>
      </c>
      <c r="H888" s="77">
        <f t="shared" si="380"/>
        <v>46094</v>
      </c>
      <c r="I888" s="77">
        <f t="shared" si="381"/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376"/>
        <v>46109</v>
      </c>
      <c r="E889" s="77">
        <f t="shared" si="377"/>
        <v>46093</v>
      </c>
      <c r="F889" s="77">
        <f t="shared" si="378"/>
        <v>46100</v>
      </c>
      <c r="G889" s="77">
        <f t="shared" si="379"/>
        <v>46106</v>
      </c>
      <c r="H889" s="77">
        <f t="shared" si="380"/>
        <v>46094</v>
      </c>
      <c r="I889" s="77">
        <f t="shared" si="381"/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376"/>
        <v>46109</v>
      </c>
      <c r="E890" s="77">
        <f t="shared" si="377"/>
        <v>46093</v>
      </c>
      <c r="F890" s="77">
        <f t="shared" si="378"/>
        <v>46100</v>
      </c>
      <c r="G890" s="77">
        <f t="shared" si="379"/>
        <v>46106</v>
      </c>
      <c r="H890" s="77">
        <f t="shared" si="380"/>
        <v>46094</v>
      </c>
      <c r="I890" s="77">
        <f t="shared" si="381"/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376"/>
        <v>46109</v>
      </c>
      <c r="E891" s="77">
        <f t="shared" si="377"/>
        <v>46093</v>
      </c>
      <c r="F891" s="77">
        <f t="shared" si="378"/>
        <v>46100</v>
      </c>
      <c r="G891" s="77">
        <f t="shared" si="379"/>
        <v>46106</v>
      </c>
      <c r="H891" s="77">
        <f t="shared" si="380"/>
        <v>46094</v>
      </c>
      <c r="I891" s="77">
        <f t="shared" si="381"/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376"/>
        <v>46110</v>
      </c>
      <c r="E892" s="77">
        <f t="shared" si="377"/>
        <v>46094</v>
      </c>
      <c r="F892" s="77">
        <f t="shared" si="378"/>
        <v>46101</v>
      </c>
      <c r="G892" s="77">
        <f t="shared" si="379"/>
        <v>46107</v>
      </c>
      <c r="H892" s="77">
        <f t="shared" si="380"/>
        <v>46095</v>
      </c>
      <c r="I892" s="77">
        <f t="shared" si="381"/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376"/>
        <v>46110</v>
      </c>
      <c r="E893" s="77">
        <f t="shared" si="377"/>
        <v>46094</v>
      </c>
      <c r="F893" s="77">
        <f t="shared" si="378"/>
        <v>46101</v>
      </c>
      <c r="G893" s="77">
        <f t="shared" si="379"/>
        <v>46107</v>
      </c>
      <c r="H893" s="77">
        <f t="shared" si="380"/>
        <v>46095</v>
      </c>
      <c r="I893" s="77">
        <f t="shared" si="381"/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376"/>
        <v>46110</v>
      </c>
      <c r="E894" s="77">
        <f t="shared" si="377"/>
        <v>46094</v>
      </c>
      <c r="F894" s="77">
        <f t="shared" si="378"/>
        <v>46101</v>
      </c>
      <c r="G894" s="77">
        <f t="shared" si="379"/>
        <v>46107</v>
      </c>
      <c r="H894" s="77">
        <f t="shared" si="380"/>
        <v>46095</v>
      </c>
      <c r="I894" s="77">
        <f t="shared" si="381"/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376"/>
        <v>46110</v>
      </c>
      <c r="E895" s="77">
        <f t="shared" si="377"/>
        <v>46094</v>
      </c>
      <c r="F895" s="77">
        <f t="shared" si="378"/>
        <v>46101</v>
      </c>
      <c r="G895" s="77">
        <f t="shared" si="379"/>
        <v>46107</v>
      </c>
      <c r="H895" s="77">
        <f t="shared" si="380"/>
        <v>46095</v>
      </c>
      <c r="I895" s="77">
        <f t="shared" si="381"/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376"/>
        <v>46110</v>
      </c>
      <c r="E896" s="77">
        <f t="shared" si="377"/>
        <v>46094</v>
      </c>
      <c r="F896" s="77">
        <f t="shared" si="378"/>
        <v>46101</v>
      </c>
      <c r="G896" s="77">
        <f t="shared" si="379"/>
        <v>46107</v>
      </c>
      <c r="H896" s="77">
        <f t="shared" si="380"/>
        <v>46095</v>
      </c>
      <c r="I896" s="77">
        <f t="shared" si="381"/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376"/>
        <v>46110</v>
      </c>
      <c r="E897" s="77">
        <f t="shared" si="377"/>
        <v>46094</v>
      </c>
      <c r="F897" s="77">
        <f t="shared" si="378"/>
        <v>46101</v>
      </c>
      <c r="G897" s="77">
        <f t="shared" si="379"/>
        <v>46107</v>
      </c>
      <c r="H897" s="77">
        <f t="shared" si="380"/>
        <v>46095</v>
      </c>
      <c r="I897" s="77">
        <f t="shared" si="381"/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376"/>
        <v>46110</v>
      </c>
      <c r="E898" s="77">
        <f t="shared" si="377"/>
        <v>46094</v>
      </c>
      <c r="F898" s="77">
        <f t="shared" si="378"/>
        <v>46101</v>
      </c>
      <c r="G898" s="77">
        <f t="shared" si="379"/>
        <v>46107</v>
      </c>
      <c r="H898" s="77">
        <f t="shared" si="380"/>
        <v>46095</v>
      </c>
      <c r="I898" s="77">
        <f t="shared" si="381"/>
        <v>46102</v>
      </c>
      <c r="J898" s="25"/>
      <c r="K898" s="25"/>
      <c r="L898" s="25"/>
      <c r="M898" s="25"/>
      <c r="N898" s="25"/>
      <c r="O898" s="25"/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376"/>
        <v>46111</v>
      </c>
      <c r="E899" s="77">
        <f t="shared" si="377"/>
        <v>46095</v>
      </c>
      <c r="F899" s="77">
        <f t="shared" si="378"/>
        <v>46102</v>
      </c>
      <c r="G899" s="77">
        <f t="shared" si="379"/>
        <v>46108</v>
      </c>
      <c r="H899" s="77">
        <f t="shared" si="380"/>
        <v>46096</v>
      </c>
      <c r="I899" s="77">
        <f t="shared" si="381"/>
        <v>46103</v>
      </c>
      <c r="J899" s="25"/>
      <c r="K899" s="25"/>
      <c r="L899" s="25"/>
      <c r="M899" s="25"/>
      <c r="N899" s="25"/>
      <c r="O899" s="25"/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376"/>
        <v>46111</v>
      </c>
      <c r="E900" s="77">
        <f t="shared" si="377"/>
        <v>46095</v>
      </c>
      <c r="F900" s="77">
        <f t="shared" si="378"/>
        <v>46102</v>
      </c>
      <c r="G900" s="77">
        <f t="shared" si="379"/>
        <v>46108</v>
      </c>
      <c r="H900" s="77">
        <f t="shared" si="380"/>
        <v>46096</v>
      </c>
      <c r="I900" s="77">
        <f t="shared" si="381"/>
        <v>46103</v>
      </c>
      <c r="J900" s="25"/>
      <c r="K900" s="25"/>
      <c r="L900" s="25"/>
      <c r="M900" s="25"/>
      <c r="N900" s="25"/>
      <c r="O900" s="25"/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376"/>
        <v>46111</v>
      </c>
      <c r="E901" s="77">
        <f t="shared" si="377"/>
        <v>46095</v>
      </c>
      <c r="F901" s="77">
        <f t="shared" si="378"/>
        <v>46102</v>
      </c>
      <c r="G901" s="77">
        <f t="shared" si="379"/>
        <v>46108</v>
      </c>
      <c r="H901" s="77">
        <f t="shared" si="380"/>
        <v>46096</v>
      </c>
      <c r="I901" s="77">
        <f t="shared" si="381"/>
        <v>46103</v>
      </c>
      <c r="J901" s="25"/>
      <c r="K901" s="25"/>
      <c r="L901" s="25"/>
      <c r="M901" s="25"/>
      <c r="N901" s="25"/>
      <c r="O901" s="25"/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376"/>
        <v>46111</v>
      </c>
      <c r="E902" s="77">
        <f t="shared" si="377"/>
        <v>46095</v>
      </c>
      <c r="F902" s="77">
        <f t="shared" si="378"/>
        <v>46102</v>
      </c>
      <c r="G902" s="77">
        <f t="shared" si="379"/>
        <v>46108</v>
      </c>
      <c r="H902" s="77">
        <f t="shared" si="380"/>
        <v>46096</v>
      </c>
      <c r="I902" s="77">
        <f t="shared" si="381"/>
        <v>46103</v>
      </c>
      <c r="J902" s="25"/>
      <c r="K902" s="25"/>
      <c r="L902" s="25"/>
      <c r="M902" s="25"/>
      <c r="N902" s="25"/>
      <c r="O902" s="25"/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376"/>
        <v>46111</v>
      </c>
      <c r="E903" s="77">
        <f t="shared" si="377"/>
        <v>46095</v>
      </c>
      <c r="F903" s="77">
        <f t="shared" si="378"/>
        <v>46102</v>
      </c>
      <c r="G903" s="77">
        <f t="shared" si="379"/>
        <v>46108</v>
      </c>
      <c r="H903" s="77">
        <f t="shared" si="380"/>
        <v>46096</v>
      </c>
      <c r="I903" s="77">
        <f t="shared" si="381"/>
        <v>46103</v>
      </c>
      <c r="J903" s="25"/>
      <c r="K903" s="25"/>
      <c r="L903" s="25"/>
      <c r="M903" s="25"/>
      <c r="N903" s="25"/>
      <c r="O903" s="25"/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376"/>
        <v>46111</v>
      </c>
      <c r="E904" s="77">
        <f t="shared" si="377"/>
        <v>46095</v>
      </c>
      <c r="F904" s="77">
        <f t="shared" si="378"/>
        <v>46102</v>
      </c>
      <c r="G904" s="77">
        <f t="shared" si="379"/>
        <v>46108</v>
      </c>
      <c r="H904" s="77">
        <f t="shared" si="380"/>
        <v>46096</v>
      </c>
      <c r="I904" s="77">
        <f t="shared" si="381"/>
        <v>46103</v>
      </c>
      <c r="J904" s="25"/>
      <c r="K904" s="25"/>
      <c r="L904" s="25"/>
      <c r="M904" s="25"/>
      <c r="N904" s="25"/>
      <c r="O904" s="25"/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376"/>
        <v>46111</v>
      </c>
      <c r="E905" s="77">
        <f t="shared" si="377"/>
        <v>46095</v>
      </c>
      <c r="F905" s="77">
        <f t="shared" si="378"/>
        <v>46102</v>
      </c>
      <c r="G905" s="77">
        <f t="shared" si="379"/>
        <v>46108</v>
      </c>
      <c r="H905" s="77">
        <f t="shared" si="380"/>
        <v>46096</v>
      </c>
      <c r="I905" s="77">
        <f t="shared" si="381"/>
        <v>46103</v>
      </c>
      <c r="J905" s="25"/>
      <c r="K905" s="25"/>
      <c r="L905" s="25"/>
      <c r="M905" s="25"/>
      <c r="N905" s="25"/>
      <c r="O905" s="25"/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376"/>
        <v>46111</v>
      </c>
      <c r="E906" s="77">
        <f t="shared" si="377"/>
        <v>46095</v>
      </c>
      <c r="F906" s="77">
        <f t="shared" si="378"/>
        <v>46102</v>
      </c>
      <c r="G906" s="77">
        <f t="shared" si="379"/>
        <v>46108</v>
      </c>
      <c r="H906" s="77">
        <f t="shared" si="380"/>
        <v>46096</v>
      </c>
      <c r="I906" s="77">
        <f t="shared" si="381"/>
        <v>46103</v>
      </c>
      <c r="J906" s="25"/>
      <c r="K906" s="25"/>
      <c r="L906" s="25"/>
      <c r="M906" s="25"/>
      <c r="N906" s="25"/>
      <c r="O906" s="25"/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376"/>
        <v>46112</v>
      </c>
      <c r="E907" s="77">
        <f t="shared" si="377"/>
        <v>46096</v>
      </c>
      <c r="F907" s="77">
        <f t="shared" si="378"/>
        <v>46103</v>
      </c>
      <c r="G907" s="77">
        <f t="shared" si="379"/>
        <v>46109</v>
      </c>
      <c r="H907" s="77">
        <f t="shared" si="380"/>
        <v>46097</v>
      </c>
      <c r="I907" s="77">
        <f t="shared" si="381"/>
        <v>46104</v>
      </c>
      <c r="J907" s="25"/>
      <c r="K907" s="25"/>
      <c r="L907" s="25"/>
      <c r="M907" s="25"/>
      <c r="N907" s="25"/>
      <c r="O907" s="25"/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376"/>
        <v>46112</v>
      </c>
      <c r="E908" s="77">
        <f t="shared" si="377"/>
        <v>46096</v>
      </c>
      <c r="F908" s="77">
        <f t="shared" si="378"/>
        <v>46103</v>
      </c>
      <c r="G908" s="77">
        <f t="shared" si="379"/>
        <v>46109</v>
      </c>
      <c r="H908" s="77">
        <f t="shared" si="380"/>
        <v>46097</v>
      </c>
      <c r="I908" s="77">
        <f t="shared" si="381"/>
        <v>46104</v>
      </c>
      <c r="J908" s="25"/>
      <c r="K908" s="25"/>
      <c r="L908" s="25"/>
      <c r="M908" s="25"/>
      <c r="N908" s="25"/>
      <c r="O908" s="25"/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376"/>
        <v>46112</v>
      </c>
      <c r="E909" s="77">
        <f t="shared" si="377"/>
        <v>46096</v>
      </c>
      <c r="F909" s="77">
        <f t="shared" si="378"/>
        <v>46103</v>
      </c>
      <c r="G909" s="77">
        <f t="shared" si="379"/>
        <v>46109</v>
      </c>
      <c r="H909" s="77">
        <f t="shared" si="380"/>
        <v>46097</v>
      </c>
      <c r="I909" s="77">
        <f t="shared" si="381"/>
        <v>46104</v>
      </c>
      <c r="J909" s="25"/>
      <c r="K909" s="25"/>
      <c r="L909" s="25"/>
      <c r="M909" s="25"/>
      <c r="N909" s="25"/>
      <c r="O909" s="25"/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376"/>
        <v>46112</v>
      </c>
      <c r="E910" s="77">
        <f t="shared" si="377"/>
        <v>46096</v>
      </c>
      <c r="F910" s="77">
        <f t="shared" si="378"/>
        <v>46103</v>
      </c>
      <c r="G910" s="77">
        <f t="shared" si="379"/>
        <v>46109</v>
      </c>
      <c r="H910" s="77">
        <f t="shared" si="380"/>
        <v>46097</v>
      </c>
      <c r="I910" s="77">
        <f t="shared" si="381"/>
        <v>46104</v>
      </c>
      <c r="J910" s="25"/>
      <c r="K910" s="25"/>
      <c r="L910" s="25"/>
      <c r="M910" s="25"/>
      <c r="N910" s="25"/>
      <c r="O910" s="25"/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376"/>
        <v>46112</v>
      </c>
      <c r="E911" s="77">
        <f t="shared" si="377"/>
        <v>46096</v>
      </c>
      <c r="F911" s="77">
        <f t="shared" si="378"/>
        <v>46103</v>
      </c>
      <c r="G911" s="77">
        <f t="shared" si="379"/>
        <v>46109</v>
      </c>
      <c r="H911" s="77">
        <f t="shared" si="380"/>
        <v>46097</v>
      </c>
      <c r="I911" s="77">
        <f t="shared" si="381"/>
        <v>46104</v>
      </c>
      <c r="J911" s="25"/>
      <c r="K911" s="25"/>
      <c r="L911" s="25"/>
      <c r="M911" s="25"/>
      <c r="N911" s="25"/>
      <c r="O911" s="25"/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376"/>
        <v>46112</v>
      </c>
      <c r="E912" s="77">
        <f t="shared" si="377"/>
        <v>46096</v>
      </c>
      <c r="F912" s="77">
        <f t="shared" si="378"/>
        <v>46103</v>
      </c>
      <c r="G912" s="77">
        <f t="shared" si="379"/>
        <v>46109</v>
      </c>
      <c r="H912" s="77">
        <f t="shared" si="380"/>
        <v>46097</v>
      </c>
      <c r="I912" s="77">
        <f t="shared" si="381"/>
        <v>46104</v>
      </c>
      <c r="J912" s="25"/>
      <c r="K912" s="25"/>
      <c r="L912" s="25"/>
      <c r="M912" s="25"/>
      <c r="N912" s="25"/>
      <c r="O912" s="25"/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376"/>
        <v>46112</v>
      </c>
      <c r="E913" s="77">
        <f t="shared" si="377"/>
        <v>46096</v>
      </c>
      <c r="F913" s="77">
        <f t="shared" si="378"/>
        <v>46103</v>
      </c>
      <c r="G913" s="77">
        <f t="shared" si="379"/>
        <v>46109</v>
      </c>
      <c r="H913" s="77">
        <f t="shared" si="380"/>
        <v>46097</v>
      </c>
      <c r="I913" s="77">
        <f t="shared" si="381"/>
        <v>46104</v>
      </c>
      <c r="J913" s="25"/>
      <c r="K913" s="25"/>
      <c r="L913" s="25"/>
      <c r="M913" s="25"/>
      <c r="N913" s="25"/>
      <c r="O913" s="25"/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376"/>
        <v>46113</v>
      </c>
      <c r="E914" s="77">
        <f t="shared" si="377"/>
        <v>46097</v>
      </c>
      <c r="F914" s="77">
        <f t="shared" si="378"/>
        <v>46104</v>
      </c>
      <c r="G914" s="77">
        <f t="shared" si="379"/>
        <v>46110</v>
      </c>
      <c r="H914" s="77">
        <f t="shared" si="380"/>
        <v>46098</v>
      </c>
      <c r="I914" s="77">
        <f t="shared" si="381"/>
        <v>46105</v>
      </c>
      <c r="J914" s="25"/>
      <c r="K914" s="25"/>
      <c r="L914" s="25"/>
      <c r="M914" s="25"/>
      <c r="N914" s="25"/>
      <c r="O914" s="25"/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1" si="382">A915+23</f>
        <v>46113</v>
      </c>
      <c r="E915" s="77">
        <f t="shared" ref="E915:E971" si="383">A915+7</f>
        <v>46097</v>
      </c>
      <c r="F915" s="77">
        <f t="shared" ref="F915:F971" si="384">A915+14</f>
        <v>46104</v>
      </c>
      <c r="G915" s="77">
        <f t="shared" ref="G915:G971" si="385">A915+20</f>
        <v>46110</v>
      </c>
      <c r="H915" s="77">
        <f t="shared" ref="H915:H971" si="386">A915+8</f>
        <v>46098</v>
      </c>
      <c r="I915" s="77">
        <f t="shared" ref="I915:I971" si="387">A915+15</f>
        <v>46105</v>
      </c>
      <c r="J915" s="25"/>
      <c r="K915" s="25"/>
      <c r="L915" s="25"/>
      <c r="M915" s="25"/>
      <c r="N915" s="25"/>
      <c r="O915" s="25"/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382"/>
        <v>46113</v>
      </c>
      <c r="E916" s="77">
        <f t="shared" si="383"/>
        <v>46097</v>
      </c>
      <c r="F916" s="77">
        <f t="shared" si="384"/>
        <v>46104</v>
      </c>
      <c r="G916" s="77">
        <f t="shared" si="385"/>
        <v>46110</v>
      </c>
      <c r="H916" s="77">
        <f t="shared" si="386"/>
        <v>46098</v>
      </c>
      <c r="I916" s="77">
        <f t="shared" si="387"/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382"/>
        <v>46113</v>
      </c>
      <c r="E917" s="77">
        <f t="shared" si="383"/>
        <v>46097</v>
      </c>
      <c r="F917" s="77">
        <f t="shared" si="384"/>
        <v>46104</v>
      </c>
      <c r="G917" s="77">
        <f t="shared" si="385"/>
        <v>46110</v>
      </c>
      <c r="H917" s="77">
        <f t="shared" si="386"/>
        <v>46098</v>
      </c>
      <c r="I917" s="77">
        <f t="shared" si="387"/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382"/>
        <v>46113</v>
      </c>
      <c r="E918" s="77">
        <f t="shared" si="383"/>
        <v>46097</v>
      </c>
      <c r="F918" s="77">
        <f t="shared" si="384"/>
        <v>46104</v>
      </c>
      <c r="G918" s="77">
        <f t="shared" si="385"/>
        <v>46110</v>
      </c>
      <c r="H918" s="77">
        <f t="shared" si="386"/>
        <v>46098</v>
      </c>
      <c r="I918" s="77">
        <f t="shared" si="387"/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382"/>
        <v>46113</v>
      </c>
      <c r="E919" s="77">
        <f t="shared" si="383"/>
        <v>46097</v>
      </c>
      <c r="F919" s="77">
        <f t="shared" si="384"/>
        <v>46104</v>
      </c>
      <c r="G919" s="77">
        <f t="shared" si="385"/>
        <v>46110</v>
      </c>
      <c r="H919" s="77">
        <f t="shared" si="386"/>
        <v>46098</v>
      </c>
      <c r="I919" s="77">
        <f t="shared" si="387"/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382"/>
        <v>46113</v>
      </c>
      <c r="E920" s="77">
        <f t="shared" si="383"/>
        <v>46097</v>
      </c>
      <c r="F920" s="77">
        <f t="shared" si="384"/>
        <v>46104</v>
      </c>
      <c r="G920" s="77">
        <f t="shared" si="385"/>
        <v>46110</v>
      </c>
      <c r="H920" s="77">
        <f t="shared" si="386"/>
        <v>46098</v>
      </c>
      <c r="I920" s="77">
        <f t="shared" si="387"/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382"/>
        <v>46114</v>
      </c>
      <c r="E921" s="77">
        <f t="shared" si="383"/>
        <v>46098</v>
      </c>
      <c r="F921" s="77">
        <f t="shared" si="384"/>
        <v>46105</v>
      </c>
      <c r="G921" s="77">
        <f t="shared" si="385"/>
        <v>46111</v>
      </c>
      <c r="H921" s="77">
        <f t="shared" si="386"/>
        <v>46099</v>
      </c>
      <c r="I921" s="77">
        <f t="shared" si="387"/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382"/>
        <v>46114</v>
      </c>
      <c r="E922" s="77">
        <f t="shared" si="383"/>
        <v>46098</v>
      </c>
      <c r="F922" s="77">
        <f t="shared" si="384"/>
        <v>46105</v>
      </c>
      <c r="G922" s="77">
        <f t="shared" si="385"/>
        <v>46111</v>
      </c>
      <c r="H922" s="77">
        <f t="shared" si="386"/>
        <v>46099</v>
      </c>
      <c r="I922" s="77">
        <f t="shared" si="387"/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382"/>
        <v>46114</v>
      </c>
      <c r="E923" s="77">
        <f t="shared" si="383"/>
        <v>46098</v>
      </c>
      <c r="F923" s="77">
        <f t="shared" si="384"/>
        <v>46105</v>
      </c>
      <c r="G923" s="77">
        <f t="shared" si="385"/>
        <v>46111</v>
      </c>
      <c r="H923" s="77">
        <f t="shared" si="386"/>
        <v>46099</v>
      </c>
      <c r="I923" s="77">
        <f t="shared" si="387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382"/>
        <v>46114</v>
      </c>
      <c r="E924" s="77">
        <f t="shared" si="383"/>
        <v>46098</v>
      </c>
      <c r="F924" s="77">
        <f t="shared" si="384"/>
        <v>46105</v>
      </c>
      <c r="G924" s="77">
        <f t="shared" si="385"/>
        <v>46111</v>
      </c>
      <c r="H924" s="77">
        <f t="shared" si="386"/>
        <v>46099</v>
      </c>
      <c r="I924" s="77">
        <f t="shared" si="387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382"/>
        <v>46114</v>
      </c>
      <c r="E925" s="77">
        <f t="shared" si="383"/>
        <v>46098</v>
      </c>
      <c r="F925" s="77">
        <f t="shared" si="384"/>
        <v>46105</v>
      </c>
      <c r="G925" s="77">
        <f t="shared" si="385"/>
        <v>46111</v>
      </c>
      <c r="H925" s="77">
        <f t="shared" si="386"/>
        <v>46099</v>
      </c>
      <c r="I925" s="77">
        <f t="shared" si="387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382"/>
        <v>46114</v>
      </c>
      <c r="E926" s="77">
        <f t="shared" si="383"/>
        <v>46098</v>
      </c>
      <c r="F926" s="77">
        <f t="shared" si="384"/>
        <v>46105</v>
      </c>
      <c r="G926" s="77">
        <f t="shared" si="385"/>
        <v>46111</v>
      </c>
      <c r="H926" s="77">
        <f t="shared" si="386"/>
        <v>46099</v>
      </c>
      <c r="I926" s="77">
        <f t="shared" si="387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382"/>
        <v>46114</v>
      </c>
      <c r="E927" s="77">
        <f t="shared" si="383"/>
        <v>46098</v>
      </c>
      <c r="F927" s="77">
        <f t="shared" si="384"/>
        <v>46105</v>
      </c>
      <c r="G927" s="77">
        <f t="shared" si="385"/>
        <v>46111</v>
      </c>
      <c r="H927" s="77">
        <f t="shared" si="386"/>
        <v>46099</v>
      </c>
      <c r="I927" s="77">
        <f t="shared" si="387"/>
        <v>46106</v>
      </c>
      <c r="J927" s="25"/>
      <c r="K927" s="25"/>
      <c r="L927" s="25"/>
      <c r="M927" s="25"/>
      <c r="N927" s="25"/>
      <c r="O927" s="25"/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382"/>
        <v>46115</v>
      </c>
      <c r="E928" s="77">
        <f t="shared" si="383"/>
        <v>46099</v>
      </c>
      <c r="F928" s="77">
        <f t="shared" si="384"/>
        <v>46106</v>
      </c>
      <c r="G928" s="77">
        <f t="shared" si="385"/>
        <v>46112</v>
      </c>
      <c r="H928" s="77">
        <f t="shared" si="386"/>
        <v>46100</v>
      </c>
      <c r="I928" s="77">
        <f t="shared" si="387"/>
        <v>46107</v>
      </c>
      <c r="J928" s="25"/>
      <c r="K928" s="25"/>
      <c r="L928" s="25"/>
      <c r="M928" s="25"/>
      <c r="N928" s="25"/>
      <c r="O928" s="25"/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382"/>
        <v>46115</v>
      </c>
      <c r="E929" s="77">
        <f t="shared" si="383"/>
        <v>46099</v>
      </c>
      <c r="F929" s="77">
        <f t="shared" si="384"/>
        <v>46106</v>
      </c>
      <c r="G929" s="77">
        <f t="shared" si="385"/>
        <v>46112</v>
      </c>
      <c r="H929" s="77">
        <f t="shared" si="386"/>
        <v>46100</v>
      </c>
      <c r="I929" s="77">
        <f t="shared" si="387"/>
        <v>46107</v>
      </c>
      <c r="J929" s="25"/>
      <c r="K929" s="25"/>
      <c r="L929" s="25"/>
      <c r="M929" s="25"/>
      <c r="N929" s="25"/>
      <c r="O929" s="25"/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382"/>
        <v>46115</v>
      </c>
      <c r="E930" s="77">
        <f t="shared" si="383"/>
        <v>46099</v>
      </c>
      <c r="F930" s="77">
        <f t="shared" si="384"/>
        <v>46106</v>
      </c>
      <c r="G930" s="77">
        <f t="shared" si="385"/>
        <v>46112</v>
      </c>
      <c r="H930" s="77">
        <f t="shared" si="386"/>
        <v>46100</v>
      </c>
      <c r="I930" s="77">
        <f t="shared" si="387"/>
        <v>46107</v>
      </c>
      <c r="J930" s="25"/>
      <c r="K930" s="25"/>
      <c r="L930" s="25"/>
      <c r="M930" s="25"/>
      <c r="N930" s="25"/>
      <c r="O930" s="25"/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382"/>
        <v>46115</v>
      </c>
      <c r="E931" s="77">
        <f t="shared" si="383"/>
        <v>46099</v>
      </c>
      <c r="F931" s="77">
        <f t="shared" si="384"/>
        <v>46106</v>
      </c>
      <c r="G931" s="77">
        <f t="shared" si="385"/>
        <v>46112</v>
      </c>
      <c r="H931" s="77">
        <f t="shared" si="386"/>
        <v>46100</v>
      </c>
      <c r="I931" s="77">
        <f t="shared" si="387"/>
        <v>46107</v>
      </c>
      <c r="J931" s="25"/>
      <c r="K931" s="25"/>
      <c r="L931" s="25"/>
      <c r="M931" s="25"/>
      <c r="N931" s="25"/>
      <c r="O931" s="25"/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382"/>
        <v>46115</v>
      </c>
      <c r="E932" s="77">
        <f t="shared" si="383"/>
        <v>46099</v>
      </c>
      <c r="F932" s="77">
        <f t="shared" si="384"/>
        <v>46106</v>
      </c>
      <c r="G932" s="77">
        <f t="shared" si="385"/>
        <v>46112</v>
      </c>
      <c r="H932" s="77">
        <f t="shared" si="386"/>
        <v>46100</v>
      </c>
      <c r="I932" s="77">
        <f t="shared" si="387"/>
        <v>46107</v>
      </c>
      <c r="J932" s="25"/>
      <c r="K932" s="25"/>
      <c r="L932" s="25"/>
      <c r="M932" s="25"/>
      <c r="N932" s="25"/>
      <c r="O932" s="25"/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382"/>
        <v>46115</v>
      </c>
      <c r="E933" s="77">
        <f t="shared" si="383"/>
        <v>46099</v>
      </c>
      <c r="F933" s="77">
        <f t="shared" si="384"/>
        <v>46106</v>
      </c>
      <c r="G933" s="77">
        <f t="shared" si="385"/>
        <v>46112</v>
      </c>
      <c r="H933" s="77">
        <f t="shared" si="386"/>
        <v>46100</v>
      </c>
      <c r="I933" s="77">
        <f t="shared" si="387"/>
        <v>46107</v>
      </c>
      <c r="J933" s="25"/>
      <c r="K933" s="25"/>
      <c r="L933" s="25"/>
      <c r="M933" s="25"/>
      <c r="N933" s="25"/>
      <c r="O933" s="25"/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382"/>
        <v>46115</v>
      </c>
      <c r="E934" s="77">
        <f t="shared" si="383"/>
        <v>46099</v>
      </c>
      <c r="F934" s="77">
        <f t="shared" si="384"/>
        <v>46106</v>
      </c>
      <c r="G934" s="77">
        <f t="shared" si="385"/>
        <v>46112</v>
      </c>
      <c r="H934" s="77">
        <f t="shared" si="386"/>
        <v>46100</v>
      </c>
      <c r="I934" s="77">
        <f t="shared" si="387"/>
        <v>46107</v>
      </c>
      <c r="J934" s="25"/>
      <c r="K934" s="25"/>
      <c r="L934" s="25"/>
      <c r="M934" s="25"/>
      <c r="N934" s="25"/>
      <c r="O934" s="25"/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382"/>
        <v>46115</v>
      </c>
      <c r="E935" s="77">
        <f t="shared" si="383"/>
        <v>46099</v>
      </c>
      <c r="F935" s="77">
        <f t="shared" si="384"/>
        <v>46106</v>
      </c>
      <c r="G935" s="77">
        <f t="shared" si="385"/>
        <v>46112</v>
      </c>
      <c r="H935" s="77">
        <f t="shared" si="386"/>
        <v>46100</v>
      </c>
      <c r="I935" s="77">
        <f t="shared" si="387"/>
        <v>46107</v>
      </c>
      <c r="J935" s="25"/>
      <c r="K935" s="25"/>
      <c r="L935" s="25"/>
      <c r="M935" s="25"/>
      <c r="N935" s="25"/>
      <c r="O935" s="25"/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382"/>
        <v>46116</v>
      </c>
      <c r="E936" s="77">
        <f t="shared" si="383"/>
        <v>46100</v>
      </c>
      <c r="F936" s="77">
        <f t="shared" si="384"/>
        <v>46107</v>
      </c>
      <c r="G936" s="77">
        <f t="shared" si="385"/>
        <v>46113</v>
      </c>
      <c r="H936" s="77">
        <f t="shared" si="386"/>
        <v>46101</v>
      </c>
      <c r="I936" s="77">
        <f t="shared" si="387"/>
        <v>46108</v>
      </c>
      <c r="J936" s="25"/>
      <c r="K936" s="25"/>
      <c r="L936" s="25"/>
      <c r="M936" s="25"/>
      <c r="N936" s="25"/>
      <c r="O936" s="25"/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382"/>
        <v>46116</v>
      </c>
      <c r="E937" s="77">
        <f t="shared" si="383"/>
        <v>46100</v>
      </c>
      <c r="F937" s="77">
        <f t="shared" si="384"/>
        <v>46107</v>
      </c>
      <c r="G937" s="77">
        <f t="shared" si="385"/>
        <v>46113</v>
      </c>
      <c r="H937" s="77">
        <f t="shared" si="386"/>
        <v>46101</v>
      </c>
      <c r="I937" s="77">
        <f t="shared" si="387"/>
        <v>46108</v>
      </c>
      <c r="J937" s="25"/>
      <c r="K937" s="25"/>
      <c r="L937" s="25"/>
      <c r="M937" s="25"/>
      <c r="N937" s="25"/>
      <c r="O937" s="25"/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382"/>
        <v>46116</v>
      </c>
      <c r="E938" s="77">
        <f t="shared" si="383"/>
        <v>46100</v>
      </c>
      <c r="F938" s="77">
        <f t="shared" si="384"/>
        <v>46107</v>
      </c>
      <c r="G938" s="77">
        <f t="shared" si="385"/>
        <v>46113</v>
      </c>
      <c r="H938" s="77">
        <f t="shared" si="386"/>
        <v>46101</v>
      </c>
      <c r="I938" s="77">
        <f t="shared" si="387"/>
        <v>46108</v>
      </c>
      <c r="J938" s="25"/>
      <c r="K938" s="25"/>
      <c r="L938" s="25"/>
      <c r="M938" s="25"/>
      <c r="N938" s="25"/>
      <c r="O938" s="25"/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382"/>
        <v>46116</v>
      </c>
      <c r="E939" s="77">
        <f t="shared" si="383"/>
        <v>46100</v>
      </c>
      <c r="F939" s="77">
        <f t="shared" si="384"/>
        <v>46107</v>
      </c>
      <c r="G939" s="77">
        <f t="shared" si="385"/>
        <v>46113</v>
      </c>
      <c r="H939" s="77">
        <f t="shared" si="386"/>
        <v>46101</v>
      </c>
      <c r="I939" s="77">
        <f t="shared" si="387"/>
        <v>46108</v>
      </c>
      <c r="J939" s="25"/>
      <c r="K939" s="25"/>
      <c r="L939" s="25"/>
      <c r="M939" s="25"/>
      <c r="N939" s="25"/>
      <c r="O939" s="25"/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382"/>
        <v>46116</v>
      </c>
      <c r="E940" s="77">
        <f t="shared" si="383"/>
        <v>46100</v>
      </c>
      <c r="F940" s="77">
        <f t="shared" si="384"/>
        <v>46107</v>
      </c>
      <c r="G940" s="77">
        <f t="shared" si="385"/>
        <v>46113</v>
      </c>
      <c r="H940" s="77">
        <f t="shared" si="386"/>
        <v>46101</v>
      </c>
      <c r="I940" s="77">
        <f t="shared" si="387"/>
        <v>46108</v>
      </c>
      <c r="J940" s="25"/>
      <c r="K940" s="25"/>
      <c r="L940" s="25"/>
      <c r="M940" s="25"/>
      <c r="N940" s="25"/>
      <c r="O940" s="25"/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382"/>
        <v>46116</v>
      </c>
      <c r="E941" s="77">
        <f t="shared" si="383"/>
        <v>46100</v>
      </c>
      <c r="F941" s="77">
        <f t="shared" si="384"/>
        <v>46107</v>
      </c>
      <c r="G941" s="77">
        <f t="shared" si="385"/>
        <v>46113</v>
      </c>
      <c r="H941" s="77">
        <f t="shared" si="386"/>
        <v>46101</v>
      </c>
      <c r="I941" s="77">
        <f t="shared" si="387"/>
        <v>46108</v>
      </c>
      <c r="J941" s="25"/>
      <c r="K941" s="25"/>
      <c r="L941" s="25"/>
      <c r="M941" s="25"/>
      <c r="N941" s="25"/>
      <c r="O941" s="25"/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382"/>
        <v>46116</v>
      </c>
      <c r="E942" s="77">
        <f t="shared" si="383"/>
        <v>46100</v>
      </c>
      <c r="F942" s="77">
        <f t="shared" si="384"/>
        <v>46107</v>
      </c>
      <c r="G942" s="77">
        <f t="shared" si="385"/>
        <v>46113</v>
      </c>
      <c r="H942" s="77">
        <f t="shared" si="386"/>
        <v>46101</v>
      </c>
      <c r="I942" s="77">
        <f t="shared" si="387"/>
        <v>46108</v>
      </c>
      <c r="J942" s="25"/>
      <c r="K942" s="25"/>
      <c r="L942" s="25"/>
      <c r="M942" s="25"/>
      <c r="N942" s="25"/>
      <c r="O942" s="25"/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382"/>
        <v>46117</v>
      </c>
      <c r="E943" s="77">
        <f t="shared" si="383"/>
        <v>46101</v>
      </c>
      <c r="F943" s="77">
        <f t="shared" si="384"/>
        <v>46108</v>
      </c>
      <c r="G943" s="77">
        <f t="shared" si="385"/>
        <v>46114</v>
      </c>
      <c r="H943" s="77">
        <f t="shared" si="386"/>
        <v>46102</v>
      </c>
      <c r="I943" s="77">
        <f t="shared" si="387"/>
        <v>46109</v>
      </c>
      <c r="J943" s="25"/>
      <c r="K943" s="25"/>
      <c r="L943" s="25"/>
      <c r="M943" s="25"/>
      <c r="N943" s="25"/>
      <c r="O943" s="25"/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382"/>
        <v>46117</v>
      </c>
      <c r="E944" s="77">
        <f t="shared" si="383"/>
        <v>46101</v>
      </c>
      <c r="F944" s="77">
        <f t="shared" si="384"/>
        <v>46108</v>
      </c>
      <c r="G944" s="77">
        <f t="shared" si="385"/>
        <v>46114</v>
      </c>
      <c r="H944" s="77">
        <f t="shared" si="386"/>
        <v>46102</v>
      </c>
      <c r="I944" s="77">
        <f t="shared" si="387"/>
        <v>46109</v>
      </c>
      <c r="J944" s="25"/>
      <c r="K944" s="25"/>
      <c r="L944" s="25"/>
      <c r="M944" s="25"/>
      <c r="N944" s="25"/>
      <c r="O944" s="25"/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382"/>
        <v>46117</v>
      </c>
      <c r="E945" s="77">
        <f t="shared" si="383"/>
        <v>46101</v>
      </c>
      <c r="F945" s="77">
        <f t="shared" si="384"/>
        <v>46108</v>
      </c>
      <c r="G945" s="77">
        <f t="shared" si="385"/>
        <v>46114</v>
      </c>
      <c r="H945" s="77">
        <f t="shared" si="386"/>
        <v>46102</v>
      </c>
      <c r="I945" s="77">
        <f t="shared" si="387"/>
        <v>46109</v>
      </c>
      <c r="J945" s="25"/>
      <c r="K945" s="25"/>
      <c r="L945" s="25"/>
      <c r="M945" s="25"/>
      <c r="N945" s="25"/>
      <c r="O945" s="25"/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382"/>
        <v>46117</v>
      </c>
      <c r="E946" s="77">
        <f t="shared" si="383"/>
        <v>46101</v>
      </c>
      <c r="F946" s="77">
        <f t="shared" si="384"/>
        <v>46108</v>
      </c>
      <c r="G946" s="77">
        <f t="shared" si="385"/>
        <v>46114</v>
      </c>
      <c r="H946" s="77">
        <f t="shared" si="386"/>
        <v>46102</v>
      </c>
      <c r="I946" s="77">
        <f t="shared" si="387"/>
        <v>46109</v>
      </c>
      <c r="J946" s="25"/>
      <c r="K946" s="25"/>
      <c r="L946" s="25"/>
      <c r="M946" s="25"/>
      <c r="N946" s="25"/>
      <c r="O946" s="25"/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382"/>
        <v>46117</v>
      </c>
      <c r="E947" s="77">
        <f t="shared" si="383"/>
        <v>46101</v>
      </c>
      <c r="F947" s="77">
        <f t="shared" si="384"/>
        <v>46108</v>
      </c>
      <c r="G947" s="77">
        <f t="shared" si="385"/>
        <v>46114</v>
      </c>
      <c r="H947" s="77">
        <f t="shared" si="386"/>
        <v>46102</v>
      </c>
      <c r="I947" s="77">
        <f t="shared" si="387"/>
        <v>46109</v>
      </c>
      <c r="J947" s="25"/>
      <c r="K947" s="25"/>
      <c r="L947" s="25"/>
      <c r="M947" s="25"/>
      <c r="N947" s="25"/>
      <c r="O947" s="25"/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382"/>
        <v>46117</v>
      </c>
      <c r="E948" s="77">
        <f t="shared" si="383"/>
        <v>46101</v>
      </c>
      <c r="F948" s="77">
        <f t="shared" si="384"/>
        <v>46108</v>
      </c>
      <c r="G948" s="77">
        <f t="shared" si="385"/>
        <v>46114</v>
      </c>
      <c r="H948" s="77">
        <f t="shared" si="386"/>
        <v>46102</v>
      </c>
      <c r="I948" s="77">
        <f t="shared" si="387"/>
        <v>46109</v>
      </c>
      <c r="J948" s="25"/>
      <c r="K948" s="25"/>
      <c r="L948" s="25"/>
      <c r="M948" s="25"/>
      <c r="N948" s="25"/>
      <c r="O948" s="25"/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382"/>
        <v>46117</v>
      </c>
      <c r="E949" s="77">
        <f t="shared" si="383"/>
        <v>46101</v>
      </c>
      <c r="F949" s="77">
        <f t="shared" si="384"/>
        <v>46108</v>
      </c>
      <c r="G949" s="77">
        <f t="shared" si="385"/>
        <v>46114</v>
      </c>
      <c r="H949" s="77">
        <f t="shared" si="386"/>
        <v>46102</v>
      </c>
      <c r="I949" s="77">
        <f t="shared" si="387"/>
        <v>46109</v>
      </c>
      <c r="J949" s="25"/>
      <c r="K949" s="25"/>
      <c r="L949" s="25"/>
      <c r="M949" s="25"/>
      <c r="N949" s="25"/>
      <c r="O949" s="25"/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382"/>
        <v>46118</v>
      </c>
      <c r="E950" s="77">
        <f t="shared" si="383"/>
        <v>46102</v>
      </c>
      <c r="F950" s="77">
        <f t="shared" si="384"/>
        <v>46109</v>
      </c>
      <c r="G950" s="77">
        <f t="shared" si="385"/>
        <v>46115</v>
      </c>
      <c r="H950" s="77">
        <f t="shared" si="386"/>
        <v>46103</v>
      </c>
      <c r="I950" s="77">
        <f t="shared" si="387"/>
        <v>46110</v>
      </c>
      <c r="J950" s="25"/>
      <c r="K950" s="25"/>
      <c r="L950" s="25"/>
      <c r="M950" s="25"/>
      <c r="N950" s="25"/>
      <c r="O950" s="25"/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382"/>
        <v>46118</v>
      </c>
      <c r="E951" s="77">
        <f t="shared" si="383"/>
        <v>46102</v>
      </c>
      <c r="F951" s="77">
        <f t="shared" si="384"/>
        <v>46109</v>
      </c>
      <c r="G951" s="77">
        <f t="shared" si="385"/>
        <v>46115</v>
      </c>
      <c r="H951" s="77">
        <f t="shared" si="386"/>
        <v>46103</v>
      </c>
      <c r="I951" s="77">
        <f t="shared" si="387"/>
        <v>46110</v>
      </c>
      <c r="J951" s="25"/>
      <c r="K951" s="25"/>
      <c r="L951" s="25"/>
      <c r="M951" s="25"/>
      <c r="N951" s="25"/>
      <c r="O951" s="25"/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382"/>
        <v>46118</v>
      </c>
      <c r="E952" s="77">
        <f t="shared" si="383"/>
        <v>46102</v>
      </c>
      <c r="F952" s="77">
        <f t="shared" si="384"/>
        <v>46109</v>
      </c>
      <c r="G952" s="77">
        <f t="shared" si="385"/>
        <v>46115</v>
      </c>
      <c r="H952" s="77">
        <f t="shared" si="386"/>
        <v>46103</v>
      </c>
      <c r="I952" s="77">
        <f t="shared" si="387"/>
        <v>46110</v>
      </c>
      <c r="J952" s="25"/>
      <c r="K952" s="25"/>
      <c r="L952" s="25"/>
      <c r="M952" s="25"/>
      <c r="N952" s="25"/>
      <c r="O952" s="25"/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382"/>
        <v>46118</v>
      </c>
      <c r="E953" s="77">
        <f t="shared" si="383"/>
        <v>46102</v>
      </c>
      <c r="F953" s="77">
        <f t="shared" si="384"/>
        <v>46109</v>
      </c>
      <c r="G953" s="77">
        <f t="shared" si="385"/>
        <v>46115</v>
      </c>
      <c r="H953" s="77">
        <f t="shared" si="386"/>
        <v>46103</v>
      </c>
      <c r="I953" s="77">
        <f t="shared" si="387"/>
        <v>46110</v>
      </c>
      <c r="J953" s="25"/>
      <c r="K953" s="25"/>
      <c r="L953" s="25"/>
      <c r="M953" s="25"/>
      <c r="N953" s="25"/>
      <c r="O953" s="25"/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382"/>
        <v>46118</v>
      </c>
      <c r="E954" s="77">
        <f t="shared" si="383"/>
        <v>46102</v>
      </c>
      <c r="F954" s="77">
        <f t="shared" si="384"/>
        <v>46109</v>
      </c>
      <c r="G954" s="77">
        <f t="shared" si="385"/>
        <v>46115</v>
      </c>
      <c r="H954" s="77">
        <f t="shared" si="386"/>
        <v>46103</v>
      </c>
      <c r="I954" s="77">
        <f t="shared" si="387"/>
        <v>46110</v>
      </c>
      <c r="J954" s="25"/>
      <c r="K954" s="25"/>
      <c r="L954" s="25"/>
      <c r="M954" s="25"/>
      <c r="N954" s="25"/>
      <c r="O954" s="25"/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382"/>
        <v>46118</v>
      </c>
      <c r="E955" s="77">
        <f t="shared" si="383"/>
        <v>46102</v>
      </c>
      <c r="F955" s="77">
        <f t="shared" si="384"/>
        <v>46109</v>
      </c>
      <c r="G955" s="77">
        <f t="shared" si="385"/>
        <v>46115</v>
      </c>
      <c r="H955" s="77">
        <f t="shared" si="386"/>
        <v>46103</v>
      </c>
      <c r="I955" s="77">
        <f t="shared" si="387"/>
        <v>46110</v>
      </c>
      <c r="J955" s="25"/>
      <c r="K955" s="25"/>
      <c r="L955" s="25"/>
      <c r="M955" s="25"/>
      <c r="N955" s="25"/>
      <c r="O955" s="25"/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382"/>
        <v>46118</v>
      </c>
      <c r="E956" s="77">
        <f t="shared" si="383"/>
        <v>46102</v>
      </c>
      <c r="F956" s="77">
        <f t="shared" si="384"/>
        <v>46109</v>
      </c>
      <c r="G956" s="77">
        <f t="shared" si="385"/>
        <v>46115</v>
      </c>
      <c r="H956" s="77">
        <f t="shared" si="386"/>
        <v>46103</v>
      </c>
      <c r="I956" s="77">
        <f t="shared" si="387"/>
        <v>46110</v>
      </c>
      <c r="J956" s="25"/>
      <c r="K956" s="25"/>
      <c r="L956" s="25"/>
      <c r="M956" s="25"/>
      <c r="N956" s="25"/>
      <c r="O956" s="25"/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382"/>
        <v>46118</v>
      </c>
      <c r="E957" s="77">
        <f t="shared" si="383"/>
        <v>46102</v>
      </c>
      <c r="F957" s="77">
        <f t="shared" si="384"/>
        <v>46109</v>
      </c>
      <c r="G957" s="77">
        <f t="shared" si="385"/>
        <v>46115</v>
      </c>
      <c r="H957" s="77">
        <f t="shared" si="386"/>
        <v>46103</v>
      </c>
      <c r="I957" s="77">
        <f t="shared" si="387"/>
        <v>46110</v>
      </c>
      <c r="J957" s="25"/>
      <c r="K957" s="25"/>
      <c r="L957" s="25"/>
      <c r="M957" s="25"/>
      <c r="N957" s="25"/>
      <c r="O957" s="25"/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382"/>
        <v>46119</v>
      </c>
      <c r="E958" s="77">
        <f t="shared" si="383"/>
        <v>46103</v>
      </c>
      <c r="F958" s="77">
        <f t="shared" si="384"/>
        <v>46110</v>
      </c>
      <c r="G958" s="77">
        <f t="shared" si="385"/>
        <v>46116</v>
      </c>
      <c r="H958" s="77">
        <f t="shared" si="386"/>
        <v>46104</v>
      </c>
      <c r="I958" s="77">
        <f t="shared" si="387"/>
        <v>46111</v>
      </c>
      <c r="J958" s="25"/>
      <c r="K958" s="25"/>
      <c r="L958" s="25"/>
      <c r="M958" s="25"/>
      <c r="N958" s="25"/>
      <c r="O958" s="25"/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382"/>
        <v>46119</v>
      </c>
      <c r="E959" s="77">
        <f t="shared" si="383"/>
        <v>46103</v>
      </c>
      <c r="F959" s="77">
        <f t="shared" si="384"/>
        <v>46110</v>
      </c>
      <c r="G959" s="77">
        <f t="shared" si="385"/>
        <v>46116</v>
      </c>
      <c r="H959" s="77">
        <f t="shared" si="386"/>
        <v>46104</v>
      </c>
      <c r="I959" s="77">
        <f t="shared" si="387"/>
        <v>46111</v>
      </c>
      <c r="J959" s="25"/>
      <c r="K959" s="25"/>
      <c r="L959" s="25"/>
      <c r="M959" s="25"/>
      <c r="N959" s="25"/>
      <c r="O959" s="25"/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382"/>
        <v>46119</v>
      </c>
      <c r="E960" s="77">
        <f t="shared" si="383"/>
        <v>46103</v>
      </c>
      <c r="F960" s="77">
        <f t="shared" si="384"/>
        <v>46110</v>
      </c>
      <c r="G960" s="77">
        <f t="shared" si="385"/>
        <v>46116</v>
      </c>
      <c r="H960" s="77">
        <f t="shared" si="386"/>
        <v>46104</v>
      </c>
      <c r="I960" s="77">
        <f t="shared" si="387"/>
        <v>46111</v>
      </c>
      <c r="J960" s="25"/>
      <c r="K960" s="25"/>
      <c r="L960" s="25"/>
      <c r="M960" s="25"/>
      <c r="N960" s="25"/>
      <c r="O960" s="25"/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382"/>
        <v>46119</v>
      </c>
      <c r="E961" s="77">
        <f t="shared" si="383"/>
        <v>46103</v>
      </c>
      <c r="F961" s="77">
        <f t="shared" si="384"/>
        <v>46110</v>
      </c>
      <c r="G961" s="77">
        <f t="shared" si="385"/>
        <v>46116</v>
      </c>
      <c r="H961" s="77">
        <f t="shared" si="386"/>
        <v>46104</v>
      </c>
      <c r="I961" s="77">
        <f t="shared" si="387"/>
        <v>46111</v>
      </c>
      <c r="J961" s="25"/>
      <c r="K961" s="25"/>
      <c r="L961" s="25"/>
      <c r="M961" s="25"/>
      <c r="N961" s="25"/>
      <c r="O961" s="25"/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382"/>
        <v>46119</v>
      </c>
      <c r="E962" s="77">
        <f t="shared" si="383"/>
        <v>46103</v>
      </c>
      <c r="F962" s="77">
        <f t="shared" si="384"/>
        <v>46110</v>
      </c>
      <c r="G962" s="77">
        <f t="shared" si="385"/>
        <v>46116</v>
      </c>
      <c r="H962" s="77">
        <f t="shared" si="386"/>
        <v>46104</v>
      </c>
      <c r="I962" s="77">
        <f t="shared" si="387"/>
        <v>46111</v>
      </c>
      <c r="J962" s="25"/>
      <c r="K962" s="25"/>
      <c r="L962" s="25"/>
      <c r="M962" s="25"/>
      <c r="N962" s="25"/>
      <c r="O962" s="25"/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382"/>
        <v>46119</v>
      </c>
      <c r="E963" s="77">
        <f t="shared" si="383"/>
        <v>46103</v>
      </c>
      <c r="F963" s="77">
        <f t="shared" si="384"/>
        <v>46110</v>
      </c>
      <c r="G963" s="77">
        <f t="shared" si="385"/>
        <v>46116</v>
      </c>
      <c r="H963" s="77">
        <f t="shared" si="386"/>
        <v>46104</v>
      </c>
      <c r="I963" s="77">
        <f t="shared" si="387"/>
        <v>46111</v>
      </c>
      <c r="J963" s="25"/>
      <c r="K963" s="25"/>
      <c r="L963" s="25"/>
      <c r="M963" s="25"/>
      <c r="N963" s="25"/>
      <c r="O963" s="25"/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382"/>
        <v>46119</v>
      </c>
      <c r="E964" s="77">
        <f t="shared" si="383"/>
        <v>46103</v>
      </c>
      <c r="F964" s="77">
        <f t="shared" si="384"/>
        <v>46110</v>
      </c>
      <c r="G964" s="77">
        <f t="shared" si="385"/>
        <v>46116</v>
      </c>
      <c r="H964" s="77">
        <f t="shared" si="386"/>
        <v>46104</v>
      </c>
      <c r="I964" s="77">
        <f t="shared" si="387"/>
        <v>46111</v>
      </c>
      <c r="J964" s="25"/>
      <c r="K964" s="25"/>
      <c r="L964" s="25"/>
      <c r="M964" s="25"/>
      <c r="N964" s="25"/>
      <c r="O964" s="25"/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382"/>
        <v>46120</v>
      </c>
      <c r="E965" s="77">
        <f t="shared" si="383"/>
        <v>46104</v>
      </c>
      <c r="F965" s="77">
        <f t="shared" si="384"/>
        <v>46111</v>
      </c>
      <c r="G965" s="77">
        <f t="shared" si="385"/>
        <v>46117</v>
      </c>
      <c r="H965" s="77">
        <f t="shared" si="386"/>
        <v>46105</v>
      </c>
      <c r="I965" s="77">
        <f t="shared" si="387"/>
        <v>46112</v>
      </c>
      <c r="J965" s="25"/>
      <c r="K965" s="25"/>
      <c r="L965" s="25"/>
      <c r="M965" s="25"/>
      <c r="N965" s="25"/>
      <c r="O965" s="25"/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382"/>
        <v>46120</v>
      </c>
      <c r="E966" s="77">
        <f t="shared" si="383"/>
        <v>46104</v>
      </c>
      <c r="F966" s="77">
        <f t="shared" si="384"/>
        <v>46111</v>
      </c>
      <c r="G966" s="77">
        <f t="shared" si="385"/>
        <v>46117</v>
      </c>
      <c r="H966" s="77">
        <f t="shared" si="386"/>
        <v>46105</v>
      </c>
      <c r="I966" s="77">
        <f t="shared" si="387"/>
        <v>46112</v>
      </c>
      <c r="J966" s="25"/>
      <c r="K966" s="25"/>
      <c r="L966" s="25"/>
      <c r="M966" s="25"/>
      <c r="N966" s="25"/>
      <c r="O966" s="25"/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382"/>
        <v>46120</v>
      </c>
      <c r="E967" s="77">
        <f t="shared" si="383"/>
        <v>46104</v>
      </c>
      <c r="F967" s="77">
        <f t="shared" si="384"/>
        <v>46111</v>
      </c>
      <c r="G967" s="77">
        <f t="shared" si="385"/>
        <v>46117</v>
      </c>
      <c r="H967" s="77">
        <f t="shared" si="386"/>
        <v>46105</v>
      </c>
      <c r="I967" s="77">
        <f t="shared" si="387"/>
        <v>46112</v>
      </c>
      <c r="J967" s="25"/>
      <c r="K967" s="25"/>
      <c r="L967" s="25"/>
      <c r="M967" s="25"/>
      <c r="N967" s="25"/>
      <c r="O967" s="25"/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382"/>
        <v>46120</v>
      </c>
      <c r="E968" s="77">
        <f t="shared" si="383"/>
        <v>46104</v>
      </c>
      <c r="F968" s="77">
        <f t="shared" si="384"/>
        <v>46111</v>
      </c>
      <c r="G968" s="77">
        <f t="shared" si="385"/>
        <v>46117</v>
      </c>
      <c r="H968" s="77">
        <f t="shared" si="386"/>
        <v>46105</v>
      </c>
      <c r="I968" s="77">
        <f t="shared" si="387"/>
        <v>46112</v>
      </c>
      <c r="J968" s="25"/>
      <c r="K968" s="25"/>
      <c r="L968" s="25"/>
      <c r="M968" s="25"/>
      <c r="N968" s="25"/>
      <c r="O968" s="25"/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382"/>
        <v>46120</v>
      </c>
      <c r="E969" s="77">
        <f t="shared" si="383"/>
        <v>46104</v>
      </c>
      <c r="F969" s="77">
        <f t="shared" si="384"/>
        <v>46111</v>
      </c>
      <c r="G969" s="77">
        <f t="shared" si="385"/>
        <v>46117</v>
      </c>
      <c r="H969" s="77">
        <f t="shared" si="386"/>
        <v>46105</v>
      </c>
      <c r="I969" s="77">
        <f t="shared" si="387"/>
        <v>46112</v>
      </c>
      <c r="J969" s="25"/>
      <c r="K969" s="25"/>
      <c r="L969" s="25"/>
      <c r="M969" s="25"/>
      <c r="N969" s="25"/>
      <c r="O969" s="25"/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382"/>
        <v>46120</v>
      </c>
      <c r="E970" s="77">
        <f t="shared" si="383"/>
        <v>46104</v>
      </c>
      <c r="F970" s="77">
        <f t="shared" si="384"/>
        <v>46111</v>
      </c>
      <c r="G970" s="77">
        <f t="shared" si="385"/>
        <v>46117</v>
      </c>
      <c r="H970" s="77">
        <f t="shared" si="386"/>
        <v>46105</v>
      </c>
      <c r="I970" s="77">
        <f t="shared" si="387"/>
        <v>46112</v>
      </c>
      <c r="J970" s="25"/>
      <c r="K970" s="25"/>
      <c r="L970" s="25"/>
      <c r="M970" s="25"/>
      <c r="N970" s="25"/>
      <c r="O970" s="25"/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382"/>
        <v>46120</v>
      </c>
      <c r="E971" s="77">
        <f t="shared" si="383"/>
        <v>46104</v>
      </c>
      <c r="F971" s="77">
        <f t="shared" si="384"/>
        <v>46111</v>
      </c>
      <c r="G971" s="77">
        <f t="shared" si="385"/>
        <v>46117</v>
      </c>
      <c r="H971" s="77">
        <f t="shared" si="386"/>
        <v>46105</v>
      </c>
      <c r="I971" s="77">
        <f t="shared" si="387"/>
        <v>46112</v>
      </c>
      <c r="J971" s="25"/>
      <c r="K971" s="25"/>
      <c r="L971" s="25"/>
      <c r="M971" s="25"/>
      <c r="N971" s="25"/>
      <c r="O971" s="25"/>
    </row>
    <row r="972" spans="1:15" x14ac:dyDescent="0.25">
      <c r="A972" s="77">
        <v>46098</v>
      </c>
      <c r="B972" s="25" t="s">
        <v>520</v>
      </c>
      <c r="C972" s="25"/>
      <c r="D972" s="77">
        <f t="shared" ref="D972" si="388">A972+23</f>
        <v>46121</v>
      </c>
      <c r="E972" s="77">
        <f t="shared" ref="E972" si="389">A972+7</f>
        <v>46105</v>
      </c>
      <c r="F972" s="77">
        <f t="shared" ref="F972" si="390">A972+14</f>
        <v>46112</v>
      </c>
      <c r="G972" s="77">
        <f t="shared" ref="G972" si="391">A972+20</f>
        <v>46118</v>
      </c>
      <c r="H972" s="77">
        <f t="shared" ref="H972" si="392">A972+8</f>
        <v>46106</v>
      </c>
      <c r="I972" s="77">
        <f t="shared" ref="I972" si="393">A972+15</f>
        <v>46113</v>
      </c>
      <c r="J972" s="25"/>
      <c r="K972" s="25"/>
      <c r="L972" s="25"/>
      <c r="M972" s="25"/>
      <c r="N972" s="25"/>
      <c r="O972" s="25"/>
    </row>
    <row r="973" spans="1:15" x14ac:dyDescent="0.25">
      <c r="A973" s="77">
        <v>46098</v>
      </c>
      <c r="B973" s="25" t="s">
        <v>521</v>
      </c>
      <c r="C973" s="25"/>
      <c r="D973" s="77">
        <f t="shared" ref="D973:D977" si="394">A973+23</f>
        <v>46121</v>
      </c>
      <c r="E973" s="77">
        <f t="shared" ref="E973:E977" si="395">A973+7</f>
        <v>46105</v>
      </c>
      <c r="F973" s="77">
        <f t="shared" ref="F973:F977" si="396">A973+14</f>
        <v>46112</v>
      </c>
      <c r="G973" s="77">
        <f t="shared" ref="G973:G977" si="397">A973+20</f>
        <v>46118</v>
      </c>
      <c r="H973" s="77">
        <f t="shared" ref="H973:H977" si="398">A973+8</f>
        <v>46106</v>
      </c>
      <c r="I973" s="77">
        <f t="shared" ref="I973:I977" si="399">A973+15</f>
        <v>46113</v>
      </c>
      <c r="J973" s="25"/>
      <c r="K973" s="25"/>
      <c r="L973" s="25"/>
      <c r="M973" s="25"/>
      <c r="N973" s="25"/>
      <c r="O973" s="25"/>
    </row>
    <row r="974" spans="1:15" x14ac:dyDescent="0.25">
      <c r="A974" s="77">
        <v>46098</v>
      </c>
      <c r="B974" s="25" t="s">
        <v>522</v>
      </c>
      <c r="C974" s="25"/>
      <c r="D974" s="77">
        <f t="shared" si="394"/>
        <v>46121</v>
      </c>
      <c r="E974" s="77">
        <f t="shared" si="395"/>
        <v>46105</v>
      </c>
      <c r="F974" s="77">
        <f t="shared" si="396"/>
        <v>46112</v>
      </c>
      <c r="G974" s="77">
        <f t="shared" si="397"/>
        <v>46118</v>
      </c>
      <c r="H974" s="77">
        <f t="shared" si="398"/>
        <v>46106</v>
      </c>
      <c r="I974" s="77">
        <f t="shared" si="399"/>
        <v>46113</v>
      </c>
      <c r="J974" s="25"/>
      <c r="K974" s="25"/>
      <c r="L974" s="25"/>
      <c r="M974" s="25"/>
      <c r="N974" s="25"/>
      <c r="O974" s="25"/>
    </row>
    <row r="975" spans="1:15" x14ac:dyDescent="0.25">
      <c r="A975" s="77">
        <v>46098</v>
      </c>
      <c r="B975" s="25" t="s">
        <v>523</v>
      </c>
      <c r="C975" s="25"/>
      <c r="D975" s="77">
        <f t="shared" si="394"/>
        <v>46121</v>
      </c>
      <c r="E975" s="77">
        <f t="shared" si="395"/>
        <v>46105</v>
      </c>
      <c r="F975" s="77">
        <f t="shared" si="396"/>
        <v>46112</v>
      </c>
      <c r="G975" s="77">
        <f t="shared" si="397"/>
        <v>46118</v>
      </c>
      <c r="H975" s="77">
        <f t="shared" si="398"/>
        <v>46106</v>
      </c>
      <c r="I975" s="77">
        <f t="shared" si="399"/>
        <v>46113</v>
      </c>
      <c r="J975" s="25"/>
      <c r="K975" s="25"/>
      <c r="L975" s="25"/>
      <c r="M975" s="25"/>
      <c r="N975" s="25"/>
      <c r="O975" s="25"/>
    </row>
    <row r="976" spans="1:15" x14ac:dyDescent="0.25">
      <c r="A976" s="77">
        <v>46098</v>
      </c>
      <c r="B976" s="25" t="s">
        <v>524</v>
      </c>
      <c r="C976" s="25"/>
      <c r="D976" s="77">
        <f t="shared" si="394"/>
        <v>46121</v>
      </c>
      <c r="E976" s="77">
        <f t="shared" si="395"/>
        <v>46105</v>
      </c>
      <c r="F976" s="77">
        <f t="shared" si="396"/>
        <v>46112</v>
      </c>
      <c r="G976" s="77">
        <f t="shared" si="397"/>
        <v>46118</v>
      </c>
      <c r="H976" s="77">
        <f t="shared" si="398"/>
        <v>46106</v>
      </c>
      <c r="I976" s="77">
        <f t="shared" si="399"/>
        <v>46113</v>
      </c>
      <c r="J976" s="25"/>
      <c r="K976" s="25"/>
      <c r="L976" s="25"/>
      <c r="M976" s="25"/>
      <c r="N976" s="25"/>
      <c r="O976" s="25"/>
    </row>
    <row r="977" spans="1:15" x14ac:dyDescent="0.25">
      <c r="A977" s="77">
        <v>46098</v>
      </c>
      <c r="B977" s="25" t="s">
        <v>525</v>
      </c>
      <c r="C977" s="25"/>
      <c r="D977" s="77">
        <f t="shared" si="394"/>
        <v>46121</v>
      </c>
      <c r="E977" s="77">
        <f t="shared" si="395"/>
        <v>46105</v>
      </c>
      <c r="F977" s="77">
        <f t="shared" si="396"/>
        <v>46112</v>
      </c>
      <c r="G977" s="77">
        <f t="shared" si="397"/>
        <v>46118</v>
      </c>
      <c r="H977" s="77">
        <f t="shared" si="398"/>
        <v>46106</v>
      </c>
      <c r="I977" s="77">
        <f t="shared" si="399"/>
        <v>46113</v>
      </c>
      <c r="J977" s="25"/>
      <c r="K977" s="25"/>
      <c r="L977" s="25"/>
      <c r="M977" s="25"/>
      <c r="N977" s="25"/>
      <c r="O977" s="25"/>
    </row>
    <row r="978" spans="1:15" x14ac:dyDescent="0.25">
      <c r="A978" s="77">
        <v>46098</v>
      </c>
      <c r="B978" s="25" t="s">
        <v>526</v>
      </c>
      <c r="C978" s="25"/>
      <c r="D978" s="77">
        <f>A978+23</f>
        <v>46121</v>
      </c>
      <c r="E978" s="77">
        <f>A978+7</f>
        <v>46105</v>
      </c>
      <c r="F978" s="77">
        <f>A978+14</f>
        <v>46112</v>
      </c>
      <c r="G978" s="77">
        <f>A978+20</f>
        <v>46118</v>
      </c>
      <c r="H978" s="77">
        <f>A978+8</f>
        <v>46106</v>
      </c>
      <c r="I978" s="77">
        <f>A978+15</f>
        <v>46113</v>
      </c>
      <c r="J978" s="25"/>
      <c r="K978" s="25"/>
      <c r="L978" s="25"/>
      <c r="M978" s="25"/>
      <c r="N978" s="25"/>
      <c r="O978" s="25"/>
    </row>
    <row r="979" spans="1:15" x14ac:dyDescent="0.25">
      <c r="A979" s="77">
        <v>46099</v>
      </c>
      <c r="B979" s="25" t="s">
        <v>359</v>
      </c>
      <c r="C979" s="25"/>
      <c r="D979" s="77">
        <f>A979+23</f>
        <v>46122</v>
      </c>
      <c r="E979" s="77">
        <f>A979+7</f>
        <v>46106</v>
      </c>
      <c r="F979" s="77">
        <f>A979+14</f>
        <v>46113</v>
      </c>
      <c r="G979" s="77">
        <f>A979+20</f>
        <v>46119</v>
      </c>
      <c r="H979" s="77">
        <f>A979+8</f>
        <v>46107</v>
      </c>
      <c r="I979" s="77">
        <f>A979+15</f>
        <v>46114</v>
      </c>
      <c r="J979" s="25"/>
      <c r="K979" s="25"/>
      <c r="L979" s="25"/>
      <c r="M979" s="25"/>
      <c r="N979" s="25"/>
      <c r="O979" s="25"/>
    </row>
    <row r="980" spans="1:15" x14ac:dyDescent="0.25">
      <c r="A980" s="77">
        <v>46099</v>
      </c>
      <c r="B980" s="25" t="s">
        <v>360</v>
      </c>
      <c r="C980" s="25"/>
      <c r="D980" s="77">
        <f t="shared" ref="D980:D985" si="400">A980+23</f>
        <v>46122</v>
      </c>
      <c r="E980" s="77">
        <f t="shared" ref="E980:E985" si="401">A980+7</f>
        <v>46106</v>
      </c>
      <c r="F980" s="77">
        <f t="shared" ref="F980:F985" si="402">A980+14</f>
        <v>46113</v>
      </c>
      <c r="G980" s="77">
        <f t="shared" ref="G980:G985" si="403">A980+20</f>
        <v>46119</v>
      </c>
      <c r="H980" s="77">
        <f t="shared" ref="H980:H985" si="404">A980+8</f>
        <v>46107</v>
      </c>
      <c r="I980" s="77">
        <f t="shared" ref="I980:I985" si="405">A980+15</f>
        <v>46114</v>
      </c>
      <c r="J980" s="25"/>
      <c r="K980" s="25"/>
      <c r="L980" s="25"/>
      <c r="M980" s="25"/>
      <c r="N980" s="25"/>
      <c r="O980" s="25"/>
    </row>
    <row r="981" spans="1:15" x14ac:dyDescent="0.25">
      <c r="A981" s="77">
        <v>46099</v>
      </c>
      <c r="B981" s="25" t="s">
        <v>361</v>
      </c>
      <c r="C981" s="25"/>
      <c r="D981" s="77">
        <f t="shared" si="400"/>
        <v>46122</v>
      </c>
      <c r="E981" s="77">
        <f t="shared" si="401"/>
        <v>46106</v>
      </c>
      <c r="F981" s="77">
        <f t="shared" si="402"/>
        <v>46113</v>
      </c>
      <c r="G981" s="77">
        <f t="shared" si="403"/>
        <v>46119</v>
      </c>
      <c r="H981" s="77">
        <f t="shared" si="404"/>
        <v>46107</v>
      </c>
      <c r="I981" s="77">
        <f t="shared" si="405"/>
        <v>46114</v>
      </c>
      <c r="J981" s="25"/>
      <c r="K981" s="25"/>
      <c r="L981" s="25"/>
      <c r="M981" s="25"/>
      <c r="N981" s="25"/>
      <c r="O981" s="25"/>
    </row>
    <row r="982" spans="1:15" x14ac:dyDescent="0.25">
      <c r="A982" s="77">
        <v>46099</v>
      </c>
      <c r="B982" s="25" t="s">
        <v>362</v>
      </c>
      <c r="C982" s="25"/>
      <c r="D982" s="77">
        <f t="shared" si="400"/>
        <v>46122</v>
      </c>
      <c r="E982" s="77">
        <f t="shared" si="401"/>
        <v>46106</v>
      </c>
      <c r="F982" s="77">
        <f t="shared" si="402"/>
        <v>46113</v>
      </c>
      <c r="G982" s="77">
        <f t="shared" si="403"/>
        <v>46119</v>
      </c>
      <c r="H982" s="77">
        <f t="shared" si="404"/>
        <v>46107</v>
      </c>
      <c r="I982" s="77">
        <f t="shared" si="405"/>
        <v>46114</v>
      </c>
      <c r="J982" s="25"/>
      <c r="K982" s="25"/>
      <c r="L982" s="25"/>
      <c r="M982" s="25"/>
      <c r="N982" s="25"/>
      <c r="O982" s="25"/>
    </row>
    <row r="983" spans="1:15" x14ac:dyDescent="0.25">
      <c r="A983" s="77">
        <v>46099</v>
      </c>
      <c r="B983" s="25" t="s">
        <v>363</v>
      </c>
      <c r="C983" s="25"/>
      <c r="D983" s="77">
        <f t="shared" si="400"/>
        <v>46122</v>
      </c>
      <c r="E983" s="77">
        <f t="shared" si="401"/>
        <v>46106</v>
      </c>
      <c r="F983" s="77">
        <f t="shared" si="402"/>
        <v>46113</v>
      </c>
      <c r="G983" s="77">
        <f t="shared" si="403"/>
        <v>46119</v>
      </c>
      <c r="H983" s="77">
        <f t="shared" si="404"/>
        <v>46107</v>
      </c>
      <c r="I983" s="77">
        <f t="shared" si="405"/>
        <v>46114</v>
      </c>
      <c r="J983" s="25"/>
      <c r="K983" s="25"/>
      <c r="L983" s="25"/>
      <c r="M983" s="25"/>
      <c r="N983" s="25"/>
      <c r="O983" s="25"/>
    </row>
    <row r="984" spans="1:15" x14ac:dyDescent="0.25">
      <c r="A984" s="77">
        <v>46099</v>
      </c>
      <c r="B984" s="25" t="s">
        <v>364</v>
      </c>
      <c r="C984" s="25"/>
      <c r="D984" s="77">
        <f t="shared" si="400"/>
        <v>46122</v>
      </c>
      <c r="E984" s="77">
        <f t="shared" si="401"/>
        <v>46106</v>
      </c>
      <c r="F984" s="77">
        <f t="shared" si="402"/>
        <v>46113</v>
      </c>
      <c r="G984" s="77">
        <f t="shared" si="403"/>
        <v>46119</v>
      </c>
      <c r="H984" s="77">
        <f t="shared" si="404"/>
        <v>46107</v>
      </c>
      <c r="I984" s="77">
        <f t="shared" si="405"/>
        <v>46114</v>
      </c>
      <c r="J984" s="25"/>
      <c r="K984" s="25"/>
      <c r="L984" s="25"/>
      <c r="M984" s="25"/>
      <c r="N984" s="25"/>
      <c r="O984" s="25"/>
    </row>
    <row r="985" spans="1:15" x14ac:dyDescent="0.25">
      <c r="A985" s="77">
        <v>46099</v>
      </c>
      <c r="B985" s="25" t="s">
        <v>365</v>
      </c>
      <c r="C985" s="25"/>
      <c r="D985" s="77">
        <f t="shared" si="400"/>
        <v>46122</v>
      </c>
      <c r="E985" s="77">
        <f t="shared" si="401"/>
        <v>46106</v>
      </c>
      <c r="F985" s="77">
        <f t="shared" si="402"/>
        <v>46113</v>
      </c>
      <c r="G985" s="77">
        <f t="shared" si="403"/>
        <v>46119</v>
      </c>
      <c r="H985" s="77">
        <f t="shared" si="404"/>
        <v>46107</v>
      </c>
      <c r="I985" s="77">
        <f t="shared" si="405"/>
        <v>46114</v>
      </c>
      <c r="J985" s="25"/>
      <c r="K985" s="25"/>
      <c r="L985" s="25"/>
      <c r="M985" s="25"/>
      <c r="N985" s="25"/>
      <c r="O985" s="25"/>
    </row>
    <row r="986" spans="1:15" x14ac:dyDescent="0.25">
      <c r="A986" s="77">
        <v>46100</v>
      </c>
      <c r="B986" s="25" t="s">
        <v>379</v>
      </c>
      <c r="C986" s="25"/>
      <c r="D986" s="77">
        <f t="shared" ref="D986" si="406">A986+23</f>
        <v>46123</v>
      </c>
      <c r="E986" s="77">
        <f t="shared" ref="E986" si="407">A986+7</f>
        <v>46107</v>
      </c>
      <c r="F986" s="77">
        <f t="shared" ref="F986" si="408">A986+14</f>
        <v>46114</v>
      </c>
      <c r="G986" s="77">
        <f t="shared" ref="G986" si="409">A986+20</f>
        <v>46120</v>
      </c>
      <c r="H986" s="77">
        <f t="shared" ref="H986" si="410">A986+8</f>
        <v>46108</v>
      </c>
      <c r="I986" s="77">
        <f t="shared" ref="I986" si="411">A986+15</f>
        <v>46115</v>
      </c>
      <c r="J986" s="25"/>
      <c r="K986" s="25"/>
      <c r="L986" s="25"/>
      <c r="M986" s="25"/>
      <c r="N986" s="25"/>
      <c r="O986" s="25"/>
    </row>
    <row r="987" spans="1:15" x14ac:dyDescent="0.25">
      <c r="A987" s="77">
        <v>46100</v>
      </c>
      <c r="B987" s="25" t="s">
        <v>380</v>
      </c>
      <c r="C987" s="25"/>
      <c r="D987" s="77">
        <f t="shared" ref="D987:D992" si="412">A987+23</f>
        <v>46123</v>
      </c>
      <c r="E987" s="77">
        <f t="shared" ref="E987:E992" si="413">A987+7</f>
        <v>46107</v>
      </c>
      <c r="F987" s="77">
        <f t="shared" ref="F987:F992" si="414">A987+14</f>
        <v>46114</v>
      </c>
      <c r="G987" s="77">
        <f t="shared" ref="G987:G992" si="415">A987+20</f>
        <v>46120</v>
      </c>
      <c r="H987" s="77">
        <f t="shared" ref="H987:H992" si="416">A987+8</f>
        <v>46108</v>
      </c>
      <c r="I987" s="77">
        <f t="shared" ref="I987:I992" si="417">A987+15</f>
        <v>46115</v>
      </c>
      <c r="J987" s="25"/>
      <c r="K987" s="25"/>
      <c r="L987" s="25"/>
      <c r="M987" s="25"/>
      <c r="N987" s="25"/>
      <c r="O987" s="25"/>
    </row>
    <row r="988" spans="1:15" x14ac:dyDescent="0.25">
      <c r="A988" s="77">
        <v>46100</v>
      </c>
      <c r="B988" s="25" t="s">
        <v>381</v>
      </c>
      <c r="C988" s="25"/>
      <c r="D988" s="77">
        <f t="shared" si="412"/>
        <v>46123</v>
      </c>
      <c r="E988" s="77">
        <f t="shared" si="413"/>
        <v>46107</v>
      </c>
      <c r="F988" s="77">
        <f t="shared" si="414"/>
        <v>46114</v>
      </c>
      <c r="G988" s="77">
        <f t="shared" si="415"/>
        <v>46120</v>
      </c>
      <c r="H988" s="77">
        <f t="shared" si="416"/>
        <v>46108</v>
      </c>
      <c r="I988" s="77">
        <f t="shared" si="417"/>
        <v>46115</v>
      </c>
      <c r="J988" s="25"/>
      <c r="K988" s="25"/>
      <c r="L988" s="25"/>
      <c r="M988" s="25"/>
      <c r="N988" s="25"/>
      <c r="O988" s="25"/>
    </row>
    <row r="989" spans="1:15" x14ac:dyDescent="0.25">
      <c r="A989" s="77">
        <v>46100</v>
      </c>
      <c r="B989" s="25" t="s">
        <v>382</v>
      </c>
      <c r="C989" s="25"/>
      <c r="D989" s="77">
        <f t="shared" si="412"/>
        <v>46123</v>
      </c>
      <c r="E989" s="77">
        <f t="shared" si="413"/>
        <v>46107</v>
      </c>
      <c r="F989" s="77">
        <f t="shared" si="414"/>
        <v>46114</v>
      </c>
      <c r="G989" s="77">
        <f t="shared" si="415"/>
        <v>46120</v>
      </c>
      <c r="H989" s="77">
        <f t="shared" si="416"/>
        <v>46108</v>
      </c>
      <c r="I989" s="77">
        <f t="shared" si="417"/>
        <v>46115</v>
      </c>
      <c r="J989" s="25"/>
      <c r="K989" s="25"/>
      <c r="L989" s="25"/>
      <c r="M989" s="25"/>
      <c r="N989" s="25"/>
      <c r="O989" s="25"/>
    </row>
    <row r="990" spans="1:15" x14ac:dyDescent="0.25">
      <c r="A990" s="77">
        <v>46100</v>
      </c>
      <c r="B990" s="25" t="s">
        <v>383</v>
      </c>
      <c r="C990" s="25"/>
      <c r="D990" s="77">
        <f t="shared" si="412"/>
        <v>46123</v>
      </c>
      <c r="E990" s="77">
        <f t="shared" si="413"/>
        <v>46107</v>
      </c>
      <c r="F990" s="77">
        <f t="shared" si="414"/>
        <v>46114</v>
      </c>
      <c r="G990" s="77">
        <f t="shared" si="415"/>
        <v>46120</v>
      </c>
      <c r="H990" s="77">
        <f t="shared" si="416"/>
        <v>46108</v>
      </c>
      <c r="I990" s="77">
        <f t="shared" si="417"/>
        <v>46115</v>
      </c>
      <c r="J990" s="25"/>
      <c r="K990" s="25"/>
      <c r="L990" s="25"/>
      <c r="M990" s="25"/>
      <c r="N990" s="25"/>
      <c r="O990" s="25"/>
    </row>
    <row r="991" spans="1:15" x14ac:dyDescent="0.25">
      <c r="A991" s="77">
        <v>46100</v>
      </c>
      <c r="B991" s="25" t="s">
        <v>384</v>
      </c>
      <c r="C991" s="25"/>
      <c r="D991" s="77">
        <f t="shared" si="412"/>
        <v>46123</v>
      </c>
      <c r="E991" s="77">
        <f t="shared" si="413"/>
        <v>46107</v>
      </c>
      <c r="F991" s="77">
        <f t="shared" si="414"/>
        <v>46114</v>
      </c>
      <c r="G991" s="77">
        <f t="shared" si="415"/>
        <v>46120</v>
      </c>
      <c r="H991" s="77">
        <f t="shared" si="416"/>
        <v>46108</v>
      </c>
      <c r="I991" s="77">
        <f t="shared" si="417"/>
        <v>46115</v>
      </c>
      <c r="J991" s="25"/>
      <c r="K991" s="25"/>
      <c r="L991" s="25"/>
      <c r="M991" s="25"/>
      <c r="N991" s="25"/>
      <c r="O991" s="25"/>
    </row>
    <row r="992" spans="1:15" x14ac:dyDescent="0.25">
      <c r="A992" s="77">
        <v>46100</v>
      </c>
      <c r="B992" s="25" t="s">
        <v>385</v>
      </c>
      <c r="C992" s="25"/>
      <c r="D992" s="77">
        <f t="shared" si="412"/>
        <v>46123</v>
      </c>
      <c r="E992" s="77">
        <f t="shared" si="413"/>
        <v>46107</v>
      </c>
      <c r="F992" s="77">
        <f t="shared" si="414"/>
        <v>46114</v>
      </c>
      <c r="G992" s="77">
        <f t="shared" si="415"/>
        <v>46120</v>
      </c>
      <c r="H992" s="77">
        <f t="shared" si="416"/>
        <v>46108</v>
      </c>
      <c r="I992" s="77">
        <f t="shared" si="417"/>
        <v>46115</v>
      </c>
      <c r="J992" s="25"/>
      <c r="K992" s="25"/>
      <c r="L992" s="25"/>
      <c r="M992" s="25"/>
      <c r="N992" s="25"/>
      <c r="O992" s="25"/>
    </row>
    <row r="993" spans="1:15" x14ac:dyDescent="0.25">
      <c r="A993" s="77">
        <v>46101</v>
      </c>
      <c r="B993" s="25" t="s">
        <v>366</v>
      </c>
      <c r="C993" s="25"/>
      <c r="D993" s="77">
        <f t="shared" ref="D993" si="418">A993+23</f>
        <v>46124</v>
      </c>
      <c r="E993" s="77">
        <f t="shared" ref="E993" si="419">A993+7</f>
        <v>46108</v>
      </c>
      <c r="F993" s="77">
        <f t="shared" ref="F993" si="420">A993+14</f>
        <v>46115</v>
      </c>
      <c r="G993" s="77">
        <f t="shared" ref="G993" si="421">A993+20</f>
        <v>46121</v>
      </c>
      <c r="H993" s="77">
        <f t="shared" ref="H993" si="422">A993+8</f>
        <v>46109</v>
      </c>
      <c r="I993" s="77">
        <f t="shared" ref="I993" si="423">A993+15</f>
        <v>46116</v>
      </c>
      <c r="J993" s="25"/>
      <c r="K993" s="25"/>
      <c r="L993" s="25"/>
      <c r="M993" s="25"/>
      <c r="N993" s="25"/>
      <c r="O993" s="25"/>
    </row>
    <row r="994" spans="1:15" x14ac:dyDescent="0.25">
      <c r="A994" s="77">
        <v>46101</v>
      </c>
      <c r="B994" s="25" t="s">
        <v>367</v>
      </c>
      <c r="C994" s="25"/>
      <c r="D994" s="77">
        <f t="shared" ref="D994:D999" si="424">A994+23</f>
        <v>46124</v>
      </c>
      <c r="E994" s="77">
        <f t="shared" ref="E994:E999" si="425">A994+7</f>
        <v>46108</v>
      </c>
      <c r="F994" s="77">
        <f t="shared" ref="F994:F999" si="426">A994+14</f>
        <v>46115</v>
      </c>
      <c r="G994" s="77">
        <f t="shared" ref="G994:G999" si="427">A994+20</f>
        <v>46121</v>
      </c>
      <c r="H994" s="77">
        <f t="shared" ref="H994:H999" si="428">A994+8</f>
        <v>46109</v>
      </c>
      <c r="I994" s="77">
        <f t="shared" ref="I994:I999" si="429">A994+15</f>
        <v>46116</v>
      </c>
      <c r="J994" s="25"/>
      <c r="K994" s="25"/>
      <c r="L994" s="25"/>
      <c r="M994" s="25"/>
      <c r="N994" s="25"/>
      <c r="O994" s="25"/>
    </row>
    <row r="995" spans="1:15" x14ac:dyDescent="0.25">
      <c r="A995" s="77">
        <v>46101</v>
      </c>
      <c r="B995" s="25" t="s">
        <v>368</v>
      </c>
      <c r="C995" s="25"/>
      <c r="D995" s="77">
        <f t="shared" si="424"/>
        <v>46124</v>
      </c>
      <c r="E995" s="77">
        <f t="shared" si="425"/>
        <v>46108</v>
      </c>
      <c r="F995" s="77">
        <f t="shared" si="426"/>
        <v>46115</v>
      </c>
      <c r="G995" s="77">
        <f t="shared" si="427"/>
        <v>46121</v>
      </c>
      <c r="H995" s="77">
        <f t="shared" si="428"/>
        <v>46109</v>
      </c>
      <c r="I995" s="77">
        <f t="shared" si="429"/>
        <v>46116</v>
      </c>
      <c r="J995" s="25"/>
      <c r="K995" s="25"/>
      <c r="L995" s="25"/>
      <c r="M995" s="25"/>
      <c r="N995" s="25"/>
      <c r="O995" s="25"/>
    </row>
    <row r="996" spans="1:15" x14ac:dyDescent="0.25">
      <c r="A996" s="77">
        <v>46101</v>
      </c>
      <c r="B996" s="25" t="s">
        <v>369</v>
      </c>
      <c r="C996" s="25"/>
      <c r="D996" s="77">
        <f t="shared" si="424"/>
        <v>46124</v>
      </c>
      <c r="E996" s="77">
        <f t="shared" si="425"/>
        <v>46108</v>
      </c>
      <c r="F996" s="77">
        <f t="shared" si="426"/>
        <v>46115</v>
      </c>
      <c r="G996" s="77">
        <f t="shared" si="427"/>
        <v>46121</v>
      </c>
      <c r="H996" s="77">
        <f t="shared" si="428"/>
        <v>46109</v>
      </c>
      <c r="I996" s="77">
        <f t="shared" si="429"/>
        <v>46116</v>
      </c>
      <c r="J996" s="25"/>
      <c r="K996" s="25"/>
      <c r="L996" s="25"/>
      <c r="M996" s="25"/>
      <c r="N996" s="25"/>
      <c r="O996" s="25"/>
    </row>
    <row r="997" spans="1:15" x14ac:dyDescent="0.25">
      <c r="A997" s="77">
        <v>46101</v>
      </c>
      <c r="B997" s="25" t="s">
        <v>370</v>
      </c>
      <c r="C997" s="25"/>
      <c r="D997" s="77">
        <f t="shared" si="424"/>
        <v>46124</v>
      </c>
      <c r="E997" s="77">
        <f t="shared" si="425"/>
        <v>46108</v>
      </c>
      <c r="F997" s="77">
        <f t="shared" si="426"/>
        <v>46115</v>
      </c>
      <c r="G997" s="77">
        <f t="shared" si="427"/>
        <v>46121</v>
      </c>
      <c r="H997" s="77">
        <f t="shared" si="428"/>
        <v>46109</v>
      </c>
      <c r="I997" s="77">
        <f t="shared" si="429"/>
        <v>46116</v>
      </c>
      <c r="J997" s="25"/>
      <c r="K997" s="25"/>
      <c r="L997" s="25"/>
      <c r="M997" s="25"/>
      <c r="N997" s="25"/>
      <c r="O997" s="25"/>
    </row>
    <row r="998" spans="1:15" x14ac:dyDescent="0.25">
      <c r="A998" s="77">
        <v>46101</v>
      </c>
      <c r="B998" s="25" t="s">
        <v>371</v>
      </c>
      <c r="C998" s="25"/>
      <c r="D998" s="77">
        <f t="shared" si="424"/>
        <v>46124</v>
      </c>
      <c r="E998" s="77">
        <f t="shared" si="425"/>
        <v>46108</v>
      </c>
      <c r="F998" s="77">
        <f t="shared" si="426"/>
        <v>46115</v>
      </c>
      <c r="G998" s="77">
        <f t="shared" si="427"/>
        <v>46121</v>
      </c>
      <c r="H998" s="77">
        <f t="shared" si="428"/>
        <v>46109</v>
      </c>
      <c r="I998" s="77">
        <f t="shared" si="429"/>
        <v>46116</v>
      </c>
      <c r="J998" s="25"/>
      <c r="K998" s="25"/>
      <c r="L998" s="25"/>
      <c r="M998" s="25"/>
      <c r="N998" s="25"/>
      <c r="O998" s="25"/>
    </row>
    <row r="999" spans="1:15" x14ac:dyDescent="0.25">
      <c r="A999" s="77">
        <v>46101</v>
      </c>
      <c r="B999" s="25" t="s">
        <v>372</v>
      </c>
      <c r="C999" s="25"/>
      <c r="D999" s="77">
        <f t="shared" si="424"/>
        <v>46124</v>
      </c>
      <c r="E999" s="77">
        <f t="shared" si="425"/>
        <v>46108</v>
      </c>
      <c r="F999" s="77">
        <f t="shared" si="426"/>
        <v>46115</v>
      </c>
      <c r="G999" s="77">
        <f t="shared" si="427"/>
        <v>46121</v>
      </c>
      <c r="H999" s="77">
        <f t="shared" si="428"/>
        <v>46109</v>
      </c>
      <c r="I999" s="77">
        <f t="shared" si="429"/>
        <v>46116</v>
      </c>
      <c r="J999" s="25"/>
      <c r="K999" s="25"/>
      <c r="L999" s="25"/>
      <c r="M999" s="25"/>
      <c r="N999" s="25"/>
      <c r="O999" s="25"/>
    </row>
    <row r="1000" spans="1:15" x14ac:dyDescent="0.25">
      <c r="A1000" s="77">
        <v>46102</v>
      </c>
      <c r="B1000" s="25" t="s">
        <v>386</v>
      </c>
      <c r="C1000" s="25"/>
      <c r="D1000" s="77">
        <f t="shared" ref="D1000:D1006" si="430">A1000+23</f>
        <v>46125</v>
      </c>
      <c r="E1000" s="77">
        <f t="shared" ref="E1000:E1006" si="431">A1000+7</f>
        <v>46109</v>
      </c>
      <c r="F1000" s="77">
        <f t="shared" ref="F1000:F1006" si="432">A1000+14</f>
        <v>46116</v>
      </c>
      <c r="G1000" s="77">
        <f t="shared" ref="G1000:G1006" si="433">A1000+20</f>
        <v>46122</v>
      </c>
      <c r="H1000" s="77">
        <f t="shared" ref="H1000:H1006" si="434">A1000+8</f>
        <v>46110</v>
      </c>
      <c r="I1000" s="77">
        <f t="shared" ref="I1000:I1006" si="435">A1000+15</f>
        <v>46117</v>
      </c>
      <c r="J1000" s="25"/>
      <c r="K1000" s="25"/>
      <c r="L1000" s="25"/>
      <c r="M1000" s="25"/>
      <c r="N1000" s="25"/>
      <c r="O1000" s="25"/>
    </row>
    <row r="1001" spans="1:15" x14ac:dyDescent="0.25">
      <c r="A1001" s="77">
        <v>46102</v>
      </c>
      <c r="B1001" s="25" t="s">
        <v>387</v>
      </c>
      <c r="C1001" s="25"/>
      <c r="D1001" s="77">
        <f t="shared" si="430"/>
        <v>46125</v>
      </c>
      <c r="E1001" s="77">
        <f t="shared" si="431"/>
        <v>46109</v>
      </c>
      <c r="F1001" s="77">
        <f t="shared" si="432"/>
        <v>46116</v>
      </c>
      <c r="G1001" s="77">
        <f t="shared" si="433"/>
        <v>46122</v>
      </c>
      <c r="H1001" s="77">
        <f t="shared" si="434"/>
        <v>46110</v>
      </c>
      <c r="I1001" s="77">
        <f t="shared" si="435"/>
        <v>46117</v>
      </c>
      <c r="J1001" s="25"/>
      <c r="K1001" s="25"/>
      <c r="L1001" s="25"/>
      <c r="M1001" s="25"/>
      <c r="N1001" s="25"/>
      <c r="O1001" s="25"/>
    </row>
    <row r="1002" spans="1:15" x14ac:dyDescent="0.25">
      <c r="A1002" s="77">
        <v>46102</v>
      </c>
      <c r="B1002" s="25" t="s">
        <v>388</v>
      </c>
      <c r="C1002" s="25"/>
      <c r="D1002" s="77">
        <f t="shared" si="430"/>
        <v>46125</v>
      </c>
      <c r="E1002" s="77">
        <f t="shared" si="431"/>
        <v>46109</v>
      </c>
      <c r="F1002" s="77">
        <f t="shared" si="432"/>
        <v>46116</v>
      </c>
      <c r="G1002" s="77">
        <f t="shared" si="433"/>
        <v>46122</v>
      </c>
      <c r="H1002" s="77">
        <f t="shared" si="434"/>
        <v>46110</v>
      </c>
      <c r="I1002" s="77">
        <f t="shared" si="435"/>
        <v>46117</v>
      </c>
      <c r="J1002" s="25"/>
      <c r="K1002" s="25"/>
      <c r="L1002" s="25"/>
      <c r="M1002" s="25"/>
      <c r="N1002" s="25"/>
      <c r="O1002" s="25"/>
    </row>
    <row r="1003" spans="1:15" x14ac:dyDescent="0.25">
      <c r="A1003" s="77">
        <v>46102</v>
      </c>
      <c r="B1003" s="25" t="s">
        <v>389</v>
      </c>
      <c r="C1003" s="25"/>
      <c r="D1003" s="77">
        <f t="shared" si="430"/>
        <v>46125</v>
      </c>
      <c r="E1003" s="77">
        <f t="shared" si="431"/>
        <v>46109</v>
      </c>
      <c r="F1003" s="77">
        <f t="shared" si="432"/>
        <v>46116</v>
      </c>
      <c r="G1003" s="77">
        <f t="shared" si="433"/>
        <v>46122</v>
      </c>
      <c r="H1003" s="77">
        <f t="shared" si="434"/>
        <v>46110</v>
      </c>
      <c r="I1003" s="77">
        <f t="shared" si="435"/>
        <v>46117</v>
      </c>
      <c r="J1003" s="25"/>
      <c r="K1003" s="25"/>
      <c r="L1003" s="25"/>
      <c r="M1003" s="25"/>
      <c r="N1003" s="25"/>
      <c r="O1003" s="25"/>
    </row>
    <row r="1004" spans="1:15" x14ac:dyDescent="0.25">
      <c r="A1004" s="77">
        <v>46102</v>
      </c>
      <c r="B1004" s="25" t="s">
        <v>390</v>
      </c>
      <c r="C1004" s="25"/>
      <c r="D1004" s="77">
        <f t="shared" si="430"/>
        <v>46125</v>
      </c>
      <c r="E1004" s="77">
        <f t="shared" si="431"/>
        <v>46109</v>
      </c>
      <c r="F1004" s="77">
        <f t="shared" si="432"/>
        <v>46116</v>
      </c>
      <c r="G1004" s="77">
        <f t="shared" si="433"/>
        <v>46122</v>
      </c>
      <c r="H1004" s="77">
        <f t="shared" si="434"/>
        <v>46110</v>
      </c>
      <c r="I1004" s="77">
        <f t="shared" si="435"/>
        <v>46117</v>
      </c>
      <c r="J1004" s="25"/>
      <c r="K1004" s="25"/>
      <c r="L1004" s="25"/>
      <c r="M1004" s="25"/>
      <c r="N1004" s="25"/>
      <c r="O1004" s="25"/>
    </row>
    <row r="1005" spans="1:15" x14ac:dyDescent="0.25">
      <c r="A1005" s="77">
        <v>46102</v>
      </c>
      <c r="B1005" s="25" t="s">
        <v>391</v>
      </c>
      <c r="C1005" s="25"/>
      <c r="D1005" s="77">
        <f t="shared" si="430"/>
        <v>46125</v>
      </c>
      <c r="E1005" s="77">
        <f t="shared" si="431"/>
        <v>46109</v>
      </c>
      <c r="F1005" s="77">
        <f t="shared" si="432"/>
        <v>46116</v>
      </c>
      <c r="G1005" s="77">
        <f t="shared" si="433"/>
        <v>46122</v>
      </c>
      <c r="H1005" s="77">
        <f t="shared" si="434"/>
        <v>46110</v>
      </c>
      <c r="I1005" s="77">
        <f t="shared" si="435"/>
        <v>46117</v>
      </c>
      <c r="J1005" s="25"/>
      <c r="K1005" s="25"/>
      <c r="L1005" s="25"/>
      <c r="M1005" s="25"/>
      <c r="N1005" s="25"/>
      <c r="O1005" s="25"/>
    </row>
    <row r="1006" spans="1:15" x14ac:dyDescent="0.25">
      <c r="A1006" s="77">
        <v>46102</v>
      </c>
      <c r="B1006" s="25" t="s">
        <v>392</v>
      </c>
      <c r="C1006" s="25"/>
      <c r="D1006" s="77">
        <f t="shared" si="430"/>
        <v>46125</v>
      </c>
      <c r="E1006" s="77">
        <f t="shared" si="431"/>
        <v>46109</v>
      </c>
      <c r="F1006" s="77">
        <f t="shared" si="432"/>
        <v>46116</v>
      </c>
      <c r="G1006" s="77">
        <f t="shared" si="433"/>
        <v>46122</v>
      </c>
      <c r="H1006" s="77">
        <f t="shared" si="434"/>
        <v>46110</v>
      </c>
      <c r="I1006" s="77">
        <f t="shared" si="435"/>
        <v>46117</v>
      </c>
      <c r="J1006" s="25"/>
      <c r="K1006" s="25"/>
      <c r="L1006" s="25"/>
      <c r="M1006" s="25"/>
      <c r="N1006" s="25"/>
      <c r="O1006" s="25"/>
    </row>
    <row r="1007" spans="1:15" x14ac:dyDescent="0.25">
      <c r="A1007" s="77">
        <v>46103</v>
      </c>
      <c r="B1007" s="25" t="s">
        <v>373</v>
      </c>
      <c r="C1007" s="25"/>
      <c r="D1007" s="77">
        <f t="shared" ref="D1007" si="436">A1007+23</f>
        <v>46126</v>
      </c>
      <c r="E1007" s="77">
        <f t="shared" ref="E1007" si="437">A1007+7</f>
        <v>46110</v>
      </c>
      <c r="F1007" s="77">
        <f t="shared" ref="F1007" si="438">A1007+14</f>
        <v>46117</v>
      </c>
      <c r="G1007" s="77">
        <f t="shared" ref="G1007" si="439">A1007+20</f>
        <v>46123</v>
      </c>
      <c r="H1007" s="77">
        <f t="shared" ref="H1007" si="440">A1007+8</f>
        <v>46111</v>
      </c>
      <c r="I1007" s="77">
        <f t="shared" ref="I1007" si="441">A1007+15</f>
        <v>46118</v>
      </c>
      <c r="J1007" s="25"/>
      <c r="K1007" s="25"/>
      <c r="L1007" s="25"/>
      <c r="M1007" s="25"/>
      <c r="N1007" s="25"/>
      <c r="O1007" s="25"/>
    </row>
    <row r="1008" spans="1:15" x14ac:dyDescent="0.25">
      <c r="A1008" s="77">
        <v>46103</v>
      </c>
      <c r="B1008" s="25" t="s">
        <v>374</v>
      </c>
      <c r="C1008" s="25"/>
      <c r="D1008" s="77">
        <f t="shared" ref="D1008:D1013" si="442">A1008+23</f>
        <v>46126</v>
      </c>
      <c r="E1008" s="77">
        <f t="shared" ref="E1008:E1013" si="443">A1008+7</f>
        <v>46110</v>
      </c>
      <c r="F1008" s="77">
        <f t="shared" ref="F1008:F1013" si="444">A1008+14</f>
        <v>46117</v>
      </c>
      <c r="G1008" s="77">
        <f t="shared" ref="G1008:G1013" si="445">A1008+20</f>
        <v>46123</v>
      </c>
      <c r="H1008" s="77">
        <f t="shared" ref="H1008:H1013" si="446">A1008+8</f>
        <v>46111</v>
      </c>
      <c r="I1008" s="77">
        <f t="shared" ref="I1008:I1013" si="447">A1008+15</f>
        <v>46118</v>
      </c>
      <c r="J1008" s="25"/>
      <c r="K1008" s="25"/>
      <c r="L1008" s="25"/>
      <c r="M1008" s="25"/>
      <c r="N1008" s="25"/>
      <c r="O1008" s="25"/>
    </row>
    <row r="1009" spans="1:15" x14ac:dyDescent="0.25">
      <c r="A1009" s="77">
        <v>46103</v>
      </c>
      <c r="B1009" s="25" t="s">
        <v>375</v>
      </c>
      <c r="C1009" s="25"/>
      <c r="D1009" s="77">
        <f t="shared" si="442"/>
        <v>46126</v>
      </c>
      <c r="E1009" s="77">
        <f t="shared" si="443"/>
        <v>46110</v>
      </c>
      <c r="F1009" s="77">
        <f t="shared" si="444"/>
        <v>46117</v>
      </c>
      <c r="G1009" s="77">
        <f t="shared" si="445"/>
        <v>46123</v>
      </c>
      <c r="H1009" s="77">
        <f t="shared" si="446"/>
        <v>46111</v>
      </c>
      <c r="I1009" s="77">
        <f t="shared" si="447"/>
        <v>46118</v>
      </c>
      <c r="J1009" s="25"/>
      <c r="K1009" s="25"/>
      <c r="L1009" s="25"/>
      <c r="M1009" s="25"/>
      <c r="N1009" s="25"/>
      <c r="O1009" s="25"/>
    </row>
    <row r="1010" spans="1:15" x14ac:dyDescent="0.25">
      <c r="A1010" s="77">
        <v>46103</v>
      </c>
      <c r="B1010" s="25" t="s">
        <v>376</v>
      </c>
      <c r="C1010" s="25"/>
      <c r="D1010" s="77">
        <f t="shared" si="442"/>
        <v>46126</v>
      </c>
      <c r="E1010" s="77">
        <f t="shared" si="443"/>
        <v>46110</v>
      </c>
      <c r="F1010" s="77">
        <f t="shared" si="444"/>
        <v>46117</v>
      </c>
      <c r="G1010" s="77">
        <f t="shared" si="445"/>
        <v>46123</v>
      </c>
      <c r="H1010" s="77">
        <f t="shared" si="446"/>
        <v>46111</v>
      </c>
      <c r="I1010" s="77">
        <f t="shared" si="447"/>
        <v>46118</v>
      </c>
      <c r="J1010" s="25"/>
      <c r="K1010" s="25"/>
      <c r="L1010" s="25"/>
      <c r="M1010" s="25"/>
      <c r="N1010" s="25"/>
      <c r="O1010" s="25"/>
    </row>
    <row r="1011" spans="1:15" x14ac:dyDescent="0.25">
      <c r="A1011" s="77">
        <v>46103</v>
      </c>
      <c r="B1011" s="25" t="s">
        <v>377</v>
      </c>
      <c r="C1011" s="25"/>
      <c r="D1011" s="77">
        <f t="shared" si="442"/>
        <v>46126</v>
      </c>
      <c r="E1011" s="77">
        <f t="shared" si="443"/>
        <v>46110</v>
      </c>
      <c r="F1011" s="77">
        <f t="shared" si="444"/>
        <v>46117</v>
      </c>
      <c r="G1011" s="77">
        <f t="shared" si="445"/>
        <v>46123</v>
      </c>
      <c r="H1011" s="77">
        <f t="shared" si="446"/>
        <v>46111</v>
      </c>
      <c r="I1011" s="77">
        <f t="shared" si="447"/>
        <v>46118</v>
      </c>
      <c r="J1011" s="25"/>
      <c r="K1011" s="25"/>
      <c r="L1011" s="25"/>
      <c r="M1011" s="25"/>
      <c r="N1011" s="25"/>
      <c r="O1011" s="25"/>
    </row>
    <row r="1012" spans="1:15" x14ac:dyDescent="0.25">
      <c r="A1012" s="77">
        <v>46103</v>
      </c>
      <c r="B1012" s="25" t="s">
        <v>393</v>
      </c>
      <c r="C1012" s="25"/>
      <c r="D1012" s="77">
        <f t="shared" si="442"/>
        <v>46126</v>
      </c>
      <c r="E1012" s="77">
        <f t="shared" si="443"/>
        <v>46110</v>
      </c>
      <c r="F1012" s="77">
        <f t="shared" si="444"/>
        <v>46117</v>
      </c>
      <c r="G1012" s="77">
        <f t="shared" si="445"/>
        <v>46123</v>
      </c>
      <c r="H1012" s="77">
        <f t="shared" si="446"/>
        <v>46111</v>
      </c>
      <c r="I1012" s="77">
        <f t="shared" si="447"/>
        <v>46118</v>
      </c>
      <c r="J1012" s="25"/>
      <c r="K1012" s="25"/>
      <c r="L1012" s="25"/>
      <c r="M1012" s="25"/>
      <c r="N1012" s="25"/>
      <c r="O1012" s="25"/>
    </row>
    <row r="1013" spans="1:15" x14ac:dyDescent="0.25">
      <c r="A1013" s="77">
        <v>46103</v>
      </c>
      <c r="B1013" s="25" t="s">
        <v>394</v>
      </c>
      <c r="C1013" s="25"/>
      <c r="D1013" s="77">
        <f t="shared" si="442"/>
        <v>46126</v>
      </c>
      <c r="E1013" s="77">
        <f t="shared" si="443"/>
        <v>46110</v>
      </c>
      <c r="F1013" s="77">
        <f t="shared" si="444"/>
        <v>46117</v>
      </c>
      <c r="G1013" s="77">
        <f t="shared" si="445"/>
        <v>46123</v>
      </c>
      <c r="H1013" s="77">
        <f t="shared" si="446"/>
        <v>46111</v>
      </c>
      <c r="I1013" s="77">
        <f t="shared" si="447"/>
        <v>46118</v>
      </c>
      <c r="J1013" s="25"/>
      <c r="K1013" s="25"/>
      <c r="L1013" s="25"/>
      <c r="M1013" s="25"/>
      <c r="N1013" s="25"/>
      <c r="O1013" s="25"/>
    </row>
    <row r="1014" spans="1:15" x14ac:dyDescent="0.25">
      <c r="A1014" s="77">
        <v>46104</v>
      </c>
      <c r="B1014" s="25" t="s">
        <v>395</v>
      </c>
      <c r="C1014" s="25"/>
      <c r="D1014" s="77">
        <f t="shared" ref="D1014" si="448">A1014+23</f>
        <v>46127</v>
      </c>
      <c r="E1014" s="77">
        <f t="shared" ref="E1014" si="449">A1014+7</f>
        <v>46111</v>
      </c>
      <c r="F1014" s="77">
        <f t="shared" ref="F1014" si="450">A1014+14</f>
        <v>46118</v>
      </c>
      <c r="G1014" s="77">
        <f t="shared" ref="G1014" si="451">A1014+20</f>
        <v>46124</v>
      </c>
      <c r="H1014" s="77">
        <f t="shared" ref="H1014" si="452">A1014+8</f>
        <v>46112</v>
      </c>
      <c r="I1014" s="77">
        <f t="shared" ref="I1014" si="453">A1014+15</f>
        <v>46119</v>
      </c>
      <c r="J1014" s="25"/>
      <c r="K1014" s="25"/>
      <c r="L1014" s="25"/>
      <c r="M1014" s="25"/>
      <c r="N1014" s="25"/>
      <c r="O1014" s="25"/>
    </row>
    <row r="1015" spans="1:15" x14ac:dyDescent="0.25">
      <c r="A1015" s="77">
        <v>46104</v>
      </c>
      <c r="B1015" s="25" t="s">
        <v>396</v>
      </c>
      <c r="C1015" s="25"/>
      <c r="D1015" s="77">
        <f t="shared" ref="D1015:D1020" si="454">A1015+23</f>
        <v>46127</v>
      </c>
      <c r="E1015" s="77">
        <f t="shared" ref="E1015:E1020" si="455">A1015+7</f>
        <v>46111</v>
      </c>
      <c r="F1015" s="77">
        <f t="shared" ref="F1015:F1020" si="456">A1015+14</f>
        <v>46118</v>
      </c>
      <c r="G1015" s="77">
        <f t="shared" ref="G1015:G1020" si="457">A1015+20</f>
        <v>46124</v>
      </c>
      <c r="H1015" s="77">
        <f t="shared" ref="H1015:H1020" si="458">A1015+8</f>
        <v>46112</v>
      </c>
      <c r="I1015" s="77">
        <f t="shared" ref="I1015:I1020" si="459">A1015+15</f>
        <v>46119</v>
      </c>
      <c r="J1015" s="25"/>
      <c r="K1015" s="25"/>
      <c r="L1015" s="25"/>
      <c r="M1015" s="25"/>
      <c r="N1015" s="25"/>
      <c r="O1015" s="25"/>
    </row>
    <row r="1016" spans="1:15" x14ac:dyDescent="0.25">
      <c r="A1016" s="77">
        <v>46104</v>
      </c>
      <c r="B1016" s="25" t="s">
        <v>397</v>
      </c>
      <c r="C1016" s="25"/>
      <c r="D1016" s="77">
        <f t="shared" si="454"/>
        <v>46127</v>
      </c>
      <c r="E1016" s="77">
        <f t="shared" si="455"/>
        <v>46111</v>
      </c>
      <c r="F1016" s="77">
        <f t="shared" si="456"/>
        <v>46118</v>
      </c>
      <c r="G1016" s="77">
        <f t="shared" si="457"/>
        <v>46124</v>
      </c>
      <c r="H1016" s="77">
        <f t="shared" si="458"/>
        <v>46112</v>
      </c>
      <c r="I1016" s="77">
        <f t="shared" si="459"/>
        <v>46119</v>
      </c>
      <c r="J1016" s="25"/>
      <c r="K1016" s="25"/>
      <c r="L1016" s="25"/>
      <c r="M1016" s="25"/>
      <c r="N1016" s="25"/>
      <c r="O1016" s="25"/>
    </row>
    <row r="1017" spans="1:15" x14ac:dyDescent="0.25">
      <c r="A1017" s="77">
        <v>46104</v>
      </c>
      <c r="B1017" s="25" t="s">
        <v>408</v>
      </c>
      <c r="C1017" s="25"/>
      <c r="D1017" s="77">
        <f t="shared" si="454"/>
        <v>46127</v>
      </c>
      <c r="E1017" s="77">
        <f t="shared" si="455"/>
        <v>46111</v>
      </c>
      <c r="F1017" s="77">
        <f t="shared" si="456"/>
        <v>46118</v>
      </c>
      <c r="G1017" s="77">
        <f t="shared" si="457"/>
        <v>46124</v>
      </c>
      <c r="H1017" s="77">
        <f t="shared" si="458"/>
        <v>46112</v>
      </c>
      <c r="I1017" s="77">
        <f t="shared" si="459"/>
        <v>46119</v>
      </c>
      <c r="J1017" s="25"/>
      <c r="K1017" s="25"/>
      <c r="L1017" s="25"/>
      <c r="M1017" s="25"/>
      <c r="N1017" s="25"/>
      <c r="O1017" s="25"/>
    </row>
    <row r="1018" spans="1:15" x14ac:dyDescent="0.25">
      <c r="A1018" s="77">
        <v>46104</v>
      </c>
      <c r="B1018" s="25" t="s">
        <v>409</v>
      </c>
      <c r="C1018" s="25"/>
      <c r="D1018" s="77">
        <f t="shared" si="454"/>
        <v>46127</v>
      </c>
      <c r="E1018" s="77">
        <f t="shared" si="455"/>
        <v>46111</v>
      </c>
      <c r="F1018" s="77">
        <f t="shared" si="456"/>
        <v>46118</v>
      </c>
      <c r="G1018" s="77">
        <f t="shared" si="457"/>
        <v>46124</v>
      </c>
      <c r="H1018" s="77">
        <f t="shared" si="458"/>
        <v>46112</v>
      </c>
      <c r="I1018" s="77">
        <f t="shared" si="459"/>
        <v>46119</v>
      </c>
      <c r="J1018" s="25"/>
      <c r="K1018" s="25"/>
      <c r="L1018" s="25"/>
      <c r="M1018" s="25"/>
      <c r="N1018" s="25"/>
      <c r="O1018" s="25"/>
    </row>
    <row r="1019" spans="1:15" x14ac:dyDescent="0.25">
      <c r="A1019" s="77">
        <v>46104</v>
      </c>
      <c r="B1019" s="25" t="s">
        <v>410</v>
      </c>
      <c r="C1019" s="25"/>
      <c r="D1019" s="77">
        <f t="shared" si="454"/>
        <v>46127</v>
      </c>
      <c r="E1019" s="77">
        <f t="shared" si="455"/>
        <v>46111</v>
      </c>
      <c r="F1019" s="77">
        <f t="shared" si="456"/>
        <v>46118</v>
      </c>
      <c r="G1019" s="77">
        <f t="shared" si="457"/>
        <v>46124</v>
      </c>
      <c r="H1019" s="77">
        <f t="shared" si="458"/>
        <v>46112</v>
      </c>
      <c r="I1019" s="77">
        <f t="shared" si="459"/>
        <v>46119</v>
      </c>
      <c r="J1019" s="25"/>
      <c r="K1019" s="25"/>
      <c r="L1019" s="25"/>
      <c r="M1019" s="25"/>
      <c r="N1019" s="25"/>
      <c r="O1019" s="25"/>
    </row>
    <row r="1020" spans="1:15" x14ac:dyDescent="0.25">
      <c r="A1020" s="77">
        <v>46104</v>
      </c>
      <c r="B1020" s="25" t="s">
        <v>411</v>
      </c>
      <c r="C1020" s="25"/>
      <c r="D1020" s="77">
        <f t="shared" si="454"/>
        <v>46127</v>
      </c>
      <c r="E1020" s="77">
        <f t="shared" si="455"/>
        <v>46111</v>
      </c>
      <c r="F1020" s="77">
        <f t="shared" si="456"/>
        <v>46118</v>
      </c>
      <c r="G1020" s="77">
        <f t="shared" si="457"/>
        <v>46124</v>
      </c>
      <c r="H1020" s="77">
        <f t="shared" si="458"/>
        <v>46112</v>
      </c>
      <c r="I1020" s="77">
        <f t="shared" si="459"/>
        <v>46119</v>
      </c>
      <c r="J1020" s="25"/>
      <c r="K1020" s="25"/>
      <c r="L1020" s="25"/>
      <c r="M1020" s="25"/>
      <c r="N1020" s="25"/>
      <c r="O1020" s="25"/>
    </row>
    <row r="1021" spans="1:15" x14ac:dyDescent="0.25">
      <c r="A1021" s="77">
        <v>46105</v>
      </c>
      <c r="B1021" s="25" t="s">
        <v>401</v>
      </c>
      <c r="C1021" s="25"/>
      <c r="D1021" s="77">
        <f t="shared" ref="D1021:D1027" si="460">A1021+23</f>
        <v>46128</v>
      </c>
      <c r="E1021" s="77">
        <f t="shared" ref="E1021:E1027" si="461">A1021+7</f>
        <v>46112</v>
      </c>
      <c r="F1021" s="77">
        <f t="shared" ref="F1021:F1027" si="462">A1021+14</f>
        <v>46119</v>
      </c>
      <c r="G1021" s="77">
        <f t="shared" ref="G1021:G1027" si="463">A1021+20</f>
        <v>46125</v>
      </c>
      <c r="H1021" s="77">
        <f t="shared" ref="H1021:H1027" si="464">A1021+8</f>
        <v>46113</v>
      </c>
      <c r="I1021" s="77">
        <f t="shared" ref="I1021:I1027" si="465">A1021+15</f>
        <v>46120</v>
      </c>
      <c r="J1021" s="25"/>
      <c r="K1021" s="25"/>
      <c r="L1021" s="25"/>
      <c r="M1021" s="25"/>
      <c r="N1021" s="25"/>
      <c r="O1021" s="25"/>
    </row>
    <row r="1022" spans="1:15" x14ac:dyDescent="0.25">
      <c r="A1022" s="77">
        <v>46105</v>
      </c>
      <c r="B1022" s="25" t="s">
        <v>402</v>
      </c>
      <c r="C1022" s="25"/>
      <c r="D1022" s="77">
        <f t="shared" si="460"/>
        <v>46128</v>
      </c>
      <c r="E1022" s="77">
        <f t="shared" si="461"/>
        <v>46112</v>
      </c>
      <c r="F1022" s="77">
        <f t="shared" si="462"/>
        <v>46119</v>
      </c>
      <c r="G1022" s="77">
        <f t="shared" si="463"/>
        <v>46125</v>
      </c>
      <c r="H1022" s="77">
        <f t="shared" si="464"/>
        <v>46113</v>
      </c>
      <c r="I1022" s="77">
        <f t="shared" si="465"/>
        <v>46120</v>
      </c>
      <c r="J1022" s="25"/>
      <c r="K1022" s="25"/>
      <c r="L1022" s="25"/>
      <c r="M1022" s="25"/>
      <c r="N1022" s="25"/>
      <c r="O1022" s="25"/>
    </row>
    <row r="1023" spans="1:15" x14ac:dyDescent="0.25">
      <c r="A1023" s="77">
        <v>46105</v>
      </c>
      <c r="B1023" s="25" t="s">
        <v>403</v>
      </c>
      <c r="C1023" s="25"/>
      <c r="D1023" s="77">
        <f t="shared" si="460"/>
        <v>46128</v>
      </c>
      <c r="E1023" s="77">
        <f t="shared" si="461"/>
        <v>46112</v>
      </c>
      <c r="F1023" s="77">
        <f t="shared" si="462"/>
        <v>46119</v>
      </c>
      <c r="G1023" s="77">
        <f t="shared" si="463"/>
        <v>46125</v>
      </c>
      <c r="H1023" s="77">
        <f t="shared" si="464"/>
        <v>46113</v>
      </c>
      <c r="I1023" s="77">
        <f t="shared" si="465"/>
        <v>46120</v>
      </c>
      <c r="J1023" s="25"/>
      <c r="K1023" s="25"/>
      <c r="L1023" s="25"/>
      <c r="M1023" s="25"/>
      <c r="N1023" s="25"/>
      <c r="O1023" s="25"/>
    </row>
    <row r="1024" spans="1:15" x14ac:dyDescent="0.25">
      <c r="A1024" s="77">
        <v>46105</v>
      </c>
      <c r="B1024" s="25" t="s">
        <v>404</v>
      </c>
      <c r="C1024" s="25"/>
      <c r="D1024" s="77">
        <f t="shared" si="460"/>
        <v>46128</v>
      </c>
      <c r="E1024" s="77">
        <f t="shared" si="461"/>
        <v>46112</v>
      </c>
      <c r="F1024" s="77">
        <f t="shared" si="462"/>
        <v>46119</v>
      </c>
      <c r="G1024" s="77">
        <f t="shared" si="463"/>
        <v>46125</v>
      </c>
      <c r="H1024" s="77">
        <f t="shared" si="464"/>
        <v>46113</v>
      </c>
      <c r="I1024" s="77">
        <f t="shared" si="465"/>
        <v>46120</v>
      </c>
      <c r="J1024" s="25"/>
      <c r="K1024" s="25"/>
      <c r="L1024" s="25"/>
      <c r="M1024" s="25"/>
      <c r="N1024" s="25"/>
      <c r="O1024" s="25"/>
    </row>
    <row r="1025" spans="1:15" x14ac:dyDescent="0.25">
      <c r="A1025" s="77">
        <v>46105</v>
      </c>
      <c r="B1025" s="25" t="s">
        <v>405</v>
      </c>
      <c r="C1025" s="25"/>
      <c r="D1025" s="77">
        <f t="shared" si="460"/>
        <v>46128</v>
      </c>
      <c r="E1025" s="77">
        <f t="shared" si="461"/>
        <v>46112</v>
      </c>
      <c r="F1025" s="77">
        <f t="shared" si="462"/>
        <v>46119</v>
      </c>
      <c r="G1025" s="77">
        <f t="shared" si="463"/>
        <v>46125</v>
      </c>
      <c r="H1025" s="77">
        <f t="shared" si="464"/>
        <v>46113</v>
      </c>
      <c r="I1025" s="77">
        <f t="shared" si="465"/>
        <v>46120</v>
      </c>
      <c r="J1025" s="25"/>
      <c r="K1025" s="25"/>
      <c r="L1025" s="25"/>
      <c r="M1025" s="25"/>
      <c r="N1025" s="25"/>
      <c r="O1025" s="25"/>
    </row>
    <row r="1026" spans="1:15" x14ac:dyDescent="0.25">
      <c r="A1026" s="77">
        <v>46105</v>
      </c>
      <c r="B1026" s="25" t="s">
        <v>406</v>
      </c>
      <c r="C1026" s="25"/>
      <c r="D1026" s="77">
        <f t="shared" si="460"/>
        <v>46128</v>
      </c>
      <c r="E1026" s="77">
        <f t="shared" si="461"/>
        <v>46112</v>
      </c>
      <c r="F1026" s="77">
        <f t="shared" si="462"/>
        <v>46119</v>
      </c>
      <c r="G1026" s="77">
        <f t="shared" si="463"/>
        <v>46125</v>
      </c>
      <c r="H1026" s="77">
        <f t="shared" si="464"/>
        <v>46113</v>
      </c>
      <c r="I1026" s="77">
        <f t="shared" si="465"/>
        <v>46120</v>
      </c>
      <c r="J1026" s="25"/>
      <c r="K1026" s="25"/>
      <c r="L1026" s="25"/>
      <c r="M1026" s="25"/>
      <c r="N1026" s="25"/>
      <c r="O1026" s="25"/>
    </row>
    <row r="1027" spans="1:15" x14ac:dyDescent="0.25">
      <c r="A1027" s="77">
        <v>46105</v>
      </c>
      <c r="B1027" s="25" t="s">
        <v>407</v>
      </c>
      <c r="C1027" s="25"/>
      <c r="D1027" s="77">
        <f t="shared" si="460"/>
        <v>46128</v>
      </c>
      <c r="E1027" s="77">
        <f t="shared" si="461"/>
        <v>46112</v>
      </c>
      <c r="F1027" s="77">
        <f t="shared" si="462"/>
        <v>46119</v>
      </c>
      <c r="G1027" s="77">
        <f t="shared" si="463"/>
        <v>46125</v>
      </c>
      <c r="H1027" s="77">
        <f t="shared" si="464"/>
        <v>46113</v>
      </c>
      <c r="I1027" s="77">
        <f t="shared" si="465"/>
        <v>46120</v>
      </c>
      <c r="J1027" s="25"/>
      <c r="K1027" s="25"/>
      <c r="L1027" s="25"/>
      <c r="M1027" s="25"/>
      <c r="N1027" s="25"/>
      <c r="O1027" s="25"/>
    </row>
    <row r="1028" spans="1:15" x14ac:dyDescent="0.25">
      <c r="A1028" s="77">
        <v>46106</v>
      </c>
      <c r="B1028" s="25" t="s">
        <v>428</v>
      </c>
      <c r="C1028" s="25"/>
      <c r="D1028" s="77">
        <f t="shared" ref="D1028" si="466">A1028+23</f>
        <v>46129</v>
      </c>
      <c r="E1028" s="77">
        <f t="shared" ref="E1028" si="467">A1028+7</f>
        <v>46113</v>
      </c>
      <c r="F1028" s="77">
        <f t="shared" ref="F1028" si="468">A1028+14</f>
        <v>46120</v>
      </c>
      <c r="G1028" s="77">
        <f t="shared" ref="G1028" si="469">A1028+20</f>
        <v>46126</v>
      </c>
      <c r="H1028" s="77">
        <f t="shared" ref="H1028" si="470">A1028+8</f>
        <v>46114</v>
      </c>
      <c r="I1028" s="77">
        <f t="shared" ref="I1028" si="471">A1028+15</f>
        <v>46121</v>
      </c>
      <c r="J1028" s="25"/>
      <c r="K1028" s="25"/>
      <c r="L1028" s="25"/>
      <c r="M1028" s="25"/>
      <c r="N1028" s="25"/>
      <c r="O1028" s="25"/>
    </row>
    <row r="1029" spans="1:15" x14ac:dyDescent="0.25">
      <c r="A1029" s="77">
        <v>46106</v>
      </c>
      <c r="B1029" s="25" t="s">
        <v>429</v>
      </c>
      <c r="C1029" s="25"/>
      <c r="D1029" s="77">
        <f t="shared" ref="D1029:D1034" si="472">A1029+23</f>
        <v>46129</v>
      </c>
      <c r="E1029" s="77">
        <f t="shared" ref="E1029:E1034" si="473">A1029+7</f>
        <v>46113</v>
      </c>
      <c r="F1029" s="77">
        <f t="shared" ref="F1029:F1034" si="474">A1029+14</f>
        <v>46120</v>
      </c>
      <c r="G1029" s="77">
        <f t="shared" ref="G1029:G1034" si="475">A1029+20</f>
        <v>46126</v>
      </c>
      <c r="H1029" s="77">
        <f t="shared" ref="H1029:H1034" si="476">A1029+8</f>
        <v>46114</v>
      </c>
      <c r="I1029" s="77">
        <f t="shared" ref="I1029:I1034" si="477">A1029+15</f>
        <v>46121</v>
      </c>
      <c r="J1029" s="25"/>
      <c r="K1029" s="25"/>
      <c r="L1029" s="25"/>
      <c r="M1029" s="25"/>
      <c r="N1029" s="25"/>
      <c r="O1029" s="25"/>
    </row>
    <row r="1030" spans="1:15" x14ac:dyDescent="0.25">
      <c r="A1030" s="77">
        <v>46106</v>
      </c>
      <c r="B1030" s="25" t="s">
        <v>430</v>
      </c>
      <c r="C1030" s="25"/>
      <c r="D1030" s="77">
        <f t="shared" si="472"/>
        <v>46129</v>
      </c>
      <c r="E1030" s="77">
        <f t="shared" si="473"/>
        <v>46113</v>
      </c>
      <c r="F1030" s="77">
        <f t="shared" si="474"/>
        <v>46120</v>
      </c>
      <c r="G1030" s="77">
        <f t="shared" si="475"/>
        <v>46126</v>
      </c>
      <c r="H1030" s="77">
        <f t="shared" si="476"/>
        <v>46114</v>
      </c>
      <c r="I1030" s="77">
        <f t="shared" si="477"/>
        <v>46121</v>
      </c>
      <c r="J1030" s="25"/>
      <c r="K1030" s="25"/>
      <c r="L1030" s="25"/>
      <c r="M1030" s="25"/>
      <c r="N1030" s="25"/>
      <c r="O1030" s="25"/>
    </row>
    <row r="1031" spans="1:15" x14ac:dyDescent="0.25">
      <c r="A1031" s="77">
        <v>46106</v>
      </c>
      <c r="B1031" s="25" t="s">
        <v>431</v>
      </c>
      <c r="C1031" s="25"/>
      <c r="D1031" s="77">
        <f t="shared" si="472"/>
        <v>46129</v>
      </c>
      <c r="E1031" s="77">
        <f t="shared" si="473"/>
        <v>46113</v>
      </c>
      <c r="F1031" s="77">
        <f t="shared" si="474"/>
        <v>46120</v>
      </c>
      <c r="G1031" s="77">
        <f t="shared" si="475"/>
        <v>46126</v>
      </c>
      <c r="H1031" s="77">
        <f t="shared" si="476"/>
        <v>46114</v>
      </c>
      <c r="I1031" s="77">
        <f t="shared" si="477"/>
        <v>46121</v>
      </c>
      <c r="J1031" s="25"/>
      <c r="K1031" s="25"/>
      <c r="L1031" s="25"/>
      <c r="M1031" s="25"/>
      <c r="N1031" s="25"/>
      <c r="O1031" s="25"/>
    </row>
    <row r="1032" spans="1:15" x14ac:dyDescent="0.25">
      <c r="A1032" s="77">
        <v>46106</v>
      </c>
      <c r="B1032" s="25" t="s">
        <v>432</v>
      </c>
      <c r="C1032" s="25"/>
      <c r="D1032" s="77">
        <f t="shared" si="472"/>
        <v>46129</v>
      </c>
      <c r="E1032" s="77">
        <f t="shared" si="473"/>
        <v>46113</v>
      </c>
      <c r="F1032" s="77">
        <f t="shared" si="474"/>
        <v>46120</v>
      </c>
      <c r="G1032" s="77">
        <f t="shared" si="475"/>
        <v>46126</v>
      </c>
      <c r="H1032" s="77">
        <f t="shared" si="476"/>
        <v>46114</v>
      </c>
      <c r="I1032" s="77">
        <f t="shared" si="477"/>
        <v>46121</v>
      </c>
      <c r="J1032" s="25"/>
      <c r="K1032" s="25"/>
      <c r="L1032" s="25"/>
      <c r="M1032" s="25"/>
      <c r="N1032" s="25"/>
      <c r="O1032" s="25"/>
    </row>
    <row r="1033" spans="1:15" x14ac:dyDescent="0.25">
      <c r="A1033" s="77">
        <v>46106</v>
      </c>
      <c r="B1033" s="25" t="s">
        <v>433</v>
      </c>
      <c r="C1033" s="25"/>
      <c r="D1033" s="77">
        <f t="shared" si="472"/>
        <v>46129</v>
      </c>
      <c r="E1033" s="77">
        <f t="shared" si="473"/>
        <v>46113</v>
      </c>
      <c r="F1033" s="77">
        <f t="shared" si="474"/>
        <v>46120</v>
      </c>
      <c r="G1033" s="77">
        <f t="shared" si="475"/>
        <v>46126</v>
      </c>
      <c r="H1033" s="77">
        <f t="shared" si="476"/>
        <v>46114</v>
      </c>
      <c r="I1033" s="77">
        <f t="shared" si="477"/>
        <v>46121</v>
      </c>
      <c r="J1033" s="25"/>
      <c r="K1033" s="25"/>
      <c r="L1033" s="25"/>
      <c r="M1033" s="25"/>
      <c r="N1033" s="25"/>
      <c r="O1033" s="25"/>
    </row>
    <row r="1034" spans="1:15" x14ac:dyDescent="0.25">
      <c r="A1034" s="77">
        <v>46106</v>
      </c>
      <c r="B1034" s="25" t="s">
        <v>434</v>
      </c>
      <c r="C1034" s="25"/>
      <c r="D1034" s="77">
        <f t="shared" si="472"/>
        <v>46129</v>
      </c>
      <c r="E1034" s="77">
        <f t="shared" si="473"/>
        <v>46113</v>
      </c>
      <c r="F1034" s="77">
        <f t="shared" si="474"/>
        <v>46120</v>
      </c>
      <c r="G1034" s="77">
        <f t="shared" si="475"/>
        <v>46126</v>
      </c>
      <c r="H1034" s="77">
        <f t="shared" si="476"/>
        <v>46114</v>
      </c>
      <c r="I1034" s="77">
        <f t="shared" si="477"/>
        <v>46121</v>
      </c>
      <c r="J1034" s="25"/>
      <c r="K1034" s="25"/>
      <c r="L1034" s="25"/>
      <c r="M1034" s="25"/>
      <c r="N1034" s="25"/>
      <c r="O1034" s="25"/>
    </row>
    <row r="1035" spans="1:15" x14ac:dyDescent="0.25">
      <c r="A1035" s="77">
        <v>46107</v>
      </c>
      <c r="B1035" s="25" t="s">
        <v>435</v>
      </c>
      <c r="C1035" s="25"/>
      <c r="D1035" s="77">
        <f t="shared" ref="D1035:D1041" si="478">A1035+23</f>
        <v>46130</v>
      </c>
      <c r="E1035" s="77">
        <f t="shared" ref="E1035:E1041" si="479">A1035+7</f>
        <v>46114</v>
      </c>
      <c r="F1035" s="77">
        <f t="shared" ref="F1035:F1041" si="480">A1035+14</f>
        <v>46121</v>
      </c>
      <c r="G1035" s="77">
        <f t="shared" ref="G1035:G1041" si="481">A1035+20</f>
        <v>46127</v>
      </c>
      <c r="H1035" s="77">
        <f t="shared" ref="H1035:H1041" si="482">A1035+8</f>
        <v>46115</v>
      </c>
      <c r="I1035" s="77">
        <f t="shared" ref="I1035:I1041" si="483">A1035+15</f>
        <v>46122</v>
      </c>
      <c r="J1035" s="25"/>
      <c r="K1035" s="25"/>
      <c r="L1035" s="25"/>
      <c r="M1035" s="25"/>
      <c r="N1035" s="25"/>
      <c r="O1035" s="25"/>
    </row>
    <row r="1036" spans="1:15" x14ac:dyDescent="0.25">
      <c r="A1036" s="77">
        <v>46107</v>
      </c>
      <c r="B1036" s="25" t="s">
        <v>436</v>
      </c>
      <c r="C1036" s="25"/>
      <c r="D1036" s="77">
        <f t="shared" si="478"/>
        <v>46130</v>
      </c>
      <c r="E1036" s="77">
        <f t="shared" si="479"/>
        <v>46114</v>
      </c>
      <c r="F1036" s="77">
        <f t="shared" si="480"/>
        <v>46121</v>
      </c>
      <c r="G1036" s="77">
        <f t="shared" si="481"/>
        <v>46127</v>
      </c>
      <c r="H1036" s="77">
        <f t="shared" si="482"/>
        <v>46115</v>
      </c>
      <c r="I1036" s="77">
        <f t="shared" si="483"/>
        <v>46122</v>
      </c>
      <c r="J1036" s="25"/>
      <c r="K1036" s="25"/>
      <c r="L1036" s="25"/>
      <c r="M1036" s="25"/>
      <c r="N1036" s="25"/>
      <c r="O1036" s="25"/>
    </row>
    <row r="1037" spans="1:15" x14ac:dyDescent="0.25">
      <c r="A1037" s="77">
        <v>46107</v>
      </c>
      <c r="B1037" s="25" t="s">
        <v>437</v>
      </c>
      <c r="C1037" s="25"/>
      <c r="D1037" s="77">
        <f t="shared" si="478"/>
        <v>46130</v>
      </c>
      <c r="E1037" s="77">
        <f t="shared" si="479"/>
        <v>46114</v>
      </c>
      <c r="F1037" s="77">
        <f t="shared" si="480"/>
        <v>46121</v>
      </c>
      <c r="G1037" s="77">
        <f t="shared" si="481"/>
        <v>46127</v>
      </c>
      <c r="H1037" s="77">
        <f t="shared" si="482"/>
        <v>46115</v>
      </c>
      <c r="I1037" s="77">
        <f t="shared" si="483"/>
        <v>46122</v>
      </c>
      <c r="J1037" s="25"/>
      <c r="K1037" s="25"/>
      <c r="L1037" s="25"/>
      <c r="M1037" s="25"/>
      <c r="N1037" s="25"/>
      <c r="O1037" s="25"/>
    </row>
    <row r="1038" spans="1:15" x14ac:dyDescent="0.25">
      <c r="A1038" s="77">
        <v>46107</v>
      </c>
      <c r="B1038" s="25" t="s">
        <v>438</v>
      </c>
      <c r="C1038" s="25"/>
      <c r="D1038" s="77">
        <f t="shared" si="478"/>
        <v>46130</v>
      </c>
      <c r="E1038" s="77">
        <f t="shared" si="479"/>
        <v>46114</v>
      </c>
      <c r="F1038" s="77">
        <f t="shared" si="480"/>
        <v>46121</v>
      </c>
      <c r="G1038" s="77">
        <f t="shared" si="481"/>
        <v>46127</v>
      </c>
      <c r="H1038" s="77">
        <f t="shared" si="482"/>
        <v>46115</v>
      </c>
      <c r="I1038" s="77">
        <f t="shared" si="483"/>
        <v>46122</v>
      </c>
      <c r="J1038" s="25"/>
      <c r="K1038" s="25"/>
      <c r="L1038" s="25"/>
      <c r="M1038" s="25"/>
      <c r="N1038" s="25"/>
      <c r="O1038" s="25"/>
    </row>
    <row r="1039" spans="1:15" x14ac:dyDescent="0.25">
      <c r="A1039" s="77">
        <v>46107</v>
      </c>
      <c r="B1039" s="25" t="s">
        <v>439</v>
      </c>
      <c r="C1039" s="25"/>
      <c r="D1039" s="77">
        <f t="shared" si="478"/>
        <v>46130</v>
      </c>
      <c r="E1039" s="77">
        <f t="shared" si="479"/>
        <v>46114</v>
      </c>
      <c r="F1039" s="77">
        <f t="shared" si="480"/>
        <v>46121</v>
      </c>
      <c r="G1039" s="77">
        <f t="shared" si="481"/>
        <v>46127</v>
      </c>
      <c r="H1039" s="77">
        <f t="shared" si="482"/>
        <v>46115</v>
      </c>
      <c r="I1039" s="77">
        <f t="shared" si="483"/>
        <v>46122</v>
      </c>
      <c r="J1039" s="25"/>
      <c r="K1039" s="25"/>
      <c r="L1039" s="25"/>
      <c r="M1039" s="25"/>
      <c r="N1039" s="25"/>
      <c r="O1039" s="25"/>
    </row>
    <row r="1040" spans="1:15" x14ac:dyDescent="0.25">
      <c r="A1040" s="77">
        <v>46107</v>
      </c>
      <c r="B1040" s="25" t="s">
        <v>440</v>
      </c>
      <c r="C1040" s="25"/>
      <c r="D1040" s="77">
        <f t="shared" si="478"/>
        <v>46130</v>
      </c>
      <c r="E1040" s="77">
        <f t="shared" si="479"/>
        <v>46114</v>
      </c>
      <c r="F1040" s="77">
        <f t="shared" si="480"/>
        <v>46121</v>
      </c>
      <c r="G1040" s="77">
        <f t="shared" si="481"/>
        <v>46127</v>
      </c>
      <c r="H1040" s="77">
        <f t="shared" si="482"/>
        <v>46115</v>
      </c>
      <c r="I1040" s="77">
        <f t="shared" si="483"/>
        <v>46122</v>
      </c>
      <c r="J1040" s="25"/>
      <c r="K1040" s="25"/>
      <c r="L1040" s="25"/>
      <c r="M1040" s="25"/>
      <c r="N1040" s="25"/>
      <c r="O1040" s="25"/>
    </row>
    <row r="1041" spans="1:15" x14ac:dyDescent="0.25">
      <c r="A1041" s="77">
        <v>46107</v>
      </c>
      <c r="B1041" s="25" t="s">
        <v>441</v>
      </c>
      <c r="C1041" s="25"/>
      <c r="D1041" s="77">
        <f t="shared" si="478"/>
        <v>46130</v>
      </c>
      <c r="E1041" s="77">
        <f t="shared" si="479"/>
        <v>46114</v>
      </c>
      <c r="F1041" s="77">
        <f t="shared" si="480"/>
        <v>46121</v>
      </c>
      <c r="G1041" s="77">
        <f t="shared" si="481"/>
        <v>46127</v>
      </c>
      <c r="H1041" s="77">
        <f t="shared" si="482"/>
        <v>46115</v>
      </c>
      <c r="I1041" s="77">
        <f t="shared" si="483"/>
        <v>46122</v>
      </c>
      <c r="J1041" s="25"/>
      <c r="K1041" s="25"/>
      <c r="L1041" s="25"/>
      <c r="M1041" s="25"/>
      <c r="N1041" s="25"/>
      <c r="O1041" s="25"/>
    </row>
    <row r="1042" spans="1:15" x14ac:dyDescent="0.25">
      <c r="A1042" s="77">
        <v>46108</v>
      </c>
      <c r="B1042" s="25" t="s">
        <v>458</v>
      </c>
      <c r="C1042" s="25"/>
      <c r="D1042" s="77">
        <f t="shared" ref="D1042:D1048" si="484">A1042+23</f>
        <v>46131</v>
      </c>
      <c r="E1042" s="77">
        <f t="shared" ref="E1042:E1048" si="485">A1042+7</f>
        <v>46115</v>
      </c>
      <c r="F1042" s="77">
        <f t="shared" ref="F1042:F1048" si="486">A1042+14</f>
        <v>46122</v>
      </c>
      <c r="G1042" s="77">
        <f t="shared" ref="G1042:G1048" si="487">A1042+20</f>
        <v>46128</v>
      </c>
      <c r="H1042" s="77">
        <f t="shared" ref="H1042:H1048" si="488">A1042+8</f>
        <v>46116</v>
      </c>
      <c r="I1042" s="77">
        <f t="shared" ref="I1042:I1048" si="489">A1042+15</f>
        <v>46123</v>
      </c>
      <c r="J1042" s="25"/>
      <c r="K1042" s="25"/>
      <c r="L1042" s="25"/>
      <c r="M1042" s="25"/>
      <c r="N1042" s="25"/>
      <c r="O1042" s="25"/>
    </row>
    <row r="1043" spans="1:15" x14ac:dyDescent="0.25">
      <c r="A1043" s="77">
        <v>46108</v>
      </c>
      <c r="B1043" s="25" t="s">
        <v>459</v>
      </c>
      <c r="C1043" s="25"/>
      <c r="D1043" s="77">
        <f t="shared" si="484"/>
        <v>46131</v>
      </c>
      <c r="E1043" s="77">
        <f t="shared" si="485"/>
        <v>46115</v>
      </c>
      <c r="F1043" s="77">
        <f t="shared" si="486"/>
        <v>46122</v>
      </c>
      <c r="G1043" s="77">
        <f t="shared" si="487"/>
        <v>46128</v>
      </c>
      <c r="H1043" s="77">
        <f t="shared" si="488"/>
        <v>46116</v>
      </c>
      <c r="I1043" s="77">
        <f t="shared" si="489"/>
        <v>46123</v>
      </c>
      <c r="J1043" s="25"/>
      <c r="K1043" s="25"/>
      <c r="L1043" s="25"/>
      <c r="M1043" s="25"/>
      <c r="N1043" s="25"/>
      <c r="O1043" s="25"/>
    </row>
    <row r="1044" spans="1:15" x14ac:dyDescent="0.25">
      <c r="A1044" s="77">
        <v>46108</v>
      </c>
      <c r="B1044" s="25" t="s">
        <v>460</v>
      </c>
      <c r="C1044" s="25"/>
      <c r="D1044" s="77">
        <f t="shared" si="484"/>
        <v>46131</v>
      </c>
      <c r="E1044" s="77">
        <f t="shared" si="485"/>
        <v>46115</v>
      </c>
      <c r="F1044" s="77">
        <f t="shared" si="486"/>
        <v>46122</v>
      </c>
      <c r="G1044" s="77">
        <f t="shared" si="487"/>
        <v>46128</v>
      </c>
      <c r="H1044" s="77">
        <f t="shared" si="488"/>
        <v>46116</v>
      </c>
      <c r="I1044" s="77">
        <f t="shared" si="489"/>
        <v>46123</v>
      </c>
      <c r="J1044" s="25"/>
      <c r="K1044" s="25"/>
      <c r="L1044" s="25"/>
      <c r="M1044" s="25"/>
      <c r="N1044" s="25"/>
      <c r="O1044" s="25"/>
    </row>
    <row r="1045" spans="1:15" x14ac:dyDescent="0.25">
      <c r="A1045" s="77">
        <v>46108</v>
      </c>
      <c r="B1045" s="25" t="s">
        <v>461</v>
      </c>
      <c r="C1045" s="25"/>
      <c r="D1045" s="77">
        <f t="shared" si="484"/>
        <v>46131</v>
      </c>
      <c r="E1045" s="77">
        <f t="shared" si="485"/>
        <v>46115</v>
      </c>
      <c r="F1045" s="77">
        <f t="shared" si="486"/>
        <v>46122</v>
      </c>
      <c r="G1045" s="77">
        <f t="shared" si="487"/>
        <v>46128</v>
      </c>
      <c r="H1045" s="77">
        <f t="shared" si="488"/>
        <v>46116</v>
      </c>
      <c r="I1045" s="77">
        <f t="shared" si="489"/>
        <v>46123</v>
      </c>
      <c r="J1045" s="25"/>
      <c r="K1045" s="25"/>
      <c r="L1045" s="25"/>
      <c r="M1045" s="25"/>
      <c r="N1045" s="25"/>
      <c r="O1045" s="25"/>
    </row>
    <row r="1046" spans="1:15" x14ac:dyDescent="0.25">
      <c r="A1046" s="77">
        <v>46108</v>
      </c>
      <c r="B1046" s="25" t="s">
        <v>462</v>
      </c>
      <c r="C1046" s="25"/>
      <c r="D1046" s="77">
        <f t="shared" si="484"/>
        <v>46131</v>
      </c>
      <c r="E1046" s="77">
        <f t="shared" si="485"/>
        <v>46115</v>
      </c>
      <c r="F1046" s="77">
        <f t="shared" si="486"/>
        <v>46122</v>
      </c>
      <c r="G1046" s="77">
        <f t="shared" si="487"/>
        <v>46128</v>
      </c>
      <c r="H1046" s="77">
        <f t="shared" si="488"/>
        <v>46116</v>
      </c>
      <c r="I1046" s="77">
        <f t="shared" si="489"/>
        <v>46123</v>
      </c>
      <c r="J1046" s="25"/>
      <c r="K1046" s="25"/>
      <c r="L1046" s="25"/>
      <c r="M1046" s="25"/>
      <c r="N1046" s="25"/>
      <c r="O1046" s="25"/>
    </row>
    <row r="1047" spans="1:15" x14ac:dyDescent="0.25">
      <c r="A1047" s="77">
        <v>46108</v>
      </c>
      <c r="B1047" s="25" t="s">
        <v>463</v>
      </c>
      <c r="C1047" s="25"/>
      <c r="D1047" s="77">
        <f t="shared" si="484"/>
        <v>46131</v>
      </c>
      <c r="E1047" s="77">
        <f t="shared" si="485"/>
        <v>46115</v>
      </c>
      <c r="F1047" s="77">
        <f t="shared" si="486"/>
        <v>46122</v>
      </c>
      <c r="G1047" s="77">
        <f t="shared" si="487"/>
        <v>46128</v>
      </c>
      <c r="H1047" s="77">
        <f t="shared" si="488"/>
        <v>46116</v>
      </c>
      <c r="I1047" s="77">
        <f t="shared" si="489"/>
        <v>46123</v>
      </c>
      <c r="J1047" s="25"/>
      <c r="K1047" s="25"/>
      <c r="L1047" s="25"/>
      <c r="M1047" s="25"/>
      <c r="N1047" s="25"/>
      <c r="O1047" s="25"/>
    </row>
    <row r="1048" spans="1:15" x14ac:dyDescent="0.25">
      <c r="A1048" s="77">
        <v>46108</v>
      </c>
      <c r="B1048" s="25" t="s">
        <v>464</v>
      </c>
      <c r="C1048" s="25"/>
      <c r="D1048" s="77">
        <f t="shared" si="484"/>
        <v>46131</v>
      </c>
      <c r="E1048" s="77">
        <f t="shared" si="485"/>
        <v>46115</v>
      </c>
      <c r="F1048" s="77">
        <f t="shared" si="486"/>
        <v>46122</v>
      </c>
      <c r="G1048" s="77">
        <f t="shared" si="487"/>
        <v>46128</v>
      </c>
      <c r="H1048" s="77">
        <f t="shared" si="488"/>
        <v>46116</v>
      </c>
      <c r="I1048" s="77">
        <f t="shared" si="489"/>
        <v>46123</v>
      </c>
      <c r="J1048" s="25"/>
      <c r="K1048" s="25"/>
      <c r="L1048" s="25"/>
      <c r="M1048" s="25"/>
      <c r="N1048" s="25"/>
      <c r="O1048" s="25"/>
    </row>
    <row r="1049" spans="1:15" x14ac:dyDescent="0.25">
      <c r="A1049" s="77">
        <v>46109</v>
      </c>
      <c r="B1049" s="25" t="s">
        <v>495</v>
      </c>
      <c r="C1049" s="25"/>
      <c r="D1049" s="77">
        <f t="shared" ref="D1049:D1055" si="490">A1049+23</f>
        <v>46132</v>
      </c>
      <c r="E1049" s="77">
        <f t="shared" ref="E1049:E1055" si="491">A1049+7</f>
        <v>46116</v>
      </c>
      <c r="F1049" s="77">
        <f t="shared" ref="F1049:F1055" si="492">A1049+14</f>
        <v>46123</v>
      </c>
      <c r="G1049" s="77">
        <f t="shared" ref="G1049:G1055" si="493">A1049+20</f>
        <v>46129</v>
      </c>
      <c r="H1049" s="77">
        <f t="shared" ref="H1049:H1055" si="494">A1049+8</f>
        <v>46117</v>
      </c>
      <c r="I1049" s="77">
        <f t="shared" ref="I1049:I1055" si="495">A1049+15</f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/>
      <c r="D1050" s="77">
        <f t="shared" si="490"/>
        <v>46132</v>
      </c>
      <c r="E1050" s="77">
        <f t="shared" si="491"/>
        <v>46116</v>
      </c>
      <c r="F1050" s="77">
        <f t="shared" si="492"/>
        <v>46123</v>
      </c>
      <c r="G1050" s="77">
        <f t="shared" si="493"/>
        <v>46129</v>
      </c>
      <c r="H1050" s="77">
        <f t="shared" si="494"/>
        <v>46117</v>
      </c>
      <c r="I1050" s="77">
        <f t="shared" si="495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/>
      <c r="D1051" s="77">
        <f t="shared" si="490"/>
        <v>46132</v>
      </c>
      <c r="E1051" s="77">
        <f t="shared" si="491"/>
        <v>46116</v>
      </c>
      <c r="F1051" s="77">
        <f t="shared" si="492"/>
        <v>46123</v>
      </c>
      <c r="G1051" s="77">
        <f t="shared" si="493"/>
        <v>46129</v>
      </c>
      <c r="H1051" s="77">
        <f t="shared" si="494"/>
        <v>46117</v>
      </c>
      <c r="I1051" s="77">
        <f t="shared" si="495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/>
      <c r="D1052" s="77">
        <f t="shared" si="490"/>
        <v>46132</v>
      </c>
      <c r="E1052" s="77">
        <f t="shared" si="491"/>
        <v>46116</v>
      </c>
      <c r="F1052" s="77">
        <f t="shared" si="492"/>
        <v>46123</v>
      </c>
      <c r="G1052" s="77">
        <f t="shared" si="493"/>
        <v>46129</v>
      </c>
      <c r="H1052" s="77">
        <f t="shared" si="494"/>
        <v>46117</v>
      </c>
      <c r="I1052" s="77">
        <f t="shared" si="495"/>
        <v>46124</v>
      </c>
      <c r="J1052" s="25"/>
      <c r="K1052" s="25"/>
      <c r="L1052" s="25"/>
      <c r="M1052" s="25"/>
      <c r="N1052" s="25"/>
      <c r="O1052" s="25"/>
    </row>
    <row r="1053" spans="1:15" x14ac:dyDescent="0.25">
      <c r="A1053" s="77">
        <v>46109</v>
      </c>
      <c r="B1053" s="25" t="s">
        <v>499</v>
      </c>
      <c r="C1053" s="25"/>
      <c r="D1053" s="77">
        <f t="shared" si="490"/>
        <v>46132</v>
      </c>
      <c r="E1053" s="77">
        <f t="shared" si="491"/>
        <v>46116</v>
      </c>
      <c r="F1053" s="77">
        <f t="shared" si="492"/>
        <v>46123</v>
      </c>
      <c r="G1053" s="77">
        <f t="shared" si="493"/>
        <v>46129</v>
      </c>
      <c r="H1053" s="77">
        <f t="shared" si="494"/>
        <v>46117</v>
      </c>
      <c r="I1053" s="77">
        <f t="shared" si="495"/>
        <v>46124</v>
      </c>
      <c r="J1053" s="25"/>
      <c r="K1053" s="25"/>
      <c r="L1053" s="25"/>
      <c r="M1053" s="25"/>
      <c r="N1053" s="25"/>
      <c r="O1053" s="25"/>
    </row>
    <row r="1054" spans="1:15" x14ac:dyDescent="0.25">
      <c r="A1054" s="77">
        <v>46109</v>
      </c>
      <c r="B1054" s="25" t="s">
        <v>500</v>
      </c>
      <c r="C1054" s="25"/>
      <c r="D1054" s="77">
        <f t="shared" si="490"/>
        <v>46132</v>
      </c>
      <c r="E1054" s="77">
        <f t="shared" si="491"/>
        <v>46116</v>
      </c>
      <c r="F1054" s="77">
        <f t="shared" si="492"/>
        <v>46123</v>
      </c>
      <c r="G1054" s="77">
        <f t="shared" si="493"/>
        <v>46129</v>
      </c>
      <c r="H1054" s="77">
        <f t="shared" si="494"/>
        <v>46117</v>
      </c>
      <c r="I1054" s="77">
        <f t="shared" si="495"/>
        <v>46124</v>
      </c>
      <c r="J1054" s="25"/>
      <c r="K1054" s="25"/>
      <c r="L1054" s="25"/>
      <c r="M1054" s="25"/>
      <c r="N1054" s="25"/>
      <c r="O1054" s="25"/>
    </row>
    <row r="1055" spans="1:15" x14ac:dyDescent="0.25">
      <c r="A1055" s="77">
        <v>46109</v>
      </c>
      <c r="B1055" s="25" t="s">
        <v>501</v>
      </c>
      <c r="C1055" s="25"/>
      <c r="D1055" s="77">
        <f t="shared" si="490"/>
        <v>46132</v>
      </c>
      <c r="E1055" s="77">
        <f t="shared" si="491"/>
        <v>46116</v>
      </c>
      <c r="F1055" s="77">
        <f t="shared" si="492"/>
        <v>46123</v>
      </c>
      <c r="G1055" s="77">
        <f t="shared" si="493"/>
        <v>46129</v>
      </c>
      <c r="H1055" s="77">
        <f t="shared" si="494"/>
        <v>46117</v>
      </c>
      <c r="I1055" s="77">
        <f t="shared" si="495"/>
        <v>46124</v>
      </c>
      <c r="J1055" s="25"/>
      <c r="K1055" s="25"/>
      <c r="L1055" s="25"/>
      <c r="M1055" s="25"/>
      <c r="N1055" s="25"/>
      <c r="O1055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710 J610:J713 J716:J977 C973:C1055 A1056:C1048576 A802:A1055 J980:J1048576">
    <cfRule type="expression" dxfId="41" priority="35">
      <formula>$L579&gt;0</formula>
    </cfRule>
  </conditionalFormatting>
  <conditionalFormatting sqref="A711:B715 J712:J715">
    <cfRule type="expression" dxfId="40" priority="39">
      <formula>$N715&gt;0</formula>
    </cfRule>
  </conditionalFormatting>
  <conditionalFormatting sqref="A716:B801">
    <cfRule type="expression" dxfId="39" priority="13">
      <formula>$L716&gt;0</formula>
    </cfRule>
  </conditionalFormatting>
  <conditionalFormatting sqref="A803:B977 C885:J977 D980:I1048576">
    <cfRule type="expression" dxfId="38" priority="11">
      <formula>$K803&gt;0</formula>
    </cfRule>
  </conditionalFormatting>
  <conditionalFormatting sqref="A1:C169 D349:I369 D370:J370 D373:K373 A373:C376 D374:I376 K374:K376 A381:K414 A416:I422 A463:I463 D483:I483 A483:C578 C980:C1055 A980:A1055">
    <cfRule type="expression" dxfId="37" priority="99">
      <formula>$L1&gt;0</formula>
    </cfRule>
  </conditionalFormatting>
  <conditionalFormatting sqref="A189:C370">
    <cfRule type="expression" dxfId="36" priority="87">
      <formula>$L189&gt;0</formula>
    </cfRule>
  </conditionalFormatting>
  <conditionalFormatting sqref="A415:I415 A423:I429 B430:I430 A430:A434 A431:K434 A435:I437 A438:K462 A464:K482">
    <cfRule type="expression" dxfId="35" priority="8922">
      <formula>#REF!&gt;0</formula>
    </cfRule>
  </conditionalFormatting>
  <conditionalFormatting sqref="A371:K372 K372:K376 A377:K380">
    <cfRule type="expression" dxfId="34" priority="8920">
      <formula>#REF!&gt;0</formula>
    </cfRule>
  </conditionalFormatting>
  <conditionalFormatting sqref="B802:I802">
    <cfRule type="expression" dxfId="33" priority="16">
      <formula>$K802&gt;0</formula>
    </cfRule>
  </conditionalFormatting>
  <conditionalFormatting sqref="C579:I884 J817:J884">
    <cfRule type="expression" dxfId="32" priority="15">
      <formula>$K579&gt;0</formula>
    </cfRule>
  </conditionalFormatting>
  <conditionalFormatting sqref="D1:I169 A170:J188 D189:I348 D363:I578">
    <cfRule type="expression" dxfId="31" priority="102">
      <formula>$K1&gt;0</formula>
    </cfRule>
  </conditionalFormatting>
  <conditionalFormatting sqref="D484:K609">
    <cfRule type="expression" dxfId="30" priority="61">
      <formula>$L484&gt;0</formula>
    </cfRule>
  </conditionalFormatting>
  <conditionalFormatting sqref="J1:J247">
    <cfRule type="expression" dxfId="29" priority="91">
      <formula>$L1&gt;0</formula>
    </cfRule>
  </conditionalFormatting>
  <conditionalFormatting sqref="J248:J249">
    <cfRule type="expression" dxfId="28" priority="8885">
      <formula>$L247&gt;0</formula>
    </cfRule>
  </conditionalFormatting>
  <conditionalFormatting sqref="J250:J380">
    <cfRule type="expression" dxfId="27" priority="86">
      <formula>$L250&gt;0</formula>
    </cfRule>
  </conditionalFormatting>
  <conditionalFormatting sqref="J450:J578">
    <cfRule type="expression" dxfId="26" priority="62">
      <formula>$L450&gt;0</formula>
    </cfRule>
  </conditionalFormatting>
  <conditionalFormatting sqref="J723:J793">
    <cfRule type="expression" dxfId="25" priority="17">
      <formula>$N727&gt;0</formula>
    </cfRule>
  </conditionalFormatting>
  <conditionalFormatting sqref="J415:K450">
    <cfRule type="expression" dxfId="24" priority="79">
      <formula>$L415&gt;0</formula>
    </cfRule>
  </conditionalFormatting>
  <conditionalFormatting sqref="J456:K457">
    <cfRule type="expression" dxfId="23" priority="78">
      <formula>$L456&gt;0</formula>
    </cfRule>
  </conditionalFormatting>
  <conditionalFormatting sqref="J463:K463">
    <cfRule type="expression" dxfId="22" priority="67">
      <formula>#REF!&gt;0</formula>
    </cfRule>
  </conditionalFormatting>
  <conditionalFormatting sqref="J483:K489">
    <cfRule type="expression" dxfId="21" priority="66">
      <formula>#REF!&gt;0</formula>
    </cfRule>
  </conditionalFormatting>
  <conditionalFormatting sqref="J501:K501 J501:J504">
    <cfRule type="expression" dxfId="20" priority="65">
      <formula>#REF!&gt;0</formula>
    </cfRule>
  </conditionalFormatting>
  <conditionalFormatting sqref="K450:K456">
    <cfRule type="expression" dxfId="19" priority="81">
      <formula>$L450&gt;0</formula>
    </cfRule>
  </conditionalFormatting>
  <conditionalFormatting sqref="K458:K489">
    <cfRule type="expression" dxfId="18" priority="71">
      <formula>$L458&gt;0</formula>
    </cfRule>
  </conditionalFormatting>
  <conditionalFormatting sqref="K501">
    <cfRule type="expression" dxfId="17" priority="64">
      <formula>$L501&gt;0</formula>
    </cfRule>
  </conditionalFormatting>
  <conditionalFormatting sqref="K609:K628">
    <cfRule type="expression" dxfId="16" priority="50">
      <formula>$L609&gt;0</formula>
    </cfRule>
  </conditionalFormatting>
  <conditionalFormatting sqref="K636:K642">
    <cfRule type="expression" dxfId="15" priority="51">
      <formula>$L636&gt;0</formula>
    </cfRule>
  </conditionalFormatting>
  <conditionalFormatting sqref="J978:J1055">
    <cfRule type="expression" dxfId="14" priority="8924">
      <formula>$L978&gt;0</formula>
    </cfRule>
  </conditionalFormatting>
  <conditionalFormatting sqref="A978:J979 B980:B985 A986:J986 B987:B992 A993:J993 B994:B1006 A1007:J1007 B1008:B1013 A1014:J1014 B1015:B1027 A1028:J1028 B1029:B1055 A979:A1055 C979:J1055">
    <cfRule type="expression" dxfId="13" priority="8928">
      <formula>$K978&gt;0</formula>
    </cfRule>
  </conditionalFormatting>
  <conditionalFormatting sqref="J794:J801">
    <cfRule type="expression" dxfId="12" priority="9">
      <formula>$N798&gt;0</formula>
    </cfRule>
  </conditionalFormatting>
  <conditionalFormatting sqref="J808:J828">
    <cfRule type="expression" dxfId="11" priority="8">
      <formula>$N812&gt;0</formula>
    </cfRule>
  </conditionalFormatting>
  <conditionalFormatting sqref="J822:J828">
    <cfRule type="expression" dxfId="10" priority="7">
      <formula>$N826&gt;0</formula>
    </cfRule>
  </conditionalFormatting>
  <conditionalFormatting sqref="J837">
    <cfRule type="expression" dxfId="9" priority="6">
      <formula>$N841&gt;0</formula>
    </cfRule>
  </conditionalFormatting>
  <conditionalFormatting sqref="J805:J828">
    <cfRule type="expression" dxfId="8" priority="5">
      <formula>$N809&gt;0</formula>
    </cfRule>
  </conditionalFormatting>
  <conditionalFormatting sqref="J802:J804">
    <cfRule type="expression" dxfId="7" priority="4">
      <formula>$N806&gt;0</formula>
    </cfRule>
  </conditionalFormatting>
  <conditionalFormatting sqref="J829:J857">
    <cfRule type="expression" dxfId="6" priority="3">
      <formula>$N833&gt;0</formula>
    </cfRule>
  </conditionalFormatting>
  <conditionalFormatting sqref="J829:J857">
    <cfRule type="expression" dxfId="5" priority="2">
      <formula>$N833&gt;0</formula>
    </cfRule>
  </conditionalFormatting>
  <conditionalFormatting sqref="J829:J857">
    <cfRule type="expression" dxfId="4" priority="1">
      <formula>$N833&gt;0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2026-03-29T12:27:46Z</dcterms:modified>
</cp:coreProperties>
</file>