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bbde6cd352aed6/LF/"/>
    </mc:Choice>
  </mc:AlternateContent>
  <xr:revisionPtr revIDLastSave="15" documentId="13_ncr:1_{38E5C085-8131-40F3-8E8E-B1ADC979640E}" xr6:coauthVersionLast="47" xr6:coauthVersionMax="47" xr10:uidLastSave="{BD3BAAFC-29E2-49DD-95A2-EDAFE066D8B1}"/>
  <bookViews>
    <workbookView xWindow="-120" yWindow="-120" windowWidth="29040" windowHeight="15720" activeTab="1" xr2:uid="{65D86592-8B1C-4B59-9172-662E88479B0D}"/>
  </bookViews>
  <sheets>
    <sheet name="Plan Maps. AUG" sheetId="2" r:id="rId1"/>
    <sheet name="dash" sheetId="3" r:id="rId2"/>
    <sheet name="Basil" sheetId="7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xlnm._FilterDatabase" localSheetId="1" hidden="1">dash!$A$2:$O$683</definedName>
    <definedName name="_xlnm.Print_Area" localSheetId="0">'Plan Maps. AUG'!$B$66:$AC$73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588" i="3" l="1"/>
  <c r="H1588" i="3"/>
  <c r="G1588" i="3"/>
  <c r="F1588" i="3"/>
  <c r="E1588" i="3"/>
  <c r="D1588" i="3"/>
  <c r="C1588" i="3"/>
  <c r="I1587" i="3"/>
  <c r="H1587" i="3"/>
  <c r="G1587" i="3"/>
  <c r="F1587" i="3"/>
  <c r="E1587" i="3"/>
  <c r="D1587" i="3"/>
  <c r="C1587" i="3"/>
  <c r="I1586" i="3"/>
  <c r="H1586" i="3"/>
  <c r="G1586" i="3"/>
  <c r="F1586" i="3"/>
  <c r="E1586" i="3"/>
  <c r="D1586" i="3"/>
  <c r="C1586" i="3"/>
  <c r="I1585" i="3"/>
  <c r="H1585" i="3"/>
  <c r="G1585" i="3"/>
  <c r="F1585" i="3"/>
  <c r="E1585" i="3"/>
  <c r="D1585" i="3"/>
  <c r="C1585" i="3"/>
  <c r="I1584" i="3"/>
  <c r="H1584" i="3"/>
  <c r="G1584" i="3"/>
  <c r="F1584" i="3"/>
  <c r="E1584" i="3"/>
  <c r="D1584" i="3"/>
  <c r="C1584" i="3"/>
  <c r="I1583" i="3"/>
  <c r="H1583" i="3"/>
  <c r="G1583" i="3"/>
  <c r="F1583" i="3"/>
  <c r="E1583" i="3"/>
  <c r="D1583" i="3"/>
  <c r="C1583" i="3"/>
  <c r="I1582" i="3"/>
  <c r="H1582" i="3"/>
  <c r="G1582" i="3"/>
  <c r="F1582" i="3"/>
  <c r="E1582" i="3"/>
  <c r="D1582" i="3"/>
  <c r="C1582" i="3"/>
  <c r="I1581" i="3"/>
  <c r="H1581" i="3"/>
  <c r="G1581" i="3"/>
  <c r="F1581" i="3"/>
  <c r="E1581" i="3"/>
  <c r="D1581" i="3"/>
  <c r="C1581" i="3"/>
  <c r="I1580" i="3"/>
  <c r="H1580" i="3"/>
  <c r="G1580" i="3"/>
  <c r="F1580" i="3"/>
  <c r="E1580" i="3"/>
  <c r="D1580" i="3"/>
  <c r="C1580" i="3"/>
  <c r="I1579" i="3"/>
  <c r="H1579" i="3"/>
  <c r="G1579" i="3"/>
  <c r="F1579" i="3"/>
  <c r="E1579" i="3"/>
  <c r="D1579" i="3"/>
  <c r="C1579" i="3"/>
  <c r="I1578" i="3"/>
  <c r="H1578" i="3"/>
  <c r="G1578" i="3"/>
  <c r="F1578" i="3"/>
  <c r="E1578" i="3"/>
  <c r="D1578" i="3"/>
  <c r="C1578" i="3"/>
  <c r="I1577" i="3"/>
  <c r="H1577" i="3"/>
  <c r="G1577" i="3"/>
  <c r="F1577" i="3"/>
  <c r="E1577" i="3"/>
  <c r="D1577" i="3"/>
  <c r="C1577" i="3"/>
  <c r="I1576" i="3"/>
  <c r="H1576" i="3"/>
  <c r="G1576" i="3"/>
  <c r="F1576" i="3"/>
  <c r="E1576" i="3"/>
  <c r="D1576" i="3"/>
  <c r="C1576" i="3"/>
  <c r="I1575" i="3"/>
  <c r="H1575" i="3"/>
  <c r="G1575" i="3"/>
  <c r="F1575" i="3"/>
  <c r="E1575" i="3"/>
  <c r="D1575" i="3"/>
  <c r="C1575" i="3"/>
  <c r="I1574" i="3"/>
  <c r="H1574" i="3"/>
  <c r="G1574" i="3"/>
  <c r="F1574" i="3"/>
  <c r="E1574" i="3"/>
  <c r="D1574" i="3"/>
  <c r="C1574" i="3"/>
  <c r="I1573" i="3"/>
  <c r="H1573" i="3"/>
  <c r="G1573" i="3"/>
  <c r="F1573" i="3"/>
  <c r="E1573" i="3"/>
  <c r="D1573" i="3"/>
  <c r="C1573" i="3"/>
  <c r="I1572" i="3"/>
  <c r="H1572" i="3"/>
  <c r="G1572" i="3"/>
  <c r="F1572" i="3"/>
  <c r="E1572" i="3"/>
  <c r="D1572" i="3"/>
  <c r="C1572" i="3"/>
  <c r="I1571" i="3"/>
  <c r="H1571" i="3"/>
  <c r="G1571" i="3"/>
  <c r="F1571" i="3"/>
  <c r="E1571" i="3"/>
  <c r="D1571" i="3"/>
  <c r="C1571" i="3"/>
  <c r="I1570" i="3"/>
  <c r="H1570" i="3"/>
  <c r="G1570" i="3"/>
  <c r="F1570" i="3"/>
  <c r="E1570" i="3"/>
  <c r="D1570" i="3"/>
  <c r="C1570" i="3"/>
  <c r="I1569" i="3"/>
  <c r="H1569" i="3"/>
  <c r="G1569" i="3"/>
  <c r="F1569" i="3"/>
  <c r="E1569" i="3"/>
  <c r="D1569" i="3"/>
  <c r="C1569" i="3"/>
  <c r="I1568" i="3"/>
  <c r="H1568" i="3"/>
  <c r="G1568" i="3"/>
  <c r="F1568" i="3"/>
  <c r="E1568" i="3"/>
  <c r="D1568" i="3"/>
  <c r="C1568" i="3"/>
  <c r="I1567" i="3"/>
  <c r="H1567" i="3"/>
  <c r="G1567" i="3"/>
  <c r="F1567" i="3"/>
  <c r="E1567" i="3"/>
  <c r="D1567" i="3"/>
  <c r="C1567" i="3"/>
  <c r="I1566" i="3"/>
  <c r="H1566" i="3"/>
  <c r="G1566" i="3"/>
  <c r="F1566" i="3"/>
  <c r="E1566" i="3"/>
  <c r="D1566" i="3"/>
  <c r="C1566" i="3"/>
  <c r="I1565" i="3"/>
  <c r="H1565" i="3"/>
  <c r="G1565" i="3"/>
  <c r="F1565" i="3"/>
  <c r="E1565" i="3"/>
  <c r="D1565" i="3"/>
  <c r="C1565" i="3"/>
  <c r="I1564" i="3"/>
  <c r="H1564" i="3"/>
  <c r="G1564" i="3"/>
  <c r="F1564" i="3"/>
  <c r="E1564" i="3"/>
  <c r="D1564" i="3"/>
  <c r="C1564" i="3"/>
  <c r="I1563" i="3"/>
  <c r="H1563" i="3"/>
  <c r="G1563" i="3"/>
  <c r="F1563" i="3"/>
  <c r="E1563" i="3"/>
  <c r="D1563" i="3"/>
  <c r="C1563" i="3"/>
  <c r="I1562" i="3"/>
  <c r="H1562" i="3"/>
  <c r="G1562" i="3"/>
  <c r="F1562" i="3"/>
  <c r="E1562" i="3"/>
  <c r="D1562" i="3"/>
  <c r="C1562" i="3"/>
  <c r="I1561" i="3"/>
  <c r="H1561" i="3"/>
  <c r="G1561" i="3"/>
  <c r="F1561" i="3"/>
  <c r="E1561" i="3"/>
  <c r="D1561" i="3"/>
  <c r="C1561" i="3"/>
  <c r="I1560" i="3"/>
  <c r="H1560" i="3"/>
  <c r="G1560" i="3"/>
  <c r="F1560" i="3"/>
  <c r="E1560" i="3"/>
  <c r="D1560" i="3"/>
  <c r="C1560" i="3"/>
  <c r="I1559" i="3"/>
  <c r="H1559" i="3"/>
  <c r="G1559" i="3"/>
  <c r="F1559" i="3"/>
  <c r="E1559" i="3"/>
  <c r="D1559" i="3"/>
  <c r="C1559" i="3"/>
  <c r="I1558" i="3"/>
  <c r="H1558" i="3"/>
  <c r="G1558" i="3"/>
  <c r="F1558" i="3"/>
  <c r="E1558" i="3"/>
  <c r="D1558" i="3"/>
  <c r="C1558" i="3"/>
  <c r="I1557" i="3"/>
  <c r="H1557" i="3"/>
  <c r="G1557" i="3"/>
  <c r="F1557" i="3"/>
  <c r="E1557" i="3"/>
  <c r="D1557" i="3"/>
  <c r="C1557" i="3"/>
  <c r="I1556" i="3"/>
  <c r="H1556" i="3"/>
  <c r="G1556" i="3"/>
  <c r="F1556" i="3"/>
  <c r="E1556" i="3"/>
  <c r="D1556" i="3"/>
  <c r="C1556" i="3"/>
  <c r="I1555" i="3"/>
  <c r="H1555" i="3"/>
  <c r="G1555" i="3"/>
  <c r="F1555" i="3"/>
  <c r="E1555" i="3"/>
  <c r="D1555" i="3"/>
  <c r="C1555" i="3"/>
  <c r="I1554" i="3"/>
  <c r="H1554" i="3"/>
  <c r="G1554" i="3"/>
  <c r="F1554" i="3"/>
  <c r="E1554" i="3"/>
  <c r="D1554" i="3"/>
  <c r="C1554" i="3"/>
  <c r="I1553" i="3"/>
  <c r="H1553" i="3"/>
  <c r="G1553" i="3"/>
  <c r="F1553" i="3"/>
  <c r="E1553" i="3"/>
  <c r="D1553" i="3"/>
  <c r="C1553" i="3"/>
  <c r="I1552" i="3"/>
  <c r="H1552" i="3"/>
  <c r="G1552" i="3"/>
  <c r="F1552" i="3"/>
  <c r="E1552" i="3"/>
  <c r="D1552" i="3"/>
  <c r="C1552" i="3"/>
  <c r="I1551" i="3"/>
  <c r="H1551" i="3"/>
  <c r="G1551" i="3"/>
  <c r="F1551" i="3"/>
  <c r="E1551" i="3"/>
  <c r="D1551" i="3"/>
  <c r="C1551" i="3"/>
  <c r="I1550" i="3"/>
  <c r="H1550" i="3"/>
  <c r="G1550" i="3"/>
  <c r="F1550" i="3"/>
  <c r="E1550" i="3"/>
  <c r="D1550" i="3"/>
  <c r="C1550" i="3"/>
  <c r="I1549" i="3"/>
  <c r="H1549" i="3"/>
  <c r="G1549" i="3"/>
  <c r="F1549" i="3"/>
  <c r="E1549" i="3"/>
  <c r="D1549" i="3"/>
  <c r="C1549" i="3"/>
  <c r="I1548" i="3"/>
  <c r="H1548" i="3"/>
  <c r="G1548" i="3"/>
  <c r="F1548" i="3"/>
  <c r="E1548" i="3"/>
  <c r="D1548" i="3"/>
  <c r="C1548" i="3"/>
  <c r="I1547" i="3"/>
  <c r="H1547" i="3"/>
  <c r="G1547" i="3"/>
  <c r="F1547" i="3"/>
  <c r="E1547" i="3"/>
  <c r="D1547" i="3"/>
  <c r="C1547" i="3"/>
  <c r="I1546" i="3"/>
  <c r="H1546" i="3"/>
  <c r="G1546" i="3"/>
  <c r="F1546" i="3"/>
  <c r="E1546" i="3"/>
  <c r="D1546" i="3"/>
  <c r="C1546" i="3"/>
  <c r="I1545" i="3"/>
  <c r="H1545" i="3"/>
  <c r="G1545" i="3"/>
  <c r="F1545" i="3"/>
  <c r="E1545" i="3"/>
  <c r="D1545" i="3"/>
  <c r="C1545" i="3"/>
  <c r="I1544" i="3"/>
  <c r="H1544" i="3"/>
  <c r="G1544" i="3"/>
  <c r="F1544" i="3"/>
  <c r="E1544" i="3"/>
  <c r="D1544" i="3"/>
  <c r="C1544" i="3"/>
  <c r="I1543" i="3"/>
  <c r="H1543" i="3"/>
  <c r="G1543" i="3"/>
  <c r="F1543" i="3"/>
  <c r="E1543" i="3"/>
  <c r="D1543" i="3"/>
  <c r="C1543" i="3"/>
  <c r="I1542" i="3"/>
  <c r="H1542" i="3"/>
  <c r="G1542" i="3"/>
  <c r="F1542" i="3"/>
  <c r="E1542" i="3"/>
  <c r="D1542" i="3"/>
  <c r="C1542" i="3"/>
  <c r="I1541" i="3"/>
  <c r="H1541" i="3"/>
  <c r="G1541" i="3"/>
  <c r="F1541" i="3"/>
  <c r="E1541" i="3"/>
  <c r="D1541" i="3"/>
  <c r="C1541" i="3"/>
  <c r="I1540" i="3"/>
  <c r="H1540" i="3"/>
  <c r="G1540" i="3"/>
  <c r="F1540" i="3"/>
  <c r="E1540" i="3"/>
  <c r="D1540" i="3"/>
  <c r="C1540" i="3"/>
  <c r="I1539" i="3"/>
  <c r="H1539" i="3"/>
  <c r="G1539" i="3"/>
  <c r="F1539" i="3"/>
  <c r="E1539" i="3"/>
  <c r="D1539" i="3"/>
  <c r="C1539" i="3"/>
  <c r="I1538" i="3"/>
  <c r="H1538" i="3"/>
  <c r="G1538" i="3"/>
  <c r="F1538" i="3"/>
  <c r="E1538" i="3"/>
  <c r="D1538" i="3"/>
  <c r="C1538" i="3"/>
  <c r="I1537" i="3"/>
  <c r="H1537" i="3"/>
  <c r="G1537" i="3"/>
  <c r="F1537" i="3"/>
  <c r="E1537" i="3"/>
  <c r="D1537" i="3"/>
  <c r="C1537" i="3"/>
  <c r="I1536" i="3"/>
  <c r="H1536" i="3"/>
  <c r="G1536" i="3"/>
  <c r="F1536" i="3"/>
  <c r="E1536" i="3"/>
  <c r="D1536" i="3"/>
  <c r="C1536" i="3"/>
  <c r="I1535" i="3"/>
  <c r="H1535" i="3"/>
  <c r="G1535" i="3"/>
  <c r="F1535" i="3"/>
  <c r="E1535" i="3"/>
  <c r="D1535" i="3"/>
  <c r="C1535" i="3"/>
  <c r="I1534" i="3"/>
  <c r="H1534" i="3"/>
  <c r="G1534" i="3"/>
  <c r="F1534" i="3"/>
  <c r="E1534" i="3"/>
  <c r="D1534" i="3"/>
  <c r="C1534" i="3"/>
  <c r="I1533" i="3"/>
  <c r="H1533" i="3"/>
  <c r="G1533" i="3"/>
  <c r="F1533" i="3"/>
  <c r="E1533" i="3"/>
  <c r="D1533" i="3"/>
  <c r="C1533" i="3"/>
  <c r="I1532" i="3"/>
  <c r="H1532" i="3"/>
  <c r="G1532" i="3"/>
  <c r="F1532" i="3"/>
  <c r="E1532" i="3"/>
  <c r="D1532" i="3"/>
  <c r="C1532" i="3"/>
  <c r="I1531" i="3"/>
  <c r="H1531" i="3"/>
  <c r="G1531" i="3"/>
  <c r="F1531" i="3"/>
  <c r="E1531" i="3"/>
  <c r="D1531" i="3"/>
  <c r="C1531" i="3"/>
  <c r="I1530" i="3"/>
  <c r="H1530" i="3"/>
  <c r="G1530" i="3"/>
  <c r="F1530" i="3"/>
  <c r="E1530" i="3"/>
  <c r="D1530" i="3"/>
  <c r="C1530" i="3"/>
  <c r="I1529" i="3"/>
  <c r="H1529" i="3"/>
  <c r="G1529" i="3"/>
  <c r="F1529" i="3"/>
  <c r="E1529" i="3"/>
  <c r="D1529" i="3"/>
  <c r="C1529" i="3"/>
  <c r="I1528" i="3"/>
  <c r="H1528" i="3"/>
  <c r="G1528" i="3"/>
  <c r="F1528" i="3"/>
  <c r="E1528" i="3"/>
  <c r="D1528" i="3"/>
  <c r="C1528" i="3"/>
  <c r="I1527" i="3"/>
  <c r="H1527" i="3"/>
  <c r="G1527" i="3"/>
  <c r="F1527" i="3"/>
  <c r="E1527" i="3"/>
  <c r="D1527" i="3"/>
  <c r="C1527" i="3"/>
  <c r="I1526" i="3"/>
  <c r="H1526" i="3"/>
  <c r="G1526" i="3"/>
  <c r="F1526" i="3"/>
  <c r="E1526" i="3"/>
  <c r="D1526" i="3"/>
  <c r="C1526" i="3"/>
  <c r="I1525" i="3"/>
  <c r="H1525" i="3"/>
  <c r="G1525" i="3"/>
  <c r="F1525" i="3"/>
  <c r="E1525" i="3"/>
  <c r="D1525" i="3"/>
  <c r="C1525" i="3"/>
  <c r="I1524" i="3"/>
  <c r="H1524" i="3"/>
  <c r="G1524" i="3"/>
  <c r="F1524" i="3"/>
  <c r="E1524" i="3"/>
  <c r="D1524" i="3"/>
  <c r="C1524" i="3"/>
  <c r="I1523" i="3"/>
  <c r="H1523" i="3"/>
  <c r="G1523" i="3"/>
  <c r="F1523" i="3"/>
  <c r="E1523" i="3"/>
  <c r="D1523" i="3"/>
  <c r="C1523" i="3"/>
  <c r="I1522" i="3"/>
  <c r="H1522" i="3"/>
  <c r="G1522" i="3"/>
  <c r="F1522" i="3"/>
  <c r="E1522" i="3"/>
  <c r="D1522" i="3"/>
  <c r="C1522" i="3"/>
  <c r="I1521" i="3"/>
  <c r="H1521" i="3"/>
  <c r="G1521" i="3"/>
  <c r="F1521" i="3"/>
  <c r="E1521" i="3"/>
  <c r="D1521" i="3"/>
  <c r="C1521" i="3"/>
  <c r="I1520" i="3"/>
  <c r="H1520" i="3"/>
  <c r="G1520" i="3"/>
  <c r="F1520" i="3"/>
  <c r="E1520" i="3"/>
  <c r="D1520" i="3"/>
  <c r="C1520" i="3"/>
  <c r="I1519" i="3"/>
  <c r="H1519" i="3"/>
  <c r="G1519" i="3"/>
  <c r="F1519" i="3"/>
  <c r="E1519" i="3"/>
  <c r="D1519" i="3"/>
  <c r="C1519" i="3"/>
  <c r="I1518" i="3"/>
  <c r="H1518" i="3"/>
  <c r="G1518" i="3"/>
  <c r="F1518" i="3"/>
  <c r="E1518" i="3"/>
  <c r="D1518" i="3"/>
  <c r="C1518" i="3"/>
  <c r="I1517" i="3"/>
  <c r="H1517" i="3"/>
  <c r="G1517" i="3"/>
  <c r="F1517" i="3"/>
  <c r="E1517" i="3"/>
  <c r="D1517" i="3"/>
  <c r="C1517" i="3"/>
  <c r="I1516" i="3"/>
  <c r="H1516" i="3"/>
  <c r="G1516" i="3"/>
  <c r="F1516" i="3"/>
  <c r="E1516" i="3"/>
  <c r="D1516" i="3"/>
  <c r="C1516" i="3"/>
  <c r="I1515" i="3"/>
  <c r="H1515" i="3"/>
  <c r="G1515" i="3"/>
  <c r="F1515" i="3"/>
  <c r="E1515" i="3"/>
  <c r="D1515" i="3"/>
  <c r="C1515" i="3"/>
  <c r="I1514" i="3"/>
  <c r="H1514" i="3"/>
  <c r="G1514" i="3"/>
  <c r="F1514" i="3"/>
  <c r="E1514" i="3"/>
  <c r="D1514" i="3"/>
  <c r="C1514" i="3"/>
  <c r="I1513" i="3"/>
  <c r="H1513" i="3"/>
  <c r="G1513" i="3"/>
  <c r="F1513" i="3"/>
  <c r="E1513" i="3"/>
  <c r="D1513" i="3"/>
  <c r="C1513" i="3"/>
  <c r="I1512" i="3"/>
  <c r="H1512" i="3"/>
  <c r="G1512" i="3"/>
  <c r="F1512" i="3"/>
  <c r="E1512" i="3"/>
  <c r="D1512" i="3"/>
  <c r="C1512" i="3"/>
  <c r="I1511" i="3"/>
  <c r="H1511" i="3"/>
  <c r="G1511" i="3"/>
  <c r="F1511" i="3"/>
  <c r="E1511" i="3"/>
  <c r="D1511" i="3"/>
  <c r="C1511" i="3"/>
  <c r="I1510" i="3"/>
  <c r="H1510" i="3"/>
  <c r="G1510" i="3"/>
  <c r="F1510" i="3"/>
  <c r="E1510" i="3"/>
  <c r="D1510" i="3"/>
  <c r="C1510" i="3"/>
  <c r="I1509" i="3"/>
  <c r="H1509" i="3"/>
  <c r="G1509" i="3"/>
  <c r="F1509" i="3"/>
  <c r="E1509" i="3"/>
  <c r="D1509" i="3"/>
  <c r="C1509" i="3"/>
  <c r="I1508" i="3"/>
  <c r="H1508" i="3"/>
  <c r="G1508" i="3"/>
  <c r="F1508" i="3"/>
  <c r="E1508" i="3"/>
  <c r="D1508" i="3"/>
  <c r="C1508" i="3"/>
  <c r="I1507" i="3"/>
  <c r="H1507" i="3"/>
  <c r="G1507" i="3"/>
  <c r="F1507" i="3"/>
  <c r="E1507" i="3"/>
  <c r="D1507" i="3"/>
  <c r="C1507" i="3"/>
  <c r="I1506" i="3"/>
  <c r="H1506" i="3"/>
  <c r="G1506" i="3"/>
  <c r="F1506" i="3"/>
  <c r="E1506" i="3"/>
  <c r="D1506" i="3"/>
  <c r="C1506" i="3"/>
  <c r="I1505" i="3"/>
  <c r="H1505" i="3"/>
  <c r="G1505" i="3"/>
  <c r="F1505" i="3"/>
  <c r="E1505" i="3"/>
  <c r="D1505" i="3"/>
  <c r="C1505" i="3"/>
  <c r="I1504" i="3"/>
  <c r="H1504" i="3"/>
  <c r="G1504" i="3"/>
  <c r="F1504" i="3"/>
  <c r="E1504" i="3"/>
  <c r="D1504" i="3"/>
  <c r="C1504" i="3"/>
  <c r="I1503" i="3"/>
  <c r="H1503" i="3"/>
  <c r="G1503" i="3"/>
  <c r="F1503" i="3"/>
  <c r="E1503" i="3"/>
  <c r="D1503" i="3"/>
  <c r="C1503" i="3"/>
  <c r="I1502" i="3"/>
  <c r="H1502" i="3"/>
  <c r="G1502" i="3"/>
  <c r="F1502" i="3"/>
  <c r="E1502" i="3"/>
  <c r="D1502" i="3"/>
  <c r="C1502" i="3"/>
  <c r="I1501" i="3"/>
  <c r="H1501" i="3"/>
  <c r="G1501" i="3"/>
  <c r="F1501" i="3"/>
  <c r="E1501" i="3"/>
  <c r="D1501" i="3"/>
  <c r="C1501" i="3"/>
  <c r="I1500" i="3"/>
  <c r="H1500" i="3"/>
  <c r="G1500" i="3"/>
  <c r="F1500" i="3"/>
  <c r="E1500" i="3"/>
  <c r="D1500" i="3"/>
  <c r="C1500" i="3"/>
  <c r="I1499" i="3"/>
  <c r="H1499" i="3"/>
  <c r="G1499" i="3"/>
  <c r="F1499" i="3"/>
  <c r="E1499" i="3"/>
  <c r="D1499" i="3"/>
  <c r="C1499" i="3"/>
  <c r="I1498" i="3"/>
  <c r="H1498" i="3"/>
  <c r="G1498" i="3"/>
  <c r="F1498" i="3"/>
  <c r="E1498" i="3"/>
  <c r="D1498" i="3"/>
  <c r="C1498" i="3"/>
  <c r="I1497" i="3"/>
  <c r="H1497" i="3"/>
  <c r="G1497" i="3"/>
  <c r="F1497" i="3"/>
  <c r="E1497" i="3"/>
  <c r="D1497" i="3"/>
  <c r="C1497" i="3"/>
  <c r="I1496" i="3"/>
  <c r="H1496" i="3"/>
  <c r="G1496" i="3"/>
  <c r="F1496" i="3"/>
  <c r="E1496" i="3"/>
  <c r="D1496" i="3"/>
  <c r="C1496" i="3"/>
  <c r="I1495" i="3"/>
  <c r="H1495" i="3"/>
  <c r="G1495" i="3"/>
  <c r="F1495" i="3"/>
  <c r="E1495" i="3"/>
  <c r="D1495" i="3"/>
  <c r="C1495" i="3"/>
  <c r="I1494" i="3"/>
  <c r="H1494" i="3"/>
  <c r="G1494" i="3"/>
  <c r="F1494" i="3"/>
  <c r="E1494" i="3"/>
  <c r="D1494" i="3"/>
  <c r="C1494" i="3"/>
  <c r="I1493" i="3"/>
  <c r="H1493" i="3"/>
  <c r="G1493" i="3"/>
  <c r="F1493" i="3"/>
  <c r="E1493" i="3"/>
  <c r="D1493" i="3"/>
  <c r="C1493" i="3"/>
  <c r="I1492" i="3"/>
  <c r="H1492" i="3"/>
  <c r="G1492" i="3"/>
  <c r="F1492" i="3"/>
  <c r="E1492" i="3"/>
  <c r="D1492" i="3"/>
  <c r="C1492" i="3"/>
  <c r="I1491" i="3"/>
  <c r="H1491" i="3"/>
  <c r="G1491" i="3"/>
  <c r="F1491" i="3"/>
  <c r="E1491" i="3"/>
  <c r="D1491" i="3"/>
  <c r="C1491" i="3"/>
  <c r="I1490" i="3"/>
  <c r="H1490" i="3"/>
  <c r="G1490" i="3"/>
  <c r="F1490" i="3"/>
  <c r="E1490" i="3"/>
  <c r="D1490" i="3"/>
  <c r="C1490" i="3"/>
  <c r="I1489" i="3"/>
  <c r="H1489" i="3"/>
  <c r="G1489" i="3"/>
  <c r="F1489" i="3"/>
  <c r="E1489" i="3"/>
  <c r="D1489" i="3"/>
  <c r="C1489" i="3"/>
  <c r="I1488" i="3"/>
  <c r="H1488" i="3"/>
  <c r="G1488" i="3"/>
  <c r="F1488" i="3"/>
  <c r="E1488" i="3"/>
  <c r="D1488" i="3"/>
  <c r="C1488" i="3"/>
  <c r="I1487" i="3"/>
  <c r="H1487" i="3"/>
  <c r="G1487" i="3"/>
  <c r="F1487" i="3"/>
  <c r="E1487" i="3"/>
  <c r="D1487" i="3"/>
  <c r="C1487" i="3"/>
  <c r="I1486" i="3"/>
  <c r="H1486" i="3"/>
  <c r="G1486" i="3"/>
  <c r="F1486" i="3"/>
  <c r="E1486" i="3"/>
  <c r="D1486" i="3"/>
  <c r="C1486" i="3"/>
  <c r="I1485" i="3"/>
  <c r="H1485" i="3"/>
  <c r="G1485" i="3"/>
  <c r="F1485" i="3"/>
  <c r="E1485" i="3"/>
  <c r="D1485" i="3"/>
  <c r="C1485" i="3"/>
  <c r="I1484" i="3"/>
  <c r="H1484" i="3"/>
  <c r="G1484" i="3"/>
  <c r="F1484" i="3"/>
  <c r="E1484" i="3"/>
  <c r="D1484" i="3"/>
  <c r="C1484" i="3"/>
  <c r="I1483" i="3"/>
  <c r="H1483" i="3"/>
  <c r="G1483" i="3"/>
  <c r="F1483" i="3"/>
  <c r="E1483" i="3"/>
  <c r="D1483" i="3"/>
  <c r="C1483" i="3"/>
  <c r="I1482" i="3"/>
  <c r="H1482" i="3"/>
  <c r="G1482" i="3"/>
  <c r="F1482" i="3"/>
  <c r="E1482" i="3"/>
  <c r="D1482" i="3"/>
  <c r="C1482" i="3"/>
  <c r="I1481" i="3"/>
  <c r="H1481" i="3"/>
  <c r="G1481" i="3"/>
  <c r="F1481" i="3"/>
  <c r="E1481" i="3"/>
  <c r="D1481" i="3"/>
  <c r="C1481" i="3"/>
  <c r="I1480" i="3"/>
  <c r="H1480" i="3"/>
  <c r="G1480" i="3"/>
  <c r="F1480" i="3"/>
  <c r="E1480" i="3"/>
  <c r="D1480" i="3"/>
  <c r="C1480" i="3"/>
  <c r="I1479" i="3"/>
  <c r="H1479" i="3"/>
  <c r="G1479" i="3"/>
  <c r="F1479" i="3"/>
  <c r="E1479" i="3"/>
  <c r="D1479" i="3"/>
  <c r="C1479" i="3"/>
  <c r="I1478" i="3"/>
  <c r="H1478" i="3"/>
  <c r="G1478" i="3"/>
  <c r="F1478" i="3"/>
  <c r="E1478" i="3"/>
  <c r="D1478" i="3"/>
  <c r="C1478" i="3"/>
  <c r="I1477" i="3"/>
  <c r="H1477" i="3"/>
  <c r="G1477" i="3"/>
  <c r="F1477" i="3"/>
  <c r="E1477" i="3"/>
  <c r="D1477" i="3"/>
  <c r="C1477" i="3"/>
  <c r="I1476" i="3"/>
  <c r="H1476" i="3"/>
  <c r="G1476" i="3"/>
  <c r="F1476" i="3"/>
  <c r="E1476" i="3"/>
  <c r="D1476" i="3"/>
  <c r="C1476" i="3"/>
  <c r="I1475" i="3"/>
  <c r="H1475" i="3"/>
  <c r="G1475" i="3"/>
  <c r="F1475" i="3"/>
  <c r="E1475" i="3"/>
  <c r="D1475" i="3"/>
  <c r="C1475" i="3"/>
  <c r="I1474" i="3"/>
  <c r="H1474" i="3"/>
  <c r="G1474" i="3"/>
  <c r="F1474" i="3"/>
  <c r="E1474" i="3"/>
  <c r="D1474" i="3"/>
  <c r="C1474" i="3"/>
  <c r="I1473" i="3"/>
  <c r="H1473" i="3"/>
  <c r="G1473" i="3"/>
  <c r="F1473" i="3"/>
  <c r="E1473" i="3"/>
  <c r="D1473" i="3"/>
  <c r="C1473" i="3"/>
  <c r="I1472" i="3"/>
  <c r="H1472" i="3"/>
  <c r="G1472" i="3"/>
  <c r="F1472" i="3"/>
  <c r="E1472" i="3"/>
  <c r="D1472" i="3"/>
  <c r="C1472" i="3"/>
  <c r="I1471" i="3"/>
  <c r="H1471" i="3"/>
  <c r="G1471" i="3"/>
  <c r="F1471" i="3"/>
  <c r="E1471" i="3"/>
  <c r="D1471" i="3"/>
  <c r="C1471" i="3"/>
  <c r="I1470" i="3"/>
  <c r="H1470" i="3"/>
  <c r="G1470" i="3"/>
  <c r="F1470" i="3"/>
  <c r="E1470" i="3"/>
  <c r="D1470" i="3"/>
  <c r="C1470" i="3"/>
  <c r="I1469" i="3"/>
  <c r="H1469" i="3"/>
  <c r="G1469" i="3"/>
  <c r="F1469" i="3"/>
  <c r="E1469" i="3"/>
  <c r="D1469" i="3"/>
  <c r="C1469" i="3"/>
  <c r="I1468" i="3"/>
  <c r="H1468" i="3"/>
  <c r="G1468" i="3"/>
  <c r="F1468" i="3"/>
  <c r="E1468" i="3"/>
  <c r="D1468" i="3"/>
  <c r="C1468" i="3"/>
  <c r="I1467" i="3"/>
  <c r="H1467" i="3"/>
  <c r="G1467" i="3"/>
  <c r="F1467" i="3"/>
  <c r="E1467" i="3"/>
  <c r="D1467" i="3"/>
  <c r="C1467" i="3"/>
  <c r="I1466" i="3"/>
  <c r="H1466" i="3"/>
  <c r="G1466" i="3"/>
  <c r="F1466" i="3"/>
  <c r="E1466" i="3"/>
  <c r="D1466" i="3"/>
  <c r="C1466" i="3"/>
  <c r="I1465" i="3"/>
  <c r="H1465" i="3"/>
  <c r="G1465" i="3"/>
  <c r="F1465" i="3"/>
  <c r="E1465" i="3"/>
  <c r="D1465" i="3"/>
  <c r="C1465" i="3"/>
  <c r="I1464" i="3"/>
  <c r="H1464" i="3"/>
  <c r="G1464" i="3"/>
  <c r="F1464" i="3"/>
  <c r="E1464" i="3"/>
  <c r="D1464" i="3"/>
  <c r="C1464" i="3"/>
  <c r="I1463" i="3"/>
  <c r="H1463" i="3"/>
  <c r="G1463" i="3"/>
  <c r="F1463" i="3"/>
  <c r="E1463" i="3"/>
  <c r="D1463" i="3"/>
  <c r="C1463" i="3"/>
  <c r="I1462" i="3"/>
  <c r="H1462" i="3"/>
  <c r="G1462" i="3"/>
  <c r="F1462" i="3"/>
  <c r="E1462" i="3"/>
  <c r="D1462" i="3"/>
  <c r="C1462" i="3"/>
  <c r="I1461" i="3"/>
  <c r="H1461" i="3"/>
  <c r="G1461" i="3"/>
  <c r="F1461" i="3"/>
  <c r="E1461" i="3"/>
  <c r="D1461" i="3"/>
  <c r="C1461" i="3"/>
  <c r="I1460" i="3"/>
  <c r="H1460" i="3"/>
  <c r="G1460" i="3"/>
  <c r="F1460" i="3"/>
  <c r="E1460" i="3"/>
  <c r="D1460" i="3"/>
  <c r="C1460" i="3"/>
  <c r="I1459" i="3"/>
  <c r="H1459" i="3"/>
  <c r="G1459" i="3"/>
  <c r="F1459" i="3"/>
  <c r="E1459" i="3"/>
  <c r="D1459" i="3"/>
  <c r="C1459" i="3"/>
  <c r="I1458" i="3"/>
  <c r="H1458" i="3"/>
  <c r="G1458" i="3"/>
  <c r="F1458" i="3"/>
  <c r="E1458" i="3"/>
  <c r="D1458" i="3"/>
  <c r="C1458" i="3"/>
  <c r="I1457" i="3"/>
  <c r="H1457" i="3"/>
  <c r="G1457" i="3"/>
  <c r="F1457" i="3"/>
  <c r="E1457" i="3"/>
  <c r="D1457" i="3"/>
  <c r="C1457" i="3"/>
  <c r="I1456" i="3"/>
  <c r="H1456" i="3"/>
  <c r="G1456" i="3"/>
  <c r="F1456" i="3"/>
  <c r="E1456" i="3"/>
  <c r="D1456" i="3"/>
  <c r="C1456" i="3"/>
  <c r="I1455" i="3"/>
  <c r="H1455" i="3"/>
  <c r="G1455" i="3"/>
  <c r="F1455" i="3"/>
  <c r="E1455" i="3"/>
  <c r="D1455" i="3"/>
  <c r="C1455" i="3"/>
  <c r="I1454" i="3"/>
  <c r="H1454" i="3"/>
  <c r="G1454" i="3"/>
  <c r="F1454" i="3"/>
  <c r="E1454" i="3"/>
  <c r="D1454" i="3"/>
  <c r="C1454" i="3"/>
  <c r="I1453" i="3"/>
  <c r="H1453" i="3"/>
  <c r="G1453" i="3"/>
  <c r="F1453" i="3"/>
  <c r="E1453" i="3"/>
  <c r="D1453" i="3"/>
  <c r="C1453" i="3"/>
  <c r="I1452" i="3"/>
  <c r="H1452" i="3"/>
  <c r="G1452" i="3"/>
  <c r="F1452" i="3"/>
  <c r="E1452" i="3"/>
  <c r="D1452" i="3"/>
  <c r="C1452" i="3"/>
  <c r="I1451" i="3"/>
  <c r="H1451" i="3"/>
  <c r="G1451" i="3"/>
  <c r="F1451" i="3"/>
  <c r="E1451" i="3"/>
  <c r="D1451" i="3"/>
  <c r="C1451" i="3"/>
  <c r="I1450" i="3"/>
  <c r="H1450" i="3"/>
  <c r="G1450" i="3"/>
  <c r="F1450" i="3"/>
  <c r="E1450" i="3"/>
  <c r="D1450" i="3"/>
  <c r="C1450" i="3"/>
  <c r="I1449" i="3"/>
  <c r="H1449" i="3"/>
  <c r="G1449" i="3"/>
  <c r="F1449" i="3"/>
  <c r="E1449" i="3"/>
  <c r="D1449" i="3"/>
  <c r="C1449" i="3"/>
  <c r="I1448" i="3"/>
  <c r="H1448" i="3"/>
  <c r="G1448" i="3"/>
  <c r="F1448" i="3"/>
  <c r="E1448" i="3"/>
  <c r="D1448" i="3"/>
  <c r="C1448" i="3"/>
  <c r="I1447" i="3"/>
  <c r="H1447" i="3"/>
  <c r="G1447" i="3"/>
  <c r="F1447" i="3"/>
  <c r="E1447" i="3"/>
  <c r="D1447" i="3"/>
  <c r="C1447" i="3"/>
  <c r="I1446" i="3"/>
  <c r="H1446" i="3"/>
  <c r="G1446" i="3"/>
  <c r="F1446" i="3"/>
  <c r="E1446" i="3"/>
  <c r="D1446" i="3"/>
  <c r="C1446" i="3"/>
  <c r="I1445" i="3"/>
  <c r="H1445" i="3"/>
  <c r="G1445" i="3"/>
  <c r="F1445" i="3"/>
  <c r="E1445" i="3"/>
  <c r="D1445" i="3"/>
  <c r="C1445" i="3"/>
  <c r="I1444" i="3"/>
  <c r="H1444" i="3"/>
  <c r="G1444" i="3"/>
  <c r="F1444" i="3"/>
  <c r="E1444" i="3"/>
  <c r="D1444" i="3"/>
  <c r="C1444" i="3"/>
  <c r="I1443" i="3"/>
  <c r="H1443" i="3"/>
  <c r="G1443" i="3"/>
  <c r="F1443" i="3"/>
  <c r="E1443" i="3"/>
  <c r="D1443" i="3"/>
  <c r="C1443" i="3"/>
  <c r="I1442" i="3"/>
  <c r="H1442" i="3"/>
  <c r="G1442" i="3"/>
  <c r="F1442" i="3"/>
  <c r="E1442" i="3"/>
  <c r="D1442" i="3"/>
  <c r="C1442" i="3"/>
  <c r="I1441" i="3"/>
  <c r="H1441" i="3"/>
  <c r="G1441" i="3"/>
  <c r="F1441" i="3"/>
  <c r="E1441" i="3"/>
  <c r="D1441" i="3"/>
  <c r="C1441" i="3"/>
  <c r="I1440" i="3"/>
  <c r="H1440" i="3"/>
  <c r="G1440" i="3"/>
  <c r="F1440" i="3"/>
  <c r="E1440" i="3"/>
  <c r="D1440" i="3"/>
  <c r="C1440" i="3"/>
  <c r="I1439" i="3"/>
  <c r="H1439" i="3"/>
  <c r="G1439" i="3"/>
  <c r="F1439" i="3"/>
  <c r="E1439" i="3"/>
  <c r="D1439" i="3"/>
  <c r="C1439" i="3"/>
  <c r="I1438" i="3"/>
  <c r="H1438" i="3"/>
  <c r="G1438" i="3"/>
  <c r="F1438" i="3"/>
  <c r="E1438" i="3"/>
  <c r="D1438" i="3"/>
  <c r="C1438" i="3"/>
  <c r="I1437" i="3"/>
  <c r="H1437" i="3"/>
  <c r="G1437" i="3"/>
  <c r="F1437" i="3"/>
  <c r="E1437" i="3"/>
  <c r="D1437" i="3"/>
  <c r="C1437" i="3"/>
  <c r="I1436" i="3"/>
  <c r="H1436" i="3"/>
  <c r="G1436" i="3"/>
  <c r="F1436" i="3"/>
  <c r="E1436" i="3"/>
  <c r="D1436" i="3"/>
  <c r="C1436" i="3"/>
  <c r="I1435" i="3"/>
  <c r="H1435" i="3"/>
  <c r="G1435" i="3"/>
  <c r="F1435" i="3"/>
  <c r="E1435" i="3"/>
  <c r="D1435" i="3"/>
  <c r="C1435" i="3"/>
  <c r="I1434" i="3"/>
  <c r="H1434" i="3"/>
  <c r="G1434" i="3"/>
  <c r="F1434" i="3"/>
  <c r="E1434" i="3"/>
  <c r="D1434" i="3"/>
  <c r="C1434" i="3"/>
  <c r="I1433" i="3"/>
  <c r="H1433" i="3"/>
  <c r="G1433" i="3"/>
  <c r="F1433" i="3"/>
  <c r="E1433" i="3"/>
  <c r="D1433" i="3"/>
  <c r="C1433" i="3"/>
  <c r="K1432" i="3"/>
  <c r="I1432" i="3"/>
  <c r="H1432" i="3"/>
  <c r="G1432" i="3"/>
  <c r="F1432" i="3"/>
  <c r="E1432" i="3"/>
  <c r="D1432" i="3"/>
  <c r="C1432" i="3"/>
  <c r="K1431" i="3"/>
  <c r="I1431" i="3"/>
  <c r="H1431" i="3"/>
  <c r="G1431" i="3"/>
  <c r="F1431" i="3"/>
  <c r="E1431" i="3"/>
  <c r="D1431" i="3"/>
  <c r="C1431" i="3"/>
  <c r="I1430" i="3"/>
  <c r="H1430" i="3"/>
  <c r="G1430" i="3"/>
  <c r="F1430" i="3"/>
  <c r="E1430" i="3"/>
  <c r="D1430" i="3"/>
  <c r="C1430" i="3"/>
  <c r="I1429" i="3"/>
  <c r="H1429" i="3"/>
  <c r="G1429" i="3"/>
  <c r="F1429" i="3"/>
  <c r="E1429" i="3"/>
  <c r="D1429" i="3"/>
  <c r="C1429" i="3"/>
  <c r="I1428" i="3"/>
  <c r="H1428" i="3"/>
  <c r="G1428" i="3"/>
  <c r="F1428" i="3"/>
  <c r="E1428" i="3"/>
  <c r="D1428" i="3"/>
  <c r="C1428" i="3"/>
  <c r="I1427" i="3"/>
  <c r="H1427" i="3"/>
  <c r="G1427" i="3"/>
  <c r="F1427" i="3"/>
  <c r="E1427" i="3"/>
  <c r="D1427" i="3"/>
  <c r="C1427" i="3"/>
  <c r="I1426" i="3"/>
  <c r="H1426" i="3"/>
  <c r="G1426" i="3"/>
  <c r="F1426" i="3"/>
  <c r="E1426" i="3"/>
  <c r="D1426" i="3"/>
  <c r="C1426" i="3"/>
  <c r="K1425" i="3"/>
  <c r="I1425" i="3"/>
  <c r="H1425" i="3"/>
  <c r="G1425" i="3"/>
  <c r="F1425" i="3"/>
  <c r="E1425" i="3"/>
  <c r="D1425" i="3"/>
  <c r="C1425" i="3"/>
  <c r="K1424" i="3"/>
  <c r="I1424" i="3"/>
  <c r="H1424" i="3"/>
  <c r="G1424" i="3"/>
  <c r="F1424" i="3"/>
  <c r="E1424" i="3"/>
  <c r="D1424" i="3"/>
  <c r="C1424" i="3"/>
  <c r="K1423" i="3"/>
  <c r="I1423" i="3"/>
  <c r="H1423" i="3"/>
  <c r="G1423" i="3"/>
  <c r="F1423" i="3"/>
  <c r="E1423" i="3"/>
  <c r="D1423" i="3"/>
  <c r="C1423" i="3"/>
  <c r="K1422" i="3"/>
  <c r="I1422" i="3"/>
  <c r="H1422" i="3"/>
  <c r="G1422" i="3"/>
  <c r="F1422" i="3"/>
  <c r="E1422" i="3"/>
  <c r="D1422" i="3"/>
  <c r="C1422" i="3"/>
  <c r="K1421" i="3"/>
  <c r="I1421" i="3"/>
  <c r="H1421" i="3"/>
  <c r="G1421" i="3"/>
  <c r="F1421" i="3"/>
  <c r="E1421" i="3"/>
  <c r="D1421" i="3"/>
  <c r="C1421" i="3"/>
  <c r="K1420" i="3"/>
  <c r="I1420" i="3"/>
  <c r="H1420" i="3"/>
  <c r="G1420" i="3"/>
  <c r="F1420" i="3"/>
  <c r="E1420" i="3"/>
  <c r="D1420" i="3"/>
  <c r="C1420" i="3"/>
  <c r="K1419" i="3"/>
  <c r="I1419" i="3"/>
  <c r="H1419" i="3"/>
  <c r="G1419" i="3"/>
  <c r="F1419" i="3"/>
  <c r="E1419" i="3"/>
  <c r="D1419" i="3"/>
  <c r="C1419" i="3"/>
  <c r="K1418" i="3"/>
  <c r="I1418" i="3"/>
  <c r="H1418" i="3"/>
  <c r="G1418" i="3"/>
  <c r="F1418" i="3"/>
  <c r="E1418" i="3"/>
  <c r="D1418" i="3"/>
  <c r="C1418" i="3"/>
  <c r="K1417" i="3"/>
  <c r="I1417" i="3"/>
  <c r="H1417" i="3"/>
  <c r="G1417" i="3"/>
  <c r="F1417" i="3"/>
  <c r="E1417" i="3"/>
  <c r="D1417" i="3"/>
  <c r="C1417" i="3"/>
  <c r="K1416" i="3"/>
  <c r="I1416" i="3"/>
  <c r="H1416" i="3"/>
  <c r="G1416" i="3"/>
  <c r="F1416" i="3"/>
  <c r="E1416" i="3"/>
  <c r="D1416" i="3"/>
  <c r="C1416" i="3"/>
  <c r="K1415" i="3"/>
  <c r="I1415" i="3"/>
  <c r="H1415" i="3"/>
  <c r="G1415" i="3"/>
  <c r="F1415" i="3"/>
  <c r="E1415" i="3"/>
  <c r="D1415" i="3"/>
  <c r="C1415" i="3"/>
  <c r="K1414" i="3"/>
  <c r="I1414" i="3"/>
  <c r="H1414" i="3"/>
  <c r="G1414" i="3"/>
  <c r="F1414" i="3"/>
  <c r="E1414" i="3"/>
  <c r="D1414" i="3"/>
  <c r="C1414" i="3"/>
  <c r="K1413" i="3"/>
  <c r="I1413" i="3"/>
  <c r="H1413" i="3"/>
  <c r="G1413" i="3"/>
  <c r="F1413" i="3"/>
  <c r="E1413" i="3"/>
  <c r="D1413" i="3"/>
  <c r="C1413" i="3"/>
  <c r="K1412" i="3"/>
  <c r="I1412" i="3"/>
  <c r="H1412" i="3"/>
  <c r="G1412" i="3"/>
  <c r="F1412" i="3"/>
  <c r="E1412" i="3"/>
  <c r="D1412" i="3"/>
  <c r="C1412" i="3"/>
  <c r="K1411" i="3"/>
  <c r="I1411" i="3"/>
  <c r="H1411" i="3"/>
  <c r="G1411" i="3"/>
  <c r="F1411" i="3"/>
  <c r="E1411" i="3"/>
  <c r="D1411" i="3"/>
  <c r="C1411" i="3"/>
  <c r="K1410" i="3"/>
  <c r="I1410" i="3"/>
  <c r="H1410" i="3"/>
  <c r="G1410" i="3"/>
  <c r="F1410" i="3"/>
  <c r="E1410" i="3"/>
  <c r="D1410" i="3"/>
  <c r="C1410" i="3"/>
  <c r="K1409" i="3"/>
  <c r="I1409" i="3"/>
  <c r="H1409" i="3"/>
  <c r="G1409" i="3"/>
  <c r="F1409" i="3"/>
  <c r="E1409" i="3"/>
  <c r="D1409" i="3"/>
  <c r="C1409" i="3"/>
  <c r="K1408" i="3"/>
  <c r="I1408" i="3"/>
  <c r="H1408" i="3"/>
  <c r="G1408" i="3"/>
  <c r="F1408" i="3"/>
  <c r="E1408" i="3"/>
  <c r="D1408" i="3"/>
  <c r="C1408" i="3"/>
  <c r="K1407" i="3" l="1"/>
  <c r="I1407" i="3"/>
  <c r="H1407" i="3"/>
  <c r="G1407" i="3"/>
  <c r="F1407" i="3"/>
  <c r="E1407" i="3"/>
  <c r="D1407" i="3"/>
  <c r="C1407" i="3"/>
  <c r="K1406" i="3"/>
  <c r="I1406" i="3"/>
  <c r="H1406" i="3"/>
  <c r="G1406" i="3"/>
  <c r="F1406" i="3"/>
  <c r="E1406" i="3"/>
  <c r="D1406" i="3"/>
  <c r="C1406" i="3"/>
  <c r="K1405" i="3"/>
  <c r="I1405" i="3"/>
  <c r="H1405" i="3"/>
  <c r="G1405" i="3"/>
  <c r="F1405" i="3"/>
  <c r="E1405" i="3"/>
  <c r="D1405" i="3"/>
  <c r="C1405" i="3"/>
  <c r="K1404" i="3"/>
  <c r="I1404" i="3"/>
  <c r="H1404" i="3"/>
  <c r="G1404" i="3"/>
  <c r="F1404" i="3"/>
  <c r="E1404" i="3"/>
  <c r="D1404" i="3"/>
  <c r="C1404" i="3"/>
  <c r="K1403" i="3"/>
  <c r="I1403" i="3"/>
  <c r="H1403" i="3"/>
  <c r="G1403" i="3"/>
  <c r="F1403" i="3"/>
  <c r="E1403" i="3"/>
  <c r="D1403" i="3"/>
  <c r="C1403" i="3"/>
  <c r="K1402" i="3"/>
  <c r="I1402" i="3"/>
  <c r="H1402" i="3"/>
  <c r="G1402" i="3"/>
  <c r="F1402" i="3"/>
  <c r="E1402" i="3"/>
  <c r="D1402" i="3"/>
  <c r="C1402" i="3"/>
  <c r="K1401" i="3"/>
  <c r="I1401" i="3"/>
  <c r="H1401" i="3"/>
  <c r="G1401" i="3"/>
  <c r="F1401" i="3"/>
  <c r="E1401" i="3"/>
  <c r="D1401" i="3"/>
  <c r="C1401" i="3"/>
  <c r="K1400" i="3"/>
  <c r="I1400" i="3"/>
  <c r="H1400" i="3"/>
  <c r="G1400" i="3"/>
  <c r="F1400" i="3"/>
  <c r="E1400" i="3"/>
  <c r="D1400" i="3"/>
  <c r="C1400" i="3"/>
  <c r="K1399" i="3"/>
  <c r="I1399" i="3"/>
  <c r="H1399" i="3"/>
  <c r="G1399" i="3"/>
  <c r="F1399" i="3"/>
  <c r="E1399" i="3"/>
  <c r="D1399" i="3"/>
  <c r="C1399" i="3"/>
  <c r="K1398" i="3"/>
  <c r="I1398" i="3"/>
  <c r="H1398" i="3"/>
  <c r="G1398" i="3"/>
  <c r="F1398" i="3"/>
  <c r="E1398" i="3"/>
  <c r="D1398" i="3"/>
  <c r="C1398" i="3"/>
  <c r="K1397" i="3"/>
  <c r="I1397" i="3"/>
  <c r="H1397" i="3"/>
  <c r="G1397" i="3"/>
  <c r="F1397" i="3"/>
  <c r="E1397" i="3"/>
  <c r="D1397" i="3"/>
  <c r="C1397" i="3"/>
  <c r="K1396" i="3"/>
  <c r="I1396" i="3"/>
  <c r="H1396" i="3"/>
  <c r="G1396" i="3"/>
  <c r="F1396" i="3"/>
  <c r="E1396" i="3"/>
  <c r="D1396" i="3"/>
  <c r="C1396" i="3"/>
  <c r="K1395" i="3"/>
  <c r="I1395" i="3"/>
  <c r="H1395" i="3"/>
  <c r="G1395" i="3"/>
  <c r="F1395" i="3"/>
  <c r="E1395" i="3"/>
  <c r="D1395" i="3"/>
  <c r="C1395" i="3"/>
  <c r="K1394" i="3"/>
  <c r="I1394" i="3"/>
  <c r="H1394" i="3"/>
  <c r="G1394" i="3"/>
  <c r="F1394" i="3"/>
  <c r="E1394" i="3"/>
  <c r="D1394" i="3"/>
  <c r="C1394" i="3"/>
  <c r="K1393" i="3"/>
  <c r="I1393" i="3"/>
  <c r="H1393" i="3"/>
  <c r="G1393" i="3"/>
  <c r="F1393" i="3"/>
  <c r="E1393" i="3"/>
  <c r="D1393" i="3"/>
  <c r="C1393" i="3"/>
  <c r="K1392" i="3"/>
  <c r="I1392" i="3"/>
  <c r="H1392" i="3"/>
  <c r="G1392" i="3"/>
  <c r="F1392" i="3"/>
  <c r="E1392" i="3"/>
  <c r="D1392" i="3"/>
  <c r="C1392" i="3"/>
  <c r="K1391" i="3"/>
  <c r="I1391" i="3"/>
  <c r="H1391" i="3"/>
  <c r="G1391" i="3"/>
  <c r="F1391" i="3"/>
  <c r="E1391" i="3"/>
  <c r="D1391" i="3"/>
  <c r="C1391" i="3"/>
  <c r="K1390" i="3"/>
  <c r="I1390" i="3"/>
  <c r="H1390" i="3"/>
  <c r="G1390" i="3"/>
  <c r="F1390" i="3"/>
  <c r="E1390" i="3"/>
  <c r="D1390" i="3"/>
  <c r="C1390" i="3"/>
  <c r="K1389" i="3"/>
  <c r="I1389" i="3"/>
  <c r="H1389" i="3"/>
  <c r="G1389" i="3"/>
  <c r="F1389" i="3"/>
  <c r="E1389" i="3"/>
  <c r="D1389" i="3"/>
  <c r="C1389" i="3"/>
  <c r="K1388" i="3"/>
  <c r="I1388" i="3"/>
  <c r="H1388" i="3"/>
  <c r="G1388" i="3"/>
  <c r="F1388" i="3"/>
  <c r="E1388" i="3"/>
  <c r="D1388" i="3"/>
  <c r="C1388" i="3"/>
  <c r="K1387" i="3"/>
  <c r="I1387" i="3"/>
  <c r="H1387" i="3"/>
  <c r="G1387" i="3"/>
  <c r="F1387" i="3"/>
  <c r="E1387" i="3"/>
  <c r="D1387" i="3"/>
  <c r="C1387" i="3"/>
  <c r="K1386" i="3"/>
  <c r="I1386" i="3"/>
  <c r="H1386" i="3"/>
  <c r="G1386" i="3"/>
  <c r="F1386" i="3"/>
  <c r="E1386" i="3"/>
  <c r="D1386" i="3"/>
  <c r="C1386" i="3"/>
  <c r="K1385" i="3"/>
  <c r="I1385" i="3"/>
  <c r="H1385" i="3"/>
  <c r="G1385" i="3"/>
  <c r="F1385" i="3"/>
  <c r="E1385" i="3"/>
  <c r="D1385" i="3"/>
  <c r="C1385" i="3"/>
  <c r="K1384" i="3"/>
  <c r="I1384" i="3"/>
  <c r="H1384" i="3"/>
  <c r="G1384" i="3"/>
  <c r="F1384" i="3"/>
  <c r="E1384" i="3"/>
  <c r="D1384" i="3"/>
  <c r="C1384" i="3"/>
  <c r="K1383" i="3"/>
  <c r="I1383" i="3"/>
  <c r="H1383" i="3"/>
  <c r="G1383" i="3"/>
  <c r="F1383" i="3"/>
  <c r="E1383" i="3"/>
  <c r="D1383" i="3"/>
  <c r="C1383" i="3"/>
  <c r="K1382" i="3"/>
  <c r="I1382" i="3"/>
  <c r="H1382" i="3"/>
  <c r="G1382" i="3"/>
  <c r="F1382" i="3"/>
  <c r="E1382" i="3"/>
  <c r="D1382" i="3"/>
  <c r="C1382" i="3"/>
  <c r="K1381" i="3"/>
  <c r="I1381" i="3"/>
  <c r="H1381" i="3"/>
  <c r="G1381" i="3"/>
  <c r="F1381" i="3"/>
  <c r="E1381" i="3"/>
  <c r="D1381" i="3"/>
  <c r="C1381" i="3"/>
  <c r="K1380" i="3"/>
  <c r="I1380" i="3"/>
  <c r="H1380" i="3"/>
  <c r="G1380" i="3"/>
  <c r="F1380" i="3"/>
  <c r="E1380" i="3"/>
  <c r="D1380" i="3"/>
  <c r="C1380" i="3"/>
  <c r="K1379" i="3"/>
  <c r="I1379" i="3"/>
  <c r="H1379" i="3"/>
  <c r="G1379" i="3"/>
  <c r="F1379" i="3"/>
  <c r="E1379" i="3"/>
  <c r="D1379" i="3"/>
  <c r="C1379" i="3"/>
  <c r="K1378" i="3"/>
  <c r="I1378" i="3"/>
  <c r="H1378" i="3"/>
  <c r="G1378" i="3"/>
  <c r="F1378" i="3"/>
  <c r="E1378" i="3"/>
  <c r="D1378" i="3"/>
  <c r="C1378" i="3"/>
  <c r="K1282" i="3"/>
  <c r="I1282" i="3"/>
  <c r="H1282" i="3"/>
  <c r="G1282" i="3"/>
  <c r="F1282" i="3"/>
  <c r="E1282" i="3"/>
  <c r="D1282" i="3"/>
  <c r="C1282" i="3"/>
  <c r="K1281" i="3"/>
  <c r="I1281" i="3"/>
  <c r="H1281" i="3"/>
  <c r="G1281" i="3"/>
  <c r="F1281" i="3"/>
  <c r="E1281" i="3"/>
  <c r="D1281" i="3"/>
  <c r="C1281" i="3"/>
  <c r="K1280" i="3"/>
  <c r="I1280" i="3"/>
  <c r="H1280" i="3"/>
  <c r="G1280" i="3"/>
  <c r="F1280" i="3"/>
  <c r="E1280" i="3"/>
  <c r="D1280" i="3"/>
  <c r="C1280" i="3"/>
  <c r="K1279" i="3"/>
  <c r="I1279" i="3"/>
  <c r="H1279" i="3"/>
  <c r="G1279" i="3"/>
  <c r="F1279" i="3"/>
  <c r="E1279" i="3"/>
  <c r="D1279" i="3"/>
  <c r="C1279" i="3"/>
  <c r="K1278" i="3"/>
  <c r="I1278" i="3"/>
  <c r="H1278" i="3"/>
  <c r="G1278" i="3"/>
  <c r="F1278" i="3"/>
  <c r="E1278" i="3"/>
  <c r="D1278" i="3"/>
  <c r="C1278" i="3"/>
  <c r="K1277" i="3"/>
  <c r="I1277" i="3"/>
  <c r="H1277" i="3"/>
  <c r="G1277" i="3"/>
  <c r="F1277" i="3"/>
  <c r="E1277" i="3"/>
  <c r="D1277" i="3"/>
  <c r="C1277" i="3"/>
  <c r="K1276" i="3"/>
  <c r="I1276" i="3"/>
  <c r="H1276" i="3"/>
  <c r="G1276" i="3"/>
  <c r="F1276" i="3"/>
  <c r="E1276" i="3"/>
  <c r="D1276" i="3"/>
  <c r="C1276" i="3"/>
  <c r="K1275" i="3"/>
  <c r="I1275" i="3"/>
  <c r="H1275" i="3"/>
  <c r="G1275" i="3"/>
  <c r="F1275" i="3"/>
  <c r="E1275" i="3"/>
  <c r="D1275" i="3"/>
  <c r="C1275" i="3"/>
  <c r="K1274" i="3"/>
  <c r="I1274" i="3"/>
  <c r="H1274" i="3"/>
  <c r="G1274" i="3"/>
  <c r="F1274" i="3"/>
  <c r="E1274" i="3"/>
  <c r="D1274" i="3"/>
  <c r="C1274" i="3"/>
  <c r="K1273" i="3"/>
  <c r="I1273" i="3"/>
  <c r="H1273" i="3"/>
  <c r="G1273" i="3"/>
  <c r="F1273" i="3"/>
  <c r="E1273" i="3"/>
  <c r="D1273" i="3"/>
  <c r="C1273" i="3"/>
  <c r="K1272" i="3"/>
  <c r="I1272" i="3"/>
  <c r="H1272" i="3"/>
  <c r="G1272" i="3"/>
  <c r="F1272" i="3"/>
  <c r="E1272" i="3"/>
  <c r="D1272" i="3"/>
  <c r="C1272" i="3"/>
  <c r="K1271" i="3"/>
  <c r="I1271" i="3"/>
  <c r="H1271" i="3"/>
  <c r="G1271" i="3"/>
  <c r="F1271" i="3"/>
  <c r="E1271" i="3"/>
  <c r="D1271" i="3"/>
  <c r="C1271" i="3"/>
  <c r="K1270" i="3"/>
  <c r="I1270" i="3"/>
  <c r="H1270" i="3"/>
  <c r="G1270" i="3"/>
  <c r="F1270" i="3"/>
  <c r="E1270" i="3"/>
  <c r="D1270" i="3"/>
  <c r="C1270" i="3"/>
  <c r="K1269" i="3"/>
  <c r="I1269" i="3"/>
  <c r="H1269" i="3"/>
  <c r="G1269" i="3"/>
  <c r="F1269" i="3"/>
  <c r="E1269" i="3"/>
  <c r="D1269" i="3"/>
  <c r="C1269" i="3"/>
  <c r="K1268" i="3"/>
  <c r="I1268" i="3"/>
  <c r="H1268" i="3"/>
  <c r="G1268" i="3"/>
  <c r="F1268" i="3"/>
  <c r="E1268" i="3"/>
  <c r="D1268" i="3"/>
  <c r="C1268" i="3"/>
  <c r="K1267" i="3"/>
  <c r="I1267" i="3"/>
  <c r="H1267" i="3"/>
  <c r="G1267" i="3"/>
  <c r="F1267" i="3"/>
  <c r="E1267" i="3"/>
  <c r="D1267" i="3"/>
  <c r="C1267" i="3"/>
  <c r="K1266" i="3"/>
  <c r="I1266" i="3"/>
  <c r="H1266" i="3"/>
  <c r="G1266" i="3"/>
  <c r="F1266" i="3"/>
  <c r="E1266" i="3"/>
  <c r="D1266" i="3"/>
  <c r="C1266" i="3"/>
  <c r="K1265" i="3"/>
  <c r="I1265" i="3"/>
  <c r="H1265" i="3"/>
  <c r="G1265" i="3"/>
  <c r="F1265" i="3"/>
  <c r="E1265" i="3"/>
  <c r="D1265" i="3"/>
  <c r="C1265" i="3"/>
  <c r="K1264" i="3"/>
  <c r="I1264" i="3"/>
  <c r="H1264" i="3"/>
  <c r="G1264" i="3"/>
  <c r="F1264" i="3"/>
  <c r="E1264" i="3"/>
  <c r="D1264" i="3"/>
  <c r="C1264" i="3"/>
  <c r="K1263" i="3"/>
  <c r="I1263" i="3"/>
  <c r="H1263" i="3"/>
  <c r="G1263" i="3"/>
  <c r="F1263" i="3"/>
  <c r="E1263" i="3"/>
  <c r="D1263" i="3"/>
  <c r="C1263" i="3"/>
  <c r="K1262" i="3"/>
  <c r="I1262" i="3"/>
  <c r="H1262" i="3"/>
  <c r="G1262" i="3"/>
  <c r="F1262" i="3"/>
  <c r="E1262" i="3"/>
  <c r="D1262" i="3"/>
  <c r="C1262" i="3"/>
  <c r="K1261" i="3"/>
  <c r="I1261" i="3"/>
  <c r="H1261" i="3"/>
  <c r="G1261" i="3"/>
  <c r="F1261" i="3"/>
  <c r="E1261" i="3"/>
  <c r="D1261" i="3"/>
  <c r="C1261" i="3"/>
  <c r="K1260" i="3"/>
  <c r="I1260" i="3"/>
  <c r="H1260" i="3"/>
  <c r="G1260" i="3"/>
  <c r="F1260" i="3"/>
  <c r="E1260" i="3"/>
  <c r="D1260" i="3"/>
  <c r="C1260" i="3"/>
  <c r="K1259" i="3" l="1"/>
  <c r="I1259" i="3"/>
  <c r="H1259" i="3"/>
  <c r="G1259" i="3"/>
  <c r="F1259" i="3"/>
  <c r="E1259" i="3"/>
  <c r="D1259" i="3"/>
  <c r="C1259" i="3"/>
  <c r="K1258" i="3"/>
  <c r="I1258" i="3"/>
  <c r="H1258" i="3"/>
  <c r="G1258" i="3"/>
  <c r="F1258" i="3"/>
  <c r="E1258" i="3"/>
  <c r="D1258" i="3"/>
  <c r="C1258" i="3"/>
  <c r="K1257" i="3"/>
  <c r="I1257" i="3"/>
  <c r="H1257" i="3"/>
  <c r="G1257" i="3"/>
  <c r="F1257" i="3"/>
  <c r="E1257" i="3"/>
  <c r="D1257" i="3"/>
  <c r="C1257" i="3"/>
  <c r="K1256" i="3"/>
  <c r="I1256" i="3"/>
  <c r="H1256" i="3"/>
  <c r="G1256" i="3"/>
  <c r="F1256" i="3"/>
  <c r="E1256" i="3"/>
  <c r="D1256" i="3"/>
  <c r="C1256" i="3"/>
  <c r="K1255" i="3"/>
  <c r="I1255" i="3"/>
  <c r="H1255" i="3"/>
  <c r="G1255" i="3"/>
  <c r="F1255" i="3"/>
  <c r="E1255" i="3"/>
  <c r="D1255" i="3"/>
  <c r="C1255" i="3"/>
  <c r="K1254" i="3"/>
  <c r="I1254" i="3"/>
  <c r="H1254" i="3"/>
  <c r="G1254" i="3"/>
  <c r="F1254" i="3"/>
  <c r="E1254" i="3"/>
  <c r="D1254" i="3"/>
  <c r="C1254" i="3"/>
  <c r="K1253" i="3"/>
  <c r="I1253" i="3"/>
  <c r="H1253" i="3"/>
  <c r="G1253" i="3"/>
  <c r="F1253" i="3"/>
  <c r="E1253" i="3"/>
  <c r="D1253" i="3"/>
  <c r="C1253" i="3"/>
  <c r="K1252" i="3"/>
  <c r="I1252" i="3"/>
  <c r="H1252" i="3"/>
  <c r="G1252" i="3"/>
  <c r="F1252" i="3"/>
  <c r="E1252" i="3"/>
  <c r="D1252" i="3"/>
  <c r="C1252" i="3"/>
  <c r="K1251" i="3"/>
  <c r="I1251" i="3"/>
  <c r="H1251" i="3"/>
  <c r="G1251" i="3"/>
  <c r="F1251" i="3"/>
  <c r="E1251" i="3"/>
  <c r="D1251" i="3"/>
  <c r="C1251" i="3"/>
  <c r="K1250" i="3"/>
  <c r="I1250" i="3"/>
  <c r="H1250" i="3"/>
  <c r="G1250" i="3"/>
  <c r="F1250" i="3"/>
  <c r="E1250" i="3"/>
  <c r="D1250" i="3"/>
  <c r="C1250" i="3"/>
  <c r="K1249" i="3"/>
  <c r="I1249" i="3"/>
  <c r="H1249" i="3"/>
  <c r="G1249" i="3"/>
  <c r="F1249" i="3"/>
  <c r="E1249" i="3"/>
  <c r="D1249" i="3"/>
  <c r="C1249" i="3"/>
  <c r="K1248" i="3"/>
  <c r="I1248" i="3"/>
  <c r="H1248" i="3"/>
  <c r="G1248" i="3"/>
  <c r="F1248" i="3"/>
  <c r="E1248" i="3"/>
  <c r="D1248" i="3"/>
  <c r="C1248" i="3"/>
  <c r="K1247" i="3"/>
  <c r="I1247" i="3"/>
  <c r="H1247" i="3"/>
  <c r="G1247" i="3"/>
  <c r="F1247" i="3"/>
  <c r="E1247" i="3"/>
  <c r="D1247" i="3"/>
  <c r="C1247" i="3"/>
  <c r="K1246" i="3"/>
  <c r="I1246" i="3"/>
  <c r="H1246" i="3"/>
  <c r="G1246" i="3"/>
  <c r="F1246" i="3"/>
  <c r="E1246" i="3"/>
  <c r="D1246" i="3"/>
  <c r="C1246" i="3"/>
  <c r="K1245" i="3"/>
  <c r="I1245" i="3"/>
  <c r="H1245" i="3"/>
  <c r="G1245" i="3"/>
  <c r="F1245" i="3"/>
  <c r="E1245" i="3"/>
  <c r="D1245" i="3"/>
  <c r="C1245" i="3"/>
  <c r="K1244" i="3"/>
  <c r="I1244" i="3"/>
  <c r="H1244" i="3"/>
  <c r="G1244" i="3"/>
  <c r="F1244" i="3"/>
  <c r="E1244" i="3"/>
  <c r="D1244" i="3"/>
  <c r="C1244" i="3"/>
  <c r="K1243" i="3"/>
  <c r="I1243" i="3"/>
  <c r="H1243" i="3"/>
  <c r="G1243" i="3"/>
  <c r="F1243" i="3"/>
  <c r="E1243" i="3"/>
  <c r="D1243" i="3"/>
  <c r="C1243" i="3"/>
  <c r="K1242" i="3"/>
  <c r="I1242" i="3"/>
  <c r="H1242" i="3"/>
  <c r="G1242" i="3"/>
  <c r="F1242" i="3"/>
  <c r="E1242" i="3"/>
  <c r="D1242" i="3"/>
  <c r="C1242" i="3"/>
  <c r="K1241" i="3"/>
  <c r="I1241" i="3"/>
  <c r="H1241" i="3"/>
  <c r="G1241" i="3"/>
  <c r="F1241" i="3"/>
  <c r="E1241" i="3"/>
  <c r="D1241" i="3"/>
  <c r="C1241" i="3"/>
  <c r="K1240" i="3"/>
  <c r="I1240" i="3"/>
  <c r="H1240" i="3"/>
  <c r="G1240" i="3"/>
  <c r="F1240" i="3"/>
  <c r="E1240" i="3"/>
  <c r="D1240" i="3"/>
  <c r="C1240" i="3"/>
  <c r="K1239" i="3"/>
  <c r="I1239" i="3"/>
  <c r="H1239" i="3"/>
  <c r="G1239" i="3"/>
  <c r="F1239" i="3"/>
  <c r="E1239" i="3"/>
  <c r="D1239" i="3"/>
  <c r="C1239" i="3"/>
  <c r="K1238" i="3"/>
  <c r="I1238" i="3"/>
  <c r="H1238" i="3"/>
  <c r="G1238" i="3"/>
  <c r="F1238" i="3"/>
  <c r="E1238" i="3"/>
  <c r="D1238" i="3"/>
  <c r="C1238" i="3"/>
  <c r="K1237" i="3"/>
  <c r="I1237" i="3"/>
  <c r="H1237" i="3"/>
  <c r="G1237" i="3"/>
  <c r="F1237" i="3"/>
  <c r="E1237" i="3"/>
  <c r="D1237" i="3"/>
  <c r="C1237" i="3"/>
  <c r="K1236" i="3"/>
  <c r="I1236" i="3"/>
  <c r="H1236" i="3"/>
  <c r="G1236" i="3"/>
  <c r="F1236" i="3"/>
  <c r="E1236" i="3"/>
  <c r="D1236" i="3"/>
  <c r="C1236" i="3"/>
  <c r="K1235" i="3"/>
  <c r="I1235" i="3"/>
  <c r="H1235" i="3"/>
  <c r="G1235" i="3"/>
  <c r="F1235" i="3"/>
  <c r="E1235" i="3"/>
  <c r="D1235" i="3"/>
  <c r="C1235" i="3"/>
  <c r="K1234" i="3"/>
  <c r="I1234" i="3"/>
  <c r="H1234" i="3"/>
  <c r="G1234" i="3"/>
  <c r="F1234" i="3"/>
  <c r="E1234" i="3"/>
  <c r="D1234" i="3"/>
  <c r="C1234" i="3"/>
  <c r="K1233" i="3"/>
  <c r="I1233" i="3"/>
  <c r="H1233" i="3"/>
  <c r="G1233" i="3"/>
  <c r="F1233" i="3"/>
  <c r="E1233" i="3"/>
  <c r="D1233" i="3"/>
  <c r="C1233" i="3"/>
  <c r="K1232" i="3"/>
  <c r="I1232" i="3"/>
  <c r="H1232" i="3"/>
  <c r="G1232" i="3"/>
  <c r="F1232" i="3"/>
  <c r="E1232" i="3"/>
  <c r="D1232" i="3"/>
  <c r="C1232" i="3"/>
  <c r="K1231" i="3"/>
  <c r="I1231" i="3"/>
  <c r="H1231" i="3"/>
  <c r="G1231" i="3"/>
  <c r="F1231" i="3"/>
  <c r="E1231" i="3"/>
  <c r="D1231" i="3"/>
  <c r="C1231" i="3"/>
  <c r="K1230" i="3"/>
  <c r="I1230" i="3"/>
  <c r="H1230" i="3"/>
  <c r="G1230" i="3"/>
  <c r="F1230" i="3"/>
  <c r="E1230" i="3"/>
  <c r="D1230" i="3"/>
  <c r="C1230" i="3"/>
  <c r="K1229" i="3"/>
  <c r="I1229" i="3"/>
  <c r="H1229" i="3"/>
  <c r="G1229" i="3"/>
  <c r="F1229" i="3"/>
  <c r="E1229" i="3"/>
  <c r="D1229" i="3"/>
  <c r="C1229" i="3"/>
  <c r="K1228" i="3"/>
  <c r="I1228" i="3"/>
  <c r="H1228" i="3"/>
  <c r="G1228" i="3"/>
  <c r="F1228" i="3"/>
  <c r="E1228" i="3"/>
  <c r="D1228" i="3"/>
  <c r="C1228" i="3"/>
  <c r="K1227" i="3"/>
  <c r="I1227" i="3"/>
  <c r="H1227" i="3"/>
  <c r="G1227" i="3"/>
  <c r="F1227" i="3"/>
  <c r="E1227" i="3"/>
  <c r="D1227" i="3"/>
  <c r="C1227" i="3"/>
  <c r="K1226" i="3"/>
  <c r="I1226" i="3"/>
  <c r="H1226" i="3"/>
  <c r="G1226" i="3"/>
  <c r="F1226" i="3"/>
  <c r="E1226" i="3"/>
  <c r="D1226" i="3"/>
  <c r="C1226" i="3"/>
  <c r="K1225" i="3"/>
  <c r="I1225" i="3"/>
  <c r="H1225" i="3"/>
  <c r="G1225" i="3"/>
  <c r="F1225" i="3"/>
  <c r="E1225" i="3"/>
  <c r="D1225" i="3"/>
  <c r="C1225" i="3"/>
  <c r="K1224" i="3"/>
  <c r="I1224" i="3"/>
  <c r="H1224" i="3"/>
  <c r="G1224" i="3"/>
  <c r="F1224" i="3"/>
  <c r="E1224" i="3"/>
  <c r="D1224" i="3"/>
  <c r="C1224" i="3"/>
  <c r="K1223" i="3"/>
  <c r="I1223" i="3"/>
  <c r="H1223" i="3"/>
  <c r="G1223" i="3"/>
  <c r="F1223" i="3"/>
  <c r="E1223" i="3"/>
  <c r="D1223" i="3"/>
  <c r="C1223" i="3"/>
  <c r="K1222" i="3"/>
  <c r="I1222" i="3"/>
  <c r="H1222" i="3"/>
  <c r="G1222" i="3"/>
  <c r="F1222" i="3"/>
  <c r="E1222" i="3"/>
  <c r="D1222" i="3"/>
  <c r="C1222" i="3"/>
  <c r="K1221" i="3"/>
  <c r="I1221" i="3"/>
  <c r="H1221" i="3"/>
  <c r="G1221" i="3"/>
  <c r="F1221" i="3"/>
  <c r="E1221" i="3"/>
  <c r="D1221" i="3"/>
  <c r="C1221" i="3"/>
  <c r="K1220" i="3"/>
  <c r="I1220" i="3"/>
  <c r="H1220" i="3"/>
  <c r="G1220" i="3"/>
  <c r="F1220" i="3"/>
  <c r="E1220" i="3"/>
  <c r="D1220" i="3"/>
  <c r="C1220" i="3"/>
  <c r="K1219" i="3"/>
  <c r="I1219" i="3"/>
  <c r="H1219" i="3"/>
  <c r="G1219" i="3"/>
  <c r="F1219" i="3"/>
  <c r="E1219" i="3"/>
  <c r="D1219" i="3"/>
  <c r="C1219" i="3"/>
  <c r="K1218" i="3"/>
  <c r="I1218" i="3"/>
  <c r="H1218" i="3"/>
  <c r="G1218" i="3"/>
  <c r="F1218" i="3"/>
  <c r="E1218" i="3"/>
  <c r="D1218" i="3"/>
  <c r="C1218" i="3"/>
  <c r="K1217" i="3"/>
  <c r="I1217" i="3"/>
  <c r="H1217" i="3"/>
  <c r="G1217" i="3"/>
  <c r="F1217" i="3"/>
  <c r="E1217" i="3"/>
  <c r="D1217" i="3"/>
  <c r="C1217" i="3"/>
  <c r="K1216" i="3"/>
  <c r="I1216" i="3"/>
  <c r="H1216" i="3"/>
  <c r="G1216" i="3"/>
  <c r="F1216" i="3"/>
  <c r="E1216" i="3"/>
  <c r="D1216" i="3"/>
  <c r="C1216" i="3"/>
  <c r="K1215" i="3"/>
  <c r="I1215" i="3"/>
  <c r="H1215" i="3"/>
  <c r="G1215" i="3"/>
  <c r="F1215" i="3"/>
  <c r="E1215" i="3"/>
  <c r="D1215" i="3"/>
  <c r="C1215" i="3"/>
  <c r="K1214" i="3"/>
  <c r="I1214" i="3"/>
  <c r="H1214" i="3"/>
  <c r="G1214" i="3"/>
  <c r="F1214" i="3"/>
  <c r="E1214" i="3"/>
  <c r="D1214" i="3"/>
  <c r="C1214" i="3"/>
  <c r="K1213" i="3"/>
  <c r="I1213" i="3"/>
  <c r="H1213" i="3"/>
  <c r="G1213" i="3"/>
  <c r="F1213" i="3"/>
  <c r="E1213" i="3"/>
  <c r="D1213" i="3"/>
  <c r="C1213" i="3"/>
  <c r="K1212" i="3"/>
  <c r="I1212" i="3"/>
  <c r="H1212" i="3"/>
  <c r="G1212" i="3"/>
  <c r="F1212" i="3"/>
  <c r="E1212" i="3"/>
  <c r="D1212" i="3"/>
  <c r="C1212" i="3"/>
  <c r="K1211" i="3"/>
  <c r="I1211" i="3"/>
  <c r="H1211" i="3"/>
  <c r="G1211" i="3"/>
  <c r="F1211" i="3"/>
  <c r="E1211" i="3"/>
  <c r="D1211" i="3"/>
  <c r="C1211" i="3"/>
  <c r="K1210" i="3"/>
  <c r="I1210" i="3"/>
  <c r="H1210" i="3"/>
  <c r="G1210" i="3"/>
  <c r="F1210" i="3"/>
  <c r="E1210" i="3"/>
  <c r="D1210" i="3"/>
  <c r="C1210" i="3"/>
  <c r="K1209" i="3"/>
  <c r="I1209" i="3"/>
  <c r="H1209" i="3"/>
  <c r="G1209" i="3"/>
  <c r="F1209" i="3"/>
  <c r="E1209" i="3"/>
  <c r="D1209" i="3"/>
  <c r="C1209" i="3"/>
  <c r="K1208" i="3"/>
  <c r="I1208" i="3"/>
  <c r="H1208" i="3"/>
  <c r="G1208" i="3"/>
  <c r="F1208" i="3"/>
  <c r="E1208" i="3"/>
  <c r="D1208" i="3"/>
  <c r="C1208" i="3"/>
  <c r="K1207" i="3"/>
  <c r="I1207" i="3"/>
  <c r="H1207" i="3"/>
  <c r="G1207" i="3"/>
  <c r="F1207" i="3"/>
  <c r="E1207" i="3"/>
  <c r="D1207" i="3"/>
  <c r="C1207" i="3"/>
  <c r="K1206" i="3"/>
  <c r="I1206" i="3"/>
  <c r="H1206" i="3"/>
  <c r="G1206" i="3"/>
  <c r="F1206" i="3"/>
  <c r="E1206" i="3"/>
  <c r="D1206" i="3"/>
  <c r="C1206" i="3"/>
  <c r="K1205" i="3"/>
  <c r="I1205" i="3"/>
  <c r="H1205" i="3"/>
  <c r="G1205" i="3"/>
  <c r="F1205" i="3"/>
  <c r="E1205" i="3"/>
  <c r="D1205" i="3"/>
  <c r="C1205" i="3"/>
  <c r="K1204" i="3"/>
  <c r="I1204" i="3"/>
  <c r="H1204" i="3"/>
  <c r="G1204" i="3"/>
  <c r="F1204" i="3"/>
  <c r="E1204" i="3"/>
  <c r="D1204" i="3"/>
  <c r="C1204" i="3"/>
  <c r="K1203" i="3"/>
  <c r="I1203" i="3"/>
  <c r="H1203" i="3"/>
  <c r="G1203" i="3"/>
  <c r="F1203" i="3"/>
  <c r="E1203" i="3"/>
  <c r="D1203" i="3"/>
  <c r="C1203" i="3"/>
  <c r="K1202" i="3"/>
  <c r="I1202" i="3"/>
  <c r="H1202" i="3"/>
  <c r="G1202" i="3"/>
  <c r="F1202" i="3"/>
  <c r="E1202" i="3"/>
  <c r="D1202" i="3"/>
  <c r="C1202" i="3"/>
  <c r="K1201" i="3"/>
  <c r="I1201" i="3"/>
  <c r="H1201" i="3"/>
  <c r="G1201" i="3"/>
  <c r="F1201" i="3"/>
  <c r="E1201" i="3"/>
  <c r="D1201" i="3"/>
  <c r="C1201" i="3"/>
  <c r="K1200" i="3"/>
  <c r="I1200" i="3"/>
  <c r="H1200" i="3"/>
  <c r="G1200" i="3"/>
  <c r="F1200" i="3"/>
  <c r="E1200" i="3"/>
  <c r="D1200" i="3"/>
  <c r="C1200" i="3"/>
  <c r="K1199" i="3"/>
  <c r="I1199" i="3"/>
  <c r="H1199" i="3"/>
  <c r="G1199" i="3"/>
  <c r="F1199" i="3"/>
  <c r="E1199" i="3"/>
  <c r="D1199" i="3"/>
  <c r="C1199" i="3"/>
  <c r="K1198" i="3"/>
  <c r="I1198" i="3"/>
  <c r="H1198" i="3"/>
  <c r="G1198" i="3"/>
  <c r="F1198" i="3"/>
  <c r="E1198" i="3"/>
  <c r="D1198" i="3"/>
  <c r="C1198" i="3"/>
  <c r="K1197" i="3"/>
  <c r="I1197" i="3"/>
  <c r="H1197" i="3"/>
  <c r="G1197" i="3"/>
  <c r="F1197" i="3"/>
  <c r="E1197" i="3"/>
  <c r="D1197" i="3"/>
  <c r="C1197" i="3"/>
  <c r="K1196" i="3"/>
  <c r="I1196" i="3"/>
  <c r="H1196" i="3"/>
  <c r="G1196" i="3"/>
  <c r="F1196" i="3"/>
  <c r="E1196" i="3"/>
  <c r="D1196" i="3"/>
  <c r="C1196" i="3"/>
  <c r="K1195" i="3"/>
  <c r="I1195" i="3"/>
  <c r="H1195" i="3"/>
  <c r="G1195" i="3"/>
  <c r="F1195" i="3"/>
  <c r="E1195" i="3"/>
  <c r="D1195" i="3"/>
  <c r="C1195" i="3"/>
  <c r="K1194" i="3"/>
  <c r="I1194" i="3"/>
  <c r="H1194" i="3"/>
  <c r="G1194" i="3"/>
  <c r="F1194" i="3"/>
  <c r="E1194" i="3"/>
  <c r="D1194" i="3"/>
  <c r="C1194" i="3"/>
  <c r="K1193" i="3"/>
  <c r="I1193" i="3"/>
  <c r="H1193" i="3"/>
  <c r="G1193" i="3"/>
  <c r="F1193" i="3"/>
  <c r="E1193" i="3"/>
  <c r="D1193" i="3"/>
  <c r="C1193" i="3"/>
  <c r="K1192" i="3"/>
  <c r="I1192" i="3"/>
  <c r="H1192" i="3"/>
  <c r="G1192" i="3"/>
  <c r="F1192" i="3"/>
  <c r="E1192" i="3"/>
  <c r="D1192" i="3"/>
  <c r="C1192" i="3"/>
  <c r="K1191" i="3"/>
  <c r="I1191" i="3"/>
  <c r="H1191" i="3"/>
  <c r="G1191" i="3"/>
  <c r="F1191" i="3"/>
  <c r="E1191" i="3"/>
  <c r="D1191" i="3"/>
  <c r="C1191" i="3"/>
  <c r="K1190" i="3"/>
  <c r="I1190" i="3"/>
  <c r="H1190" i="3"/>
  <c r="G1190" i="3"/>
  <c r="F1190" i="3"/>
  <c r="E1190" i="3"/>
  <c r="D1190" i="3"/>
  <c r="C1190" i="3"/>
  <c r="K1189" i="3"/>
  <c r="I1189" i="3"/>
  <c r="H1189" i="3"/>
  <c r="G1189" i="3"/>
  <c r="F1189" i="3"/>
  <c r="E1189" i="3"/>
  <c r="D1189" i="3"/>
  <c r="C1189" i="3"/>
  <c r="K1188" i="3"/>
  <c r="I1188" i="3"/>
  <c r="H1188" i="3"/>
  <c r="G1188" i="3"/>
  <c r="F1188" i="3"/>
  <c r="E1188" i="3"/>
  <c r="D1188" i="3"/>
  <c r="C1188" i="3"/>
  <c r="K1187" i="3"/>
  <c r="I1187" i="3"/>
  <c r="H1187" i="3"/>
  <c r="G1187" i="3"/>
  <c r="F1187" i="3"/>
  <c r="E1187" i="3"/>
  <c r="D1187" i="3"/>
  <c r="C1187" i="3"/>
  <c r="K1186" i="3"/>
  <c r="I1186" i="3"/>
  <c r="H1186" i="3"/>
  <c r="G1186" i="3"/>
  <c r="F1186" i="3"/>
  <c r="E1186" i="3"/>
  <c r="D1186" i="3"/>
  <c r="C1186" i="3"/>
  <c r="K1185" i="3"/>
  <c r="I1185" i="3"/>
  <c r="H1185" i="3"/>
  <c r="G1185" i="3"/>
  <c r="F1185" i="3"/>
  <c r="E1185" i="3"/>
  <c r="D1185" i="3"/>
  <c r="C1185" i="3"/>
  <c r="K1184" i="3"/>
  <c r="I1184" i="3"/>
  <c r="H1184" i="3"/>
  <c r="G1184" i="3"/>
  <c r="F1184" i="3"/>
  <c r="E1184" i="3"/>
  <c r="D1184" i="3"/>
  <c r="C1184" i="3"/>
  <c r="K1183" i="3"/>
  <c r="I1183" i="3"/>
  <c r="H1183" i="3"/>
  <c r="G1183" i="3"/>
  <c r="F1183" i="3"/>
  <c r="E1183" i="3"/>
  <c r="D1183" i="3"/>
  <c r="C1183" i="3"/>
  <c r="K1182" i="3"/>
  <c r="I1182" i="3"/>
  <c r="H1182" i="3"/>
  <c r="G1182" i="3"/>
  <c r="F1182" i="3"/>
  <c r="E1182" i="3"/>
  <c r="D1182" i="3"/>
  <c r="C1182" i="3"/>
  <c r="K1181" i="3"/>
  <c r="I1181" i="3"/>
  <c r="H1181" i="3"/>
  <c r="G1181" i="3"/>
  <c r="F1181" i="3"/>
  <c r="E1181" i="3"/>
  <c r="D1181" i="3"/>
  <c r="C1181" i="3"/>
  <c r="K1180" i="3"/>
  <c r="I1180" i="3"/>
  <c r="H1180" i="3"/>
  <c r="G1180" i="3"/>
  <c r="F1180" i="3"/>
  <c r="E1180" i="3"/>
  <c r="D1180" i="3"/>
  <c r="C1180" i="3"/>
  <c r="K1179" i="3"/>
  <c r="I1179" i="3"/>
  <c r="H1179" i="3"/>
  <c r="G1179" i="3"/>
  <c r="F1179" i="3"/>
  <c r="E1179" i="3"/>
  <c r="D1179" i="3"/>
  <c r="C1179" i="3"/>
  <c r="K1178" i="3"/>
  <c r="I1178" i="3"/>
  <c r="H1178" i="3"/>
  <c r="G1178" i="3"/>
  <c r="F1178" i="3"/>
  <c r="E1178" i="3"/>
  <c r="D1178" i="3"/>
  <c r="C1178" i="3"/>
  <c r="K1177" i="3"/>
  <c r="I1177" i="3"/>
  <c r="H1177" i="3"/>
  <c r="G1177" i="3"/>
  <c r="F1177" i="3"/>
  <c r="E1177" i="3"/>
  <c r="D1177" i="3"/>
  <c r="C1177" i="3"/>
  <c r="K1176" i="3"/>
  <c r="I1176" i="3"/>
  <c r="H1176" i="3"/>
  <c r="G1176" i="3"/>
  <c r="F1176" i="3"/>
  <c r="E1176" i="3"/>
  <c r="D1176" i="3"/>
  <c r="C1176" i="3"/>
  <c r="K1175" i="3"/>
  <c r="I1175" i="3"/>
  <c r="H1175" i="3"/>
  <c r="G1175" i="3"/>
  <c r="F1175" i="3"/>
  <c r="E1175" i="3"/>
  <c r="D1175" i="3"/>
  <c r="C1175" i="3"/>
  <c r="K1174" i="3"/>
  <c r="I1174" i="3"/>
  <c r="H1174" i="3"/>
  <c r="G1174" i="3"/>
  <c r="F1174" i="3"/>
  <c r="E1174" i="3"/>
  <c r="D1174" i="3"/>
  <c r="C1174" i="3"/>
  <c r="K1173" i="3"/>
  <c r="I1173" i="3"/>
  <c r="H1173" i="3"/>
  <c r="G1173" i="3"/>
  <c r="F1173" i="3"/>
  <c r="E1173" i="3"/>
  <c r="D1173" i="3"/>
  <c r="C1173" i="3"/>
  <c r="K1172" i="3"/>
  <c r="I1172" i="3"/>
  <c r="H1172" i="3"/>
  <c r="G1172" i="3"/>
  <c r="F1172" i="3"/>
  <c r="E1172" i="3"/>
  <c r="D1172" i="3"/>
  <c r="C1172" i="3"/>
  <c r="K1171" i="3"/>
  <c r="I1171" i="3"/>
  <c r="H1171" i="3"/>
  <c r="G1171" i="3"/>
  <c r="F1171" i="3"/>
  <c r="E1171" i="3"/>
  <c r="D1171" i="3"/>
  <c r="C1171" i="3"/>
  <c r="K1170" i="3"/>
  <c r="I1170" i="3"/>
  <c r="H1170" i="3"/>
  <c r="G1170" i="3"/>
  <c r="F1170" i="3"/>
  <c r="E1170" i="3"/>
  <c r="D1170" i="3"/>
  <c r="C1170" i="3"/>
  <c r="K1169" i="3"/>
  <c r="I1169" i="3"/>
  <c r="H1169" i="3"/>
  <c r="G1169" i="3"/>
  <c r="F1169" i="3"/>
  <c r="E1169" i="3"/>
  <c r="D1169" i="3"/>
  <c r="C1169" i="3"/>
  <c r="K1168" i="3"/>
  <c r="I1168" i="3"/>
  <c r="H1168" i="3"/>
  <c r="G1168" i="3"/>
  <c r="F1168" i="3"/>
  <c r="E1168" i="3"/>
  <c r="D1168" i="3"/>
  <c r="C1168" i="3"/>
  <c r="K1167" i="3"/>
  <c r="I1167" i="3"/>
  <c r="H1167" i="3"/>
  <c r="G1167" i="3"/>
  <c r="F1167" i="3"/>
  <c r="E1167" i="3"/>
  <c r="D1167" i="3"/>
  <c r="C1167" i="3"/>
  <c r="K1166" i="3"/>
  <c r="I1166" i="3"/>
  <c r="H1166" i="3"/>
  <c r="G1166" i="3"/>
  <c r="F1166" i="3"/>
  <c r="E1166" i="3"/>
  <c r="D1166" i="3"/>
  <c r="C1166" i="3"/>
  <c r="K1165" i="3"/>
  <c r="I1165" i="3"/>
  <c r="H1165" i="3"/>
  <c r="G1165" i="3"/>
  <c r="F1165" i="3"/>
  <c r="E1165" i="3"/>
  <c r="D1165" i="3"/>
  <c r="C1165" i="3"/>
  <c r="K1164" i="3"/>
  <c r="I1164" i="3"/>
  <c r="H1164" i="3"/>
  <c r="G1164" i="3"/>
  <c r="F1164" i="3"/>
  <c r="E1164" i="3"/>
  <c r="D1164" i="3"/>
  <c r="C1164" i="3"/>
  <c r="K1163" i="3"/>
  <c r="I1163" i="3"/>
  <c r="H1163" i="3"/>
  <c r="G1163" i="3"/>
  <c r="F1163" i="3"/>
  <c r="E1163" i="3"/>
  <c r="D1163" i="3"/>
  <c r="C1163" i="3"/>
  <c r="K1162" i="3"/>
  <c r="I1162" i="3"/>
  <c r="H1162" i="3"/>
  <c r="G1162" i="3"/>
  <c r="F1162" i="3"/>
  <c r="E1162" i="3"/>
  <c r="D1162" i="3"/>
  <c r="C1162" i="3"/>
  <c r="K1161" i="3"/>
  <c r="I1161" i="3"/>
  <c r="H1161" i="3"/>
  <c r="G1161" i="3"/>
  <c r="F1161" i="3"/>
  <c r="E1161" i="3"/>
  <c r="D1161" i="3"/>
  <c r="C1161" i="3"/>
  <c r="K1160" i="3"/>
  <c r="I1160" i="3"/>
  <c r="H1160" i="3"/>
  <c r="G1160" i="3"/>
  <c r="F1160" i="3"/>
  <c r="E1160" i="3"/>
  <c r="D1160" i="3"/>
  <c r="C1160" i="3"/>
  <c r="K1159" i="3"/>
  <c r="I1159" i="3"/>
  <c r="H1159" i="3"/>
  <c r="G1159" i="3"/>
  <c r="F1159" i="3"/>
  <c r="E1159" i="3"/>
  <c r="D1159" i="3"/>
  <c r="C1159" i="3"/>
  <c r="K1158" i="3"/>
  <c r="I1158" i="3"/>
  <c r="H1158" i="3"/>
  <c r="G1158" i="3"/>
  <c r="F1158" i="3"/>
  <c r="E1158" i="3"/>
  <c r="D1158" i="3"/>
  <c r="C1158" i="3"/>
  <c r="K1157" i="3"/>
  <c r="I1157" i="3"/>
  <c r="H1157" i="3"/>
  <c r="G1157" i="3"/>
  <c r="F1157" i="3"/>
  <c r="E1157" i="3"/>
  <c r="D1157" i="3"/>
  <c r="C1157" i="3"/>
  <c r="K1156" i="3"/>
  <c r="I1156" i="3"/>
  <c r="H1156" i="3"/>
  <c r="G1156" i="3"/>
  <c r="F1156" i="3"/>
  <c r="E1156" i="3"/>
  <c r="D1156" i="3"/>
  <c r="C1156" i="3"/>
  <c r="K1155" i="3"/>
  <c r="I1155" i="3"/>
  <c r="H1155" i="3"/>
  <c r="G1155" i="3"/>
  <c r="F1155" i="3"/>
  <c r="E1155" i="3"/>
  <c r="D1155" i="3"/>
  <c r="C1155" i="3"/>
  <c r="D1125" i="3"/>
  <c r="E1125" i="3"/>
  <c r="F1125" i="3"/>
  <c r="G1125" i="3"/>
  <c r="H1125" i="3"/>
  <c r="I1125" i="3"/>
  <c r="K1125" i="3"/>
  <c r="N1125" i="3"/>
  <c r="D1126" i="3"/>
  <c r="E1126" i="3"/>
  <c r="F1126" i="3"/>
  <c r="G1126" i="3"/>
  <c r="H1126" i="3"/>
  <c r="I1126" i="3"/>
  <c r="K1126" i="3"/>
  <c r="N1126" i="3"/>
  <c r="D1127" i="3"/>
  <c r="E1127" i="3"/>
  <c r="F1127" i="3"/>
  <c r="G1127" i="3"/>
  <c r="H1127" i="3"/>
  <c r="I1127" i="3"/>
  <c r="K1127" i="3"/>
  <c r="N1127" i="3"/>
  <c r="D1128" i="3"/>
  <c r="E1128" i="3"/>
  <c r="F1128" i="3"/>
  <c r="G1128" i="3"/>
  <c r="H1128" i="3"/>
  <c r="I1128" i="3"/>
  <c r="K1128" i="3"/>
  <c r="N1128" i="3"/>
  <c r="D1129" i="3"/>
  <c r="E1129" i="3"/>
  <c r="F1129" i="3"/>
  <c r="G1129" i="3"/>
  <c r="H1129" i="3"/>
  <c r="I1129" i="3"/>
  <c r="K1129" i="3"/>
  <c r="N1129" i="3"/>
  <c r="D1130" i="3"/>
  <c r="E1130" i="3"/>
  <c r="F1130" i="3"/>
  <c r="G1130" i="3"/>
  <c r="H1130" i="3"/>
  <c r="I1130" i="3"/>
  <c r="K1130" i="3"/>
  <c r="N1130" i="3"/>
  <c r="D1131" i="3"/>
  <c r="E1131" i="3"/>
  <c r="F1131" i="3"/>
  <c r="G1131" i="3"/>
  <c r="H1131" i="3"/>
  <c r="I1131" i="3"/>
  <c r="K1131" i="3"/>
  <c r="N1131" i="3"/>
  <c r="D1132" i="3"/>
  <c r="E1132" i="3"/>
  <c r="F1132" i="3"/>
  <c r="G1132" i="3"/>
  <c r="H1132" i="3"/>
  <c r="I1132" i="3"/>
  <c r="K1132" i="3"/>
  <c r="N1132" i="3"/>
  <c r="D1133" i="3"/>
  <c r="E1133" i="3"/>
  <c r="F1133" i="3"/>
  <c r="G1133" i="3"/>
  <c r="H1133" i="3"/>
  <c r="I1133" i="3"/>
  <c r="K1133" i="3"/>
  <c r="N1133" i="3"/>
  <c r="D1134" i="3"/>
  <c r="E1134" i="3"/>
  <c r="F1134" i="3"/>
  <c r="G1134" i="3"/>
  <c r="H1134" i="3"/>
  <c r="I1134" i="3"/>
  <c r="K1134" i="3"/>
  <c r="N1134" i="3"/>
  <c r="D1135" i="3"/>
  <c r="E1135" i="3"/>
  <c r="F1135" i="3"/>
  <c r="G1135" i="3"/>
  <c r="H1135" i="3"/>
  <c r="I1135" i="3"/>
  <c r="K1135" i="3"/>
  <c r="N1135" i="3"/>
  <c r="D1136" i="3"/>
  <c r="E1136" i="3"/>
  <c r="F1136" i="3"/>
  <c r="G1136" i="3"/>
  <c r="H1136" i="3"/>
  <c r="I1136" i="3"/>
  <c r="K1136" i="3"/>
  <c r="N1136" i="3"/>
  <c r="D1137" i="3"/>
  <c r="E1137" i="3"/>
  <c r="F1137" i="3"/>
  <c r="G1137" i="3"/>
  <c r="H1137" i="3"/>
  <c r="I1137" i="3"/>
  <c r="K1137" i="3"/>
  <c r="N1137" i="3"/>
  <c r="D1138" i="3"/>
  <c r="E1138" i="3"/>
  <c r="F1138" i="3"/>
  <c r="G1138" i="3"/>
  <c r="H1138" i="3"/>
  <c r="I1138" i="3"/>
  <c r="K1138" i="3"/>
  <c r="N1138" i="3"/>
  <c r="D1139" i="3"/>
  <c r="E1139" i="3"/>
  <c r="F1139" i="3"/>
  <c r="G1139" i="3"/>
  <c r="H1139" i="3"/>
  <c r="I1139" i="3"/>
  <c r="K1139" i="3"/>
  <c r="N1139" i="3"/>
  <c r="D1140" i="3"/>
  <c r="E1140" i="3"/>
  <c r="F1140" i="3"/>
  <c r="G1140" i="3"/>
  <c r="H1140" i="3"/>
  <c r="I1140" i="3"/>
  <c r="K1140" i="3"/>
  <c r="N1140" i="3"/>
  <c r="D1141" i="3"/>
  <c r="E1141" i="3"/>
  <c r="F1141" i="3"/>
  <c r="G1141" i="3"/>
  <c r="H1141" i="3"/>
  <c r="I1141" i="3"/>
  <c r="K1141" i="3"/>
  <c r="N1141" i="3"/>
  <c r="D1142" i="3"/>
  <c r="E1142" i="3"/>
  <c r="F1142" i="3"/>
  <c r="G1142" i="3"/>
  <c r="H1142" i="3"/>
  <c r="I1142" i="3"/>
  <c r="K1142" i="3"/>
  <c r="N1142" i="3"/>
  <c r="D1143" i="3"/>
  <c r="E1143" i="3"/>
  <c r="F1143" i="3"/>
  <c r="G1143" i="3"/>
  <c r="H1143" i="3"/>
  <c r="I1143" i="3"/>
  <c r="K1143" i="3"/>
  <c r="N1143" i="3"/>
  <c r="D1144" i="3"/>
  <c r="E1144" i="3"/>
  <c r="F1144" i="3"/>
  <c r="G1144" i="3"/>
  <c r="H1144" i="3"/>
  <c r="I1144" i="3"/>
  <c r="K1144" i="3"/>
  <c r="N1144" i="3"/>
  <c r="D1145" i="3"/>
  <c r="E1145" i="3"/>
  <c r="F1145" i="3"/>
  <c r="G1145" i="3"/>
  <c r="H1145" i="3"/>
  <c r="I1145" i="3"/>
  <c r="K1145" i="3"/>
  <c r="N1145" i="3"/>
  <c r="D1146" i="3"/>
  <c r="E1146" i="3"/>
  <c r="F1146" i="3"/>
  <c r="G1146" i="3"/>
  <c r="H1146" i="3"/>
  <c r="I1146" i="3"/>
  <c r="K1146" i="3"/>
  <c r="N1146" i="3"/>
  <c r="D1147" i="3"/>
  <c r="E1147" i="3"/>
  <c r="F1147" i="3"/>
  <c r="G1147" i="3"/>
  <c r="H1147" i="3"/>
  <c r="I1147" i="3"/>
  <c r="K1147" i="3"/>
  <c r="N1147" i="3"/>
  <c r="D1148" i="3"/>
  <c r="E1148" i="3"/>
  <c r="F1148" i="3"/>
  <c r="G1148" i="3"/>
  <c r="H1148" i="3"/>
  <c r="I1148" i="3"/>
  <c r="K1148" i="3"/>
  <c r="N1148" i="3"/>
  <c r="D1149" i="3"/>
  <c r="E1149" i="3"/>
  <c r="F1149" i="3"/>
  <c r="G1149" i="3"/>
  <c r="H1149" i="3"/>
  <c r="I1149" i="3"/>
  <c r="K1149" i="3"/>
  <c r="N1149" i="3"/>
  <c r="D1150" i="3"/>
  <c r="E1150" i="3"/>
  <c r="F1150" i="3"/>
  <c r="G1150" i="3"/>
  <c r="H1150" i="3"/>
  <c r="I1150" i="3"/>
  <c r="K1150" i="3"/>
  <c r="N1150" i="3"/>
  <c r="D1151" i="3"/>
  <c r="E1151" i="3"/>
  <c r="F1151" i="3"/>
  <c r="G1151" i="3"/>
  <c r="H1151" i="3"/>
  <c r="I1151" i="3"/>
  <c r="K1151" i="3"/>
  <c r="N1151" i="3"/>
  <c r="D1152" i="3"/>
  <c r="E1152" i="3"/>
  <c r="F1152" i="3"/>
  <c r="G1152" i="3"/>
  <c r="H1152" i="3"/>
  <c r="I1152" i="3"/>
  <c r="K1152" i="3"/>
  <c r="N1152" i="3"/>
  <c r="D1153" i="3"/>
  <c r="E1153" i="3"/>
  <c r="F1153" i="3"/>
  <c r="G1153" i="3"/>
  <c r="H1153" i="3"/>
  <c r="I1153" i="3"/>
  <c r="K1153" i="3"/>
  <c r="N1153" i="3"/>
  <c r="D1154" i="3"/>
  <c r="E1154" i="3"/>
  <c r="F1154" i="3"/>
  <c r="G1154" i="3"/>
  <c r="H1154" i="3"/>
  <c r="I1154" i="3"/>
  <c r="K1154" i="3"/>
  <c r="N1154" i="3"/>
  <c r="L290" i="7"/>
  <c r="L17" i="7"/>
  <c r="L16" i="7"/>
  <c r="L15" i="7"/>
  <c r="L14" i="7"/>
  <c r="L13" i="7"/>
  <c r="L12" i="7"/>
  <c r="L11" i="7"/>
  <c r="L10" i="7"/>
  <c r="L9" i="7"/>
  <c r="L8" i="7"/>
  <c r="L22" i="7"/>
  <c r="L21" i="7"/>
  <c r="L20" i="7"/>
  <c r="L19" i="7"/>
  <c r="L18" i="7"/>
  <c r="L32" i="7"/>
  <c r="L31" i="7"/>
  <c r="L30" i="7"/>
  <c r="L29" i="7"/>
  <c r="L28" i="7"/>
  <c r="L27" i="7"/>
  <c r="L26" i="7"/>
  <c r="L25" i="7"/>
  <c r="L24" i="7"/>
  <c r="L23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N1051" i="3"/>
  <c r="N1050" i="3"/>
  <c r="N1049" i="3"/>
  <c r="K1049" i="3"/>
  <c r="K1050" i="3"/>
  <c r="K1051" i="3"/>
  <c r="K1052" i="3"/>
  <c r="K1090" i="3"/>
  <c r="N1090" i="3"/>
  <c r="K1118" i="3"/>
  <c r="N1118" i="3"/>
  <c r="N1119" i="3"/>
  <c r="N1120" i="3"/>
  <c r="N1121" i="3"/>
  <c r="N1122" i="3"/>
  <c r="N1123" i="3"/>
  <c r="N1124" i="3"/>
  <c r="K1121" i="3"/>
  <c r="N1117" i="3"/>
  <c r="N1116" i="3"/>
  <c r="N1115" i="3"/>
  <c r="N1114" i="3"/>
  <c r="N1113" i="3"/>
  <c r="N1112" i="3"/>
  <c r="K1113" i="3"/>
  <c r="K1114" i="3"/>
  <c r="K1115" i="3"/>
  <c r="K1116" i="3"/>
  <c r="K1117" i="3"/>
  <c r="K1119" i="3"/>
  <c r="K1120" i="3"/>
  <c r="K1122" i="3"/>
  <c r="K1123" i="3"/>
  <c r="K1124" i="3"/>
  <c r="K1112" i="3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1" i="7"/>
  <c r="L62" i="7"/>
  <c r="L63" i="7"/>
  <c r="L64" i="7"/>
  <c r="L65" i="7"/>
  <c r="L66" i="7"/>
  <c r="L60" i="7"/>
  <c r="F2" i="7"/>
  <c r="F102" i="7" s="1"/>
  <c r="F54" i="7" l="1"/>
  <c r="F135" i="7"/>
  <c r="F144" i="7"/>
  <c r="F17" i="7"/>
  <c r="F167" i="7"/>
  <c r="F279" i="7"/>
  <c r="F69" i="7"/>
  <c r="F254" i="7"/>
  <c r="F196" i="7"/>
  <c r="F255" i="7"/>
  <c r="F218" i="7"/>
  <c r="F35" i="7"/>
  <c r="F235" i="7"/>
  <c r="F36" i="7"/>
  <c r="F97" i="7"/>
  <c r="F150" i="7"/>
  <c r="F151" i="7"/>
  <c r="F301" i="7"/>
  <c r="F136" i="7"/>
  <c r="F175" i="7"/>
  <c r="F55" i="7"/>
  <c r="F197" i="7"/>
  <c r="F73" i="7"/>
  <c r="F280" i="7"/>
  <c r="F256" i="7"/>
  <c r="F152" i="7"/>
  <c r="F137" i="7"/>
  <c r="F176" i="7"/>
  <c r="F169" i="7"/>
  <c r="F91" i="7"/>
  <c r="F220" i="7"/>
  <c r="F259" i="7"/>
  <c r="F38" i="7"/>
  <c r="F138" i="7"/>
  <c r="F182" i="7"/>
  <c r="F170" i="7"/>
  <c r="F92" i="7"/>
  <c r="F221" i="7"/>
  <c r="F75" i="7"/>
  <c r="F282" i="7"/>
  <c r="F39" i="7"/>
  <c r="F123" i="7"/>
  <c r="F183" i="7"/>
  <c r="F70" i="7"/>
  <c r="F222" i="7"/>
  <c r="F76" i="7"/>
  <c r="F6" i="7"/>
  <c r="F40" i="7"/>
  <c r="F140" i="7"/>
  <c r="F28" i="7"/>
  <c r="F223" i="7"/>
  <c r="F289" i="7"/>
  <c r="F41" i="7"/>
  <c r="F258" i="7"/>
  <c r="F185" i="7"/>
  <c r="F229" i="7"/>
  <c r="F268" i="7"/>
  <c r="F245" i="7"/>
  <c r="F114" i="7"/>
  <c r="F30" i="7"/>
  <c r="F208" i="7"/>
  <c r="F99" i="7"/>
  <c r="F146" i="7"/>
  <c r="F115" i="7"/>
  <c r="F65" i="7"/>
  <c r="F93" i="7"/>
  <c r="F20" i="7"/>
  <c r="F120" i="7"/>
  <c r="F168" i="7"/>
  <c r="F85" i="7"/>
  <c r="F219" i="7"/>
  <c r="F98" i="7"/>
  <c r="F37" i="7"/>
  <c r="F121" i="7"/>
  <c r="F56" i="7"/>
  <c r="F198" i="7"/>
  <c r="F74" i="7"/>
  <c r="F281" i="7"/>
  <c r="F257" i="7"/>
  <c r="F153" i="7"/>
  <c r="F122" i="7"/>
  <c r="F57" i="7"/>
  <c r="F199" i="7"/>
  <c r="F265" i="7"/>
  <c r="F242" i="7"/>
  <c r="F139" i="7"/>
  <c r="F58" i="7"/>
  <c r="F266" i="7"/>
  <c r="F243" i="7"/>
  <c r="F124" i="7"/>
  <c r="F71" i="7"/>
  <c r="F77" i="7"/>
  <c r="F7" i="7"/>
  <c r="F113" i="7"/>
  <c r="F29" i="7"/>
  <c r="F78" i="7"/>
  <c r="F291" i="7"/>
  <c r="F161" i="7"/>
  <c r="F18" i="7"/>
  <c r="F186" i="7"/>
  <c r="F79" i="7"/>
  <c r="F296" i="7"/>
  <c r="F19" i="7"/>
  <c r="F270" i="7"/>
  <c r="F297" i="7"/>
  <c r="F147" i="7"/>
  <c r="F141" i="7"/>
  <c r="F32" i="7"/>
  <c r="F193" i="7"/>
  <c r="F210" i="7"/>
  <c r="F232" i="7"/>
  <c r="F94" i="7"/>
  <c r="F271" i="7"/>
  <c r="F101" i="7"/>
  <c r="F298" i="7"/>
  <c r="F248" i="7"/>
  <c r="F148" i="7"/>
  <c r="F128" i="7"/>
  <c r="F142" i="7"/>
  <c r="F15" i="7"/>
  <c r="F165" i="7"/>
  <c r="F47" i="7"/>
  <c r="F67" i="7"/>
  <c r="F194" i="7"/>
  <c r="F211" i="7"/>
  <c r="F233" i="7"/>
  <c r="F95" i="7"/>
  <c r="F277" i="7"/>
  <c r="F300" i="7"/>
  <c r="F288" i="7"/>
  <c r="F276" i="7"/>
  <c r="F264" i="7"/>
  <c r="F84" i="7"/>
  <c r="F72" i="7"/>
  <c r="F228" i="7"/>
  <c r="F216" i="7"/>
  <c r="F204" i="7"/>
  <c r="F192" i="7"/>
  <c r="F90" i="7"/>
  <c r="F63" i="7"/>
  <c r="F53" i="7"/>
  <c r="F27" i="7"/>
  <c r="F25" i="7"/>
  <c r="F181" i="7"/>
  <c r="F12" i="7"/>
  <c r="F119" i="7"/>
  <c r="F112" i="7"/>
  <c r="F133" i="7"/>
  <c r="F157" i="7"/>
  <c r="F46" i="7"/>
  <c r="F34" i="7"/>
  <c r="F241" i="7"/>
  <c r="F295" i="7"/>
  <c r="F287" i="7"/>
  <c r="F275" i="7"/>
  <c r="F263" i="7"/>
  <c r="F83" i="7"/>
  <c r="F239" i="7"/>
  <c r="F227" i="7"/>
  <c r="F215" i="7"/>
  <c r="F203" i="7"/>
  <c r="F191" i="7"/>
  <c r="F89" i="7"/>
  <c r="F62" i="7"/>
  <c r="F52" i="7"/>
  <c r="F26" i="7"/>
  <c r="F24" i="7"/>
  <c r="F180" i="7"/>
  <c r="F11" i="7"/>
  <c r="F118" i="7"/>
  <c r="F111" i="7"/>
  <c r="F132" i="7"/>
  <c r="F45" i="7"/>
  <c r="F33" i="7"/>
  <c r="F240" i="7"/>
  <c r="F294" i="7"/>
  <c r="F106" i="7"/>
  <c r="F286" i="7"/>
  <c r="F274" i="7"/>
  <c r="F262" i="7"/>
  <c r="F82" i="7"/>
  <c r="F226" i="7"/>
  <c r="F214" i="7"/>
  <c r="F202" i="7"/>
  <c r="F190" i="7"/>
  <c r="F88" i="7"/>
  <c r="F61" i="7"/>
  <c r="F174" i="7"/>
  <c r="F23" i="7"/>
  <c r="F179" i="7"/>
  <c r="F10" i="7"/>
  <c r="F117" i="7"/>
  <c r="F131" i="7"/>
  <c r="F44" i="7"/>
  <c r="F253" i="7"/>
  <c r="F105" i="7"/>
  <c r="F261" i="7"/>
  <c r="F225" i="7"/>
  <c r="F201" i="7"/>
  <c r="F87" i="7"/>
  <c r="F173" i="7"/>
  <c r="F178" i="7"/>
  <c r="F116" i="7"/>
  <c r="F130" i="7"/>
  <c r="F43" i="7"/>
  <c r="F252" i="7"/>
  <c r="F284" i="7"/>
  <c r="F260" i="7"/>
  <c r="F212" i="7"/>
  <c r="F86" i="7"/>
  <c r="F172" i="7"/>
  <c r="F177" i="7"/>
  <c r="F145" i="7"/>
  <c r="F107" i="7"/>
  <c r="F156" i="7"/>
  <c r="F238" i="7"/>
  <c r="F51" i="7"/>
  <c r="F110" i="7"/>
  <c r="F155" i="7"/>
  <c r="F251" i="7"/>
  <c r="F293" i="7"/>
  <c r="F285" i="7"/>
  <c r="F273" i="7"/>
  <c r="F81" i="7"/>
  <c r="F237" i="7"/>
  <c r="F213" i="7"/>
  <c r="F189" i="7"/>
  <c r="F50" i="7"/>
  <c r="F22" i="7"/>
  <c r="F9" i="7"/>
  <c r="F109" i="7"/>
  <c r="F154" i="7"/>
  <c r="F250" i="7"/>
  <c r="F292" i="7"/>
  <c r="F104" i="7"/>
  <c r="F272" i="7"/>
  <c r="F80" i="7"/>
  <c r="F236" i="7"/>
  <c r="F200" i="7"/>
  <c r="F188" i="7"/>
  <c r="F164" i="7"/>
  <c r="F21" i="7"/>
  <c r="F108" i="7"/>
  <c r="F60" i="7"/>
  <c r="F224" i="7"/>
  <c r="F49" i="7"/>
  <c r="F8" i="7"/>
  <c r="F129" i="7"/>
  <c r="F158" i="7"/>
  <c r="F171" i="7"/>
  <c r="F205" i="7"/>
  <c r="F283" i="7"/>
  <c r="F159" i="7"/>
  <c r="F184" i="7"/>
  <c r="F59" i="7"/>
  <c r="F206" i="7"/>
  <c r="F267" i="7"/>
  <c r="F244" i="7"/>
  <c r="F160" i="7"/>
  <c r="F125" i="7"/>
  <c r="F163" i="7"/>
  <c r="F207" i="7"/>
  <c r="F290" i="7"/>
  <c r="F42" i="7"/>
  <c r="F126" i="7"/>
  <c r="F64" i="7"/>
  <c r="F230" i="7"/>
  <c r="F269" i="7"/>
  <c r="F246" i="7"/>
  <c r="F162" i="7"/>
  <c r="F13" i="7"/>
  <c r="F31" i="7"/>
  <c r="F187" i="7"/>
  <c r="F209" i="7"/>
  <c r="F231" i="7"/>
  <c r="F100" i="7"/>
  <c r="F247" i="7"/>
  <c r="F127" i="7"/>
  <c r="F14" i="7"/>
  <c r="F66" i="7"/>
  <c r="F299" i="7"/>
  <c r="F249" i="7"/>
  <c r="F149" i="7"/>
  <c r="F134" i="7"/>
  <c r="F143" i="7"/>
  <c r="F16" i="7"/>
  <c r="F166" i="7"/>
  <c r="F48" i="7"/>
  <c r="F68" i="7"/>
  <c r="F195" i="7"/>
  <c r="F217" i="7"/>
  <c r="F234" i="7"/>
  <c r="F96" i="7"/>
  <c r="F278" i="7"/>
  <c r="F103" i="7"/>
  <c r="N1111" i="3" l="1"/>
  <c r="N1110" i="3"/>
  <c r="N1109" i="3"/>
  <c r="N1108" i="3"/>
  <c r="N1107" i="3"/>
  <c r="N1106" i="3"/>
  <c r="N1105" i="3"/>
  <c r="K1106" i="3"/>
  <c r="K1107" i="3"/>
  <c r="K1108" i="3"/>
  <c r="K1109" i="3"/>
  <c r="K1110" i="3"/>
  <c r="K1111" i="3"/>
  <c r="K1105" i="3"/>
  <c r="N1100" i="3"/>
  <c r="N1099" i="3"/>
  <c r="N1098" i="3"/>
  <c r="K1099" i="3"/>
  <c r="K1098" i="3"/>
  <c r="N1104" i="3"/>
  <c r="N1103" i="3"/>
  <c r="N1102" i="3"/>
  <c r="N1101" i="3"/>
  <c r="K1104" i="3"/>
  <c r="K1103" i="3"/>
  <c r="K1102" i="3"/>
  <c r="K1101" i="3"/>
  <c r="K1100" i="3"/>
  <c r="N1092" i="3"/>
  <c r="N1091" i="3"/>
  <c r="K1092" i="3"/>
  <c r="K1091" i="3"/>
  <c r="N1097" i="3"/>
  <c r="N1096" i="3"/>
  <c r="N1095" i="3"/>
  <c r="N1094" i="3"/>
  <c r="N1093" i="3"/>
  <c r="K1095" i="3"/>
  <c r="K1094" i="3"/>
  <c r="K1093" i="3"/>
  <c r="K1096" i="3"/>
  <c r="K1097" i="3"/>
  <c r="N1062" i="3"/>
  <c r="N1061" i="3"/>
  <c r="N1060" i="3"/>
  <c r="K1062" i="3"/>
  <c r="K1061" i="3"/>
  <c r="K1060" i="3"/>
  <c r="N1059" i="3"/>
  <c r="N1058" i="3"/>
  <c r="N1057" i="3"/>
  <c r="K1059" i="3"/>
  <c r="K1058" i="3"/>
  <c r="K1057" i="3"/>
  <c r="N1056" i="3"/>
  <c r="N1055" i="3"/>
  <c r="N1054" i="3"/>
  <c r="K1056" i="3"/>
  <c r="K1055" i="3"/>
  <c r="K1054" i="3"/>
  <c r="N1053" i="3"/>
  <c r="N1052" i="3"/>
  <c r="K1053" i="3"/>
  <c r="N1089" i="3"/>
  <c r="N1088" i="3"/>
  <c r="K1089" i="3"/>
  <c r="K1088" i="3"/>
  <c r="N1087" i="3"/>
  <c r="K1087" i="3"/>
  <c r="N1069" i="3"/>
  <c r="N1068" i="3"/>
  <c r="N1067" i="3"/>
  <c r="K1069" i="3"/>
  <c r="K1068" i="3"/>
  <c r="K1067" i="3"/>
  <c r="N1086" i="3"/>
  <c r="N1085" i="3"/>
  <c r="N1084" i="3"/>
  <c r="N1083" i="3"/>
  <c r="N1082" i="3"/>
  <c r="N1081" i="3"/>
  <c r="N1080" i="3"/>
  <c r="N1079" i="3"/>
  <c r="N1066" i="3"/>
  <c r="K1066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N1078" i="3"/>
  <c r="N1077" i="3"/>
  <c r="N1076" i="3"/>
  <c r="N1075" i="3"/>
  <c r="N1074" i="3"/>
  <c r="N1073" i="3"/>
  <c r="N1072" i="3"/>
  <c r="N1071" i="3"/>
  <c r="N1070" i="3"/>
  <c r="K1070" i="3"/>
  <c r="N1065" i="3"/>
  <c r="N1064" i="3"/>
  <c r="K1065" i="3"/>
  <c r="K1064" i="3"/>
  <c r="N1033" i="3"/>
  <c r="N1032" i="3"/>
  <c r="N1031" i="3"/>
  <c r="N1030" i="3"/>
  <c r="N1029" i="3"/>
  <c r="N1028" i="3"/>
  <c r="K1032" i="3"/>
  <c r="K1031" i="3"/>
  <c r="K1030" i="3"/>
  <c r="K1029" i="3"/>
  <c r="K1028" i="3"/>
  <c r="K1033" i="3"/>
  <c r="N1041" i="3"/>
  <c r="N1040" i="3"/>
  <c r="N1039" i="3"/>
  <c r="N1038" i="3"/>
  <c r="N1037" i="3"/>
  <c r="N1036" i="3"/>
  <c r="N1035" i="3"/>
  <c r="N1034" i="3"/>
  <c r="K1041" i="3"/>
  <c r="K1040" i="3"/>
  <c r="K1039" i="3"/>
  <c r="K1038" i="3"/>
  <c r="K1037" i="3"/>
  <c r="K1036" i="3"/>
  <c r="K1035" i="3"/>
  <c r="K1034" i="3"/>
  <c r="N1063" i="3"/>
  <c r="N1048" i="3"/>
  <c r="N1047" i="3"/>
  <c r="N1046" i="3"/>
  <c r="K1063" i="3"/>
  <c r="K1048" i="3"/>
  <c r="K1047" i="3"/>
  <c r="K1046" i="3"/>
  <c r="N1045" i="3"/>
  <c r="N1044" i="3"/>
  <c r="N1043" i="3"/>
  <c r="N1042" i="3"/>
  <c r="K1045" i="3"/>
  <c r="K1044" i="3"/>
  <c r="K1043" i="3"/>
  <c r="K1042" i="3"/>
  <c r="N1022" i="3"/>
  <c r="N1021" i="3"/>
  <c r="K1022" i="3"/>
  <c r="K1021" i="3"/>
  <c r="N1027" i="3"/>
  <c r="N1026" i="3"/>
  <c r="N1025" i="3"/>
  <c r="N1024" i="3"/>
  <c r="N1023" i="3"/>
  <c r="K1027" i="3"/>
  <c r="K1026" i="3"/>
  <c r="K1025" i="3"/>
  <c r="K1024" i="3"/>
  <c r="K1023" i="3"/>
  <c r="K1018" i="3"/>
  <c r="N1020" i="3"/>
  <c r="K1020" i="3"/>
  <c r="K1017" i="3"/>
  <c r="N1019" i="3"/>
  <c r="N1018" i="3"/>
  <c r="N1017" i="3"/>
  <c r="N1016" i="3"/>
  <c r="N1015" i="3"/>
  <c r="N1014" i="3"/>
  <c r="N1013" i="3"/>
  <c r="N1012" i="3"/>
  <c r="N1011" i="3"/>
  <c r="K1019" i="3"/>
  <c r="K1016" i="3"/>
  <c r="K1015" i="3"/>
  <c r="K1014" i="3"/>
  <c r="K1013" i="3"/>
  <c r="K1012" i="3"/>
  <c r="K1011" i="3"/>
  <c r="N1010" i="3"/>
  <c r="N1009" i="3"/>
  <c r="N1008" i="3"/>
  <c r="N1007" i="3"/>
  <c r="N1006" i="3"/>
  <c r="N1005" i="3"/>
  <c r="N1004" i="3"/>
  <c r="N1003" i="3"/>
  <c r="K1010" i="3"/>
  <c r="K1009" i="3"/>
  <c r="K1008" i="3"/>
  <c r="K1007" i="3"/>
  <c r="K1006" i="3"/>
  <c r="K1005" i="3"/>
  <c r="K1004" i="3"/>
  <c r="K1003" i="3"/>
  <c r="N1002" i="3"/>
  <c r="N1001" i="3"/>
  <c r="N1000" i="3"/>
  <c r="N999" i="3"/>
  <c r="N998" i="3"/>
  <c r="N997" i="3"/>
  <c r="K1002" i="3"/>
  <c r="K1001" i="3"/>
  <c r="K1000" i="3"/>
  <c r="K999" i="3"/>
  <c r="K998" i="3"/>
  <c r="K997" i="3"/>
  <c r="I1124" i="3"/>
  <c r="H1124" i="3"/>
  <c r="G1124" i="3"/>
  <c r="F1124" i="3"/>
  <c r="E1124" i="3"/>
  <c r="D1124" i="3"/>
  <c r="I1123" i="3"/>
  <c r="H1123" i="3"/>
  <c r="G1123" i="3"/>
  <c r="F1123" i="3"/>
  <c r="E1123" i="3"/>
  <c r="D1123" i="3"/>
  <c r="I1122" i="3"/>
  <c r="H1122" i="3"/>
  <c r="G1122" i="3"/>
  <c r="F1122" i="3"/>
  <c r="E1122" i="3"/>
  <c r="D1122" i="3"/>
  <c r="I1121" i="3"/>
  <c r="H1121" i="3"/>
  <c r="G1121" i="3"/>
  <c r="F1121" i="3"/>
  <c r="E1121" i="3"/>
  <c r="D1121" i="3"/>
  <c r="I1120" i="3"/>
  <c r="H1120" i="3"/>
  <c r="G1120" i="3"/>
  <c r="F1120" i="3"/>
  <c r="E1120" i="3"/>
  <c r="D1120" i="3"/>
  <c r="I1119" i="3"/>
  <c r="H1119" i="3"/>
  <c r="G1119" i="3"/>
  <c r="F1119" i="3"/>
  <c r="E1119" i="3"/>
  <c r="D1119" i="3"/>
  <c r="I1118" i="3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N996" i="3"/>
  <c r="K996" i="3"/>
  <c r="I996" i="3"/>
  <c r="H996" i="3"/>
  <c r="G996" i="3"/>
  <c r="F996" i="3"/>
  <c r="E996" i="3"/>
  <c r="D996" i="3"/>
  <c r="N995" i="3"/>
  <c r="K995" i="3"/>
  <c r="I995" i="3"/>
  <c r="H995" i="3"/>
  <c r="G995" i="3"/>
  <c r="F995" i="3"/>
  <c r="E995" i="3"/>
  <c r="D995" i="3"/>
  <c r="N994" i="3"/>
  <c r="K994" i="3"/>
  <c r="I994" i="3"/>
  <c r="H994" i="3"/>
  <c r="G994" i="3"/>
  <c r="F994" i="3"/>
  <c r="E994" i="3"/>
  <c r="D994" i="3"/>
  <c r="N993" i="3"/>
  <c r="K993" i="3"/>
  <c r="I993" i="3"/>
  <c r="H993" i="3"/>
  <c r="G993" i="3"/>
  <c r="F993" i="3"/>
  <c r="E993" i="3"/>
  <c r="D993" i="3"/>
  <c r="N992" i="3"/>
  <c r="K992" i="3"/>
  <c r="I992" i="3"/>
  <c r="H992" i="3"/>
  <c r="G992" i="3"/>
  <c r="F992" i="3"/>
  <c r="E992" i="3"/>
  <c r="D992" i="3"/>
  <c r="N991" i="3"/>
  <c r="K991" i="3"/>
  <c r="I991" i="3"/>
  <c r="H991" i="3"/>
  <c r="G991" i="3"/>
  <c r="F991" i="3"/>
  <c r="E991" i="3"/>
  <c r="D991" i="3"/>
  <c r="N990" i="3"/>
  <c r="K990" i="3"/>
  <c r="I990" i="3"/>
  <c r="H990" i="3"/>
  <c r="G990" i="3"/>
  <c r="F990" i="3"/>
  <c r="E990" i="3"/>
  <c r="D990" i="3"/>
  <c r="N989" i="3"/>
  <c r="K989" i="3"/>
  <c r="I989" i="3"/>
  <c r="H989" i="3"/>
  <c r="G989" i="3"/>
  <c r="F989" i="3"/>
  <c r="E989" i="3"/>
  <c r="D989" i="3"/>
  <c r="N988" i="3"/>
  <c r="K988" i="3"/>
  <c r="I988" i="3"/>
  <c r="H988" i="3"/>
  <c r="G988" i="3"/>
  <c r="F988" i="3"/>
  <c r="E988" i="3"/>
  <c r="D988" i="3"/>
  <c r="N987" i="3"/>
  <c r="K987" i="3"/>
  <c r="I987" i="3"/>
  <c r="H987" i="3"/>
  <c r="G987" i="3"/>
  <c r="F987" i="3"/>
  <c r="E987" i="3"/>
  <c r="D987" i="3"/>
  <c r="N986" i="3"/>
  <c r="K986" i="3"/>
  <c r="I986" i="3"/>
  <c r="H986" i="3"/>
  <c r="G986" i="3"/>
  <c r="F986" i="3"/>
  <c r="E986" i="3"/>
  <c r="D986" i="3"/>
  <c r="N985" i="3"/>
  <c r="K985" i="3"/>
  <c r="I985" i="3"/>
  <c r="H985" i="3"/>
  <c r="G985" i="3"/>
  <c r="F985" i="3"/>
  <c r="E985" i="3"/>
  <c r="D985" i="3"/>
  <c r="N984" i="3"/>
  <c r="K984" i="3"/>
  <c r="I984" i="3"/>
  <c r="H984" i="3"/>
  <c r="G984" i="3"/>
  <c r="F984" i="3"/>
  <c r="E984" i="3"/>
  <c r="D984" i="3"/>
  <c r="N983" i="3"/>
  <c r="K983" i="3"/>
  <c r="I983" i="3"/>
  <c r="H983" i="3"/>
  <c r="G983" i="3"/>
  <c r="F983" i="3"/>
  <c r="E983" i="3"/>
  <c r="D983" i="3"/>
  <c r="N982" i="3"/>
  <c r="K982" i="3"/>
  <c r="I982" i="3"/>
  <c r="H982" i="3"/>
  <c r="G982" i="3"/>
  <c r="F982" i="3"/>
  <c r="E982" i="3"/>
  <c r="D982" i="3"/>
  <c r="N981" i="3"/>
  <c r="K981" i="3"/>
  <c r="I981" i="3"/>
  <c r="H981" i="3"/>
  <c r="G981" i="3"/>
  <c r="F981" i="3"/>
  <c r="E981" i="3"/>
  <c r="D981" i="3"/>
  <c r="N980" i="3"/>
  <c r="K980" i="3"/>
  <c r="I980" i="3"/>
  <c r="H980" i="3"/>
  <c r="G980" i="3"/>
  <c r="F980" i="3"/>
  <c r="E980" i="3"/>
  <c r="D980" i="3"/>
  <c r="N979" i="3"/>
  <c r="K979" i="3"/>
  <c r="I979" i="3"/>
  <c r="H979" i="3"/>
  <c r="G979" i="3"/>
  <c r="F979" i="3"/>
  <c r="E979" i="3"/>
  <c r="D979" i="3"/>
  <c r="N978" i="3"/>
  <c r="K978" i="3"/>
  <c r="I978" i="3"/>
  <c r="H978" i="3"/>
  <c r="G978" i="3"/>
  <c r="F978" i="3"/>
  <c r="E978" i="3"/>
  <c r="D978" i="3"/>
  <c r="N977" i="3"/>
  <c r="K977" i="3"/>
  <c r="I977" i="3"/>
  <c r="H977" i="3"/>
  <c r="G977" i="3"/>
  <c r="F977" i="3"/>
  <c r="E977" i="3"/>
  <c r="D977" i="3"/>
  <c r="N976" i="3"/>
  <c r="K976" i="3"/>
  <c r="I976" i="3"/>
  <c r="H976" i="3"/>
  <c r="G976" i="3"/>
  <c r="F976" i="3"/>
  <c r="E976" i="3"/>
  <c r="D976" i="3"/>
  <c r="N975" i="3"/>
  <c r="K975" i="3"/>
  <c r="I975" i="3"/>
  <c r="H975" i="3"/>
  <c r="G975" i="3"/>
  <c r="F975" i="3"/>
  <c r="E975" i="3"/>
  <c r="D975" i="3"/>
  <c r="N974" i="3"/>
  <c r="K974" i="3"/>
  <c r="I974" i="3"/>
  <c r="H974" i="3"/>
  <c r="G974" i="3"/>
  <c r="F974" i="3"/>
  <c r="E974" i="3"/>
  <c r="D974" i="3"/>
  <c r="N973" i="3"/>
  <c r="K973" i="3"/>
  <c r="I973" i="3"/>
  <c r="H973" i="3"/>
  <c r="G973" i="3"/>
  <c r="F973" i="3"/>
  <c r="E973" i="3"/>
  <c r="D973" i="3"/>
  <c r="N972" i="3"/>
  <c r="K972" i="3"/>
  <c r="I972" i="3"/>
  <c r="H972" i="3"/>
  <c r="G972" i="3"/>
  <c r="F972" i="3"/>
  <c r="E972" i="3"/>
  <c r="D972" i="3"/>
  <c r="N971" i="3"/>
  <c r="K971" i="3"/>
  <c r="I971" i="3"/>
  <c r="H971" i="3"/>
  <c r="G971" i="3"/>
  <c r="F971" i="3"/>
  <c r="E971" i="3"/>
  <c r="D971" i="3"/>
  <c r="N970" i="3"/>
  <c r="K970" i="3"/>
  <c r="I970" i="3"/>
  <c r="H970" i="3"/>
  <c r="G970" i="3"/>
  <c r="F970" i="3"/>
  <c r="E970" i="3"/>
  <c r="D970" i="3"/>
  <c r="N969" i="3"/>
  <c r="K969" i="3"/>
  <c r="I969" i="3"/>
  <c r="H969" i="3"/>
  <c r="G969" i="3"/>
  <c r="F969" i="3"/>
  <c r="E969" i="3"/>
  <c r="D969" i="3"/>
  <c r="N968" i="3"/>
  <c r="K968" i="3"/>
  <c r="I968" i="3"/>
  <c r="H968" i="3"/>
  <c r="G968" i="3"/>
  <c r="F968" i="3"/>
  <c r="E968" i="3"/>
  <c r="D968" i="3"/>
  <c r="N967" i="3"/>
  <c r="K967" i="3"/>
  <c r="I967" i="3"/>
  <c r="H967" i="3"/>
  <c r="G967" i="3"/>
  <c r="F967" i="3"/>
  <c r="E967" i="3"/>
  <c r="D967" i="3"/>
  <c r="N966" i="3"/>
  <c r="K966" i="3"/>
  <c r="I966" i="3"/>
  <c r="H966" i="3"/>
  <c r="G966" i="3"/>
  <c r="F966" i="3"/>
  <c r="E966" i="3"/>
  <c r="D966" i="3"/>
  <c r="N965" i="3"/>
  <c r="K965" i="3"/>
  <c r="I965" i="3"/>
  <c r="H965" i="3"/>
  <c r="G965" i="3"/>
  <c r="F965" i="3"/>
  <c r="E965" i="3"/>
  <c r="D965" i="3"/>
  <c r="N964" i="3"/>
  <c r="K964" i="3"/>
  <c r="I964" i="3"/>
  <c r="H964" i="3"/>
  <c r="G964" i="3"/>
  <c r="F964" i="3"/>
  <c r="E964" i="3"/>
  <c r="D964" i="3"/>
  <c r="N963" i="3"/>
  <c r="K963" i="3"/>
  <c r="I963" i="3"/>
  <c r="H963" i="3"/>
  <c r="G963" i="3"/>
  <c r="F963" i="3"/>
  <c r="E963" i="3"/>
  <c r="D963" i="3"/>
  <c r="N962" i="3"/>
  <c r="K962" i="3"/>
  <c r="I962" i="3"/>
  <c r="H962" i="3"/>
  <c r="G962" i="3"/>
  <c r="F962" i="3"/>
  <c r="E962" i="3"/>
  <c r="D962" i="3"/>
  <c r="N961" i="3"/>
  <c r="K961" i="3"/>
  <c r="I961" i="3"/>
  <c r="H961" i="3"/>
  <c r="G961" i="3"/>
  <c r="F961" i="3"/>
  <c r="E961" i="3"/>
  <c r="D961" i="3"/>
  <c r="N960" i="3"/>
  <c r="K960" i="3"/>
  <c r="I960" i="3"/>
  <c r="H960" i="3"/>
  <c r="G960" i="3"/>
  <c r="F960" i="3"/>
  <c r="E960" i="3"/>
  <c r="D960" i="3"/>
  <c r="N959" i="3"/>
  <c r="K959" i="3"/>
  <c r="I959" i="3"/>
  <c r="H959" i="3"/>
  <c r="G959" i="3"/>
  <c r="F959" i="3"/>
  <c r="E959" i="3"/>
  <c r="D959" i="3"/>
  <c r="N958" i="3"/>
  <c r="K958" i="3"/>
  <c r="I958" i="3"/>
  <c r="H958" i="3"/>
  <c r="G958" i="3"/>
  <c r="F958" i="3"/>
  <c r="E958" i="3"/>
  <c r="D958" i="3"/>
  <c r="N957" i="3"/>
  <c r="K957" i="3"/>
  <c r="I957" i="3"/>
  <c r="H957" i="3"/>
  <c r="G957" i="3"/>
  <c r="F957" i="3"/>
  <c r="E957" i="3"/>
  <c r="D957" i="3"/>
  <c r="N956" i="3"/>
  <c r="K956" i="3"/>
  <c r="I956" i="3"/>
  <c r="H956" i="3"/>
  <c r="G956" i="3"/>
  <c r="F956" i="3"/>
  <c r="E956" i="3"/>
  <c r="D956" i="3"/>
  <c r="N955" i="3"/>
  <c r="K955" i="3"/>
  <c r="I955" i="3"/>
  <c r="H955" i="3"/>
  <c r="G955" i="3"/>
  <c r="F955" i="3"/>
  <c r="E955" i="3"/>
  <c r="D955" i="3"/>
  <c r="N954" i="3"/>
  <c r="K954" i="3"/>
  <c r="I954" i="3"/>
  <c r="H954" i="3"/>
  <c r="G954" i="3"/>
  <c r="F954" i="3"/>
  <c r="E954" i="3"/>
  <c r="D954" i="3"/>
  <c r="N953" i="3"/>
  <c r="K953" i="3"/>
  <c r="I953" i="3"/>
  <c r="H953" i="3"/>
  <c r="G953" i="3"/>
  <c r="F953" i="3"/>
  <c r="E953" i="3"/>
  <c r="D953" i="3"/>
  <c r="N952" i="3"/>
  <c r="K952" i="3"/>
  <c r="I952" i="3"/>
  <c r="H952" i="3"/>
  <c r="G952" i="3"/>
  <c r="F952" i="3"/>
  <c r="E952" i="3"/>
  <c r="D952" i="3"/>
  <c r="N951" i="3"/>
  <c r="K951" i="3"/>
  <c r="I951" i="3"/>
  <c r="H951" i="3"/>
  <c r="G951" i="3"/>
  <c r="F951" i="3"/>
  <c r="E951" i="3"/>
  <c r="D951" i="3"/>
  <c r="N950" i="3"/>
  <c r="K950" i="3"/>
  <c r="I950" i="3"/>
  <c r="H950" i="3"/>
  <c r="G950" i="3"/>
  <c r="F950" i="3"/>
  <c r="E950" i="3"/>
  <c r="D950" i="3"/>
  <c r="N949" i="3"/>
  <c r="K949" i="3"/>
  <c r="I949" i="3"/>
  <c r="H949" i="3"/>
  <c r="G949" i="3"/>
  <c r="F949" i="3"/>
  <c r="E949" i="3"/>
  <c r="D949" i="3"/>
  <c r="N948" i="3"/>
  <c r="K948" i="3"/>
  <c r="I948" i="3"/>
  <c r="H948" i="3"/>
  <c r="G948" i="3"/>
  <c r="F948" i="3"/>
  <c r="E948" i="3"/>
  <c r="D948" i="3"/>
  <c r="N947" i="3"/>
  <c r="K947" i="3"/>
  <c r="I947" i="3"/>
  <c r="H947" i="3"/>
  <c r="G947" i="3"/>
  <c r="F947" i="3"/>
  <c r="E947" i="3"/>
  <c r="D947" i="3"/>
  <c r="N946" i="3"/>
  <c r="K946" i="3"/>
  <c r="I946" i="3"/>
  <c r="H946" i="3"/>
  <c r="G946" i="3"/>
  <c r="F946" i="3"/>
  <c r="E946" i="3"/>
  <c r="D946" i="3"/>
  <c r="N945" i="3"/>
  <c r="K945" i="3"/>
  <c r="I945" i="3"/>
  <c r="H945" i="3"/>
  <c r="G945" i="3"/>
  <c r="F945" i="3"/>
  <c r="E945" i="3"/>
  <c r="D945" i="3"/>
  <c r="N944" i="3"/>
  <c r="K944" i="3"/>
  <c r="I944" i="3"/>
  <c r="H944" i="3"/>
  <c r="G944" i="3"/>
  <c r="F944" i="3"/>
  <c r="E944" i="3"/>
  <c r="D944" i="3"/>
  <c r="N943" i="3"/>
  <c r="K943" i="3"/>
  <c r="I943" i="3"/>
  <c r="H943" i="3"/>
  <c r="G943" i="3"/>
  <c r="F943" i="3"/>
  <c r="E943" i="3"/>
  <c r="D943" i="3"/>
  <c r="N942" i="3"/>
  <c r="K942" i="3"/>
  <c r="I942" i="3"/>
  <c r="H942" i="3"/>
  <c r="G942" i="3"/>
  <c r="F942" i="3"/>
  <c r="E942" i="3"/>
  <c r="D942" i="3"/>
  <c r="N941" i="3"/>
  <c r="K941" i="3"/>
  <c r="I941" i="3"/>
  <c r="H941" i="3"/>
  <c r="G941" i="3"/>
  <c r="F941" i="3"/>
  <c r="E941" i="3"/>
  <c r="D941" i="3"/>
  <c r="N940" i="3"/>
  <c r="K940" i="3"/>
  <c r="I940" i="3"/>
  <c r="H940" i="3"/>
  <c r="G940" i="3"/>
  <c r="F940" i="3"/>
  <c r="E940" i="3"/>
  <c r="D940" i="3"/>
  <c r="N939" i="3"/>
  <c r="K939" i="3"/>
  <c r="I939" i="3"/>
  <c r="H939" i="3"/>
  <c r="G939" i="3"/>
  <c r="F939" i="3"/>
  <c r="E939" i="3"/>
  <c r="D939" i="3"/>
  <c r="N938" i="3"/>
  <c r="K938" i="3"/>
  <c r="I938" i="3"/>
  <c r="H938" i="3"/>
  <c r="G938" i="3"/>
  <c r="F938" i="3"/>
  <c r="E938" i="3"/>
  <c r="D938" i="3"/>
  <c r="N937" i="3"/>
  <c r="K937" i="3"/>
  <c r="I937" i="3"/>
  <c r="H937" i="3"/>
  <c r="G937" i="3"/>
  <c r="F937" i="3"/>
  <c r="E937" i="3"/>
  <c r="D937" i="3"/>
  <c r="N936" i="3"/>
  <c r="K936" i="3"/>
  <c r="I936" i="3"/>
  <c r="H936" i="3"/>
  <c r="G936" i="3"/>
  <c r="F936" i="3"/>
  <c r="E936" i="3"/>
  <c r="D936" i="3"/>
  <c r="N935" i="3"/>
  <c r="K935" i="3"/>
  <c r="I935" i="3"/>
  <c r="H935" i="3"/>
  <c r="G935" i="3"/>
  <c r="F935" i="3"/>
  <c r="E935" i="3"/>
  <c r="D935" i="3"/>
  <c r="N934" i="3"/>
  <c r="K934" i="3"/>
  <c r="I934" i="3"/>
  <c r="H934" i="3"/>
  <c r="G934" i="3"/>
  <c r="F934" i="3"/>
  <c r="E934" i="3"/>
  <c r="D934" i="3"/>
  <c r="N933" i="3"/>
  <c r="K933" i="3"/>
  <c r="I933" i="3"/>
  <c r="H933" i="3"/>
  <c r="G933" i="3"/>
  <c r="F933" i="3"/>
  <c r="E933" i="3"/>
  <c r="D933" i="3"/>
  <c r="N932" i="3"/>
  <c r="K932" i="3"/>
  <c r="I932" i="3"/>
  <c r="H932" i="3"/>
  <c r="G932" i="3"/>
  <c r="F932" i="3"/>
  <c r="E932" i="3"/>
  <c r="D932" i="3"/>
  <c r="N931" i="3"/>
  <c r="K931" i="3"/>
  <c r="I931" i="3"/>
  <c r="H931" i="3"/>
  <c r="G931" i="3"/>
  <c r="F931" i="3"/>
  <c r="E931" i="3"/>
  <c r="D931" i="3"/>
  <c r="N930" i="3"/>
  <c r="K930" i="3"/>
  <c r="I930" i="3"/>
  <c r="H930" i="3"/>
  <c r="G930" i="3"/>
  <c r="F930" i="3"/>
  <c r="E930" i="3"/>
  <c r="D930" i="3"/>
  <c r="N929" i="3"/>
  <c r="K929" i="3"/>
  <c r="I929" i="3"/>
  <c r="H929" i="3"/>
  <c r="G929" i="3"/>
  <c r="F929" i="3"/>
  <c r="E929" i="3"/>
  <c r="D929" i="3"/>
  <c r="N928" i="3"/>
  <c r="K928" i="3"/>
  <c r="I928" i="3"/>
  <c r="H928" i="3"/>
  <c r="G928" i="3"/>
  <c r="F928" i="3"/>
  <c r="E928" i="3"/>
  <c r="D928" i="3"/>
  <c r="N927" i="3"/>
  <c r="K927" i="3"/>
  <c r="I927" i="3"/>
  <c r="H927" i="3"/>
  <c r="G927" i="3"/>
  <c r="F927" i="3"/>
  <c r="E927" i="3"/>
  <c r="D927" i="3"/>
  <c r="N926" i="3"/>
  <c r="K926" i="3"/>
  <c r="I926" i="3"/>
  <c r="H926" i="3"/>
  <c r="G926" i="3"/>
  <c r="F926" i="3"/>
  <c r="E926" i="3"/>
  <c r="D926" i="3"/>
  <c r="N925" i="3"/>
  <c r="K925" i="3"/>
  <c r="I925" i="3"/>
  <c r="H925" i="3"/>
  <c r="G925" i="3"/>
  <c r="F925" i="3"/>
  <c r="E925" i="3"/>
  <c r="D925" i="3"/>
  <c r="N924" i="3"/>
  <c r="K924" i="3"/>
  <c r="I924" i="3"/>
  <c r="H924" i="3"/>
  <c r="G924" i="3"/>
  <c r="F924" i="3"/>
  <c r="E924" i="3"/>
  <c r="D924" i="3"/>
  <c r="N923" i="3"/>
  <c r="K923" i="3"/>
  <c r="I923" i="3"/>
  <c r="H923" i="3"/>
  <c r="G923" i="3"/>
  <c r="F923" i="3"/>
  <c r="E923" i="3"/>
  <c r="D923" i="3"/>
  <c r="N922" i="3"/>
  <c r="K922" i="3"/>
  <c r="I922" i="3"/>
  <c r="H922" i="3"/>
  <c r="G922" i="3"/>
  <c r="F922" i="3"/>
  <c r="E922" i="3"/>
  <c r="D922" i="3"/>
  <c r="N921" i="3"/>
  <c r="K921" i="3"/>
  <c r="I921" i="3"/>
  <c r="H921" i="3"/>
  <c r="G921" i="3"/>
  <c r="F921" i="3"/>
  <c r="E921" i="3"/>
  <c r="D921" i="3"/>
  <c r="N920" i="3"/>
  <c r="K920" i="3"/>
  <c r="I920" i="3"/>
  <c r="H920" i="3"/>
  <c r="G920" i="3"/>
  <c r="F920" i="3"/>
  <c r="E920" i="3"/>
  <c r="D920" i="3"/>
  <c r="N919" i="3"/>
  <c r="K919" i="3"/>
  <c r="I919" i="3"/>
  <c r="H919" i="3"/>
  <c r="G919" i="3"/>
  <c r="F919" i="3"/>
  <c r="E919" i="3"/>
  <c r="D919" i="3"/>
  <c r="N918" i="3"/>
  <c r="K918" i="3"/>
  <c r="I918" i="3"/>
  <c r="H918" i="3"/>
  <c r="G918" i="3"/>
  <c r="F918" i="3"/>
  <c r="E918" i="3"/>
  <c r="D918" i="3"/>
  <c r="N917" i="3"/>
  <c r="K917" i="3"/>
  <c r="I917" i="3"/>
  <c r="H917" i="3"/>
  <c r="G917" i="3"/>
  <c r="F917" i="3"/>
  <c r="E917" i="3"/>
  <c r="D917" i="3"/>
  <c r="N916" i="3"/>
  <c r="K916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B1" i="2" l="1"/>
  <c r="D6" i="2" s="1"/>
  <c r="H6" i="2" l="1"/>
  <c r="G6" i="2"/>
  <c r="F6" i="2"/>
  <c r="E6" i="2"/>
  <c r="L6" i="2"/>
  <c r="K6" i="2"/>
  <c r="J6" i="2"/>
  <c r="C6" i="2"/>
  <c r="M6" i="2"/>
  <c r="U6" i="2"/>
  <c r="T6" i="2"/>
  <c r="R6" i="2"/>
  <c r="S6" i="2"/>
  <c r="N6" i="2"/>
  <c r="P6" i="2"/>
  <c r="O6" i="2"/>
  <c r="X10" i="2"/>
  <c r="X6" i="2"/>
  <c r="W6" i="2"/>
  <c r="V6" i="2"/>
  <c r="X14" i="2"/>
  <c r="K14" i="2"/>
  <c r="J14" i="2"/>
  <c r="H14" i="2"/>
  <c r="G14" i="2"/>
  <c r="F14" i="2"/>
  <c r="W14" i="2"/>
  <c r="V14" i="2"/>
  <c r="U14" i="2"/>
  <c r="T14" i="2"/>
  <c r="S14" i="2"/>
  <c r="E14" i="2"/>
  <c r="R14" i="2"/>
  <c r="D14" i="2"/>
  <c r="C14" i="2"/>
  <c r="P14" i="2"/>
  <c r="O14" i="2"/>
  <c r="N14" i="2"/>
  <c r="M14" i="2"/>
  <c r="L14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</calcChain>
</file>

<file path=xl/sharedStrings.xml><?xml version="1.0" encoding="utf-8"?>
<sst xmlns="http://schemas.openxmlformats.org/spreadsheetml/2006/main" count="4872" uniqueCount="1248">
  <si>
    <t>Tanggal Tanam</t>
  </si>
  <si>
    <t>AA001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</si>
  <si>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</si>
  <si>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</si>
  <si>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</si>
  <si>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</si>
  <si>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</si>
  <si>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</si>
  <si>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</si>
  <si>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</si>
  <si>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</si>
  <si>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</si>
  <si>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</si>
  <si>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</si>
  <si>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</si>
  <si>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</si>
  <si>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</si>
  <si>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</si>
  <si>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</si>
  <si>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</si>
  <si>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</si>
  <si>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</si>
  <si>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</si>
  <si>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</si>
  <si>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</si>
  <si>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</si>
  <si>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</si>
  <si>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</si>
  <si>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</si>
  <si>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</si>
  <si>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</si>
  <si>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</si>
  <si>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</si>
  <si>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</si>
  <si>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</si>
  <si>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</si>
  <si>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</si>
  <si>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</si>
  <si>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</si>
  <si>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</si>
  <si>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</si>
  <si>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</si>
  <si>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</si>
  <si>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</si>
  <si>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</si>
  <si>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</si>
  <si>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</si>
  <si>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</si>
  <si>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</si>
  <si>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</si>
  <si>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</si>
  <si>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</si>
  <si>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</si>
  <si>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</si>
  <si>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</si>
  <si>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</si>
  <si>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</si>
  <si>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</si>
  <si>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</si>
  <si>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</si>
  <si>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</si>
  <si>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</si>
  <si>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</si>
  <si>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</si>
  <si>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</si>
  <si>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</si>
  <si>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</si>
  <si>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</si>
  <si>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</si>
  <si>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</si>
  <si>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</si>
  <si>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</si>
  <si>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</si>
  <si>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</si>
  <si>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</si>
  <si>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</si>
  <si>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</si>
  <si>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</si>
  <si>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</si>
  <si>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</si>
  <si>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</si>
  <si>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</si>
  <si>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</si>
  <si>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</si>
  <si>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</si>
  <si>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</si>
  <si>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</si>
  <si>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</si>
  <si>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</si>
  <si>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</si>
  <si>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</si>
  <si>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</si>
  <si>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</si>
  <si>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</si>
  <si>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</si>
  <si>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</si>
  <si>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</si>
  <si>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</si>
  <si>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</si>
  <si>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</si>
  <si>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</si>
  <si>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BC001</t>
  </si>
  <si>
    <t>BC002</t>
  </si>
  <si>
    <t>BC003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</si>
  <si>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</si>
  <si>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</si>
  <si>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</si>
  <si>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</si>
  <si>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</si>
  <si>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</si>
  <si>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</si>
  <si>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</si>
  <si>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</si>
  <si>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</si>
  <si>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</si>
  <si>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</si>
  <si>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</si>
  <si>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</si>
  <si>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</si>
  <si>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</si>
  <si>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</si>
  <si>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</si>
  <si>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</si>
  <si>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</si>
  <si>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</si>
  <si>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</si>
  <si>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</si>
  <si>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</si>
  <si>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</si>
  <si>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</si>
  <si>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</si>
  <si>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</si>
  <si>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</si>
  <si>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</si>
  <si>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</si>
  <si>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</si>
  <si>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</si>
  <si>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</si>
  <si>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Legend</t>
  </si>
  <si>
    <t>No Bedeng</t>
  </si>
  <si>
    <t>Umur Tanaman</t>
  </si>
  <si>
    <t>Bedeng Kosong</t>
  </si>
  <si>
    <t/>
  </si>
  <si>
    <t>Ngo Gai</t>
  </si>
  <si>
    <t>Rau Que</t>
  </si>
  <si>
    <t>tanggal</t>
  </si>
  <si>
    <t>bedeng</t>
  </si>
  <si>
    <t>AC06</t>
  </si>
  <si>
    <t>AC01</t>
  </si>
  <si>
    <t>AC02</t>
  </si>
  <si>
    <t>AC03</t>
  </si>
  <si>
    <t>AC04</t>
  </si>
  <si>
    <t>AC05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</si>
  <si>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</si>
  <si>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</si>
  <si>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</si>
  <si>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</si>
  <si>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</si>
  <si>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</si>
  <si>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</si>
  <si>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</si>
  <si>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</si>
  <si>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</si>
  <si>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</si>
  <si>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</si>
  <si>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</si>
  <si>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</si>
  <si>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</si>
  <si>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</si>
  <si>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</si>
  <si>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</si>
  <si>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</si>
  <si>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</si>
  <si>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</si>
  <si>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</si>
  <si>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</si>
  <si>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</si>
  <si>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</si>
  <si>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</si>
  <si>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</si>
  <si>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</si>
  <si>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</si>
  <si>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</si>
  <si>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</si>
  <si>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</si>
  <si>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</si>
  <si>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</si>
  <si>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</si>
  <si>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</si>
  <si>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</si>
  <si>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</si>
  <si>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</si>
  <si>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</si>
  <si>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</si>
  <si>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</si>
  <si>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</si>
  <si>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</si>
  <si>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</si>
  <si>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</si>
  <si>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</si>
  <si>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</si>
  <si>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</si>
  <si>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</si>
  <si>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</si>
  <si>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</si>
  <si>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</si>
  <si>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</si>
  <si>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</si>
  <si>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</si>
  <si>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</si>
  <si>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</si>
  <si>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</si>
  <si>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</si>
  <si>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</si>
  <si>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</si>
  <si>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</si>
  <si>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</si>
  <si>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</si>
  <si>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</si>
  <si>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</si>
  <si>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</si>
  <si>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</si>
  <si>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</si>
  <si>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</si>
  <si>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</si>
  <si>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</si>
  <si>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</si>
  <si>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</si>
  <si>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</si>
  <si>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</si>
  <si>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</si>
  <si>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</si>
  <si>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</si>
  <si>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</si>
  <si>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</si>
  <si>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</si>
  <si>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</si>
  <si>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</si>
  <si>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</si>
  <si>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</si>
  <si>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</si>
  <si>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</si>
  <si>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</si>
  <si>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</si>
  <si>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</si>
  <si>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</si>
  <si>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</si>
  <si>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</si>
  <si>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</si>
  <si>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</si>
  <si>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</si>
  <si>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</si>
  <si>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</si>
  <si>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</si>
  <si>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</si>
  <si>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</si>
  <si>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</si>
  <si>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</si>
  <si>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</si>
  <si>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</si>
  <si>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</si>
  <si>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</si>
  <si>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</si>
  <si>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</si>
  <si>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</si>
  <si>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</si>
  <si>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</si>
  <si>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</si>
  <si>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</si>
  <si>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</si>
  <si>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</si>
  <si>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</si>
  <si>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</si>
  <si>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</si>
  <si>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</si>
  <si>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</si>
  <si>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</si>
  <si>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</si>
  <si>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</si>
  <si>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</si>
  <si>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</si>
  <si>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</si>
  <si>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</si>
  <si>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</si>
  <si>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</si>
  <si>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</si>
  <si>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</si>
  <si>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</si>
  <si>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</si>
  <si>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</si>
  <si>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</si>
  <si>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</si>
  <si>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</si>
  <si>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</si>
  <si>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</si>
  <si>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</si>
  <si>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</si>
  <si>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</si>
  <si>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</si>
  <si>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</si>
  <si>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</si>
  <si>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</si>
  <si>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</si>
  <si>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</si>
  <si>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</si>
  <si>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</si>
  <si>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</si>
  <si>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</si>
  <si>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</si>
  <si>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</si>
  <si>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</si>
  <si>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</si>
  <si>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</si>
  <si>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</si>
  <si>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</si>
  <si>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</si>
  <si>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</si>
  <si>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</si>
  <si>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</si>
  <si>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</si>
  <si>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</si>
  <si>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</si>
  <si>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</si>
  <si>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</si>
  <si>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</si>
  <si>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</si>
  <si>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</si>
  <si>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</si>
  <si>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</si>
  <si>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</si>
  <si>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</si>
  <si>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</si>
  <si>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</si>
  <si>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</si>
  <si>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</si>
  <si>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</si>
  <si>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</si>
  <si>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</si>
  <si>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</si>
  <si>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</si>
  <si>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</si>
  <si>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</si>
  <si>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</si>
  <si>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</si>
  <si>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</si>
  <si>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</si>
  <si>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</si>
  <si>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</si>
  <si>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</si>
  <si>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</si>
  <si>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</si>
  <si>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</si>
  <si>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</si>
  <si>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</si>
  <si>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</si>
  <si>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</si>
  <si>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</si>
  <si>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</si>
  <si>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</si>
  <si>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</si>
  <si>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</si>
  <si>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</si>
  <si>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</si>
  <si>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</si>
  <si>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</si>
  <si>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</si>
  <si>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</si>
  <si>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</si>
  <si>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</si>
  <si>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</si>
  <si>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</si>
  <si>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</si>
  <si>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</si>
  <si>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</si>
  <si>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</si>
  <si>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</si>
  <si>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</si>
  <si>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</si>
  <si>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</si>
  <si>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</si>
  <si>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</si>
  <si>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</si>
  <si>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</si>
  <si>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</si>
  <si>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</si>
  <si>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</si>
  <si>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</si>
  <si>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</si>
  <si>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</si>
  <si>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</si>
  <si>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</si>
  <si>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</si>
  <si>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</si>
  <si>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</si>
  <si>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</si>
  <si>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</si>
  <si>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</si>
  <si>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</si>
  <si>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</si>
  <si>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</si>
  <si>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</si>
  <si>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</si>
  <si>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</si>
  <si>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</si>
  <si>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</si>
  <si>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</si>
  <si>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</si>
  <si>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</si>
  <si>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</si>
  <si>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</si>
  <si>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</si>
  <si>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</si>
  <si>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</si>
  <si>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</si>
  <si>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</si>
  <si>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</si>
  <si>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</si>
  <si>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</si>
  <si>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</si>
  <si>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</si>
  <si>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</si>
  <si>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</si>
  <si>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</si>
  <si>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</si>
  <si>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</si>
  <si>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</si>
  <si>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</si>
  <si>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</si>
  <si>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</si>
  <si>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</si>
  <si>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</si>
  <si>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</si>
  <si>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</si>
  <si>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</si>
  <si>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</si>
  <si>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</si>
  <si>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</si>
  <si>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</si>
  <si>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</si>
  <si>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</si>
  <si>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</si>
  <si>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</si>
  <si>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</si>
  <si>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</si>
  <si>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</si>
  <si>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</si>
  <si>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</si>
  <si>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</si>
  <si>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</si>
  <si>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</si>
  <si>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</si>
  <si>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</si>
  <si>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</si>
  <si>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</si>
  <si>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</si>
  <si>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</si>
  <si>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</si>
  <si>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</si>
  <si>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</si>
  <si>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</si>
  <si>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</si>
  <si>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</si>
  <si>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</si>
  <si>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</si>
  <si>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</si>
  <si>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</si>
  <si>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</si>
  <si>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</si>
  <si>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</si>
  <si>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</si>
  <si>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</si>
  <si>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</si>
  <si>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</si>
  <si>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</si>
  <si>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</si>
  <si>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</si>
  <si>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</si>
  <si>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</si>
  <si>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</si>
  <si>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</si>
  <si>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</si>
  <si>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</si>
  <si>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</si>
  <si>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</si>
  <si>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</si>
  <si>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</si>
  <si>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</si>
  <si>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</si>
  <si>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</si>
  <si>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</si>
  <si>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</si>
  <si>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</si>
  <si>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</si>
  <si>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</si>
  <si>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</si>
  <si>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</si>
  <si>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</si>
  <si>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</si>
  <si>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</si>
  <si>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</si>
  <si>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</si>
  <si>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</si>
  <si>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</si>
  <si>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</si>
  <si>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</si>
  <si>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</si>
  <si>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</si>
  <si>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</si>
  <si>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</si>
  <si>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</si>
  <si>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</si>
  <si>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</si>
  <si>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</si>
  <si>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</si>
  <si>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</si>
  <si>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</si>
  <si>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</si>
  <si>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</si>
  <si>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</si>
  <si>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</si>
  <si>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</si>
  <si>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</si>
  <si>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</si>
  <si>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</si>
  <si>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</si>
  <si>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</si>
  <si>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</si>
  <si>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</si>
  <si>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</si>
  <si>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</si>
  <si>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</si>
  <si>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</si>
  <si>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</si>
  <si>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</si>
  <si>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</si>
  <si>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</si>
  <si>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</si>
  <si>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</si>
  <si>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</si>
  <si>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</si>
  <si>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</si>
  <si>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</si>
  <si>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</si>
  <si>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</si>
  <si>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</si>
  <si>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</si>
  <si>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</si>
  <si>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</si>
  <si>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</si>
  <si>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</si>
  <si>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</si>
  <si>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</si>
  <si>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</si>
  <si>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</si>
  <si>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</si>
  <si>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</si>
  <si>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</si>
  <si>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</si>
  <si>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</si>
  <si>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</si>
  <si>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</si>
  <si>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</si>
  <si>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</si>
  <si>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</si>
  <si>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</si>
  <si>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</si>
  <si>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</si>
  <si>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</si>
  <si>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</si>
  <si>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</si>
  <si>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</si>
  <si>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</si>
  <si>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</si>
  <si>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</si>
  <si>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</si>
  <si>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</si>
  <si>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</si>
  <si>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</si>
  <si>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</si>
  <si>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</si>
  <si>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</si>
  <si>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</si>
  <si>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</si>
  <si>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</si>
  <si>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</si>
  <si>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</si>
  <si>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</si>
  <si>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</si>
  <si>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</si>
  <si>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</si>
  <si>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</si>
  <si>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</si>
  <si>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</si>
  <si>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</si>
  <si>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</si>
  <si>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</si>
  <si>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</si>
  <si>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</si>
  <si>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</si>
  <si>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</si>
  <si>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</si>
  <si>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</si>
  <si>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</si>
  <si>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</si>
  <si>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</si>
  <si>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</si>
  <si>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</si>
  <si>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</si>
  <si>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</si>
  <si>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</si>
  <si>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</si>
  <si>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</si>
  <si>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</si>
  <si>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</si>
  <si>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</si>
  <si>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</si>
  <si>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</si>
  <si>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</si>
  <si>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</si>
  <si>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</si>
  <si>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</si>
  <si>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</si>
  <si>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</si>
  <si>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</si>
  <si>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</si>
  <si>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</si>
  <si>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</si>
  <si>
    <t>BS-CD07</t>
  </si>
  <si>
    <t>BS-CD08</t>
  </si>
  <si>
    <t>BS-CD09</t>
  </si>
  <si>
    <t>BS-CD10</t>
  </si>
  <si>
    <t>Lokasi : Bojongsari (BJ)</t>
  </si>
  <si>
    <t xml:space="preserve">Kode </t>
  </si>
  <si>
    <t>Kode baru</t>
  </si>
  <si>
    <t>Vegy</t>
  </si>
  <si>
    <t>Tgl Tanam</t>
  </si>
  <si>
    <t>Panen Terakhir</t>
  </si>
  <si>
    <t>BS.AA01</t>
  </si>
  <si>
    <t>A001</t>
  </si>
  <si>
    <t>BS.AA02</t>
  </si>
  <si>
    <t>A002</t>
  </si>
  <si>
    <t>BS.DA10</t>
  </si>
  <si>
    <t>N010</t>
  </si>
  <si>
    <t>BS.DA11</t>
  </si>
  <si>
    <t>N011</t>
  </si>
  <si>
    <t>BS.DA12</t>
  </si>
  <si>
    <t>N012</t>
  </si>
  <si>
    <t>BS.DA13</t>
  </si>
  <si>
    <t>N013</t>
  </si>
  <si>
    <t>BS.DA14</t>
  </si>
  <si>
    <t>N014</t>
  </si>
  <si>
    <t>BS.DA15</t>
  </si>
  <si>
    <t>N015</t>
  </si>
  <si>
    <t>BS.DA16</t>
  </si>
  <si>
    <t>N016</t>
  </si>
  <si>
    <t>BS.DA17</t>
  </si>
  <si>
    <t>N017</t>
  </si>
  <si>
    <t>BS.DA18</t>
  </si>
  <si>
    <t>N018</t>
  </si>
  <si>
    <t>BS.CC17</t>
  </si>
  <si>
    <t>K017</t>
  </si>
  <si>
    <t>BS.CC18</t>
  </si>
  <si>
    <t>K018</t>
  </si>
  <si>
    <t>BS.CC19</t>
  </si>
  <si>
    <t>K019</t>
  </si>
  <si>
    <t>BS.CC20</t>
  </si>
  <si>
    <t>K020</t>
  </si>
  <si>
    <t>BS.CC15</t>
  </si>
  <si>
    <t>K015</t>
  </si>
  <si>
    <t>BS.CC16</t>
  </si>
  <si>
    <t>K016</t>
  </si>
  <si>
    <t>BS.CC03</t>
  </si>
  <si>
    <t>K003</t>
  </si>
  <si>
    <t>BS.CC04</t>
  </si>
  <si>
    <t>K004</t>
  </si>
  <si>
    <t>BS.CC05</t>
  </si>
  <si>
    <t>K005</t>
  </si>
  <si>
    <t>BS.CC06</t>
  </si>
  <si>
    <t>K006</t>
  </si>
  <si>
    <t>BS.CC07</t>
  </si>
  <si>
    <t>K007</t>
  </si>
  <si>
    <t>BS.CC08</t>
  </si>
  <si>
    <t>K008</t>
  </si>
  <si>
    <t>BS.CC09</t>
  </si>
  <si>
    <t>K009</t>
  </si>
  <si>
    <t>BS.CC10</t>
  </si>
  <si>
    <t>K010</t>
  </si>
  <si>
    <t>BS.CC11</t>
  </si>
  <si>
    <t>K011</t>
  </si>
  <si>
    <t>BS.CC12</t>
  </si>
  <si>
    <t>K012</t>
  </si>
  <si>
    <t>BS.CC13</t>
  </si>
  <si>
    <t>K013</t>
  </si>
  <si>
    <t>BS.CC14</t>
  </si>
  <si>
    <t>K014</t>
  </si>
  <si>
    <t>BS.AB01</t>
  </si>
  <si>
    <t>B001</t>
  </si>
  <si>
    <t>BS.AB02</t>
  </si>
  <si>
    <t>B002</t>
  </si>
  <si>
    <t>BS.AB03</t>
  </si>
  <si>
    <t>B003</t>
  </si>
  <si>
    <t>BS.AB04</t>
  </si>
  <si>
    <t>B004</t>
  </si>
  <si>
    <t>BS.AB05</t>
  </si>
  <si>
    <t>B005</t>
  </si>
  <si>
    <t>BS.AB06</t>
  </si>
  <si>
    <t>B006</t>
  </si>
  <si>
    <t>BS.AB07</t>
  </si>
  <si>
    <t>B007</t>
  </si>
  <si>
    <t>BS.AB08</t>
  </si>
  <si>
    <t>B008</t>
  </si>
  <si>
    <t>BS.AB09</t>
  </si>
  <si>
    <t>B009</t>
  </si>
  <si>
    <t>BS.AB10</t>
  </si>
  <si>
    <t>B010</t>
  </si>
  <si>
    <t>BS.AB11</t>
  </si>
  <si>
    <t>B011</t>
  </si>
  <si>
    <t>BS.AB12</t>
  </si>
  <si>
    <t>B012</t>
  </si>
  <si>
    <t>BS.AB13</t>
  </si>
  <si>
    <t>B013</t>
  </si>
  <si>
    <t>BS.AB14</t>
  </si>
  <si>
    <t>B014</t>
  </si>
  <si>
    <t>BS.BC01</t>
  </si>
  <si>
    <t>G001</t>
  </si>
  <si>
    <t>BS.BC02</t>
  </si>
  <si>
    <t>G002</t>
  </si>
  <si>
    <t>BS.BC03</t>
  </si>
  <si>
    <t>G003</t>
  </si>
  <si>
    <t>BS.BC04</t>
  </si>
  <si>
    <t>G004</t>
  </si>
  <si>
    <t>BS.BC05</t>
  </si>
  <si>
    <t>G005</t>
  </si>
  <si>
    <t>BS.BC06</t>
  </si>
  <si>
    <t>G006</t>
  </si>
  <si>
    <t>BS.BC07</t>
  </si>
  <si>
    <t>G007</t>
  </si>
  <si>
    <t>BS.BC08</t>
  </si>
  <si>
    <t>G008</t>
  </si>
  <si>
    <t>BS.BC09</t>
  </si>
  <si>
    <t>G009</t>
  </si>
  <si>
    <t>BS.BC10</t>
  </si>
  <si>
    <t>G010</t>
  </si>
  <si>
    <t>BS.BC11</t>
  </si>
  <si>
    <t>G011</t>
  </si>
  <si>
    <t>BS.BC12</t>
  </si>
  <si>
    <t>G012</t>
  </si>
  <si>
    <t>BS.BC13</t>
  </si>
  <si>
    <t>G013</t>
  </si>
  <si>
    <t>BS.BC14</t>
  </si>
  <si>
    <t>G014</t>
  </si>
  <si>
    <t>BS.BC15</t>
  </si>
  <si>
    <t>G015</t>
  </si>
  <si>
    <t>BS.BC16</t>
  </si>
  <si>
    <t>G016</t>
  </si>
  <si>
    <t>BS.BC17</t>
  </si>
  <si>
    <t>G017</t>
  </si>
  <si>
    <t>BS.BB01</t>
  </si>
  <si>
    <t>F001</t>
  </si>
  <si>
    <t>BS.BB02</t>
  </si>
  <si>
    <t>F002</t>
  </si>
  <si>
    <t>BS.BB03</t>
  </si>
  <si>
    <t>F003</t>
  </si>
  <si>
    <t>BS.BB04</t>
  </si>
  <si>
    <t>F004</t>
  </si>
  <si>
    <t>BS.BB05</t>
  </si>
  <si>
    <t>F005</t>
  </si>
  <si>
    <t>BS.BB06</t>
  </si>
  <si>
    <t>F006</t>
  </si>
  <si>
    <t>BS.BB07</t>
  </si>
  <si>
    <t>F007</t>
  </si>
  <si>
    <t>BS.BB08</t>
  </si>
  <si>
    <t>F008</t>
  </si>
  <si>
    <t>BS.BB09</t>
  </si>
  <si>
    <t>F009</t>
  </si>
  <si>
    <t>BS.BB10</t>
  </si>
  <si>
    <t>F010</t>
  </si>
  <si>
    <t>BS.BB11</t>
  </si>
  <si>
    <t>F011</t>
  </si>
  <si>
    <t>BS.BB12</t>
  </si>
  <si>
    <t>F012</t>
  </si>
  <si>
    <t>BS.BB13</t>
  </si>
  <si>
    <t>F013</t>
  </si>
  <si>
    <t>BS.BB14</t>
  </si>
  <si>
    <t>F014</t>
  </si>
  <si>
    <t>BS.BA01</t>
  </si>
  <si>
    <t>E001</t>
  </si>
  <si>
    <t>BS.BA02</t>
  </si>
  <si>
    <t>E002</t>
  </si>
  <si>
    <t>BS.BA03</t>
  </si>
  <si>
    <t>E003</t>
  </si>
  <si>
    <t>BS.BA04</t>
  </si>
  <si>
    <t>E004</t>
  </si>
  <si>
    <t>BS.BA05</t>
  </si>
  <si>
    <t>E005</t>
  </si>
  <si>
    <t>BS.BA06</t>
  </si>
  <si>
    <t>E006</t>
  </si>
  <si>
    <t>BS.BA07</t>
  </si>
  <si>
    <t>E007</t>
  </si>
  <si>
    <t>BS.BA08</t>
  </si>
  <si>
    <t>E008</t>
  </si>
  <si>
    <t>BS.BB15</t>
  </si>
  <si>
    <t>F015</t>
  </si>
  <si>
    <t>BS.BB16</t>
  </si>
  <si>
    <t>F016</t>
  </si>
  <si>
    <t>BS.BB17</t>
  </si>
  <si>
    <t>F017</t>
  </si>
  <si>
    <t>BS.BB18</t>
  </si>
  <si>
    <t>F018</t>
  </si>
  <si>
    <t>BS.BB19</t>
  </si>
  <si>
    <t>F019</t>
  </si>
  <si>
    <t>BS.BA09</t>
  </si>
  <si>
    <t>E009</t>
  </si>
  <si>
    <t>BS.BA10</t>
  </si>
  <si>
    <t>E010</t>
  </si>
  <si>
    <t>BS.BA11</t>
  </si>
  <si>
    <t>E011</t>
  </si>
  <si>
    <t>BS.BA12</t>
  </si>
  <si>
    <t>E012</t>
  </si>
  <si>
    <t>BS.BA13</t>
  </si>
  <si>
    <t>E013</t>
  </si>
  <si>
    <t>BS.BA14</t>
  </si>
  <si>
    <t>E014</t>
  </si>
  <si>
    <t>BS.BA15</t>
  </si>
  <si>
    <t>E015</t>
  </si>
  <si>
    <t>BS.BA16</t>
  </si>
  <si>
    <t>E016</t>
  </si>
  <si>
    <t>BS.BA17</t>
  </si>
  <si>
    <t>E017</t>
  </si>
  <si>
    <t>BS.BA18</t>
  </si>
  <si>
    <t>E018</t>
  </si>
  <si>
    <t>BS.BA19</t>
  </si>
  <si>
    <t>E019</t>
  </si>
  <si>
    <t>BS.AA03</t>
  </si>
  <si>
    <t>A003</t>
  </si>
  <si>
    <t>BS.AA04</t>
  </si>
  <si>
    <t>A004</t>
  </si>
  <si>
    <t>BS.AA05</t>
  </si>
  <si>
    <t>A005</t>
  </si>
  <si>
    <t>BS.AA06</t>
  </si>
  <si>
    <t>A006</t>
  </si>
  <si>
    <t>BS.AA07</t>
  </si>
  <si>
    <t>A007</t>
  </si>
  <si>
    <t>BS.AA08</t>
  </si>
  <si>
    <t>A008</t>
  </si>
  <si>
    <t>BS.AA09</t>
  </si>
  <si>
    <t>A009</t>
  </si>
  <si>
    <t>BS.AA10</t>
  </si>
  <si>
    <t>A010</t>
  </si>
  <si>
    <t>BS.AA11</t>
  </si>
  <si>
    <t>A011</t>
  </si>
  <si>
    <t>BS.AA12</t>
  </si>
  <si>
    <t>A012</t>
  </si>
  <si>
    <t>BS.BD11</t>
  </si>
  <si>
    <t>H011</t>
  </si>
  <si>
    <t>BS.BD12</t>
  </si>
  <si>
    <t>H012</t>
  </si>
  <si>
    <t>BS.BD13</t>
  </si>
  <si>
    <t>H013</t>
  </si>
  <si>
    <t>BS.BD14</t>
  </si>
  <si>
    <t>H014</t>
  </si>
  <si>
    <t>BS.BD15</t>
  </si>
  <si>
    <t>H015</t>
  </si>
  <si>
    <t>BS.BD16</t>
  </si>
  <si>
    <t>H016</t>
  </si>
  <si>
    <t>BS.BD17</t>
  </si>
  <si>
    <t>H017</t>
  </si>
  <si>
    <t>BS.BD18</t>
  </si>
  <si>
    <t>H018</t>
  </si>
  <si>
    <t>BS.BD19</t>
  </si>
  <si>
    <t>H019</t>
  </si>
  <si>
    <t>BS.BD20</t>
  </si>
  <si>
    <t>H020</t>
  </si>
  <si>
    <t>BS.CC21</t>
  </si>
  <si>
    <t>K021</t>
  </si>
  <si>
    <t>BS.AA13</t>
  </si>
  <si>
    <t>A013</t>
  </si>
  <si>
    <t>BS.AA14</t>
  </si>
  <si>
    <t>A014</t>
  </si>
  <si>
    <t>BS.AA15</t>
  </si>
  <si>
    <t>A015</t>
  </si>
  <si>
    <t>BS.AA16</t>
  </si>
  <si>
    <t>A016</t>
  </si>
  <si>
    <t>BS.AA17</t>
  </si>
  <si>
    <t>A017</t>
  </si>
  <si>
    <t>BS.AA18</t>
  </si>
  <si>
    <t>A018</t>
  </si>
  <si>
    <t>BS.AA19</t>
  </si>
  <si>
    <t>A019</t>
  </si>
  <si>
    <t>BS.AA20</t>
  </si>
  <si>
    <t>A020</t>
  </si>
  <si>
    <t>BS.BD01</t>
  </si>
  <si>
    <t>H001</t>
  </si>
  <si>
    <t>BS.BD02</t>
  </si>
  <si>
    <t>H002</t>
  </si>
  <si>
    <t>BS.BD03</t>
  </si>
  <si>
    <t>H003</t>
  </si>
  <si>
    <t>BS.BD04</t>
  </si>
  <si>
    <t>H004</t>
  </si>
  <si>
    <t>BS.BD05</t>
  </si>
  <si>
    <t>H005</t>
  </si>
  <si>
    <t>BS.BD06</t>
  </si>
  <si>
    <t>H006</t>
  </si>
  <si>
    <t>BS.BD07</t>
  </si>
  <si>
    <t>H007</t>
  </si>
  <si>
    <t>BS.BD08</t>
  </si>
  <si>
    <t>H008</t>
  </si>
  <si>
    <t>BS.BD09</t>
  </si>
  <si>
    <t>H009</t>
  </si>
  <si>
    <t>BS.BD10</t>
  </si>
  <si>
    <t>H010</t>
  </si>
  <si>
    <t>BS.AA21</t>
  </si>
  <si>
    <t>A021</t>
  </si>
  <si>
    <t>BS.AA22</t>
  </si>
  <si>
    <t>A022</t>
  </si>
  <si>
    <t>BS.AA23</t>
  </si>
  <si>
    <t>A023</t>
  </si>
  <si>
    <t>BS.AA24</t>
  </si>
  <si>
    <t>A024</t>
  </si>
  <si>
    <t>BS.AA25</t>
  </si>
  <si>
    <t>A025</t>
  </si>
  <si>
    <t>BS.AA26</t>
  </si>
  <si>
    <t>A026</t>
  </si>
  <si>
    <t>BS.AA27</t>
  </si>
  <si>
    <t>A027</t>
  </si>
  <si>
    <t>BS.AB15</t>
  </si>
  <si>
    <t>B015</t>
  </si>
  <si>
    <t>BS.AB16</t>
  </si>
  <si>
    <t>B016</t>
  </si>
  <si>
    <t>BS.AB17</t>
  </si>
  <si>
    <t>B017</t>
  </si>
  <si>
    <t>BS.AB18</t>
  </si>
  <si>
    <t>B018</t>
  </si>
  <si>
    <t>BS.AB19</t>
  </si>
  <si>
    <t>B019</t>
  </si>
  <si>
    <t>BS.AB20</t>
  </si>
  <si>
    <t>B020</t>
  </si>
  <si>
    <t>BS.AB21</t>
  </si>
  <si>
    <t>B021</t>
  </si>
  <si>
    <t>BS.AB22</t>
  </si>
  <si>
    <t>B022</t>
  </si>
  <si>
    <t>BS.AB23</t>
  </si>
  <si>
    <t>B023</t>
  </si>
  <si>
    <t>BS.AB24</t>
  </si>
  <si>
    <t>B024</t>
  </si>
  <si>
    <t>BS.AB25</t>
  </si>
  <si>
    <t>B025</t>
  </si>
  <si>
    <t>BS.AB26</t>
  </si>
  <si>
    <t>B026</t>
  </si>
  <si>
    <t>BS.AB27</t>
  </si>
  <si>
    <t>B027</t>
  </si>
  <si>
    <t>BS.BC18</t>
  </si>
  <si>
    <t>G018</t>
  </si>
  <si>
    <t>Lalot</t>
  </si>
  <si>
    <t>BS.BC19</t>
  </si>
  <si>
    <t>G019</t>
  </si>
  <si>
    <t>BS.AB28</t>
  </si>
  <si>
    <t>B028</t>
  </si>
  <si>
    <t>BS.AB29</t>
  </si>
  <si>
    <t>B029</t>
  </si>
  <si>
    <t>BS.AC01</t>
  </si>
  <si>
    <t>C001</t>
  </si>
  <si>
    <t>BS.AC02</t>
  </si>
  <si>
    <t>C002</t>
  </si>
  <si>
    <t>BS.AC03</t>
  </si>
  <si>
    <t>C003</t>
  </si>
  <si>
    <t>BS.AC04</t>
  </si>
  <si>
    <t>C004</t>
  </si>
  <si>
    <t>BS.AC05</t>
  </si>
  <si>
    <t>C005</t>
  </si>
  <si>
    <t>BS.AC06</t>
  </si>
  <si>
    <t>C006</t>
  </si>
  <si>
    <t>BS.AC07</t>
  </si>
  <si>
    <t>C007</t>
  </si>
  <si>
    <t>BS.AC08</t>
  </si>
  <si>
    <t>C008</t>
  </si>
  <si>
    <t>BS.AD01</t>
  </si>
  <si>
    <t>D001</t>
  </si>
  <si>
    <t>BS.AD02</t>
  </si>
  <si>
    <t>D002</t>
  </si>
  <si>
    <t>BS.AD03</t>
  </si>
  <si>
    <t>D003</t>
  </si>
  <si>
    <t>BS.AD04</t>
  </si>
  <si>
    <t>D004</t>
  </si>
  <si>
    <t>BS.AD05</t>
  </si>
  <si>
    <t>D005</t>
  </si>
  <si>
    <t>BS.AD06</t>
  </si>
  <si>
    <t>D006</t>
  </si>
  <si>
    <t>BS.AD07</t>
  </si>
  <si>
    <t>D007</t>
  </si>
  <si>
    <t>BS.AD08</t>
  </si>
  <si>
    <t>D008</t>
  </si>
  <si>
    <t>BS.AC09</t>
  </si>
  <si>
    <t>C009</t>
  </si>
  <si>
    <t>BS.AC10</t>
  </si>
  <si>
    <t>C010</t>
  </si>
  <si>
    <t>BS.BD21</t>
  </si>
  <si>
    <t>H021</t>
  </si>
  <si>
    <t>BS.BD22</t>
  </si>
  <si>
    <t>H022</t>
  </si>
  <si>
    <t>BS.BD23</t>
  </si>
  <si>
    <t>H023</t>
  </si>
  <si>
    <t>BS.BD24</t>
  </si>
  <si>
    <t>H024</t>
  </si>
  <si>
    <t>BS.BD25</t>
  </si>
  <si>
    <t>H025</t>
  </si>
  <si>
    <t>BS.BD26</t>
  </si>
  <si>
    <t>H026</t>
  </si>
  <si>
    <t>BS.BD27</t>
  </si>
  <si>
    <t>H027</t>
  </si>
  <si>
    <t>BS.BD28</t>
  </si>
  <si>
    <t>H028</t>
  </si>
  <si>
    <t>BS.BD29</t>
  </si>
  <si>
    <t>H029</t>
  </si>
  <si>
    <t>BS.BD30</t>
  </si>
  <si>
    <t>H030</t>
  </si>
  <si>
    <t>BS.CA01</t>
  </si>
  <si>
    <t>I001</t>
  </si>
  <si>
    <t>BS.CA02</t>
  </si>
  <si>
    <t>I002</t>
  </si>
  <si>
    <t>BS.CA03</t>
  </si>
  <si>
    <t>I003</t>
  </si>
  <si>
    <t>BS.CA04</t>
  </si>
  <si>
    <t>I004</t>
  </si>
  <si>
    <t>BS.CA05</t>
  </si>
  <si>
    <t>I005</t>
  </si>
  <si>
    <t>BS.CA06</t>
  </si>
  <si>
    <t>I006</t>
  </si>
  <si>
    <t>BS.CA07</t>
  </si>
  <si>
    <t>I007</t>
  </si>
  <si>
    <t>BS.CA08</t>
  </si>
  <si>
    <t>I008</t>
  </si>
  <si>
    <t>BS.CA09</t>
  </si>
  <si>
    <t>I009</t>
  </si>
  <si>
    <t>BS.CA10</t>
  </si>
  <si>
    <t>I010</t>
  </si>
  <si>
    <t>BS.CA11</t>
  </si>
  <si>
    <t>I011</t>
  </si>
  <si>
    <t>BS.CA12</t>
  </si>
  <si>
    <t>I012</t>
  </si>
  <si>
    <t>BS.CA13</t>
  </si>
  <si>
    <t>I013</t>
  </si>
  <si>
    <t>BS.CA14</t>
  </si>
  <si>
    <t>I014</t>
  </si>
  <si>
    <t>BS.CA15</t>
  </si>
  <si>
    <t>I015</t>
  </si>
  <si>
    <t>BS.CA16</t>
  </si>
  <si>
    <t>I016</t>
  </si>
  <si>
    <t>BS.CA17</t>
  </si>
  <si>
    <t>I017</t>
  </si>
  <si>
    <t>BS.CA18</t>
  </si>
  <si>
    <t>I018</t>
  </si>
  <si>
    <t>BS.CA19</t>
  </si>
  <si>
    <t>I019</t>
  </si>
  <si>
    <t>BS.CA20</t>
  </si>
  <si>
    <t>I020</t>
  </si>
  <si>
    <t>BS.CB01</t>
  </si>
  <si>
    <t>J001</t>
  </si>
  <si>
    <t>BS.CB02</t>
  </si>
  <si>
    <t>J002</t>
  </si>
  <si>
    <t>BS.CB03</t>
  </si>
  <si>
    <t>J003</t>
  </si>
  <si>
    <t>BS.CB04</t>
  </si>
  <si>
    <t>J004</t>
  </si>
  <si>
    <t>BS.CB05</t>
  </si>
  <si>
    <t>J005</t>
  </si>
  <si>
    <t>BS.CB06</t>
  </si>
  <si>
    <t>J006</t>
  </si>
  <si>
    <t>BS.CB07</t>
  </si>
  <si>
    <t>J007</t>
  </si>
  <si>
    <t>BS.CB08</t>
  </si>
  <si>
    <t>J008</t>
  </si>
  <si>
    <t>BS.CB09</t>
  </si>
  <si>
    <t>J009</t>
  </si>
  <si>
    <t>BS.CB10</t>
  </si>
  <si>
    <t>J010</t>
  </si>
  <si>
    <t>BS.CB11</t>
  </si>
  <si>
    <t>J011</t>
  </si>
  <si>
    <t>BS.CB12</t>
  </si>
  <si>
    <t>J012</t>
  </si>
  <si>
    <t>BS.CB13</t>
  </si>
  <si>
    <t>J013</t>
  </si>
  <si>
    <t>BS.CB14</t>
  </si>
  <si>
    <t>J014</t>
  </si>
  <si>
    <t>BS.CB15</t>
  </si>
  <si>
    <t>J015</t>
  </si>
  <si>
    <t>BS.CB16</t>
  </si>
  <si>
    <t>J016</t>
  </si>
  <si>
    <t>BS.CB17</t>
  </si>
  <si>
    <t>J017</t>
  </si>
  <si>
    <t>BS.CB18</t>
  </si>
  <si>
    <t>J018</t>
  </si>
  <si>
    <t>BS.CB19</t>
  </si>
  <si>
    <t>J019</t>
  </si>
  <si>
    <t>BS.CB20</t>
  </si>
  <si>
    <t>J020</t>
  </si>
  <si>
    <t>BS.CB21</t>
  </si>
  <si>
    <t>J021</t>
  </si>
  <si>
    <t>BS.CB22</t>
  </si>
  <si>
    <t>J022</t>
  </si>
  <si>
    <t>BS.CB23</t>
  </si>
  <si>
    <t>J023</t>
  </si>
  <si>
    <t>BS.CC01</t>
  </si>
  <si>
    <t>K001</t>
  </si>
  <si>
    <t>Holy Thai Basil</t>
  </si>
  <si>
    <t>BS.CC02</t>
  </si>
  <si>
    <t>K002</t>
  </si>
  <si>
    <t>BS.AC11</t>
  </si>
  <si>
    <t>C011</t>
  </si>
  <si>
    <t>BS.AC12</t>
  </si>
  <si>
    <t>C012</t>
  </si>
  <si>
    <t>BS.AC13</t>
  </si>
  <si>
    <t>C013</t>
  </si>
  <si>
    <t>BS.AC14</t>
  </si>
  <si>
    <t>C014</t>
  </si>
  <si>
    <t>BS.AC15</t>
  </si>
  <si>
    <t>C015</t>
  </si>
  <si>
    <t>BS.AC16</t>
  </si>
  <si>
    <t>C016</t>
  </si>
  <si>
    <t>BS.AC17</t>
  </si>
  <si>
    <t>C017</t>
  </si>
  <si>
    <t>BS.AC18</t>
  </si>
  <si>
    <t>C018</t>
  </si>
  <si>
    <t>BS.AC19</t>
  </si>
  <si>
    <t>C019</t>
  </si>
  <si>
    <t>BS.AC20</t>
  </si>
  <si>
    <t>C020</t>
  </si>
  <si>
    <t>BS.AC21</t>
  </si>
  <si>
    <t>C021</t>
  </si>
  <si>
    <t>BS.AC22</t>
  </si>
  <si>
    <t>C022</t>
  </si>
  <si>
    <t>BS.AC23</t>
  </si>
  <si>
    <t>C023</t>
  </si>
  <si>
    <t>BS.AD09</t>
  </si>
  <si>
    <t>D009</t>
  </si>
  <si>
    <t>BS.AD10</t>
  </si>
  <si>
    <t>D010</t>
  </si>
  <si>
    <t>BS.AD11</t>
  </si>
  <si>
    <t>D011</t>
  </si>
  <si>
    <t>BS.AD12</t>
  </si>
  <si>
    <t>D012</t>
  </si>
  <si>
    <t>BS.AD13</t>
  </si>
  <si>
    <t>D013</t>
  </si>
  <si>
    <t>BS.AD14</t>
  </si>
  <si>
    <t>D014</t>
  </si>
  <si>
    <t>BS.CD01</t>
  </si>
  <si>
    <t>L001</t>
  </si>
  <si>
    <t>BS.CD02</t>
  </si>
  <si>
    <t>L002</t>
  </si>
  <si>
    <t>BS.CD03</t>
  </si>
  <si>
    <t>L003</t>
  </si>
  <si>
    <t>BS.CD04</t>
  </si>
  <si>
    <t>L004</t>
  </si>
  <si>
    <t>BS.CD05</t>
  </si>
  <si>
    <t>L005</t>
  </si>
  <si>
    <t>BS.CD06</t>
  </si>
  <si>
    <t>L006</t>
  </si>
  <si>
    <t>BS.CD07</t>
  </si>
  <si>
    <t>L007</t>
  </si>
  <si>
    <t>BS.CD08</t>
  </si>
  <si>
    <t>L008</t>
  </si>
  <si>
    <t>BS.CD09</t>
  </si>
  <si>
    <t>L009</t>
  </si>
  <si>
    <t>BS.CD10</t>
  </si>
  <si>
    <t>L010</t>
  </si>
  <si>
    <t>BS.CE01</t>
  </si>
  <si>
    <t>M001</t>
  </si>
  <si>
    <t>BS.CE02</t>
  </si>
  <si>
    <t>M002</t>
  </si>
  <si>
    <t>BS.CE03</t>
  </si>
  <si>
    <t>M003</t>
  </si>
  <si>
    <t>BS.CE04</t>
  </si>
  <si>
    <t>M004</t>
  </si>
  <si>
    <t>BS.CE05</t>
  </si>
  <si>
    <t>M005</t>
  </si>
  <si>
    <t>BS.CE06</t>
  </si>
  <si>
    <t>M006</t>
  </si>
  <si>
    <t>BS.CE07</t>
  </si>
  <si>
    <t>M007</t>
  </si>
  <si>
    <t>BS.CE08</t>
  </si>
  <si>
    <t>M008</t>
  </si>
  <si>
    <t>BS.CE09</t>
  </si>
  <si>
    <t>M009</t>
  </si>
  <si>
    <t>BS.CE10</t>
  </si>
  <si>
    <t>M010</t>
  </si>
  <si>
    <t>BS.CE11</t>
  </si>
  <si>
    <t>M011</t>
  </si>
  <si>
    <t>BS.CE12</t>
  </si>
  <si>
    <t>M012</t>
  </si>
  <si>
    <t>BS.CE13</t>
  </si>
  <si>
    <t>M013</t>
  </si>
  <si>
    <t>BS.DA01</t>
  </si>
  <si>
    <t>N001</t>
  </si>
  <si>
    <t>BS.DA02</t>
  </si>
  <si>
    <t>N002</t>
  </si>
  <si>
    <t>BS.DA03</t>
  </si>
  <si>
    <t>N003</t>
  </si>
  <si>
    <t>BS.DA04</t>
  </si>
  <si>
    <t>N004</t>
  </si>
  <si>
    <t>BS.DA05</t>
  </si>
  <si>
    <t>N005</t>
  </si>
  <si>
    <t>BS.DA06</t>
  </si>
  <si>
    <t>N006</t>
  </si>
  <si>
    <t>BS.DA07</t>
  </si>
  <si>
    <t>N007</t>
  </si>
  <si>
    <t>BS.DA08</t>
  </si>
  <si>
    <t>N008</t>
  </si>
  <si>
    <t>BS.DA09</t>
  </si>
  <si>
    <t>N009</t>
  </si>
  <si>
    <t>BS.AD15</t>
  </si>
  <si>
    <t>D015</t>
  </si>
  <si>
    <t>BS.AD16</t>
  </si>
  <si>
    <t>D016</t>
  </si>
  <si>
    <t>BS.AD17</t>
  </si>
  <si>
    <t>D017</t>
  </si>
  <si>
    <t>BS.AD18</t>
  </si>
  <si>
    <t>D018</t>
  </si>
  <si>
    <t>BS.AD19</t>
  </si>
  <si>
    <t>D019</t>
  </si>
  <si>
    <t>BS.AD20</t>
  </si>
  <si>
    <t>D020</t>
  </si>
  <si>
    <t>BS.AD21</t>
  </si>
  <si>
    <t>D021</t>
  </si>
  <si>
    <t>BS.AD22</t>
  </si>
  <si>
    <t>D022</t>
  </si>
  <si>
    <t>BS.AD23</t>
  </si>
  <si>
    <t>D023</t>
  </si>
  <si>
    <t>BS.DA19</t>
  </si>
  <si>
    <t>N019</t>
  </si>
  <si>
    <t>BS.DA20</t>
  </si>
  <si>
    <t>N020</t>
  </si>
  <si>
    <t>Tgl Panen</t>
  </si>
  <si>
    <t>Umur Panen</t>
  </si>
  <si>
    <t>Gross</t>
  </si>
  <si>
    <t>Panen ke-1</t>
  </si>
  <si>
    <t>Est Panen ke-2</t>
  </si>
  <si>
    <t>Est Panen ke-3</t>
  </si>
  <si>
    <t>kucai</t>
  </si>
  <si>
    <t>SA-AC04</t>
  </si>
  <si>
    <t>SA-AC05</t>
  </si>
  <si>
    <t>SA-AC06</t>
  </si>
  <si>
    <t>SA-AC07</t>
  </si>
  <si>
    <t>SA-AC08</t>
  </si>
  <si>
    <t>SA-AC09</t>
  </si>
  <si>
    <t>SA-AC02</t>
  </si>
  <si>
    <t>SA-AC03</t>
  </si>
  <si>
    <t>ST.H010</t>
  </si>
  <si>
    <t>ST.H011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</si>
</sst>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mm\-dd"/>
    <numFmt numFmtId="166" formatCode="dd\-mm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505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9" borderId="0" applyNumberFormat="0" applyBorder="0" applyAlignment="0" applyProtection="0"/>
    <xf numFmtId="0" fontId="9" fillId="10" borderId="0" applyNumberFormat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0" borderId="6" xfId="0" applyBorder="1"/>
    <xf numFmtId="0" fontId="5" fillId="6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165" fontId="0" fillId="0" borderId="6" xfId="0" applyNumberFormat="1" applyBorder="1"/>
    <xf numFmtId="165" fontId="0" fillId="0" borderId="1" xfId="0" applyNumberFormat="1" applyBorder="1" applyAlignment="1">
      <alignment wrapText="1"/>
    </xf>
    <xf numFmtId="165" fontId="0" fillId="0" borderId="1" xfId="0" applyNumberFormat="1" applyBorder="1"/>
    <xf numFmtId="166" fontId="0" fillId="0" borderId="1" xfId="0" applyNumberFormat="1" applyBorder="1" applyAlignment="1">
      <alignment wrapText="1"/>
    </xf>
    <xf numFmtId="166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2" xfId="0" applyBorder="1"/>
    <xf numFmtId="16" fontId="0" fillId="0" borderId="13" xfId="0" applyNumberFormat="1" applyBorder="1"/>
    <xf numFmtId="0" fontId="0" fillId="0" borderId="13" xfId="0" applyBorder="1"/>
    <xf numFmtId="0" fontId="0" fillId="0" borderId="14" xfId="0" applyBorder="1"/>
    <xf numFmtId="14" fontId="6" fillId="0" borderId="0" xfId="0" applyNumberFormat="1" applyFont="1"/>
    <xf numFmtId="0" fontId="0" fillId="0" borderId="2" xfId="0" applyBorder="1"/>
    <xf numFmtId="0" fontId="5" fillId="3" borderId="1" xfId="0" applyFont="1" applyFill="1" applyBorder="1"/>
    <xf numFmtId="0" fontId="0" fillId="8" borderId="1" xfId="0" applyFill="1" applyBorder="1"/>
    <xf numFmtId="0" fontId="2" fillId="2" borderId="1" xfId="1" applyBorder="1"/>
    <xf numFmtId="0" fontId="4" fillId="0" borderId="0" xfId="0" applyFont="1" applyAlignment="1">
      <alignment horizontal="center"/>
    </xf>
    <xf numFmtId="165" fontId="0" fillId="0" borderId="0" xfId="0" applyNumberFormat="1"/>
    <xf numFmtId="14" fontId="0" fillId="0" borderId="1" xfId="0" applyNumberFormat="1" applyBorder="1"/>
    <xf numFmtId="1" fontId="0" fillId="0" borderId="1" xfId="2" applyNumberFormat="1" applyFont="1" applyBorder="1"/>
    <xf numFmtId="14" fontId="0" fillId="0" borderId="0" xfId="0" applyNumberFormat="1"/>
    <xf numFmtId="164" fontId="0" fillId="0" borderId="1" xfId="3" applyFont="1" applyBorder="1"/>
    <xf numFmtId="2" fontId="0" fillId="0" borderId="1" xfId="0" applyNumberFormat="1" applyBorder="1"/>
    <xf numFmtId="1" fontId="0" fillId="0" borderId="1" xfId="3" applyNumberFormat="1" applyFont="1" applyBorder="1"/>
    <xf numFmtId="164" fontId="0" fillId="0" borderId="1" xfId="2" applyFont="1" applyBorder="1"/>
    <xf numFmtId="1" fontId="0" fillId="0" borderId="0" xfId="0" applyNumberFormat="1" applyAlignment="1">
      <alignment horizontal="right"/>
    </xf>
    <xf numFmtId="164" fontId="0" fillId="0" borderId="0" xfId="2" applyFont="1"/>
    <xf numFmtId="2" fontId="0" fillId="0" borderId="0" xfId="0" applyNumberFormat="1"/>
    <xf numFmtId="164" fontId="0" fillId="0" borderId="0" xfId="3" applyFont="1"/>
    <xf numFmtId="0" fontId="0" fillId="0" borderId="1" xfId="0" applyBorder="1" applyAlignment="1">
      <alignment horizontal="center" vertical="center"/>
    </xf>
    <xf numFmtId="164" fontId="0" fillId="0" borderId="1" xfId="0" applyNumberFormat="1" applyBorder="1"/>
    <xf numFmtId="0" fontId="3" fillId="0" borderId="1" xfId="0" applyFont="1" applyBorder="1"/>
    <xf numFmtId="165" fontId="9" fillId="3" borderId="1" xfId="5" applyNumberFormat="1" applyFill="1" applyBorder="1"/>
    <xf numFmtId="0" fontId="0" fillId="3" borderId="1" xfId="0" applyFill="1" applyBorder="1"/>
    <xf numFmtId="0" fontId="4" fillId="5" borderId="19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 wrapText="1"/>
    </xf>
    <xf numFmtId="0" fontId="4" fillId="7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 wrapText="1"/>
    </xf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0" fontId="0" fillId="12" borderId="1" xfId="0" applyFill="1" applyBorder="1"/>
    <xf numFmtId="14" fontId="0" fillId="0" borderId="1" xfId="0" applyNumberFormat="1" applyBorder="1" applyAlignment="1">
      <alignment wrapText="1"/>
    </xf>
    <xf numFmtId="0" fontId="0" fillId="13" borderId="1" xfId="0" applyFill="1" applyBorder="1"/>
    <xf numFmtId="0" fontId="0" fillId="13" borderId="1" xfId="0" applyFill="1" applyBorder="1" applyAlignment="1">
      <alignment horizontal="center"/>
    </xf>
    <xf numFmtId="0" fontId="0" fillId="14" borderId="1" xfId="0" applyFill="1" applyBorder="1"/>
    <xf numFmtId="0" fontId="8" fillId="9" borderId="1" xfId="4" applyBorder="1"/>
    <xf numFmtId="16" fontId="0" fillId="0" borderId="1" xfId="0" applyNumberFormat="1" applyBorder="1"/>
    <xf numFmtId="0" fontId="0" fillId="15" borderId="1" xfId="0" applyFill="1" applyBorder="1"/>
    <xf numFmtId="0" fontId="0" fillId="15" borderId="1" xfId="0" applyFill="1" applyBorder="1" applyAlignment="1">
      <alignment horizontal="center"/>
    </xf>
    <xf numFmtId="0" fontId="0" fillId="16" borderId="1" xfId="0" applyFill="1" applyBorder="1"/>
    <xf numFmtId="0" fontId="0" fillId="16" borderId="1" xfId="0" applyFill="1" applyBorder="1" applyAlignment="1">
      <alignment horizontal="center"/>
    </xf>
    <xf numFmtId="0" fontId="0" fillId="17" borderId="1" xfId="0" applyFill="1" applyBorder="1"/>
    <xf numFmtId="0" fontId="0" fillId="17" borderId="1" xfId="0" applyFill="1" applyBorder="1" applyAlignment="1">
      <alignment horizontal="center"/>
    </xf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18" borderId="1" xfId="0" applyFill="1" applyBorder="1" applyAlignment="1">
      <alignment horizontal="center"/>
    </xf>
    <xf numFmtId="0" fontId="4" fillId="5" borderId="1" xfId="0" applyFont="1" applyFill="1" applyBorder="1"/>
    <xf numFmtId="16" fontId="8" fillId="9" borderId="1" xfId="4" applyNumberFormat="1" applyBorder="1"/>
    <xf numFmtId="0" fontId="0" fillId="3" borderId="6" xfId="0" applyFill="1" applyBorder="1"/>
    <xf numFmtId="0" fontId="0" fillId="0" borderId="1" xfId="0" applyBorder="1" applyAlignment="1">
      <alignment horizontal="center"/>
    </xf>
    <xf numFmtId="14" fontId="0" fillId="0" borderId="20" xfId="0" applyNumberFormat="1" applyBorder="1"/>
    <xf numFmtId="0" fontId="4" fillId="0" borderId="9" xfId="0" applyFont="1" applyBorder="1" applyAlignment="1">
      <alignment horizontal="center" textRotation="255"/>
    </xf>
    <xf numFmtId="0" fontId="4" fillId="0" borderId="10" xfId="0" applyFont="1" applyBorder="1" applyAlignment="1">
      <alignment horizontal="center" textRotation="255"/>
    </xf>
    <xf numFmtId="0" fontId="4" fillId="0" borderId="11" xfId="0" applyFont="1" applyBorder="1" applyAlignment="1">
      <alignment horizontal="center" textRotation="255"/>
    </xf>
    <xf numFmtId="14" fontId="6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10" fillId="0" borderId="18" xfId="0" applyFont="1" applyBorder="1" applyAlignment="1">
      <alignment horizontal="left"/>
    </xf>
    <xf numFmtId="0" fontId="4" fillId="5" borderId="1" xfId="0" applyFont="1" applyFill="1" applyBorder="1" applyAlignment="1">
      <alignment horizontal="center"/>
    </xf>
  </cellXfs>
  <cellStyles count="6">
    <cellStyle name="Bad" xfId="5" builtinId="27"/>
    <cellStyle name="Comma" xfId="2" builtinId="3"/>
    <cellStyle name="Comma 2" xfId="3" xr:uid="{8FE10809-4242-4005-A0C6-6FEC3F0AC17B}"/>
    <cellStyle name="Good" xfId="4" builtinId="26"/>
    <cellStyle name="Neutral" xfId="1" builtinId="28"/>
    <cellStyle name="Normal" xfId="0" builtinId="0"/>
  </cellStyles>
  <dxfs count="361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2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65</xdr:row>
      <xdr:rowOff>15459</xdr:rowOff>
    </xdr:from>
    <xdr:to>
      <xdr:col>4</xdr:col>
      <xdr:colOff>190843</xdr:colOff>
      <xdr:row>72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0906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100626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180626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220626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.shortcut-targets-by-id\1MCIZo_f5Ab2SUnXyqrJjW3Y4nSKeGcNg\DAILY_RPT\Sawangan_Update_1106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2506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 refreshError="1"/>
      <sheetData sheetId="1" refreshError="1"/>
      <sheetData sheetId="2" refreshError="1"/>
      <sheetData sheetId="3" refreshError="1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64"/>
  <sheetViews>
    <sheetView showGridLines="0" topLeftCell="A10" zoomScale="93" zoomScaleNormal="146" workbookViewId="0">
      <selection activeCell="K29" sqref="K29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134</v>
      </c>
      <c r="B1" s="75">
        <f ca="1">TODAY()</f>
        <v>46198</v>
      </c>
      <c r="C1" s="75"/>
      <c r="D1" s="75"/>
    </row>
    <row r="2" spans="1:25" x14ac:dyDescent="0.25"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7"/>
    </row>
    <row r="3" spans="1:25" x14ac:dyDescent="0.25">
      <c r="B3" s="8"/>
      <c r="Y3" s="9"/>
    </row>
    <row r="4" spans="1:25" x14ac:dyDescent="0.25">
      <c r="B4" s="8"/>
      <c r="Y4" s="9"/>
    </row>
    <row r="5" spans="1:25" x14ac:dyDescent="0.25">
      <c r="A5">
        <v>60</v>
      </c>
      <c r="B5" s="8"/>
      <c r="C5" s="43" t="s">
        <v>148</v>
      </c>
      <c r="D5" s="1" t="s">
        <v>149</v>
      </c>
      <c r="E5" s="1" t="s">
        <v>150</v>
      </c>
      <c r="F5" s="1" t="s">
        <v>151</v>
      </c>
      <c r="G5" s="1" t="s">
        <v>152</v>
      </c>
      <c r="H5" s="1" t="s">
        <v>147</v>
      </c>
      <c r="J5" s="1" t="s">
        <v>120</v>
      </c>
      <c r="K5" s="1" t="s">
        <v>121</v>
      </c>
      <c r="L5" s="1" t="s">
        <v>122</v>
      </c>
      <c r="M5" s="1" t="s">
        <v>123</v>
      </c>
      <c r="N5" s="1" t="s">
        <v>124</v>
      </c>
      <c r="O5" s="1" t="s">
        <v>125</v>
      </c>
      <c r="P5" s="1" t="s">
        <v>126</v>
      </c>
      <c r="R5" s="1" t="s">
        <v>130</v>
      </c>
      <c r="S5" s="1" t="s">
        <v>131</v>
      </c>
      <c r="T5" s="1" t="s">
        <v>132</v>
      </c>
      <c r="U5" s="1" t="s">
        <v>133</v>
      </c>
      <c r="V5" s="1" t="s">
        <v>127</v>
      </c>
      <c r="W5" s="1" t="s">
        <v>128</v>
      </c>
      <c r="X5" s="1" t="s">
        <v>129</v>
      </c>
      <c r="Y5" s="9"/>
    </row>
    <row r="6" spans="1:25" ht="15.75" thickBot="1" x14ac:dyDescent="0.3">
      <c r="B6" s="8"/>
      <c r="C6" s="69" t="e">
        <f t="shared" ref="C6:H6" ca="1" si="0">IF(C7="","",$B$1-C7)</f>
        <v>#VALUE!</v>
      </c>
      <c r="D6" s="1">
        <f t="shared" ca="1" si="0"/>
        <v>22</v>
      </c>
      <c r="E6" s="1">
        <f t="shared" ca="1" si="0"/>
        <v>22</v>
      </c>
      <c r="F6" s="1">
        <f t="shared" ca="1" si="0"/>
        <v>24</v>
      </c>
      <c r="G6" s="1">
        <f t="shared" ca="1" si="0"/>
        <v>24</v>
      </c>
      <c r="H6" s="1">
        <f t="shared" ca="1" si="0"/>
        <v>24</v>
      </c>
      <c r="J6" s="1">
        <f t="shared" ref="J6:P6" ca="1" si="1">IF(J7="","",$B$1-J7)</f>
        <v>24</v>
      </c>
      <c r="K6" s="1">
        <f t="shared" ca="1" si="1"/>
        <v>24</v>
      </c>
      <c r="L6" s="1">
        <f t="shared" ca="1" si="1"/>
        <v>24</v>
      </c>
      <c r="M6" s="1">
        <f t="shared" ca="1" si="1"/>
        <v>24</v>
      </c>
      <c r="N6" s="1">
        <f t="shared" ca="1" si="1"/>
        <v>25</v>
      </c>
      <c r="O6" s="1">
        <f t="shared" ca="1" si="1"/>
        <v>25</v>
      </c>
      <c r="P6" s="1">
        <f t="shared" ca="1" si="1"/>
        <v>25</v>
      </c>
      <c r="R6" s="1">
        <f t="shared" ref="R6:X6" ca="1" si="2">IF(R7="","",$B$1-R7)</f>
        <v>25</v>
      </c>
      <c r="S6" s="1">
        <f t="shared" ca="1" si="2"/>
        <v>25</v>
      </c>
      <c r="T6" s="1">
        <f t="shared" ca="1" si="2"/>
        <v>25</v>
      </c>
      <c r="U6" s="1">
        <f t="shared" ca="1" si="2"/>
        <v>25</v>
      </c>
      <c r="V6" s="1">
        <f t="shared" ca="1" si="2"/>
        <v>26</v>
      </c>
      <c r="W6" s="1">
        <f t="shared" ca="1" si="2"/>
        <v>26</v>
      </c>
      <c r="X6" s="1">
        <f t="shared" ca="1" si="2"/>
        <v>26</v>
      </c>
      <c r="Y6" s="9"/>
    </row>
    <row r="7" spans="1:25" ht="38.25" customHeight="1" x14ac:dyDescent="0.25">
      <c r="B7" s="72" t="s">
        <v>135</v>
      </c>
      <c r="C7" s="10" t="s">
        <v>1237</v>
      </c>
      <c r="D7" s="11">
        <v>46176</v>
      </c>
      <c r="E7" s="11">
        <v>46176</v>
      </c>
      <c r="F7" s="11">
        <v>46174</v>
      </c>
      <c r="G7" s="11">
        <v>46174</v>
      </c>
      <c r="H7" s="11">
        <v>46174</v>
      </c>
      <c r="J7" s="11">
        <v>46174</v>
      </c>
      <c r="K7" s="11">
        <v>46174</v>
      </c>
      <c r="L7" s="11">
        <v>46174</v>
      </c>
      <c r="M7" s="11">
        <v>46174</v>
      </c>
      <c r="N7" s="11">
        <v>46173</v>
      </c>
      <c r="O7" s="11">
        <v>46173</v>
      </c>
      <c r="P7" s="11">
        <v>46173</v>
      </c>
      <c r="R7" s="11">
        <v>46173</v>
      </c>
      <c r="S7" s="11">
        <v>46173</v>
      </c>
      <c r="T7" s="11">
        <v>46173</v>
      </c>
      <c r="U7" s="11">
        <v>46173</v>
      </c>
      <c r="V7" s="13">
        <v>46172</v>
      </c>
      <c r="W7" s="13">
        <v>46172</v>
      </c>
      <c r="X7" s="13">
        <v>46172</v>
      </c>
      <c r="Y7" s="9"/>
    </row>
    <row r="8" spans="1:25" x14ac:dyDescent="0.25">
      <c r="B8" s="73"/>
      <c r="Y8" s="9"/>
    </row>
    <row r="9" spans="1:25" x14ac:dyDescent="0.25">
      <c r="B9" s="73"/>
      <c r="C9" s="3" t="s">
        <v>21</v>
      </c>
      <c r="D9" s="1" t="s">
        <v>22</v>
      </c>
      <c r="E9" s="1" t="s">
        <v>23</v>
      </c>
      <c r="F9" s="1" t="s">
        <v>24</v>
      </c>
      <c r="G9" s="1" t="s">
        <v>25</v>
      </c>
      <c r="H9" s="1" t="s">
        <v>26</v>
      </c>
      <c r="J9" s="1" t="s">
        <v>27</v>
      </c>
      <c r="K9" s="1" t="s">
        <v>28</v>
      </c>
      <c r="L9" s="1" t="s">
        <v>29</v>
      </c>
      <c r="M9" s="1" t="s">
        <v>30</v>
      </c>
      <c r="N9" s="1" t="s">
        <v>31</v>
      </c>
      <c r="O9" s="1" t="s">
        <v>32</v>
      </c>
      <c r="P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9"/>
    </row>
    <row r="10" spans="1:25" ht="15.75" thickBot="1" x14ac:dyDescent="0.3">
      <c r="B10" s="74"/>
      <c r="C10" s="3">
        <f t="shared" ref="C10:H10" ca="1" si="3">IF(C11="","",$B$1-C11)</f>
        <v>31</v>
      </c>
      <c r="D10" s="1">
        <f t="shared" ca="1" si="3"/>
        <v>31</v>
      </c>
      <c r="E10" s="1">
        <f t="shared" ca="1" si="3"/>
        <v>31</v>
      </c>
      <c r="F10" s="1">
        <f t="shared" ca="1" si="3"/>
        <v>31</v>
      </c>
      <c r="G10" s="1">
        <f t="shared" ca="1" si="3"/>
        <v>31</v>
      </c>
      <c r="H10" s="1">
        <f t="shared" ca="1" si="3"/>
        <v>31</v>
      </c>
      <c r="J10" s="1">
        <f t="shared" ref="J10:P10" ca="1" si="4">IF(J11="","",$B$1-J11)</f>
        <v>31</v>
      </c>
      <c r="K10" s="1">
        <f t="shared" ca="1" si="4"/>
        <v>28</v>
      </c>
      <c r="L10" s="1">
        <f t="shared" ca="1" si="4"/>
        <v>28</v>
      </c>
      <c r="M10" s="1">
        <f t="shared" ca="1" si="4"/>
        <v>28</v>
      </c>
      <c r="N10" s="1">
        <f t="shared" ca="1" si="4"/>
        <v>28</v>
      </c>
      <c r="O10" s="1">
        <f t="shared" ca="1" si="4"/>
        <v>28</v>
      </c>
      <c r="P10" s="1">
        <f t="shared" ca="1" si="4"/>
        <v>28</v>
      </c>
      <c r="R10" s="1">
        <f t="shared" ref="R10:X10" ca="1" si="5">IF(R11="","",$B$1-R11)</f>
        <v>28</v>
      </c>
      <c r="S10" s="1">
        <f t="shared" ca="1" si="5"/>
        <v>27</v>
      </c>
      <c r="T10" s="1">
        <f t="shared" ca="1" si="5"/>
        <v>27</v>
      </c>
      <c r="U10" s="1">
        <f t="shared" ca="1" si="5"/>
        <v>26</v>
      </c>
      <c r="V10" s="1">
        <f t="shared" ca="1" si="5"/>
        <v>26</v>
      </c>
      <c r="W10" s="1">
        <f t="shared" ca="1" si="5"/>
        <v>26</v>
      </c>
      <c r="X10" s="1">
        <f t="shared" ca="1" si="5"/>
        <v>26</v>
      </c>
      <c r="Y10" s="9"/>
    </row>
    <row r="11" spans="1:25" ht="38.25" customHeight="1" x14ac:dyDescent="0.25">
      <c r="B11" s="8"/>
      <c r="C11" s="12">
        <v>46167</v>
      </c>
      <c r="D11" s="12">
        <v>46167</v>
      </c>
      <c r="E11" s="12">
        <v>46167</v>
      </c>
      <c r="F11" s="12">
        <v>46167</v>
      </c>
      <c r="G11" s="12">
        <v>46167</v>
      </c>
      <c r="H11" s="12">
        <v>46167</v>
      </c>
      <c r="J11" s="12">
        <v>46167</v>
      </c>
      <c r="K11" s="12">
        <v>46170</v>
      </c>
      <c r="L11" s="12">
        <v>46170</v>
      </c>
      <c r="M11" s="12">
        <v>46170</v>
      </c>
      <c r="N11" s="12">
        <v>46170</v>
      </c>
      <c r="O11" s="12">
        <v>46170</v>
      </c>
      <c r="P11" s="12">
        <v>46170</v>
      </c>
      <c r="R11" s="12">
        <v>46170</v>
      </c>
      <c r="S11" s="12">
        <v>46171</v>
      </c>
      <c r="T11" s="12">
        <v>46171</v>
      </c>
      <c r="U11" s="13">
        <v>46172</v>
      </c>
      <c r="V11" s="13">
        <v>46172</v>
      </c>
      <c r="W11" s="13">
        <v>46172</v>
      </c>
      <c r="X11" s="13">
        <v>46172</v>
      </c>
      <c r="Y11" s="9"/>
    </row>
    <row r="12" spans="1:25" x14ac:dyDescent="0.25">
      <c r="B12" s="8"/>
      <c r="C12" s="15"/>
      <c r="V12" s="16"/>
      <c r="Y12" s="9"/>
    </row>
    <row r="13" spans="1:25" x14ac:dyDescent="0.25">
      <c r="B13" s="8"/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J13" s="1" t="s">
        <v>7</v>
      </c>
      <c r="K13" s="1" t="s">
        <v>8</v>
      </c>
      <c r="L13" s="1" t="s">
        <v>9</v>
      </c>
      <c r="M13" s="1" t="s">
        <v>10</v>
      </c>
      <c r="N13" s="1" t="s">
        <v>11</v>
      </c>
      <c r="O13" s="1" t="s">
        <v>12</v>
      </c>
      <c r="P13" s="1" t="s">
        <v>13</v>
      </c>
      <c r="R13" s="1" t="s">
        <v>14</v>
      </c>
      <c r="S13" s="1" t="s">
        <v>15</v>
      </c>
      <c r="T13" s="1" t="s">
        <v>16</v>
      </c>
      <c r="U13" s="1" t="s">
        <v>17</v>
      </c>
      <c r="V13" s="1" t="s">
        <v>18</v>
      </c>
      <c r="W13" s="1" t="s">
        <v>19</v>
      </c>
      <c r="X13" s="1" t="s">
        <v>20</v>
      </c>
      <c r="Y13" s="9"/>
    </row>
    <row r="14" spans="1:25" x14ac:dyDescent="0.25">
      <c r="B14" s="8"/>
      <c r="C14" s="3">
        <f t="shared" ref="C14:H14" ca="1" si="6">IF(C15="","",$B$1-C15)</f>
        <v>32</v>
      </c>
      <c r="D14" s="1">
        <f t="shared" ca="1" si="6"/>
        <v>32</v>
      </c>
      <c r="E14" s="1">
        <f t="shared" ca="1" si="6"/>
        <v>32</v>
      </c>
      <c r="F14" s="1">
        <f t="shared" ca="1" si="6"/>
        <v>32</v>
      </c>
      <c r="G14" s="1">
        <f t="shared" ca="1" si="6"/>
        <v>32</v>
      </c>
      <c r="H14" s="1">
        <f t="shared" ca="1" si="6"/>
        <v>32</v>
      </c>
      <c r="J14" s="1">
        <f t="shared" ref="J14:P14" ca="1" si="7">IF(J15="","",$B$1-J15)</f>
        <v>32</v>
      </c>
      <c r="K14" s="1">
        <f t="shared" ca="1" si="7"/>
        <v>29</v>
      </c>
      <c r="L14" s="1">
        <f t="shared" ca="1" si="7"/>
        <v>29</v>
      </c>
      <c r="M14" s="1">
        <f t="shared" ca="1" si="7"/>
        <v>29</v>
      </c>
      <c r="N14" s="1">
        <f t="shared" ca="1" si="7"/>
        <v>29</v>
      </c>
      <c r="O14" s="1">
        <f t="shared" ca="1" si="7"/>
        <v>29</v>
      </c>
      <c r="P14" s="1">
        <f t="shared" ca="1" si="7"/>
        <v>29</v>
      </c>
      <c r="R14" s="1">
        <f t="shared" ref="R14:X14" ca="1" si="8">IF(R15="","",$B$1-R15)</f>
        <v>29</v>
      </c>
      <c r="S14" s="1">
        <f t="shared" ca="1" si="8"/>
        <v>27</v>
      </c>
      <c r="T14" s="1">
        <f t="shared" ca="1" si="8"/>
        <v>27</v>
      </c>
      <c r="U14" s="1">
        <f t="shared" ca="1" si="8"/>
        <v>27</v>
      </c>
      <c r="V14" s="1">
        <f t="shared" ca="1" si="8"/>
        <v>27</v>
      </c>
      <c r="W14" s="1">
        <f t="shared" ca="1" si="8"/>
        <v>27</v>
      </c>
      <c r="X14" s="1">
        <f t="shared" ca="1" si="8"/>
        <v>27</v>
      </c>
      <c r="Y14" s="9"/>
    </row>
    <row r="15" spans="1:25" ht="38.25" customHeight="1" x14ac:dyDescent="0.25">
      <c r="B15" s="8"/>
      <c r="C15" s="12">
        <v>46166</v>
      </c>
      <c r="D15" s="12">
        <v>46166</v>
      </c>
      <c r="E15" s="12">
        <v>46166</v>
      </c>
      <c r="F15" s="12">
        <v>46166</v>
      </c>
      <c r="G15" s="12">
        <v>46166</v>
      </c>
      <c r="H15" s="12">
        <v>46166</v>
      </c>
      <c r="J15" s="12">
        <v>46166</v>
      </c>
      <c r="K15" s="12">
        <v>46169</v>
      </c>
      <c r="L15" s="12">
        <v>46169</v>
      </c>
      <c r="M15" s="12">
        <v>46169</v>
      </c>
      <c r="N15" s="12">
        <v>46169</v>
      </c>
      <c r="O15" s="12">
        <v>46169</v>
      </c>
      <c r="P15" s="12">
        <v>46169</v>
      </c>
      <c r="R15" s="12">
        <v>46169</v>
      </c>
      <c r="S15" s="12">
        <v>46171</v>
      </c>
      <c r="T15" s="12">
        <v>46171</v>
      </c>
      <c r="U15" s="12">
        <v>46171</v>
      </c>
      <c r="V15" s="12">
        <v>46171</v>
      </c>
      <c r="W15" s="12">
        <v>46171</v>
      </c>
      <c r="X15" s="12">
        <v>46171</v>
      </c>
      <c r="Y15" s="9"/>
    </row>
    <row r="16" spans="1:25" ht="15.75" thickBot="1" x14ac:dyDescent="0.3">
      <c r="B16" s="17"/>
      <c r="C16" s="18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20"/>
    </row>
    <row r="17" spans="1:44" ht="16.5" thickBot="1" x14ac:dyDescent="0.3">
      <c r="B17" s="21"/>
    </row>
    <row r="18" spans="1:44" x14ac:dyDescent="0.25"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7"/>
    </row>
    <row r="19" spans="1:44" x14ac:dyDescent="0.25">
      <c r="B19" s="8"/>
      <c r="J19" s="1" t="s">
        <v>108</v>
      </c>
      <c r="K19" s="1" t="s">
        <v>107</v>
      </c>
      <c r="X19" s="1" t="s">
        <v>105</v>
      </c>
      <c r="Y19" s="22"/>
      <c r="AF19" s="1" t="s">
        <v>104</v>
      </c>
      <c r="AG19" s="1" t="s">
        <v>103</v>
      </c>
      <c r="AH19" s="1" t="s">
        <v>102</v>
      </c>
      <c r="AI19" s="1" t="s">
        <v>101</v>
      </c>
      <c r="AJ19" s="9"/>
    </row>
    <row r="20" spans="1:44" x14ac:dyDescent="0.25">
      <c r="B20" s="8"/>
      <c r="J20" s="1">
        <f ca="1">IF(J21="","",$B$1-J21)</f>
        <v>44</v>
      </c>
      <c r="K20" s="1">
        <f ca="1">IF(K21="","",$B$1-K21)</f>
        <v>44</v>
      </c>
      <c r="X20" s="1"/>
      <c r="AF20" s="1"/>
      <c r="AG20" s="1"/>
      <c r="AH20" s="1" t="str">
        <f>IF(AH21="","",$B$1-AH21)</f>
        <v/>
      </c>
      <c r="AI20" s="1" t="str">
        <f>IF(AI21="","",$B$1-AI21)</f>
        <v/>
      </c>
      <c r="AJ20" s="9"/>
    </row>
    <row r="21" spans="1:44" ht="30" x14ac:dyDescent="0.25">
      <c r="B21" s="8"/>
      <c r="J21" s="12">
        <v>46154</v>
      </c>
      <c r="K21" s="12">
        <v>46154</v>
      </c>
      <c r="X21" s="13" t="s">
        <v>106</v>
      </c>
      <c r="AF21" s="12">
        <v>46154</v>
      </c>
      <c r="AG21" s="12">
        <v>46154</v>
      </c>
      <c r="AH21" s="12"/>
      <c r="AI21" s="12"/>
      <c r="AJ21" s="9"/>
      <c r="AO21" s="15"/>
      <c r="AP21" s="15"/>
    </row>
    <row r="22" spans="1:44" x14ac:dyDescent="0.25">
      <c r="B22" s="8"/>
      <c r="AJ22" s="9"/>
      <c r="AL22" t="s">
        <v>138</v>
      </c>
    </row>
    <row r="23" spans="1:44" x14ac:dyDescent="0.25">
      <c r="A23">
        <v>60</v>
      </c>
      <c r="B23" s="8"/>
      <c r="C23" s="1" t="s">
        <v>100</v>
      </c>
      <c r="D23" s="1" t="s">
        <v>99</v>
      </c>
      <c r="E23" s="1" t="s">
        <v>98</v>
      </c>
      <c r="F23" s="1" t="s">
        <v>97</v>
      </c>
      <c r="G23" s="1" t="s">
        <v>96</v>
      </c>
      <c r="H23" s="1" t="s">
        <v>95</v>
      </c>
      <c r="J23" s="1" t="s">
        <v>94</v>
      </c>
      <c r="K23" s="1" t="s">
        <v>93</v>
      </c>
      <c r="L23" s="1" t="s">
        <v>92</v>
      </c>
      <c r="M23" s="1" t="s">
        <v>91</v>
      </c>
      <c r="N23" s="1" t="s">
        <v>90</v>
      </c>
      <c r="O23" s="1" t="s">
        <v>89</v>
      </c>
      <c r="P23" s="1" t="s">
        <v>88</v>
      </c>
      <c r="R23" s="1" t="s">
        <v>87</v>
      </c>
      <c r="S23" s="1" t="s">
        <v>86</v>
      </c>
      <c r="T23" s="1" t="s">
        <v>85</v>
      </c>
      <c r="U23" s="1" t="s">
        <v>84</v>
      </c>
      <c r="V23" s="1" t="s">
        <v>83</v>
      </c>
      <c r="W23" s="1" t="s">
        <v>82</v>
      </c>
      <c r="X23" s="1" t="s">
        <v>81</v>
      </c>
      <c r="Z23" s="1" t="s">
        <v>80</v>
      </c>
      <c r="AA23" s="1" t="s">
        <v>79</v>
      </c>
      <c r="AB23" s="1" t="s">
        <v>78</v>
      </c>
      <c r="AC23" s="1" t="s">
        <v>77</v>
      </c>
      <c r="AD23" s="1" t="s">
        <v>76</v>
      </c>
      <c r="AE23" s="1" t="s">
        <v>75</v>
      </c>
      <c r="AF23" s="1" t="s">
        <v>74</v>
      </c>
      <c r="AG23" s="1" t="s">
        <v>73</v>
      </c>
      <c r="AH23" s="1" t="s">
        <v>72</v>
      </c>
      <c r="AI23" s="1" t="s">
        <v>71</v>
      </c>
      <c r="AJ23" s="9"/>
      <c r="AL23" s="1" t="s">
        <v>139</v>
      </c>
    </row>
    <row r="24" spans="1:44" x14ac:dyDescent="0.25">
      <c r="B24" s="8"/>
      <c r="C24" s="1">
        <f t="shared" ref="C24:H24" ca="1" si="9">IF(C25="","",$B$1-C25)</f>
        <v>22</v>
      </c>
      <c r="D24" s="1">
        <f t="shared" ca="1" si="9"/>
        <v>22</v>
      </c>
      <c r="E24" s="1" t="str">
        <f t="shared" si="9"/>
        <v/>
      </c>
      <c r="F24" s="1" t="str">
        <f t="shared" si="9"/>
        <v/>
      </c>
      <c r="G24" s="1">
        <f t="shared" ca="1" si="9"/>
        <v>22</v>
      </c>
      <c r="H24" s="1">
        <f t="shared" ca="1" si="9"/>
        <v>22</v>
      </c>
      <c r="J24" s="1">
        <f ca="1">IF(J25="","",$B$1-J25)</f>
        <v>22</v>
      </c>
      <c r="K24" s="1" t="str">
        <f t="shared" ref="K24:AI24" si="10">IF(K25="","",$B$1-K25)</f>
        <v/>
      </c>
      <c r="L24" s="1" t="str">
        <f t="shared" si="10"/>
        <v/>
      </c>
      <c r="M24" s="1" t="str">
        <f t="shared" si="10"/>
        <v/>
      </c>
      <c r="N24" s="1" t="str">
        <f t="shared" si="10"/>
        <v/>
      </c>
      <c r="O24" s="1" t="str">
        <f t="shared" si="10"/>
        <v/>
      </c>
      <c r="P24" s="1" t="str">
        <f t="shared" si="10"/>
        <v/>
      </c>
      <c r="R24" s="1" t="str">
        <f t="shared" si="10"/>
        <v/>
      </c>
      <c r="S24" s="1">
        <f t="shared" ca="1" si="10"/>
        <v>47</v>
      </c>
      <c r="T24" s="1">
        <f t="shared" ca="1" si="10"/>
        <v>47</v>
      </c>
      <c r="U24" s="1">
        <f t="shared" ca="1" si="10"/>
        <v>47</v>
      </c>
      <c r="V24" s="1">
        <f t="shared" ca="1" si="10"/>
        <v>47</v>
      </c>
      <c r="W24" s="1">
        <f t="shared" ca="1" si="10"/>
        <v>47</v>
      </c>
      <c r="X24" s="1">
        <f t="shared" ca="1" si="10"/>
        <v>47</v>
      </c>
      <c r="Z24" s="1">
        <f t="shared" ca="1" si="10"/>
        <v>47</v>
      </c>
      <c r="AA24" s="1">
        <f t="shared" ca="1" si="10"/>
        <v>45</v>
      </c>
      <c r="AB24" s="1">
        <f t="shared" ca="1" si="10"/>
        <v>45</v>
      </c>
      <c r="AC24" s="1">
        <f t="shared" ca="1" si="10"/>
        <v>45</v>
      </c>
      <c r="AD24" s="1">
        <f t="shared" ca="1" si="10"/>
        <v>45</v>
      </c>
      <c r="AE24" s="1">
        <f t="shared" ca="1" si="10"/>
        <v>45</v>
      </c>
      <c r="AF24" s="1">
        <f t="shared" ca="1" si="10"/>
        <v>45</v>
      </c>
      <c r="AG24" s="1">
        <f t="shared" ca="1" si="10"/>
        <v>45</v>
      </c>
      <c r="AH24" s="1">
        <f t="shared" ca="1" si="10"/>
        <v>44</v>
      </c>
      <c r="AI24" s="1">
        <f t="shared" ca="1" si="10"/>
        <v>44</v>
      </c>
      <c r="AJ24" s="9"/>
      <c r="AL24" s="23" t="s">
        <v>140</v>
      </c>
      <c r="AN24" s="15"/>
      <c r="AO24" s="15"/>
      <c r="AP24" s="15"/>
      <c r="AQ24" s="15"/>
      <c r="AR24" s="15"/>
    </row>
    <row r="25" spans="1:44" ht="39.950000000000003" customHeight="1" x14ac:dyDescent="0.25">
      <c r="B25" s="8"/>
      <c r="C25" s="12">
        <v>46176</v>
      </c>
      <c r="D25" s="12">
        <v>46176</v>
      </c>
      <c r="E25" s="12"/>
      <c r="F25" s="12"/>
      <c r="G25" s="12">
        <v>46176</v>
      </c>
      <c r="H25" s="12">
        <v>46176</v>
      </c>
      <c r="J25" s="12">
        <v>46176</v>
      </c>
      <c r="K25" s="12"/>
      <c r="L25" s="12"/>
      <c r="M25" s="12"/>
      <c r="N25" s="12"/>
      <c r="O25" s="12"/>
      <c r="P25" s="12"/>
      <c r="R25" s="12"/>
      <c r="S25" s="12">
        <v>46151</v>
      </c>
      <c r="T25" s="12">
        <v>46151</v>
      </c>
      <c r="U25" s="12">
        <v>46151</v>
      </c>
      <c r="V25" s="12">
        <v>46151</v>
      </c>
      <c r="W25" s="12">
        <v>46151</v>
      </c>
      <c r="X25" s="12">
        <v>46151</v>
      </c>
      <c r="Z25" s="12">
        <v>46151</v>
      </c>
      <c r="AA25" s="12">
        <v>46153</v>
      </c>
      <c r="AB25" s="12">
        <v>46153</v>
      </c>
      <c r="AC25" s="12">
        <v>46153</v>
      </c>
      <c r="AD25" s="12">
        <v>46153</v>
      </c>
      <c r="AE25" s="12">
        <v>46153</v>
      </c>
      <c r="AF25" s="12">
        <v>46153</v>
      </c>
      <c r="AG25" s="12">
        <v>46153</v>
      </c>
      <c r="AH25" s="12">
        <v>46154</v>
      </c>
      <c r="AI25" s="12">
        <v>46154</v>
      </c>
      <c r="AJ25" s="9"/>
      <c r="AL25" s="24" t="s">
        <v>0</v>
      </c>
      <c r="AN25" s="15"/>
      <c r="AO25" s="15"/>
      <c r="AP25" s="15"/>
      <c r="AQ25" s="15"/>
      <c r="AR25" s="15"/>
    </row>
    <row r="26" spans="1:44" x14ac:dyDescent="0.25">
      <c r="B26" s="8"/>
      <c r="AJ26" s="9"/>
      <c r="AL26" s="4" t="s">
        <v>141</v>
      </c>
    </row>
    <row r="27" spans="1:44" x14ac:dyDescent="0.25">
      <c r="B27" s="8"/>
      <c r="C27" s="1" t="s">
        <v>70</v>
      </c>
      <c r="D27" s="1" t="s">
        <v>69</v>
      </c>
      <c r="E27" s="1" t="s">
        <v>68</v>
      </c>
      <c r="F27" s="1" t="s">
        <v>67</v>
      </c>
      <c r="G27" s="1" t="s">
        <v>66</v>
      </c>
      <c r="H27" s="1" t="s">
        <v>65</v>
      </c>
      <c r="J27" s="1" t="s">
        <v>64</v>
      </c>
      <c r="K27" s="1" t="s">
        <v>63</v>
      </c>
      <c r="L27" s="1" t="s">
        <v>62</v>
      </c>
      <c r="M27" s="1" t="s">
        <v>61</v>
      </c>
      <c r="N27" s="1" t="s">
        <v>60</v>
      </c>
      <c r="O27" s="1" t="s">
        <v>59</v>
      </c>
      <c r="P27" s="1" t="s">
        <v>58</v>
      </c>
      <c r="R27" s="1" t="s">
        <v>57</v>
      </c>
      <c r="S27" s="1" t="s">
        <v>56</v>
      </c>
      <c r="T27" s="1" t="s">
        <v>55</v>
      </c>
      <c r="U27" s="1" t="s">
        <v>54</v>
      </c>
      <c r="V27" s="1" t="s">
        <v>53</v>
      </c>
      <c r="W27" s="1" t="s">
        <v>52</v>
      </c>
      <c r="X27" s="1" t="s">
        <v>51</v>
      </c>
      <c r="Z27" s="1" t="s">
        <v>50</v>
      </c>
      <c r="AA27" s="1" t="s">
        <v>49</v>
      </c>
      <c r="AB27" s="1" t="s">
        <v>48</v>
      </c>
      <c r="AC27" s="1" t="s">
        <v>47</v>
      </c>
      <c r="AD27" s="1" t="s">
        <v>46</v>
      </c>
      <c r="AE27" s="1" t="s">
        <v>45</v>
      </c>
      <c r="AF27" s="1" t="s">
        <v>44</v>
      </c>
      <c r="AG27" s="1" t="s">
        <v>43</v>
      </c>
      <c r="AH27" s="1" t="s">
        <v>42</v>
      </c>
      <c r="AI27" s="1" t="s">
        <v>41</v>
      </c>
      <c r="AJ27" s="9"/>
    </row>
    <row r="28" spans="1:44" x14ac:dyDescent="0.25">
      <c r="B28" s="8"/>
      <c r="C28" s="1">
        <f t="shared" ref="C28:H28" ca="1" si="11">IF(C29="","",$B$1-C29)</f>
        <v>23</v>
      </c>
      <c r="D28" s="1">
        <f t="shared" ca="1" si="11"/>
        <v>23</v>
      </c>
      <c r="E28" s="1">
        <f t="shared" ca="1" si="11"/>
        <v>23</v>
      </c>
      <c r="F28" s="1">
        <f t="shared" ca="1" si="11"/>
        <v>23</v>
      </c>
      <c r="G28" s="1">
        <f t="shared" ca="1" si="11"/>
        <v>23</v>
      </c>
      <c r="H28" s="1">
        <f t="shared" ca="1" si="11"/>
        <v>23</v>
      </c>
      <c r="J28" s="1">
        <f ca="1">IF(J29="","",$B$1-J29)</f>
        <v>23</v>
      </c>
      <c r="K28" s="1">
        <f t="shared" ref="K28:P28" ca="1" si="12">IF(K29="","",$B$1-K29)</f>
        <v>20</v>
      </c>
      <c r="L28" s="1">
        <f t="shared" ca="1" si="12"/>
        <v>20</v>
      </c>
      <c r="M28" s="1">
        <f t="shared" ca="1" si="12"/>
        <v>20</v>
      </c>
      <c r="N28" s="1">
        <f t="shared" ca="1" si="12"/>
        <v>20</v>
      </c>
      <c r="O28" s="1">
        <f t="shared" ca="1" si="12"/>
        <v>20</v>
      </c>
      <c r="P28" s="1">
        <f t="shared" ca="1" si="12"/>
        <v>20</v>
      </c>
      <c r="R28" s="1">
        <f t="shared" ref="R28:X28" ca="1" si="13">IF(R29="","",$B$1-R29)</f>
        <v>20</v>
      </c>
      <c r="S28" s="1">
        <f ca="1">IF(S29="","",$B$1-S29)</f>
        <v>48</v>
      </c>
      <c r="T28" s="1">
        <f ca="1">IF(T29="","",$B$1-T29)</f>
        <v>48</v>
      </c>
      <c r="U28" s="1">
        <f ca="1">IF(U29="","",$B$1-U29)</f>
        <v>48</v>
      </c>
      <c r="V28" s="1">
        <f ca="1">IF(V29="","",$B$1-V29)</f>
        <v>48</v>
      </c>
      <c r="W28" s="1">
        <f t="shared" ca="1" si="13"/>
        <v>48</v>
      </c>
      <c r="X28" s="1">
        <f t="shared" ca="1" si="13"/>
        <v>48</v>
      </c>
      <c r="Z28" s="1">
        <f t="shared" ref="Z28:AI28" ca="1" si="14">IF(Z29="","",$B$1-Z29)</f>
        <v>48</v>
      </c>
      <c r="AA28" s="1">
        <f t="shared" ca="1" si="14"/>
        <v>46</v>
      </c>
      <c r="AB28" s="1">
        <f t="shared" ca="1" si="14"/>
        <v>46</v>
      </c>
      <c r="AC28" s="1">
        <f t="shared" ca="1" si="14"/>
        <v>46</v>
      </c>
      <c r="AD28" s="1">
        <f t="shared" ca="1" si="14"/>
        <v>46</v>
      </c>
      <c r="AE28" s="1">
        <f t="shared" ca="1" si="14"/>
        <v>46</v>
      </c>
      <c r="AF28" s="1">
        <f t="shared" ca="1" si="14"/>
        <v>46</v>
      </c>
      <c r="AG28" s="1">
        <f t="shared" ca="1" si="14"/>
        <v>46</v>
      </c>
      <c r="AH28" s="1">
        <f t="shared" ca="1" si="14"/>
        <v>44</v>
      </c>
      <c r="AI28" s="1">
        <f t="shared" ca="1" si="14"/>
        <v>44</v>
      </c>
      <c r="AJ28" s="9"/>
    </row>
    <row r="29" spans="1:44" ht="39.950000000000003" customHeight="1" thickBot="1" x14ac:dyDescent="0.3">
      <c r="B29" s="8"/>
      <c r="C29" s="12">
        <v>46175</v>
      </c>
      <c r="D29" s="12">
        <v>46175</v>
      </c>
      <c r="E29" s="12">
        <v>46175</v>
      </c>
      <c r="F29" s="12">
        <v>46175</v>
      </c>
      <c r="G29" s="12">
        <v>46175</v>
      </c>
      <c r="H29" s="12">
        <v>46175</v>
      </c>
      <c r="J29" s="12">
        <v>46175</v>
      </c>
      <c r="K29" s="12">
        <v>46178</v>
      </c>
      <c r="L29" s="12">
        <v>46178</v>
      </c>
      <c r="M29" s="12">
        <v>46178</v>
      </c>
      <c r="N29" s="12">
        <v>46178</v>
      </c>
      <c r="O29" s="12">
        <v>46178</v>
      </c>
      <c r="P29" s="12">
        <v>46178</v>
      </c>
      <c r="R29" s="12">
        <v>46178</v>
      </c>
      <c r="S29" s="12">
        <v>46150</v>
      </c>
      <c r="T29" s="12">
        <v>46150</v>
      </c>
      <c r="U29" s="12">
        <v>46150</v>
      </c>
      <c r="V29" s="12">
        <v>46150</v>
      </c>
      <c r="W29" s="12">
        <v>46150</v>
      </c>
      <c r="X29" s="12">
        <v>46150</v>
      </c>
      <c r="Z29" s="12">
        <v>46150</v>
      </c>
      <c r="AA29" s="12">
        <v>46152</v>
      </c>
      <c r="AB29" s="12">
        <v>46152</v>
      </c>
      <c r="AC29" s="12">
        <v>46152</v>
      </c>
      <c r="AD29" s="12">
        <v>46152</v>
      </c>
      <c r="AE29" s="12">
        <v>46152</v>
      </c>
      <c r="AF29" s="12">
        <v>46152</v>
      </c>
      <c r="AG29" s="12">
        <v>46152</v>
      </c>
      <c r="AH29" s="12">
        <v>46154</v>
      </c>
      <c r="AI29" s="12">
        <v>46154</v>
      </c>
      <c r="AJ29" s="9"/>
    </row>
    <row r="30" spans="1:44" ht="15.75" thickBot="1" x14ac:dyDescent="0.3">
      <c r="B30" s="8"/>
      <c r="H30" s="76" t="s">
        <v>135</v>
      </c>
      <c r="I30" s="77"/>
      <c r="J30" s="78"/>
      <c r="AJ30" s="9"/>
    </row>
    <row r="31" spans="1:44" x14ac:dyDescent="0.25">
      <c r="B31" s="8"/>
      <c r="W31" s="1" t="s">
        <v>113</v>
      </c>
      <c r="X31" s="1" t="s">
        <v>112</v>
      </c>
      <c r="AG31" s="1" t="s">
        <v>111</v>
      </c>
      <c r="AH31" s="1" t="s">
        <v>110</v>
      </c>
      <c r="AI31" s="1" t="s">
        <v>109</v>
      </c>
      <c r="AJ31" s="9"/>
    </row>
    <row r="32" spans="1:44" x14ac:dyDescent="0.25">
      <c r="B32" s="8"/>
      <c r="W32" s="1"/>
      <c r="X32" s="1"/>
      <c r="AG32" s="1" t="s">
        <v>142</v>
      </c>
      <c r="AH32" s="1" t="s">
        <v>142</v>
      </c>
      <c r="AI32" s="1" t="s">
        <v>142</v>
      </c>
      <c r="AJ32" s="9"/>
    </row>
    <row r="33" spans="1:36" ht="39.950000000000003" customHeight="1" x14ac:dyDescent="0.25">
      <c r="B33" s="8"/>
      <c r="W33" s="12" t="s">
        <v>143</v>
      </c>
      <c r="X33" s="12" t="s">
        <v>143</v>
      </c>
      <c r="AG33" s="13" t="s">
        <v>143</v>
      </c>
      <c r="AH33" s="13" t="s">
        <v>143</v>
      </c>
      <c r="AI33" s="13" t="s">
        <v>143</v>
      </c>
      <c r="AJ33" s="9"/>
    </row>
    <row r="34" spans="1:36" ht="15.75" thickBot="1" x14ac:dyDescent="0.3">
      <c r="B34" s="17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20"/>
    </row>
    <row r="36" spans="1:36" ht="16.5" thickBot="1" x14ac:dyDescent="0.3">
      <c r="B36" s="75">
        <v>45978</v>
      </c>
      <c r="C36" s="75"/>
      <c r="D36" s="75"/>
    </row>
    <row r="37" spans="1:36" x14ac:dyDescent="0.25"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7"/>
    </row>
    <row r="38" spans="1:36" x14ac:dyDescent="0.25">
      <c r="B38" s="8"/>
      <c r="R38" s="9"/>
    </row>
    <row r="39" spans="1:36" x14ac:dyDescent="0.25">
      <c r="B39" s="8"/>
      <c r="R39" s="9"/>
    </row>
    <row r="40" spans="1:36" x14ac:dyDescent="0.25">
      <c r="A40">
        <v>12</v>
      </c>
      <c r="B40" s="8"/>
      <c r="C40" s="1" t="s">
        <v>114</v>
      </c>
      <c r="D40" s="1" t="s">
        <v>115</v>
      </c>
      <c r="E40" s="1" t="s">
        <v>116</v>
      </c>
      <c r="F40" s="1" t="s">
        <v>117</v>
      </c>
      <c r="G40" s="1" t="s">
        <v>118</v>
      </c>
      <c r="H40" s="1" t="s">
        <v>119</v>
      </c>
      <c r="J40" s="1" t="s">
        <v>120</v>
      </c>
      <c r="K40" s="1" t="s">
        <v>121</v>
      </c>
      <c r="L40" s="1" t="s">
        <v>122</v>
      </c>
      <c r="M40" s="1" t="s">
        <v>123</v>
      </c>
      <c r="N40" s="1" t="s">
        <v>124</v>
      </c>
      <c r="O40" s="25" t="s">
        <v>125</v>
      </c>
      <c r="P40" s="1" t="s">
        <v>126</v>
      </c>
      <c r="R40" s="9"/>
    </row>
    <row r="41" spans="1:36" x14ac:dyDescent="0.25">
      <c r="A41">
        <v>12</v>
      </c>
      <c r="B41" s="8"/>
      <c r="C41" s="1">
        <f t="shared" ref="C41:O41" ca="1" si="15">IF(C42="","",$B$1-C42)</f>
        <v>40</v>
      </c>
      <c r="D41" s="1">
        <f t="shared" ca="1" si="15"/>
        <v>40</v>
      </c>
      <c r="E41" s="1">
        <f t="shared" ca="1" si="15"/>
        <v>40</v>
      </c>
      <c r="F41" s="1">
        <f t="shared" ca="1" si="15"/>
        <v>40</v>
      </c>
      <c r="G41" s="1">
        <f t="shared" ca="1" si="15"/>
        <v>39</v>
      </c>
      <c r="H41" s="1">
        <f t="shared" ca="1" si="15"/>
        <v>39</v>
      </c>
      <c r="J41" s="1">
        <f t="shared" ca="1" si="15"/>
        <v>39</v>
      </c>
      <c r="K41" s="1">
        <f t="shared" ca="1" si="15"/>
        <v>39</v>
      </c>
      <c r="L41" s="1">
        <f t="shared" ca="1" si="15"/>
        <v>39</v>
      </c>
      <c r="M41" s="1">
        <f t="shared" ca="1" si="15"/>
        <v>39</v>
      </c>
      <c r="N41" s="1">
        <f t="shared" ca="1" si="15"/>
        <v>39</v>
      </c>
      <c r="O41" s="1" t="str">
        <f t="shared" si="15"/>
        <v/>
      </c>
      <c r="P41" s="1"/>
      <c r="R41" s="9"/>
    </row>
    <row r="42" spans="1:36" ht="38.25" customHeight="1" x14ac:dyDescent="0.25">
      <c r="A42">
        <v>12</v>
      </c>
      <c r="B42" s="8"/>
      <c r="C42" s="12">
        <v>46158</v>
      </c>
      <c r="D42" s="12">
        <v>46158</v>
      </c>
      <c r="E42" s="12">
        <v>46158</v>
      </c>
      <c r="F42" s="12">
        <v>46158</v>
      </c>
      <c r="G42" s="12">
        <v>46159</v>
      </c>
      <c r="H42" s="12">
        <v>46159</v>
      </c>
      <c r="J42" s="12">
        <v>46159</v>
      </c>
      <c r="K42" s="12">
        <v>46159</v>
      </c>
      <c r="L42" s="12">
        <v>46159</v>
      </c>
      <c r="M42" s="12">
        <v>46159</v>
      </c>
      <c r="N42" s="12">
        <v>46159</v>
      </c>
      <c r="O42" s="12"/>
      <c r="P42" s="14"/>
      <c r="R42" s="9"/>
    </row>
    <row r="43" spans="1:36" x14ac:dyDescent="0.25">
      <c r="B43" s="8"/>
      <c r="R43" s="9"/>
    </row>
    <row r="44" spans="1:36" x14ac:dyDescent="0.25">
      <c r="B44" s="8"/>
      <c r="C44" s="1" t="s">
        <v>21</v>
      </c>
      <c r="D44" s="1" t="s">
        <v>22</v>
      </c>
      <c r="E44" s="1" t="s">
        <v>23</v>
      </c>
      <c r="F44" s="1" t="s">
        <v>24</v>
      </c>
      <c r="H44" s="1" t="s">
        <v>25</v>
      </c>
      <c r="J44" s="1" t="s">
        <v>26</v>
      </c>
      <c r="K44" s="1" t="s">
        <v>27</v>
      </c>
      <c r="L44" s="1" t="s">
        <v>28</v>
      </c>
      <c r="M44" s="1" t="s">
        <v>29</v>
      </c>
      <c r="N44" s="1" t="s">
        <v>30</v>
      </c>
      <c r="O44" s="1" t="s">
        <v>31</v>
      </c>
      <c r="P44" s="1" t="s">
        <v>32</v>
      </c>
      <c r="R44" s="9"/>
    </row>
    <row r="45" spans="1:36" x14ac:dyDescent="0.25">
      <c r="B45" s="8"/>
      <c r="C45" s="1">
        <f ca="1">IF(C46="","",$B$1-C46)</f>
        <v>42</v>
      </c>
      <c r="D45" s="1">
        <f ca="1">IF(D46="","",$B$1-D46)</f>
        <v>42</v>
      </c>
      <c r="E45" s="1">
        <f ca="1">IF(E46="","",$B$1-E46)</f>
        <v>41</v>
      </c>
      <c r="F45" s="1">
        <f ca="1">IF(F46="","",$B$1-F46)</f>
        <v>41</v>
      </c>
      <c r="H45" s="1">
        <f ca="1">IF(H46="","",$B$1-H46)</f>
        <v>41</v>
      </c>
      <c r="J45" s="1">
        <f t="shared" ref="J45:P45" ca="1" si="16">IF(J46="","",$B$1-J46)</f>
        <v>41</v>
      </c>
      <c r="K45" s="1">
        <f t="shared" ca="1" si="16"/>
        <v>41</v>
      </c>
      <c r="L45" s="1">
        <f t="shared" ca="1" si="16"/>
        <v>41</v>
      </c>
      <c r="M45" s="1">
        <f t="shared" ca="1" si="16"/>
        <v>41</v>
      </c>
      <c r="N45" s="1">
        <f t="shared" ca="1" si="16"/>
        <v>40</v>
      </c>
      <c r="O45" s="1">
        <f t="shared" ca="1" si="16"/>
        <v>40</v>
      </c>
      <c r="P45" s="1">
        <f t="shared" ca="1" si="16"/>
        <v>40</v>
      </c>
      <c r="R45" s="9"/>
    </row>
    <row r="46" spans="1:36" ht="38.25" customHeight="1" x14ac:dyDescent="0.25">
      <c r="B46" s="8"/>
      <c r="C46" s="12">
        <v>46156</v>
      </c>
      <c r="D46" s="12">
        <v>46156</v>
      </c>
      <c r="E46" s="12">
        <v>46157</v>
      </c>
      <c r="F46" s="12">
        <v>46157</v>
      </c>
      <c r="H46" s="12">
        <v>46157</v>
      </c>
      <c r="J46" s="12">
        <v>46157</v>
      </c>
      <c r="K46" s="12">
        <v>46157</v>
      </c>
      <c r="L46" s="12">
        <v>46157</v>
      </c>
      <c r="M46" s="12">
        <v>46157</v>
      </c>
      <c r="N46" s="12">
        <v>46158</v>
      </c>
      <c r="O46" s="12">
        <v>46158</v>
      </c>
      <c r="P46" s="12">
        <v>46158</v>
      </c>
      <c r="R46" s="9"/>
    </row>
    <row r="47" spans="1:36" x14ac:dyDescent="0.25">
      <c r="B47" s="8"/>
      <c r="R47" s="9"/>
    </row>
    <row r="48" spans="1:36" x14ac:dyDescent="0.25">
      <c r="B48" s="8"/>
      <c r="C48" s="1" t="s">
        <v>1</v>
      </c>
      <c r="D48" s="1" t="s">
        <v>2</v>
      </c>
      <c r="E48" s="1" t="s">
        <v>3</v>
      </c>
      <c r="F48" s="1" t="s">
        <v>4</v>
      </c>
      <c r="H48" s="1" t="s">
        <v>5</v>
      </c>
      <c r="J48" s="1" t="s">
        <v>6</v>
      </c>
      <c r="K48" s="1" t="s">
        <v>7</v>
      </c>
      <c r="L48" s="1" t="s">
        <v>8</v>
      </c>
      <c r="M48" s="1" t="s">
        <v>9</v>
      </c>
      <c r="N48" s="1" t="s">
        <v>10</v>
      </c>
      <c r="O48" s="1" t="s">
        <v>11</v>
      </c>
      <c r="P48" s="1" t="s">
        <v>12</v>
      </c>
      <c r="R48" s="9"/>
    </row>
    <row r="49" spans="1:29" x14ac:dyDescent="0.25">
      <c r="B49" s="8"/>
      <c r="C49" s="1">
        <f ca="1">IF(C50="","",$B$1-C50)</f>
        <v>43</v>
      </c>
      <c r="D49" s="1">
        <f ca="1">IF(D50="","",$B$1-D50)</f>
        <v>43</v>
      </c>
      <c r="E49" s="1">
        <f ca="1">IF(E50="","",$B$1-E50)</f>
        <v>43</v>
      </c>
      <c r="F49" s="1">
        <f ca="1">IF(F50="","",$B$1-F50)</f>
        <v>43</v>
      </c>
      <c r="H49" s="1">
        <f ca="1">IF(H50="","",$B$1-H50)</f>
        <v>43</v>
      </c>
      <c r="J49" s="1">
        <f t="shared" ref="J49:P49" ca="1" si="17">IF(J50="","",$B$1-J50)</f>
        <v>43</v>
      </c>
      <c r="K49" s="1">
        <f t="shared" ca="1" si="17"/>
        <v>43</v>
      </c>
      <c r="L49" s="1">
        <f t="shared" ca="1" si="17"/>
        <v>42</v>
      </c>
      <c r="M49" s="1">
        <f t="shared" ca="1" si="17"/>
        <v>42</v>
      </c>
      <c r="N49" s="1">
        <f t="shared" ca="1" si="17"/>
        <v>42</v>
      </c>
      <c r="O49" s="1">
        <f t="shared" ca="1" si="17"/>
        <v>42</v>
      </c>
      <c r="P49" s="1">
        <f t="shared" ca="1" si="17"/>
        <v>42</v>
      </c>
      <c r="R49" s="9"/>
    </row>
    <row r="50" spans="1:29" ht="38.25" customHeight="1" thickBot="1" x14ac:dyDescent="0.3">
      <c r="B50" s="8"/>
      <c r="C50" s="12">
        <v>46155</v>
      </c>
      <c r="D50" s="12">
        <v>46155</v>
      </c>
      <c r="E50" s="12">
        <v>46155</v>
      </c>
      <c r="F50" s="12">
        <v>46155</v>
      </c>
      <c r="H50" s="12">
        <v>46155</v>
      </c>
      <c r="J50" s="12">
        <v>46155</v>
      </c>
      <c r="K50" s="12">
        <v>46155</v>
      </c>
      <c r="L50" s="12">
        <v>46156</v>
      </c>
      <c r="M50" s="12">
        <v>46156</v>
      </c>
      <c r="N50" s="12">
        <v>46156</v>
      </c>
      <c r="O50" s="12">
        <v>46156</v>
      </c>
      <c r="P50" s="12">
        <v>46156</v>
      </c>
      <c r="R50" s="9"/>
    </row>
    <row r="51" spans="1:29" ht="15.75" thickBot="1" x14ac:dyDescent="0.3">
      <c r="B51" s="17"/>
      <c r="C51" s="19"/>
      <c r="D51" s="19"/>
      <c r="E51" s="19"/>
      <c r="F51" s="76" t="s">
        <v>135</v>
      </c>
      <c r="G51" s="77"/>
      <c r="H51" s="78"/>
      <c r="I51" s="19"/>
      <c r="J51" s="19"/>
      <c r="K51" s="19"/>
      <c r="L51" s="19"/>
      <c r="M51" s="19"/>
      <c r="N51" s="19"/>
      <c r="O51" s="19"/>
      <c r="P51" s="19"/>
      <c r="Q51" s="19"/>
      <c r="R51" s="20"/>
    </row>
    <row r="52" spans="1:29" x14ac:dyDescent="0.25">
      <c r="F52" s="26"/>
      <c r="G52" s="26"/>
      <c r="H52" s="26"/>
    </row>
    <row r="53" spans="1:29" ht="15.75" thickBot="1" x14ac:dyDescent="0.3"/>
    <row r="54" spans="1:29" x14ac:dyDescent="0.25"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7"/>
    </row>
    <row r="55" spans="1:29" x14ac:dyDescent="0.25">
      <c r="B55" s="8"/>
      <c r="AC55" s="9"/>
    </row>
    <row r="56" spans="1:29" x14ac:dyDescent="0.25">
      <c r="B56" s="8"/>
      <c r="AC56" s="9"/>
    </row>
    <row r="57" spans="1:29" x14ac:dyDescent="0.25">
      <c r="B57" s="8"/>
      <c r="C57" s="25" t="s">
        <v>41</v>
      </c>
      <c r="D57" s="1" t="s">
        <v>42</v>
      </c>
      <c r="E57" s="1" t="s">
        <v>43</v>
      </c>
      <c r="F57" s="1" t="s">
        <v>44</v>
      </c>
      <c r="G57" s="1" t="s">
        <v>45</v>
      </c>
      <c r="H57" s="1" t="s">
        <v>46</v>
      </c>
      <c r="J57" s="1" t="s">
        <v>47</v>
      </c>
      <c r="K57" s="1" t="s">
        <v>48</v>
      </c>
      <c r="L57" s="1" t="s">
        <v>49</v>
      </c>
      <c r="M57" s="1" t="s">
        <v>50</v>
      </c>
      <c r="N57" s="1" t="s">
        <v>51</v>
      </c>
      <c r="O57" s="1" t="s">
        <v>52</v>
      </c>
      <c r="P57" s="1" t="s">
        <v>53</v>
      </c>
      <c r="R57" s="1" t="s">
        <v>54</v>
      </c>
      <c r="S57" s="1" t="s">
        <v>55</v>
      </c>
      <c r="T57" s="1" t="s">
        <v>56</v>
      </c>
      <c r="U57" s="1" t="s">
        <v>57</v>
      </c>
      <c r="V57" s="1" t="s">
        <v>58</v>
      </c>
      <c r="W57" s="1" t="s">
        <v>59</v>
      </c>
      <c r="X57" s="1" t="s">
        <v>60</v>
      </c>
      <c r="Z57" s="1" t="s">
        <v>61</v>
      </c>
      <c r="AA57" s="25" t="s">
        <v>62</v>
      </c>
      <c r="AB57" s="25" t="s">
        <v>63</v>
      </c>
      <c r="AC57" s="9"/>
    </row>
    <row r="58" spans="1:29" ht="15.75" thickBot="1" x14ac:dyDescent="0.3">
      <c r="A58">
        <v>23</v>
      </c>
      <c r="B58" s="8"/>
      <c r="C58" s="1">
        <f t="shared" ref="C58:H58" ca="1" si="18">IF(C59="","",$B$1-C59)</f>
        <v>35</v>
      </c>
      <c r="D58" s="1">
        <f t="shared" ca="1" si="18"/>
        <v>35</v>
      </c>
      <c r="E58" s="1">
        <f t="shared" ca="1" si="18"/>
        <v>35</v>
      </c>
      <c r="F58" s="1">
        <f t="shared" ca="1" si="18"/>
        <v>35</v>
      </c>
      <c r="G58" s="1">
        <f t="shared" ca="1" si="18"/>
        <v>35</v>
      </c>
      <c r="H58" s="1">
        <f t="shared" ca="1" si="18"/>
        <v>35</v>
      </c>
      <c r="J58" s="1">
        <f t="shared" ref="J58:P58" ca="1" si="19">IF(J59="","",$B$1-J59)</f>
        <v>35</v>
      </c>
      <c r="K58" s="1">
        <f t="shared" ca="1" si="19"/>
        <v>34</v>
      </c>
      <c r="L58" s="1">
        <f t="shared" ca="1" si="19"/>
        <v>34</v>
      </c>
      <c r="M58" s="1">
        <f t="shared" ca="1" si="19"/>
        <v>34</v>
      </c>
      <c r="N58" s="1">
        <f t="shared" ca="1" si="19"/>
        <v>34</v>
      </c>
      <c r="O58" s="1">
        <f t="shared" ca="1" si="19"/>
        <v>34</v>
      </c>
      <c r="P58" s="1">
        <f t="shared" ca="1" si="19"/>
        <v>34</v>
      </c>
      <c r="R58" s="1">
        <f t="shared" ref="R58:X58" ca="1" si="20">IF(R59="","",$B$1-R59)</f>
        <v>34</v>
      </c>
      <c r="S58" s="1">
        <f t="shared" ca="1" si="20"/>
        <v>33</v>
      </c>
      <c r="T58" s="1">
        <f t="shared" ca="1" si="20"/>
        <v>33</v>
      </c>
      <c r="U58" s="1">
        <f t="shared" ca="1" si="20"/>
        <v>33</v>
      </c>
      <c r="V58" s="1">
        <f t="shared" ca="1" si="20"/>
        <v>33</v>
      </c>
      <c r="W58" s="1">
        <f t="shared" ca="1" si="20"/>
        <v>33</v>
      </c>
      <c r="X58" s="1">
        <f t="shared" ca="1" si="20"/>
        <v>33</v>
      </c>
      <c r="Z58" s="1">
        <f ca="1">IF(Z59="","",$B$1-Z59)</f>
        <v>33</v>
      </c>
      <c r="AA58" s="1" t="str">
        <f>IF(AA59="","",$B$1-AA59)</f>
        <v/>
      </c>
      <c r="AB58" s="1" t="str">
        <f>IF(AB59="","",$B$1-AB59)</f>
        <v/>
      </c>
      <c r="AC58" s="9"/>
    </row>
    <row r="59" spans="1:29" ht="39.950000000000003" customHeight="1" x14ac:dyDescent="0.25">
      <c r="A59">
        <v>23</v>
      </c>
      <c r="B59" s="72" t="s">
        <v>135</v>
      </c>
      <c r="C59" s="12">
        <v>46163</v>
      </c>
      <c r="D59" s="12">
        <v>46163</v>
      </c>
      <c r="E59" s="12">
        <v>46163</v>
      </c>
      <c r="F59" s="12">
        <v>46163</v>
      </c>
      <c r="G59" s="12">
        <v>46163</v>
      </c>
      <c r="H59" s="12">
        <v>46163</v>
      </c>
      <c r="I59" s="27"/>
      <c r="J59" s="12">
        <v>46163</v>
      </c>
      <c r="K59" s="12">
        <v>46164</v>
      </c>
      <c r="L59" s="12">
        <v>46164</v>
      </c>
      <c r="M59" s="12">
        <v>46164</v>
      </c>
      <c r="N59" s="12">
        <v>46164</v>
      </c>
      <c r="O59" s="12">
        <v>46164</v>
      </c>
      <c r="P59" s="12">
        <v>46164</v>
      </c>
      <c r="Q59" s="27"/>
      <c r="R59" s="12">
        <v>46164</v>
      </c>
      <c r="S59" s="12">
        <v>46165</v>
      </c>
      <c r="T59" s="12">
        <v>46165</v>
      </c>
      <c r="U59" s="12">
        <v>46165</v>
      </c>
      <c r="V59" s="12">
        <v>46165</v>
      </c>
      <c r="W59" s="12">
        <v>46165</v>
      </c>
      <c r="X59" s="12">
        <v>46165</v>
      </c>
      <c r="Y59" s="27"/>
      <c r="Z59" s="12">
        <v>46165</v>
      </c>
      <c r="AA59" s="12"/>
      <c r="AB59" s="12"/>
      <c r="AC59" s="9"/>
    </row>
    <row r="60" spans="1:29" x14ac:dyDescent="0.25">
      <c r="B60" s="73"/>
      <c r="AC60" s="9"/>
    </row>
    <row r="61" spans="1:29" x14ac:dyDescent="0.25">
      <c r="B61" s="73"/>
      <c r="C61" s="43" t="s">
        <v>71</v>
      </c>
      <c r="D61" s="1" t="s">
        <v>72</v>
      </c>
      <c r="E61" s="1" t="s">
        <v>73</v>
      </c>
      <c r="F61" s="1" t="s">
        <v>74</v>
      </c>
      <c r="G61" s="1" t="s">
        <v>75</v>
      </c>
      <c r="H61" s="1" t="s">
        <v>76</v>
      </c>
      <c r="J61" s="1" t="s">
        <v>77</v>
      </c>
      <c r="K61" s="1" t="s">
        <v>78</v>
      </c>
      <c r="L61" s="1" t="s">
        <v>79</v>
      </c>
      <c r="M61" s="1" t="s">
        <v>80</v>
      </c>
      <c r="N61" s="1" t="s">
        <v>81</v>
      </c>
      <c r="O61" s="1" t="s">
        <v>82</v>
      </c>
      <c r="P61" s="1" t="s">
        <v>83</v>
      </c>
      <c r="R61" s="1" t="s">
        <v>84</v>
      </c>
      <c r="S61" s="1" t="s">
        <v>85</v>
      </c>
      <c r="T61" s="1" t="s">
        <v>86</v>
      </c>
      <c r="U61" s="1" t="s">
        <v>87</v>
      </c>
      <c r="V61" s="1" t="s">
        <v>88</v>
      </c>
      <c r="W61" s="1" t="s">
        <v>89</v>
      </c>
      <c r="X61" s="1" t="s">
        <v>90</v>
      </c>
      <c r="Z61" s="1" t="s">
        <v>91</v>
      </c>
      <c r="AA61" s="1" t="s">
        <v>92</v>
      </c>
      <c r="AB61" s="1" t="s">
        <v>93</v>
      </c>
      <c r="AC61" s="9"/>
    </row>
    <row r="62" spans="1:29" ht="15.75" thickBot="1" x14ac:dyDescent="0.3">
      <c r="B62" s="74"/>
      <c r="C62" s="43" t="str">
        <f t="shared" ref="C62:H62" si="21">IF(C63="","",$B$1-C63)</f>
        <v/>
      </c>
      <c r="D62" s="1">
        <f t="shared" ca="1" si="21"/>
        <v>36</v>
      </c>
      <c r="E62" s="1">
        <f t="shared" ca="1" si="21"/>
        <v>36</v>
      </c>
      <c r="F62" s="1">
        <f t="shared" ca="1" si="21"/>
        <v>36</v>
      </c>
      <c r="G62" s="1">
        <f t="shared" ca="1" si="21"/>
        <v>36</v>
      </c>
      <c r="H62" s="1">
        <f t="shared" ca="1" si="21"/>
        <v>36</v>
      </c>
      <c r="J62" s="1">
        <f t="shared" ref="J62:P62" ca="1" si="22">IF(J63="","",$B$1-J63)</f>
        <v>36</v>
      </c>
      <c r="K62" s="1">
        <f t="shared" ca="1" si="22"/>
        <v>36</v>
      </c>
      <c r="L62" s="1">
        <f t="shared" ca="1" si="22"/>
        <v>36</v>
      </c>
      <c r="M62" s="1">
        <f t="shared" ca="1" si="22"/>
        <v>37</v>
      </c>
      <c r="N62" s="1">
        <f t="shared" ca="1" si="22"/>
        <v>37</v>
      </c>
      <c r="O62" s="1">
        <f t="shared" ca="1" si="22"/>
        <v>37</v>
      </c>
      <c r="P62" s="1">
        <f t="shared" ca="1" si="22"/>
        <v>37</v>
      </c>
      <c r="R62" s="1">
        <f t="shared" ref="R62:X62" ca="1" si="23">IF(R63="","",$B$1-R63)</f>
        <v>37</v>
      </c>
      <c r="S62" s="1">
        <f t="shared" ca="1" si="23"/>
        <v>37</v>
      </c>
      <c r="T62" s="1">
        <f t="shared" ca="1" si="23"/>
        <v>37</v>
      </c>
      <c r="U62" s="1">
        <f t="shared" ca="1" si="23"/>
        <v>38</v>
      </c>
      <c r="V62" s="1">
        <f t="shared" ca="1" si="23"/>
        <v>38</v>
      </c>
      <c r="W62" s="1">
        <f t="shared" ca="1" si="23"/>
        <v>38</v>
      </c>
      <c r="X62" s="1">
        <f t="shared" ca="1" si="23"/>
        <v>38</v>
      </c>
      <c r="Z62" s="1">
        <f ca="1">IF(Z63="","",$B$1-Z63)</f>
        <v>38</v>
      </c>
      <c r="AA62" s="1">
        <f ca="1">IF(AA63="","",$B$1-AA63)</f>
        <v>38</v>
      </c>
      <c r="AB62" s="1">
        <f ca="1">IF(AB63="","",$B$1-AB63)</f>
        <v>38</v>
      </c>
      <c r="AC62" s="9"/>
    </row>
    <row r="63" spans="1:29" ht="39.950000000000003" customHeight="1" x14ac:dyDescent="0.25">
      <c r="B63" s="8"/>
      <c r="C63" s="42"/>
      <c r="D63" s="12">
        <v>46162</v>
      </c>
      <c r="E63" s="12">
        <v>46162</v>
      </c>
      <c r="F63" s="12">
        <v>46162</v>
      </c>
      <c r="G63" s="12">
        <v>46162</v>
      </c>
      <c r="H63" s="12">
        <v>46162</v>
      </c>
      <c r="I63" s="27"/>
      <c r="J63" s="12">
        <v>46162</v>
      </c>
      <c r="K63" s="12">
        <v>46162</v>
      </c>
      <c r="L63" s="12">
        <v>46162</v>
      </c>
      <c r="M63" s="12">
        <v>46161</v>
      </c>
      <c r="N63" s="12">
        <v>46161</v>
      </c>
      <c r="O63" s="12">
        <v>46161</v>
      </c>
      <c r="P63" s="12">
        <v>46161</v>
      </c>
      <c r="Q63" s="27"/>
      <c r="R63" s="12">
        <v>46161</v>
      </c>
      <c r="S63" s="12">
        <v>46161</v>
      </c>
      <c r="T63" s="12">
        <v>46161</v>
      </c>
      <c r="U63" s="12">
        <v>46160</v>
      </c>
      <c r="V63" s="12">
        <v>46160</v>
      </c>
      <c r="W63" s="12">
        <v>46160</v>
      </c>
      <c r="X63" s="12">
        <v>46160</v>
      </c>
      <c r="Y63" s="27"/>
      <c r="Z63" s="12">
        <v>46160</v>
      </c>
      <c r="AA63" s="12">
        <v>46160</v>
      </c>
      <c r="AB63" s="12">
        <v>46160</v>
      </c>
      <c r="AC63" s="9"/>
    </row>
    <row r="64" spans="1:29" ht="15.75" thickBot="1" x14ac:dyDescent="0.3">
      <c r="B64" s="17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20"/>
    </row>
  </sheetData>
  <mergeCells count="6">
    <mergeCell ref="B59:B62"/>
    <mergeCell ref="B1:D1"/>
    <mergeCell ref="B7:B10"/>
    <mergeCell ref="H30:J30"/>
    <mergeCell ref="B36:D36"/>
    <mergeCell ref="F51:H51"/>
  </mergeCells>
  <phoneticPr fontId="7" type="noConversion"/>
  <conditionalFormatting sqref="C6:F6">
    <cfRule type="dataBar" priority="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{C036F0D9-554D-4844-A770-7AADC4033AA6}</x14:id>
        </ext>
      </extLst>
    </cfRule>
  </conditionalFormatting>
  <conditionalFormatting sqref="C10:F10">
    <cfRule type="dataBar" priority="3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14:F14">
    <cfRule type="dataBar" priority="8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{A9E08FAE-3F7D-4DAC-B9C7-895FCB5DC7AB}</x14:id>
        </ext>
      </extLst>
    </cfRule>
  </conditionalFormatting>
  <conditionalFormatting sqref="C42:F42">
    <cfRule type="notContainsBlanks" dxfId="360" priority="194">
      <formula>LEN(TRIM(C42))&gt;0</formula>
    </cfRule>
    <cfRule type="notContainsBlanks" dxfId="359" priority="192">
      <formula>LEN(TRIM(C42))&gt;0</formula>
    </cfRule>
    <cfRule type="containsBlanks" dxfId="358" priority="193">
      <formula>LEN(TRIM(C42))=0</formula>
    </cfRule>
    <cfRule type="containsBlanks" dxfId="357" priority="191">
      <formula>LEN(TRIM(C42))=0</formula>
    </cfRule>
  </conditionalFormatting>
  <conditionalFormatting sqref="C46:F46">
    <cfRule type="containsBlanks" dxfId="356" priority="29">
      <formula>LEN(TRIM(C46))=0</formula>
    </cfRule>
    <cfRule type="notContainsBlanks" dxfId="355" priority="30">
      <formula>LEN(TRIM(C46))&gt;0</formula>
    </cfRule>
  </conditionalFormatting>
  <conditionalFormatting sqref="C50:F50">
    <cfRule type="containsBlanks" dxfId="354" priority="21">
      <formula>LEN(TRIM(C50))=0</formula>
    </cfRule>
    <cfRule type="notContainsBlanks" dxfId="353" priority="22">
      <formula>LEN(TRIM(C50))&gt;0</formula>
    </cfRule>
  </conditionalFormatting>
  <conditionalFormatting sqref="C7:H7">
    <cfRule type="containsBlanks" dxfId="352" priority="1">
      <formula>LEN(TRIM(C7))=0</formula>
    </cfRule>
    <cfRule type="notContainsBlanks" dxfId="351" priority="2">
      <formula>LEN(TRIM(C7))&gt;0</formula>
    </cfRule>
  </conditionalFormatting>
  <conditionalFormatting sqref="C11:H11">
    <cfRule type="containsBlanks" dxfId="350" priority="338">
      <formula>LEN(TRIM(C11))=0</formula>
    </cfRule>
    <cfRule type="notContainsBlanks" dxfId="349" priority="339">
      <formula>LEN(TRIM(C11))&gt;0</formula>
    </cfRule>
  </conditionalFormatting>
  <conditionalFormatting sqref="C15:H15">
    <cfRule type="notContainsBlanks" dxfId="348" priority="158">
      <formula>LEN(TRIM(C15))&gt;0</formula>
    </cfRule>
    <cfRule type="containsBlanks" dxfId="347" priority="157">
      <formula>LEN(TRIM(C15))=0</formula>
    </cfRule>
  </conditionalFormatting>
  <conditionalFormatting sqref="C24:H24 J24:P24 R24 AA24:AI24">
    <cfRule type="dataBar" priority="3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346" priority="5">
      <formula>LEN(TRIM(C25))=0</formula>
    </cfRule>
    <cfRule type="notContainsBlanks" dxfId="345" priority="6">
      <formula>LEN(TRIM(C25))&gt;0</formula>
    </cfRule>
  </conditionalFormatting>
  <conditionalFormatting sqref="C28:H28 J28:P28">
    <cfRule type="dataBar" priority="3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344" priority="3">
      <formula>LEN(TRIM(C29))=0</formula>
    </cfRule>
    <cfRule type="notContainsBlanks" dxfId="343" priority="4">
      <formula>LEN(TRIM(C29))&gt;0</formula>
    </cfRule>
  </conditionalFormatting>
  <conditionalFormatting sqref="C41:H41">
    <cfRule type="dataBar" priority="3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342" priority="196">
      <formula>LEN(TRIM(C42))&gt;0</formula>
    </cfRule>
    <cfRule type="containsBlanks" dxfId="341" priority="195">
      <formula>LEN(TRIM(C42))=0</formula>
    </cfRule>
  </conditionalFormatting>
  <conditionalFormatting sqref="C58:H58 R58:X58 Z58:AB58 J58:P58">
    <cfRule type="dataBar" priority="3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340" priority="60">
      <formula>LEN(TRIM(C59))&gt;0</formula>
    </cfRule>
    <cfRule type="containsBlanks" dxfId="339" priority="59">
      <formula>LEN(TRIM(C59))=0</formula>
    </cfRule>
  </conditionalFormatting>
  <conditionalFormatting sqref="C62:H62 R62:X62 Z62:AB62 J62:P62">
    <cfRule type="dataBar" priority="3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338" priority="176">
      <formula>LEN(TRIM(C63))&gt;0</formula>
    </cfRule>
    <cfRule type="containsBlanks" dxfId="337" priority="175">
      <formula>LEN(TRIM(C63))=0</formula>
    </cfRule>
  </conditionalFormatting>
  <conditionalFormatting sqref="D63:H63">
    <cfRule type="notContainsBlanks" dxfId="336" priority="174">
      <formula>LEN(TRIM(D63))&gt;0</formula>
    </cfRule>
    <cfRule type="containsBlanks" dxfId="335" priority="173">
      <formula>LEN(TRIM(D63))=0</formula>
    </cfRule>
  </conditionalFormatting>
  <conditionalFormatting sqref="E45:F45 H45 J45:P45">
    <cfRule type="dataBar" priority="3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notContainsBlanks" dxfId="334" priority="28">
      <formula>LEN(TRIM(E46))&gt;0</formula>
    </cfRule>
    <cfRule type="containsBlanks" dxfId="333" priority="27">
      <formula>LEN(TRIM(E46))=0</formula>
    </cfRule>
  </conditionalFormatting>
  <conditionalFormatting sqref="E6:H6 J6:P6">
    <cfRule type="dataBar" priority="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{E455C695-BFF4-4CD2-A4E3-08340E78C171}</x14:id>
        </ext>
      </extLst>
    </cfRule>
  </conditionalFormatting>
  <conditionalFormatting sqref="E10:H10 J10:P10">
    <cfRule type="dataBar" priority="3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E14:H14 J14:P14">
    <cfRule type="dataBar" priority="9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{A02696F8-4F4A-40B2-AE82-2C2089E9AA6E}</x14:id>
        </ext>
      </extLst>
    </cfRule>
  </conditionalFormatting>
  <conditionalFormatting sqref="G6:H6 J6:P6">
    <cfRule type="dataBar" priority="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{E4F9FE42-AB01-470D-A37F-E67D2602D224}</x14:id>
        </ext>
      </extLst>
    </cfRule>
  </conditionalFormatting>
  <conditionalFormatting sqref="G10:H10 J10:P10">
    <cfRule type="dataBar" priority="3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14:H14 J14:P14">
    <cfRule type="dataBar" priority="8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{02D83114-9448-480F-9B0D-E7E7F25FCD6D}</x14:id>
        </ext>
      </extLst>
    </cfRule>
  </conditionalFormatting>
  <conditionalFormatting sqref="G42:H42">
    <cfRule type="notContainsBlanks" dxfId="332" priority="279">
      <formula>LEN(TRIM(G42))&gt;0</formula>
    </cfRule>
    <cfRule type="containsBlanks" dxfId="331" priority="278">
      <formula>LEN(TRIM(G42))=0</formula>
    </cfRule>
  </conditionalFormatting>
  <conditionalFormatting sqref="H45">
    <cfRule type="dataBar" priority="3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330" priority="33">
      <formula>LEN(TRIM(H46))=0</formula>
    </cfRule>
    <cfRule type="notContainsBlanks" dxfId="329" priority="32">
      <formula>LEN(TRIM(H46))&gt;0</formula>
    </cfRule>
    <cfRule type="containsBlanks" dxfId="328" priority="31">
      <formula>LEN(TRIM(H46))=0</formula>
    </cfRule>
    <cfRule type="notContainsBlanks" dxfId="327" priority="34">
      <formula>LEN(TRIM(H46))&gt;0</formula>
    </cfRule>
  </conditionalFormatting>
  <conditionalFormatting sqref="H50">
    <cfRule type="notContainsBlanks" dxfId="326" priority="24">
      <formula>LEN(TRIM(H50))&gt;0</formula>
    </cfRule>
    <cfRule type="containsBlanks" dxfId="325" priority="23">
      <formula>LEN(TRIM(H50))=0</formula>
    </cfRule>
  </conditionalFormatting>
  <conditionalFormatting sqref="I6">
    <cfRule type="dataBar" priority="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{1983A7A4-B9C3-402A-B00E-6FDBC8C43826}</x14:id>
        </ext>
      </extLst>
    </cfRule>
  </conditionalFormatting>
  <conditionalFormatting sqref="I10">
    <cfRule type="dataBar" priority="3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8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{A279F845-7F3A-4204-BD0F-74FBF3833FDD}</x14:id>
        </ext>
      </extLst>
    </cfRule>
  </conditionalFormatting>
  <conditionalFormatting sqref="I24">
    <cfRule type="dataBar" priority="3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3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3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3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3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3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J20:K20">
    <cfRule type="dataBar" priority="4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324" priority="16">
      <formula>LEN(TRIM(J21))&gt;0</formula>
    </cfRule>
    <cfRule type="containsBlanks" dxfId="323" priority="15">
      <formula>LEN(TRIM(J21))=0</formula>
    </cfRule>
  </conditionalFormatting>
  <conditionalFormatting sqref="J63:L63">
    <cfRule type="containsBlanks" dxfId="322" priority="55">
      <formula>LEN(TRIM(J63))=0</formula>
    </cfRule>
    <cfRule type="notContainsBlanks" dxfId="321" priority="56">
      <formula>LEN(TRIM(J63))&gt;0</formula>
    </cfRule>
  </conditionalFormatting>
  <conditionalFormatting sqref="J46:M46">
    <cfRule type="notContainsBlanks" dxfId="320" priority="200">
      <formula>LEN(TRIM(J46))&gt;0</formula>
    </cfRule>
    <cfRule type="containsBlanks" dxfId="319" priority="199">
      <formula>LEN(TRIM(J46))=0</formula>
    </cfRule>
  </conditionalFormatting>
  <conditionalFormatting sqref="J42:N42">
    <cfRule type="containsBlanks" dxfId="318" priority="41">
      <formula>LEN(TRIM(J42))=0</formula>
    </cfRule>
    <cfRule type="notContainsBlanks" dxfId="317" priority="42">
      <formula>LEN(TRIM(J42))&gt;0</formula>
    </cfRule>
  </conditionalFormatting>
  <conditionalFormatting sqref="J41:O41">
    <cfRule type="dataBar" priority="3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notContainsBlanks" dxfId="316" priority="252">
      <formula>LEN(TRIM(J7))&gt;0</formula>
    </cfRule>
    <cfRule type="containsBlanks" dxfId="315" priority="251">
      <formula>LEN(TRIM(J7))=0</formula>
    </cfRule>
  </conditionalFormatting>
  <conditionalFormatting sqref="J11:P11">
    <cfRule type="containsBlanks" dxfId="314" priority="83">
      <formula>LEN(TRIM(J11))=0</formula>
    </cfRule>
    <cfRule type="notContainsBlanks" dxfId="313" priority="84">
      <formula>LEN(TRIM(J11))&gt;0</formula>
    </cfRule>
  </conditionalFormatting>
  <conditionalFormatting sqref="J15:P15">
    <cfRule type="notContainsBlanks" dxfId="312" priority="86">
      <formula>LEN(TRIM(J15))&gt;0</formula>
    </cfRule>
    <cfRule type="containsBlanks" dxfId="311" priority="85">
      <formula>LEN(TRIM(J15))=0</formula>
    </cfRule>
  </conditionalFormatting>
  <conditionalFormatting sqref="J25:P25">
    <cfRule type="containsBlanks" dxfId="310" priority="101">
      <formula>LEN(TRIM(J25))=0</formula>
    </cfRule>
    <cfRule type="notContainsBlanks" dxfId="309" priority="102">
      <formula>LEN(TRIM(J25))&gt;0</formula>
    </cfRule>
  </conditionalFormatting>
  <conditionalFormatting sqref="J29:P29">
    <cfRule type="notContainsBlanks" dxfId="308" priority="8">
      <formula>LEN(TRIM(J29))&gt;0</formula>
    </cfRule>
    <cfRule type="containsBlanks" dxfId="307" priority="7">
      <formula>LEN(TRIM(J29))=0</formula>
    </cfRule>
  </conditionalFormatting>
  <conditionalFormatting sqref="J42:P42">
    <cfRule type="notContainsBlanks" dxfId="306" priority="44">
      <formula>LEN(TRIM(J42))&gt;0</formula>
    </cfRule>
    <cfRule type="containsBlanks" dxfId="305" priority="43">
      <formula>LEN(TRIM(J42))=0</formula>
    </cfRule>
  </conditionalFormatting>
  <conditionalFormatting sqref="J45:P45">
    <cfRule type="dataBar" priority="3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304" priority="39">
      <formula>LEN(TRIM(J46))=0</formula>
    </cfRule>
    <cfRule type="notContainsBlanks" dxfId="303" priority="40">
      <formula>LEN(TRIM(J46))&gt;0</formula>
    </cfRule>
  </conditionalFormatting>
  <conditionalFormatting sqref="J49:P49 C49:F49 H49 C45:F45">
    <cfRule type="dataBar" priority="3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302" priority="26">
      <formula>LEN(TRIM(J50))&gt;0</formula>
    </cfRule>
    <cfRule type="containsBlanks" dxfId="301" priority="25">
      <formula>LEN(TRIM(J50))=0</formula>
    </cfRule>
  </conditionalFormatting>
  <conditionalFormatting sqref="J59:P59">
    <cfRule type="notContainsBlanks" dxfId="300" priority="66">
      <formula>LEN(TRIM(J59))&gt;0</formula>
    </cfRule>
    <cfRule type="containsBlanks" dxfId="299" priority="65">
      <formula>LEN(TRIM(J59))=0</formula>
    </cfRule>
  </conditionalFormatting>
  <conditionalFormatting sqref="J63:P63">
    <cfRule type="notContainsBlanks" dxfId="298" priority="58">
      <formula>LEN(TRIM(J63))&gt;0</formula>
    </cfRule>
    <cfRule type="containsBlanks" dxfId="297" priority="57">
      <formula>LEN(TRIM(J63))=0</formula>
    </cfRule>
  </conditionalFormatting>
  <conditionalFormatting sqref="K11:P11">
    <cfRule type="notContainsBlanks" dxfId="296" priority="256">
      <formula>LEN(TRIM(K11))&gt;0</formula>
    </cfRule>
    <cfRule type="containsBlanks" dxfId="295" priority="255">
      <formula>LEN(TRIM(K11))=0</formula>
    </cfRule>
  </conditionalFormatting>
  <conditionalFormatting sqref="K59:P59">
    <cfRule type="containsBlanks" dxfId="294" priority="63">
      <formula>LEN(TRIM(K59))=0</formula>
    </cfRule>
    <cfRule type="notContainsBlanks" dxfId="293" priority="62">
      <formula>LEN(TRIM(K59))&gt;0</formula>
    </cfRule>
    <cfRule type="containsBlanks" dxfId="292" priority="61">
      <formula>LEN(TRIM(K59))=0</formula>
    </cfRule>
    <cfRule type="notContainsBlanks" dxfId="291" priority="64">
      <formula>LEN(TRIM(K59))&gt;0</formula>
    </cfRule>
  </conditionalFormatting>
  <conditionalFormatting sqref="M63:P63">
    <cfRule type="notContainsBlanks" dxfId="290" priority="180">
      <formula>LEN(TRIM(M63))&gt;0</formula>
    </cfRule>
    <cfRule type="containsBlanks" dxfId="289" priority="179">
      <formula>LEN(TRIM(M63))=0</formula>
    </cfRule>
  </conditionalFormatting>
  <conditionalFormatting sqref="N46:P46">
    <cfRule type="notContainsBlanks" dxfId="288" priority="36">
      <formula>LEN(TRIM(N46))&gt;0</formula>
    </cfRule>
    <cfRule type="containsBlanks" dxfId="287" priority="35">
      <formula>LEN(TRIM(N46))=0</formula>
    </cfRule>
    <cfRule type="notContainsBlanks" dxfId="286" priority="38">
      <formula>LEN(TRIM(N46))&gt;0</formula>
    </cfRule>
    <cfRule type="containsBlanks" dxfId="285" priority="37">
      <formula>LEN(TRIM(N46))=0</formula>
    </cfRule>
  </conditionalFormatting>
  <conditionalFormatting sqref="P7">
    <cfRule type="containsBlanks" dxfId="284" priority="247">
      <formula>LEN(TRIM(P7))=0</formula>
    </cfRule>
    <cfRule type="notContainsBlanks" dxfId="283" priority="248">
      <formula>LEN(TRIM(P7))&gt;0</formula>
    </cfRule>
    <cfRule type="containsBlanks" dxfId="282" priority="249">
      <formula>LEN(TRIM(P7))=0</formula>
    </cfRule>
    <cfRule type="notContainsBlanks" dxfId="281" priority="250">
      <formula>LEN(TRIM(P7))&gt;0</formula>
    </cfRule>
  </conditionalFormatting>
  <conditionalFormatting sqref="P41">
    <cfRule type="dataBar" priority="3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3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3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3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3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3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3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R11">
    <cfRule type="containsBlanks" dxfId="280" priority="79">
      <formula>LEN(TRIM(R11))=0</formula>
    </cfRule>
    <cfRule type="notContainsBlanks" dxfId="279" priority="80">
      <formula>LEN(TRIM(R11))&gt;0</formula>
    </cfRule>
  </conditionalFormatting>
  <conditionalFormatting sqref="R15">
    <cfRule type="containsBlanks" dxfId="278" priority="81">
      <formula>LEN(TRIM(R15))=0</formula>
    </cfRule>
    <cfRule type="notContainsBlanks" dxfId="277" priority="82">
      <formula>LEN(TRIM(R15))&gt;0</formula>
    </cfRule>
  </conditionalFormatting>
  <conditionalFormatting sqref="R59">
    <cfRule type="containsBlanks" dxfId="276" priority="167">
      <formula>LEN(TRIM(R59))=0</formula>
    </cfRule>
    <cfRule type="notContainsBlanks" dxfId="275" priority="168">
      <formula>LEN(TRIM(R59))&gt;0</formula>
    </cfRule>
    <cfRule type="notContainsBlanks" dxfId="274" priority="166">
      <formula>LEN(TRIM(R59))&gt;0</formula>
    </cfRule>
    <cfRule type="containsBlanks" dxfId="273" priority="165">
      <formula>LEN(TRIM(R59))=0</formula>
    </cfRule>
  </conditionalFormatting>
  <conditionalFormatting sqref="R11:T11">
    <cfRule type="containsBlanks" dxfId="272" priority="75">
      <formula>LEN(TRIM(R11))=0</formula>
    </cfRule>
    <cfRule type="notContainsBlanks" dxfId="271" priority="76">
      <formula>LEN(TRIM(R11))&gt;0</formula>
    </cfRule>
  </conditionalFormatting>
  <conditionalFormatting sqref="R63:T63">
    <cfRule type="notContainsBlanks" dxfId="270" priority="52">
      <formula>LEN(TRIM(R63))&gt;0</formula>
    </cfRule>
    <cfRule type="containsBlanks" dxfId="269" priority="51">
      <formula>LEN(TRIM(R63))=0</formula>
    </cfRule>
  </conditionalFormatting>
  <conditionalFormatting sqref="R6:X6">
    <cfRule type="dataBar" priority="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{8BB7C500-83D3-4393-98C1-6C5F1BC16FAA}</x14:id>
        </ext>
      </extLst>
    </cfRule>
  </conditionalFormatting>
  <conditionalFormatting sqref="R7:X7">
    <cfRule type="containsBlanks" dxfId="268" priority="71">
      <formula>LEN(TRIM(R7))=0</formula>
    </cfRule>
    <cfRule type="notContainsBlanks" dxfId="267" priority="72">
      <formula>LEN(TRIM(R7))&gt;0</formula>
    </cfRule>
  </conditionalFormatting>
  <conditionalFormatting sqref="R10:X10">
    <cfRule type="dataBar" priority="3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14:X14">
    <cfRule type="dataBar" priority="9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{DCF51B6B-A02F-4E86-B1B1-8E6162097A06}</x14:id>
        </ext>
      </extLst>
    </cfRule>
  </conditionalFormatting>
  <conditionalFormatting sqref="R25:X25">
    <cfRule type="notContainsBlanks" dxfId="266" priority="14">
      <formula>LEN(TRIM(R25))&gt;0</formula>
    </cfRule>
    <cfRule type="containsBlanks" dxfId="265" priority="13">
      <formula>LEN(TRIM(R25))=0</formula>
    </cfRule>
  </conditionalFormatting>
  <conditionalFormatting sqref="R29:X29">
    <cfRule type="notContainsBlanks" dxfId="264" priority="12">
      <formula>LEN(TRIM(R29))&gt;0</formula>
    </cfRule>
    <cfRule type="containsBlanks" dxfId="263" priority="11">
      <formula>LEN(TRIM(R29))=0</formula>
    </cfRule>
  </conditionalFormatting>
  <conditionalFormatting sqref="R59:X59">
    <cfRule type="notContainsBlanks" dxfId="262" priority="170">
      <formula>LEN(TRIM(R59))&gt;0</formula>
    </cfRule>
    <cfRule type="containsBlanks" dxfId="261" priority="169">
      <formula>LEN(TRIM(R59))=0</formula>
    </cfRule>
  </conditionalFormatting>
  <conditionalFormatting sqref="R63:X63">
    <cfRule type="containsBlanks" dxfId="260" priority="53">
      <formula>LEN(TRIM(R63))=0</formula>
    </cfRule>
    <cfRule type="notContainsBlanks" dxfId="259" priority="54">
      <formula>LEN(TRIM(R63))&gt;0</formula>
    </cfRule>
  </conditionalFormatting>
  <conditionalFormatting sqref="S15:X15">
    <cfRule type="notContainsBlanks" dxfId="258" priority="308">
      <formula>LEN(TRIM(S15))&gt;0</formula>
    </cfRule>
    <cfRule type="containsBlanks" dxfId="257" priority="307">
      <formula>LEN(TRIM(S15))=0</formula>
    </cfRule>
  </conditionalFormatting>
  <conditionalFormatting sqref="S24:X24 Z24">
    <cfRule type="dataBar" priority="2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2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256" priority="266">
      <formula>LEN(TRIM(S59))=0</formula>
    </cfRule>
    <cfRule type="notContainsBlanks" dxfId="255" priority="267">
      <formula>LEN(TRIM(S59))&gt;0</formula>
    </cfRule>
  </conditionalFormatting>
  <conditionalFormatting sqref="U11:X11">
    <cfRule type="notContainsBlanks" dxfId="254" priority="150">
      <formula>LEN(TRIM(U11))&gt;0</formula>
    </cfRule>
    <cfRule type="containsBlanks" dxfId="253" priority="149">
      <formula>LEN(TRIM(U11))=0</formula>
    </cfRule>
  </conditionalFormatting>
  <conditionalFormatting sqref="U63:X63">
    <cfRule type="notContainsBlanks" dxfId="252" priority="186">
      <formula>LEN(TRIM(U63))&gt;0</formula>
    </cfRule>
    <cfRule type="containsBlanks" dxfId="251" priority="185">
      <formula>LEN(TRIM(U63))=0</formula>
    </cfRule>
    <cfRule type="notContainsBlanks" dxfId="250" priority="184">
      <formula>LEN(TRIM(U63))&gt;0</formula>
    </cfRule>
    <cfRule type="containsBlanks" dxfId="249" priority="183">
      <formula>LEN(TRIM(U63))=0</formula>
    </cfRule>
  </conditionalFormatting>
  <conditionalFormatting sqref="V11:W11">
    <cfRule type="notContainsBlanks" dxfId="248" priority="146">
      <formula>LEN(TRIM(V11))&gt;0</formula>
    </cfRule>
    <cfRule type="containsBlanks" dxfId="247" priority="145">
      <formula>LEN(TRIM(V11))=0</formula>
    </cfRule>
  </conditionalFormatting>
  <conditionalFormatting sqref="W15:X15">
    <cfRule type="notContainsBlanks" dxfId="246" priority="298">
      <formula>LEN(TRIM(W15))&gt;0</formula>
    </cfRule>
    <cfRule type="containsBlanks" dxfId="245" priority="297">
      <formula>LEN(TRIM(W15))=0</formula>
    </cfRule>
  </conditionalFormatting>
  <conditionalFormatting sqref="W32:X32">
    <cfRule type="dataBar" priority="3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244" priority="310">
      <formula>LEN(TRIM(W33))&gt;0</formula>
    </cfRule>
    <cfRule type="containsBlanks" dxfId="243" priority="309">
      <formula>LEN(TRIM(W33))=0</formula>
    </cfRule>
  </conditionalFormatting>
  <conditionalFormatting sqref="X20">
    <cfRule type="dataBar" priority="4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notContainsBlanks" dxfId="242" priority="387">
      <formula>LEN(TRIM(X21))&gt;0</formula>
    </cfRule>
    <cfRule type="containsBlanks" dxfId="241" priority="386">
      <formula>LEN(TRIM(X21))=0</formula>
    </cfRule>
    <cfRule type="notContainsBlanks" dxfId="240" priority="385">
      <formula>LEN(TRIM(X21))&gt;0</formula>
    </cfRule>
    <cfRule type="containsBlanks" dxfId="239" priority="378">
      <formula>LEN(TRIM(X21))=0</formula>
    </cfRule>
    <cfRule type="notContainsBlanks" dxfId="238" priority="379">
      <formula>LEN(TRIM(X21))&gt;0</formula>
    </cfRule>
    <cfRule type="containsBlanks" dxfId="237" priority="380">
      <formula>LEN(TRIM(X21))=0</formula>
    </cfRule>
    <cfRule type="notContainsBlanks" dxfId="236" priority="381">
      <formula>LEN(TRIM(X21))&gt;0</formula>
    </cfRule>
    <cfRule type="containsBlanks" dxfId="235" priority="382">
      <formula>LEN(TRIM(X21))=0</formula>
    </cfRule>
    <cfRule type="notContainsBlanks" dxfId="234" priority="383">
      <formula>LEN(TRIM(X21))&gt;0</formula>
    </cfRule>
    <cfRule type="containsBlanks" dxfId="233" priority="384">
      <formula>LEN(TRIM(X21))=0</formula>
    </cfRule>
  </conditionalFormatting>
  <conditionalFormatting sqref="Y24">
    <cfRule type="dataBar" priority="2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3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3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Z59">
    <cfRule type="notContainsBlanks" dxfId="232" priority="68">
      <formula>LEN(TRIM(Z59))&gt;0</formula>
    </cfRule>
    <cfRule type="containsBlanks" dxfId="231" priority="67">
      <formula>LEN(TRIM(Z59))=0</formula>
    </cfRule>
  </conditionalFormatting>
  <conditionalFormatting sqref="Z59:AB59">
    <cfRule type="notContainsBlanks" dxfId="230" priority="70">
      <formula>LEN(TRIM(Z59))&gt;0</formula>
    </cfRule>
    <cfRule type="containsBlanks" dxfId="229" priority="69">
      <formula>LEN(TRIM(Z59))=0</formula>
    </cfRule>
  </conditionalFormatting>
  <conditionalFormatting sqref="Z63:AB63">
    <cfRule type="containsBlanks" dxfId="228" priority="47">
      <formula>LEN(TRIM(Z63))=0</formula>
    </cfRule>
    <cfRule type="containsBlanks" dxfId="227" priority="45">
      <formula>LEN(TRIM(Z63))=0</formula>
    </cfRule>
    <cfRule type="notContainsBlanks" dxfId="226" priority="46">
      <formula>LEN(TRIM(Z63))&gt;0</formula>
    </cfRule>
    <cfRule type="notContainsBlanks" dxfId="225" priority="50">
      <formula>LEN(TRIM(Z63))&gt;0</formula>
    </cfRule>
    <cfRule type="containsBlanks" dxfId="224" priority="49">
      <formula>LEN(TRIM(Z63))=0</formula>
    </cfRule>
    <cfRule type="notContainsBlanks" dxfId="223" priority="48">
      <formula>LEN(TRIM(Z63))&gt;0</formula>
    </cfRule>
  </conditionalFormatting>
  <conditionalFormatting sqref="Z25:AI25">
    <cfRule type="notContainsBlanks" dxfId="222" priority="218">
      <formula>LEN(TRIM(Z25))&gt;0</formula>
    </cfRule>
    <cfRule type="containsBlanks" dxfId="221" priority="217">
      <formula>LEN(TRIM(Z25))=0</formula>
    </cfRule>
  </conditionalFormatting>
  <conditionalFormatting sqref="Z29:AI29">
    <cfRule type="containsBlanks" dxfId="220" priority="19">
      <formula>LEN(TRIM(Z29))=0</formula>
    </cfRule>
    <cfRule type="notContainsBlanks" dxfId="219" priority="20">
      <formula>LEN(TRIM(Z29))&gt;0</formula>
    </cfRule>
  </conditionalFormatting>
  <conditionalFormatting sqref="AA59:AB59">
    <cfRule type="containsBlanks" dxfId="218" priority="243">
      <formula>LEN(TRIM(AA59))=0</formula>
    </cfRule>
    <cfRule type="notContainsBlanks" dxfId="217" priority="244">
      <formula>LEN(TRIM(AA59))&gt;0</formula>
    </cfRule>
  </conditionalFormatting>
  <conditionalFormatting sqref="AA28:AI28 R28">
    <cfRule type="dataBar" priority="3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F20:AI20">
    <cfRule type="dataBar" priority="4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216" priority="17">
      <formula>LEN(TRIM(AF21))=0</formula>
    </cfRule>
    <cfRule type="notContainsBlanks" dxfId="215" priority="18">
      <formula>LEN(TRIM(AF21))&gt;0</formula>
    </cfRule>
  </conditionalFormatting>
  <conditionalFormatting sqref="AG32:AI32">
    <cfRule type="dataBar" priority="4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notContainsBlanks" dxfId="214" priority="397">
      <formula>LEN(TRIM(AG33))&gt;0</formula>
    </cfRule>
    <cfRule type="containsBlanks" dxfId="213" priority="388">
      <formula>LEN(TRIM(AG33))=0</formula>
    </cfRule>
    <cfRule type="notContainsBlanks" dxfId="212" priority="389">
      <formula>LEN(TRIM(AG33))&gt;0</formula>
    </cfRule>
    <cfRule type="notContainsBlanks" dxfId="211" priority="391">
      <formula>LEN(TRIM(AG33))&gt;0</formula>
    </cfRule>
    <cfRule type="containsBlanks" dxfId="210" priority="392">
      <formula>LEN(TRIM(AG33))=0</formula>
    </cfRule>
    <cfRule type="notContainsBlanks" dxfId="209" priority="393">
      <formula>LEN(TRIM(AG33))&gt;0</formula>
    </cfRule>
    <cfRule type="containsBlanks" dxfId="208" priority="394">
      <formula>LEN(TRIM(AG33))=0</formula>
    </cfRule>
    <cfRule type="notContainsBlanks" dxfId="207" priority="395">
      <formula>LEN(TRIM(AG33))&gt;0</formula>
    </cfRule>
    <cfRule type="containsBlanks" dxfId="206" priority="396">
      <formula>LEN(TRIM(AG33))=0</formula>
    </cfRule>
    <cfRule type="containsBlanks" dxfId="205" priority="398">
      <formula>LEN(TRIM(AG33))=0</formula>
    </cfRule>
    <cfRule type="notContainsBlanks" dxfId="204" priority="399">
      <formula>LEN(TRIM(AG33))&gt;0</formula>
    </cfRule>
    <cfRule type="containsBlanks" dxfId="203" priority="390">
      <formula>LEN(TRIM(AG33))=0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6F0D9-554D-4844-A770-7AADC4033AA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C6:F6</xm:sqref>
        </x14:conditionalFormatting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</xm:sqref>
        </x14:conditionalFormatting>
        <x14:conditionalFormatting xmlns:xm="http://schemas.microsoft.com/office/excel/2006/main">
          <x14:cfRule type="dataBar" id="{A9E08FAE-3F7D-4DAC-B9C7-895FCB5DC7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C14:F14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E455C695-BFF4-4CD2-A4E3-08340E78C17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E6:H6 J6:P6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A02696F8-4F4A-40B2-AE82-2C2089E9AA6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E14:H14 J14:P14</xm:sqref>
        </x14:conditionalFormatting>
        <x14:conditionalFormatting xmlns:xm="http://schemas.microsoft.com/office/excel/2006/main">
          <x14:cfRule type="dataBar" id="{E4F9FE42-AB01-470D-A37F-E67D2602D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G6:H6 J6:P6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02D83114-9448-480F-9B0D-E7E7F25FCD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G14:H14 J14:P14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1983A7A4-B9C3-402A-B00E-6FDBC8C4382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A279F845-7F3A-4204-BD0F-74FBF3833FD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8BB7C500-83D3-4393-98C1-6C5F1BC16FA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R6:X6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R10:X10</xm:sqref>
        </x14:conditionalFormatting>
        <x14:conditionalFormatting xmlns:xm="http://schemas.microsoft.com/office/excel/2006/main">
          <x14:cfRule type="dataBar" id="{DCF51B6B-A02F-4E86-B1B1-8E6162097A0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R14:X14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588"/>
  <sheetViews>
    <sheetView tabSelected="1" workbookViewId="0">
      <pane xSplit="2" ySplit="1" topLeftCell="C1569" activePane="bottomRight" state="frozen"/>
      <selection pane="topRight" activeCell="C1" sqref="C1"/>
      <selection pane="bottomLeft" activeCell="A2" sqref="A2"/>
      <selection pane="bottomRight" activeCell="G1592" sqref="G1592"/>
    </sheetView>
  </sheetViews>
  <sheetFormatPr defaultRowHeight="15" x14ac:dyDescent="0.25"/>
  <cols>
    <col min="1" max="1" width="28.85546875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1" t="s">
        <v>145</v>
      </c>
      <c r="B1" s="1" t="s">
        <v>146</v>
      </c>
      <c r="C1" s="1"/>
      <c r="D1" s="1" t="s">
        <v>371</v>
      </c>
      <c r="E1" s="1" t="s">
        <v>366</v>
      </c>
      <c r="F1" s="1" t="s">
        <v>367</v>
      </c>
      <c r="G1" s="1" t="s">
        <v>368</v>
      </c>
      <c r="H1" s="1" t="s">
        <v>369</v>
      </c>
      <c r="I1" s="1" t="s">
        <v>370</v>
      </c>
      <c r="J1" s="1" t="s">
        <v>372</v>
      </c>
      <c r="K1" s="1" t="s">
        <v>376</v>
      </c>
      <c r="L1" s="1" t="s">
        <v>373</v>
      </c>
      <c r="M1" s="1" t="s">
        <v>374</v>
      </c>
      <c r="N1" s="1" t="s">
        <v>375</v>
      </c>
      <c r="O1" s="1" t="s">
        <v>377</v>
      </c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28">
        <v>45962</v>
      </c>
      <c r="B3" s="1" t="s">
        <v>250</v>
      </c>
      <c r="C3" s="1"/>
      <c r="D3" s="28">
        <f t="shared" ref="D3:D66" si="0">A3+23</f>
        <v>45985</v>
      </c>
      <c r="E3" s="28">
        <f t="shared" ref="E3:E66" si="1">A3+7</f>
        <v>45969</v>
      </c>
      <c r="F3" s="28">
        <f t="shared" ref="F3:F66" si="2">A3+14</f>
        <v>45976</v>
      </c>
      <c r="G3" s="28">
        <f t="shared" ref="G3:G66" si="3">A3+20</f>
        <v>45982</v>
      </c>
      <c r="H3" s="28">
        <f t="shared" ref="H3:H66" si="4">A3+8</f>
        <v>45970</v>
      </c>
      <c r="I3" s="28">
        <f t="shared" ref="I3:I66" si="5">A3+15</f>
        <v>45977</v>
      </c>
      <c r="J3" s="28">
        <v>45991</v>
      </c>
      <c r="K3" s="29">
        <f t="shared" ref="K3:K34" si="6">J3-A3</f>
        <v>29</v>
      </c>
      <c r="L3" s="1">
        <v>19.739999999999998</v>
      </c>
      <c r="M3" s="1">
        <v>10.58</v>
      </c>
      <c r="N3" s="1">
        <f t="shared" ref="N3:N66" si="7">L3-M3</f>
        <v>9.1599999999999984</v>
      </c>
      <c r="O3" s="1" t="s">
        <v>378</v>
      </c>
    </row>
    <row r="4" spans="1:15" x14ac:dyDescent="0.25">
      <c r="A4" s="28">
        <v>45962</v>
      </c>
      <c r="B4" s="1" t="s">
        <v>251</v>
      </c>
      <c r="C4" s="1"/>
      <c r="D4" s="28">
        <f t="shared" si="0"/>
        <v>45985</v>
      </c>
      <c r="E4" s="28">
        <f t="shared" si="1"/>
        <v>45969</v>
      </c>
      <c r="F4" s="28">
        <f t="shared" si="2"/>
        <v>45976</v>
      </c>
      <c r="G4" s="28">
        <f t="shared" si="3"/>
        <v>45982</v>
      </c>
      <c r="H4" s="28">
        <f t="shared" si="4"/>
        <v>45970</v>
      </c>
      <c r="I4" s="28">
        <f t="shared" si="5"/>
        <v>45977</v>
      </c>
      <c r="J4" s="28">
        <v>45991</v>
      </c>
      <c r="K4" s="29">
        <f t="shared" si="6"/>
        <v>29</v>
      </c>
      <c r="L4" s="1">
        <v>19.829999999999998</v>
      </c>
      <c r="M4" s="1">
        <v>10.97</v>
      </c>
      <c r="N4" s="1">
        <f t="shared" si="7"/>
        <v>8.8599999999999977</v>
      </c>
      <c r="O4" s="1" t="s">
        <v>378</v>
      </c>
    </row>
    <row r="5" spans="1:15" x14ac:dyDescent="0.25">
      <c r="A5" s="28">
        <v>45962</v>
      </c>
      <c r="B5" s="1" t="s">
        <v>252</v>
      </c>
      <c r="C5" s="1"/>
      <c r="D5" s="28">
        <f t="shared" si="0"/>
        <v>45985</v>
      </c>
      <c r="E5" s="28">
        <f t="shared" si="1"/>
        <v>45969</v>
      </c>
      <c r="F5" s="28">
        <f t="shared" si="2"/>
        <v>45976</v>
      </c>
      <c r="G5" s="28">
        <f t="shared" si="3"/>
        <v>45982</v>
      </c>
      <c r="H5" s="28">
        <f t="shared" si="4"/>
        <v>45970</v>
      </c>
      <c r="I5" s="28">
        <f t="shared" si="5"/>
        <v>45977</v>
      </c>
      <c r="J5" s="28">
        <v>45991</v>
      </c>
      <c r="K5" s="29">
        <f t="shared" si="6"/>
        <v>29</v>
      </c>
      <c r="L5" s="1">
        <v>18.91</v>
      </c>
      <c r="M5" s="1">
        <v>18.420000000000002</v>
      </c>
      <c r="N5" s="1">
        <f t="shared" si="7"/>
        <v>0.48999999999999844</v>
      </c>
      <c r="O5" s="1" t="s">
        <v>379</v>
      </c>
    </row>
    <row r="6" spans="1:15" x14ac:dyDescent="0.25">
      <c r="A6" s="28">
        <v>45962</v>
      </c>
      <c r="B6" s="1" t="s">
        <v>253</v>
      </c>
      <c r="C6" s="1"/>
      <c r="D6" s="28">
        <f t="shared" si="0"/>
        <v>45985</v>
      </c>
      <c r="E6" s="28">
        <f t="shared" si="1"/>
        <v>45969</v>
      </c>
      <c r="F6" s="28">
        <f t="shared" si="2"/>
        <v>45976</v>
      </c>
      <c r="G6" s="28">
        <f t="shared" si="3"/>
        <v>45982</v>
      </c>
      <c r="H6" s="28">
        <f t="shared" si="4"/>
        <v>45970</v>
      </c>
      <c r="I6" s="28">
        <f t="shared" si="5"/>
        <v>45977</v>
      </c>
      <c r="J6" s="28">
        <v>45991</v>
      </c>
      <c r="K6" s="29">
        <f t="shared" si="6"/>
        <v>29</v>
      </c>
      <c r="L6" s="1">
        <v>17.75</v>
      </c>
      <c r="M6" s="1">
        <v>16.28</v>
      </c>
      <c r="N6" s="1">
        <f t="shared" si="7"/>
        <v>1.4699999999999989</v>
      </c>
      <c r="O6" s="1" t="s">
        <v>379</v>
      </c>
    </row>
    <row r="7" spans="1:15" x14ac:dyDescent="0.25">
      <c r="A7" s="28">
        <v>45962</v>
      </c>
      <c r="B7" s="1" t="s">
        <v>254</v>
      </c>
      <c r="C7" s="1"/>
      <c r="D7" s="28">
        <f t="shared" si="0"/>
        <v>45985</v>
      </c>
      <c r="E7" s="28">
        <f t="shared" si="1"/>
        <v>45969</v>
      </c>
      <c r="F7" s="28">
        <f t="shared" si="2"/>
        <v>45976</v>
      </c>
      <c r="G7" s="28">
        <f t="shared" si="3"/>
        <v>45982</v>
      </c>
      <c r="H7" s="28">
        <f t="shared" si="4"/>
        <v>45970</v>
      </c>
      <c r="I7" s="28">
        <f t="shared" si="5"/>
        <v>45977</v>
      </c>
      <c r="J7" s="28">
        <v>45991</v>
      </c>
      <c r="K7" s="29">
        <f t="shared" si="6"/>
        <v>29</v>
      </c>
      <c r="L7" s="1">
        <v>16.420000000000002</v>
      </c>
      <c r="M7" s="1">
        <v>15.72</v>
      </c>
      <c r="N7" s="1">
        <f t="shared" si="7"/>
        <v>0.70000000000000107</v>
      </c>
      <c r="O7" s="1" t="s">
        <v>379</v>
      </c>
    </row>
    <row r="8" spans="1:15" x14ac:dyDescent="0.25">
      <c r="A8" s="28">
        <v>45962</v>
      </c>
      <c r="B8" s="1" t="s">
        <v>256</v>
      </c>
      <c r="C8" s="1"/>
      <c r="D8" s="28">
        <f t="shared" si="0"/>
        <v>45985</v>
      </c>
      <c r="E8" s="28">
        <f t="shared" si="1"/>
        <v>45969</v>
      </c>
      <c r="F8" s="28">
        <f t="shared" si="2"/>
        <v>45976</v>
      </c>
      <c r="G8" s="28">
        <f t="shared" si="3"/>
        <v>45982</v>
      </c>
      <c r="H8" s="28">
        <f t="shared" si="4"/>
        <v>45970</v>
      </c>
      <c r="I8" s="28">
        <f t="shared" si="5"/>
        <v>45977</v>
      </c>
      <c r="J8" s="28">
        <v>45991</v>
      </c>
      <c r="K8" s="29">
        <f t="shared" si="6"/>
        <v>29</v>
      </c>
      <c r="L8" s="1">
        <v>15.36</v>
      </c>
      <c r="M8" s="1">
        <v>14.51</v>
      </c>
      <c r="N8" s="1">
        <f t="shared" si="7"/>
        <v>0.84999999999999964</v>
      </c>
      <c r="O8" s="1" t="s">
        <v>379</v>
      </c>
    </row>
    <row r="9" spans="1:15" x14ac:dyDescent="0.25">
      <c r="A9" s="28">
        <v>45962</v>
      </c>
      <c r="B9" s="1" t="s">
        <v>255</v>
      </c>
      <c r="C9" s="1"/>
      <c r="D9" s="28">
        <f t="shared" si="0"/>
        <v>45985</v>
      </c>
      <c r="E9" s="28">
        <f t="shared" si="1"/>
        <v>45969</v>
      </c>
      <c r="F9" s="28">
        <f t="shared" si="2"/>
        <v>45976</v>
      </c>
      <c r="G9" s="28">
        <f t="shared" si="3"/>
        <v>45982</v>
      </c>
      <c r="H9" s="28">
        <f t="shared" si="4"/>
        <v>45970</v>
      </c>
      <c r="I9" s="28">
        <f t="shared" si="5"/>
        <v>45977</v>
      </c>
      <c r="J9" s="28">
        <v>45992</v>
      </c>
      <c r="K9" s="29">
        <f t="shared" si="6"/>
        <v>30</v>
      </c>
      <c r="L9" s="1">
        <v>19.91</v>
      </c>
      <c r="M9" s="1">
        <v>10.84</v>
      </c>
      <c r="N9" s="1">
        <f t="shared" si="7"/>
        <v>9.07</v>
      </c>
      <c r="O9" s="1" t="s">
        <v>378</v>
      </c>
    </row>
    <row r="10" spans="1:15" x14ac:dyDescent="0.25">
      <c r="A10" s="28">
        <v>45963</v>
      </c>
      <c r="B10" s="1" t="s">
        <v>216</v>
      </c>
      <c r="C10" s="1"/>
      <c r="D10" s="28">
        <f t="shared" si="0"/>
        <v>45986</v>
      </c>
      <c r="E10" s="28">
        <f t="shared" si="1"/>
        <v>45970</v>
      </c>
      <c r="F10" s="28">
        <f t="shared" si="2"/>
        <v>45977</v>
      </c>
      <c r="G10" s="28">
        <f t="shared" si="3"/>
        <v>45983</v>
      </c>
      <c r="H10" s="28">
        <f t="shared" si="4"/>
        <v>45971</v>
      </c>
      <c r="I10" s="28">
        <f t="shared" si="5"/>
        <v>45978</v>
      </c>
      <c r="J10" s="28">
        <v>45992</v>
      </c>
      <c r="K10" s="29">
        <f t="shared" si="6"/>
        <v>29</v>
      </c>
      <c r="L10" s="1">
        <v>16.170000000000002</v>
      </c>
      <c r="M10" s="1">
        <v>14.96</v>
      </c>
      <c r="N10" s="1">
        <f t="shared" si="7"/>
        <v>1.2100000000000009</v>
      </c>
      <c r="O10" s="1" t="s">
        <v>379</v>
      </c>
    </row>
    <row r="11" spans="1:15" x14ac:dyDescent="0.25">
      <c r="A11" s="28">
        <v>45963</v>
      </c>
      <c r="B11" s="1" t="s">
        <v>217</v>
      </c>
      <c r="C11" s="1"/>
      <c r="D11" s="28">
        <f t="shared" si="0"/>
        <v>45986</v>
      </c>
      <c r="E11" s="28">
        <f t="shared" si="1"/>
        <v>45970</v>
      </c>
      <c r="F11" s="28">
        <f t="shared" si="2"/>
        <v>45977</v>
      </c>
      <c r="G11" s="28">
        <f t="shared" si="3"/>
        <v>45983</v>
      </c>
      <c r="H11" s="28">
        <f t="shared" si="4"/>
        <v>45971</v>
      </c>
      <c r="I11" s="28">
        <f t="shared" si="5"/>
        <v>45978</v>
      </c>
      <c r="J11" s="28">
        <v>45992</v>
      </c>
      <c r="K11" s="29">
        <f t="shared" si="6"/>
        <v>29</v>
      </c>
      <c r="L11" s="1">
        <v>17.53</v>
      </c>
      <c r="M11" s="1">
        <v>16.28</v>
      </c>
      <c r="N11" s="1">
        <f t="shared" si="7"/>
        <v>1.25</v>
      </c>
      <c r="O11" s="1" t="s">
        <v>379</v>
      </c>
    </row>
    <row r="12" spans="1:15" x14ac:dyDescent="0.25">
      <c r="A12" s="28">
        <v>45963</v>
      </c>
      <c r="B12" s="1" t="s">
        <v>218</v>
      </c>
      <c r="C12" s="1"/>
      <c r="D12" s="28">
        <f t="shared" si="0"/>
        <v>45986</v>
      </c>
      <c r="E12" s="28">
        <f t="shared" si="1"/>
        <v>45970</v>
      </c>
      <c r="F12" s="28">
        <f t="shared" si="2"/>
        <v>45977</v>
      </c>
      <c r="G12" s="28">
        <f t="shared" si="3"/>
        <v>45983</v>
      </c>
      <c r="H12" s="28">
        <f t="shared" si="4"/>
        <v>45971</v>
      </c>
      <c r="I12" s="28">
        <f t="shared" si="5"/>
        <v>45978</v>
      </c>
      <c r="J12" s="28">
        <v>45992</v>
      </c>
      <c r="K12" s="29">
        <f t="shared" si="6"/>
        <v>29</v>
      </c>
      <c r="L12" s="1">
        <v>16.760000000000002</v>
      </c>
      <c r="M12" s="1">
        <v>15.35</v>
      </c>
      <c r="N12" s="1">
        <f t="shared" si="7"/>
        <v>1.4100000000000019</v>
      </c>
      <c r="O12" s="1" t="s">
        <v>379</v>
      </c>
    </row>
    <row r="13" spans="1:15" x14ac:dyDescent="0.25">
      <c r="A13" s="28">
        <v>45963</v>
      </c>
      <c r="B13" s="1" t="s">
        <v>219</v>
      </c>
      <c r="C13" s="1"/>
      <c r="D13" s="28">
        <f t="shared" si="0"/>
        <v>45986</v>
      </c>
      <c r="E13" s="28">
        <f t="shared" si="1"/>
        <v>45970</v>
      </c>
      <c r="F13" s="28">
        <f t="shared" si="2"/>
        <v>45977</v>
      </c>
      <c r="G13" s="28">
        <f t="shared" si="3"/>
        <v>45983</v>
      </c>
      <c r="H13" s="28">
        <f t="shared" si="4"/>
        <v>45971</v>
      </c>
      <c r="I13" s="28">
        <f t="shared" si="5"/>
        <v>45978</v>
      </c>
      <c r="J13" s="28">
        <v>45992</v>
      </c>
      <c r="K13" s="29">
        <f t="shared" si="6"/>
        <v>29</v>
      </c>
      <c r="L13" s="1">
        <v>19.739999999999998</v>
      </c>
      <c r="M13" s="1">
        <v>10.51</v>
      </c>
      <c r="N13" s="1">
        <f t="shared" si="7"/>
        <v>9.2299999999999986</v>
      </c>
      <c r="O13" s="1" t="s">
        <v>378</v>
      </c>
    </row>
    <row r="14" spans="1:15" x14ac:dyDescent="0.25">
      <c r="A14" s="28">
        <v>45963</v>
      </c>
      <c r="B14" s="1" t="s">
        <v>213</v>
      </c>
      <c r="C14" s="1"/>
      <c r="D14" s="28">
        <f t="shared" si="0"/>
        <v>45986</v>
      </c>
      <c r="E14" s="28">
        <f t="shared" si="1"/>
        <v>45970</v>
      </c>
      <c r="F14" s="28">
        <f t="shared" si="2"/>
        <v>45977</v>
      </c>
      <c r="G14" s="28">
        <f t="shared" si="3"/>
        <v>45983</v>
      </c>
      <c r="H14" s="28">
        <f t="shared" si="4"/>
        <v>45971</v>
      </c>
      <c r="I14" s="28">
        <f t="shared" si="5"/>
        <v>45978</v>
      </c>
      <c r="J14" s="28">
        <v>45993</v>
      </c>
      <c r="K14" s="29">
        <f t="shared" si="6"/>
        <v>30</v>
      </c>
      <c r="L14" s="1">
        <v>18.91</v>
      </c>
      <c r="M14" s="1">
        <v>17.62</v>
      </c>
      <c r="N14" s="1">
        <f t="shared" si="7"/>
        <v>1.2899999999999991</v>
      </c>
      <c r="O14" s="1" t="s">
        <v>379</v>
      </c>
    </row>
    <row r="15" spans="1:15" x14ac:dyDescent="0.25">
      <c r="A15" s="28">
        <v>45963</v>
      </c>
      <c r="B15" s="1" t="s">
        <v>214</v>
      </c>
      <c r="C15" s="1"/>
      <c r="D15" s="28">
        <f t="shared" si="0"/>
        <v>45986</v>
      </c>
      <c r="E15" s="28">
        <f t="shared" si="1"/>
        <v>45970</v>
      </c>
      <c r="F15" s="28">
        <f t="shared" si="2"/>
        <v>45977</v>
      </c>
      <c r="G15" s="28">
        <f t="shared" si="3"/>
        <v>45983</v>
      </c>
      <c r="H15" s="28">
        <f t="shared" si="4"/>
        <v>45971</v>
      </c>
      <c r="I15" s="28">
        <f t="shared" si="5"/>
        <v>45978</v>
      </c>
      <c r="J15" s="28">
        <v>45993</v>
      </c>
      <c r="K15" s="29">
        <f t="shared" si="6"/>
        <v>30</v>
      </c>
      <c r="L15" s="1">
        <v>19.239999999999998</v>
      </c>
      <c r="M15" s="1">
        <v>9.73</v>
      </c>
      <c r="N15" s="1">
        <f t="shared" si="7"/>
        <v>9.509999999999998</v>
      </c>
      <c r="O15" s="1" t="s">
        <v>378</v>
      </c>
    </row>
    <row r="16" spans="1:15" x14ac:dyDescent="0.25">
      <c r="A16" s="28">
        <v>45963</v>
      </c>
      <c r="B16" s="1" t="s">
        <v>215</v>
      </c>
      <c r="C16" s="1"/>
      <c r="D16" s="28">
        <f t="shared" si="0"/>
        <v>45986</v>
      </c>
      <c r="E16" s="28">
        <f t="shared" si="1"/>
        <v>45970</v>
      </c>
      <c r="F16" s="28">
        <f t="shared" si="2"/>
        <v>45977</v>
      </c>
      <c r="G16" s="28">
        <f t="shared" si="3"/>
        <v>45983</v>
      </c>
      <c r="H16" s="28">
        <f t="shared" si="4"/>
        <v>45971</v>
      </c>
      <c r="I16" s="28">
        <f t="shared" si="5"/>
        <v>45978</v>
      </c>
      <c r="J16" s="28">
        <v>45993</v>
      </c>
      <c r="K16" s="29">
        <f t="shared" si="6"/>
        <v>30</v>
      </c>
      <c r="L16" s="1">
        <v>17.579999999999998</v>
      </c>
      <c r="M16" s="1">
        <v>8.0399999999999991</v>
      </c>
      <c r="N16" s="1">
        <f t="shared" si="7"/>
        <v>9.5399999999999991</v>
      </c>
      <c r="O16" s="1" t="s">
        <v>378</v>
      </c>
    </row>
    <row r="17" spans="1:15" x14ac:dyDescent="0.25">
      <c r="A17" s="28">
        <v>45964</v>
      </c>
      <c r="B17" s="1" t="s">
        <v>244</v>
      </c>
      <c r="C17" s="1"/>
      <c r="D17" s="28">
        <f t="shared" si="0"/>
        <v>45987</v>
      </c>
      <c r="E17" s="28">
        <f t="shared" si="1"/>
        <v>45971</v>
      </c>
      <c r="F17" s="28">
        <f t="shared" si="2"/>
        <v>45978</v>
      </c>
      <c r="G17" s="28">
        <f t="shared" si="3"/>
        <v>45984</v>
      </c>
      <c r="H17" s="28">
        <f t="shared" si="4"/>
        <v>45972</v>
      </c>
      <c r="I17" s="28">
        <f t="shared" si="5"/>
        <v>45979</v>
      </c>
      <c r="J17" s="28">
        <v>45994</v>
      </c>
      <c r="K17" s="29">
        <f t="shared" si="6"/>
        <v>30</v>
      </c>
      <c r="L17" s="1">
        <v>18.21</v>
      </c>
      <c r="M17" s="1">
        <v>17.809999999999999</v>
      </c>
      <c r="N17" s="1">
        <f t="shared" si="7"/>
        <v>0.40000000000000213</v>
      </c>
      <c r="O17" s="1" t="s">
        <v>379</v>
      </c>
    </row>
    <row r="18" spans="1:15" x14ac:dyDescent="0.25">
      <c r="A18" s="28">
        <v>45964</v>
      </c>
      <c r="B18" s="1" t="s">
        <v>245</v>
      </c>
      <c r="C18" s="1"/>
      <c r="D18" s="28">
        <f t="shared" si="0"/>
        <v>45987</v>
      </c>
      <c r="E18" s="28">
        <f t="shared" si="1"/>
        <v>45971</v>
      </c>
      <c r="F18" s="28">
        <f t="shared" si="2"/>
        <v>45978</v>
      </c>
      <c r="G18" s="28">
        <f t="shared" si="3"/>
        <v>45984</v>
      </c>
      <c r="H18" s="28">
        <f t="shared" si="4"/>
        <v>45972</v>
      </c>
      <c r="I18" s="28">
        <f t="shared" si="5"/>
        <v>45979</v>
      </c>
      <c r="J18" s="28">
        <v>45994</v>
      </c>
      <c r="K18" s="29">
        <f t="shared" si="6"/>
        <v>30</v>
      </c>
      <c r="L18" s="1">
        <v>17.93</v>
      </c>
      <c r="M18" s="1">
        <v>16.579999999999998</v>
      </c>
      <c r="N18" s="1">
        <f t="shared" si="7"/>
        <v>1.3500000000000014</v>
      </c>
      <c r="O18" s="1" t="s">
        <v>379</v>
      </c>
    </row>
    <row r="19" spans="1:15" x14ac:dyDescent="0.25">
      <c r="A19" s="28">
        <v>45964</v>
      </c>
      <c r="B19" s="1" t="s">
        <v>246</v>
      </c>
      <c r="C19" s="1"/>
      <c r="D19" s="28">
        <f t="shared" si="0"/>
        <v>45987</v>
      </c>
      <c r="E19" s="28">
        <f t="shared" si="1"/>
        <v>45971</v>
      </c>
      <c r="F19" s="28">
        <f t="shared" si="2"/>
        <v>45978</v>
      </c>
      <c r="G19" s="28">
        <f t="shared" si="3"/>
        <v>45984</v>
      </c>
      <c r="H19" s="28">
        <f t="shared" si="4"/>
        <v>45972</v>
      </c>
      <c r="I19" s="28">
        <f t="shared" si="5"/>
        <v>45979</v>
      </c>
      <c r="J19" s="28">
        <v>45994</v>
      </c>
      <c r="K19" s="29">
        <f t="shared" si="6"/>
        <v>30</v>
      </c>
      <c r="L19" s="1">
        <v>18.559999999999999</v>
      </c>
      <c r="M19" s="1">
        <v>17.21</v>
      </c>
      <c r="N19" s="1">
        <f t="shared" si="7"/>
        <v>1.3499999999999979</v>
      </c>
      <c r="O19" s="1" t="s">
        <v>379</v>
      </c>
    </row>
    <row r="20" spans="1:15" x14ac:dyDescent="0.25">
      <c r="A20" s="28">
        <v>45964</v>
      </c>
      <c r="B20" s="1" t="s">
        <v>247</v>
      </c>
      <c r="C20" s="1"/>
      <c r="D20" s="28">
        <f t="shared" si="0"/>
        <v>45987</v>
      </c>
      <c r="E20" s="28">
        <f t="shared" si="1"/>
        <v>45971</v>
      </c>
      <c r="F20" s="28">
        <f t="shared" si="2"/>
        <v>45978</v>
      </c>
      <c r="G20" s="28">
        <f t="shared" si="3"/>
        <v>45984</v>
      </c>
      <c r="H20" s="28">
        <f t="shared" si="4"/>
        <v>45972</v>
      </c>
      <c r="I20" s="28">
        <f t="shared" si="5"/>
        <v>45979</v>
      </c>
      <c r="J20" s="28">
        <v>45994</v>
      </c>
      <c r="K20" s="29">
        <f t="shared" si="6"/>
        <v>30</v>
      </c>
      <c r="L20" s="1">
        <v>18.11</v>
      </c>
      <c r="M20" s="1">
        <v>8.76</v>
      </c>
      <c r="N20" s="1">
        <f t="shared" si="7"/>
        <v>9.35</v>
      </c>
      <c r="O20" s="1" t="s">
        <v>378</v>
      </c>
    </row>
    <row r="21" spans="1:15" x14ac:dyDescent="0.25">
      <c r="A21" s="28">
        <v>45964</v>
      </c>
      <c r="B21" s="1" t="s">
        <v>248</v>
      </c>
      <c r="C21" s="1"/>
      <c r="D21" s="28">
        <f t="shared" si="0"/>
        <v>45987</v>
      </c>
      <c r="E21" s="28">
        <f t="shared" si="1"/>
        <v>45971</v>
      </c>
      <c r="F21" s="28">
        <f t="shared" si="2"/>
        <v>45978</v>
      </c>
      <c r="G21" s="28">
        <f t="shared" si="3"/>
        <v>45984</v>
      </c>
      <c r="H21" s="28">
        <f t="shared" si="4"/>
        <v>45972</v>
      </c>
      <c r="I21" s="28">
        <f t="shared" si="5"/>
        <v>45979</v>
      </c>
      <c r="J21" s="28">
        <v>45994</v>
      </c>
      <c r="K21" s="29">
        <f t="shared" si="6"/>
        <v>30</v>
      </c>
      <c r="L21" s="1">
        <v>17.510000000000002</v>
      </c>
      <c r="M21" s="1">
        <v>7.91</v>
      </c>
      <c r="N21" s="1">
        <f t="shared" si="7"/>
        <v>9.6000000000000014</v>
      </c>
      <c r="O21" s="1" t="s">
        <v>378</v>
      </c>
    </row>
    <row r="22" spans="1:15" x14ac:dyDescent="0.25">
      <c r="A22" s="28">
        <v>45964</v>
      </c>
      <c r="B22" s="1" t="s">
        <v>249</v>
      </c>
      <c r="C22" s="1"/>
      <c r="D22" s="28">
        <f t="shared" si="0"/>
        <v>45987</v>
      </c>
      <c r="E22" s="28">
        <f t="shared" si="1"/>
        <v>45971</v>
      </c>
      <c r="F22" s="28">
        <f t="shared" si="2"/>
        <v>45978</v>
      </c>
      <c r="G22" s="28">
        <f t="shared" si="3"/>
        <v>45984</v>
      </c>
      <c r="H22" s="28">
        <f t="shared" si="4"/>
        <v>45972</v>
      </c>
      <c r="I22" s="28">
        <f t="shared" si="5"/>
        <v>45979</v>
      </c>
      <c r="J22" s="28">
        <v>45994</v>
      </c>
      <c r="K22" s="29">
        <f t="shared" si="6"/>
        <v>30</v>
      </c>
      <c r="L22" s="1">
        <v>16.59</v>
      </c>
      <c r="M22" s="1">
        <v>7.14</v>
      </c>
      <c r="N22" s="1">
        <f t="shared" si="7"/>
        <v>9.4499999999999993</v>
      </c>
      <c r="O22" s="1" t="s">
        <v>378</v>
      </c>
    </row>
    <row r="23" spans="1:15" x14ac:dyDescent="0.25">
      <c r="A23" s="28">
        <v>45964</v>
      </c>
      <c r="B23" s="1" t="s">
        <v>243</v>
      </c>
      <c r="C23" s="1"/>
      <c r="D23" s="28">
        <f t="shared" si="0"/>
        <v>45987</v>
      </c>
      <c r="E23" s="28">
        <f t="shared" si="1"/>
        <v>45971</v>
      </c>
      <c r="F23" s="28">
        <f t="shared" si="2"/>
        <v>45978</v>
      </c>
      <c r="G23" s="28">
        <f t="shared" si="3"/>
        <v>45984</v>
      </c>
      <c r="H23" s="28">
        <f t="shared" si="4"/>
        <v>45972</v>
      </c>
      <c r="I23" s="28">
        <f t="shared" si="5"/>
        <v>45979</v>
      </c>
      <c r="J23" s="28">
        <v>45995</v>
      </c>
      <c r="K23" s="29">
        <f t="shared" si="6"/>
        <v>31</v>
      </c>
      <c r="L23" s="1">
        <v>16.28</v>
      </c>
      <c r="M23" s="1">
        <v>7.08</v>
      </c>
      <c r="N23" s="1">
        <f t="shared" si="7"/>
        <v>9.2000000000000011</v>
      </c>
      <c r="O23" s="1" t="s">
        <v>378</v>
      </c>
    </row>
    <row r="24" spans="1:15" x14ac:dyDescent="0.25">
      <c r="A24" s="28">
        <v>45965</v>
      </c>
      <c r="B24" s="1" t="s">
        <v>257</v>
      </c>
      <c r="C24" s="1"/>
      <c r="D24" s="28">
        <f t="shared" si="0"/>
        <v>45988</v>
      </c>
      <c r="E24" s="28">
        <f t="shared" si="1"/>
        <v>45972</v>
      </c>
      <c r="F24" s="28">
        <f t="shared" si="2"/>
        <v>45979</v>
      </c>
      <c r="G24" s="28">
        <f t="shared" si="3"/>
        <v>45985</v>
      </c>
      <c r="H24" s="28">
        <f t="shared" si="4"/>
        <v>45973</v>
      </c>
      <c r="I24" s="28">
        <f t="shared" si="5"/>
        <v>45980</v>
      </c>
      <c r="J24" s="28">
        <v>45995</v>
      </c>
      <c r="K24" s="29">
        <f t="shared" si="6"/>
        <v>30</v>
      </c>
      <c r="L24" s="1">
        <v>16.21</v>
      </c>
      <c r="M24" s="1">
        <v>15.12</v>
      </c>
      <c r="N24" s="1">
        <f t="shared" si="7"/>
        <v>1.0900000000000016</v>
      </c>
      <c r="O24" s="1" t="s">
        <v>379</v>
      </c>
    </row>
    <row r="25" spans="1:15" x14ac:dyDescent="0.25">
      <c r="A25" s="28">
        <v>45965</v>
      </c>
      <c r="B25" s="1" t="s">
        <v>259</v>
      </c>
      <c r="C25" s="1"/>
      <c r="D25" s="28">
        <f t="shared" si="0"/>
        <v>45988</v>
      </c>
      <c r="E25" s="28">
        <f t="shared" si="1"/>
        <v>45972</v>
      </c>
      <c r="F25" s="28">
        <f t="shared" si="2"/>
        <v>45979</v>
      </c>
      <c r="G25" s="28">
        <f t="shared" si="3"/>
        <v>45985</v>
      </c>
      <c r="H25" s="28">
        <f t="shared" si="4"/>
        <v>45973</v>
      </c>
      <c r="I25" s="28">
        <f t="shared" si="5"/>
        <v>45980</v>
      </c>
      <c r="J25" s="28">
        <v>45995</v>
      </c>
      <c r="K25" s="29">
        <f t="shared" si="6"/>
        <v>30</v>
      </c>
      <c r="L25" s="1">
        <v>14.28</v>
      </c>
      <c r="M25" s="1">
        <v>13.1</v>
      </c>
      <c r="N25" s="1">
        <f t="shared" si="7"/>
        <v>1.1799999999999997</v>
      </c>
      <c r="O25" s="1" t="s">
        <v>379</v>
      </c>
    </row>
    <row r="26" spans="1:15" x14ac:dyDescent="0.25">
      <c r="A26" s="28">
        <v>45965</v>
      </c>
      <c r="B26" s="1" t="s">
        <v>261</v>
      </c>
      <c r="C26" s="1"/>
      <c r="D26" s="28">
        <f t="shared" si="0"/>
        <v>45988</v>
      </c>
      <c r="E26" s="28">
        <f t="shared" si="1"/>
        <v>45972</v>
      </c>
      <c r="F26" s="28">
        <f t="shared" si="2"/>
        <v>45979</v>
      </c>
      <c r="G26" s="28">
        <f t="shared" si="3"/>
        <v>45985</v>
      </c>
      <c r="H26" s="28">
        <f t="shared" si="4"/>
        <v>45973</v>
      </c>
      <c r="I26" s="28">
        <f t="shared" si="5"/>
        <v>45980</v>
      </c>
      <c r="J26" s="28">
        <v>45995</v>
      </c>
      <c r="K26" s="29">
        <f t="shared" si="6"/>
        <v>30</v>
      </c>
      <c r="L26" s="1">
        <v>15.74</v>
      </c>
      <c r="M26" s="1">
        <v>14.21</v>
      </c>
      <c r="N26" s="1">
        <f t="shared" si="7"/>
        <v>1.5299999999999994</v>
      </c>
      <c r="O26" s="1" t="s">
        <v>379</v>
      </c>
    </row>
    <row r="27" spans="1:15" x14ac:dyDescent="0.25">
      <c r="A27" s="28">
        <v>45965</v>
      </c>
      <c r="B27" s="1" t="s">
        <v>262</v>
      </c>
      <c r="C27" s="1"/>
      <c r="D27" s="28">
        <f t="shared" si="0"/>
        <v>45988</v>
      </c>
      <c r="E27" s="28">
        <f t="shared" si="1"/>
        <v>45972</v>
      </c>
      <c r="F27" s="28">
        <f t="shared" si="2"/>
        <v>45979</v>
      </c>
      <c r="G27" s="28">
        <f t="shared" si="3"/>
        <v>45985</v>
      </c>
      <c r="H27" s="28">
        <f t="shared" si="4"/>
        <v>45973</v>
      </c>
      <c r="I27" s="28">
        <f t="shared" si="5"/>
        <v>45980</v>
      </c>
      <c r="J27" s="28">
        <v>45995</v>
      </c>
      <c r="K27" s="29">
        <f t="shared" si="6"/>
        <v>30</v>
      </c>
      <c r="L27" s="1">
        <v>15.02</v>
      </c>
      <c r="M27" s="1">
        <v>13.98</v>
      </c>
      <c r="N27" s="1">
        <f t="shared" si="7"/>
        <v>1.0399999999999991</v>
      </c>
      <c r="O27" s="1" t="s">
        <v>379</v>
      </c>
    </row>
    <row r="28" spans="1:15" x14ac:dyDescent="0.25">
      <c r="A28" s="28">
        <v>45965</v>
      </c>
      <c r="B28" s="1" t="s">
        <v>263</v>
      </c>
      <c r="C28" s="1"/>
      <c r="D28" s="28">
        <f t="shared" si="0"/>
        <v>45988</v>
      </c>
      <c r="E28" s="28">
        <f t="shared" si="1"/>
        <v>45972</v>
      </c>
      <c r="F28" s="28">
        <f t="shared" si="2"/>
        <v>45979</v>
      </c>
      <c r="G28" s="28">
        <f t="shared" si="3"/>
        <v>45985</v>
      </c>
      <c r="H28" s="28">
        <f t="shared" si="4"/>
        <v>45973</v>
      </c>
      <c r="I28" s="28">
        <f t="shared" si="5"/>
        <v>45980</v>
      </c>
      <c r="J28" s="28">
        <v>45995</v>
      </c>
      <c r="K28" s="29">
        <f t="shared" si="6"/>
        <v>30</v>
      </c>
      <c r="L28" s="1">
        <v>17.21</v>
      </c>
      <c r="M28" s="1">
        <v>16.12</v>
      </c>
      <c r="N28" s="1">
        <f t="shared" si="7"/>
        <v>1.0899999999999999</v>
      </c>
      <c r="O28" s="1" t="s">
        <v>379</v>
      </c>
    </row>
    <row r="29" spans="1:15" x14ac:dyDescent="0.25">
      <c r="A29" s="28">
        <v>45965</v>
      </c>
      <c r="B29" s="1" t="s">
        <v>258</v>
      </c>
      <c r="C29" s="1"/>
      <c r="D29" s="28">
        <f t="shared" si="0"/>
        <v>45988</v>
      </c>
      <c r="E29" s="28">
        <f t="shared" si="1"/>
        <v>45972</v>
      </c>
      <c r="F29" s="28">
        <f t="shared" si="2"/>
        <v>45979</v>
      </c>
      <c r="G29" s="28">
        <f t="shared" si="3"/>
        <v>45985</v>
      </c>
      <c r="H29" s="28">
        <f t="shared" si="4"/>
        <v>45973</v>
      </c>
      <c r="I29" s="28">
        <f t="shared" si="5"/>
        <v>45980</v>
      </c>
      <c r="J29" s="28">
        <v>45996</v>
      </c>
      <c r="K29" s="29">
        <f t="shared" si="6"/>
        <v>31</v>
      </c>
      <c r="L29" s="1">
        <v>12.51</v>
      </c>
      <c r="M29" s="1">
        <v>5.12</v>
      </c>
      <c r="N29" s="1">
        <f t="shared" si="7"/>
        <v>7.39</v>
      </c>
      <c r="O29" s="1" t="s">
        <v>378</v>
      </c>
    </row>
    <row r="30" spans="1:15" x14ac:dyDescent="0.25">
      <c r="A30" s="28">
        <v>45965</v>
      </c>
      <c r="B30" s="1" t="s">
        <v>260</v>
      </c>
      <c r="C30" s="1"/>
      <c r="D30" s="28">
        <f t="shared" si="0"/>
        <v>45988</v>
      </c>
      <c r="E30" s="28">
        <f t="shared" si="1"/>
        <v>45972</v>
      </c>
      <c r="F30" s="28">
        <f t="shared" si="2"/>
        <v>45979</v>
      </c>
      <c r="G30" s="28">
        <f t="shared" si="3"/>
        <v>45985</v>
      </c>
      <c r="H30" s="28">
        <f t="shared" si="4"/>
        <v>45973</v>
      </c>
      <c r="I30" s="28">
        <f t="shared" si="5"/>
        <v>45980</v>
      </c>
      <c r="J30" s="28">
        <v>45996</v>
      </c>
      <c r="K30" s="29">
        <f t="shared" si="6"/>
        <v>31</v>
      </c>
      <c r="L30" s="1">
        <v>11.27</v>
      </c>
      <c r="M30" s="1">
        <v>4.8</v>
      </c>
      <c r="N30" s="1">
        <f t="shared" si="7"/>
        <v>6.47</v>
      </c>
      <c r="O30" s="1" t="s">
        <v>378</v>
      </c>
    </row>
    <row r="31" spans="1:15" x14ac:dyDescent="0.25">
      <c r="A31" s="28">
        <v>45966</v>
      </c>
      <c r="B31" s="1" t="s">
        <v>209</v>
      </c>
      <c r="C31" s="1"/>
      <c r="D31" s="28">
        <f t="shared" si="0"/>
        <v>45989</v>
      </c>
      <c r="E31" s="28">
        <f t="shared" si="1"/>
        <v>45973</v>
      </c>
      <c r="F31" s="28">
        <f t="shared" si="2"/>
        <v>45980</v>
      </c>
      <c r="G31" s="28">
        <f t="shared" si="3"/>
        <v>45986</v>
      </c>
      <c r="H31" s="28">
        <f t="shared" si="4"/>
        <v>45974</v>
      </c>
      <c r="I31" s="28">
        <f t="shared" si="5"/>
        <v>45981</v>
      </c>
      <c r="J31" s="28">
        <v>45995</v>
      </c>
      <c r="K31" s="29">
        <f t="shared" si="6"/>
        <v>29</v>
      </c>
      <c r="L31" s="1">
        <v>17.510000000000002</v>
      </c>
      <c r="M31" s="1">
        <v>16.059999999999999</v>
      </c>
      <c r="N31" s="1">
        <f t="shared" si="7"/>
        <v>1.4500000000000028</v>
      </c>
      <c r="O31" s="1" t="s">
        <v>379</v>
      </c>
    </row>
    <row r="32" spans="1:15" x14ac:dyDescent="0.25">
      <c r="A32" s="28">
        <v>45966</v>
      </c>
      <c r="B32" s="1" t="s">
        <v>210</v>
      </c>
      <c r="C32" s="1"/>
      <c r="D32" s="28">
        <f t="shared" si="0"/>
        <v>45989</v>
      </c>
      <c r="E32" s="28">
        <f t="shared" si="1"/>
        <v>45973</v>
      </c>
      <c r="F32" s="28">
        <f t="shared" si="2"/>
        <v>45980</v>
      </c>
      <c r="G32" s="28">
        <f t="shared" si="3"/>
        <v>45986</v>
      </c>
      <c r="H32" s="28">
        <f t="shared" si="4"/>
        <v>45974</v>
      </c>
      <c r="I32" s="28">
        <f t="shared" si="5"/>
        <v>45981</v>
      </c>
      <c r="J32" s="28">
        <v>45995</v>
      </c>
      <c r="K32" s="29">
        <f t="shared" si="6"/>
        <v>29</v>
      </c>
      <c r="L32" s="1">
        <v>15.24</v>
      </c>
      <c r="M32" s="1">
        <v>14.81</v>
      </c>
      <c r="N32" s="1">
        <f t="shared" si="7"/>
        <v>0.42999999999999972</v>
      </c>
      <c r="O32" s="1" t="s">
        <v>379</v>
      </c>
    </row>
    <row r="33" spans="1:15" x14ac:dyDescent="0.25">
      <c r="A33" s="28">
        <v>45966</v>
      </c>
      <c r="B33" s="1" t="s">
        <v>211</v>
      </c>
      <c r="C33" s="1"/>
      <c r="D33" s="28">
        <f t="shared" si="0"/>
        <v>45989</v>
      </c>
      <c r="E33" s="28">
        <f t="shared" si="1"/>
        <v>45973</v>
      </c>
      <c r="F33" s="28">
        <f t="shared" si="2"/>
        <v>45980</v>
      </c>
      <c r="G33" s="28">
        <f t="shared" si="3"/>
        <v>45986</v>
      </c>
      <c r="H33" s="28">
        <f t="shared" si="4"/>
        <v>45974</v>
      </c>
      <c r="I33" s="28">
        <f t="shared" si="5"/>
        <v>45981</v>
      </c>
      <c r="J33" s="28">
        <v>45995</v>
      </c>
      <c r="K33" s="29">
        <f t="shared" si="6"/>
        <v>29</v>
      </c>
      <c r="L33" s="1">
        <v>16.91</v>
      </c>
      <c r="M33" s="1">
        <v>7.68</v>
      </c>
      <c r="N33" s="1">
        <f t="shared" si="7"/>
        <v>9.23</v>
      </c>
      <c r="O33" s="1" t="s">
        <v>378</v>
      </c>
    </row>
    <row r="34" spans="1:15" x14ac:dyDescent="0.25">
      <c r="A34" s="28">
        <v>45966</v>
      </c>
      <c r="B34" s="1" t="s">
        <v>212</v>
      </c>
      <c r="C34" s="1"/>
      <c r="D34" s="28">
        <f t="shared" si="0"/>
        <v>45989</v>
      </c>
      <c r="E34" s="28">
        <f t="shared" si="1"/>
        <v>45973</v>
      </c>
      <c r="F34" s="28">
        <f t="shared" si="2"/>
        <v>45980</v>
      </c>
      <c r="G34" s="28">
        <f t="shared" si="3"/>
        <v>45986</v>
      </c>
      <c r="H34" s="28">
        <f t="shared" si="4"/>
        <v>45974</v>
      </c>
      <c r="I34" s="28">
        <f t="shared" si="5"/>
        <v>45981</v>
      </c>
      <c r="J34" s="28">
        <v>45995</v>
      </c>
      <c r="K34" s="29">
        <f t="shared" si="6"/>
        <v>29</v>
      </c>
      <c r="L34" s="1">
        <v>18.510000000000002</v>
      </c>
      <c r="M34" s="1">
        <v>8.51</v>
      </c>
      <c r="N34" s="1">
        <f t="shared" si="7"/>
        <v>10.000000000000002</v>
      </c>
      <c r="O34" s="1" t="s">
        <v>378</v>
      </c>
    </row>
    <row r="35" spans="1:15" x14ac:dyDescent="0.25">
      <c r="A35" s="28">
        <v>45966</v>
      </c>
      <c r="B35" s="1" t="s">
        <v>206</v>
      </c>
      <c r="C35" s="1"/>
      <c r="D35" s="28">
        <f t="shared" si="0"/>
        <v>45989</v>
      </c>
      <c r="E35" s="28">
        <f t="shared" si="1"/>
        <v>45973</v>
      </c>
      <c r="F35" s="28">
        <f t="shared" si="2"/>
        <v>45980</v>
      </c>
      <c r="G35" s="28">
        <f t="shared" si="3"/>
        <v>45986</v>
      </c>
      <c r="H35" s="28">
        <f t="shared" si="4"/>
        <v>45974</v>
      </c>
      <c r="I35" s="28">
        <f t="shared" si="5"/>
        <v>45981</v>
      </c>
      <c r="J35" s="28">
        <v>45996</v>
      </c>
      <c r="K35" s="29">
        <f t="shared" ref="K35:K66" si="8">J35-A35</f>
        <v>30</v>
      </c>
      <c r="L35" s="1">
        <v>15.19</v>
      </c>
      <c r="M35" s="1">
        <v>14.76</v>
      </c>
      <c r="N35" s="1">
        <f t="shared" si="7"/>
        <v>0.42999999999999972</v>
      </c>
      <c r="O35" s="1" t="s">
        <v>379</v>
      </c>
    </row>
    <row r="36" spans="1:15" x14ac:dyDescent="0.25">
      <c r="A36" s="28">
        <v>45966</v>
      </c>
      <c r="B36" s="1" t="s">
        <v>207</v>
      </c>
      <c r="C36" s="1"/>
      <c r="D36" s="28">
        <f t="shared" si="0"/>
        <v>45989</v>
      </c>
      <c r="E36" s="28">
        <f t="shared" si="1"/>
        <v>45973</v>
      </c>
      <c r="F36" s="28">
        <f t="shared" si="2"/>
        <v>45980</v>
      </c>
      <c r="G36" s="28">
        <f t="shared" si="3"/>
        <v>45986</v>
      </c>
      <c r="H36" s="28">
        <f t="shared" si="4"/>
        <v>45974</v>
      </c>
      <c r="I36" s="28">
        <f t="shared" si="5"/>
        <v>45981</v>
      </c>
      <c r="J36" s="28">
        <v>45996</v>
      </c>
      <c r="K36" s="29">
        <f t="shared" si="8"/>
        <v>30</v>
      </c>
      <c r="L36" s="1">
        <v>15.07</v>
      </c>
      <c r="M36" s="1">
        <v>13.91</v>
      </c>
      <c r="N36" s="1">
        <f t="shared" si="7"/>
        <v>1.1600000000000001</v>
      </c>
      <c r="O36" s="1" t="s">
        <v>379</v>
      </c>
    </row>
    <row r="37" spans="1:15" x14ac:dyDescent="0.25">
      <c r="A37" s="28">
        <v>45966</v>
      </c>
      <c r="B37" s="1" t="s">
        <v>208</v>
      </c>
      <c r="C37" s="1"/>
      <c r="D37" s="28">
        <f t="shared" si="0"/>
        <v>45989</v>
      </c>
      <c r="E37" s="28">
        <f t="shared" si="1"/>
        <v>45973</v>
      </c>
      <c r="F37" s="28">
        <f t="shared" si="2"/>
        <v>45980</v>
      </c>
      <c r="G37" s="28">
        <f t="shared" si="3"/>
        <v>45986</v>
      </c>
      <c r="H37" s="28">
        <f t="shared" si="4"/>
        <v>45974</v>
      </c>
      <c r="I37" s="28">
        <f t="shared" si="5"/>
        <v>45981</v>
      </c>
      <c r="J37" s="28">
        <v>45996</v>
      </c>
      <c r="K37" s="29">
        <f t="shared" si="8"/>
        <v>30</v>
      </c>
      <c r="L37" s="1">
        <v>14.33</v>
      </c>
      <c r="M37" s="1">
        <v>13.12</v>
      </c>
      <c r="N37" s="1">
        <f t="shared" si="7"/>
        <v>1.2100000000000009</v>
      </c>
      <c r="O37" s="1" t="s">
        <v>379</v>
      </c>
    </row>
    <row r="38" spans="1:15" x14ac:dyDescent="0.25">
      <c r="A38" s="28">
        <v>45967</v>
      </c>
      <c r="B38" s="1" t="s">
        <v>240</v>
      </c>
      <c r="C38" s="1"/>
      <c r="D38" s="28">
        <f t="shared" si="0"/>
        <v>45990</v>
      </c>
      <c r="E38" s="28">
        <f t="shared" si="1"/>
        <v>45974</v>
      </c>
      <c r="F38" s="28">
        <f t="shared" si="2"/>
        <v>45981</v>
      </c>
      <c r="G38" s="28">
        <f t="shared" si="3"/>
        <v>45987</v>
      </c>
      <c r="H38" s="28">
        <f t="shared" si="4"/>
        <v>45975</v>
      </c>
      <c r="I38" s="28">
        <f t="shared" si="5"/>
        <v>45982</v>
      </c>
      <c r="J38" s="28">
        <v>45996</v>
      </c>
      <c r="K38" s="29">
        <f t="shared" si="8"/>
        <v>29</v>
      </c>
      <c r="L38" s="1">
        <v>16.11</v>
      </c>
      <c r="M38" s="1">
        <v>14.97</v>
      </c>
      <c r="N38" s="1">
        <f t="shared" si="7"/>
        <v>1.1399999999999988</v>
      </c>
      <c r="O38" s="1" t="s">
        <v>379</v>
      </c>
    </row>
    <row r="39" spans="1:15" x14ac:dyDescent="0.25">
      <c r="A39" s="28">
        <v>45967</v>
      </c>
      <c r="B39" s="1" t="s">
        <v>241</v>
      </c>
      <c r="C39" s="1"/>
      <c r="D39" s="28">
        <f t="shared" si="0"/>
        <v>45990</v>
      </c>
      <c r="E39" s="28">
        <f t="shared" si="1"/>
        <v>45974</v>
      </c>
      <c r="F39" s="28">
        <f t="shared" si="2"/>
        <v>45981</v>
      </c>
      <c r="G39" s="28">
        <f t="shared" si="3"/>
        <v>45987</v>
      </c>
      <c r="H39" s="28">
        <f t="shared" si="4"/>
        <v>45975</v>
      </c>
      <c r="I39" s="28">
        <f t="shared" si="5"/>
        <v>45982</v>
      </c>
      <c r="J39" s="28">
        <v>45996</v>
      </c>
      <c r="K39" s="29">
        <f t="shared" si="8"/>
        <v>29</v>
      </c>
      <c r="L39" s="1">
        <v>14.56</v>
      </c>
      <c r="M39" s="1">
        <v>13.82</v>
      </c>
      <c r="N39" s="1">
        <f t="shared" si="7"/>
        <v>0.74000000000000021</v>
      </c>
      <c r="O39" s="1" t="s">
        <v>379</v>
      </c>
    </row>
    <row r="40" spans="1:15" x14ac:dyDescent="0.25">
      <c r="A40" s="28">
        <v>45967</v>
      </c>
      <c r="B40" s="1" t="s">
        <v>236</v>
      </c>
      <c r="C40" s="1"/>
      <c r="D40" s="28">
        <f t="shared" si="0"/>
        <v>45990</v>
      </c>
      <c r="E40" s="28">
        <f t="shared" si="1"/>
        <v>45974</v>
      </c>
      <c r="F40" s="28">
        <f t="shared" si="2"/>
        <v>45981</v>
      </c>
      <c r="G40" s="28">
        <f t="shared" si="3"/>
        <v>45987</v>
      </c>
      <c r="H40" s="28">
        <f t="shared" si="4"/>
        <v>45975</v>
      </c>
      <c r="I40" s="28">
        <f t="shared" si="5"/>
        <v>45982</v>
      </c>
      <c r="J40" s="28">
        <v>45997</v>
      </c>
      <c r="K40" s="29">
        <f t="shared" si="8"/>
        <v>30</v>
      </c>
      <c r="L40" s="1">
        <v>15.21</v>
      </c>
      <c r="M40" s="1">
        <v>6.98</v>
      </c>
      <c r="N40" s="1">
        <f t="shared" si="7"/>
        <v>8.23</v>
      </c>
      <c r="O40" s="1" t="s">
        <v>378</v>
      </c>
    </row>
    <row r="41" spans="1:15" x14ac:dyDescent="0.25">
      <c r="A41" s="28">
        <v>45967</v>
      </c>
      <c r="B41" s="1" t="s">
        <v>237</v>
      </c>
      <c r="C41" s="1"/>
      <c r="D41" s="28">
        <f t="shared" si="0"/>
        <v>45990</v>
      </c>
      <c r="E41" s="28">
        <f t="shared" si="1"/>
        <v>45974</v>
      </c>
      <c r="F41" s="28">
        <f t="shared" si="2"/>
        <v>45981</v>
      </c>
      <c r="G41" s="28">
        <f t="shared" si="3"/>
        <v>45987</v>
      </c>
      <c r="H41" s="28">
        <f t="shared" si="4"/>
        <v>45975</v>
      </c>
      <c r="I41" s="28">
        <f t="shared" si="5"/>
        <v>45982</v>
      </c>
      <c r="J41" s="28">
        <v>45997</v>
      </c>
      <c r="K41" s="29">
        <f t="shared" si="8"/>
        <v>30</v>
      </c>
      <c r="L41" s="1">
        <v>13.98</v>
      </c>
      <c r="M41" s="1">
        <v>5.71</v>
      </c>
      <c r="N41" s="1">
        <f t="shared" si="7"/>
        <v>8.27</v>
      </c>
      <c r="O41" s="1" t="s">
        <v>378</v>
      </c>
    </row>
    <row r="42" spans="1:15" x14ac:dyDescent="0.25">
      <c r="A42" s="28">
        <v>45967</v>
      </c>
      <c r="B42" s="1" t="s">
        <v>238</v>
      </c>
      <c r="C42" s="1"/>
      <c r="D42" s="28">
        <f t="shared" si="0"/>
        <v>45990</v>
      </c>
      <c r="E42" s="28">
        <f t="shared" si="1"/>
        <v>45974</v>
      </c>
      <c r="F42" s="28">
        <f t="shared" si="2"/>
        <v>45981</v>
      </c>
      <c r="G42" s="28">
        <f t="shared" si="3"/>
        <v>45987</v>
      </c>
      <c r="H42" s="28">
        <f t="shared" si="4"/>
        <v>45975</v>
      </c>
      <c r="I42" s="28">
        <f t="shared" si="5"/>
        <v>45982</v>
      </c>
      <c r="J42" s="28">
        <v>45997</v>
      </c>
      <c r="K42" s="29">
        <f t="shared" si="8"/>
        <v>30</v>
      </c>
      <c r="L42" s="1">
        <v>16.2</v>
      </c>
      <c r="M42" s="1">
        <v>8.1199999999999992</v>
      </c>
      <c r="N42" s="1">
        <f t="shared" si="7"/>
        <v>8.08</v>
      </c>
      <c r="O42" s="1" t="s">
        <v>378</v>
      </c>
    </row>
    <row r="43" spans="1:15" x14ac:dyDescent="0.25">
      <c r="A43" s="28">
        <v>45967</v>
      </c>
      <c r="B43" s="1" t="s">
        <v>239</v>
      </c>
      <c r="C43" s="1"/>
      <c r="D43" s="28">
        <f t="shared" si="0"/>
        <v>45990</v>
      </c>
      <c r="E43" s="28">
        <f t="shared" si="1"/>
        <v>45974</v>
      </c>
      <c r="F43" s="28">
        <f t="shared" si="2"/>
        <v>45981</v>
      </c>
      <c r="G43" s="28">
        <f t="shared" si="3"/>
        <v>45987</v>
      </c>
      <c r="H43" s="28">
        <f t="shared" si="4"/>
        <v>45975</v>
      </c>
      <c r="I43" s="28">
        <f t="shared" si="5"/>
        <v>45982</v>
      </c>
      <c r="J43" s="28">
        <v>45997</v>
      </c>
      <c r="K43" s="29">
        <f t="shared" si="8"/>
        <v>30</v>
      </c>
      <c r="L43" s="1">
        <v>14.91</v>
      </c>
      <c r="M43" s="1">
        <v>7.08</v>
      </c>
      <c r="N43" s="1">
        <f t="shared" si="7"/>
        <v>7.83</v>
      </c>
      <c r="O43" s="1" t="s">
        <v>378</v>
      </c>
    </row>
    <row r="44" spans="1:15" x14ac:dyDescent="0.25">
      <c r="A44" s="28">
        <v>45967</v>
      </c>
      <c r="B44" s="1" t="s">
        <v>242</v>
      </c>
      <c r="C44" s="1"/>
      <c r="D44" s="28">
        <f t="shared" si="0"/>
        <v>45990</v>
      </c>
      <c r="E44" s="28">
        <f t="shared" si="1"/>
        <v>45974</v>
      </c>
      <c r="F44" s="28">
        <f t="shared" si="2"/>
        <v>45981</v>
      </c>
      <c r="G44" s="28">
        <f t="shared" si="3"/>
        <v>45987</v>
      </c>
      <c r="H44" s="28">
        <f t="shared" si="4"/>
        <v>45975</v>
      </c>
      <c r="I44" s="28">
        <f t="shared" si="5"/>
        <v>45982</v>
      </c>
      <c r="J44" s="28">
        <v>45997</v>
      </c>
      <c r="K44" s="29">
        <f t="shared" si="8"/>
        <v>30</v>
      </c>
      <c r="L44" s="1">
        <v>15.24</v>
      </c>
      <c r="M44" s="1">
        <v>7.62</v>
      </c>
      <c r="N44" s="1">
        <f t="shared" si="7"/>
        <v>7.62</v>
      </c>
      <c r="O44" s="1" t="s">
        <v>378</v>
      </c>
    </row>
    <row r="45" spans="1:15" x14ac:dyDescent="0.25">
      <c r="A45" s="28">
        <v>45968</v>
      </c>
      <c r="B45" s="1" t="s">
        <v>204</v>
      </c>
      <c r="C45" s="1"/>
      <c r="D45" s="28">
        <f t="shared" si="0"/>
        <v>45991</v>
      </c>
      <c r="E45" s="28">
        <f t="shared" si="1"/>
        <v>45975</v>
      </c>
      <c r="F45" s="28">
        <f t="shared" si="2"/>
        <v>45982</v>
      </c>
      <c r="G45" s="28">
        <f t="shared" si="3"/>
        <v>45988</v>
      </c>
      <c r="H45" s="28">
        <f t="shared" si="4"/>
        <v>45976</v>
      </c>
      <c r="I45" s="28">
        <f t="shared" si="5"/>
        <v>45983</v>
      </c>
      <c r="J45" s="28">
        <v>45997</v>
      </c>
      <c r="K45" s="29">
        <f t="shared" si="8"/>
        <v>29</v>
      </c>
      <c r="L45" s="1">
        <v>14.56</v>
      </c>
      <c r="M45" s="1">
        <v>7.03</v>
      </c>
      <c r="N45" s="1">
        <f t="shared" si="7"/>
        <v>7.53</v>
      </c>
      <c r="O45" s="1" t="s">
        <v>379</v>
      </c>
    </row>
    <row r="46" spans="1:15" x14ac:dyDescent="0.25">
      <c r="A46" s="28">
        <v>45968</v>
      </c>
      <c r="B46" s="1" t="s">
        <v>205</v>
      </c>
      <c r="C46" s="1"/>
      <c r="D46" s="28">
        <f t="shared" si="0"/>
        <v>45991</v>
      </c>
      <c r="E46" s="28">
        <f t="shared" si="1"/>
        <v>45975</v>
      </c>
      <c r="F46" s="28">
        <f t="shared" si="2"/>
        <v>45982</v>
      </c>
      <c r="G46" s="28">
        <f t="shared" si="3"/>
        <v>45988</v>
      </c>
      <c r="H46" s="28">
        <f t="shared" si="4"/>
        <v>45976</v>
      </c>
      <c r="I46" s="28">
        <f t="shared" si="5"/>
        <v>45983</v>
      </c>
      <c r="J46" s="28">
        <v>45997</v>
      </c>
      <c r="K46" s="29">
        <f t="shared" si="8"/>
        <v>29</v>
      </c>
      <c r="L46" s="1">
        <v>15.27</v>
      </c>
      <c r="M46" s="1">
        <v>14.31</v>
      </c>
      <c r="N46" s="1">
        <f t="shared" si="7"/>
        <v>0.95999999999999908</v>
      </c>
      <c r="O46" s="1" t="s">
        <v>379</v>
      </c>
    </row>
    <row r="47" spans="1:15" x14ac:dyDescent="0.25">
      <c r="A47" s="28">
        <v>45968</v>
      </c>
      <c r="B47" s="1" t="s">
        <v>234</v>
      </c>
      <c r="C47" s="1"/>
      <c r="D47" s="28">
        <f t="shared" si="0"/>
        <v>45991</v>
      </c>
      <c r="E47" s="28">
        <f t="shared" si="1"/>
        <v>45975</v>
      </c>
      <c r="F47" s="28">
        <f t="shared" si="2"/>
        <v>45982</v>
      </c>
      <c r="G47" s="28">
        <f t="shared" si="3"/>
        <v>45988</v>
      </c>
      <c r="H47" s="28">
        <f t="shared" si="4"/>
        <v>45976</v>
      </c>
      <c r="I47" s="28">
        <f t="shared" si="5"/>
        <v>45983</v>
      </c>
      <c r="J47" s="28">
        <v>45997</v>
      </c>
      <c r="K47" s="29">
        <f t="shared" si="8"/>
        <v>29</v>
      </c>
      <c r="L47" s="1">
        <v>14.32</v>
      </c>
      <c r="M47" s="1">
        <v>13.59</v>
      </c>
      <c r="N47" s="1">
        <f t="shared" si="7"/>
        <v>0.73000000000000043</v>
      </c>
      <c r="O47" s="1" t="s">
        <v>379</v>
      </c>
    </row>
    <row r="48" spans="1:15" x14ac:dyDescent="0.25">
      <c r="A48" s="28">
        <v>45968</v>
      </c>
      <c r="B48" s="1" t="s">
        <v>235</v>
      </c>
      <c r="C48" s="1"/>
      <c r="D48" s="28">
        <f t="shared" si="0"/>
        <v>45991</v>
      </c>
      <c r="E48" s="28">
        <f t="shared" si="1"/>
        <v>45975</v>
      </c>
      <c r="F48" s="28">
        <f t="shared" si="2"/>
        <v>45982</v>
      </c>
      <c r="G48" s="28">
        <f t="shared" si="3"/>
        <v>45988</v>
      </c>
      <c r="H48" s="28">
        <f t="shared" si="4"/>
        <v>45976</v>
      </c>
      <c r="I48" s="28">
        <f t="shared" si="5"/>
        <v>45983</v>
      </c>
      <c r="J48" s="28">
        <v>45997</v>
      </c>
      <c r="K48" s="29">
        <f t="shared" si="8"/>
        <v>29</v>
      </c>
      <c r="L48" s="1">
        <v>15.29</v>
      </c>
      <c r="M48" s="1">
        <v>14.62</v>
      </c>
      <c r="N48" s="1">
        <f t="shared" si="7"/>
        <v>0.66999999999999993</v>
      </c>
      <c r="O48" s="1" t="s">
        <v>379</v>
      </c>
    </row>
    <row r="49" spans="1:15" x14ac:dyDescent="0.25">
      <c r="A49" s="28">
        <v>45968</v>
      </c>
      <c r="B49" s="1" t="s">
        <v>264</v>
      </c>
      <c r="C49" s="1"/>
      <c r="D49" s="28">
        <f t="shared" si="0"/>
        <v>45991</v>
      </c>
      <c r="E49" s="28">
        <f t="shared" si="1"/>
        <v>45975</v>
      </c>
      <c r="F49" s="28">
        <f t="shared" si="2"/>
        <v>45982</v>
      </c>
      <c r="G49" s="28">
        <f t="shared" si="3"/>
        <v>45988</v>
      </c>
      <c r="H49" s="28">
        <f t="shared" si="4"/>
        <v>45976</v>
      </c>
      <c r="I49" s="28">
        <f t="shared" si="5"/>
        <v>45983</v>
      </c>
      <c r="J49" s="28">
        <v>45997</v>
      </c>
      <c r="K49" s="29">
        <f t="shared" si="8"/>
        <v>29</v>
      </c>
      <c r="L49" s="1">
        <v>11.74</v>
      </c>
      <c r="M49" s="1">
        <v>10.28</v>
      </c>
      <c r="N49" s="1">
        <f t="shared" si="7"/>
        <v>1.4600000000000009</v>
      </c>
      <c r="O49" s="1" t="s">
        <v>379</v>
      </c>
    </row>
    <row r="50" spans="1:15" x14ac:dyDescent="0.25">
      <c r="A50" s="28">
        <v>45968</v>
      </c>
      <c r="B50" s="1" t="s">
        <v>265</v>
      </c>
      <c r="C50" s="1"/>
      <c r="D50" s="28">
        <f t="shared" si="0"/>
        <v>45991</v>
      </c>
      <c r="E50" s="28">
        <f t="shared" si="1"/>
        <v>45975</v>
      </c>
      <c r="F50" s="28">
        <f t="shared" si="2"/>
        <v>45982</v>
      </c>
      <c r="G50" s="28">
        <f t="shared" si="3"/>
        <v>45988</v>
      </c>
      <c r="H50" s="28">
        <f t="shared" si="4"/>
        <v>45976</v>
      </c>
      <c r="I50" s="28">
        <f t="shared" si="5"/>
        <v>45983</v>
      </c>
      <c r="J50" s="28">
        <v>45997</v>
      </c>
      <c r="K50" s="29">
        <f t="shared" si="8"/>
        <v>29</v>
      </c>
      <c r="L50" s="1">
        <v>11.28</v>
      </c>
      <c r="M50" s="1">
        <v>10.14</v>
      </c>
      <c r="N50" s="1">
        <f t="shared" si="7"/>
        <v>1.1399999999999988</v>
      </c>
      <c r="O50" s="1" t="s">
        <v>379</v>
      </c>
    </row>
    <row r="51" spans="1:15" x14ac:dyDescent="0.25">
      <c r="A51" s="28">
        <v>45968</v>
      </c>
      <c r="B51" s="1" t="s">
        <v>266</v>
      </c>
      <c r="C51" s="1"/>
      <c r="D51" s="28">
        <f t="shared" si="0"/>
        <v>45991</v>
      </c>
      <c r="E51" s="28">
        <f t="shared" si="1"/>
        <v>45975</v>
      </c>
      <c r="F51" s="28">
        <f t="shared" si="2"/>
        <v>45982</v>
      </c>
      <c r="G51" s="28">
        <f t="shared" si="3"/>
        <v>45988</v>
      </c>
      <c r="H51" s="28">
        <f t="shared" si="4"/>
        <v>45976</v>
      </c>
      <c r="I51" s="28">
        <f t="shared" si="5"/>
        <v>45983</v>
      </c>
      <c r="J51" s="28">
        <v>45997</v>
      </c>
      <c r="K51" s="29">
        <f t="shared" si="8"/>
        <v>29</v>
      </c>
      <c r="L51" s="1">
        <v>8.2100000000000009</v>
      </c>
      <c r="M51" s="1">
        <v>7.05</v>
      </c>
      <c r="N51" s="1">
        <f t="shared" si="7"/>
        <v>1.160000000000001</v>
      </c>
      <c r="O51" s="1" t="s">
        <v>379</v>
      </c>
    </row>
    <row r="52" spans="1:15" x14ac:dyDescent="0.25">
      <c r="A52" s="28">
        <v>45969</v>
      </c>
      <c r="B52" s="1" t="s">
        <v>268</v>
      </c>
      <c r="C52" s="1"/>
      <c r="D52" s="28">
        <f t="shared" si="0"/>
        <v>45992</v>
      </c>
      <c r="E52" s="28">
        <f t="shared" si="1"/>
        <v>45976</v>
      </c>
      <c r="F52" s="28">
        <f t="shared" si="2"/>
        <v>45983</v>
      </c>
      <c r="G52" s="28">
        <f t="shared" si="3"/>
        <v>45989</v>
      </c>
      <c r="H52" s="28">
        <f t="shared" si="4"/>
        <v>45977</v>
      </c>
      <c r="I52" s="28">
        <f t="shared" si="5"/>
        <v>45984</v>
      </c>
      <c r="J52" s="28">
        <v>45998</v>
      </c>
      <c r="K52" s="29">
        <f t="shared" si="8"/>
        <v>29</v>
      </c>
      <c r="L52" s="1">
        <v>14.21</v>
      </c>
      <c r="M52" s="1">
        <v>7.71</v>
      </c>
      <c r="N52" s="1">
        <f t="shared" si="7"/>
        <v>6.5000000000000009</v>
      </c>
      <c r="O52" s="1" t="s">
        <v>378</v>
      </c>
    </row>
    <row r="53" spans="1:15" x14ac:dyDescent="0.25">
      <c r="A53" s="28">
        <v>45969</v>
      </c>
      <c r="B53" s="1" t="s">
        <v>269</v>
      </c>
      <c r="C53" s="1"/>
      <c r="D53" s="28">
        <f t="shared" si="0"/>
        <v>45992</v>
      </c>
      <c r="E53" s="28">
        <f t="shared" si="1"/>
        <v>45976</v>
      </c>
      <c r="F53" s="28">
        <f t="shared" si="2"/>
        <v>45983</v>
      </c>
      <c r="G53" s="28">
        <f t="shared" si="3"/>
        <v>45989</v>
      </c>
      <c r="H53" s="28">
        <f t="shared" si="4"/>
        <v>45977</v>
      </c>
      <c r="I53" s="28">
        <f t="shared" si="5"/>
        <v>45984</v>
      </c>
      <c r="J53" s="28">
        <v>45998</v>
      </c>
      <c r="K53" s="29">
        <f t="shared" si="8"/>
        <v>29</v>
      </c>
      <c r="L53" s="1">
        <v>13.68</v>
      </c>
      <c r="M53" s="1">
        <v>6.22</v>
      </c>
      <c r="N53" s="1">
        <f t="shared" si="7"/>
        <v>7.46</v>
      </c>
      <c r="O53" s="1" t="s">
        <v>378</v>
      </c>
    </row>
    <row r="54" spans="1:15" x14ac:dyDescent="0.25">
      <c r="A54" s="28">
        <v>45969</v>
      </c>
      <c r="B54" s="1" t="s">
        <v>270</v>
      </c>
      <c r="C54" s="1"/>
      <c r="D54" s="28">
        <f t="shared" si="0"/>
        <v>45992</v>
      </c>
      <c r="E54" s="28">
        <f t="shared" si="1"/>
        <v>45976</v>
      </c>
      <c r="F54" s="28">
        <f t="shared" si="2"/>
        <v>45983</v>
      </c>
      <c r="G54" s="28">
        <f t="shared" si="3"/>
        <v>45989</v>
      </c>
      <c r="H54" s="28">
        <f t="shared" si="4"/>
        <v>45977</v>
      </c>
      <c r="I54" s="28">
        <f t="shared" si="5"/>
        <v>45984</v>
      </c>
      <c r="J54" s="28">
        <v>45998</v>
      </c>
      <c r="K54" s="29">
        <f t="shared" si="8"/>
        <v>29</v>
      </c>
      <c r="L54" s="1">
        <v>15.29</v>
      </c>
      <c r="M54" s="1">
        <v>8.69</v>
      </c>
      <c r="N54" s="1">
        <f t="shared" si="7"/>
        <v>6.6</v>
      </c>
      <c r="O54" s="1" t="s">
        <v>378</v>
      </c>
    </row>
    <row r="55" spans="1:15" x14ac:dyDescent="0.25">
      <c r="A55" s="28">
        <v>45969</v>
      </c>
      <c r="B55" s="1" t="s">
        <v>271</v>
      </c>
      <c r="C55" s="1"/>
      <c r="D55" s="28">
        <f t="shared" si="0"/>
        <v>45992</v>
      </c>
      <c r="E55" s="28">
        <f t="shared" si="1"/>
        <v>45976</v>
      </c>
      <c r="F55" s="28">
        <f t="shared" si="2"/>
        <v>45983</v>
      </c>
      <c r="G55" s="28">
        <f t="shared" si="3"/>
        <v>45989</v>
      </c>
      <c r="H55" s="28">
        <f t="shared" si="4"/>
        <v>45977</v>
      </c>
      <c r="I55" s="28">
        <f t="shared" si="5"/>
        <v>45984</v>
      </c>
      <c r="J55" s="28">
        <v>45998</v>
      </c>
      <c r="K55" s="29">
        <f t="shared" si="8"/>
        <v>29</v>
      </c>
      <c r="L55" s="1">
        <v>11.52</v>
      </c>
      <c r="M55" s="1">
        <v>10.77</v>
      </c>
      <c r="N55" s="1">
        <f t="shared" si="7"/>
        <v>0.75</v>
      </c>
      <c r="O55" s="1" t="s">
        <v>379</v>
      </c>
    </row>
    <row r="56" spans="1:15" x14ac:dyDescent="0.25">
      <c r="A56" s="28">
        <v>45969</v>
      </c>
      <c r="B56" s="1" t="s">
        <v>272</v>
      </c>
      <c r="C56" s="1"/>
      <c r="D56" s="28">
        <f t="shared" si="0"/>
        <v>45992</v>
      </c>
      <c r="E56" s="28">
        <f t="shared" si="1"/>
        <v>45976</v>
      </c>
      <c r="F56" s="28">
        <f t="shared" si="2"/>
        <v>45983</v>
      </c>
      <c r="G56" s="28">
        <f t="shared" si="3"/>
        <v>45989</v>
      </c>
      <c r="H56" s="28">
        <f t="shared" si="4"/>
        <v>45977</v>
      </c>
      <c r="I56" s="28">
        <f t="shared" si="5"/>
        <v>45984</v>
      </c>
      <c r="J56" s="28">
        <v>45998</v>
      </c>
      <c r="K56" s="29">
        <f t="shared" si="8"/>
        <v>29</v>
      </c>
      <c r="L56" s="1">
        <v>13.4</v>
      </c>
      <c r="M56" s="1">
        <v>12.19</v>
      </c>
      <c r="N56" s="1">
        <f t="shared" si="7"/>
        <v>1.2100000000000009</v>
      </c>
      <c r="O56" s="1" t="s">
        <v>379</v>
      </c>
    </row>
    <row r="57" spans="1:15" x14ac:dyDescent="0.25">
      <c r="A57" s="28">
        <v>45969</v>
      </c>
      <c r="B57" s="1" t="s">
        <v>273</v>
      </c>
      <c r="C57" s="1"/>
      <c r="D57" s="28">
        <f t="shared" si="0"/>
        <v>45992</v>
      </c>
      <c r="E57" s="28">
        <f t="shared" si="1"/>
        <v>45976</v>
      </c>
      <c r="F57" s="28">
        <f t="shared" si="2"/>
        <v>45983</v>
      </c>
      <c r="G57" s="28">
        <f t="shared" si="3"/>
        <v>45989</v>
      </c>
      <c r="H57" s="28">
        <f t="shared" si="4"/>
        <v>45977</v>
      </c>
      <c r="I57" s="28">
        <f t="shared" si="5"/>
        <v>45984</v>
      </c>
      <c r="J57" s="28">
        <v>45998</v>
      </c>
      <c r="K57" s="29">
        <f t="shared" si="8"/>
        <v>29</v>
      </c>
      <c r="L57" s="1">
        <v>11.58</v>
      </c>
      <c r="M57" s="1">
        <v>10.71</v>
      </c>
      <c r="N57" s="1">
        <f t="shared" si="7"/>
        <v>0.86999999999999922</v>
      </c>
      <c r="O57" s="1" t="s">
        <v>379</v>
      </c>
    </row>
    <row r="58" spans="1:15" x14ac:dyDescent="0.25">
      <c r="A58" s="28">
        <v>45969</v>
      </c>
      <c r="B58" s="1" t="s">
        <v>274</v>
      </c>
      <c r="C58" s="1"/>
      <c r="D58" s="28">
        <f t="shared" si="0"/>
        <v>45992</v>
      </c>
      <c r="E58" s="28">
        <f t="shared" si="1"/>
        <v>45976</v>
      </c>
      <c r="F58" s="28">
        <f t="shared" si="2"/>
        <v>45983</v>
      </c>
      <c r="G58" s="28">
        <f t="shared" si="3"/>
        <v>45989</v>
      </c>
      <c r="H58" s="28">
        <f t="shared" si="4"/>
        <v>45977</v>
      </c>
      <c r="I58" s="28">
        <f t="shared" si="5"/>
        <v>45984</v>
      </c>
      <c r="J58" s="28">
        <v>45998</v>
      </c>
      <c r="K58" s="29">
        <f t="shared" si="8"/>
        <v>29</v>
      </c>
      <c r="L58" s="1">
        <v>12.17</v>
      </c>
      <c r="M58" s="1">
        <v>11.59</v>
      </c>
      <c r="N58" s="1">
        <f t="shared" si="7"/>
        <v>0.58000000000000007</v>
      </c>
      <c r="O58" s="1" t="s">
        <v>379</v>
      </c>
    </row>
    <row r="59" spans="1:15" x14ac:dyDescent="0.25">
      <c r="A59" s="28">
        <v>45970</v>
      </c>
      <c r="B59" s="1" t="s">
        <v>275</v>
      </c>
      <c r="C59" s="1"/>
      <c r="D59" s="28">
        <f t="shared" si="0"/>
        <v>45993</v>
      </c>
      <c r="E59" s="28">
        <f t="shared" si="1"/>
        <v>45977</v>
      </c>
      <c r="F59" s="28">
        <f t="shared" si="2"/>
        <v>45984</v>
      </c>
      <c r="G59" s="28">
        <f t="shared" si="3"/>
        <v>45990</v>
      </c>
      <c r="H59" s="28">
        <f t="shared" si="4"/>
        <v>45978</v>
      </c>
      <c r="I59" s="28">
        <f t="shared" si="5"/>
        <v>45985</v>
      </c>
      <c r="J59" s="28">
        <v>45998</v>
      </c>
      <c r="K59" s="29">
        <f t="shared" si="8"/>
        <v>28</v>
      </c>
      <c r="L59" s="1">
        <v>11.98</v>
      </c>
      <c r="M59" s="1">
        <v>10.01</v>
      </c>
      <c r="N59" s="1">
        <f t="shared" si="7"/>
        <v>1.9700000000000006</v>
      </c>
      <c r="O59" s="1" t="s">
        <v>379</v>
      </c>
    </row>
    <row r="60" spans="1:15" x14ac:dyDescent="0.25">
      <c r="A60" s="28">
        <v>45970</v>
      </c>
      <c r="B60" s="1" t="s">
        <v>276</v>
      </c>
      <c r="C60" s="1"/>
      <c r="D60" s="28">
        <f t="shared" si="0"/>
        <v>45993</v>
      </c>
      <c r="E60" s="28">
        <f t="shared" si="1"/>
        <v>45977</v>
      </c>
      <c r="F60" s="28">
        <f t="shared" si="2"/>
        <v>45984</v>
      </c>
      <c r="G60" s="28">
        <f t="shared" si="3"/>
        <v>45990</v>
      </c>
      <c r="H60" s="28">
        <f t="shared" si="4"/>
        <v>45978</v>
      </c>
      <c r="I60" s="28">
        <f t="shared" si="5"/>
        <v>45985</v>
      </c>
      <c r="J60" s="28">
        <v>45998</v>
      </c>
      <c r="K60" s="29">
        <f t="shared" si="8"/>
        <v>28</v>
      </c>
      <c r="L60" s="1">
        <v>10.71</v>
      </c>
      <c r="M60" s="1">
        <v>9.84</v>
      </c>
      <c r="N60" s="1">
        <f t="shared" si="7"/>
        <v>0.87000000000000099</v>
      </c>
      <c r="O60" s="1" t="s">
        <v>379</v>
      </c>
    </row>
    <row r="61" spans="1:15" x14ac:dyDescent="0.25">
      <c r="A61" s="28">
        <v>45970</v>
      </c>
      <c r="B61" s="1" t="s">
        <v>277</v>
      </c>
      <c r="C61" s="1"/>
      <c r="D61" s="28">
        <f t="shared" si="0"/>
        <v>45993</v>
      </c>
      <c r="E61" s="28">
        <f t="shared" si="1"/>
        <v>45977</v>
      </c>
      <c r="F61" s="28">
        <f t="shared" si="2"/>
        <v>45984</v>
      </c>
      <c r="G61" s="28">
        <f t="shared" si="3"/>
        <v>45990</v>
      </c>
      <c r="H61" s="28">
        <f t="shared" si="4"/>
        <v>45978</v>
      </c>
      <c r="I61" s="28">
        <f t="shared" si="5"/>
        <v>45985</v>
      </c>
      <c r="J61" s="28">
        <v>45998</v>
      </c>
      <c r="K61" s="29">
        <f t="shared" si="8"/>
        <v>28</v>
      </c>
      <c r="L61" s="1">
        <v>7.55</v>
      </c>
      <c r="M61" s="1">
        <v>6.64</v>
      </c>
      <c r="N61" s="1">
        <f t="shared" si="7"/>
        <v>0.91000000000000014</v>
      </c>
      <c r="O61" s="1" t="s">
        <v>379</v>
      </c>
    </row>
    <row r="62" spans="1:15" x14ac:dyDescent="0.25">
      <c r="A62" s="28">
        <v>45970</v>
      </c>
      <c r="B62" s="1" t="s">
        <v>278</v>
      </c>
      <c r="C62" s="1"/>
      <c r="D62" s="28">
        <f t="shared" si="0"/>
        <v>45993</v>
      </c>
      <c r="E62" s="28">
        <f t="shared" si="1"/>
        <v>45977</v>
      </c>
      <c r="F62" s="28">
        <f t="shared" si="2"/>
        <v>45984</v>
      </c>
      <c r="G62" s="28">
        <f t="shared" si="3"/>
        <v>45990</v>
      </c>
      <c r="H62" s="28">
        <f t="shared" si="4"/>
        <v>45978</v>
      </c>
      <c r="I62" s="28">
        <f t="shared" si="5"/>
        <v>45985</v>
      </c>
      <c r="J62" s="28">
        <v>45998</v>
      </c>
      <c r="K62" s="29">
        <f t="shared" si="8"/>
        <v>28</v>
      </c>
      <c r="L62" s="1">
        <v>7.41</v>
      </c>
      <c r="M62" s="1">
        <v>6.28</v>
      </c>
      <c r="N62" s="1">
        <f t="shared" si="7"/>
        <v>1.1299999999999999</v>
      </c>
      <c r="O62" s="1" t="s">
        <v>379</v>
      </c>
    </row>
    <row r="63" spans="1:15" x14ac:dyDescent="0.25">
      <c r="A63" s="28">
        <v>45970</v>
      </c>
      <c r="B63" s="1" t="s">
        <v>279</v>
      </c>
      <c r="C63" s="1"/>
      <c r="D63" s="28">
        <f t="shared" si="0"/>
        <v>45993</v>
      </c>
      <c r="E63" s="28">
        <f t="shared" si="1"/>
        <v>45977</v>
      </c>
      <c r="F63" s="28">
        <f t="shared" si="2"/>
        <v>45984</v>
      </c>
      <c r="G63" s="28">
        <f t="shared" si="3"/>
        <v>45990</v>
      </c>
      <c r="H63" s="28">
        <f t="shared" si="4"/>
        <v>45978</v>
      </c>
      <c r="I63" s="28">
        <f t="shared" si="5"/>
        <v>45985</v>
      </c>
      <c r="J63" s="28">
        <v>45998</v>
      </c>
      <c r="K63" s="29">
        <f t="shared" si="8"/>
        <v>28</v>
      </c>
      <c r="L63" s="1">
        <v>6.36</v>
      </c>
      <c r="M63" s="1">
        <v>5.71</v>
      </c>
      <c r="N63" s="1">
        <f t="shared" si="7"/>
        <v>0.65000000000000036</v>
      </c>
      <c r="O63" s="1" t="s">
        <v>379</v>
      </c>
    </row>
    <row r="64" spans="1:15" x14ac:dyDescent="0.25">
      <c r="A64" s="28">
        <v>45970</v>
      </c>
      <c r="B64" s="1" t="s">
        <v>280</v>
      </c>
      <c r="C64" s="1"/>
      <c r="D64" s="28">
        <f t="shared" si="0"/>
        <v>45993</v>
      </c>
      <c r="E64" s="28">
        <f t="shared" si="1"/>
        <v>45977</v>
      </c>
      <c r="F64" s="28">
        <f t="shared" si="2"/>
        <v>45984</v>
      </c>
      <c r="G64" s="28">
        <f t="shared" si="3"/>
        <v>45990</v>
      </c>
      <c r="H64" s="28">
        <f t="shared" si="4"/>
        <v>45978</v>
      </c>
      <c r="I64" s="28">
        <f t="shared" si="5"/>
        <v>45985</v>
      </c>
      <c r="J64" s="28">
        <v>45999</v>
      </c>
      <c r="K64" s="29">
        <f t="shared" si="8"/>
        <v>29</v>
      </c>
      <c r="L64" s="1">
        <v>7.21</v>
      </c>
      <c r="M64" s="1">
        <v>3.42</v>
      </c>
      <c r="N64" s="1">
        <f t="shared" si="7"/>
        <v>3.79</v>
      </c>
      <c r="O64" s="1" t="s">
        <v>378</v>
      </c>
    </row>
    <row r="65" spans="1:15" x14ac:dyDescent="0.25">
      <c r="A65" s="28">
        <v>45970</v>
      </c>
      <c r="B65" s="1" t="s">
        <v>281</v>
      </c>
      <c r="C65" s="1"/>
      <c r="D65" s="28">
        <f t="shared" si="0"/>
        <v>45993</v>
      </c>
      <c r="E65" s="28">
        <f t="shared" si="1"/>
        <v>45977</v>
      </c>
      <c r="F65" s="28">
        <f t="shared" si="2"/>
        <v>45984</v>
      </c>
      <c r="G65" s="28">
        <f t="shared" si="3"/>
        <v>45990</v>
      </c>
      <c r="H65" s="28">
        <f t="shared" si="4"/>
        <v>45978</v>
      </c>
      <c r="I65" s="28">
        <f t="shared" si="5"/>
        <v>45985</v>
      </c>
      <c r="J65" s="28">
        <v>45999</v>
      </c>
      <c r="K65" s="29">
        <f t="shared" si="8"/>
        <v>29</v>
      </c>
      <c r="L65" s="1">
        <v>6.13</v>
      </c>
      <c r="M65" s="1">
        <v>3.28</v>
      </c>
      <c r="N65" s="1">
        <f t="shared" si="7"/>
        <v>2.85</v>
      </c>
      <c r="O65" s="1" t="s">
        <v>378</v>
      </c>
    </row>
    <row r="66" spans="1:15" x14ac:dyDescent="0.25">
      <c r="A66" s="28">
        <v>45971</v>
      </c>
      <c r="B66" s="1" t="s">
        <v>282</v>
      </c>
      <c r="C66" s="1"/>
      <c r="D66" s="28">
        <f t="shared" si="0"/>
        <v>45994</v>
      </c>
      <c r="E66" s="28">
        <f t="shared" si="1"/>
        <v>45978</v>
      </c>
      <c r="F66" s="28">
        <f t="shared" si="2"/>
        <v>45985</v>
      </c>
      <c r="G66" s="28">
        <f t="shared" si="3"/>
        <v>45991</v>
      </c>
      <c r="H66" s="28">
        <f t="shared" si="4"/>
        <v>45979</v>
      </c>
      <c r="I66" s="28">
        <f t="shared" si="5"/>
        <v>45986</v>
      </c>
      <c r="J66" s="28">
        <v>45999</v>
      </c>
      <c r="K66" s="29">
        <f t="shared" si="8"/>
        <v>28</v>
      </c>
      <c r="L66" s="1">
        <v>13.21</v>
      </c>
      <c r="M66" s="1">
        <v>6.51</v>
      </c>
      <c r="N66" s="1">
        <f t="shared" si="7"/>
        <v>6.7000000000000011</v>
      </c>
      <c r="O66" s="1" t="s">
        <v>378</v>
      </c>
    </row>
    <row r="67" spans="1:15" x14ac:dyDescent="0.25">
      <c r="A67" s="28">
        <v>45971</v>
      </c>
      <c r="B67" s="1" t="s">
        <v>283</v>
      </c>
      <c r="C67" s="1"/>
      <c r="D67" s="28">
        <f t="shared" ref="D67:D130" si="9">A67+23</f>
        <v>45994</v>
      </c>
      <c r="E67" s="28">
        <f t="shared" ref="E67:E130" si="10">A67+7</f>
        <v>45978</v>
      </c>
      <c r="F67" s="28">
        <f t="shared" ref="F67:F130" si="11">A67+14</f>
        <v>45985</v>
      </c>
      <c r="G67" s="28">
        <f t="shared" ref="G67:G130" si="12">A67+20</f>
        <v>45991</v>
      </c>
      <c r="H67" s="28">
        <f t="shared" ref="H67:H130" si="13">A67+8</f>
        <v>45979</v>
      </c>
      <c r="I67" s="28">
        <f t="shared" ref="I67:I130" si="14">A67+15</f>
        <v>45986</v>
      </c>
      <c r="J67" s="28">
        <v>45999</v>
      </c>
      <c r="K67" s="29">
        <f t="shared" ref="K67:K98" si="15">J67-A67</f>
        <v>28</v>
      </c>
      <c r="L67" s="1">
        <v>14.17</v>
      </c>
      <c r="M67" s="1">
        <v>8.17</v>
      </c>
      <c r="N67" s="1">
        <f t="shared" ref="N67:N133" si="16">L67-M67</f>
        <v>6</v>
      </c>
      <c r="O67" s="1" t="s">
        <v>378</v>
      </c>
    </row>
    <row r="68" spans="1:15" x14ac:dyDescent="0.25">
      <c r="A68" s="28">
        <v>45971</v>
      </c>
      <c r="B68" s="1" t="s">
        <v>284</v>
      </c>
      <c r="C68" s="1"/>
      <c r="D68" s="28">
        <f t="shared" si="9"/>
        <v>45994</v>
      </c>
      <c r="E68" s="28">
        <f t="shared" si="10"/>
        <v>45978</v>
      </c>
      <c r="F68" s="28">
        <f t="shared" si="11"/>
        <v>45985</v>
      </c>
      <c r="G68" s="28">
        <f t="shared" si="12"/>
        <v>45991</v>
      </c>
      <c r="H68" s="28">
        <f t="shared" si="13"/>
        <v>45979</v>
      </c>
      <c r="I68" s="28">
        <f t="shared" si="14"/>
        <v>45986</v>
      </c>
      <c r="J68" s="28">
        <v>45999</v>
      </c>
      <c r="K68" s="29">
        <f t="shared" si="15"/>
        <v>28</v>
      </c>
      <c r="L68" s="1">
        <v>14.36</v>
      </c>
      <c r="M68" s="1">
        <v>8.24</v>
      </c>
      <c r="N68" s="1">
        <f t="shared" si="16"/>
        <v>6.1199999999999992</v>
      </c>
      <c r="O68" s="1" t="s">
        <v>378</v>
      </c>
    </row>
    <row r="69" spans="1:15" x14ac:dyDescent="0.25">
      <c r="A69" s="28">
        <v>45971</v>
      </c>
      <c r="B69" s="1" t="s">
        <v>285</v>
      </c>
      <c r="C69" s="1"/>
      <c r="D69" s="28">
        <f t="shared" si="9"/>
        <v>45994</v>
      </c>
      <c r="E69" s="28">
        <f t="shared" si="10"/>
        <v>45978</v>
      </c>
      <c r="F69" s="28">
        <f t="shared" si="11"/>
        <v>45985</v>
      </c>
      <c r="G69" s="28">
        <f t="shared" si="12"/>
        <v>45991</v>
      </c>
      <c r="H69" s="28">
        <f t="shared" si="13"/>
        <v>45979</v>
      </c>
      <c r="I69" s="28">
        <f t="shared" si="14"/>
        <v>45986</v>
      </c>
      <c r="J69" s="28">
        <v>45999</v>
      </c>
      <c r="K69" s="29">
        <f t="shared" si="15"/>
        <v>28</v>
      </c>
      <c r="L69" s="1">
        <v>12.71</v>
      </c>
      <c r="M69" s="1">
        <v>11.28</v>
      </c>
      <c r="N69" s="1">
        <f t="shared" si="16"/>
        <v>1.4300000000000015</v>
      </c>
      <c r="O69" s="1" t="s">
        <v>379</v>
      </c>
    </row>
    <row r="70" spans="1:15" x14ac:dyDescent="0.25">
      <c r="A70" s="28">
        <v>45971</v>
      </c>
      <c r="B70" s="1" t="s">
        <v>286</v>
      </c>
      <c r="C70" s="1"/>
      <c r="D70" s="28">
        <f t="shared" si="9"/>
        <v>45994</v>
      </c>
      <c r="E70" s="28">
        <f t="shared" si="10"/>
        <v>45978</v>
      </c>
      <c r="F70" s="28">
        <f t="shared" si="11"/>
        <v>45985</v>
      </c>
      <c r="G70" s="28">
        <f t="shared" si="12"/>
        <v>45991</v>
      </c>
      <c r="H70" s="28">
        <f t="shared" si="13"/>
        <v>45979</v>
      </c>
      <c r="I70" s="28">
        <f t="shared" si="14"/>
        <v>45986</v>
      </c>
      <c r="J70" s="28">
        <v>45999</v>
      </c>
      <c r="K70" s="29">
        <f t="shared" si="15"/>
        <v>28</v>
      </c>
      <c r="L70" s="1">
        <v>13.9</v>
      </c>
      <c r="M70" s="1">
        <v>12.01</v>
      </c>
      <c r="N70" s="1">
        <f t="shared" si="16"/>
        <v>1.8900000000000006</v>
      </c>
      <c r="O70" s="1" t="s">
        <v>379</v>
      </c>
    </row>
    <row r="71" spans="1:15" x14ac:dyDescent="0.25">
      <c r="A71" s="28">
        <v>45971</v>
      </c>
      <c r="B71" s="1" t="s">
        <v>287</v>
      </c>
      <c r="C71" s="1"/>
      <c r="D71" s="28">
        <f t="shared" si="9"/>
        <v>45994</v>
      </c>
      <c r="E71" s="28">
        <f t="shared" si="10"/>
        <v>45978</v>
      </c>
      <c r="F71" s="28">
        <f t="shared" si="11"/>
        <v>45985</v>
      </c>
      <c r="G71" s="28">
        <f t="shared" si="12"/>
        <v>45991</v>
      </c>
      <c r="H71" s="28">
        <f t="shared" si="13"/>
        <v>45979</v>
      </c>
      <c r="I71" s="28">
        <f t="shared" si="14"/>
        <v>45986</v>
      </c>
      <c r="J71" s="28">
        <v>45999</v>
      </c>
      <c r="K71" s="29">
        <f t="shared" si="15"/>
        <v>28</v>
      </c>
      <c r="L71" s="1">
        <v>10.77</v>
      </c>
      <c r="M71" s="1">
        <v>9.06</v>
      </c>
      <c r="N71" s="1">
        <f t="shared" si="16"/>
        <v>1.7099999999999991</v>
      </c>
      <c r="O71" s="1" t="s">
        <v>379</v>
      </c>
    </row>
    <row r="72" spans="1:15" x14ac:dyDescent="0.25">
      <c r="A72" s="28">
        <v>45971</v>
      </c>
      <c r="B72" s="1" t="s">
        <v>288</v>
      </c>
      <c r="C72" s="1"/>
      <c r="D72" s="28">
        <f t="shared" si="9"/>
        <v>45994</v>
      </c>
      <c r="E72" s="28">
        <f t="shared" si="10"/>
        <v>45978</v>
      </c>
      <c r="F72" s="28">
        <f t="shared" si="11"/>
        <v>45985</v>
      </c>
      <c r="G72" s="28">
        <f t="shared" si="12"/>
        <v>45991</v>
      </c>
      <c r="H72" s="28">
        <f t="shared" si="13"/>
        <v>45979</v>
      </c>
      <c r="I72" s="28">
        <f t="shared" si="14"/>
        <v>45986</v>
      </c>
      <c r="J72" s="28">
        <v>45999</v>
      </c>
      <c r="K72" s="29">
        <f t="shared" si="15"/>
        <v>28</v>
      </c>
      <c r="L72" s="1">
        <v>11.28</v>
      </c>
      <c r="M72" s="1">
        <v>10.51</v>
      </c>
      <c r="N72" s="1">
        <f t="shared" si="16"/>
        <v>0.76999999999999957</v>
      </c>
      <c r="O72" s="1" t="s">
        <v>379</v>
      </c>
    </row>
    <row r="73" spans="1:15" x14ac:dyDescent="0.25">
      <c r="A73" s="28">
        <v>45972</v>
      </c>
      <c r="B73" s="1" t="s">
        <v>289</v>
      </c>
      <c r="C73" s="1"/>
      <c r="D73" s="28">
        <f t="shared" si="9"/>
        <v>45995</v>
      </c>
      <c r="E73" s="28">
        <f t="shared" si="10"/>
        <v>45979</v>
      </c>
      <c r="F73" s="28">
        <f t="shared" si="11"/>
        <v>45986</v>
      </c>
      <c r="G73" s="28">
        <f t="shared" si="12"/>
        <v>45992</v>
      </c>
      <c r="H73" s="28">
        <f t="shared" si="13"/>
        <v>45980</v>
      </c>
      <c r="I73" s="28">
        <f t="shared" si="14"/>
        <v>45987</v>
      </c>
      <c r="J73" s="28">
        <v>45999</v>
      </c>
      <c r="K73" s="29">
        <f t="shared" si="15"/>
        <v>27</v>
      </c>
      <c r="L73" s="1">
        <v>9.64</v>
      </c>
      <c r="M73" s="1">
        <v>8.1199999999999992</v>
      </c>
      <c r="N73" s="1">
        <f t="shared" si="16"/>
        <v>1.5200000000000014</v>
      </c>
      <c r="O73" s="1" t="s">
        <v>379</v>
      </c>
    </row>
    <row r="74" spans="1:15" x14ac:dyDescent="0.25">
      <c r="A74" s="28">
        <v>45972</v>
      </c>
      <c r="B74" s="1" t="s">
        <v>290</v>
      </c>
      <c r="C74" s="1"/>
      <c r="D74" s="28">
        <f t="shared" si="9"/>
        <v>45995</v>
      </c>
      <c r="E74" s="28">
        <f t="shared" si="10"/>
        <v>45979</v>
      </c>
      <c r="F74" s="28">
        <f t="shared" si="11"/>
        <v>45986</v>
      </c>
      <c r="G74" s="28">
        <f t="shared" si="12"/>
        <v>45992</v>
      </c>
      <c r="H74" s="28">
        <f t="shared" si="13"/>
        <v>45980</v>
      </c>
      <c r="I74" s="28">
        <f t="shared" si="14"/>
        <v>45987</v>
      </c>
      <c r="J74" s="28">
        <v>46000</v>
      </c>
      <c r="K74" s="29">
        <f t="shared" si="15"/>
        <v>28</v>
      </c>
      <c r="L74" s="1">
        <v>12.72</v>
      </c>
      <c r="M74" s="1">
        <v>6.36</v>
      </c>
      <c r="N74" s="1">
        <f t="shared" si="16"/>
        <v>6.36</v>
      </c>
      <c r="O74" s="1" t="s">
        <v>378</v>
      </c>
    </row>
    <row r="75" spans="1:15" x14ac:dyDescent="0.25">
      <c r="A75" s="28">
        <v>45972</v>
      </c>
      <c r="B75" s="1" t="s">
        <v>291</v>
      </c>
      <c r="C75" s="1"/>
      <c r="D75" s="28">
        <f t="shared" si="9"/>
        <v>45995</v>
      </c>
      <c r="E75" s="28">
        <f t="shared" si="10"/>
        <v>45979</v>
      </c>
      <c r="F75" s="28">
        <f t="shared" si="11"/>
        <v>45986</v>
      </c>
      <c r="G75" s="28">
        <f t="shared" si="12"/>
        <v>45992</v>
      </c>
      <c r="H75" s="28">
        <f t="shared" si="13"/>
        <v>45980</v>
      </c>
      <c r="I75" s="28">
        <f t="shared" si="14"/>
        <v>45987</v>
      </c>
      <c r="J75" s="28">
        <v>46000</v>
      </c>
      <c r="K75" s="29">
        <f t="shared" si="15"/>
        <v>28</v>
      </c>
      <c r="L75" s="1">
        <v>8.32</v>
      </c>
      <c r="M75" s="1">
        <v>4.1900000000000004</v>
      </c>
      <c r="N75" s="1">
        <f t="shared" si="16"/>
        <v>4.13</v>
      </c>
      <c r="O75" s="1" t="s">
        <v>378</v>
      </c>
    </row>
    <row r="76" spans="1:15" x14ac:dyDescent="0.25">
      <c r="A76" s="28">
        <v>45972</v>
      </c>
      <c r="B76" s="1" t="s">
        <v>292</v>
      </c>
      <c r="C76" s="1"/>
      <c r="D76" s="28">
        <f t="shared" si="9"/>
        <v>45995</v>
      </c>
      <c r="E76" s="28">
        <f t="shared" si="10"/>
        <v>45979</v>
      </c>
      <c r="F76" s="28">
        <f t="shared" si="11"/>
        <v>45986</v>
      </c>
      <c r="G76" s="28">
        <f t="shared" si="12"/>
        <v>45992</v>
      </c>
      <c r="H76" s="28">
        <f t="shared" si="13"/>
        <v>45980</v>
      </c>
      <c r="I76" s="28">
        <f t="shared" si="14"/>
        <v>45987</v>
      </c>
      <c r="J76" s="28">
        <v>46000</v>
      </c>
      <c r="K76" s="29">
        <f t="shared" si="15"/>
        <v>28</v>
      </c>
      <c r="L76" s="1">
        <v>11.98</v>
      </c>
      <c r="M76" s="1">
        <v>7.94</v>
      </c>
      <c r="N76" s="1">
        <f t="shared" si="16"/>
        <v>4.04</v>
      </c>
      <c r="O76" s="1" t="s">
        <v>378</v>
      </c>
    </row>
    <row r="77" spans="1:15" x14ac:dyDescent="0.25">
      <c r="A77" s="28">
        <v>45972</v>
      </c>
      <c r="B77" s="1" t="s">
        <v>293</v>
      </c>
      <c r="C77" s="1"/>
      <c r="D77" s="28">
        <f t="shared" si="9"/>
        <v>45995</v>
      </c>
      <c r="E77" s="28">
        <f t="shared" si="10"/>
        <v>45979</v>
      </c>
      <c r="F77" s="28">
        <f t="shared" si="11"/>
        <v>45986</v>
      </c>
      <c r="G77" s="28">
        <f t="shared" si="12"/>
        <v>45992</v>
      </c>
      <c r="H77" s="28">
        <f t="shared" si="13"/>
        <v>45980</v>
      </c>
      <c r="I77" s="28">
        <f t="shared" si="14"/>
        <v>45987</v>
      </c>
      <c r="J77" s="28">
        <v>46000</v>
      </c>
      <c r="K77" s="29">
        <f t="shared" si="15"/>
        <v>28</v>
      </c>
      <c r="L77" s="1">
        <v>9.1199999999999992</v>
      </c>
      <c r="M77" s="1">
        <v>6.7</v>
      </c>
      <c r="N77" s="1">
        <f t="shared" si="16"/>
        <v>2.419999999999999</v>
      </c>
      <c r="O77" s="1" t="s">
        <v>379</v>
      </c>
    </row>
    <row r="78" spans="1:15" x14ac:dyDescent="0.25">
      <c r="A78" s="28">
        <v>45972</v>
      </c>
      <c r="B78" s="1" t="s">
        <v>294</v>
      </c>
      <c r="C78" s="1"/>
      <c r="D78" s="28">
        <f t="shared" si="9"/>
        <v>45995</v>
      </c>
      <c r="E78" s="28">
        <f t="shared" si="10"/>
        <v>45979</v>
      </c>
      <c r="F78" s="28">
        <f t="shared" si="11"/>
        <v>45986</v>
      </c>
      <c r="G78" s="28">
        <f t="shared" si="12"/>
        <v>45992</v>
      </c>
      <c r="H78" s="28">
        <f t="shared" si="13"/>
        <v>45980</v>
      </c>
      <c r="I78" s="28">
        <f t="shared" si="14"/>
        <v>45987</v>
      </c>
      <c r="J78" s="28">
        <v>46000</v>
      </c>
      <c r="K78" s="29">
        <f t="shared" si="15"/>
        <v>28</v>
      </c>
      <c r="L78" s="1">
        <v>5.32</v>
      </c>
      <c r="M78" s="1">
        <v>4.12</v>
      </c>
      <c r="N78" s="1">
        <f t="shared" si="16"/>
        <v>1.2000000000000002</v>
      </c>
      <c r="O78" s="1" t="s">
        <v>379</v>
      </c>
    </row>
    <row r="79" spans="1:15" x14ac:dyDescent="0.25">
      <c r="A79" s="28">
        <v>45972</v>
      </c>
      <c r="B79" s="1" t="s">
        <v>295</v>
      </c>
      <c r="C79" s="1"/>
      <c r="D79" s="28">
        <f t="shared" si="9"/>
        <v>45995</v>
      </c>
      <c r="E79" s="28">
        <f t="shared" si="10"/>
        <v>45979</v>
      </c>
      <c r="F79" s="28">
        <f t="shared" si="11"/>
        <v>45986</v>
      </c>
      <c r="G79" s="28">
        <f t="shared" si="12"/>
        <v>45992</v>
      </c>
      <c r="H79" s="28">
        <f t="shared" si="13"/>
        <v>45980</v>
      </c>
      <c r="I79" s="28">
        <f t="shared" si="14"/>
        <v>45987</v>
      </c>
      <c r="J79" s="28">
        <v>46000</v>
      </c>
      <c r="K79" s="29">
        <f t="shared" si="15"/>
        <v>28</v>
      </c>
      <c r="L79" s="1">
        <v>8.58</v>
      </c>
      <c r="M79" s="1">
        <v>6.29</v>
      </c>
      <c r="N79" s="1">
        <f t="shared" si="16"/>
        <v>2.29</v>
      </c>
      <c r="O79" s="1" t="s">
        <v>379</v>
      </c>
    </row>
    <row r="80" spans="1:15" x14ac:dyDescent="0.25">
      <c r="A80" s="28">
        <v>45973</v>
      </c>
      <c r="B80" s="1" t="s">
        <v>296</v>
      </c>
      <c r="C80" s="1"/>
      <c r="D80" s="28">
        <f t="shared" si="9"/>
        <v>45996</v>
      </c>
      <c r="E80" s="28">
        <f t="shared" si="10"/>
        <v>45980</v>
      </c>
      <c r="F80" s="28">
        <f t="shared" si="11"/>
        <v>45987</v>
      </c>
      <c r="G80" s="28">
        <f t="shared" si="12"/>
        <v>45993</v>
      </c>
      <c r="H80" s="28">
        <f t="shared" si="13"/>
        <v>45981</v>
      </c>
      <c r="I80" s="28">
        <f t="shared" si="14"/>
        <v>45988</v>
      </c>
      <c r="J80" s="28">
        <v>46000</v>
      </c>
      <c r="K80" s="29">
        <f t="shared" si="15"/>
        <v>27</v>
      </c>
      <c r="L80" s="1">
        <v>9.23</v>
      </c>
      <c r="M80" s="1">
        <v>5.23</v>
      </c>
      <c r="N80" s="1">
        <f t="shared" si="16"/>
        <v>4</v>
      </c>
      <c r="O80" s="1" t="s">
        <v>379</v>
      </c>
    </row>
    <row r="81" spans="1:15" x14ac:dyDescent="0.25">
      <c r="A81" s="28">
        <v>45973</v>
      </c>
      <c r="B81" s="1" t="s">
        <v>297</v>
      </c>
      <c r="C81" s="1"/>
      <c r="D81" s="28">
        <f t="shared" si="9"/>
        <v>45996</v>
      </c>
      <c r="E81" s="28">
        <f t="shared" si="10"/>
        <v>45980</v>
      </c>
      <c r="F81" s="28">
        <f t="shared" si="11"/>
        <v>45987</v>
      </c>
      <c r="G81" s="28">
        <f t="shared" si="12"/>
        <v>45993</v>
      </c>
      <c r="H81" s="28">
        <f t="shared" si="13"/>
        <v>45981</v>
      </c>
      <c r="I81" s="28">
        <f t="shared" si="14"/>
        <v>45988</v>
      </c>
      <c r="J81" s="28">
        <v>46001</v>
      </c>
      <c r="K81" s="29">
        <f t="shared" si="15"/>
        <v>28</v>
      </c>
      <c r="L81" s="1">
        <v>12.21</v>
      </c>
      <c r="M81" s="1">
        <v>6.01</v>
      </c>
      <c r="N81" s="1">
        <f t="shared" si="16"/>
        <v>6.2000000000000011</v>
      </c>
      <c r="O81" s="1" t="s">
        <v>378</v>
      </c>
    </row>
    <row r="82" spans="1:15" x14ac:dyDescent="0.25">
      <c r="A82" s="28">
        <v>45973</v>
      </c>
      <c r="B82" s="1" t="s">
        <v>298</v>
      </c>
      <c r="C82" s="1"/>
      <c r="D82" s="28">
        <f t="shared" si="9"/>
        <v>45996</v>
      </c>
      <c r="E82" s="28">
        <f t="shared" si="10"/>
        <v>45980</v>
      </c>
      <c r="F82" s="28">
        <f t="shared" si="11"/>
        <v>45987</v>
      </c>
      <c r="G82" s="28">
        <f t="shared" si="12"/>
        <v>45993</v>
      </c>
      <c r="H82" s="28">
        <f t="shared" si="13"/>
        <v>45981</v>
      </c>
      <c r="I82" s="28">
        <f t="shared" si="14"/>
        <v>45988</v>
      </c>
      <c r="J82" s="28">
        <v>46001</v>
      </c>
      <c r="K82" s="29">
        <f t="shared" si="15"/>
        <v>28</v>
      </c>
      <c r="L82" s="1">
        <v>12.57</v>
      </c>
      <c r="M82" s="1">
        <v>6.24</v>
      </c>
      <c r="N82" s="1">
        <f t="shared" si="16"/>
        <v>6.33</v>
      </c>
      <c r="O82" s="1" t="s">
        <v>378</v>
      </c>
    </row>
    <row r="83" spans="1:15" x14ac:dyDescent="0.25">
      <c r="A83" s="28">
        <v>45973</v>
      </c>
      <c r="B83" s="1" t="s">
        <v>299</v>
      </c>
      <c r="C83" s="1"/>
      <c r="D83" s="28">
        <f t="shared" si="9"/>
        <v>45996</v>
      </c>
      <c r="E83" s="28">
        <f t="shared" si="10"/>
        <v>45980</v>
      </c>
      <c r="F83" s="28">
        <f t="shared" si="11"/>
        <v>45987</v>
      </c>
      <c r="G83" s="28">
        <f t="shared" si="12"/>
        <v>45993</v>
      </c>
      <c r="H83" s="28">
        <f t="shared" si="13"/>
        <v>45981</v>
      </c>
      <c r="I83" s="28">
        <f t="shared" si="14"/>
        <v>45988</v>
      </c>
      <c r="J83" s="28">
        <v>46001</v>
      </c>
      <c r="K83" s="29">
        <f t="shared" si="15"/>
        <v>28</v>
      </c>
      <c r="L83" s="1">
        <v>11.12</v>
      </c>
      <c r="M83" s="1">
        <v>5.17</v>
      </c>
      <c r="N83" s="1">
        <f t="shared" si="16"/>
        <v>5.9499999999999993</v>
      </c>
      <c r="O83" s="1" t="s">
        <v>378</v>
      </c>
    </row>
    <row r="84" spans="1:15" x14ac:dyDescent="0.25">
      <c r="A84" s="28">
        <v>45973</v>
      </c>
      <c r="B84" s="1" t="s">
        <v>300</v>
      </c>
      <c r="C84" s="1"/>
      <c r="D84" s="28">
        <f t="shared" si="9"/>
        <v>45996</v>
      </c>
      <c r="E84" s="28">
        <f t="shared" si="10"/>
        <v>45980</v>
      </c>
      <c r="F84" s="28">
        <f t="shared" si="11"/>
        <v>45987</v>
      </c>
      <c r="G84" s="28">
        <f t="shared" si="12"/>
        <v>45993</v>
      </c>
      <c r="H84" s="28">
        <f t="shared" si="13"/>
        <v>45981</v>
      </c>
      <c r="I84" s="28">
        <f t="shared" si="14"/>
        <v>45988</v>
      </c>
      <c r="J84" s="28">
        <v>46001</v>
      </c>
      <c r="K84" s="29">
        <f t="shared" si="15"/>
        <v>28</v>
      </c>
      <c r="L84" s="1">
        <v>11.63</v>
      </c>
      <c r="M84" s="1">
        <v>10.210000000000001</v>
      </c>
      <c r="N84" s="1">
        <f t="shared" si="16"/>
        <v>1.42</v>
      </c>
      <c r="O84" s="1" t="s">
        <v>379</v>
      </c>
    </row>
    <row r="85" spans="1:15" x14ac:dyDescent="0.25">
      <c r="A85" s="28">
        <v>45973</v>
      </c>
      <c r="B85" s="1" t="s">
        <v>301</v>
      </c>
      <c r="C85" s="1"/>
      <c r="D85" s="28">
        <f t="shared" si="9"/>
        <v>45996</v>
      </c>
      <c r="E85" s="28">
        <f t="shared" si="10"/>
        <v>45980</v>
      </c>
      <c r="F85" s="28">
        <f t="shared" si="11"/>
        <v>45987</v>
      </c>
      <c r="G85" s="28">
        <f t="shared" si="12"/>
        <v>45993</v>
      </c>
      <c r="H85" s="28">
        <f t="shared" si="13"/>
        <v>45981</v>
      </c>
      <c r="I85" s="28">
        <f t="shared" si="14"/>
        <v>45988</v>
      </c>
      <c r="J85" s="28">
        <v>46001</v>
      </c>
      <c r="K85" s="29">
        <f t="shared" si="15"/>
        <v>28</v>
      </c>
      <c r="L85" s="1">
        <v>10.71</v>
      </c>
      <c r="M85" s="1">
        <v>9.89</v>
      </c>
      <c r="N85" s="1">
        <f t="shared" si="16"/>
        <v>0.82000000000000028</v>
      </c>
      <c r="O85" s="1" t="s">
        <v>379</v>
      </c>
    </row>
    <row r="86" spans="1:15" x14ac:dyDescent="0.25">
      <c r="A86" s="28">
        <v>45973</v>
      </c>
      <c r="B86" s="1" t="s">
        <v>302</v>
      </c>
      <c r="C86" s="1"/>
      <c r="D86" s="28">
        <f t="shared" si="9"/>
        <v>45996</v>
      </c>
      <c r="E86" s="28">
        <f t="shared" si="10"/>
        <v>45980</v>
      </c>
      <c r="F86" s="28">
        <f t="shared" si="11"/>
        <v>45987</v>
      </c>
      <c r="G86" s="28">
        <f t="shared" si="12"/>
        <v>45993</v>
      </c>
      <c r="H86" s="28">
        <f t="shared" si="13"/>
        <v>45981</v>
      </c>
      <c r="I86" s="28">
        <f t="shared" si="14"/>
        <v>45988</v>
      </c>
      <c r="J86" s="28">
        <v>46001</v>
      </c>
      <c r="K86" s="29">
        <f t="shared" si="15"/>
        <v>28</v>
      </c>
      <c r="L86" s="1">
        <v>10.66</v>
      </c>
      <c r="M86" s="1">
        <v>9.27</v>
      </c>
      <c r="N86" s="1">
        <f t="shared" si="16"/>
        <v>1.3900000000000006</v>
      </c>
      <c r="O86" s="1" t="s">
        <v>379</v>
      </c>
    </row>
    <row r="87" spans="1:15" x14ac:dyDescent="0.25">
      <c r="A87" s="28">
        <v>45974</v>
      </c>
      <c r="B87" s="1" t="s">
        <v>344</v>
      </c>
      <c r="C87" s="1"/>
      <c r="D87" s="28">
        <f t="shared" si="9"/>
        <v>45997</v>
      </c>
      <c r="E87" s="28">
        <f t="shared" si="10"/>
        <v>45981</v>
      </c>
      <c r="F87" s="28">
        <f t="shared" si="11"/>
        <v>45988</v>
      </c>
      <c r="G87" s="28">
        <f t="shared" si="12"/>
        <v>45994</v>
      </c>
      <c r="H87" s="28">
        <f t="shared" si="13"/>
        <v>45982</v>
      </c>
      <c r="I87" s="28">
        <f t="shared" si="14"/>
        <v>45989</v>
      </c>
      <c r="J87" s="28">
        <v>46001</v>
      </c>
      <c r="K87" s="29">
        <f t="shared" si="15"/>
        <v>27</v>
      </c>
      <c r="L87" s="1">
        <v>15.82</v>
      </c>
      <c r="M87" s="1">
        <v>14.25</v>
      </c>
      <c r="N87" s="1">
        <f t="shared" si="16"/>
        <v>1.5700000000000003</v>
      </c>
      <c r="O87" s="1" t="s">
        <v>379</v>
      </c>
    </row>
    <row r="88" spans="1:15" x14ac:dyDescent="0.25">
      <c r="A88" s="28">
        <v>45974</v>
      </c>
      <c r="B88" s="1" t="s">
        <v>345</v>
      </c>
      <c r="C88" s="1"/>
      <c r="D88" s="28">
        <f t="shared" si="9"/>
        <v>45997</v>
      </c>
      <c r="E88" s="28">
        <f t="shared" si="10"/>
        <v>45981</v>
      </c>
      <c r="F88" s="28">
        <f t="shared" si="11"/>
        <v>45988</v>
      </c>
      <c r="G88" s="28">
        <f t="shared" si="12"/>
        <v>45994</v>
      </c>
      <c r="H88" s="28">
        <f t="shared" si="13"/>
        <v>45982</v>
      </c>
      <c r="I88" s="28">
        <f t="shared" si="14"/>
        <v>45989</v>
      </c>
      <c r="J88" s="28">
        <v>46001</v>
      </c>
      <c r="K88" s="29">
        <f t="shared" si="15"/>
        <v>27</v>
      </c>
      <c r="L88" s="1">
        <v>16.89</v>
      </c>
      <c r="M88" s="1">
        <v>15.28</v>
      </c>
      <c r="N88" s="1">
        <f t="shared" si="16"/>
        <v>1.6100000000000012</v>
      </c>
      <c r="O88" s="1" t="s">
        <v>379</v>
      </c>
    </row>
    <row r="89" spans="1:15" x14ac:dyDescent="0.25">
      <c r="A89" s="28">
        <v>45974</v>
      </c>
      <c r="B89" s="1" t="s">
        <v>339</v>
      </c>
      <c r="C89" s="1"/>
      <c r="D89" s="28">
        <f t="shared" si="9"/>
        <v>45997</v>
      </c>
      <c r="E89" s="28">
        <f t="shared" si="10"/>
        <v>45981</v>
      </c>
      <c r="F89" s="28">
        <f t="shared" si="11"/>
        <v>45988</v>
      </c>
      <c r="G89" s="28">
        <f t="shared" si="12"/>
        <v>45994</v>
      </c>
      <c r="H89" s="28">
        <f t="shared" si="13"/>
        <v>45982</v>
      </c>
      <c r="I89" s="28">
        <f t="shared" si="14"/>
        <v>45989</v>
      </c>
      <c r="J89" s="28">
        <v>46002</v>
      </c>
      <c r="K89" s="29">
        <f t="shared" si="15"/>
        <v>28</v>
      </c>
      <c r="L89" s="1">
        <v>13.73</v>
      </c>
      <c r="M89" s="1">
        <v>12.51</v>
      </c>
      <c r="N89" s="1">
        <f t="shared" si="16"/>
        <v>1.2200000000000006</v>
      </c>
      <c r="O89" s="1" t="s">
        <v>379</v>
      </c>
    </row>
    <row r="90" spans="1:15" x14ac:dyDescent="0.25">
      <c r="A90" s="28">
        <v>45974</v>
      </c>
      <c r="B90" s="1" t="s">
        <v>340</v>
      </c>
      <c r="C90" s="1"/>
      <c r="D90" s="28">
        <f t="shared" si="9"/>
        <v>45997</v>
      </c>
      <c r="E90" s="28">
        <f t="shared" si="10"/>
        <v>45981</v>
      </c>
      <c r="F90" s="28">
        <f t="shared" si="11"/>
        <v>45988</v>
      </c>
      <c r="G90" s="28">
        <f t="shared" si="12"/>
        <v>45994</v>
      </c>
      <c r="H90" s="28">
        <f t="shared" si="13"/>
        <v>45982</v>
      </c>
      <c r="I90" s="28">
        <f t="shared" si="14"/>
        <v>45989</v>
      </c>
      <c r="J90" s="28">
        <v>46002</v>
      </c>
      <c r="K90" s="29">
        <f t="shared" si="15"/>
        <v>28</v>
      </c>
      <c r="L90" s="1">
        <v>14.51</v>
      </c>
      <c r="M90" s="1">
        <v>7.39</v>
      </c>
      <c r="N90" s="1">
        <f t="shared" si="16"/>
        <v>7.12</v>
      </c>
      <c r="O90" s="1" t="s">
        <v>378</v>
      </c>
    </row>
    <row r="91" spans="1:15" x14ac:dyDescent="0.25">
      <c r="A91" s="28">
        <v>45974</v>
      </c>
      <c r="B91" s="1" t="s">
        <v>341</v>
      </c>
      <c r="C91" s="1"/>
      <c r="D91" s="28">
        <f t="shared" si="9"/>
        <v>45997</v>
      </c>
      <c r="E91" s="28">
        <f t="shared" si="10"/>
        <v>45981</v>
      </c>
      <c r="F91" s="28">
        <f t="shared" si="11"/>
        <v>45988</v>
      </c>
      <c r="G91" s="28">
        <f t="shared" si="12"/>
        <v>45994</v>
      </c>
      <c r="H91" s="28">
        <f t="shared" si="13"/>
        <v>45982</v>
      </c>
      <c r="I91" s="28">
        <f t="shared" si="14"/>
        <v>45989</v>
      </c>
      <c r="J91" s="28">
        <v>46002</v>
      </c>
      <c r="K91" s="29">
        <f t="shared" si="15"/>
        <v>28</v>
      </c>
      <c r="L91" s="1">
        <v>14.39</v>
      </c>
      <c r="M91" s="1">
        <v>7.21</v>
      </c>
      <c r="N91" s="1">
        <f t="shared" si="16"/>
        <v>7.1800000000000006</v>
      </c>
      <c r="O91" s="1" t="s">
        <v>378</v>
      </c>
    </row>
    <row r="92" spans="1:15" x14ac:dyDescent="0.25">
      <c r="A92" s="28">
        <v>45974</v>
      </c>
      <c r="B92" s="1" t="s">
        <v>342</v>
      </c>
      <c r="C92" s="1"/>
      <c r="D92" s="28">
        <f t="shared" si="9"/>
        <v>45997</v>
      </c>
      <c r="E92" s="28">
        <f t="shared" si="10"/>
        <v>45981</v>
      </c>
      <c r="F92" s="28">
        <f t="shared" si="11"/>
        <v>45988</v>
      </c>
      <c r="G92" s="28">
        <f t="shared" si="12"/>
        <v>45994</v>
      </c>
      <c r="H92" s="28">
        <f t="shared" si="13"/>
        <v>45982</v>
      </c>
      <c r="I92" s="28">
        <f t="shared" si="14"/>
        <v>45989</v>
      </c>
      <c r="J92" s="28">
        <v>46002</v>
      </c>
      <c r="K92" s="29">
        <f t="shared" si="15"/>
        <v>28</v>
      </c>
      <c r="L92" s="1">
        <v>11.19</v>
      </c>
      <c r="M92" s="1">
        <v>5.15</v>
      </c>
      <c r="N92" s="1">
        <f t="shared" si="16"/>
        <v>6.0399999999999991</v>
      </c>
      <c r="O92" s="1" t="s">
        <v>378</v>
      </c>
    </row>
    <row r="93" spans="1:15" x14ac:dyDescent="0.25">
      <c r="A93" s="28">
        <v>45974</v>
      </c>
      <c r="B93" s="1" t="s">
        <v>343</v>
      </c>
      <c r="C93" s="1"/>
      <c r="D93" s="28">
        <f t="shared" si="9"/>
        <v>45997</v>
      </c>
      <c r="E93" s="28">
        <f t="shared" si="10"/>
        <v>45981</v>
      </c>
      <c r="F93" s="28">
        <f t="shared" si="11"/>
        <v>45988</v>
      </c>
      <c r="G93" s="28">
        <f t="shared" si="12"/>
        <v>45994</v>
      </c>
      <c r="H93" s="28">
        <f t="shared" si="13"/>
        <v>45982</v>
      </c>
      <c r="I93" s="28">
        <f t="shared" si="14"/>
        <v>45989</v>
      </c>
      <c r="J93" s="28">
        <v>46002</v>
      </c>
      <c r="K93" s="29">
        <f t="shared" si="15"/>
        <v>28</v>
      </c>
      <c r="L93" s="1">
        <v>12.47</v>
      </c>
      <c r="M93" s="1">
        <v>6.28</v>
      </c>
      <c r="N93" s="1">
        <f t="shared" si="16"/>
        <v>6.19</v>
      </c>
      <c r="O93" s="1" t="s">
        <v>378</v>
      </c>
    </row>
    <row r="94" spans="1:15" x14ac:dyDescent="0.25">
      <c r="A94" s="28">
        <v>45975</v>
      </c>
      <c r="B94" s="1" t="s">
        <v>336</v>
      </c>
      <c r="C94" s="1"/>
      <c r="D94" s="28">
        <f t="shared" si="9"/>
        <v>45998</v>
      </c>
      <c r="E94" s="28">
        <f t="shared" si="10"/>
        <v>45982</v>
      </c>
      <c r="F94" s="28">
        <f t="shared" si="11"/>
        <v>45989</v>
      </c>
      <c r="G94" s="28">
        <f t="shared" si="12"/>
        <v>45995</v>
      </c>
      <c r="H94" s="28">
        <f t="shared" si="13"/>
        <v>45983</v>
      </c>
      <c r="I94" s="28">
        <f t="shared" si="14"/>
        <v>45990</v>
      </c>
      <c r="J94" s="28">
        <v>46002</v>
      </c>
      <c r="K94" s="29">
        <f t="shared" si="15"/>
        <v>27</v>
      </c>
      <c r="L94" s="1">
        <v>13.66</v>
      </c>
      <c r="M94" s="1">
        <v>12.73</v>
      </c>
      <c r="N94" s="1">
        <f t="shared" si="16"/>
        <v>0.92999999999999972</v>
      </c>
      <c r="O94" s="1" t="s">
        <v>379</v>
      </c>
    </row>
    <row r="95" spans="1:15" x14ac:dyDescent="0.25">
      <c r="A95" s="28">
        <v>45975</v>
      </c>
      <c r="B95" s="1" t="s">
        <v>337</v>
      </c>
      <c r="C95" s="1"/>
      <c r="D95" s="28">
        <f t="shared" si="9"/>
        <v>45998</v>
      </c>
      <c r="E95" s="28">
        <f t="shared" si="10"/>
        <v>45982</v>
      </c>
      <c r="F95" s="28">
        <f t="shared" si="11"/>
        <v>45989</v>
      </c>
      <c r="G95" s="28">
        <f t="shared" si="12"/>
        <v>45995</v>
      </c>
      <c r="H95" s="28">
        <f t="shared" si="13"/>
        <v>45983</v>
      </c>
      <c r="I95" s="28">
        <f t="shared" si="14"/>
        <v>45990</v>
      </c>
      <c r="J95" s="28">
        <v>46002</v>
      </c>
      <c r="K95" s="29">
        <f t="shared" si="15"/>
        <v>27</v>
      </c>
      <c r="L95" s="1">
        <v>15.17</v>
      </c>
      <c r="M95" s="1">
        <v>14.58</v>
      </c>
      <c r="N95" s="1">
        <f t="shared" si="16"/>
        <v>0.58999999999999986</v>
      </c>
      <c r="O95" s="1" t="s">
        <v>379</v>
      </c>
    </row>
    <row r="96" spans="1:15" x14ac:dyDescent="0.25">
      <c r="A96" s="28">
        <v>45975</v>
      </c>
      <c r="B96" s="1" t="s">
        <v>338</v>
      </c>
      <c r="C96" s="1"/>
      <c r="D96" s="28">
        <f t="shared" si="9"/>
        <v>45998</v>
      </c>
      <c r="E96" s="28">
        <f t="shared" si="10"/>
        <v>45982</v>
      </c>
      <c r="F96" s="28">
        <f t="shared" si="11"/>
        <v>45989</v>
      </c>
      <c r="G96" s="28">
        <f t="shared" si="12"/>
        <v>45995</v>
      </c>
      <c r="H96" s="28">
        <f t="shared" si="13"/>
        <v>45983</v>
      </c>
      <c r="I96" s="28">
        <f t="shared" si="14"/>
        <v>45990</v>
      </c>
      <c r="J96" s="28">
        <v>46002</v>
      </c>
      <c r="K96" s="29">
        <f t="shared" si="15"/>
        <v>27</v>
      </c>
      <c r="L96" s="1">
        <v>14.25</v>
      </c>
      <c r="M96" s="1">
        <v>13.1</v>
      </c>
      <c r="N96" s="1">
        <f t="shared" si="16"/>
        <v>1.1500000000000004</v>
      </c>
      <c r="O96" s="1" t="s">
        <v>379</v>
      </c>
    </row>
    <row r="97" spans="1:15" x14ac:dyDescent="0.25">
      <c r="A97" s="28">
        <v>45975</v>
      </c>
      <c r="B97" s="1" t="s">
        <v>332</v>
      </c>
      <c r="C97" s="1"/>
      <c r="D97" s="28">
        <f t="shared" si="9"/>
        <v>45998</v>
      </c>
      <c r="E97" s="28">
        <f t="shared" si="10"/>
        <v>45982</v>
      </c>
      <c r="F97" s="28">
        <f t="shared" si="11"/>
        <v>45989</v>
      </c>
      <c r="G97" s="28">
        <f t="shared" si="12"/>
        <v>45995</v>
      </c>
      <c r="H97" s="28">
        <f t="shared" si="13"/>
        <v>45983</v>
      </c>
      <c r="I97" s="28">
        <f t="shared" si="14"/>
        <v>45990</v>
      </c>
      <c r="J97" s="28">
        <v>46003</v>
      </c>
      <c r="K97" s="29">
        <f t="shared" si="15"/>
        <v>28</v>
      </c>
      <c r="L97" s="1">
        <v>10.98</v>
      </c>
      <c r="M97" s="1">
        <v>4.1100000000000003</v>
      </c>
      <c r="N97" s="1">
        <f t="shared" si="16"/>
        <v>6.87</v>
      </c>
      <c r="O97" s="1" t="s">
        <v>378</v>
      </c>
    </row>
    <row r="98" spans="1:15" x14ac:dyDescent="0.25">
      <c r="A98" s="28">
        <v>45975</v>
      </c>
      <c r="B98" s="1" t="s">
        <v>333</v>
      </c>
      <c r="C98" s="1"/>
      <c r="D98" s="28">
        <f t="shared" si="9"/>
        <v>45998</v>
      </c>
      <c r="E98" s="28">
        <f t="shared" si="10"/>
        <v>45982</v>
      </c>
      <c r="F98" s="28">
        <f t="shared" si="11"/>
        <v>45989</v>
      </c>
      <c r="G98" s="28">
        <f t="shared" si="12"/>
        <v>45995</v>
      </c>
      <c r="H98" s="28">
        <f t="shared" si="13"/>
        <v>45983</v>
      </c>
      <c r="I98" s="28">
        <f t="shared" si="14"/>
        <v>45990</v>
      </c>
      <c r="J98" s="28">
        <v>46003</v>
      </c>
      <c r="K98" s="29">
        <f t="shared" si="15"/>
        <v>28</v>
      </c>
      <c r="L98" s="1">
        <v>11.61</v>
      </c>
      <c r="M98" s="1">
        <v>5.21</v>
      </c>
      <c r="N98" s="1">
        <f t="shared" si="16"/>
        <v>6.3999999999999995</v>
      </c>
      <c r="O98" s="1" t="s">
        <v>378</v>
      </c>
    </row>
    <row r="99" spans="1:15" x14ac:dyDescent="0.25">
      <c r="A99" s="28">
        <v>45975</v>
      </c>
      <c r="B99" s="1" t="s">
        <v>334</v>
      </c>
      <c r="C99" s="1"/>
      <c r="D99" s="28">
        <f t="shared" si="9"/>
        <v>45998</v>
      </c>
      <c r="E99" s="28">
        <f t="shared" si="10"/>
        <v>45982</v>
      </c>
      <c r="F99" s="28">
        <f t="shared" si="11"/>
        <v>45989</v>
      </c>
      <c r="G99" s="28">
        <f t="shared" si="12"/>
        <v>45995</v>
      </c>
      <c r="H99" s="28">
        <f t="shared" si="13"/>
        <v>45983</v>
      </c>
      <c r="I99" s="28">
        <f t="shared" si="14"/>
        <v>45990</v>
      </c>
      <c r="J99" s="28">
        <v>46003</v>
      </c>
      <c r="K99" s="29">
        <f t="shared" ref="K99:K162" si="17">J99-A99</f>
        <v>28</v>
      </c>
      <c r="L99" s="1">
        <v>10.43</v>
      </c>
      <c r="M99" s="1">
        <v>4.6399999999999997</v>
      </c>
      <c r="N99" s="1">
        <f t="shared" si="16"/>
        <v>5.79</v>
      </c>
      <c r="O99" s="1" t="s">
        <v>378</v>
      </c>
    </row>
    <row r="100" spans="1:15" x14ac:dyDescent="0.25">
      <c r="A100" s="28">
        <v>45975</v>
      </c>
      <c r="B100" s="1" t="s">
        <v>335</v>
      </c>
      <c r="C100" s="1"/>
      <c r="D100" s="28">
        <f t="shared" si="9"/>
        <v>45998</v>
      </c>
      <c r="E100" s="28">
        <f t="shared" si="10"/>
        <v>45982</v>
      </c>
      <c r="F100" s="28">
        <f t="shared" si="11"/>
        <v>45989</v>
      </c>
      <c r="G100" s="28">
        <f t="shared" si="12"/>
        <v>45995</v>
      </c>
      <c r="H100" s="28">
        <f t="shared" si="13"/>
        <v>45983</v>
      </c>
      <c r="I100" s="28">
        <f t="shared" si="14"/>
        <v>45990</v>
      </c>
      <c r="J100" s="28">
        <v>46003</v>
      </c>
      <c r="K100" s="29">
        <f t="shared" si="17"/>
        <v>28</v>
      </c>
      <c r="L100" s="1">
        <v>11.82</v>
      </c>
      <c r="M100" s="1">
        <v>5.71</v>
      </c>
      <c r="N100" s="1">
        <f t="shared" si="16"/>
        <v>6.11</v>
      </c>
      <c r="O100" s="1" t="s">
        <v>378</v>
      </c>
    </row>
    <row r="101" spans="1:15" x14ac:dyDescent="0.25">
      <c r="A101" s="28">
        <v>45976</v>
      </c>
      <c r="B101" s="1" t="s">
        <v>324</v>
      </c>
      <c r="C101" s="1"/>
      <c r="D101" s="28">
        <f t="shared" si="9"/>
        <v>45999</v>
      </c>
      <c r="E101" s="28">
        <f t="shared" si="10"/>
        <v>45983</v>
      </c>
      <c r="F101" s="28">
        <f t="shared" si="11"/>
        <v>45990</v>
      </c>
      <c r="G101" s="28">
        <f t="shared" si="12"/>
        <v>45996</v>
      </c>
      <c r="H101" s="28">
        <f t="shared" si="13"/>
        <v>45984</v>
      </c>
      <c r="I101" s="28">
        <f t="shared" si="14"/>
        <v>45991</v>
      </c>
      <c r="J101" s="28">
        <v>46003</v>
      </c>
      <c r="K101" s="29">
        <f t="shared" si="17"/>
        <v>27</v>
      </c>
      <c r="L101" s="1">
        <v>9.76</v>
      </c>
      <c r="M101" s="1">
        <v>8.6199999999999992</v>
      </c>
      <c r="N101" s="1">
        <f t="shared" si="16"/>
        <v>1.1400000000000006</v>
      </c>
      <c r="O101" s="1" t="s">
        <v>379</v>
      </c>
    </row>
    <row r="102" spans="1:15" x14ac:dyDescent="0.25">
      <c r="A102" s="28">
        <v>45976</v>
      </c>
      <c r="B102" s="1" t="s">
        <v>325</v>
      </c>
      <c r="C102" s="1"/>
      <c r="D102" s="28">
        <f t="shared" si="9"/>
        <v>45999</v>
      </c>
      <c r="E102" s="28">
        <f t="shared" si="10"/>
        <v>45983</v>
      </c>
      <c r="F102" s="28">
        <f t="shared" si="11"/>
        <v>45990</v>
      </c>
      <c r="G102" s="28">
        <f t="shared" si="12"/>
        <v>45996</v>
      </c>
      <c r="H102" s="28">
        <f t="shared" si="13"/>
        <v>45984</v>
      </c>
      <c r="I102" s="28">
        <f t="shared" si="14"/>
        <v>45991</v>
      </c>
      <c r="J102" s="28">
        <v>46003</v>
      </c>
      <c r="K102" s="29">
        <f t="shared" si="17"/>
        <v>27</v>
      </c>
      <c r="L102" s="1">
        <v>9.81</v>
      </c>
      <c r="M102" s="1">
        <v>8.76</v>
      </c>
      <c r="N102" s="1">
        <f t="shared" si="16"/>
        <v>1.0500000000000007</v>
      </c>
      <c r="O102" s="1" t="s">
        <v>379</v>
      </c>
    </row>
    <row r="103" spans="1:15" x14ac:dyDescent="0.25">
      <c r="A103" s="28">
        <v>45976</v>
      </c>
      <c r="B103" s="1" t="s">
        <v>326</v>
      </c>
      <c r="C103" s="1"/>
      <c r="D103" s="28">
        <f t="shared" si="9"/>
        <v>45999</v>
      </c>
      <c r="E103" s="28">
        <f t="shared" si="10"/>
        <v>45983</v>
      </c>
      <c r="F103" s="28">
        <f t="shared" si="11"/>
        <v>45990</v>
      </c>
      <c r="G103" s="28">
        <f t="shared" si="12"/>
        <v>45996</v>
      </c>
      <c r="H103" s="28">
        <f t="shared" si="13"/>
        <v>45984</v>
      </c>
      <c r="I103" s="28">
        <f t="shared" si="14"/>
        <v>45991</v>
      </c>
      <c r="J103" s="28">
        <v>46003</v>
      </c>
      <c r="K103" s="29">
        <f t="shared" si="17"/>
        <v>27</v>
      </c>
      <c r="L103" s="1">
        <v>13.25</v>
      </c>
      <c r="M103" s="1">
        <v>12.15</v>
      </c>
      <c r="N103" s="1">
        <f t="shared" si="16"/>
        <v>1.0999999999999996</v>
      </c>
      <c r="O103" s="1" t="s">
        <v>379</v>
      </c>
    </row>
    <row r="104" spans="1:15" x14ac:dyDescent="0.25">
      <c r="A104" s="28">
        <v>45976</v>
      </c>
      <c r="B104" s="1" t="s">
        <v>327</v>
      </c>
      <c r="C104" s="1"/>
      <c r="D104" s="28">
        <f t="shared" si="9"/>
        <v>45999</v>
      </c>
      <c r="E104" s="28">
        <f t="shared" si="10"/>
        <v>45983</v>
      </c>
      <c r="F104" s="28">
        <f t="shared" si="11"/>
        <v>45990</v>
      </c>
      <c r="G104" s="28">
        <f t="shared" si="12"/>
        <v>45996</v>
      </c>
      <c r="H104" s="28">
        <f t="shared" si="13"/>
        <v>45984</v>
      </c>
      <c r="I104" s="28">
        <f t="shared" si="14"/>
        <v>45991</v>
      </c>
      <c r="J104" s="28">
        <v>46003</v>
      </c>
      <c r="K104" s="29">
        <f t="shared" si="17"/>
        <v>27</v>
      </c>
      <c r="L104" s="1">
        <v>13.53</v>
      </c>
      <c r="M104" s="1">
        <v>12.37</v>
      </c>
      <c r="N104" s="1">
        <f t="shared" si="16"/>
        <v>1.1600000000000001</v>
      </c>
      <c r="O104" s="1" t="s">
        <v>379</v>
      </c>
    </row>
    <row r="105" spans="1:15" x14ac:dyDescent="0.25">
      <c r="A105" s="28">
        <v>45976</v>
      </c>
      <c r="B105" s="1" t="s">
        <v>328</v>
      </c>
      <c r="C105" s="1"/>
      <c r="D105" s="28">
        <f t="shared" si="9"/>
        <v>45999</v>
      </c>
      <c r="E105" s="28">
        <f t="shared" si="10"/>
        <v>45983</v>
      </c>
      <c r="F105" s="28">
        <f t="shared" si="11"/>
        <v>45990</v>
      </c>
      <c r="G105" s="28">
        <f t="shared" si="12"/>
        <v>45996</v>
      </c>
      <c r="H105" s="28">
        <f t="shared" si="13"/>
        <v>45984</v>
      </c>
      <c r="I105" s="28">
        <f t="shared" si="14"/>
        <v>45991</v>
      </c>
      <c r="J105" s="28">
        <v>46003</v>
      </c>
      <c r="K105" s="29">
        <f t="shared" si="17"/>
        <v>27</v>
      </c>
      <c r="L105" s="1">
        <v>12.49</v>
      </c>
      <c r="M105" s="1">
        <v>11.21</v>
      </c>
      <c r="N105" s="1">
        <f t="shared" si="16"/>
        <v>1.2799999999999994</v>
      </c>
      <c r="O105" s="1" t="s">
        <v>379</v>
      </c>
    </row>
    <row r="106" spans="1:15" x14ac:dyDescent="0.25">
      <c r="A106" s="28">
        <v>45976</v>
      </c>
      <c r="B106" s="1" t="s">
        <v>329</v>
      </c>
      <c r="C106" s="1"/>
      <c r="D106" s="28">
        <f t="shared" si="9"/>
        <v>45999</v>
      </c>
      <c r="E106" s="28">
        <f t="shared" si="10"/>
        <v>45983</v>
      </c>
      <c r="F106" s="28">
        <f t="shared" si="11"/>
        <v>45990</v>
      </c>
      <c r="G106" s="28">
        <f t="shared" si="12"/>
        <v>45996</v>
      </c>
      <c r="H106" s="28">
        <f t="shared" si="13"/>
        <v>45984</v>
      </c>
      <c r="I106" s="28">
        <f t="shared" si="14"/>
        <v>45991</v>
      </c>
      <c r="J106" s="28">
        <v>46003</v>
      </c>
      <c r="K106" s="29">
        <f t="shared" si="17"/>
        <v>27</v>
      </c>
      <c r="L106" s="1">
        <v>13.17</v>
      </c>
      <c r="M106" s="1">
        <v>12.56</v>
      </c>
      <c r="N106" s="1">
        <f t="shared" si="16"/>
        <v>0.60999999999999943</v>
      </c>
      <c r="O106" s="1" t="s">
        <v>379</v>
      </c>
    </row>
    <row r="107" spans="1:15" x14ac:dyDescent="0.25">
      <c r="A107" s="28">
        <v>45976</v>
      </c>
      <c r="B107" s="1" t="s">
        <v>330</v>
      </c>
      <c r="C107" s="1"/>
      <c r="D107" s="28">
        <f t="shared" si="9"/>
        <v>45999</v>
      </c>
      <c r="E107" s="28">
        <f t="shared" si="10"/>
        <v>45983</v>
      </c>
      <c r="F107" s="28">
        <f t="shared" si="11"/>
        <v>45990</v>
      </c>
      <c r="G107" s="28">
        <f t="shared" si="12"/>
        <v>45996</v>
      </c>
      <c r="H107" s="28">
        <f t="shared" si="13"/>
        <v>45984</v>
      </c>
      <c r="I107" s="28">
        <f t="shared" si="14"/>
        <v>45991</v>
      </c>
      <c r="J107" s="28">
        <v>46003</v>
      </c>
      <c r="K107" s="29">
        <f t="shared" si="17"/>
        <v>27</v>
      </c>
      <c r="L107" s="1">
        <v>10.56</v>
      </c>
      <c r="M107" s="1">
        <v>4.71</v>
      </c>
      <c r="N107" s="1">
        <f t="shared" si="16"/>
        <v>5.8500000000000005</v>
      </c>
      <c r="O107" s="1" t="s">
        <v>379</v>
      </c>
    </row>
    <row r="108" spans="1:15" x14ac:dyDescent="0.25">
      <c r="A108" s="28">
        <v>45976</v>
      </c>
      <c r="B108" s="1" t="s">
        <v>331</v>
      </c>
      <c r="C108" s="1"/>
      <c r="D108" s="28">
        <f t="shared" si="9"/>
        <v>45999</v>
      </c>
      <c r="E108" s="28">
        <f t="shared" si="10"/>
        <v>45983</v>
      </c>
      <c r="F108" s="28">
        <f t="shared" si="11"/>
        <v>45990</v>
      </c>
      <c r="G108" s="28">
        <f t="shared" si="12"/>
        <v>45996</v>
      </c>
      <c r="H108" s="28">
        <f t="shared" si="13"/>
        <v>45984</v>
      </c>
      <c r="I108" s="28">
        <f t="shared" si="14"/>
        <v>45991</v>
      </c>
      <c r="J108" s="28">
        <v>46003</v>
      </c>
      <c r="K108" s="29">
        <f t="shared" si="17"/>
        <v>27</v>
      </c>
      <c r="L108" s="1">
        <v>11.09</v>
      </c>
      <c r="M108" s="1">
        <v>5.04</v>
      </c>
      <c r="N108" s="1">
        <f t="shared" si="16"/>
        <v>6.05</v>
      </c>
      <c r="O108" s="1" t="s">
        <v>379</v>
      </c>
    </row>
    <row r="109" spans="1:15" x14ac:dyDescent="0.25">
      <c r="A109" s="28">
        <v>45977</v>
      </c>
      <c r="B109" s="1" t="s">
        <v>303</v>
      </c>
      <c r="C109" s="1"/>
      <c r="D109" s="28">
        <f t="shared" si="9"/>
        <v>46000</v>
      </c>
      <c r="E109" s="28">
        <f t="shared" si="10"/>
        <v>45984</v>
      </c>
      <c r="F109" s="28">
        <f t="shared" si="11"/>
        <v>45991</v>
      </c>
      <c r="G109" s="28">
        <f t="shared" si="12"/>
        <v>45997</v>
      </c>
      <c r="H109" s="28">
        <f t="shared" si="13"/>
        <v>45985</v>
      </c>
      <c r="I109" s="28">
        <f t="shared" si="14"/>
        <v>45992</v>
      </c>
      <c r="J109" s="28">
        <v>46004</v>
      </c>
      <c r="K109" s="29">
        <f t="shared" si="17"/>
        <v>27</v>
      </c>
      <c r="L109" s="1">
        <v>12.55</v>
      </c>
      <c r="M109" s="1">
        <v>6.07</v>
      </c>
      <c r="N109" s="1">
        <f t="shared" si="16"/>
        <v>6.48</v>
      </c>
      <c r="O109" s="1" t="s">
        <v>378</v>
      </c>
    </row>
    <row r="110" spans="1:15" x14ac:dyDescent="0.25">
      <c r="A110" s="28">
        <v>45977</v>
      </c>
      <c r="B110" s="1" t="s">
        <v>304</v>
      </c>
      <c r="C110" s="1"/>
      <c r="D110" s="28">
        <f t="shared" si="9"/>
        <v>46000</v>
      </c>
      <c r="E110" s="28">
        <f t="shared" si="10"/>
        <v>45984</v>
      </c>
      <c r="F110" s="28">
        <f t="shared" si="11"/>
        <v>45991</v>
      </c>
      <c r="G110" s="28">
        <f t="shared" si="12"/>
        <v>45997</v>
      </c>
      <c r="H110" s="28">
        <f t="shared" si="13"/>
        <v>45985</v>
      </c>
      <c r="I110" s="28">
        <f t="shared" si="14"/>
        <v>45992</v>
      </c>
      <c r="J110" s="28">
        <v>46004</v>
      </c>
      <c r="K110" s="29">
        <f t="shared" si="17"/>
        <v>27</v>
      </c>
      <c r="L110" s="1">
        <v>11.71</v>
      </c>
      <c r="M110" s="1">
        <v>5.58</v>
      </c>
      <c r="N110" s="1">
        <f t="shared" si="16"/>
        <v>6.1300000000000008</v>
      </c>
      <c r="O110" s="1" t="s">
        <v>378</v>
      </c>
    </row>
    <row r="111" spans="1:15" x14ac:dyDescent="0.25">
      <c r="A111" s="28">
        <v>45977</v>
      </c>
      <c r="B111" s="1" t="s">
        <v>305</v>
      </c>
      <c r="C111" s="1"/>
      <c r="D111" s="28">
        <f t="shared" si="9"/>
        <v>46000</v>
      </c>
      <c r="E111" s="28">
        <f t="shared" si="10"/>
        <v>45984</v>
      </c>
      <c r="F111" s="28">
        <f t="shared" si="11"/>
        <v>45991</v>
      </c>
      <c r="G111" s="28">
        <f t="shared" si="12"/>
        <v>45997</v>
      </c>
      <c r="H111" s="28">
        <f t="shared" si="13"/>
        <v>45985</v>
      </c>
      <c r="I111" s="28">
        <f t="shared" si="14"/>
        <v>45992</v>
      </c>
      <c r="J111" s="28">
        <v>46004</v>
      </c>
      <c r="K111" s="29">
        <f t="shared" si="17"/>
        <v>27</v>
      </c>
      <c r="L111" s="1">
        <v>11.62</v>
      </c>
      <c r="M111" s="1">
        <v>5.22</v>
      </c>
      <c r="N111" s="1">
        <f t="shared" si="16"/>
        <v>6.3999999999999995</v>
      </c>
      <c r="O111" s="1" t="s">
        <v>378</v>
      </c>
    </row>
    <row r="112" spans="1:15" x14ac:dyDescent="0.25">
      <c r="A112" s="28">
        <v>45977</v>
      </c>
      <c r="B112" s="1" t="s">
        <v>306</v>
      </c>
      <c r="C112" s="1"/>
      <c r="D112" s="28">
        <f t="shared" si="9"/>
        <v>46000</v>
      </c>
      <c r="E112" s="28">
        <f t="shared" si="10"/>
        <v>45984</v>
      </c>
      <c r="F112" s="28">
        <f t="shared" si="11"/>
        <v>45991</v>
      </c>
      <c r="G112" s="28">
        <f t="shared" si="12"/>
        <v>45997</v>
      </c>
      <c r="H112" s="28">
        <f t="shared" si="13"/>
        <v>45985</v>
      </c>
      <c r="I112" s="28">
        <f t="shared" si="14"/>
        <v>45992</v>
      </c>
      <c r="J112" s="28">
        <v>46004</v>
      </c>
      <c r="K112" s="29">
        <f t="shared" si="17"/>
        <v>27</v>
      </c>
      <c r="L112" s="1">
        <v>12.47</v>
      </c>
      <c r="M112" s="1">
        <v>11.29</v>
      </c>
      <c r="N112" s="1">
        <f t="shared" si="16"/>
        <v>1.1800000000000015</v>
      </c>
      <c r="O112" s="1" t="s">
        <v>379</v>
      </c>
    </row>
    <row r="113" spans="1:15" x14ac:dyDescent="0.25">
      <c r="A113" s="28">
        <v>45977</v>
      </c>
      <c r="B113" s="1" t="s">
        <v>307</v>
      </c>
      <c r="C113" s="1"/>
      <c r="D113" s="28">
        <f t="shared" si="9"/>
        <v>46000</v>
      </c>
      <c r="E113" s="28">
        <f t="shared" si="10"/>
        <v>45984</v>
      </c>
      <c r="F113" s="28">
        <f t="shared" si="11"/>
        <v>45991</v>
      </c>
      <c r="G113" s="28">
        <f t="shared" si="12"/>
        <v>45997</v>
      </c>
      <c r="H113" s="28">
        <f t="shared" si="13"/>
        <v>45985</v>
      </c>
      <c r="I113" s="28">
        <f t="shared" si="14"/>
        <v>45992</v>
      </c>
      <c r="J113" s="28">
        <v>46004</v>
      </c>
      <c r="K113" s="29">
        <f t="shared" si="17"/>
        <v>27</v>
      </c>
      <c r="L113" s="1">
        <v>11.81</v>
      </c>
      <c r="M113" s="1">
        <v>10.76</v>
      </c>
      <c r="N113" s="1">
        <f t="shared" si="16"/>
        <v>1.0500000000000007</v>
      </c>
      <c r="O113" s="1" t="s">
        <v>379</v>
      </c>
    </row>
    <row r="114" spans="1:15" x14ac:dyDescent="0.25">
      <c r="A114" s="28">
        <v>45977</v>
      </c>
      <c r="B114" s="1" t="s">
        <v>308</v>
      </c>
      <c r="C114" s="1"/>
      <c r="D114" s="28">
        <f t="shared" si="9"/>
        <v>46000</v>
      </c>
      <c r="E114" s="28">
        <f t="shared" si="10"/>
        <v>45984</v>
      </c>
      <c r="F114" s="28">
        <f t="shared" si="11"/>
        <v>45991</v>
      </c>
      <c r="G114" s="28">
        <f t="shared" si="12"/>
        <v>45997</v>
      </c>
      <c r="H114" s="28">
        <f t="shared" si="13"/>
        <v>45985</v>
      </c>
      <c r="I114" s="28">
        <f t="shared" si="14"/>
        <v>45992</v>
      </c>
      <c r="J114" s="28">
        <v>46004</v>
      </c>
      <c r="K114" s="29">
        <f t="shared" si="17"/>
        <v>27</v>
      </c>
      <c r="L114" s="1">
        <v>13.49</v>
      </c>
      <c r="M114" s="1">
        <v>12.15</v>
      </c>
      <c r="N114" s="1">
        <f t="shared" si="16"/>
        <v>1.3399999999999999</v>
      </c>
      <c r="O114" s="1" t="s">
        <v>379</v>
      </c>
    </row>
    <row r="115" spans="1:15" x14ac:dyDescent="0.25">
      <c r="A115" s="28">
        <v>45977</v>
      </c>
      <c r="B115" s="1" t="s">
        <v>309</v>
      </c>
      <c r="C115" s="1"/>
      <c r="D115" s="28">
        <f t="shared" si="9"/>
        <v>46000</v>
      </c>
      <c r="E115" s="28">
        <f t="shared" si="10"/>
        <v>45984</v>
      </c>
      <c r="F115" s="28">
        <f t="shared" si="11"/>
        <v>45991</v>
      </c>
      <c r="G115" s="28">
        <f t="shared" si="12"/>
        <v>45997</v>
      </c>
      <c r="H115" s="28">
        <f t="shared" si="13"/>
        <v>45985</v>
      </c>
      <c r="I115" s="28">
        <f t="shared" si="14"/>
        <v>45992</v>
      </c>
      <c r="J115" s="28">
        <v>46004</v>
      </c>
      <c r="K115" s="29">
        <f t="shared" si="17"/>
        <v>27</v>
      </c>
      <c r="L115" s="1">
        <v>12.68</v>
      </c>
      <c r="M115" s="1">
        <v>11.33</v>
      </c>
      <c r="N115" s="1">
        <f t="shared" si="16"/>
        <v>1.3499999999999996</v>
      </c>
      <c r="O115" s="1" t="s">
        <v>379</v>
      </c>
    </row>
    <row r="116" spans="1:15" x14ac:dyDescent="0.25">
      <c r="A116" s="28">
        <v>45978</v>
      </c>
      <c r="B116" s="1" t="s">
        <v>310</v>
      </c>
      <c r="C116" s="1"/>
      <c r="D116" s="28">
        <f t="shared" si="9"/>
        <v>46001</v>
      </c>
      <c r="E116" s="28">
        <f t="shared" si="10"/>
        <v>45985</v>
      </c>
      <c r="F116" s="28">
        <f t="shared" si="11"/>
        <v>45992</v>
      </c>
      <c r="G116" s="28">
        <f t="shared" si="12"/>
        <v>45998</v>
      </c>
      <c r="H116" s="28">
        <f t="shared" si="13"/>
        <v>45986</v>
      </c>
      <c r="I116" s="28">
        <f t="shared" si="14"/>
        <v>45993</v>
      </c>
      <c r="J116" s="28">
        <v>46005</v>
      </c>
      <c r="K116" s="29">
        <f t="shared" si="17"/>
        <v>27</v>
      </c>
      <c r="L116" s="1">
        <v>12.74</v>
      </c>
      <c r="M116" s="1">
        <v>6.28</v>
      </c>
      <c r="N116" s="1">
        <f t="shared" si="16"/>
        <v>6.46</v>
      </c>
      <c r="O116" s="1" t="s">
        <v>378</v>
      </c>
    </row>
    <row r="117" spans="1:15" x14ac:dyDescent="0.25">
      <c r="A117" s="28">
        <v>45978</v>
      </c>
      <c r="B117" s="1" t="s">
        <v>311</v>
      </c>
      <c r="C117" s="1"/>
      <c r="D117" s="28">
        <f t="shared" si="9"/>
        <v>46001</v>
      </c>
      <c r="E117" s="28">
        <f t="shared" si="10"/>
        <v>45985</v>
      </c>
      <c r="F117" s="28">
        <f t="shared" si="11"/>
        <v>45992</v>
      </c>
      <c r="G117" s="28">
        <f t="shared" si="12"/>
        <v>45998</v>
      </c>
      <c r="H117" s="28">
        <f t="shared" si="13"/>
        <v>45986</v>
      </c>
      <c r="I117" s="28">
        <f t="shared" si="14"/>
        <v>45993</v>
      </c>
      <c r="J117" s="28">
        <v>46005</v>
      </c>
      <c r="K117" s="29">
        <f t="shared" si="17"/>
        <v>27</v>
      </c>
      <c r="L117" s="1">
        <v>14.52</v>
      </c>
      <c r="M117" s="1">
        <v>7.31</v>
      </c>
      <c r="N117" s="1">
        <f t="shared" si="16"/>
        <v>7.21</v>
      </c>
      <c r="O117" s="1" t="s">
        <v>378</v>
      </c>
    </row>
    <row r="118" spans="1:15" x14ac:dyDescent="0.25">
      <c r="A118" s="28">
        <v>45978</v>
      </c>
      <c r="B118" s="1" t="s">
        <v>312</v>
      </c>
      <c r="C118" s="1"/>
      <c r="D118" s="28">
        <f t="shared" si="9"/>
        <v>46001</v>
      </c>
      <c r="E118" s="28">
        <f t="shared" si="10"/>
        <v>45985</v>
      </c>
      <c r="F118" s="28">
        <f t="shared" si="11"/>
        <v>45992</v>
      </c>
      <c r="G118" s="28">
        <f t="shared" si="12"/>
        <v>45998</v>
      </c>
      <c r="H118" s="28">
        <f t="shared" si="13"/>
        <v>45986</v>
      </c>
      <c r="I118" s="28">
        <f t="shared" si="14"/>
        <v>45993</v>
      </c>
      <c r="J118" s="28">
        <v>46005</v>
      </c>
      <c r="K118" s="29">
        <f t="shared" si="17"/>
        <v>27</v>
      </c>
      <c r="L118" s="1">
        <v>14.81</v>
      </c>
      <c r="M118" s="1">
        <v>7.52</v>
      </c>
      <c r="N118" s="1">
        <f t="shared" si="16"/>
        <v>7.2900000000000009</v>
      </c>
      <c r="O118" s="1" t="s">
        <v>378</v>
      </c>
    </row>
    <row r="119" spans="1:15" x14ac:dyDescent="0.25">
      <c r="A119" s="28">
        <v>45978</v>
      </c>
      <c r="B119" s="1" t="s">
        <v>313</v>
      </c>
      <c r="C119" s="1"/>
      <c r="D119" s="28">
        <f t="shared" si="9"/>
        <v>46001</v>
      </c>
      <c r="E119" s="28">
        <f t="shared" si="10"/>
        <v>45985</v>
      </c>
      <c r="F119" s="28">
        <f t="shared" si="11"/>
        <v>45992</v>
      </c>
      <c r="G119" s="28">
        <f t="shared" si="12"/>
        <v>45998</v>
      </c>
      <c r="H119" s="28">
        <f t="shared" si="13"/>
        <v>45986</v>
      </c>
      <c r="I119" s="28">
        <f t="shared" si="14"/>
        <v>45993</v>
      </c>
      <c r="J119" s="28">
        <v>46005</v>
      </c>
      <c r="K119" s="29">
        <f t="shared" si="17"/>
        <v>27</v>
      </c>
      <c r="L119" s="1">
        <v>13.1</v>
      </c>
      <c r="M119" s="1">
        <v>6.98</v>
      </c>
      <c r="N119" s="1">
        <f t="shared" si="16"/>
        <v>6.1199999999999992</v>
      </c>
      <c r="O119" s="1" t="s">
        <v>378</v>
      </c>
    </row>
    <row r="120" spans="1:15" x14ac:dyDescent="0.25">
      <c r="A120" s="28">
        <v>45978</v>
      </c>
      <c r="B120" s="1" t="s">
        <v>314</v>
      </c>
      <c r="C120" s="1"/>
      <c r="D120" s="28">
        <f t="shared" si="9"/>
        <v>46001</v>
      </c>
      <c r="E120" s="28">
        <f t="shared" si="10"/>
        <v>45985</v>
      </c>
      <c r="F120" s="28">
        <f t="shared" si="11"/>
        <v>45992</v>
      </c>
      <c r="G120" s="28">
        <f t="shared" si="12"/>
        <v>45998</v>
      </c>
      <c r="H120" s="28">
        <f t="shared" si="13"/>
        <v>45986</v>
      </c>
      <c r="I120" s="28">
        <f t="shared" si="14"/>
        <v>45993</v>
      </c>
      <c r="J120" s="28">
        <v>46005</v>
      </c>
      <c r="K120" s="29">
        <f t="shared" si="17"/>
        <v>27</v>
      </c>
      <c r="L120" s="1">
        <v>11.66</v>
      </c>
      <c r="M120" s="1">
        <v>10.210000000000001</v>
      </c>
      <c r="N120" s="1">
        <f t="shared" si="16"/>
        <v>1.4499999999999993</v>
      </c>
      <c r="O120" s="1" t="s">
        <v>379</v>
      </c>
    </row>
    <row r="121" spans="1:15" x14ac:dyDescent="0.25">
      <c r="A121" s="28">
        <v>45978</v>
      </c>
      <c r="B121" s="1" t="s">
        <v>315</v>
      </c>
      <c r="C121" s="1"/>
      <c r="D121" s="28">
        <f t="shared" si="9"/>
        <v>46001</v>
      </c>
      <c r="E121" s="28">
        <f t="shared" si="10"/>
        <v>45985</v>
      </c>
      <c r="F121" s="28">
        <f t="shared" si="11"/>
        <v>45992</v>
      </c>
      <c r="G121" s="28">
        <f t="shared" si="12"/>
        <v>45998</v>
      </c>
      <c r="H121" s="28">
        <f t="shared" si="13"/>
        <v>45986</v>
      </c>
      <c r="I121" s="28">
        <f t="shared" si="14"/>
        <v>45993</v>
      </c>
      <c r="J121" s="28">
        <v>46005</v>
      </c>
      <c r="K121" s="29">
        <f t="shared" si="17"/>
        <v>27</v>
      </c>
      <c r="L121" s="1">
        <v>13.79</v>
      </c>
      <c r="M121" s="1">
        <v>12.17</v>
      </c>
      <c r="N121" s="1">
        <f t="shared" si="16"/>
        <v>1.6199999999999992</v>
      </c>
      <c r="O121" s="1" t="s">
        <v>379</v>
      </c>
    </row>
    <row r="122" spans="1:15" x14ac:dyDescent="0.25">
      <c r="A122" s="28">
        <v>45978</v>
      </c>
      <c r="B122" s="1" t="s">
        <v>316</v>
      </c>
      <c r="C122" s="1"/>
      <c r="D122" s="28">
        <f t="shared" si="9"/>
        <v>46001</v>
      </c>
      <c r="E122" s="28">
        <f t="shared" si="10"/>
        <v>45985</v>
      </c>
      <c r="F122" s="28">
        <f t="shared" si="11"/>
        <v>45992</v>
      </c>
      <c r="G122" s="28">
        <f t="shared" si="12"/>
        <v>45998</v>
      </c>
      <c r="H122" s="28">
        <f t="shared" si="13"/>
        <v>45986</v>
      </c>
      <c r="I122" s="28">
        <f t="shared" si="14"/>
        <v>45993</v>
      </c>
      <c r="J122" s="28">
        <v>46005</v>
      </c>
      <c r="K122" s="29">
        <f t="shared" si="17"/>
        <v>27</v>
      </c>
      <c r="L122" s="1">
        <v>11.82</v>
      </c>
      <c r="M122" s="1">
        <v>10.58</v>
      </c>
      <c r="N122" s="1">
        <f t="shared" si="16"/>
        <v>1.2400000000000002</v>
      </c>
      <c r="O122" s="1" t="s">
        <v>379</v>
      </c>
    </row>
    <row r="123" spans="1:15" x14ac:dyDescent="0.25">
      <c r="A123" s="28">
        <v>45979</v>
      </c>
      <c r="B123" s="1" t="s">
        <v>317</v>
      </c>
      <c r="C123" s="1"/>
      <c r="D123" s="28">
        <f t="shared" si="9"/>
        <v>46002</v>
      </c>
      <c r="E123" s="28">
        <f t="shared" si="10"/>
        <v>45986</v>
      </c>
      <c r="F123" s="28">
        <f t="shared" si="11"/>
        <v>45993</v>
      </c>
      <c r="G123" s="28">
        <f t="shared" si="12"/>
        <v>45999</v>
      </c>
      <c r="H123" s="28">
        <f t="shared" si="13"/>
        <v>45987</v>
      </c>
      <c r="I123" s="28">
        <f t="shared" si="14"/>
        <v>45994</v>
      </c>
      <c r="J123" s="28">
        <v>46005</v>
      </c>
      <c r="K123" s="29">
        <f t="shared" si="17"/>
        <v>26</v>
      </c>
      <c r="L123" s="1">
        <v>12.75</v>
      </c>
      <c r="M123" s="1">
        <v>11.07</v>
      </c>
      <c r="N123" s="1">
        <f t="shared" si="16"/>
        <v>1.6799999999999997</v>
      </c>
      <c r="O123" s="1" t="s">
        <v>379</v>
      </c>
    </row>
    <row r="124" spans="1:15" x14ac:dyDescent="0.25">
      <c r="A124" s="28">
        <v>45979</v>
      </c>
      <c r="B124" s="1" t="s">
        <v>318</v>
      </c>
      <c r="C124" s="1"/>
      <c r="D124" s="28">
        <f t="shared" si="9"/>
        <v>46002</v>
      </c>
      <c r="E124" s="28">
        <f t="shared" si="10"/>
        <v>45986</v>
      </c>
      <c r="F124" s="28">
        <f t="shared" si="11"/>
        <v>45993</v>
      </c>
      <c r="G124" s="28">
        <f t="shared" si="12"/>
        <v>45999</v>
      </c>
      <c r="H124" s="28">
        <f t="shared" si="13"/>
        <v>45987</v>
      </c>
      <c r="I124" s="28">
        <f t="shared" si="14"/>
        <v>45994</v>
      </c>
      <c r="J124" s="28">
        <v>46005</v>
      </c>
      <c r="K124" s="29">
        <f t="shared" si="17"/>
        <v>26</v>
      </c>
      <c r="L124" s="1">
        <v>12.88</v>
      </c>
      <c r="M124" s="1">
        <v>11.16</v>
      </c>
      <c r="N124" s="1">
        <f t="shared" si="16"/>
        <v>1.7200000000000006</v>
      </c>
      <c r="O124" s="1" t="s">
        <v>379</v>
      </c>
    </row>
    <row r="125" spans="1:15" x14ac:dyDescent="0.25">
      <c r="A125" s="28">
        <v>45979</v>
      </c>
      <c r="B125" s="1" t="s">
        <v>319</v>
      </c>
      <c r="C125" s="1"/>
      <c r="D125" s="28">
        <f t="shared" si="9"/>
        <v>46002</v>
      </c>
      <c r="E125" s="28">
        <f t="shared" si="10"/>
        <v>45986</v>
      </c>
      <c r="F125" s="28">
        <f t="shared" si="11"/>
        <v>45993</v>
      </c>
      <c r="G125" s="28">
        <f t="shared" si="12"/>
        <v>45999</v>
      </c>
      <c r="H125" s="28">
        <f t="shared" si="13"/>
        <v>45987</v>
      </c>
      <c r="I125" s="28">
        <f t="shared" si="14"/>
        <v>45994</v>
      </c>
      <c r="J125" s="28">
        <v>46005</v>
      </c>
      <c r="K125" s="29">
        <f t="shared" si="17"/>
        <v>26</v>
      </c>
      <c r="L125" s="1">
        <v>13.54</v>
      </c>
      <c r="M125" s="1">
        <v>12.42</v>
      </c>
      <c r="N125" s="1">
        <f t="shared" si="16"/>
        <v>1.1199999999999992</v>
      </c>
      <c r="O125" s="1" t="s">
        <v>379</v>
      </c>
    </row>
    <row r="126" spans="1:15" x14ac:dyDescent="0.25">
      <c r="A126" s="28">
        <v>45979</v>
      </c>
      <c r="B126" s="1" t="s">
        <v>320</v>
      </c>
      <c r="C126" s="1"/>
      <c r="D126" s="28">
        <f t="shared" si="9"/>
        <v>46002</v>
      </c>
      <c r="E126" s="28">
        <f t="shared" si="10"/>
        <v>45986</v>
      </c>
      <c r="F126" s="28">
        <f t="shared" si="11"/>
        <v>45993</v>
      </c>
      <c r="G126" s="28">
        <f t="shared" si="12"/>
        <v>45999</v>
      </c>
      <c r="H126" s="28">
        <f t="shared" si="13"/>
        <v>45987</v>
      </c>
      <c r="I126" s="28">
        <f t="shared" si="14"/>
        <v>45994</v>
      </c>
      <c r="J126" s="28">
        <v>46006</v>
      </c>
      <c r="K126" s="29">
        <f t="shared" si="17"/>
        <v>27</v>
      </c>
      <c r="L126" s="1">
        <v>13.52</v>
      </c>
      <c r="M126" s="1">
        <v>5.91</v>
      </c>
      <c r="N126" s="1">
        <f t="shared" si="16"/>
        <v>7.6099999999999994</v>
      </c>
      <c r="O126" s="1" t="s">
        <v>378</v>
      </c>
    </row>
    <row r="127" spans="1:15" x14ac:dyDescent="0.25">
      <c r="A127" s="28">
        <v>45979</v>
      </c>
      <c r="B127" s="1" t="s">
        <v>321</v>
      </c>
      <c r="C127" s="1"/>
      <c r="D127" s="28">
        <f t="shared" si="9"/>
        <v>46002</v>
      </c>
      <c r="E127" s="28">
        <f t="shared" si="10"/>
        <v>45986</v>
      </c>
      <c r="F127" s="28">
        <f t="shared" si="11"/>
        <v>45993</v>
      </c>
      <c r="G127" s="28">
        <f t="shared" si="12"/>
        <v>45999</v>
      </c>
      <c r="H127" s="28">
        <f t="shared" si="13"/>
        <v>45987</v>
      </c>
      <c r="I127" s="28">
        <f t="shared" si="14"/>
        <v>45994</v>
      </c>
      <c r="J127" s="28">
        <v>46006</v>
      </c>
      <c r="K127" s="29">
        <f t="shared" si="17"/>
        <v>27</v>
      </c>
      <c r="L127" s="1">
        <v>12.96</v>
      </c>
      <c r="M127" s="1">
        <v>5.86</v>
      </c>
      <c r="N127" s="1">
        <f t="shared" si="16"/>
        <v>7.1000000000000005</v>
      </c>
      <c r="O127" s="1" t="s">
        <v>378</v>
      </c>
    </row>
    <row r="128" spans="1:15" x14ac:dyDescent="0.25">
      <c r="A128" s="28">
        <v>45979</v>
      </c>
      <c r="B128" s="1" t="s">
        <v>322</v>
      </c>
      <c r="C128" s="1"/>
      <c r="D128" s="28">
        <f t="shared" si="9"/>
        <v>46002</v>
      </c>
      <c r="E128" s="28">
        <f t="shared" si="10"/>
        <v>45986</v>
      </c>
      <c r="F128" s="28">
        <f t="shared" si="11"/>
        <v>45993</v>
      </c>
      <c r="G128" s="28">
        <f t="shared" si="12"/>
        <v>45999</v>
      </c>
      <c r="H128" s="28">
        <f t="shared" si="13"/>
        <v>45987</v>
      </c>
      <c r="I128" s="28">
        <f t="shared" si="14"/>
        <v>45994</v>
      </c>
      <c r="J128" s="28">
        <v>46006</v>
      </c>
      <c r="K128" s="29">
        <f t="shared" si="17"/>
        <v>27</v>
      </c>
      <c r="L128" s="1">
        <v>12.25</v>
      </c>
      <c r="M128" s="1">
        <v>5.1100000000000003</v>
      </c>
      <c r="N128" s="1">
        <f t="shared" si="16"/>
        <v>7.14</v>
      </c>
      <c r="O128" s="1" t="s">
        <v>378</v>
      </c>
    </row>
    <row r="129" spans="1:15" x14ac:dyDescent="0.25">
      <c r="A129" s="28">
        <v>45979</v>
      </c>
      <c r="B129" s="1" t="s">
        <v>323</v>
      </c>
      <c r="C129" s="1"/>
      <c r="D129" s="28">
        <f t="shared" si="9"/>
        <v>46002</v>
      </c>
      <c r="E129" s="28">
        <f t="shared" si="10"/>
        <v>45986</v>
      </c>
      <c r="F129" s="28">
        <f t="shared" si="11"/>
        <v>45993</v>
      </c>
      <c r="G129" s="28">
        <f t="shared" si="12"/>
        <v>45999</v>
      </c>
      <c r="H129" s="28">
        <f t="shared" si="13"/>
        <v>45987</v>
      </c>
      <c r="I129" s="28">
        <f t="shared" si="14"/>
        <v>45994</v>
      </c>
      <c r="J129" s="28">
        <v>46006</v>
      </c>
      <c r="K129" s="29">
        <f t="shared" si="17"/>
        <v>27</v>
      </c>
      <c r="L129" s="1">
        <v>11.81</v>
      </c>
      <c r="M129" s="1">
        <v>4.75</v>
      </c>
      <c r="N129" s="1">
        <f t="shared" si="16"/>
        <v>7.0600000000000005</v>
      </c>
      <c r="O129" s="1" t="s">
        <v>378</v>
      </c>
    </row>
    <row r="130" spans="1:15" x14ac:dyDescent="0.25">
      <c r="A130" s="28">
        <v>45980</v>
      </c>
      <c r="B130" s="1" t="s">
        <v>227</v>
      </c>
      <c r="C130" s="1"/>
      <c r="D130" s="28">
        <f t="shared" si="9"/>
        <v>46003</v>
      </c>
      <c r="E130" s="28">
        <f t="shared" si="10"/>
        <v>45987</v>
      </c>
      <c r="F130" s="28">
        <f t="shared" si="11"/>
        <v>45994</v>
      </c>
      <c r="G130" s="28">
        <f t="shared" si="12"/>
        <v>46000</v>
      </c>
      <c r="H130" s="28">
        <f t="shared" si="13"/>
        <v>45988</v>
      </c>
      <c r="I130" s="28">
        <f t="shared" si="14"/>
        <v>45995</v>
      </c>
      <c r="J130" s="28">
        <v>46008</v>
      </c>
      <c r="K130" s="29">
        <f t="shared" si="17"/>
        <v>28</v>
      </c>
      <c r="L130" s="1">
        <v>11.28</v>
      </c>
      <c r="M130" s="1">
        <v>6.56</v>
      </c>
      <c r="N130" s="1">
        <f t="shared" si="16"/>
        <v>4.72</v>
      </c>
      <c r="O130" s="1" t="s">
        <v>378</v>
      </c>
    </row>
    <row r="131" spans="1:15" x14ac:dyDescent="0.25">
      <c r="A131" s="28">
        <v>45980</v>
      </c>
      <c r="B131" s="1" t="s">
        <v>228</v>
      </c>
      <c r="C131" s="1"/>
      <c r="D131" s="28">
        <f t="shared" ref="D131:D194" si="18">A131+23</f>
        <v>46003</v>
      </c>
      <c r="E131" s="28">
        <f t="shared" ref="E131:E194" si="19">A131+7</f>
        <v>45987</v>
      </c>
      <c r="F131" s="28">
        <f t="shared" ref="F131:F194" si="20">A131+14</f>
        <v>45994</v>
      </c>
      <c r="G131" s="28">
        <f t="shared" ref="G131:G194" si="21">A131+20</f>
        <v>46000</v>
      </c>
      <c r="H131" s="28">
        <f t="shared" ref="H131:H194" si="22">A131+8</f>
        <v>45988</v>
      </c>
      <c r="I131" s="28">
        <f t="shared" ref="I131:I194" si="23">A131+15</f>
        <v>45995</v>
      </c>
      <c r="J131" s="28">
        <v>46008</v>
      </c>
      <c r="K131" s="29">
        <f t="shared" si="17"/>
        <v>28</v>
      </c>
      <c r="L131" s="1">
        <v>10.76</v>
      </c>
      <c r="M131" s="1">
        <v>5.17</v>
      </c>
      <c r="N131" s="1">
        <f t="shared" si="16"/>
        <v>5.59</v>
      </c>
      <c r="O131" s="1" t="s">
        <v>378</v>
      </c>
    </row>
    <row r="132" spans="1:15" x14ac:dyDescent="0.25">
      <c r="A132" s="28">
        <v>45980</v>
      </c>
      <c r="B132" s="1" t="s">
        <v>229</v>
      </c>
      <c r="C132" s="1"/>
      <c r="D132" s="28">
        <f t="shared" si="18"/>
        <v>46003</v>
      </c>
      <c r="E132" s="28">
        <f t="shared" si="19"/>
        <v>45987</v>
      </c>
      <c r="F132" s="28">
        <f t="shared" si="20"/>
        <v>45994</v>
      </c>
      <c r="G132" s="28">
        <f t="shared" si="21"/>
        <v>46000</v>
      </c>
      <c r="H132" s="28">
        <f t="shared" si="22"/>
        <v>45988</v>
      </c>
      <c r="I132" s="28">
        <f t="shared" si="23"/>
        <v>45995</v>
      </c>
      <c r="J132" s="28">
        <v>46008</v>
      </c>
      <c r="K132" s="29">
        <f t="shared" si="17"/>
        <v>28</v>
      </c>
      <c r="L132" s="1">
        <v>11.19</v>
      </c>
      <c r="M132" s="1">
        <v>5.91</v>
      </c>
      <c r="N132" s="1">
        <f t="shared" si="16"/>
        <v>5.2799999999999994</v>
      </c>
      <c r="O132" s="1" t="s">
        <v>378</v>
      </c>
    </row>
    <row r="133" spans="1:15" x14ac:dyDescent="0.25">
      <c r="A133" s="28">
        <v>45980</v>
      </c>
      <c r="B133" s="1" t="s">
        <v>230</v>
      </c>
      <c r="C133" s="1"/>
      <c r="D133" s="28">
        <f t="shared" si="18"/>
        <v>46003</v>
      </c>
      <c r="E133" s="28">
        <f t="shared" si="19"/>
        <v>45987</v>
      </c>
      <c r="F133" s="28">
        <f t="shared" si="20"/>
        <v>45994</v>
      </c>
      <c r="G133" s="28">
        <f t="shared" si="21"/>
        <v>46000</v>
      </c>
      <c r="H133" s="28">
        <f t="shared" si="22"/>
        <v>45988</v>
      </c>
      <c r="I133" s="28">
        <f t="shared" si="23"/>
        <v>45995</v>
      </c>
      <c r="J133" s="28">
        <v>46008</v>
      </c>
      <c r="K133" s="29">
        <f t="shared" si="17"/>
        <v>28</v>
      </c>
      <c r="L133" s="1">
        <v>9.91</v>
      </c>
      <c r="M133" s="1">
        <v>4.38</v>
      </c>
      <c r="N133" s="1">
        <f t="shared" si="16"/>
        <v>5.53</v>
      </c>
      <c r="O133" s="1" t="s">
        <v>378</v>
      </c>
    </row>
    <row r="134" spans="1:15" x14ac:dyDescent="0.25">
      <c r="A134" s="28">
        <v>45980</v>
      </c>
      <c r="B134" s="1" t="s">
        <v>231</v>
      </c>
      <c r="C134" s="1"/>
      <c r="D134" s="28">
        <f t="shared" si="18"/>
        <v>46003</v>
      </c>
      <c r="E134" s="28">
        <f t="shared" si="19"/>
        <v>45987</v>
      </c>
      <c r="F134" s="28">
        <f t="shared" si="20"/>
        <v>45994</v>
      </c>
      <c r="G134" s="28">
        <f t="shared" si="21"/>
        <v>46000</v>
      </c>
      <c r="H134" s="28">
        <f t="shared" si="22"/>
        <v>45988</v>
      </c>
      <c r="I134" s="28">
        <f t="shared" si="23"/>
        <v>45995</v>
      </c>
      <c r="J134" s="28">
        <v>46007</v>
      </c>
      <c r="K134" s="29">
        <f t="shared" si="17"/>
        <v>27</v>
      </c>
      <c r="L134" s="1">
        <v>9.1999999999999993</v>
      </c>
      <c r="M134" s="1">
        <v>7.21</v>
      </c>
      <c r="N134" s="1">
        <f t="shared" ref="N134:N169" si="24">L134-M134</f>
        <v>1.9899999999999993</v>
      </c>
      <c r="O134" s="1" t="s">
        <v>379</v>
      </c>
    </row>
    <row r="135" spans="1:15" x14ac:dyDescent="0.25">
      <c r="A135" s="28">
        <v>45980</v>
      </c>
      <c r="B135" s="1" t="s">
        <v>232</v>
      </c>
      <c r="C135" s="1"/>
      <c r="D135" s="28">
        <f t="shared" si="18"/>
        <v>46003</v>
      </c>
      <c r="E135" s="28">
        <f t="shared" si="19"/>
        <v>45987</v>
      </c>
      <c r="F135" s="28">
        <f t="shared" si="20"/>
        <v>45994</v>
      </c>
      <c r="G135" s="28">
        <f t="shared" si="21"/>
        <v>46000</v>
      </c>
      <c r="H135" s="28">
        <f t="shared" si="22"/>
        <v>45988</v>
      </c>
      <c r="I135" s="28">
        <f t="shared" si="23"/>
        <v>45995</v>
      </c>
      <c r="J135" s="28">
        <v>46007</v>
      </c>
      <c r="K135" s="29">
        <f t="shared" si="17"/>
        <v>27</v>
      </c>
      <c r="L135" s="1">
        <v>10.51</v>
      </c>
      <c r="M135" s="1">
        <v>8.76</v>
      </c>
      <c r="N135" s="1">
        <f t="shared" si="24"/>
        <v>1.75</v>
      </c>
      <c r="O135" s="1" t="s">
        <v>379</v>
      </c>
    </row>
    <row r="136" spans="1:15" x14ac:dyDescent="0.25">
      <c r="A136" s="28">
        <v>45980</v>
      </c>
      <c r="B136" s="1" t="s">
        <v>233</v>
      </c>
      <c r="C136" s="1"/>
      <c r="D136" s="28">
        <f t="shared" si="18"/>
        <v>46003</v>
      </c>
      <c r="E136" s="28">
        <f t="shared" si="19"/>
        <v>45987</v>
      </c>
      <c r="F136" s="28">
        <f t="shared" si="20"/>
        <v>45994</v>
      </c>
      <c r="G136" s="28">
        <f t="shared" si="21"/>
        <v>46000</v>
      </c>
      <c r="H136" s="28">
        <f t="shared" si="22"/>
        <v>45988</v>
      </c>
      <c r="I136" s="28">
        <f t="shared" si="23"/>
        <v>45995</v>
      </c>
      <c r="J136" s="28">
        <v>46007</v>
      </c>
      <c r="K136" s="29">
        <f t="shared" si="17"/>
        <v>27</v>
      </c>
      <c r="L136" s="1">
        <v>14.81</v>
      </c>
      <c r="M136" s="1">
        <v>6.98</v>
      </c>
      <c r="N136" s="1">
        <f t="shared" si="24"/>
        <v>7.83</v>
      </c>
      <c r="O136" s="1" t="s">
        <v>378</v>
      </c>
    </row>
    <row r="137" spans="1:15" x14ac:dyDescent="0.25">
      <c r="A137" s="28">
        <v>45981</v>
      </c>
      <c r="B137" s="1" t="s">
        <v>153</v>
      </c>
      <c r="C137" s="1"/>
      <c r="D137" s="28">
        <f t="shared" si="18"/>
        <v>46004</v>
      </c>
      <c r="E137" s="28">
        <f t="shared" si="19"/>
        <v>45988</v>
      </c>
      <c r="F137" s="28">
        <f t="shared" si="20"/>
        <v>45995</v>
      </c>
      <c r="G137" s="28">
        <f t="shared" si="21"/>
        <v>46001</v>
      </c>
      <c r="H137" s="28">
        <f t="shared" si="22"/>
        <v>45989</v>
      </c>
      <c r="I137" s="28">
        <f t="shared" si="23"/>
        <v>45996</v>
      </c>
      <c r="J137" s="28">
        <v>46006</v>
      </c>
      <c r="K137" s="29">
        <f t="shared" si="17"/>
        <v>25</v>
      </c>
      <c r="L137" s="1">
        <v>16.739999999999998</v>
      </c>
      <c r="M137" s="1">
        <v>12.16</v>
      </c>
      <c r="N137" s="1">
        <f t="shared" si="24"/>
        <v>4.5799999999999983</v>
      </c>
      <c r="O137" s="1" t="s">
        <v>379</v>
      </c>
    </row>
    <row r="138" spans="1:15" x14ac:dyDescent="0.25">
      <c r="A138" s="28">
        <v>45981</v>
      </c>
      <c r="B138" s="1" t="s">
        <v>154</v>
      </c>
      <c r="C138" s="1"/>
      <c r="D138" s="28">
        <f t="shared" si="18"/>
        <v>46004</v>
      </c>
      <c r="E138" s="28">
        <f t="shared" si="19"/>
        <v>45988</v>
      </c>
      <c r="F138" s="28">
        <f t="shared" si="20"/>
        <v>45995</v>
      </c>
      <c r="G138" s="28">
        <f t="shared" si="21"/>
        <v>46001</v>
      </c>
      <c r="H138" s="28">
        <f t="shared" si="22"/>
        <v>45989</v>
      </c>
      <c r="I138" s="28">
        <f t="shared" si="23"/>
        <v>45996</v>
      </c>
      <c r="J138" s="28">
        <v>46006</v>
      </c>
      <c r="K138" s="29">
        <f t="shared" si="17"/>
        <v>25</v>
      </c>
      <c r="L138" s="1">
        <v>18.91</v>
      </c>
      <c r="M138" s="1">
        <v>16.38</v>
      </c>
      <c r="N138" s="1">
        <f t="shared" si="24"/>
        <v>2.5300000000000011</v>
      </c>
      <c r="O138" s="1" t="s">
        <v>379</v>
      </c>
    </row>
    <row r="139" spans="1:15" x14ac:dyDescent="0.25">
      <c r="A139" s="28">
        <v>45981</v>
      </c>
      <c r="B139" s="1" t="s">
        <v>155</v>
      </c>
      <c r="C139" s="1"/>
      <c r="D139" s="28">
        <f t="shared" si="18"/>
        <v>46004</v>
      </c>
      <c r="E139" s="28">
        <f t="shared" si="19"/>
        <v>45988</v>
      </c>
      <c r="F139" s="28">
        <f t="shared" si="20"/>
        <v>45995</v>
      </c>
      <c r="G139" s="28">
        <f t="shared" si="21"/>
        <v>46001</v>
      </c>
      <c r="H139" s="28">
        <f t="shared" si="22"/>
        <v>45989</v>
      </c>
      <c r="I139" s="28">
        <f t="shared" si="23"/>
        <v>45996</v>
      </c>
      <c r="J139" s="28">
        <v>46006</v>
      </c>
      <c r="K139" s="29">
        <f t="shared" si="17"/>
        <v>25</v>
      </c>
      <c r="L139" s="1">
        <v>18.27</v>
      </c>
      <c r="M139" s="1">
        <v>15.14</v>
      </c>
      <c r="N139" s="1">
        <f t="shared" si="24"/>
        <v>3.129999999999999</v>
      </c>
      <c r="O139" s="1" t="s">
        <v>379</v>
      </c>
    </row>
    <row r="140" spans="1:15" x14ac:dyDescent="0.25">
      <c r="A140" s="28">
        <v>45981</v>
      </c>
      <c r="B140" s="1" t="s">
        <v>156</v>
      </c>
      <c r="C140" s="1"/>
      <c r="D140" s="28">
        <f t="shared" si="18"/>
        <v>46004</v>
      </c>
      <c r="E140" s="28">
        <f t="shared" si="19"/>
        <v>45988</v>
      </c>
      <c r="F140" s="28">
        <f t="shared" si="20"/>
        <v>45995</v>
      </c>
      <c r="G140" s="28">
        <f t="shared" si="21"/>
        <v>46001</v>
      </c>
      <c r="H140" s="28">
        <f t="shared" si="22"/>
        <v>45989</v>
      </c>
      <c r="I140" s="28">
        <f t="shared" si="23"/>
        <v>45996</v>
      </c>
      <c r="J140" s="28">
        <v>46006</v>
      </c>
      <c r="K140" s="29">
        <f t="shared" si="17"/>
        <v>25</v>
      </c>
      <c r="L140" s="1">
        <v>16.100000000000001</v>
      </c>
      <c r="M140" s="1">
        <v>13.47</v>
      </c>
      <c r="N140" s="1">
        <f t="shared" si="24"/>
        <v>2.6300000000000008</v>
      </c>
      <c r="O140" s="1" t="s">
        <v>379</v>
      </c>
    </row>
    <row r="141" spans="1:15" x14ac:dyDescent="0.25">
      <c r="A141" s="28">
        <v>45981</v>
      </c>
      <c r="B141" s="1" t="s">
        <v>157</v>
      </c>
      <c r="C141" s="1"/>
      <c r="D141" s="28">
        <f t="shared" si="18"/>
        <v>46004</v>
      </c>
      <c r="E141" s="28">
        <f t="shared" si="19"/>
        <v>45988</v>
      </c>
      <c r="F141" s="28">
        <f t="shared" si="20"/>
        <v>45995</v>
      </c>
      <c r="G141" s="28">
        <f t="shared" si="21"/>
        <v>46001</v>
      </c>
      <c r="H141" s="28">
        <f t="shared" si="22"/>
        <v>45989</v>
      </c>
      <c r="I141" s="28">
        <f t="shared" si="23"/>
        <v>45996</v>
      </c>
      <c r="J141" s="28">
        <v>46006</v>
      </c>
      <c r="K141" s="29">
        <f t="shared" si="17"/>
        <v>25</v>
      </c>
      <c r="L141" s="1">
        <v>16.190000000000001</v>
      </c>
      <c r="M141" s="1">
        <v>12.1</v>
      </c>
      <c r="N141" s="1">
        <f t="shared" si="24"/>
        <v>4.0900000000000016</v>
      </c>
      <c r="O141" s="1" t="s">
        <v>379</v>
      </c>
    </row>
    <row r="142" spans="1:15" x14ac:dyDescent="0.25">
      <c r="A142" s="28">
        <v>45981</v>
      </c>
      <c r="B142" s="1" t="s">
        <v>158</v>
      </c>
      <c r="C142" s="1"/>
      <c r="D142" s="28">
        <f t="shared" si="18"/>
        <v>46004</v>
      </c>
      <c r="E142" s="28">
        <f t="shared" si="19"/>
        <v>45988</v>
      </c>
      <c r="F142" s="28">
        <f t="shared" si="20"/>
        <v>45995</v>
      </c>
      <c r="G142" s="28">
        <f t="shared" si="21"/>
        <v>46001</v>
      </c>
      <c r="H142" s="28">
        <f t="shared" si="22"/>
        <v>45989</v>
      </c>
      <c r="I142" s="28">
        <f t="shared" si="23"/>
        <v>45996</v>
      </c>
      <c r="J142" s="28">
        <v>46007</v>
      </c>
      <c r="K142" s="29">
        <f t="shared" si="17"/>
        <v>26</v>
      </c>
      <c r="L142" s="1">
        <v>16.670000000000002</v>
      </c>
      <c r="M142" s="1">
        <v>7.1</v>
      </c>
      <c r="N142" s="1">
        <f t="shared" si="24"/>
        <v>9.5700000000000021</v>
      </c>
      <c r="O142" s="1" t="s">
        <v>378</v>
      </c>
    </row>
    <row r="143" spans="1:15" x14ac:dyDescent="0.25">
      <c r="A143" s="28">
        <v>45981</v>
      </c>
      <c r="B143" s="1" t="s">
        <v>159</v>
      </c>
      <c r="C143" s="1"/>
      <c r="D143" s="28">
        <f t="shared" si="18"/>
        <v>46004</v>
      </c>
      <c r="E143" s="28">
        <f t="shared" si="19"/>
        <v>45988</v>
      </c>
      <c r="F143" s="28">
        <f t="shared" si="20"/>
        <v>45995</v>
      </c>
      <c r="G143" s="28">
        <f t="shared" si="21"/>
        <v>46001</v>
      </c>
      <c r="H143" s="28">
        <f t="shared" si="22"/>
        <v>45989</v>
      </c>
      <c r="I143" s="28">
        <f t="shared" si="23"/>
        <v>45996</v>
      </c>
      <c r="J143" s="28">
        <v>46007</v>
      </c>
      <c r="K143" s="29">
        <f t="shared" si="17"/>
        <v>26</v>
      </c>
      <c r="L143" s="1">
        <v>17.100000000000001</v>
      </c>
      <c r="M143" s="1">
        <v>7.33</v>
      </c>
      <c r="N143" s="1">
        <f t="shared" si="24"/>
        <v>9.7700000000000014</v>
      </c>
      <c r="O143" s="1" t="s">
        <v>378</v>
      </c>
    </row>
    <row r="144" spans="1:15" x14ac:dyDescent="0.25">
      <c r="A144" s="28">
        <v>45982</v>
      </c>
      <c r="B144" s="1" t="s">
        <v>173</v>
      </c>
      <c r="C144" s="1"/>
      <c r="D144" s="28">
        <f t="shared" si="18"/>
        <v>46005</v>
      </c>
      <c r="E144" s="28">
        <f t="shared" si="19"/>
        <v>45989</v>
      </c>
      <c r="F144" s="28">
        <f t="shared" si="20"/>
        <v>45996</v>
      </c>
      <c r="G144" s="28">
        <f t="shared" si="21"/>
        <v>46002</v>
      </c>
      <c r="H144" s="28">
        <f t="shared" si="22"/>
        <v>45990</v>
      </c>
      <c r="I144" s="28">
        <f t="shared" si="23"/>
        <v>45997</v>
      </c>
      <c r="J144" s="28">
        <v>46008</v>
      </c>
      <c r="K144" s="29">
        <f t="shared" si="17"/>
        <v>26</v>
      </c>
      <c r="L144" s="31">
        <v>16.13</v>
      </c>
      <c r="M144" s="32">
        <v>14.08</v>
      </c>
      <c r="N144" s="1">
        <f t="shared" si="24"/>
        <v>2.0499999999999989</v>
      </c>
      <c r="O144" s="1" t="s">
        <v>379</v>
      </c>
    </row>
    <row r="145" spans="1:15" x14ac:dyDescent="0.25">
      <c r="A145" s="28">
        <v>45982</v>
      </c>
      <c r="B145" s="1" t="s">
        <v>174</v>
      </c>
      <c r="C145" s="1"/>
      <c r="D145" s="28">
        <f t="shared" si="18"/>
        <v>46005</v>
      </c>
      <c r="E145" s="28">
        <f t="shared" si="19"/>
        <v>45989</v>
      </c>
      <c r="F145" s="28">
        <f t="shared" si="20"/>
        <v>45996</v>
      </c>
      <c r="G145" s="28">
        <f t="shared" si="21"/>
        <v>46002</v>
      </c>
      <c r="H145" s="28">
        <f t="shared" si="22"/>
        <v>45990</v>
      </c>
      <c r="I145" s="28">
        <f t="shared" si="23"/>
        <v>45997</v>
      </c>
      <c r="J145" s="28">
        <v>46008</v>
      </c>
      <c r="K145" s="29">
        <f t="shared" si="17"/>
        <v>26</v>
      </c>
      <c r="L145" s="31">
        <v>17.260000000000002</v>
      </c>
      <c r="M145" s="32">
        <v>15.21</v>
      </c>
      <c r="N145" s="1">
        <f t="shared" si="24"/>
        <v>2.0500000000000007</v>
      </c>
      <c r="O145" s="1" t="s">
        <v>379</v>
      </c>
    </row>
    <row r="146" spans="1:15" x14ac:dyDescent="0.25">
      <c r="A146" s="28">
        <v>45982</v>
      </c>
      <c r="B146" s="1" t="s">
        <v>175</v>
      </c>
      <c r="C146" s="1"/>
      <c r="D146" s="28">
        <f t="shared" si="18"/>
        <v>46005</v>
      </c>
      <c r="E146" s="28">
        <f t="shared" si="19"/>
        <v>45989</v>
      </c>
      <c r="F146" s="28">
        <f t="shared" si="20"/>
        <v>45996</v>
      </c>
      <c r="G146" s="28">
        <f t="shared" si="21"/>
        <v>46002</v>
      </c>
      <c r="H146" s="28">
        <f t="shared" si="22"/>
        <v>45990</v>
      </c>
      <c r="I146" s="28">
        <f t="shared" si="23"/>
        <v>45997</v>
      </c>
      <c r="J146" s="28">
        <v>46008</v>
      </c>
      <c r="K146" s="29">
        <f t="shared" si="17"/>
        <v>26</v>
      </c>
      <c r="L146" s="31">
        <v>17.8</v>
      </c>
      <c r="M146" s="32">
        <v>15.56</v>
      </c>
      <c r="N146" s="1">
        <f t="shared" si="24"/>
        <v>2.2400000000000002</v>
      </c>
      <c r="O146" s="1" t="s">
        <v>379</v>
      </c>
    </row>
    <row r="147" spans="1:15" x14ac:dyDescent="0.25">
      <c r="A147" s="28">
        <v>45982</v>
      </c>
      <c r="B147" s="1" t="s">
        <v>176</v>
      </c>
      <c r="C147" s="1"/>
      <c r="D147" s="28">
        <f t="shared" si="18"/>
        <v>46005</v>
      </c>
      <c r="E147" s="28">
        <f t="shared" si="19"/>
        <v>45989</v>
      </c>
      <c r="F147" s="28">
        <f t="shared" si="20"/>
        <v>45996</v>
      </c>
      <c r="G147" s="28">
        <f t="shared" si="21"/>
        <v>46002</v>
      </c>
      <c r="H147" s="28">
        <f t="shared" si="22"/>
        <v>45990</v>
      </c>
      <c r="I147" s="28">
        <f t="shared" si="23"/>
        <v>45997</v>
      </c>
      <c r="J147" s="28">
        <v>46008</v>
      </c>
      <c r="K147" s="29">
        <f t="shared" si="17"/>
        <v>26</v>
      </c>
      <c r="L147" s="31">
        <v>18.149999999999999</v>
      </c>
      <c r="M147" s="32">
        <v>16.2</v>
      </c>
      <c r="N147" s="1">
        <f t="shared" si="24"/>
        <v>1.9499999999999993</v>
      </c>
      <c r="O147" s="1" t="s">
        <v>379</v>
      </c>
    </row>
    <row r="148" spans="1:15" x14ac:dyDescent="0.25">
      <c r="A148" s="28">
        <v>45982</v>
      </c>
      <c r="B148" s="1" t="s">
        <v>177</v>
      </c>
      <c r="C148" s="1"/>
      <c r="D148" s="28">
        <f t="shared" si="18"/>
        <v>46005</v>
      </c>
      <c r="E148" s="28">
        <f t="shared" si="19"/>
        <v>45989</v>
      </c>
      <c r="F148" s="28">
        <f t="shared" si="20"/>
        <v>45996</v>
      </c>
      <c r="G148" s="28">
        <f t="shared" si="21"/>
        <v>46002</v>
      </c>
      <c r="H148" s="28">
        <f t="shared" si="22"/>
        <v>45990</v>
      </c>
      <c r="I148" s="28">
        <f t="shared" si="23"/>
        <v>45997</v>
      </c>
      <c r="J148" s="28">
        <v>46008</v>
      </c>
      <c r="K148" s="29">
        <f t="shared" si="17"/>
        <v>26</v>
      </c>
      <c r="L148" s="31">
        <v>17.010000000000002</v>
      </c>
      <c r="M148" s="32">
        <v>14.88</v>
      </c>
      <c r="N148" s="1">
        <f t="shared" si="24"/>
        <v>2.1300000000000008</v>
      </c>
      <c r="O148" s="1" t="s">
        <v>379</v>
      </c>
    </row>
    <row r="149" spans="1:15" x14ac:dyDescent="0.25">
      <c r="A149" s="28">
        <v>45982</v>
      </c>
      <c r="B149" s="1" t="s">
        <v>178</v>
      </c>
      <c r="C149" s="1"/>
      <c r="D149" s="28">
        <f t="shared" si="18"/>
        <v>46005</v>
      </c>
      <c r="E149" s="28">
        <f t="shared" si="19"/>
        <v>45989</v>
      </c>
      <c r="F149" s="28">
        <f t="shared" si="20"/>
        <v>45996</v>
      </c>
      <c r="G149" s="28">
        <f t="shared" si="21"/>
        <v>46002</v>
      </c>
      <c r="H149" s="28">
        <f t="shared" si="22"/>
        <v>45990</v>
      </c>
      <c r="I149" s="28">
        <f t="shared" si="23"/>
        <v>45997</v>
      </c>
      <c r="J149" s="28">
        <v>46009</v>
      </c>
      <c r="K149" s="29">
        <f t="shared" si="17"/>
        <v>27</v>
      </c>
      <c r="L149" s="1">
        <v>14.23</v>
      </c>
      <c r="M149" s="1">
        <v>7.06</v>
      </c>
      <c r="N149" s="1">
        <f t="shared" si="24"/>
        <v>7.1700000000000008</v>
      </c>
      <c r="O149" s="1" t="s">
        <v>378</v>
      </c>
    </row>
    <row r="150" spans="1:15" x14ac:dyDescent="0.25">
      <c r="A150" s="28">
        <v>45982</v>
      </c>
      <c r="B150" s="1" t="s">
        <v>179</v>
      </c>
      <c r="C150" s="1"/>
      <c r="D150" s="28">
        <f t="shared" si="18"/>
        <v>46005</v>
      </c>
      <c r="E150" s="28">
        <f t="shared" si="19"/>
        <v>45989</v>
      </c>
      <c r="F150" s="28">
        <f t="shared" si="20"/>
        <v>45996</v>
      </c>
      <c r="G150" s="28">
        <f t="shared" si="21"/>
        <v>46002</v>
      </c>
      <c r="H150" s="28">
        <f t="shared" si="22"/>
        <v>45990</v>
      </c>
      <c r="I150" s="28">
        <f t="shared" si="23"/>
        <v>45997</v>
      </c>
      <c r="J150" s="28">
        <v>46009</v>
      </c>
      <c r="K150" s="29">
        <f t="shared" si="17"/>
        <v>27</v>
      </c>
      <c r="L150" s="1">
        <v>14.51</v>
      </c>
      <c r="M150" s="1">
        <v>7.12</v>
      </c>
      <c r="N150" s="1">
        <f t="shared" si="24"/>
        <v>7.39</v>
      </c>
      <c r="O150" s="1" t="s">
        <v>378</v>
      </c>
    </row>
    <row r="151" spans="1:15" x14ac:dyDescent="0.25">
      <c r="A151" s="28">
        <v>45983</v>
      </c>
      <c r="B151" s="1" t="s">
        <v>160</v>
      </c>
      <c r="C151" s="1"/>
      <c r="D151" s="28">
        <f t="shared" si="18"/>
        <v>46006</v>
      </c>
      <c r="E151" s="28">
        <f t="shared" si="19"/>
        <v>45990</v>
      </c>
      <c r="F151" s="28">
        <f t="shared" si="20"/>
        <v>45997</v>
      </c>
      <c r="G151" s="28">
        <f t="shared" si="21"/>
        <v>46003</v>
      </c>
      <c r="H151" s="28">
        <f t="shared" si="22"/>
        <v>45991</v>
      </c>
      <c r="I151" s="28">
        <f t="shared" si="23"/>
        <v>45998</v>
      </c>
      <c r="J151" s="28">
        <v>46009</v>
      </c>
      <c r="K151" s="29">
        <f t="shared" si="17"/>
        <v>26</v>
      </c>
      <c r="L151" s="1">
        <v>16.899999999999999</v>
      </c>
      <c r="M151" s="1">
        <v>14.19</v>
      </c>
      <c r="N151" s="1">
        <f t="shared" si="24"/>
        <v>2.7099999999999991</v>
      </c>
      <c r="O151" s="1" t="s">
        <v>379</v>
      </c>
    </row>
    <row r="152" spans="1:15" x14ac:dyDescent="0.25">
      <c r="A152" s="28">
        <v>45983</v>
      </c>
      <c r="B152" s="1" t="s">
        <v>161</v>
      </c>
      <c r="C152" s="1"/>
      <c r="D152" s="28">
        <f t="shared" si="18"/>
        <v>46006</v>
      </c>
      <c r="E152" s="28">
        <f t="shared" si="19"/>
        <v>45990</v>
      </c>
      <c r="F152" s="28">
        <f t="shared" si="20"/>
        <v>45997</v>
      </c>
      <c r="G152" s="28">
        <f t="shared" si="21"/>
        <v>46003</v>
      </c>
      <c r="H152" s="28">
        <f t="shared" si="22"/>
        <v>45991</v>
      </c>
      <c r="I152" s="28">
        <f t="shared" si="23"/>
        <v>45998</v>
      </c>
      <c r="J152" s="28">
        <v>46009</v>
      </c>
      <c r="K152" s="29">
        <f t="shared" si="17"/>
        <v>26</v>
      </c>
      <c r="L152" s="1">
        <v>17.96</v>
      </c>
      <c r="M152" s="1">
        <v>15.06</v>
      </c>
      <c r="N152" s="1">
        <f t="shared" si="24"/>
        <v>2.9000000000000004</v>
      </c>
      <c r="O152" s="1" t="s">
        <v>379</v>
      </c>
    </row>
    <row r="153" spans="1:15" x14ac:dyDescent="0.25">
      <c r="A153" s="28">
        <v>45983</v>
      </c>
      <c r="B153" s="1" t="s">
        <v>162</v>
      </c>
      <c r="C153" s="1"/>
      <c r="D153" s="28">
        <f t="shared" si="18"/>
        <v>46006</v>
      </c>
      <c r="E153" s="28">
        <f t="shared" si="19"/>
        <v>45990</v>
      </c>
      <c r="F153" s="28">
        <f t="shared" si="20"/>
        <v>45997</v>
      </c>
      <c r="G153" s="28">
        <f t="shared" si="21"/>
        <v>46003</v>
      </c>
      <c r="H153" s="28">
        <f t="shared" si="22"/>
        <v>45991</v>
      </c>
      <c r="I153" s="28">
        <f t="shared" si="23"/>
        <v>45998</v>
      </c>
      <c r="J153" s="28">
        <v>46009</v>
      </c>
      <c r="K153" s="29">
        <f t="shared" si="17"/>
        <v>26</v>
      </c>
      <c r="L153" s="1">
        <v>16.03</v>
      </c>
      <c r="M153" s="1">
        <v>13.98</v>
      </c>
      <c r="N153" s="1">
        <f t="shared" si="24"/>
        <v>2.0500000000000007</v>
      </c>
      <c r="O153" s="1" t="s">
        <v>379</v>
      </c>
    </row>
    <row r="154" spans="1:15" x14ac:dyDescent="0.25">
      <c r="A154" s="28">
        <v>45983</v>
      </c>
      <c r="B154" s="1" t="s">
        <v>163</v>
      </c>
      <c r="C154" s="1"/>
      <c r="D154" s="28">
        <f t="shared" si="18"/>
        <v>46006</v>
      </c>
      <c r="E154" s="28">
        <f t="shared" si="19"/>
        <v>45990</v>
      </c>
      <c r="F154" s="28">
        <f t="shared" si="20"/>
        <v>45997</v>
      </c>
      <c r="G154" s="28">
        <f t="shared" si="21"/>
        <v>46003</v>
      </c>
      <c r="H154" s="28">
        <f t="shared" si="22"/>
        <v>45991</v>
      </c>
      <c r="I154" s="28">
        <f t="shared" si="23"/>
        <v>45998</v>
      </c>
      <c r="J154" s="28">
        <v>46009</v>
      </c>
      <c r="K154" s="29">
        <f t="shared" si="17"/>
        <v>26</v>
      </c>
      <c r="L154" s="1">
        <v>17.190000000000001</v>
      </c>
      <c r="M154" s="1">
        <v>14.57</v>
      </c>
      <c r="N154" s="1">
        <f t="shared" si="24"/>
        <v>2.620000000000001</v>
      </c>
      <c r="O154" s="1" t="s">
        <v>379</v>
      </c>
    </row>
    <row r="155" spans="1:15" x14ac:dyDescent="0.25">
      <c r="A155" s="28">
        <v>45983</v>
      </c>
      <c r="B155" s="1" t="s">
        <v>164</v>
      </c>
      <c r="C155" s="1"/>
      <c r="D155" s="28">
        <f t="shared" si="18"/>
        <v>46006</v>
      </c>
      <c r="E155" s="28">
        <f t="shared" si="19"/>
        <v>45990</v>
      </c>
      <c r="F155" s="28">
        <f t="shared" si="20"/>
        <v>45997</v>
      </c>
      <c r="G155" s="28">
        <f t="shared" si="21"/>
        <v>46003</v>
      </c>
      <c r="H155" s="28">
        <f t="shared" si="22"/>
        <v>45991</v>
      </c>
      <c r="I155" s="28">
        <f t="shared" si="23"/>
        <v>45998</v>
      </c>
      <c r="J155" s="28">
        <v>46010</v>
      </c>
      <c r="K155" s="29">
        <f t="shared" si="17"/>
        <v>27</v>
      </c>
      <c r="L155" s="31">
        <v>19.37</v>
      </c>
      <c r="M155" s="32">
        <v>10.11</v>
      </c>
      <c r="N155" s="1">
        <f t="shared" si="24"/>
        <v>9.2600000000000016</v>
      </c>
      <c r="O155" s="32" t="s">
        <v>378</v>
      </c>
    </row>
    <row r="156" spans="1:15" x14ac:dyDescent="0.25">
      <c r="A156" s="28">
        <v>45983</v>
      </c>
      <c r="B156" s="1" t="s">
        <v>165</v>
      </c>
      <c r="C156" s="1"/>
      <c r="D156" s="28">
        <f t="shared" si="18"/>
        <v>46006</v>
      </c>
      <c r="E156" s="28">
        <f t="shared" si="19"/>
        <v>45990</v>
      </c>
      <c r="F156" s="28">
        <f t="shared" si="20"/>
        <v>45997</v>
      </c>
      <c r="G156" s="28">
        <f t="shared" si="21"/>
        <v>46003</v>
      </c>
      <c r="H156" s="28">
        <f t="shared" si="22"/>
        <v>45991</v>
      </c>
      <c r="I156" s="28">
        <f t="shared" si="23"/>
        <v>45998</v>
      </c>
      <c r="J156" s="28">
        <v>46010</v>
      </c>
      <c r="K156" s="29">
        <f t="shared" si="17"/>
        <v>27</v>
      </c>
      <c r="L156" s="31">
        <v>16.52</v>
      </c>
      <c r="M156" s="32">
        <v>8.27</v>
      </c>
      <c r="N156" s="1">
        <f t="shared" si="24"/>
        <v>8.25</v>
      </c>
      <c r="O156" s="32" t="s">
        <v>378</v>
      </c>
    </row>
    <row r="157" spans="1:15" x14ac:dyDescent="0.25">
      <c r="A157" s="28">
        <v>45983</v>
      </c>
      <c r="B157" s="1" t="s">
        <v>166</v>
      </c>
      <c r="C157" s="1"/>
      <c r="D157" s="28">
        <f t="shared" si="18"/>
        <v>46006</v>
      </c>
      <c r="E157" s="28">
        <f t="shared" si="19"/>
        <v>45990</v>
      </c>
      <c r="F157" s="28">
        <f t="shared" si="20"/>
        <v>45997</v>
      </c>
      <c r="G157" s="28">
        <f t="shared" si="21"/>
        <v>46003</v>
      </c>
      <c r="H157" s="28">
        <f t="shared" si="22"/>
        <v>45991</v>
      </c>
      <c r="I157" s="28">
        <f t="shared" si="23"/>
        <v>45998</v>
      </c>
      <c r="J157" s="28">
        <v>46010</v>
      </c>
      <c r="K157" s="29">
        <f t="shared" si="17"/>
        <v>27</v>
      </c>
      <c r="L157" s="31">
        <v>15.76</v>
      </c>
      <c r="M157" s="32">
        <v>13.89</v>
      </c>
      <c r="N157" s="1">
        <f t="shared" si="24"/>
        <v>1.8699999999999992</v>
      </c>
      <c r="O157" s="32" t="s">
        <v>379</v>
      </c>
    </row>
    <row r="158" spans="1:15" x14ac:dyDescent="0.25">
      <c r="A158" s="28">
        <v>45984</v>
      </c>
      <c r="B158" s="1" t="s">
        <v>180</v>
      </c>
      <c r="C158" s="1"/>
      <c r="D158" s="28">
        <f t="shared" si="18"/>
        <v>46007</v>
      </c>
      <c r="E158" s="28">
        <f t="shared" si="19"/>
        <v>45991</v>
      </c>
      <c r="F158" s="28">
        <f t="shared" si="20"/>
        <v>45998</v>
      </c>
      <c r="G158" s="28">
        <f t="shared" si="21"/>
        <v>46004</v>
      </c>
      <c r="H158" s="28">
        <f t="shared" si="22"/>
        <v>45992</v>
      </c>
      <c r="I158" s="28">
        <f t="shared" si="23"/>
        <v>45999</v>
      </c>
      <c r="J158" s="28">
        <v>46010</v>
      </c>
      <c r="K158" s="29">
        <f t="shared" si="17"/>
        <v>26</v>
      </c>
      <c r="L158" s="31">
        <v>17.02</v>
      </c>
      <c r="M158" s="32">
        <v>15.12</v>
      </c>
      <c r="N158" s="1">
        <f t="shared" si="24"/>
        <v>1.9000000000000004</v>
      </c>
      <c r="O158" s="32" t="s">
        <v>379</v>
      </c>
    </row>
    <row r="159" spans="1:15" x14ac:dyDescent="0.25">
      <c r="A159" s="28">
        <v>45984</v>
      </c>
      <c r="B159" s="1" t="s">
        <v>181</v>
      </c>
      <c r="C159" s="1"/>
      <c r="D159" s="28">
        <f t="shared" si="18"/>
        <v>46007</v>
      </c>
      <c r="E159" s="28">
        <f t="shared" si="19"/>
        <v>45991</v>
      </c>
      <c r="F159" s="28">
        <f t="shared" si="20"/>
        <v>45998</v>
      </c>
      <c r="G159" s="28">
        <f t="shared" si="21"/>
        <v>46004</v>
      </c>
      <c r="H159" s="28">
        <f t="shared" si="22"/>
        <v>45992</v>
      </c>
      <c r="I159" s="28">
        <f t="shared" si="23"/>
        <v>45999</v>
      </c>
      <c r="J159" s="28">
        <v>46010</v>
      </c>
      <c r="K159" s="29">
        <f t="shared" si="17"/>
        <v>26</v>
      </c>
      <c r="L159" s="31">
        <v>16.170000000000002</v>
      </c>
      <c r="M159" s="32">
        <v>14.59</v>
      </c>
      <c r="N159" s="1">
        <f t="shared" si="24"/>
        <v>1.5800000000000018</v>
      </c>
      <c r="O159" s="32" t="s">
        <v>379</v>
      </c>
    </row>
    <row r="160" spans="1:15" x14ac:dyDescent="0.25">
      <c r="A160" s="28">
        <v>45984</v>
      </c>
      <c r="B160" s="1" t="s">
        <v>182</v>
      </c>
      <c r="C160" s="1"/>
      <c r="D160" s="28">
        <f t="shared" si="18"/>
        <v>46007</v>
      </c>
      <c r="E160" s="28">
        <f t="shared" si="19"/>
        <v>45991</v>
      </c>
      <c r="F160" s="28">
        <f t="shared" si="20"/>
        <v>45998</v>
      </c>
      <c r="G160" s="28">
        <f t="shared" si="21"/>
        <v>46004</v>
      </c>
      <c r="H160" s="28">
        <f t="shared" si="22"/>
        <v>45992</v>
      </c>
      <c r="I160" s="28">
        <f t="shared" si="23"/>
        <v>45999</v>
      </c>
      <c r="J160" s="28">
        <v>46010</v>
      </c>
      <c r="K160" s="29">
        <f t="shared" si="17"/>
        <v>26</v>
      </c>
      <c r="L160" s="31">
        <v>16.89</v>
      </c>
      <c r="M160" s="32">
        <v>15.28</v>
      </c>
      <c r="N160" s="1">
        <f t="shared" si="24"/>
        <v>1.6100000000000012</v>
      </c>
      <c r="O160" s="32" t="s">
        <v>379</v>
      </c>
    </row>
    <row r="161" spans="1:15" x14ac:dyDescent="0.25">
      <c r="A161" s="28">
        <v>45984</v>
      </c>
      <c r="B161" s="1" t="s">
        <v>183</v>
      </c>
      <c r="C161" s="1"/>
      <c r="D161" s="28">
        <f t="shared" si="18"/>
        <v>46007</v>
      </c>
      <c r="E161" s="28">
        <f t="shared" si="19"/>
        <v>45991</v>
      </c>
      <c r="F161" s="28">
        <f t="shared" si="20"/>
        <v>45998</v>
      </c>
      <c r="G161" s="28">
        <f t="shared" si="21"/>
        <v>46004</v>
      </c>
      <c r="H161" s="28">
        <f t="shared" si="22"/>
        <v>45992</v>
      </c>
      <c r="I161" s="28">
        <f t="shared" si="23"/>
        <v>45999</v>
      </c>
      <c r="J161" s="28">
        <v>46010</v>
      </c>
      <c r="K161" s="29">
        <f t="shared" si="17"/>
        <v>26</v>
      </c>
      <c r="L161" s="31">
        <v>18.55</v>
      </c>
      <c r="M161" s="32">
        <v>16.36</v>
      </c>
      <c r="N161" s="1">
        <f t="shared" si="24"/>
        <v>2.1900000000000013</v>
      </c>
      <c r="O161" s="32" t="s">
        <v>379</v>
      </c>
    </row>
    <row r="162" spans="1:15" x14ac:dyDescent="0.25">
      <c r="A162" s="28">
        <v>45984</v>
      </c>
      <c r="B162" s="1" t="s">
        <v>184</v>
      </c>
      <c r="C162" s="1"/>
      <c r="D162" s="28">
        <f t="shared" si="18"/>
        <v>46007</v>
      </c>
      <c r="E162" s="28">
        <f t="shared" si="19"/>
        <v>45991</v>
      </c>
      <c r="F162" s="28">
        <f t="shared" si="20"/>
        <v>45998</v>
      </c>
      <c r="G162" s="28">
        <f t="shared" si="21"/>
        <v>46004</v>
      </c>
      <c r="H162" s="28">
        <f t="shared" si="22"/>
        <v>45992</v>
      </c>
      <c r="I162" s="28">
        <f t="shared" si="23"/>
        <v>45999</v>
      </c>
      <c r="J162" s="28">
        <v>46011</v>
      </c>
      <c r="K162" s="29">
        <f t="shared" si="17"/>
        <v>27</v>
      </c>
      <c r="L162" s="1">
        <v>18.93</v>
      </c>
      <c r="M162" s="1">
        <v>9.1300000000000008</v>
      </c>
      <c r="N162" s="1">
        <f t="shared" si="24"/>
        <v>9.7999999999999989</v>
      </c>
      <c r="O162" s="1" t="s">
        <v>378</v>
      </c>
    </row>
    <row r="163" spans="1:15" x14ac:dyDescent="0.25">
      <c r="A163" s="28">
        <v>45984</v>
      </c>
      <c r="B163" s="1" t="s">
        <v>185</v>
      </c>
      <c r="C163" s="1"/>
      <c r="D163" s="28">
        <f t="shared" si="18"/>
        <v>46007</v>
      </c>
      <c r="E163" s="28">
        <f t="shared" si="19"/>
        <v>45991</v>
      </c>
      <c r="F163" s="28">
        <f t="shared" si="20"/>
        <v>45998</v>
      </c>
      <c r="G163" s="28">
        <f t="shared" si="21"/>
        <v>46004</v>
      </c>
      <c r="H163" s="28">
        <f t="shared" si="22"/>
        <v>45992</v>
      </c>
      <c r="I163" s="28">
        <f t="shared" si="23"/>
        <v>45999</v>
      </c>
      <c r="J163" s="28">
        <v>46011</v>
      </c>
      <c r="K163" s="29">
        <f t="shared" ref="K163:K169" si="25">J163-A163</f>
        <v>27</v>
      </c>
      <c r="L163" s="1">
        <v>17.239999999999998</v>
      </c>
      <c r="M163" s="1">
        <v>8.7200000000000006</v>
      </c>
      <c r="N163" s="1">
        <f t="shared" si="24"/>
        <v>8.5199999999999978</v>
      </c>
      <c r="O163" s="1" t="s">
        <v>378</v>
      </c>
    </row>
    <row r="164" spans="1:15" x14ac:dyDescent="0.25">
      <c r="A164" s="28">
        <v>45984</v>
      </c>
      <c r="B164" s="1" t="s">
        <v>186</v>
      </c>
      <c r="C164" s="1"/>
      <c r="D164" s="28">
        <f t="shared" si="18"/>
        <v>46007</v>
      </c>
      <c r="E164" s="28">
        <f t="shared" si="19"/>
        <v>45991</v>
      </c>
      <c r="F164" s="28">
        <f t="shared" si="20"/>
        <v>45998</v>
      </c>
      <c r="G164" s="28">
        <f t="shared" si="21"/>
        <v>46004</v>
      </c>
      <c r="H164" s="28">
        <f t="shared" si="22"/>
        <v>45992</v>
      </c>
      <c r="I164" s="28">
        <f t="shared" si="23"/>
        <v>45999</v>
      </c>
      <c r="J164" s="28">
        <v>46011</v>
      </c>
      <c r="K164" s="29">
        <f t="shared" si="25"/>
        <v>27</v>
      </c>
      <c r="L164" s="1">
        <v>16.22</v>
      </c>
      <c r="M164" s="1">
        <v>8.1199999999999992</v>
      </c>
      <c r="N164" s="1">
        <f t="shared" si="24"/>
        <v>8.1</v>
      </c>
      <c r="O164" s="1" t="s">
        <v>378</v>
      </c>
    </row>
    <row r="165" spans="1:15" x14ac:dyDescent="0.25">
      <c r="A165" s="28">
        <v>45985</v>
      </c>
      <c r="B165" s="1" t="s">
        <v>167</v>
      </c>
      <c r="C165" s="1"/>
      <c r="D165" s="28">
        <f t="shared" si="18"/>
        <v>46008</v>
      </c>
      <c r="E165" s="28">
        <f t="shared" si="19"/>
        <v>45992</v>
      </c>
      <c r="F165" s="28">
        <f t="shared" si="20"/>
        <v>45999</v>
      </c>
      <c r="G165" s="28">
        <f t="shared" si="21"/>
        <v>46005</v>
      </c>
      <c r="H165" s="28">
        <f t="shared" si="22"/>
        <v>45993</v>
      </c>
      <c r="I165" s="28">
        <f t="shared" si="23"/>
        <v>46000</v>
      </c>
      <c r="J165" s="28">
        <v>46011</v>
      </c>
      <c r="K165" s="29">
        <f t="shared" si="25"/>
        <v>26</v>
      </c>
      <c r="L165" s="1">
        <v>15.2</v>
      </c>
      <c r="M165" s="1">
        <v>8.43</v>
      </c>
      <c r="N165" s="1">
        <f t="shared" si="24"/>
        <v>6.77</v>
      </c>
      <c r="O165" s="1" t="s">
        <v>378</v>
      </c>
    </row>
    <row r="166" spans="1:15" x14ac:dyDescent="0.25">
      <c r="A166" s="28">
        <v>45985</v>
      </c>
      <c r="B166" s="1" t="s">
        <v>168</v>
      </c>
      <c r="C166" s="1"/>
      <c r="D166" s="28">
        <f t="shared" si="18"/>
        <v>46008</v>
      </c>
      <c r="E166" s="28">
        <f t="shared" si="19"/>
        <v>45992</v>
      </c>
      <c r="F166" s="28">
        <f t="shared" si="20"/>
        <v>45999</v>
      </c>
      <c r="G166" s="28">
        <f t="shared" si="21"/>
        <v>46005</v>
      </c>
      <c r="H166" s="28">
        <f t="shared" si="22"/>
        <v>45993</v>
      </c>
      <c r="I166" s="28">
        <f t="shared" si="23"/>
        <v>46000</v>
      </c>
      <c r="J166" s="28">
        <v>46011</v>
      </c>
      <c r="K166" s="29">
        <f t="shared" si="25"/>
        <v>26</v>
      </c>
      <c r="L166" s="1">
        <v>17.41</v>
      </c>
      <c r="M166" s="1">
        <v>15.35</v>
      </c>
      <c r="N166" s="1">
        <f t="shared" si="24"/>
        <v>2.0600000000000005</v>
      </c>
      <c r="O166" s="1" t="s">
        <v>379</v>
      </c>
    </row>
    <row r="167" spans="1:15" x14ac:dyDescent="0.25">
      <c r="A167" s="28">
        <v>45985</v>
      </c>
      <c r="B167" s="1" t="s">
        <v>169</v>
      </c>
      <c r="C167" s="1"/>
      <c r="D167" s="28">
        <f t="shared" si="18"/>
        <v>46008</v>
      </c>
      <c r="E167" s="28">
        <f t="shared" si="19"/>
        <v>45992</v>
      </c>
      <c r="F167" s="28">
        <f t="shared" si="20"/>
        <v>45999</v>
      </c>
      <c r="G167" s="28">
        <f t="shared" si="21"/>
        <v>46005</v>
      </c>
      <c r="H167" s="28">
        <f t="shared" si="22"/>
        <v>45993</v>
      </c>
      <c r="I167" s="28">
        <f t="shared" si="23"/>
        <v>46000</v>
      </c>
      <c r="J167" s="28">
        <v>46011</v>
      </c>
      <c r="K167" s="29">
        <f t="shared" si="25"/>
        <v>26</v>
      </c>
      <c r="L167" s="1">
        <v>15.87</v>
      </c>
      <c r="M167" s="1">
        <v>14.92</v>
      </c>
      <c r="N167" s="1">
        <f t="shared" si="24"/>
        <v>0.94999999999999929</v>
      </c>
      <c r="O167" s="1" t="s">
        <v>379</v>
      </c>
    </row>
    <row r="168" spans="1:15" x14ac:dyDescent="0.25">
      <c r="A168" s="28">
        <v>45985</v>
      </c>
      <c r="B168" s="1" t="s">
        <v>170</v>
      </c>
      <c r="C168" s="1"/>
      <c r="D168" s="28">
        <f t="shared" si="18"/>
        <v>46008</v>
      </c>
      <c r="E168" s="28">
        <f t="shared" si="19"/>
        <v>45992</v>
      </c>
      <c r="F168" s="28">
        <f t="shared" si="20"/>
        <v>45999</v>
      </c>
      <c r="G168" s="28">
        <f t="shared" si="21"/>
        <v>46005</v>
      </c>
      <c r="H168" s="28">
        <f t="shared" si="22"/>
        <v>45993</v>
      </c>
      <c r="I168" s="28">
        <f t="shared" si="23"/>
        <v>46000</v>
      </c>
      <c r="J168" s="28">
        <v>46011</v>
      </c>
      <c r="K168" s="29">
        <f t="shared" si="25"/>
        <v>26</v>
      </c>
      <c r="L168" s="1">
        <v>14.73</v>
      </c>
      <c r="M168" s="1">
        <v>13.63</v>
      </c>
      <c r="N168" s="1">
        <f t="shared" si="24"/>
        <v>1.0999999999999996</v>
      </c>
      <c r="O168" s="1" t="s">
        <v>379</v>
      </c>
    </row>
    <row r="169" spans="1:15" x14ac:dyDescent="0.25">
      <c r="A169" s="28">
        <v>45985</v>
      </c>
      <c r="B169" s="1" t="s">
        <v>171</v>
      </c>
      <c r="C169" s="1"/>
      <c r="D169" s="28">
        <f t="shared" si="18"/>
        <v>46008</v>
      </c>
      <c r="E169" s="28">
        <f t="shared" si="19"/>
        <v>45992</v>
      </c>
      <c r="F169" s="28">
        <f t="shared" si="20"/>
        <v>45999</v>
      </c>
      <c r="G169" s="28">
        <f t="shared" si="21"/>
        <v>46005</v>
      </c>
      <c r="H169" s="28">
        <f t="shared" si="22"/>
        <v>45993</v>
      </c>
      <c r="I169" s="28">
        <f t="shared" si="23"/>
        <v>46000</v>
      </c>
      <c r="J169" s="28">
        <v>46011</v>
      </c>
      <c r="K169" s="29">
        <f t="shared" si="25"/>
        <v>26</v>
      </c>
      <c r="L169" s="1">
        <v>15.84</v>
      </c>
      <c r="M169" s="1">
        <v>13.82</v>
      </c>
      <c r="N169" s="1">
        <f t="shared" si="24"/>
        <v>2.0199999999999996</v>
      </c>
      <c r="O169" s="1" t="s">
        <v>379</v>
      </c>
    </row>
    <row r="170" spans="1:15" x14ac:dyDescent="0.25">
      <c r="A170" s="28">
        <v>45985</v>
      </c>
      <c r="B170" s="1" t="s">
        <v>187</v>
      </c>
      <c r="C170" s="1"/>
      <c r="D170" s="28">
        <f t="shared" ref="D170:D188" si="26">A170+23</f>
        <v>46008</v>
      </c>
      <c r="E170" s="28">
        <f t="shared" ref="E170:E188" si="27">A170+7</f>
        <v>45992</v>
      </c>
      <c r="F170" s="28">
        <f t="shared" ref="F170:F188" si="28">A170+14</f>
        <v>45999</v>
      </c>
      <c r="G170" s="28">
        <f t="shared" ref="G170:G188" si="29">A170+20</f>
        <v>46005</v>
      </c>
      <c r="H170" s="28">
        <f t="shared" ref="H170:H188" si="30">A170+8</f>
        <v>45993</v>
      </c>
      <c r="I170" s="28">
        <f t="shared" ref="I170:I188" si="31">A170+15</f>
        <v>46000</v>
      </c>
      <c r="J170" s="28">
        <v>46012</v>
      </c>
      <c r="K170" s="33">
        <f t="shared" ref="K170:K186" si="32">J170-A170</f>
        <v>27</v>
      </c>
      <c r="L170" s="31">
        <v>19.52</v>
      </c>
      <c r="M170" s="32">
        <v>9.18</v>
      </c>
      <c r="N170" s="1">
        <f t="shared" ref="N170:N211" si="33">L170-M170</f>
        <v>10.34</v>
      </c>
      <c r="O170" s="32" t="s">
        <v>378</v>
      </c>
    </row>
    <row r="171" spans="1:15" x14ac:dyDescent="0.25">
      <c r="A171" s="28">
        <v>45985</v>
      </c>
      <c r="B171" s="1" t="s">
        <v>188</v>
      </c>
      <c r="C171" s="1"/>
      <c r="D171" s="28">
        <f t="shared" si="26"/>
        <v>46008</v>
      </c>
      <c r="E171" s="28">
        <f t="shared" si="27"/>
        <v>45992</v>
      </c>
      <c r="F171" s="28">
        <f t="shared" si="28"/>
        <v>45999</v>
      </c>
      <c r="G171" s="28">
        <f t="shared" si="29"/>
        <v>46005</v>
      </c>
      <c r="H171" s="28">
        <f t="shared" si="30"/>
        <v>45993</v>
      </c>
      <c r="I171" s="28">
        <f t="shared" si="31"/>
        <v>46000</v>
      </c>
      <c r="J171" s="28">
        <v>46012</v>
      </c>
      <c r="K171" s="33">
        <f t="shared" si="32"/>
        <v>27</v>
      </c>
      <c r="L171" s="31">
        <v>18.739999999999998</v>
      </c>
      <c r="M171" s="32">
        <v>8.36</v>
      </c>
      <c r="N171" s="1">
        <f t="shared" si="33"/>
        <v>10.379999999999999</v>
      </c>
      <c r="O171" s="32" t="s">
        <v>378</v>
      </c>
    </row>
    <row r="172" spans="1:15" x14ac:dyDescent="0.25">
      <c r="A172" s="28">
        <v>45986</v>
      </c>
      <c r="B172" s="1" t="s">
        <v>189</v>
      </c>
      <c r="C172" s="1"/>
      <c r="D172" s="28">
        <f t="shared" si="26"/>
        <v>46009</v>
      </c>
      <c r="E172" s="28">
        <f t="shared" si="27"/>
        <v>45993</v>
      </c>
      <c r="F172" s="28">
        <f t="shared" si="28"/>
        <v>46000</v>
      </c>
      <c r="G172" s="28">
        <f t="shared" si="29"/>
        <v>46006</v>
      </c>
      <c r="H172" s="28">
        <f t="shared" si="30"/>
        <v>45994</v>
      </c>
      <c r="I172" s="28">
        <f t="shared" si="31"/>
        <v>46001</v>
      </c>
      <c r="J172" s="28">
        <v>46012</v>
      </c>
      <c r="K172" s="33">
        <f t="shared" si="32"/>
        <v>26</v>
      </c>
      <c r="L172" s="31">
        <v>14.17</v>
      </c>
      <c r="M172" s="32">
        <v>12.51</v>
      </c>
      <c r="N172" s="1">
        <f t="shared" si="33"/>
        <v>1.6600000000000001</v>
      </c>
      <c r="O172" s="32" t="s">
        <v>379</v>
      </c>
    </row>
    <row r="173" spans="1:15" x14ac:dyDescent="0.25">
      <c r="A173" s="28">
        <v>45986</v>
      </c>
      <c r="B173" s="1" t="s">
        <v>190</v>
      </c>
      <c r="C173" s="1"/>
      <c r="D173" s="28">
        <f t="shared" si="26"/>
        <v>46009</v>
      </c>
      <c r="E173" s="28">
        <f t="shared" si="27"/>
        <v>45993</v>
      </c>
      <c r="F173" s="28">
        <f t="shared" si="28"/>
        <v>46000</v>
      </c>
      <c r="G173" s="28">
        <f t="shared" si="29"/>
        <v>46006</v>
      </c>
      <c r="H173" s="28">
        <f t="shared" si="30"/>
        <v>45994</v>
      </c>
      <c r="I173" s="28">
        <f t="shared" si="31"/>
        <v>46001</v>
      </c>
      <c r="J173" s="28">
        <v>46012</v>
      </c>
      <c r="K173" s="33">
        <f t="shared" si="32"/>
        <v>26</v>
      </c>
      <c r="L173" s="31">
        <v>15.21</v>
      </c>
      <c r="M173" s="32">
        <v>13.78</v>
      </c>
      <c r="N173" s="1">
        <f t="shared" si="33"/>
        <v>1.4300000000000015</v>
      </c>
      <c r="O173" s="1" t="s">
        <v>379</v>
      </c>
    </row>
    <row r="174" spans="1:15" x14ac:dyDescent="0.25">
      <c r="A174" s="28">
        <v>45986</v>
      </c>
      <c r="B174" s="1" t="s">
        <v>191</v>
      </c>
      <c r="C174" s="1"/>
      <c r="D174" s="28">
        <f t="shared" si="26"/>
        <v>46009</v>
      </c>
      <c r="E174" s="28">
        <f t="shared" si="27"/>
        <v>45993</v>
      </c>
      <c r="F174" s="28">
        <f t="shared" si="28"/>
        <v>46000</v>
      </c>
      <c r="G174" s="28">
        <f t="shared" si="29"/>
        <v>46006</v>
      </c>
      <c r="H174" s="28">
        <f t="shared" si="30"/>
        <v>45994</v>
      </c>
      <c r="I174" s="28">
        <f t="shared" si="31"/>
        <v>46001</v>
      </c>
      <c r="J174" s="28">
        <v>46012</v>
      </c>
      <c r="K174" s="33">
        <f t="shared" si="32"/>
        <v>26</v>
      </c>
      <c r="L174" s="31">
        <v>17.86</v>
      </c>
      <c r="M174" s="32">
        <v>15.14</v>
      </c>
      <c r="N174" s="1">
        <f t="shared" si="33"/>
        <v>2.7199999999999989</v>
      </c>
      <c r="O174" s="1" t="s">
        <v>379</v>
      </c>
    </row>
    <row r="175" spans="1:15" x14ac:dyDescent="0.25">
      <c r="A175" s="28">
        <v>45986</v>
      </c>
      <c r="B175" s="1" t="s">
        <v>200</v>
      </c>
      <c r="C175" s="1"/>
      <c r="D175" s="28">
        <f t="shared" si="26"/>
        <v>46009</v>
      </c>
      <c r="E175" s="28">
        <f t="shared" si="27"/>
        <v>45993</v>
      </c>
      <c r="F175" s="28">
        <f t="shared" si="28"/>
        <v>46000</v>
      </c>
      <c r="G175" s="28">
        <f t="shared" si="29"/>
        <v>46006</v>
      </c>
      <c r="H175" s="28">
        <f t="shared" si="30"/>
        <v>45994</v>
      </c>
      <c r="I175" s="28">
        <f t="shared" si="31"/>
        <v>46001</v>
      </c>
      <c r="J175" s="28">
        <v>46013</v>
      </c>
      <c r="K175" s="33">
        <f t="shared" si="32"/>
        <v>27</v>
      </c>
      <c r="L175" s="31">
        <v>18.809999999999999</v>
      </c>
      <c r="M175" s="32">
        <v>8.51</v>
      </c>
      <c r="N175" s="1">
        <f t="shared" si="33"/>
        <v>10.299999999999999</v>
      </c>
      <c r="O175" s="1" t="s">
        <v>378</v>
      </c>
    </row>
    <row r="176" spans="1:15" x14ac:dyDescent="0.25">
      <c r="A176" s="28">
        <v>45986</v>
      </c>
      <c r="B176" s="1" t="s">
        <v>201</v>
      </c>
      <c r="C176" s="1"/>
      <c r="D176" s="28">
        <f t="shared" si="26"/>
        <v>46009</v>
      </c>
      <c r="E176" s="28">
        <f t="shared" si="27"/>
        <v>45993</v>
      </c>
      <c r="F176" s="28">
        <f t="shared" si="28"/>
        <v>46000</v>
      </c>
      <c r="G176" s="28">
        <f t="shared" si="29"/>
        <v>46006</v>
      </c>
      <c r="H176" s="28">
        <f t="shared" si="30"/>
        <v>45994</v>
      </c>
      <c r="I176" s="28">
        <f t="shared" si="31"/>
        <v>46001</v>
      </c>
      <c r="J176" s="28">
        <v>46013</v>
      </c>
      <c r="K176" s="33">
        <f t="shared" si="32"/>
        <v>27</v>
      </c>
      <c r="L176" s="31">
        <v>18.64</v>
      </c>
      <c r="M176" s="32">
        <v>8.49</v>
      </c>
      <c r="N176" s="1">
        <f t="shared" si="33"/>
        <v>10.15</v>
      </c>
      <c r="O176" s="1" t="s">
        <v>378</v>
      </c>
    </row>
    <row r="177" spans="1:15" x14ac:dyDescent="0.25">
      <c r="A177" s="28">
        <v>45986</v>
      </c>
      <c r="B177" s="1" t="s">
        <v>202</v>
      </c>
      <c r="C177" s="1"/>
      <c r="D177" s="28">
        <f t="shared" si="26"/>
        <v>46009</v>
      </c>
      <c r="E177" s="28">
        <f t="shared" si="27"/>
        <v>45993</v>
      </c>
      <c r="F177" s="28">
        <f t="shared" si="28"/>
        <v>46000</v>
      </c>
      <c r="G177" s="28">
        <f t="shared" si="29"/>
        <v>46006</v>
      </c>
      <c r="H177" s="28">
        <f t="shared" si="30"/>
        <v>45994</v>
      </c>
      <c r="I177" s="28">
        <f t="shared" si="31"/>
        <v>46001</v>
      </c>
      <c r="J177" s="28">
        <v>46012</v>
      </c>
      <c r="K177" s="33">
        <f t="shared" si="32"/>
        <v>26</v>
      </c>
      <c r="L177" s="31">
        <v>16.73</v>
      </c>
      <c r="M177" s="32">
        <v>14.42</v>
      </c>
      <c r="N177" s="1">
        <f t="shared" si="33"/>
        <v>2.3100000000000005</v>
      </c>
      <c r="O177" s="1" t="s">
        <v>379</v>
      </c>
    </row>
    <row r="178" spans="1:15" x14ac:dyDescent="0.25">
      <c r="A178" s="28">
        <v>45986</v>
      </c>
      <c r="B178" s="1" t="s">
        <v>203</v>
      </c>
      <c r="C178" s="1"/>
      <c r="D178" s="28">
        <f t="shared" si="26"/>
        <v>46009</v>
      </c>
      <c r="E178" s="28">
        <f t="shared" si="27"/>
        <v>45993</v>
      </c>
      <c r="F178" s="28">
        <f t="shared" si="28"/>
        <v>46000</v>
      </c>
      <c r="G178" s="28">
        <f t="shared" si="29"/>
        <v>46006</v>
      </c>
      <c r="H178" s="28">
        <f t="shared" si="30"/>
        <v>45994</v>
      </c>
      <c r="I178" s="28">
        <f t="shared" si="31"/>
        <v>46001</v>
      </c>
      <c r="J178" s="28">
        <v>46012</v>
      </c>
      <c r="K178" s="33">
        <f t="shared" si="32"/>
        <v>26</v>
      </c>
      <c r="L178" s="31">
        <v>18.89</v>
      </c>
      <c r="M178" s="32">
        <v>16.29</v>
      </c>
      <c r="N178" s="1">
        <f t="shared" si="33"/>
        <v>2.6000000000000014</v>
      </c>
      <c r="O178" s="1" t="s">
        <v>379</v>
      </c>
    </row>
    <row r="179" spans="1:15" x14ac:dyDescent="0.25">
      <c r="A179" s="28">
        <v>45987</v>
      </c>
      <c r="B179" s="1" t="s">
        <v>196</v>
      </c>
      <c r="C179" s="1"/>
      <c r="D179" s="28">
        <f t="shared" si="26"/>
        <v>46010</v>
      </c>
      <c r="E179" s="28">
        <f t="shared" si="27"/>
        <v>45994</v>
      </c>
      <c r="F179" s="28">
        <f t="shared" si="28"/>
        <v>46001</v>
      </c>
      <c r="G179" s="28">
        <f t="shared" si="29"/>
        <v>46007</v>
      </c>
      <c r="H179" s="28">
        <f t="shared" si="30"/>
        <v>45995</v>
      </c>
      <c r="I179" s="28">
        <f t="shared" si="31"/>
        <v>46002</v>
      </c>
      <c r="J179" s="28">
        <v>46013</v>
      </c>
      <c r="K179" s="33">
        <f t="shared" si="32"/>
        <v>26</v>
      </c>
      <c r="L179" s="31">
        <v>17.559999999999999</v>
      </c>
      <c r="M179" s="32">
        <v>15.3</v>
      </c>
      <c r="N179" s="1">
        <f t="shared" si="33"/>
        <v>2.259999999999998</v>
      </c>
      <c r="O179" s="1" t="s">
        <v>379</v>
      </c>
    </row>
    <row r="180" spans="1:15" x14ac:dyDescent="0.25">
      <c r="A180" s="28">
        <v>45987</v>
      </c>
      <c r="B180" s="1" t="s">
        <v>197</v>
      </c>
      <c r="C180" s="1"/>
      <c r="D180" s="28">
        <f t="shared" si="26"/>
        <v>46010</v>
      </c>
      <c r="E180" s="28">
        <f t="shared" si="27"/>
        <v>45994</v>
      </c>
      <c r="F180" s="28">
        <f t="shared" si="28"/>
        <v>46001</v>
      </c>
      <c r="G180" s="28">
        <f t="shared" si="29"/>
        <v>46007</v>
      </c>
      <c r="H180" s="28">
        <f t="shared" si="30"/>
        <v>45995</v>
      </c>
      <c r="I180" s="28">
        <f t="shared" si="31"/>
        <v>46002</v>
      </c>
      <c r="J180" s="28">
        <v>46013</v>
      </c>
      <c r="K180" s="33">
        <f t="shared" si="32"/>
        <v>26</v>
      </c>
      <c r="L180" s="31">
        <v>17.25</v>
      </c>
      <c r="M180" s="32">
        <v>15.19</v>
      </c>
      <c r="N180" s="1">
        <f t="shared" si="33"/>
        <v>2.0600000000000005</v>
      </c>
      <c r="O180" s="1" t="s">
        <v>379</v>
      </c>
    </row>
    <row r="181" spans="1:15" x14ac:dyDescent="0.25">
      <c r="A181" s="28">
        <v>45987</v>
      </c>
      <c r="B181" s="1" t="s">
        <v>198</v>
      </c>
      <c r="C181" s="1"/>
      <c r="D181" s="28">
        <f t="shared" si="26"/>
        <v>46010</v>
      </c>
      <c r="E181" s="28">
        <f t="shared" si="27"/>
        <v>45994</v>
      </c>
      <c r="F181" s="28">
        <f t="shared" si="28"/>
        <v>46001</v>
      </c>
      <c r="G181" s="28">
        <f t="shared" si="29"/>
        <v>46007</v>
      </c>
      <c r="H181" s="28">
        <f t="shared" si="30"/>
        <v>45995</v>
      </c>
      <c r="I181" s="28">
        <f t="shared" si="31"/>
        <v>46002</v>
      </c>
      <c r="J181" s="28">
        <v>46013</v>
      </c>
      <c r="K181" s="33">
        <f t="shared" si="32"/>
        <v>26</v>
      </c>
      <c r="L181" s="31">
        <v>16.12</v>
      </c>
      <c r="M181" s="32">
        <v>14.35</v>
      </c>
      <c r="N181" s="1">
        <f t="shared" si="33"/>
        <v>1.7700000000000014</v>
      </c>
      <c r="O181" s="1" t="s">
        <v>379</v>
      </c>
    </row>
    <row r="182" spans="1:15" x14ac:dyDescent="0.25">
      <c r="A182" s="28">
        <v>45987</v>
      </c>
      <c r="B182" s="1" t="s">
        <v>199</v>
      </c>
      <c r="C182" s="1"/>
      <c r="D182" s="28">
        <f t="shared" si="26"/>
        <v>46010</v>
      </c>
      <c r="E182" s="28">
        <f t="shared" si="27"/>
        <v>45994</v>
      </c>
      <c r="F182" s="28">
        <f t="shared" si="28"/>
        <v>46001</v>
      </c>
      <c r="G182" s="28">
        <f t="shared" si="29"/>
        <v>46007</v>
      </c>
      <c r="H182" s="28">
        <f t="shared" si="30"/>
        <v>45995</v>
      </c>
      <c r="I182" s="28">
        <f t="shared" si="31"/>
        <v>46002</v>
      </c>
      <c r="J182" s="28">
        <v>46013</v>
      </c>
      <c r="K182" s="33">
        <f t="shared" si="32"/>
        <v>26</v>
      </c>
      <c r="L182" s="31">
        <v>19.329999999999998</v>
      </c>
      <c r="M182" s="32">
        <v>9.27</v>
      </c>
      <c r="N182" s="1">
        <f t="shared" si="33"/>
        <v>10.059999999999999</v>
      </c>
      <c r="O182" s="1" t="s">
        <v>378</v>
      </c>
    </row>
    <row r="183" spans="1:15" x14ac:dyDescent="0.25">
      <c r="A183" s="28">
        <v>45987</v>
      </c>
      <c r="B183" s="1" t="s">
        <v>223</v>
      </c>
      <c r="C183" s="1"/>
      <c r="D183" s="28">
        <f t="shared" si="26"/>
        <v>46010</v>
      </c>
      <c r="E183" s="28">
        <f t="shared" si="27"/>
        <v>45994</v>
      </c>
      <c r="F183" s="28">
        <f t="shared" si="28"/>
        <v>46001</v>
      </c>
      <c r="G183" s="28">
        <f t="shared" si="29"/>
        <v>46007</v>
      </c>
      <c r="H183" s="28">
        <f t="shared" si="30"/>
        <v>45995</v>
      </c>
      <c r="I183" s="28">
        <f t="shared" si="31"/>
        <v>46002</v>
      </c>
      <c r="J183" s="28">
        <v>46014</v>
      </c>
      <c r="K183" s="33">
        <f t="shared" si="32"/>
        <v>27</v>
      </c>
      <c r="L183" s="1">
        <v>13.11</v>
      </c>
      <c r="M183" s="1">
        <v>5.99</v>
      </c>
      <c r="N183" s="1">
        <f t="shared" si="33"/>
        <v>7.1199999999999992</v>
      </c>
      <c r="O183" s="1" t="s">
        <v>378</v>
      </c>
    </row>
    <row r="184" spans="1:15" x14ac:dyDescent="0.25">
      <c r="A184" s="28">
        <v>45987</v>
      </c>
      <c r="B184" s="1" t="s">
        <v>224</v>
      </c>
      <c r="C184" s="1"/>
      <c r="D184" s="28">
        <f t="shared" si="26"/>
        <v>46010</v>
      </c>
      <c r="E184" s="28">
        <f t="shared" si="27"/>
        <v>45994</v>
      </c>
      <c r="F184" s="28">
        <f t="shared" si="28"/>
        <v>46001</v>
      </c>
      <c r="G184" s="28">
        <f t="shared" si="29"/>
        <v>46007</v>
      </c>
      <c r="H184" s="28">
        <f t="shared" si="30"/>
        <v>45995</v>
      </c>
      <c r="I184" s="28">
        <f t="shared" si="31"/>
        <v>46002</v>
      </c>
      <c r="J184" s="28">
        <v>46014</v>
      </c>
      <c r="K184" s="33">
        <f t="shared" si="32"/>
        <v>27</v>
      </c>
      <c r="L184" s="1">
        <v>14.26</v>
      </c>
      <c r="M184" s="1">
        <v>7.27</v>
      </c>
      <c r="N184" s="1">
        <f t="shared" si="33"/>
        <v>6.99</v>
      </c>
      <c r="O184" s="1" t="s">
        <v>378</v>
      </c>
    </row>
    <row r="185" spans="1:15" x14ac:dyDescent="0.25">
      <c r="A185" s="28">
        <v>45987</v>
      </c>
      <c r="B185" s="1" t="s">
        <v>225</v>
      </c>
      <c r="C185" s="1"/>
      <c r="D185" s="28">
        <f t="shared" si="26"/>
        <v>46010</v>
      </c>
      <c r="E185" s="28">
        <f t="shared" si="27"/>
        <v>45994</v>
      </c>
      <c r="F185" s="28">
        <f t="shared" si="28"/>
        <v>46001</v>
      </c>
      <c r="G185" s="28">
        <f t="shared" si="29"/>
        <v>46007</v>
      </c>
      <c r="H185" s="28">
        <f t="shared" si="30"/>
        <v>45995</v>
      </c>
      <c r="I185" s="28">
        <f t="shared" si="31"/>
        <v>46002</v>
      </c>
      <c r="J185" s="28">
        <v>46014</v>
      </c>
      <c r="K185" s="33">
        <f t="shared" si="32"/>
        <v>27</v>
      </c>
      <c r="L185" s="1">
        <v>15.03</v>
      </c>
      <c r="M185" s="1">
        <v>7.81</v>
      </c>
      <c r="N185" s="1">
        <f t="shared" si="33"/>
        <v>7.22</v>
      </c>
      <c r="O185" s="1" t="s">
        <v>378</v>
      </c>
    </row>
    <row r="186" spans="1:15" x14ac:dyDescent="0.25">
      <c r="A186" s="28">
        <v>45987</v>
      </c>
      <c r="B186" s="1" t="s">
        <v>226</v>
      </c>
      <c r="C186" s="1"/>
      <c r="D186" s="28">
        <f t="shared" si="26"/>
        <v>46010</v>
      </c>
      <c r="E186" s="28">
        <f t="shared" si="27"/>
        <v>45994</v>
      </c>
      <c r="F186" s="28">
        <f t="shared" si="28"/>
        <v>46001</v>
      </c>
      <c r="G186" s="28">
        <f t="shared" si="29"/>
        <v>46007</v>
      </c>
      <c r="H186" s="28">
        <f t="shared" si="30"/>
        <v>45995</v>
      </c>
      <c r="I186" s="28">
        <f t="shared" si="31"/>
        <v>46002</v>
      </c>
      <c r="J186" s="28">
        <v>46014</v>
      </c>
      <c r="K186" s="33">
        <f t="shared" si="32"/>
        <v>27</v>
      </c>
      <c r="L186" s="1">
        <v>13.78</v>
      </c>
      <c r="M186" s="1">
        <v>10.34</v>
      </c>
      <c r="N186" s="1">
        <f t="shared" si="33"/>
        <v>3.4399999999999995</v>
      </c>
      <c r="O186" s="1" t="s">
        <v>379</v>
      </c>
    </row>
    <row r="187" spans="1:15" x14ac:dyDescent="0.25">
      <c r="A187" s="28">
        <v>45988</v>
      </c>
      <c r="B187" s="1" t="s">
        <v>220</v>
      </c>
      <c r="C187" s="1"/>
      <c r="D187" s="28">
        <f t="shared" si="26"/>
        <v>46011</v>
      </c>
      <c r="E187" s="28">
        <f t="shared" si="27"/>
        <v>45995</v>
      </c>
      <c r="F187" s="28">
        <f t="shared" si="28"/>
        <v>46002</v>
      </c>
      <c r="G187" s="28">
        <f t="shared" si="29"/>
        <v>46008</v>
      </c>
      <c r="H187" s="28">
        <f t="shared" si="30"/>
        <v>45996</v>
      </c>
      <c r="I187" s="28">
        <f t="shared" si="31"/>
        <v>46003</v>
      </c>
      <c r="J187" s="28">
        <v>46013</v>
      </c>
      <c r="K187" s="33">
        <f>J187-A187</f>
        <v>25</v>
      </c>
      <c r="L187" s="31">
        <v>14.13</v>
      </c>
      <c r="M187" s="32">
        <v>12.72</v>
      </c>
      <c r="N187" s="1">
        <f t="shared" si="33"/>
        <v>1.4100000000000001</v>
      </c>
      <c r="O187" s="1" t="s">
        <v>379</v>
      </c>
    </row>
    <row r="188" spans="1:15" x14ac:dyDescent="0.25">
      <c r="A188" s="28">
        <v>45988</v>
      </c>
      <c r="B188" s="1" t="s">
        <v>221</v>
      </c>
      <c r="C188" s="1"/>
      <c r="D188" s="28">
        <f t="shared" si="26"/>
        <v>46011</v>
      </c>
      <c r="E188" s="28">
        <f t="shared" si="27"/>
        <v>45995</v>
      </c>
      <c r="F188" s="28">
        <f t="shared" si="28"/>
        <v>46002</v>
      </c>
      <c r="G188" s="28">
        <f t="shared" si="29"/>
        <v>46008</v>
      </c>
      <c r="H188" s="28">
        <f t="shared" si="30"/>
        <v>45996</v>
      </c>
      <c r="I188" s="28">
        <f t="shared" si="31"/>
        <v>46003</v>
      </c>
      <c r="J188" s="28">
        <v>46013</v>
      </c>
      <c r="K188" s="33">
        <f>J188-A188</f>
        <v>25</v>
      </c>
      <c r="L188" s="31">
        <v>14.02</v>
      </c>
      <c r="M188" s="32">
        <v>12.68</v>
      </c>
      <c r="N188" s="1">
        <f t="shared" si="33"/>
        <v>1.3399999999999999</v>
      </c>
      <c r="O188" s="1" t="s">
        <v>379</v>
      </c>
    </row>
    <row r="189" spans="1:15" x14ac:dyDescent="0.25">
      <c r="A189" s="28">
        <v>45988</v>
      </c>
      <c r="B189" s="1" t="s">
        <v>222</v>
      </c>
      <c r="C189" s="1"/>
      <c r="D189" s="28">
        <f t="shared" si="18"/>
        <v>46011</v>
      </c>
      <c r="E189" s="28">
        <f t="shared" si="19"/>
        <v>45995</v>
      </c>
      <c r="F189" s="28">
        <f t="shared" si="20"/>
        <v>46002</v>
      </c>
      <c r="G189" s="28">
        <f t="shared" si="21"/>
        <v>46008</v>
      </c>
      <c r="H189" s="28">
        <f t="shared" si="22"/>
        <v>45996</v>
      </c>
      <c r="I189" s="28">
        <f t="shared" si="23"/>
        <v>46003</v>
      </c>
      <c r="J189" s="28">
        <v>46014</v>
      </c>
      <c r="K189" s="33">
        <f>J189-A189</f>
        <v>26</v>
      </c>
      <c r="L189" s="1">
        <v>12.49</v>
      </c>
      <c r="M189" s="1">
        <v>5.65</v>
      </c>
      <c r="N189" s="1">
        <f t="shared" si="33"/>
        <v>6.84</v>
      </c>
      <c r="O189" s="1" t="s">
        <v>378</v>
      </c>
    </row>
    <row r="190" spans="1:15" x14ac:dyDescent="0.25">
      <c r="A190" s="28">
        <v>45988</v>
      </c>
      <c r="B190" s="1" t="s">
        <v>346</v>
      </c>
      <c r="C190" s="1"/>
      <c r="D190" s="28">
        <f t="shared" si="18"/>
        <v>46011</v>
      </c>
      <c r="E190" s="28">
        <f t="shared" si="19"/>
        <v>45995</v>
      </c>
      <c r="F190" s="28">
        <f t="shared" si="20"/>
        <v>46002</v>
      </c>
      <c r="G190" s="28">
        <f t="shared" si="21"/>
        <v>46008</v>
      </c>
      <c r="H190" s="28">
        <f t="shared" si="22"/>
        <v>45996</v>
      </c>
      <c r="I190" s="28">
        <f t="shared" si="23"/>
        <v>46003</v>
      </c>
      <c r="J190" s="28">
        <v>46014</v>
      </c>
      <c r="K190" s="33">
        <f>J190-A190</f>
        <v>26</v>
      </c>
      <c r="L190" s="1">
        <v>10.42</v>
      </c>
      <c r="M190" s="1">
        <v>8.56</v>
      </c>
      <c r="N190" s="1">
        <f t="shared" si="33"/>
        <v>1.8599999999999994</v>
      </c>
      <c r="O190" s="1" t="s">
        <v>379</v>
      </c>
    </row>
    <row r="191" spans="1:15" x14ac:dyDescent="0.25">
      <c r="A191" s="28">
        <v>45988</v>
      </c>
      <c r="B191" s="1" t="s">
        <v>347</v>
      </c>
      <c r="C191" s="1"/>
      <c r="D191" s="28">
        <f t="shared" si="18"/>
        <v>46011</v>
      </c>
      <c r="E191" s="28">
        <f t="shared" si="19"/>
        <v>45995</v>
      </c>
      <c r="F191" s="28">
        <f t="shared" si="20"/>
        <v>46002</v>
      </c>
      <c r="G191" s="28">
        <f t="shared" si="21"/>
        <v>46008</v>
      </c>
      <c r="H191" s="28">
        <f t="shared" si="22"/>
        <v>45996</v>
      </c>
      <c r="I191" s="28">
        <f t="shared" si="23"/>
        <v>46003</v>
      </c>
      <c r="J191" s="28">
        <v>46015</v>
      </c>
      <c r="K191" s="29">
        <f>J191-A191</f>
        <v>27</v>
      </c>
      <c r="L191" s="1">
        <v>15.79</v>
      </c>
      <c r="M191" s="1">
        <v>8.07</v>
      </c>
      <c r="N191" s="1">
        <f t="shared" si="33"/>
        <v>7.7199999999999989</v>
      </c>
      <c r="O191" s="1" t="s">
        <v>378</v>
      </c>
    </row>
    <row r="192" spans="1:15" x14ac:dyDescent="0.25">
      <c r="A192" s="28">
        <v>45988</v>
      </c>
      <c r="B192" s="1" t="s">
        <v>348</v>
      </c>
      <c r="C192" s="1"/>
      <c r="D192" s="28">
        <f t="shared" si="18"/>
        <v>46011</v>
      </c>
      <c r="E192" s="28">
        <f t="shared" si="19"/>
        <v>45995</v>
      </c>
      <c r="F192" s="28">
        <f t="shared" si="20"/>
        <v>46002</v>
      </c>
      <c r="G192" s="28">
        <f t="shared" si="21"/>
        <v>46008</v>
      </c>
      <c r="H192" s="28">
        <f t="shared" si="22"/>
        <v>45996</v>
      </c>
      <c r="I192" s="28">
        <f t="shared" si="23"/>
        <v>46003</v>
      </c>
      <c r="J192" s="28">
        <v>46015</v>
      </c>
      <c r="K192" s="29">
        <f t="shared" ref="K192:K207" si="34">J192-A192</f>
        <v>27</v>
      </c>
      <c r="L192" s="1">
        <v>15.83</v>
      </c>
      <c r="M192" s="1">
        <v>8.2100000000000009</v>
      </c>
      <c r="N192" s="1">
        <f t="shared" si="33"/>
        <v>7.6199999999999992</v>
      </c>
      <c r="O192" s="1" t="s">
        <v>378</v>
      </c>
    </row>
    <row r="193" spans="1:15" x14ac:dyDescent="0.25">
      <c r="A193" s="28">
        <v>45988</v>
      </c>
      <c r="B193" s="1" t="s">
        <v>349</v>
      </c>
      <c r="C193" s="1"/>
      <c r="D193" s="28">
        <f t="shared" si="18"/>
        <v>46011</v>
      </c>
      <c r="E193" s="28">
        <f t="shared" si="19"/>
        <v>45995</v>
      </c>
      <c r="F193" s="28">
        <f t="shared" si="20"/>
        <v>46002</v>
      </c>
      <c r="G193" s="28">
        <f t="shared" si="21"/>
        <v>46008</v>
      </c>
      <c r="H193" s="28">
        <f t="shared" si="22"/>
        <v>45996</v>
      </c>
      <c r="I193" s="28">
        <f t="shared" si="23"/>
        <v>46003</v>
      </c>
      <c r="J193" s="28">
        <v>46015</v>
      </c>
      <c r="K193" s="29">
        <f t="shared" si="34"/>
        <v>27</v>
      </c>
      <c r="L193" s="1">
        <v>9.31</v>
      </c>
      <c r="M193" s="1">
        <v>7.16</v>
      </c>
      <c r="N193" s="1">
        <f t="shared" si="33"/>
        <v>2.1500000000000004</v>
      </c>
      <c r="O193" s="1" t="s">
        <v>379</v>
      </c>
    </row>
    <row r="194" spans="1:15" x14ac:dyDescent="0.25">
      <c r="A194" s="28">
        <v>45989</v>
      </c>
      <c r="B194" s="1" t="s">
        <v>350</v>
      </c>
      <c r="C194" s="1"/>
      <c r="D194" s="28">
        <f t="shared" si="18"/>
        <v>46012</v>
      </c>
      <c r="E194" s="28">
        <f t="shared" si="19"/>
        <v>45996</v>
      </c>
      <c r="F194" s="28">
        <f t="shared" si="20"/>
        <v>46003</v>
      </c>
      <c r="G194" s="28">
        <f t="shared" si="21"/>
        <v>46009</v>
      </c>
      <c r="H194" s="28">
        <f t="shared" si="22"/>
        <v>45997</v>
      </c>
      <c r="I194" s="28">
        <f t="shared" si="23"/>
        <v>46004</v>
      </c>
      <c r="J194" s="28">
        <v>46015</v>
      </c>
      <c r="K194" s="29">
        <f t="shared" si="34"/>
        <v>26</v>
      </c>
      <c r="L194" s="1">
        <v>10.17</v>
      </c>
      <c r="M194" s="1">
        <v>8.31</v>
      </c>
      <c r="N194" s="1">
        <f t="shared" si="33"/>
        <v>1.8599999999999994</v>
      </c>
      <c r="O194" s="1" t="s">
        <v>379</v>
      </c>
    </row>
    <row r="195" spans="1:15" x14ac:dyDescent="0.25">
      <c r="A195" s="28">
        <v>45989</v>
      </c>
      <c r="B195" s="1" t="s">
        <v>351</v>
      </c>
      <c r="C195" s="1"/>
      <c r="D195" s="28">
        <f t="shared" ref="D195:D258" si="35">A195+23</f>
        <v>46012</v>
      </c>
      <c r="E195" s="28">
        <f t="shared" ref="E195:E258" si="36">A195+7</f>
        <v>45996</v>
      </c>
      <c r="F195" s="28">
        <f t="shared" ref="F195:F258" si="37">A195+14</f>
        <v>46003</v>
      </c>
      <c r="G195" s="28">
        <f t="shared" ref="G195:G258" si="38">A195+20</f>
        <v>46009</v>
      </c>
      <c r="H195" s="28">
        <f t="shared" ref="H195:H258" si="39">A195+8</f>
        <v>45997</v>
      </c>
      <c r="I195" s="28">
        <f t="shared" ref="I195:I258" si="40">A195+15</f>
        <v>46004</v>
      </c>
      <c r="J195" s="28">
        <v>46015</v>
      </c>
      <c r="K195" s="29">
        <f t="shared" si="34"/>
        <v>26</v>
      </c>
      <c r="L195" s="1">
        <v>9.6199999999999992</v>
      </c>
      <c r="M195" s="1">
        <v>7.56</v>
      </c>
      <c r="N195" s="1">
        <f t="shared" si="33"/>
        <v>2.0599999999999996</v>
      </c>
      <c r="O195" s="1" t="s">
        <v>379</v>
      </c>
    </row>
    <row r="196" spans="1:15" x14ac:dyDescent="0.25">
      <c r="A196" s="28">
        <v>45989</v>
      </c>
      <c r="B196" s="1" t="s">
        <v>352</v>
      </c>
      <c r="C196" s="1"/>
      <c r="D196" s="28">
        <f t="shared" si="35"/>
        <v>46012</v>
      </c>
      <c r="E196" s="28">
        <f t="shared" si="36"/>
        <v>45996</v>
      </c>
      <c r="F196" s="28">
        <f t="shared" si="37"/>
        <v>46003</v>
      </c>
      <c r="G196" s="28">
        <f t="shared" si="38"/>
        <v>46009</v>
      </c>
      <c r="H196" s="28">
        <f t="shared" si="39"/>
        <v>45997</v>
      </c>
      <c r="I196" s="28">
        <f t="shared" si="40"/>
        <v>46004</v>
      </c>
      <c r="J196" s="28">
        <v>46015</v>
      </c>
      <c r="K196" s="29">
        <f t="shared" si="34"/>
        <v>26</v>
      </c>
      <c r="L196" s="1">
        <v>10.45</v>
      </c>
      <c r="M196" s="1">
        <v>8.61</v>
      </c>
      <c r="N196" s="1">
        <f t="shared" si="33"/>
        <v>1.8399999999999999</v>
      </c>
      <c r="O196" s="1" t="s">
        <v>379</v>
      </c>
    </row>
    <row r="197" spans="1:15" x14ac:dyDescent="0.25">
      <c r="A197" s="28">
        <v>45989</v>
      </c>
      <c r="B197" s="1" t="s">
        <v>353</v>
      </c>
      <c r="C197" s="1"/>
      <c r="D197" s="28">
        <f t="shared" si="35"/>
        <v>46012</v>
      </c>
      <c r="E197" s="28">
        <f t="shared" si="36"/>
        <v>45996</v>
      </c>
      <c r="F197" s="28">
        <f t="shared" si="37"/>
        <v>46003</v>
      </c>
      <c r="G197" s="28">
        <f t="shared" si="38"/>
        <v>46009</v>
      </c>
      <c r="H197" s="28">
        <f t="shared" si="39"/>
        <v>45997</v>
      </c>
      <c r="I197" s="28">
        <f t="shared" si="40"/>
        <v>46004</v>
      </c>
      <c r="J197" s="28">
        <v>46015</v>
      </c>
      <c r="K197" s="29">
        <f t="shared" si="34"/>
        <v>26</v>
      </c>
      <c r="L197" s="1">
        <v>12.2</v>
      </c>
      <c r="M197" s="1">
        <v>10.18</v>
      </c>
      <c r="N197" s="1">
        <f t="shared" si="33"/>
        <v>2.0199999999999996</v>
      </c>
      <c r="O197" s="1" t="s">
        <v>379</v>
      </c>
    </row>
    <row r="198" spans="1:15" x14ac:dyDescent="0.25">
      <c r="A198" s="28">
        <v>45989</v>
      </c>
      <c r="B198" s="1" t="s">
        <v>354</v>
      </c>
      <c r="C198" s="1"/>
      <c r="D198" s="28">
        <f t="shared" si="35"/>
        <v>46012</v>
      </c>
      <c r="E198" s="28">
        <f t="shared" si="36"/>
        <v>45996</v>
      </c>
      <c r="F198" s="28">
        <f t="shared" si="37"/>
        <v>46003</v>
      </c>
      <c r="G198" s="28">
        <f t="shared" si="38"/>
        <v>46009</v>
      </c>
      <c r="H198" s="28">
        <f t="shared" si="39"/>
        <v>45997</v>
      </c>
      <c r="I198" s="28">
        <f t="shared" si="40"/>
        <v>46004</v>
      </c>
      <c r="J198" s="28">
        <v>46015</v>
      </c>
      <c r="K198" s="29">
        <f t="shared" si="34"/>
        <v>26</v>
      </c>
      <c r="L198" s="1">
        <v>14.91</v>
      </c>
      <c r="M198" s="1">
        <v>13.24</v>
      </c>
      <c r="N198" s="1">
        <f t="shared" si="33"/>
        <v>1.67</v>
      </c>
      <c r="O198" s="1" t="s">
        <v>379</v>
      </c>
    </row>
    <row r="199" spans="1:15" x14ac:dyDescent="0.25">
      <c r="A199" s="28">
        <v>45989</v>
      </c>
      <c r="B199" s="1" t="s">
        <v>355</v>
      </c>
      <c r="C199" s="1"/>
      <c r="D199" s="28">
        <f t="shared" si="35"/>
        <v>46012</v>
      </c>
      <c r="E199" s="28">
        <f t="shared" si="36"/>
        <v>45996</v>
      </c>
      <c r="F199" s="28">
        <f t="shared" si="37"/>
        <v>46003</v>
      </c>
      <c r="G199" s="28">
        <f t="shared" si="38"/>
        <v>46009</v>
      </c>
      <c r="H199" s="28">
        <f t="shared" si="39"/>
        <v>45997</v>
      </c>
      <c r="I199" s="28">
        <f t="shared" si="40"/>
        <v>46004</v>
      </c>
      <c r="J199" s="28">
        <v>46015</v>
      </c>
      <c r="K199" s="29">
        <f t="shared" si="34"/>
        <v>26</v>
      </c>
      <c r="L199" s="1">
        <v>15.18</v>
      </c>
      <c r="M199" s="1">
        <v>13.67</v>
      </c>
      <c r="N199" s="1">
        <f t="shared" si="33"/>
        <v>1.5099999999999998</v>
      </c>
      <c r="O199" s="1" t="s">
        <v>379</v>
      </c>
    </row>
    <row r="200" spans="1:15" x14ac:dyDescent="0.25">
      <c r="A200" s="28">
        <v>45989</v>
      </c>
      <c r="B200" s="1" t="s">
        <v>356</v>
      </c>
      <c r="C200" s="1"/>
      <c r="D200" s="28">
        <f t="shared" si="35"/>
        <v>46012</v>
      </c>
      <c r="E200" s="28">
        <f t="shared" si="36"/>
        <v>45996</v>
      </c>
      <c r="F200" s="28">
        <f t="shared" si="37"/>
        <v>46003</v>
      </c>
      <c r="G200" s="28">
        <f t="shared" si="38"/>
        <v>46009</v>
      </c>
      <c r="H200" s="28">
        <f t="shared" si="39"/>
        <v>45997</v>
      </c>
      <c r="I200" s="28">
        <f t="shared" si="40"/>
        <v>46004</v>
      </c>
      <c r="J200" s="28">
        <v>46015</v>
      </c>
      <c r="K200" s="29">
        <f t="shared" si="34"/>
        <v>26</v>
      </c>
      <c r="L200" s="1">
        <v>14.07</v>
      </c>
      <c r="M200" s="1">
        <v>13.58</v>
      </c>
      <c r="N200" s="1">
        <f t="shared" si="33"/>
        <v>0.49000000000000021</v>
      </c>
      <c r="O200" s="1" t="s">
        <v>379</v>
      </c>
    </row>
    <row r="201" spans="1:15" x14ac:dyDescent="0.25">
      <c r="A201" s="28">
        <v>45990</v>
      </c>
      <c r="B201" s="1" t="s">
        <v>357</v>
      </c>
      <c r="C201" s="1"/>
      <c r="D201" s="28">
        <f t="shared" si="35"/>
        <v>46013</v>
      </c>
      <c r="E201" s="28">
        <f t="shared" si="36"/>
        <v>45997</v>
      </c>
      <c r="F201" s="28">
        <f t="shared" si="37"/>
        <v>46004</v>
      </c>
      <c r="G201" s="28">
        <f t="shared" si="38"/>
        <v>46010</v>
      </c>
      <c r="H201" s="28">
        <f t="shared" si="39"/>
        <v>45998</v>
      </c>
      <c r="I201" s="28">
        <f t="shared" si="40"/>
        <v>46005</v>
      </c>
      <c r="J201" s="28">
        <v>46015</v>
      </c>
      <c r="K201" s="29">
        <f t="shared" si="34"/>
        <v>25</v>
      </c>
      <c r="L201" s="1">
        <v>16.100000000000001</v>
      </c>
      <c r="M201" s="1">
        <v>14.09</v>
      </c>
      <c r="N201" s="1">
        <f t="shared" si="33"/>
        <v>2.0100000000000016</v>
      </c>
      <c r="O201" s="1" t="s">
        <v>379</v>
      </c>
    </row>
    <row r="202" spans="1:15" x14ac:dyDescent="0.25">
      <c r="A202" s="28">
        <v>45990</v>
      </c>
      <c r="B202" s="1" t="s">
        <v>358</v>
      </c>
      <c r="C202" s="1"/>
      <c r="D202" s="28">
        <f t="shared" si="35"/>
        <v>46013</v>
      </c>
      <c r="E202" s="28">
        <f t="shared" si="36"/>
        <v>45997</v>
      </c>
      <c r="F202" s="28">
        <f t="shared" si="37"/>
        <v>46004</v>
      </c>
      <c r="G202" s="28">
        <f t="shared" si="38"/>
        <v>46010</v>
      </c>
      <c r="H202" s="28">
        <f t="shared" si="39"/>
        <v>45998</v>
      </c>
      <c r="I202" s="28">
        <f t="shared" si="40"/>
        <v>46005</v>
      </c>
      <c r="J202" s="28">
        <v>46015</v>
      </c>
      <c r="K202" s="29">
        <f t="shared" si="34"/>
        <v>25</v>
      </c>
      <c r="L202" s="1">
        <v>13.26</v>
      </c>
      <c r="M202" s="1">
        <v>11.12</v>
      </c>
      <c r="N202" s="1">
        <f t="shared" si="33"/>
        <v>2.1400000000000006</v>
      </c>
      <c r="O202" s="1" t="s">
        <v>379</v>
      </c>
    </row>
    <row r="203" spans="1:15" x14ac:dyDescent="0.25">
      <c r="A203" s="28">
        <v>45990</v>
      </c>
      <c r="B203" s="1" t="s">
        <v>359</v>
      </c>
      <c r="C203" s="1"/>
      <c r="D203" s="28">
        <f t="shared" si="35"/>
        <v>46013</v>
      </c>
      <c r="E203" s="28">
        <f t="shared" si="36"/>
        <v>45997</v>
      </c>
      <c r="F203" s="28">
        <f t="shared" si="37"/>
        <v>46004</v>
      </c>
      <c r="G203" s="28">
        <f t="shared" si="38"/>
        <v>46010</v>
      </c>
      <c r="H203" s="28">
        <f t="shared" si="39"/>
        <v>45998</v>
      </c>
      <c r="I203" s="28">
        <f t="shared" si="40"/>
        <v>46005</v>
      </c>
      <c r="J203" s="28">
        <v>46016</v>
      </c>
      <c r="K203" s="29">
        <f t="shared" si="34"/>
        <v>26</v>
      </c>
      <c r="L203" s="1">
        <v>16.39</v>
      </c>
      <c r="M203" s="1">
        <v>9.01</v>
      </c>
      <c r="N203" s="1">
        <f t="shared" si="33"/>
        <v>7.3800000000000008</v>
      </c>
      <c r="O203" s="1" t="s">
        <v>378</v>
      </c>
    </row>
    <row r="204" spans="1:15" x14ac:dyDescent="0.25">
      <c r="A204" s="28">
        <v>45990</v>
      </c>
      <c r="B204" s="1" t="s">
        <v>360</v>
      </c>
      <c r="C204" s="1"/>
      <c r="D204" s="28">
        <f t="shared" si="35"/>
        <v>46013</v>
      </c>
      <c r="E204" s="28">
        <f t="shared" si="36"/>
        <v>45997</v>
      </c>
      <c r="F204" s="28">
        <f t="shared" si="37"/>
        <v>46004</v>
      </c>
      <c r="G204" s="28">
        <f t="shared" si="38"/>
        <v>46010</v>
      </c>
      <c r="H204" s="28">
        <f t="shared" si="39"/>
        <v>45998</v>
      </c>
      <c r="I204" s="28">
        <f t="shared" si="40"/>
        <v>46005</v>
      </c>
      <c r="J204" s="28">
        <v>46016</v>
      </c>
      <c r="K204" s="29">
        <f t="shared" si="34"/>
        <v>26</v>
      </c>
      <c r="L204" s="1">
        <v>15.17</v>
      </c>
      <c r="M204" s="1">
        <v>8.24</v>
      </c>
      <c r="N204" s="1">
        <f t="shared" si="33"/>
        <v>6.93</v>
      </c>
      <c r="O204" s="1" t="s">
        <v>378</v>
      </c>
    </row>
    <row r="205" spans="1:15" x14ac:dyDescent="0.25">
      <c r="A205" s="28">
        <v>45990</v>
      </c>
      <c r="B205" s="1" t="s">
        <v>361</v>
      </c>
      <c r="C205" s="1"/>
      <c r="D205" s="28">
        <f t="shared" si="35"/>
        <v>46013</v>
      </c>
      <c r="E205" s="28">
        <f t="shared" si="36"/>
        <v>45997</v>
      </c>
      <c r="F205" s="28">
        <f t="shared" si="37"/>
        <v>46004</v>
      </c>
      <c r="G205" s="28">
        <f t="shared" si="38"/>
        <v>46010</v>
      </c>
      <c r="H205" s="28">
        <f t="shared" si="39"/>
        <v>45998</v>
      </c>
      <c r="I205" s="28">
        <f t="shared" si="40"/>
        <v>46005</v>
      </c>
      <c r="J205" s="28">
        <v>46016</v>
      </c>
      <c r="K205" s="29">
        <f t="shared" si="34"/>
        <v>26</v>
      </c>
      <c r="L205" s="1">
        <v>15.92</v>
      </c>
      <c r="M205" s="1">
        <v>8.76</v>
      </c>
      <c r="N205" s="1">
        <f t="shared" si="33"/>
        <v>7.16</v>
      </c>
      <c r="O205" s="1" t="s">
        <v>378</v>
      </c>
    </row>
    <row r="206" spans="1:15" x14ac:dyDescent="0.25">
      <c r="A206" s="28">
        <v>45990</v>
      </c>
      <c r="B206" s="1" t="s">
        <v>362</v>
      </c>
      <c r="C206" s="1"/>
      <c r="D206" s="28">
        <f t="shared" si="35"/>
        <v>46013</v>
      </c>
      <c r="E206" s="28">
        <f t="shared" si="36"/>
        <v>45997</v>
      </c>
      <c r="F206" s="28">
        <f t="shared" si="37"/>
        <v>46004</v>
      </c>
      <c r="G206" s="28">
        <f t="shared" si="38"/>
        <v>46010</v>
      </c>
      <c r="H206" s="28">
        <f t="shared" si="39"/>
        <v>45998</v>
      </c>
      <c r="I206" s="28">
        <f t="shared" si="40"/>
        <v>46005</v>
      </c>
      <c r="J206" s="28">
        <v>46016</v>
      </c>
      <c r="K206" s="29">
        <f t="shared" si="34"/>
        <v>26</v>
      </c>
      <c r="L206" s="1">
        <v>16.850000000000001</v>
      </c>
      <c r="M206" s="1">
        <v>9.8699999999999992</v>
      </c>
      <c r="N206" s="1">
        <f t="shared" si="33"/>
        <v>6.9800000000000022</v>
      </c>
      <c r="O206" s="1" t="s">
        <v>378</v>
      </c>
    </row>
    <row r="207" spans="1:15" x14ac:dyDescent="0.25">
      <c r="A207" s="28">
        <v>45990</v>
      </c>
      <c r="B207" s="1" t="s">
        <v>363</v>
      </c>
      <c r="C207" s="1"/>
      <c r="D207" s="28">
        <f t="shared" si="35"/>
        <v>46013</v>
      </c>
      <c r="E207" s="28">
        <f t="shared" si="36"/>
        <v>45997</v>
      </c>
      <c r="F207" s="28">
        <f t="shared" si="37"/>
        <v>46004</v>
      </c>
      <c r="G207" s="28">
        <f t="shared" si="38"/>
        <v>46010</v>
      </c>
      <c r="H207" s="28">
        <f t="shared" si="39"/>
        <v>45998</v>
      </c>
      <c r="I207" s="28">
        <f t="shared" si="40"/>
        <v>46005</v>
      </c>
      <c r="J207" s="28">
        <v>46016</v>
      </c>
      <c r="K207" s="29">
        <f t="shared" si="34"/>
        <v>26</v>
      </c>
      <c r="L207" s="1">
        <v>14.33</v>
      </c>
      <c r="M207" s="1">
        <v>12.78</v>
      </c>
      <c r="N207" s="1">
        <f t="shared" si="33"/>
        <v>1.5500000000000007</v>
      </c>
      <c r="O207" s="1" t="s">
        <v>379</v>
      </c>
    </row>
    <row r="208" spans="1:15" x14ac:dyDescent="0.25">
      <c r="A208" s="28">
        <v>45991</v>
      </c>
      <c r="B208" s="1" t="s">
        <v>250</v>
      </c>
      <c r="C208" s="1"/>
      <c r="D208" s="28">
        <f t="shared" si="35"/>
        <v>46014</v>
      </c>
      <c r="E208" s="28">
        <f t="shared" si="36"/>
        <v>45998</v>
      </c>
      <c r="F208" s="28">
        <f t="shared" si="37"/>
        <v>46005</v>
      </c>
      <c r="G208" s="28">
        <f t="shared" si="38"/>
        <v>46011</v>
      </c>
      <c r="H208" s="28">
        <f t="shared" si="39"/>
        <v>45999</v>
      </c>
      <c r="I208" s="28">
        <f t="shared" si="40"/>
        <v>46006</v>
      </c>
      <c r="J208" s="28">
        <v>46016</v>
      </c>
      <c r="K208" s="29">
        <f>J208-A208</f>
        <v>25</v>
      </c>
      <c r="L208" s="1">
        <v>17.11</v>
      </c>
      <c r="M208" s="1">
        <v>14.27</v>
      </c>
      <c r="N208" s="1">
        <f t="shared" si="33"/>
        <v>2.84</v>
      </c>
      <c r="O208" s="1" t="s">
        <v>379</v>
      </c>
    </row>
    <row r="209" spans="1:15" x14ac:dyDescent="0.25">
      <c r="A209" s="28">
        <v>45991</v>
      </c>
      <c r="B209" s="1" t="s">
        <v>251</v>
      </c>
      <c r="C209" s="1"/>
      <c r="D209" s="28">
        <f t="shared" si="35"/>
        <v>46014</v>
      </c>
      <c r="E209" s="28">
        <f t="shared" si="36"/>
        <v>45998</v>
      </c>
      <c r="F209" s="28">
        <f t="shared" si="37"/>
        <v>46005</v>
      </c>
      <c r="G209" s="28">
        <f t="shared" si="38"/>
        <v>46011</v>
      </c>
      <c r="H209" s="28">
        <f t="shared" si="39"/>
        <v>45999</v>
      </c>
      <c r="I209" s="28">
        <f t="shared" si="40"/>
        <v>46006</v>
      </c>
      <c r="J209" s="28">
        <v>46017</v>
      </c>
      <c r="K209" s="29">
        <f>J209-A209</f>
        <v>26</v>
      </c>
      <c r="L209" s="1">
        <v>17.510000000000002</v>
      </c>
      <c r="M209" s="1">
        <v>9.84</v>
      </c>
      <c r="N209" s="1">
        <f t="shared" si="33"/>
        <v>7.6700000000000017</v>
      </c>
      <c r="O209" s="1" t="s">
        <v>378</v>
      </c>
    </row>
    <row r="210" spans="1:15" x14ac:dyDescent="0.25">
      <c r="A210" s="28">
        <v>45991</v>
      </c>
      <c r="B210" s="1" t="s">
        <v>252</v>
      </c>
      <c r="C210" s="1"/>
      <c r="D210" s="28">
        <f t="shared" si="35"/>
        <v>46014</v>
      </c>
      <c r="E210" s="28">
        <f t="shared" si="36"/>
        <v>45998</v>
      </c>
      <c r="F210" s="28">
        <f t="shared" si="37"/>
        <v>46005</v>
      </c>
      <c r="G210" s="28">
        <f t="shared" si="38"/>
        <v>46011</v>
      </c>
      <c r="H210" s="28">
        <f t="shared" si="39"/>
        <v>45999</v>
      </c>
      <c r="I210" s="28">
        <f t="shared" si="40"/>
        <v>46006</v>
      </c>
      <c r="J210" s="28">
        <v>46017</v>
      </c>
      <c r="K210" s="29">
        <f>J210-A210</f>
        <v>26</v>
      </c>
      <c r="L210" s="1">
        <v>17.36</v>
      </c>
      <c r="M210" s="1">
        <v>9.56</v>
      </c>
      <c r="N210" s="1">
        <f t="shared" si="33"/>
        <v>7.7999999999999989</v>
      </c>
      <c r="O210" s="1" t="s">
        <v>378</v>
      </c>
    </row>
    <row r="211" spans="1:15" x14ac:dyDescent="0.25">
      <c r="A211" s="28">
        <v>45991</v>
      </c>
      <c r="B211" s="1" t="s">
        <v>253</v>
      </c>
      <c r="C211" s="1"/>
      <c r="D211" s="28">
        <f t="shared" si="35"/>
        <v>46014</v>
      </c>
      <c r="E211" s="28">
        <f t="shared" si="36"/>
        <v>45998</v>
      </c>
      <c r="F211" s="28">
        <f t="shared" si="37"/>
        <v>46005</v>
      </c>
      <c r="G211" s="28">
        <f t="shared" si="38"/>
        <v>46011</v>
      </c>
      <c r="H211" s="28">
        <f t="shared" si="39"/>
        <v>45999</v>
      </c>
      <c r="I211" s="28">
        <f t="shared" si="40"/>
        <v>46006</v>
      </c>
      <c r="J211" s="28">
        <v>46017</v>
      </c>
      <c r="K211" s="29">
        <f>J211-A211</f>
        <v>26</v>
      </c>
      <c r="L211" s="1">
        <v>16.91</v>
      </c>
      <c r="M211" s="1">
        <v>15.76</v>
      </c>
      <c r="N211" s="1">
        <f t="shared" si="33"/>
        <v>1.1500000000000004</v>
      </c>
      <c r="O211" s="1" t="s">
        <v>379</v>
      </c>
    </row>
    <row r="212" spans="1:15" x14ac:dyDescent="0.25">
      <c r="A212" s="28">
        <v>45991</v>
      </c>
      <c r="B212" s="1" t="s">
        <v>364</v>
      </c>
      <c r="C212" s="1"/>
      <c r="D212" s="28">
        <f t="shared" si="35"/>
        <v>46014</v>
      </c>
      <c r="E212" s="28">
        <f t="shared" si="36"/>
        <v>45998</v>
      </c>
      <c r="F212" s="28">
        <f t="shared" si="37"/>
        <v>46005</v>
      </c>
      <c r="G212" s="28">
        <f t="shared" si="38"/>
        <v>46011</v>
      </c>
      <c r="H212" s="28">
        <f t="shared" si="39"/>
        <v>45999</v>
      </c>
      <c r="I212" s="28">
        <f t="shared" si="40"/>
        <v>46006</v>
      </c>
      <c r="J212" s="28">
        <v>46016</v>
      </c>
      <c r="K212" s="29">
        <f t="shared" ref="K212:K218" si="41">J212-A212</f>
        <v>25</v>
      </c>
      <c r="L212" s="1">
        <v>15.16</v>
      </c>
      <c r="M212" s="1">
        <v>13.56</v>
      </c>
      <c r="N212" s="1">
        <f t="shared" ref="N212:N218" si="42">L212-M212</f>
        <v>1.5999999999999996</v>
      </c>
      <c r="O212" s="1" t="s">
        <v>379</v>
      </c>
    </row>
    <row r="213" spans="1:15" x14ac:dyDescent="0.25">
      <c r="A213" s="28">
        <v>45991</v>
      </c>
      <c r="B213" s="1" t="s">
        <v>365</v>
      </c>
      <c r="C213" s="1"/>
      <c r="D213" s="28">
        <f t="shared" si="35"/>
        <v>46014</v>
      </c>
      <c r="E213" s="28">
        <f t="shared" si="36"/>
        <v>45998</v>
      </c>
      <c r="F213" s="28">
        <f t="shared" si="37"/>
        <v>46005</v>
      </c>
      <c r="G213" s="28">
        <f t="shared" si="38"/>
        <v>46011</v>
      </c>
      <c r="H213" s="28">
        <f t="shared" si="39"/>
        <v>45999</v>
      </c>
      <c r="I213" s="28">
        <f t="shared" si="40"/>
        <v>46006</v>
      </c>
      <c r="J213" s="28">
        <v>46016</v>
      </c>
      <c r="K213" s="29">
        <f t="shared" si="41"/>
        <v>25</v>
      </c>
      <c r="L213" s="1">
        <v>14.18</v>
      </c>
      <c r="M213" s="1">
        <v>12.21</v>
      </c>
      <c r="N213" s="1">
        <f t="shared" si="42"/>
        <v>1.9699999999999989</v>
      </c>
      <c r="O213" s="1" t="s">
        <v>379</v>
      </c>
    </row>
    <row r="214" spans="1:15" x14ac:dyDescent="0.25">
      <c r="A214" s="28">
        <v>45991</v>
      </c>
      <c r="B214" s="1" t="s">
        <v>390</v>
      </c>
      <c r="C214" s="1"/>
      <c r="D214" s="28">
        <f t="shared" si="35"/>
        <v>46014</v>
      </c>
      <c r="E214" s="28">
        <f t="shared" si="36"/>
        <v>45998</v>
      </c>
      <c r="F214" s="28">
        <f t="shared" si="37"/>
        <v>46005</v>
      </c>
      <c r="G214" s="28">
        <f t="shared" si="38"/>
        <v>46011</v>
      </c>
      <c r="H214" s="28">
        <f t="shared" si="39"/>
        <v>45999</v>
      </c>
      <c r="I214" s="28">
        <f t="shared" si="40"/>
        <v>46006</v>
      </c>
      <c r="J214" s="28">
        <v>46016</v>
      </c>
      <c r="K214" s="29">
        <f t="shared" si="41"/>
        <v>25</v>
      </c>
      <c r="L214" s="1">
        <v>16.5</v>
      </c>
      <c r="M214" s="1">
        <v>14.19</v>
      </c>
      <c r="N214" s="1">
        <f t="shared" si="42"/>
        <v>2.3100000000000005</v>
      </c>
      <c r="O214" s="1" t="s">
        <v>379</v>
      </c>
    </row>
    <row r="215" spans="1:15" x14ac:dyDescent="0.25">
      <c r="A215" s="28">
        <v>45992</v>
      </c>
      <c r="B215" s="1" t="s">
        <v>254</v>
      </c>
      <c r="C215" s="1"/>
      <c r="D215" s="28">
        <f t="shared" si="35"/>
        <v>46015</v>
      </c>
      <c r="E215" s="28">
        <f t="shared" si="36"/>
        <v>45999</v>
      </c>
      <c r="F215" s="28">
        <f t="shared" si="37"/>
        <v>46006</v>
      </c>
      <c r="G215" s="28">
        <f t="shared" si="38"/>
        <v>46012</v>
      </c>
      <c r="H215" s="28">
        <f t="shared" si="39"/>
        <v>46000</v>
      </c>
      <c r="I215" s="28">
        <f t="shared" si="40"/>
        <v>46007</v>
      </c>
      <c r="J215" s="28">
        <v>46017</v>
      </c>
      <c r="K215" s="29">
        <f t="shared" si="41"/>
        <v>25</v>
      </c>
      <c r="L215" s="1">
        <v>15.8</v>
      </c>
      <c r="M215" s="1">
        <v>14.92</v>
      </c>
      <c r="N215" s="1">
        <f t="shared" si="42"/>
        <v>0.88000000000000078</v>
      </c>
      <c r="O215" s="1" t="s">
        <v>379</v>
      </c>
    </row>
    <row r="216" spans="1:15" x14ac:dyDescent="0.25">
      <c r="A216" s="28">
        <v>45992</v>
      </c>
      <c r="B216" s="1" t="s">
        <v>255</v>
      </c>
      <c r="C216" s="1"/>
      <c r="D216" s="28">
        <f t="shared" si="35"/>
        <v>46015</v>
      </c>
      <c r="E216" s="28">
        <f t="shared" si="36"/>
        <v>45999</v>
      </c>
      <c r="F216" s="28">
        <f t="shared" si="37"/>
        <v>46006</v>
      </c>
      <c r="G216" s="28">
        <f t="shared" si="38"/>
        <v>46012</v>
      </c>
      <c r="H216" s="28">
        <f t="shared" si="39"/>
        <v>46000</v>
      </c>
      <c r="I216" s="28">
        <f t="shared" si="40"/>
        <v>46007</v>
      </c>
      <c r="J216" s="28">
        <v>46017</v>
      </c>
      <c r="K216" s="29">
        <f t="shared" si="41"/>
        <v>25</v>
      </c>
      <c r="L216" s="1">
        <v>16.68</v>
      </c>
      <c r="M216" s="1">
        <v>15.51</v>
      </c>
      <c r="N216" s="1">
        <f t="shared" si="42"/>
        <v>1.17</v>
      </c>
      <c r="O216" s="1" t="s">
        <v>379</v>
      </c>
    </row>
    <row r="217" spans="1:15" x14ac:dyDescent="0.25">
      <c r="A217" s="28">
        <v>45992</v>
      </c>
      <c r="B217" s="1" t="s">
        <v>256</v>
      </c>
      <c r="C217" s="1"/>
      <c r="D217" s="28">
        <f t="shared" si="35"/>
        <v>46015</v>
      </c>
      <c r="E217" s="28">
        <f t="shared" si="36"/>
        <v>45999</v>
      </c>
      <c r="F217" s="28">
        <f t="shared" si="37"/>
        <v>46006</v>
      </c>
      <c r="G217" s="28">
        <f t="shared" si="38"/>
        <v>46012</v>
      </c>
      <c r="H217" s="28">
        <f t="shared" si="39"/>
        <v>46000</v>
      </c>
      <c r="I217" s="28">
        <f t="shared" si="40"/>
        <v>46007</v>
      </c>
      <c r="J217" s="28">
        <v>46017</v>
      </c>
      <c r="K217" s="29">
        <f t="shared" si="41"/>
        <v>25</v>
      </c>
      <c r="L217" s="1">
        <v>14.62</v>
      </c>
      <c r="M217" s="1">
        <v>13.04</v>
      </c>
      <c r="N217" s="1">
        <f t="shared" si="42"/>
        <v>1.58</v>
      </c>
      <c r="O217" s="1" t="s">
        <v>379</v>
      </c>
    </row>
    <row r="218" spans="1:15" x14ac:dyDescent="0.25">
      <c r="A218" s="28">
        <v>45992</v>
      </c>
      <c r="B218" s="1" t="s">
        <v>216</v>
      </c>
      <c r="C218" s="1"/>
      <c r="D218" s="28">
        <f t="shared" si="35"/>
        <v>46015</v>
      </c>
      <c r="E218" s="28">
        <f t="shared" si="36"/>
        <v>45999</v>
      </c>
      <c r="F218" s="28">
        <f t="shared" si="37"/>
        <v>46006</v>
      </c>
      <c r="G218" s="28">
        <f t="shared" si="38"/>
        <v>46012</v>
      </c>
      <c r="H218" s="28">
        <f t="shared" si="39"/>
        <v>46000</v>
      </c>
      <c r="I218" s="28">
        <f t="shared" si="40"/>
        <v>46007</v>
      </c>
      <c r="J218" s="28">
        <v>46018</v>
      </c>
      <c r="K218" s="29">
        <f t="shared" si="41"/>
        <v>26</v>
      </c>
      <c r="L218" s="1">
        <v>16.28</v>
      </c>
      <c r="M218" s="1">
        <v>8.23</v>
      </c>
      <c r="N218" s="1">
        <f t="shared" si="42"/>
        <v>8.0500000000000007</v>
      </c>
      <c r="O218" s="1" t="s">
        <v>378</v>
      </c>
    </row>
    <row r="219" spans="1:15" x14ac:dyDescent="0.25">
      <c r="A219" s="28">
        <v>45992</v>
      </c>
      <c r="B219" s="1" t="s">
        <v>217</v>
      </c>
      <c r="C219" s="1"/>
      <c r="D219" s="28">
        <f t="shared" si="35"/>
        <v>46015</v>
      </c>
      <c r="E219" s="28">
        <f t="shared" si="36"/>
        <v>45999</v>
      </c>
      <c r="F219" s="28">
        <f t="shared" si="37"/>
        <v>46006</v>
      </c>
      <c r="G219" s="28">
        <f t="shared" si="38"/>
        <v>46012</v>
      </c>
      <c r="H219" s="28">
        <f t="shared" si="39"/>
        <v>46000</v>
      </c>
      <c r="I219" s="28">
        <f t="shared" si="40"/>
        <v>46007</v>
      </c>
      <c r="J219" s="28">
        <v>46017</v>
      </c>
      <c r="K219" s="29">
        <f t="shared" ref="K219:K225" si="43">J219-A219</f>
        <v>25</v>
      </c>
      <c r="L219" s="1">
        <v>14.43</v>
      </c>
      <c r="M219" s="1">
        <v>12.77</v>
      </c>
      <c r="N219" s="1">
        <f t="shared" ref="N219:N230" si="44">L219-M219</f>
        <v>1.6600000000000001</v>
      </c>
      <c r="O219" s="1" t="s">
        <v>379</v>
      </c>
    </row>
    <row r="220" spans="1:15" x14ac:dyDescent="0.25">
      <c r="A220" s="28">
        <v>45992</v>
      </c>
      <c r="B220" s="1" t="s">
        <v>218</v>
      </c>
      <c r="C220" s="1"/>
      <c r="D220" s="28">
        <f t="shared" si="35"/>
        <v>46015</v>
      </c>
      <c r="E220" s="28">
        <f t="shared" si="36"/>
        <v>45999</v>
      </c>
      <c r="F220" s="28">
        <f t="shared" si="37"/>
        <v>46006</v>
      </c>
      <c r="G220" s="28">
        <f t="shared" si="38"/>
        <v>46012</v>
      </c>
      <c r="H220" s="28">
        <f t="shared" si="39"/>
        <v>46000</v>
      </c>
      <c r="I220" s="28">
        <f t="shared" si="40"/>
        <v>46007</v>
      </c>
      <c r="J220" s="28">
        <v>46017</v>
      </c>
      <c r="K220" s="29">
        <f t="shared" si="43"/>
        <v>25</v>
      </c>
      <c r="L220" s="1">
        <v>16.77</v>
      </c>
      <c r="M220" s="1">
        <v>14.85</v>
      </c>
      <c r="N220" s="1">
        <f t="shared" si="44"/>
        <v>1.92</v>
      </c>
      <c r="O220" s="1" t="s">
        <v>379</v>
      </c>
    </row>
    <row r="221" spans="1:15" x14ac:dyDescent="0.25">
      <c r="A221" s="28">
        <v>45992</v>
      </c>
      <c r="B221" s="1" t="s">
        <v>219</v>
      </c>
      <c r="C221" s="1"/>
      <c r="D221" s="28">
        <f t="shared" si="35"/>
        <v>46015</v>
      </c>
      <c r="E221" s="28">
        <f t="shared" si="36"/>
        <v>45999</v>
      </c>
      <c r="F221" s="28">
        <f t="shared" si="37"/>
        <v>46006</v>
      </c>
      <c r="G221" s="28">
        <f t="shared" si="38"/>
        <v>46012</v>
      </c>
      <c r="H221" s="28">
        <f t="shared" si="39"/>
        <v>46000</v>
      </c>
      <c r="I221" s="28">
        <f t="shared" si="40"/>
        <v>46007</v>
      </c>
      <c r="J221" s="28">
        <v>46017</v>
      </c>
      <c r="K221" s="29">
        <f t="shared" si="43"/>
        <v>25</v>
      </c>
      <c r="L221" s="1">
        <v>15.11</v>
      </c>
      <c r="M221" s="1">
        <v>13.79</v>
      </c>
      <c r="N221" s="1">
        <f t="shared" si="44"/>
        <v>1.3200000000000003</v>
      </c>
      <c r="O221" s="1" t="s">
        <v>379</v>
      </c>
    </row>
    <row r="222" spans="1:15" x14ac:dyDescent="0.25">
      <c r="A222" s="28">
        <v>45994</v>
      </c>
      <c r="B222" s="1" t="s">
        <v>213</v>
      </c>
      <c r="C222" s="1"/>
      <c r="D222" s="28">
        <f t="shared" si="35"/>
        <v>46017</v>
      </c>
      <c r="E222" s="28">
        <f t="shared" si="36"/>
        <v>46001</v>
      </c>
      <c r="F222" s="28">
        <f t="shared" si="37"/>
        <v>46008</v>
      </c>
      <c r="G222" s="28">
        <f t="shared" si="38"/>
        <v>46014</v>
      </c>
      <c r="H222" s="28">
        <f t="shared" si="39"/>
        <v>46002</v>
      </c>
      <c r="I222" s="28">
        <f t="shared" si="40"/>
        <v>46009</v>
      </c>
      <c r="J222" s="28">
        <v>46018</v>
      </c>
      <c r="K222" s="29">
        <f t="shared" si="43"/>
        <v>24</v>
      </c>
      <c r="L222" s="1">
        <v>16.170000000000002</v>
      </c>
      <c r="M222" s="1">
        <v>8.19</v>
      </c>
      <c r="N222" s="1">
        <f t="shared" si="44"/>
        <v>7.9800000000000022</v>
      </c>
      <c r="O222" s="1" t="s">
        <v>378</v>
      </c>
    </row>
    <row r="223" spans="1:15" x14ac:dyDescent="0.25">
      <c r="A223" s="28">
        <v>45994</v>
      </c>
      <c r="B223" s="1" t="s">
        <v>214</v>
      </c>
      <c r="C223" s="1"/>
      <c r="D223" s="28">
        <f t="shared" si="35"/>
        <v>46017</v>
      </c>
      <c r="E223" s="28">
        <f t="shared" si="36"/>
        <v>46001</v>
      </c>
      <c r="F223" s="28">
        <f t="shared" si="37"/>
        <v>46008</v>
      </c>
      <c r="G223" s="28">
        <f t="shared" si="38"/>
        <v>46014</v>
      </c>
      <c r="H223" s="28">
        <f t="shared" si="39"/>
        <v>46002</v>
      </c>
      <c r="I223" s="28">
        <f t="shared" si="40"/>
        <v>46009</v>
      </c>
      <c r="J223" s="28">
        <v>46018</v>
      </c>
      <c r="K223" s="29">
        <f t="shared" si="43"/>
        <v>24</v>
      </c>
      <c r="L223" s="1">
        <v>15.22</v>
      </c>
      <c r="M223" s="1">
        <v>7.81</v>
      </c>
      <c r="N223" s="1">
        <f t="shared" si="44"/>
        <v>7.410000000000001</v>
      </c>
      <c r="O223" s="1" t="s">
        <v>378</v>
      </c>
    </row>
    <row r="224" spans="1:15" x14ac:dyDescent="0.25">
      <c r="A224" s="28">
        <v>45994</v>
      </c>
      <c r="B224" s="1" t="s">
        <v>215</v>
      </c>
      <c r="C224" s="1"/>
      <c r="D224" s="28">
        <f t="shared" si="35"/>
        <v>46017</v>
      </c>
      <c r="E224" s="28">
        <f t="shared" si="36"/>
        <v>46001</v>
      </c>
      <c r="F224" s="28">
        <f t="shared" si="37"/>
        <v>46008</v>
      </c>
      <c r="G224" s="28">
        <f t="shared" si="38"/>
        <v>46014</v>
      </c>
      <c r="H224" s="28">
        <f t="shared" si="39"/>
        <v>46002</v>
      </c>
      <c r="I224" s="28">
        <f t="shared" si="40"/>
        <v>46009</v>
      </c>
      <c r="J224" s="28">
        <v>46018</v>
      </c>
      <c r="K224" s="29">
        <f t="shared" si="43"/>
        <v>24</v>
      </c>
      <c r="L224" s="1">
        <v>15.1</v>
      </c>
      <c r="M224" s="1">
        <v>7.56</v>
      </c>
      <c r="N224" s="1">
        <f t="shared" si="44"/>
        <v>7.54</v>
      </c>
      <c r="O224" s="1" t="s">
        <v>378</v>
      </c>
    </row>
    <row r="225" spans="1:15" x14ac:dyDescent="0.25">
      <c r="A225" s="28">
        <v>45994</v>
      </c>
      <c r="B225" s="1" t="s">
        <v>244</v>
      </c>
      <c r="C225" s="1"/>
      <c r="D225" s="28">
        <f t="shared" si="35"/>
        <v>46017</v>
      </c>
      <c r="E225" s="28">
        <f t="shared" si="36"/>
        <v>46001</v>
      </c>
      <c r="F225" s="28">
        <f t="shared" si="37"/>
        <v>46008</v>
      </c>
      <c r="G225" s="28">
        <f t="shared" si="38"/>
        <v>46014</v>
      </c>
      <c r="H225" s="28">
        <f t="shared" si="39"/>
        <v>46002</v>
      </c>
      <c r="I225" s="28">
        <f t="shared" si="40"/>
        <v>46009</v>
      </c>
      <c r="J225" s="28">
        <v>46018</v>
      </c>
      <c r="K225" s="29">
        <f t="shared" si="43"/>
        <v>24</v>
      </c>
      <c r="L225" s="1">
        <v>16.41</v>
      </c>
      <c r="M225" s="1">
        <v>14.18</v>
      </c>
      <c r="N225" s="1">
        <f t="shared" si="44"/>
        <v>2.2300000000000004</v>
      </c>
      <c r="O225" s="1" t="s">
        <v>379</v>
      </c>
    </row>
    <row r="226" spans="1:15" x14ac:dyDescent="0.25">
      <c r="A226" s="28">
        <v>45994</v>
      </c>
      <c r="B226" s="1" t="s">
        <v>245</v>
      </c>
      <c r="C226" s="1"/>
      <c r="D226" s="28">
        <f t="shared" si="35"/>
        <v>46017</v>
      </c>
      <c r="E226" s="28">
        <f t="shared" si="36"/>
        <v>46001</v>
      </c>
      <c r="F226" s="28">
        <f t="shared" si="37"/>
        <v>46008</v>
      </c>
      <c r="G226" s="28">
        <f t="shared" si="38"/>
        <v>46014</v>
      </c>
      <c r="H226" s="28">
        <f t="shared" si="39"/>
        <v>46002</v>
      </c>
      <c r="I226" s="28">
        <f t="shared" si="40"/>
        <v>46009</v>
      </c>
      <c r="J226" s="28">
        <v>46018</v>
      </c>
      <c r="K226" s="29">
        <f t="shared" ref="K226:K235" si="45">J226-A226</f>
        <v>24</v>
      </c>
      <c r="L226" s="1">
        <v>15.28</v>
      </c>
      <c r="M226" s="1">
        <v>13.98</v>
      </c>
      <c r="N226" s="1">
        <f t="shared" si="44"/>
        <v>1.2999999999999989</v>
      </c>
      <c r="O226" s="1" t="s">
        <v>379</v>
      </c>
    </row>
    <row r="227" spans="1:15" x14ac:dyDescent="0.25">
      <c r="A227" s="28">
        <v>45994</v>
      </c>
      <c r="B227" s="1" t="s">
        <v>246</v>
      </c>
      <c r="C227" s="1"/>
      <c r="D227" s="28">
        <f t="shared" si="35"/>
        <v>46017</v>
      </c>
      <c r="E227" s="28">
        <f t="shared" si="36"/>
        <v>46001</v>
      </c>
      <c r="F227" s="28">
        <f t="shared" si="37"/>
        <v>46008</v>
      </c>
      <c r="G227" s="28">
        <f t="shared" si="38"/>
        <v>46014</v>
      </c>
      <c r="H227" s="28">
        <f t="shared" si="39"/>
        <v>46002</v>
      </c>
      <c r="I227" s="28">
        <f t="shared" si="40"/>
        <v>46009</v>
      </c>
      <c r="J227" s="28">
        <v>46018</v>
      </c>
      <c r="K227" s="29">
        <f t="shared" si="45"/>
        <v>24</v>
      </c>
      <c r="L227" s="1">
        <v>17.36</v>
      </c>
      <c r="M227" s="1">
        <v>15.86</v>
      </c>
      <c r="N227" s="1">
        <f t="shared" si="44"/>
        <v>1.5</v>
      </c>
      <c r="O227" s="1" t="s">
        <v>379</v>
      </c>
    </row>
    <row r="228" spans="1:15" x14ac:dyDescent="0.25">
      <c r="A228" s="28">
        <v>45994</v>
      </c>
      <c r="B228" s="1" t="s">
        <v>247</v>
      </c>
      <c r="C228" s="1"/>
      <c r="D228" s="28">
        <f t="shared" si="35"/>
        <v>46017</v>
      </c>
      <c r="E228" s="28">
        <f t="shared" si="36"/>
        <v>46001</v>
      </c>
      <c r="F228" s="28">
        <f t="shared" si="37"/>
        <v>46008</v>
      </c>
      <c r="G228" s="28">
        <f t="shared" si="38"/>
        <v>46014</v>
      </c>
      <c r="H228" s="28">
        <f t="shared" si="39"/>
        <v>46002</v>
      </c>
      <c r="I228" s="28">
        <f t="shared" si="40"/>
        <v>46009</v>
      </c>
      <c r="J228" s="28">
        <v>46018</v>
      </c>
      <c r="K228" s="29">
        <f t="shared" si="45"/>
        <v>24</v>
      </c>
      <c r="L228" s="1">
        <v>15.13</v>
      </c>
      <c r="M228" s="1">
        <v>13.74</v>
      </c>
      <c r="N228" s="1">
        <f t="shared" si="44"/>
        <v>1.3900000000000006</v>
      </c>
      <c r="O228" s="1" t="s">
        <v>379</v>
      </c>
    </row>
    <row r="229" spans="1:15" x14ac:dyDescent="0.25">
      <c r="A229" s="28">
        <v>45994</v>
      </c>
      <c r="B229" s="1" t="s">
        <v>248</v>
      </c>
      <c r="C229" s="1"/>
      <c r="D229" s="28">
        <f t="shared" si="35"/>
        <v>46017</v>
      </c>
      <c r="E229" s="28">
        <f t="shared" si="36"/>
        <v>46001</v>
      </c>
      <c r="F229" s="28">
        <f t="shared" si="37"/>
        <v>46008</v>
      </c>
      <c r="G229" s="28">
        <f t="shared" si="38"/>
        <v>46014</v>
      </c>
      <c r="H229" s="28">
        <f t="shared" si="39"/>
        <v>46002</v>
      </c>
      <c r="I229" s="28">
        <f t="shared" si="40"/>
        <v>46009</v>
      </c>
      <c r="J229" s="28">
        <v>46018</v>
      </c>
      <c r="K229" s="29">
        <f t="shared" si="45"/>
        <v>24</v>
      </c>
      <c r="L229" s="1">
        <v>17.079999999999998</v>
      </c>
      <c r="M229" s="1">
        <v>14.91</v>
      </c>
      <c r="N229" s="1">
        <f t="shared" si="44"/>
        <v>2.1699999999999982</v>
      </c>
      <c r="O229" s="1" t="s">
        <v>379</v>
      </c>
    </row>
    <row r="230" spans="1:15" x14ac:dyDescent="0.25">
      <c r="A230" s="28">
        <v>45994</v>
      </c>
      <c r="B230" s="1" t="s">
        <v>249</v>
      </c>
      <c r="C230" s="1"/>
      <c r="D230" s="28">
        <f t="shared" si="35"/>
        <v>46017</v>
      </c>
      <c r="E230" s="28">
        <f t="shared" si="36"/>
        <v>46001</v>
      </c>
      <c r="F230" s="28">
        <f t="shared" si="37"/>
        <v>46008</v>
      </c>
      <c r="G230" s="28">
        <f t="shared" si="38"/>
        <v>46014</v>
      </c>
      <c r="H230" s="28">
        <f t="shared" si="39"/>
        <v>46002</v>
      </c>
      <c r="I230" s="28">
        <f t="shared" si="40"/>
        <v>46009</v>
      </c>
      <c r="J230" s="28">
        <v>46018</v>
      </c>
      <c r="K230" s="29">
        <f t="shared" si="45"/>
        <v>24</v>
      </c>
      <c r="L230" s="1">
        <v>16.850000000000001</v>
      </c>
      <c r="M230" s="1">
        <v>14.58</v>
      </c>
      <c r="N230" s="1">
        <f t="shared" si="44"/>
        <v>2.2700000000000014</v>
      </c>
      <c r="O230" s="1" t="s">
        <v>379</v>
      </c>
    </row>
    <row r="231" spans="1:15" x14ac:dyDescent="0.25">
      <c r="A231" s="28">
        <v>45995</v>
      </c>
      <c r="B231" s="1" t="s">
        <v>209</v>
      </c>
      <c r="C231" s="1"/>
      <c r="D231" s="28">
        <f t="shared" si="35"/>
        <v>46018</v>
      </c>
      <c r="E231" s="28">
        <f t="shared" si="36"/>
        <v>46002</v>
      </c>
      <c r="F231" s="28">
        <f t="shared" si="37"/>
        <v>46009</v>
      </c>
      <c r="G231" s="28">
        <f t="shared" si="38"/>
        <v>46015</v>
      </c>
      <c r="H231" s="28">
        <f t="shared" si="39"/>
        <v>46003</v>
      </c>
      <c r="I231" s="28">
        <f t="shared" si="40"/>
        <v>46010</v>
      </c>
      <c r="J231" s="28">
        <v>46019</v>
      </c>
      <c r="K231" s="29">
        <f t="shared" si="45"/>
        <v>24</v>
      </c>
      <c r="L231" s="1">
        <v>14.27</v>
      </c>
      <c r="M231" s="1">
        <v>7.16</v>
      </c>
      <c r="N231" s="1">
        <f>L231-M231</f>
        <v>7.1099999999999994</v>
      </c>
      <c r="O231" s="1" t="s">
        <v>378</v>
      </c>
    </row>
    <row r="232" spans="1:15" x14ac:dyDescent="0.25">
      <c r="A232" s="28">
        <v>45995</v>
      </c>
      <c r="B232" s="1" t="s">
        <v>210</v>
      </c>
      <c r="C232" s="1"/>
      <c r="D232" s="28">
        <f t="shared" si="35"/>
        <v>46018</v>
      </c>
      <c r="E232" s="28">
        <f t="shared" si="36"/>
        <v>46002</v>
      </c>
      <c r="F232" s="28">
        <f t="shared" si="37"/>
        <v>46009</v>
      </c>
      <c r="G232" s="28">
        <f t="shared" si="38"/>
        <v>46015</v>
      </c>
      <c r="H232" s="28">
        <f t="shared" si="39"/>
        <v>46003</v>
      </c>
      <c r="I232" s="28">
        <f t="shared" si="40"/>
        <v>46010</v>
      </c>
      <c r="J232" s="28">
        <v>46019</v>
      </c>
      <c r="K232" s="29">
        <f t="shared" si="45"/>
        <v>24</v>
      </c>
      <c r="L232" s="1">
        <v>14.39</v>
      </c>
      <c r="M232" s="1">
        <v>7.2</v>
      </c>
      <c r="N232" s="1">
        <f>L232-M232</f>
        <v>7.19</v>
      </c>
      <c r="O232" s="1" t="s">
        <v>378</v>
      </c>
    </row>
    <row r="233" spans="1:15" x14ac:dyDescent="0.25">
      <c r="A233" s="28">
        <v>45995</v>
      </c>
      <c r="B233" s="1" t="s">
        <v>211</v>
      </c>
      <c r="C233" s="1"/>
      <c r="D233" s="28">
        <f t="shared" si="35"/>
        <v>46018</v>
      </c>
      <c r="E233" s="28">
        <f t="shared" si="36"/>
        <v>46002</v>
      </c>
      <c r="F233" s="28">
        <f t="shared" si="37"/>
        <v>46009</v>
      </c>
      <c r="G233" s="28">
        <f t="shared" si="38"/>
        <v>46015</v>
      </c>
      <c r="H233" s="28">
        <f t="shared" si="39"/>
        <v>46003</v>
      </c>
      <c r="I233" s="28">
        <f t="shared" si="40"/>
        <v>46010</v>
      </c>
      <c r="J233" s="28">
        <v>46019</v>
      </c>
      <c r="K233" s="29">
        <f t="shared" si="45"/>
        <v>24</v>
      </c>
      <c r="L233" s="1">
        <v>13.56</v>
      </c>
      <c r="M233" s="1">
        <v>6.92</v>
      </c>
      <c r="N233" s="1">
        <f>L233-M233</f>
        <v>6.6400000000000006</v>
      </c>
      <c r="O233" s="1" t="s">
        <v>378</v>
      </c>
    </row>
    <row r="234" spans="1:15" x14ac:dyDescent="0.25">
      <c r="A234" s="28">
        <v>45995</v>
      </c>
      <c r="B234" s="1" t="s">
        <v>212</v>
      </c>
      <c r="C234" s="1"/>
      <c r="D234" s="28">
        <f t="shared" si="35"/>
        <v>46018</v>
      </c>
      <c r="E234" s="28">
        <f t="shared" si="36"/>
        <v>46002</v>
      </c>
      <c r="F234" s="28">
        <f t="shared" si="37"/>
        <v>46009</v>
      </c>
      <c r="G234" s="28">
        <f t="shared" si="38"/>
        <v>46015</v>
      </c>
      <c r="H234" s="28">
        <f t="shared" si="39"/>
        <v>46003</v>
      </c>
      <c r="I234" s="28">
        <f t="shared" si="40"/>
        <v>46010</v>
      </c>
      <c r="J234" s="28">
        <v>46019</v>
      </c>
      <c r="K234" s="29">
        <f t="shared" si="45"/>
        <v>24</v>
      </c>
      <c r="L234" s="1">
        <v>14.16</v>
      </c>
      <c r="M234" s="1">
        <v>7.03</v>
      </c>
      <c r="N234" s="1">
        <f>L234-M234</f>
        <v>7.13</v>
      </c>
      <c r="O234" s="1" t="s">
        <v>378</v>
      </c>
    </row>
    <row r="235" spans="1:15" x14ac:dyDescent="0.25">
      <c r="A235" s="28">
        <v>45995</v>
      </c>
      <c r="B235" s="1" t="s">
        <v>243</v>
      </c>
      <c r="C235" s="1"/>
      <c r="D235" s="28">
        <f t="shared" si="35"/>
        <v>46018</v>
      </c>
      <c r="E235" s="28">
        <f t="shared" si="36"/>
        <v>46002</v>
      </c>
      <c r="F235" s="28">
        <f t="shared" si="37"/>
        <v>46009</v>
      </c>
      <c r="G235" s="28">
        <f t="shared" si="38"/>
        <v>46015</v>
      </c>
      <c r="H235" s="28">
        <f t="shared" si="39"/>
        <v>46003</v>
      </c>
      <c r="I235" s="28">
        <f t="shared" si="40"/>
        <v>46010</v>
      </c>
      <c r="J235" s="28">
        <v>46019</v>
      </c>
      <c r="K235" s="29">
        <f t="shared" si="45"/>
        <v>24</v>
      </c>
      <c r="L235" s="1">
        <v>11.73</v>
      </c>
      <c r="M235" s="1">
        <v>5.56</v>
      </c>
      <c r="N235" s="1">
        <f>L235-M235</f>
        <v>6.1700000000000008</v>
      </c>
      <c r="O235" s="1" t="s">
        <v>378</v>
      </c>
    </row>
    <row r="236" spans="1:15" x14ac:dyDescent="0.25">
      <c r="A236" s="28">
        <v>45995</v>
      </c>
      <c r="B236" s="1" t="s">
        <v>257</v>
      </c>
      <c r="C236" s="1"/>
      <c r="D236" s="28">
        <f t="shared" ref="D236:D251" si="46">A236+23</f>
        <v>46018</v>
      </c>
      <c r="E236" s="28">
        <f t="shared" ref="E236:E251" si="47">A236+7</f>
        <v>46002</v>
      </c>
      <c r="F236" s="28">
        <f t="shared" ref="F236:F251" si="48">A236+14</f>
        <v>46009</v>
      </c>
      <c r="G236" s="28">
        <f t="shared" ref="G236:G251" si="49">A236+20</f>
        <v>46015</v>
      </c>
      <c r="H236" s="28">
        <f t="shared" ref="H236:H251" si="50">A236+8</f>
        <v>46003</v>
      </c>
      <c r="I236" s="28">
        <f t="shared" ref="I236:I251" si="51">A236+15</f>
        <v>46010</v>
      </c>
      <c r="J236" s="28">
        <v>46020</v>
      </c>
      <c r="K236" s="29">
        <f t="shared" ref="K236:K247" si="52">J236-A236</f>
        <v>25</v>
      </c>
      <c r="L236" s="1">
        <v>11.39</v>
      </c>
      <c r="M236" s="1">
        <v>5.25</v>
      </c>
      <c r="N236" s="1">
        <f t="shared" ref="N236:N249" si="53">L236-M236</f>
        <v>6.1400000000000006</v>
      </c>
      <c r="O236" s="1" t="s">
        <v>378</v>
      </c>
    </row>
    <row r="237" spans="1:15" x14ac:dyDescent="0.25">
      <c r="A237" s="28">
        <v>45995</v>
      </c>
      <c r="B237" s="1" t="s">
        <v>259</v>
      </c>
      <c r="C237" s="1"/>
      <c r="D237" s="28">
        <f t="shared" si="46"/>
        <v>46018</v>
      </c>
      <c r="E237" s="28">
        <f t="shared" si="47"/>
        <v>46002</v>
      </c>
      <c r="F237" s="28">
        <f t="shared" si="48"/>
        <v>46009</v>
      </c>
      <c r="G237" s="28">
        <f t="shared" si="49"/>
        <v>46015</v>
      </c>
      <c r="H237" s="28">
        <f t="shared" si="50"/>
        <v>46003</v>
      </c>
      <c r="I237" s="28">
        <f t="shared" si="51"/>
        <v>46010</v>
      </c>
      <c r="J237" s="28">
        <v>46020</v>
      </c>
      <c r="K237" s="29">
        <f t="shared" si="52"/>
        <v>25</v>
      </c>
      <c r="L237" s="1">
        <v>10.67</v>
      </c>
      <c r="M237" s="1">
        <v>4.1399999999999997</v>
      </c>
      <c r="N237" s="1">
        <f t="shared" si="53"/>
        <v>6.53</v>
      </c>
      <c r="O237" s="1" t="s">
        <v>378</v>
      </c>
    </row>
    <row r="238" spans="1:15" x14ac:dyDescent="0.25">
      <c r="A238" s="28">
        <v>45995</v>
      </c>
      <c r="B238" s="1" t="s">
        <v>261</v>
      </c>
      <c r="C238" s="1"/>
      <c r="D238" s="28">
        <f t="shared" si="46"/>
        <v>46018</v>
      </c>
      <c r="E238" s="28">
        <f t="shared" si="47"/>
        <v>46002</v>
      </c>
      <c r="F238" s="28">
        <f t="shared" si="48"/>
        <v>46009</v>
      </c>
      <c r="G238" s="28">
        <f t="shared" si="49"/>
        <v>46015</v>
      </c>
      <c r="H238" s="28">
        <f t="shared" si="50"/>
        <v>46003</v>
      </c>
      <c r="I238" s="28">
        <f t="shared" si="51"/>
        <v>46010</v>
      </c>
      <c r="J238" s="28">
        <v>46020</v>
      </c>
      <c r="K238" s="29">
        <f t="shared" si="52"/>
        <v>25</v>
      </c>
      <c r="L238" s="1">
        <v>10.210000000000001</v>
      </c>
      <c r="M238" s="1">
        <v>3.81</v>
      </c>
      <c r="N238" s="1">
        <f t="shared" si="53"/>
        <v>6.4</v>
      </c>
      <c r="O238" s="1" t="s">
        <v>378</v>
      </c>
    </row>
    <row r="239" spans="1:15" x14ac:dyDescent="0.25">
      <c r="A239" s="28">
        <v>45996</v>
      </c>
      <c r="B239" s="1" t="s">
        <v>258</v>
      </c>
      <c r="C239" s="1"/>
      <c r="D239" s="28">
        <f t="shared" si="46"/>
        <v>46019</v>
      </c>
      <c r="E239" s="28">
        <f t="shared" si="47"/>
        <v>46003</v>
      </c>
      <c r="F239" s="28">
        <f t="shared" si="48"/>
        <v>46010</v>
      </c>
      <c r="G239" s="28">
        <f t="shared" si="49"/>
        <v>46016</v>
      </c>
      <c r="H239" s="28">
        <f t="shared" si="50"/>
        <v>46004</v>
      </c>
      <c r="I239" s="28">
        <f t="shared" si="51"/>
        <v>46011</v>
      </c>
      <c r="J239" s="28">
        <v>46020</v>
      </c>
      <c r="K239" s="29">
        <f t="shared" si="52"/>
        <v>24</v>
      </c>
      <c r="L239" s="1">
        <v>11.12</v>
      </c>
      <c r="M239" s="1">
        <v>5.15</v>
      </c>
      <c r="N239" s="1">
        <f t="shared" si="53"/>
        <v>5.9699999999999989</v>
      </c>
      <c r="O239" s="1" t="s">
        <v>378</v>
      </c>
    </row>
    <row r="240" spans="1:15" x14ac:dyDescent="0.25">
      <c r="A240" s="28">
        <v>45996</v>
      </c>
      <c r="B240" s="1" t="s">
        <v>260</v>
      </c>
      <c r="C240" s="1"/>
      <c r="D240" s="28">
        <f t="shared" si="46"/>
        <v>46019</v>
      </c>
      <c r="E240" s="28">
        <f t="shared" si="47"/>
        <v>46003</v>
      </c>
      <c r="F240" s="28">
        <f t="shared" si="48"/>
        <v>46010</v>
      </c>
      <c r="G240" s="28">
        <f t="shared" si="49"/>
        <v>46016</v>
      </c>
      <c r="H240" s="28">
        <f t="shared" si="50"/>
        <v>46004</v>
      </c>
      <c r="I240" s="28">
        <f t="shared" si="51"/>
        <v>46011</v>
      </c>
      <c r="J240" s="28">
        <v>46020</v>
      </c>
      <c r="K240" s="29">
        <f t="shared" si="52"/>
        <v>24</v>
      </c>
      <c r="L240" s="1">
        <v>10.06</v>
      </c>
      <c r="M240" s="1">
        <v>3.38</v>
      </c>
      <c r="N240" s="1">
        <f t="shared" si="53"/>
        <v>6.6800000000000006</v>
      </c>
      <c r="O240" s="1" t="s">
        <v>378</v>
      </c>
    </row>
    <row r="241" spans="1:15" x14ac:dyDescent="0.25">
      <c r="A241" s="28">
        <v>45996</v>
      </c>
      <c r="B241" s="1" t="s">
        <v>206</v>
      </c>
      <c r="C241" s="1"/>
      <c r="D241" s="28">
        <f t="shared" si="46"/>
        <v>46019</v>
      </c>
      <c r="E241" s="28">
        <f t="shared" si="47"/>
        <v>46003</v>
      </c>
      <c r="F241" s="28">
        <f t="shared" si="48"/>
        <v>46010</v>
      </c>
      <c r="G241" s="28">
        <f t="shared" si="49"/>
        <v>46016</v>
      </c>
      <c r="H241" s="28">
        <f t="shared" si="50"/>
        <v>46004</v>
      </c>
      <c r="I241" s="28">
        <f t="shared" si="51"/>
        <v>46011</v>
      </c>
      <c r="J241" s="28">
        <v>46019</v>
      </c>
      <c r="K241" s="29">
        <f t="shared" si="52"/>
        <v>23</v>
      </c>
      <c r="L241" s="1">
        <v>14.46</v>
      </c>
      <c r="M241" s="1">
        <v>12.66</v>
      </c>
      <c r="N241" s="1">
        <f t="shared" si="53"/>
        <v>1.8000000000000007</v>
      </c>
      <c r="O241" s="1" t="s">
        <v>379</v>
      </c>
    </row>
    <row r="242" spans="1:15" x14ac:dyDescent="0.25">
      <c r="A242" s="28">
        <v>45996</v>
      </c>
      <c r="B242" s="1" t="s">
        <v>207</v>
      </c>
      <c r="C242" s="1"/>
      <c r="D242" s="28">
        <f t="shared" si="46"/>
        <v>46019</v>
      </c>
      <c r="E242" s="28">
        <f t="shared" si="47"/>
        <v>46003</v>
      </c>
      <c r="F242" s="28">
        <f t="shared" si="48"/>
        <v>46010</v>
      </c>
      <c r="G242" s="28">
        <f t="shared" si="49"/>
        <v>46016</v>
      </c>
      <c r="H242" s="28">
        <f t="shared" si="50"/>
        <v>46004</v>
      </c>
      <c r="I242" s="28">
        <f t="shared" si="51"/>
        <v>46011</v>
      </c>
      <c r="J242" s="28">
        <v>46019</v>
      </c>
      <c r="K242" s="29">
        <f t="shared" si="52"/>
        <v>23</v>
      </c>
      <c r="L242" s="1">
        <v>15.28</v>
      </c>
      <c r="M242" s="1">
        <v>13.36</v>
      </c>
      <c r="N242" s="1">
        <f t="shared" si="53"/>
        <v>1.92</v>
      </c>
      <c r="O242" s="1" t="s">
        <v>379</v>
      </c>
    </row>
    <row r="243" spans="1:15" x14ac:dyDescent="0.25">
      <c r="A243" s="28">
        <v>45996</v>
      </c>
      <c r="B243" s="1" t="s">
        <v>208</v>
      </c>
      <c r="C243" s="1"/>
      <c r="D243" s="28">
        <f t="shared" si="46"/>
        <v>46019</v>
      </c>
      <c r="E243" s="28">
        <f t="shared" si="47"/>
        <v>46003</v>
      </c>
      <c r="F243" s="28">
        <f t="shared" si="48"/>
        <v>46010</v>
      </c>
      <c r="G243" s="28">
        <f t="shared" si="49"/>
        <v>46016</v>
      </c>
      <c r="H243" s="28">
        <f t="shared" si="50"/>
        <v>46004</v>
      </c>
      <c r="I243" s="28">
        <f t="shared" si="51"/>
        <v>46011</v>
      </c>
      <c r="J243" s="28">
        <v>46019</v>
      </c>
      <c r="K243" s="29">
        <f t="shared" si="52"/>
        <v>23</v>
      </c>
      <c r="L243" s="1">
        <v>15.41</v>
      </c>
      <c r="M243" s="1">
        <v>13.51</v>
      </c>
      <c r="N243" s="1">
        <f t="shared" si="53"/>
        <v>1.9000000000000004</v>
      </c>
      <c r="O243" s="1" t="s">
        <v>379</v>
      </c>
    </row>
    <row r="244" spans="1:15" x14ac:dyDescent="0.25">
      <c r="A244" s="28">
        <v>45996</v>
      </c>
      <c r="B244" s="1" t="s">
        <v>240</v>
      </c>
      <c r="C244" s="1"/>
      <c r="D244" s="28">
        <f t="shared" si="46"/>
        <v>46019</v>
      </c>
      <c r="E244" s="28">
        <f t="shared" si="47"/>
        <v>46003</v>
      </c>
      <c r="F244" s="28">
        <f t="shared" si="48"/>
        <v>46010</v>
      </c>
      <c r="G244" s="28">
        <f t="shared" si="49"/>
        <v>46016</v>
      </c>
      <c r="H244" s="28">
        <f t="shared" si="50"/>
        <v>46004</v>
      </c>
      <c r="I244" s="28">
        <f t="shared" si="51"/>
        <v>46011</v>
      </c>
      <c r="J244" s="28">
        <v>46019</v>
      </c>
      <c r="K244" s="29">
        <f t="shared" si="52"/>
        <v>23</v>
      </c>
      <c r="L244" s="1">
        <v>15.19</v>
      </c>
      <c r="M244" s="1">
        <v>13.29</v>
      </c>
      <c r="N244" s="1">
        <f t="shared" si="53"/>
        <v>1.9000000000000004</v>
      </c>
      <c r="O244" s="1" t="s">
        <v>379</v>
      </c>
    </row>
    <row r="245" spans="1:15" x14ac:dyDescent="0.25">
      <c r="A245" s="28">
        <v>45996</v>
      </c>
      <c r="B245" s="1" t="s">
        <v>241</v>
      </c>
      <c r="C245" s="1"/>
      <c r="D245" s="28">
        <f t="shared" si="46"/>
        <v>46019</v>
      </c>
      <c r="E245" s="28">
        <f t="shared" si="47"/>
        <v>46003</v>
      </c>
      <c r="F245" s="28">
        <f t="shared" si="48"/>
        <v>46010</v>
      </c>
      <c r="G245" s="28">
        <f t="shared" si="49"/>
        <v>46016</v>
      </c>
      <c r="H245" s="28">
        <f t="shared" si="50"/>
        <v>46004</v>
      </c>
      <c r="I245" s="28">
        <f t="shared" si="51"/>
        <v>46011</v>
      </c>
      <c r="J245" s="28">
        <v>46019</v>
      </c>
      <c r="K245" s="29">
        <f t="shared" si="52"/>
        <v>23</v>
      </c>
      <c r="L245" s="1">
        <v>14.25</v>
      </c>
      <c r="M245" s="1">
        <v>12.54</v>
      </c>
      <c r="N245" s="1">
        <f t="shared" si="53"/>
        <v>1.7100000000000009</v>
      </c>
      <c r="O245" s="1" t="s">
        <v>379</v>
      </c>
    </row>
    <row r="246" spans="1:15" x14ac:dyDescent="0.25">
      <c r="A246" s="28">
        <v>45995</v>
      </c>
      <c r="B246" s="1" t="s">
        <v>262</v>
      </c>
      <c r="C246" s="1"/>
      <c r="D246" s="28">
        <f t="shared" si="46"/>
        <v>46018</v>
      </c>
      <c r="E246" s="28">
        <f t="shared" si="47"/>
        <v>46002</v>
      </c>
      <c r="F246" s="28">
        <f t="shared" si="48"/>
        <v>46009</v>
      </c>
      <c r="G246" s="28">
        <f t="shared" si="49"/>
        <v>46015</v>
      </c>
      <c r="H246" s="28">
        <f t="shared" si="50"/>
        <v>46003</v>
      </c>
      <c r="I246" s="28">
        <f t="shared" si="51"/>
        <v>46010</v>
      </c>
      <c r="J246" s="28">
        <v>46020</v>
      </c>
      <c r="K246" s="29">
        <f t="shared" si="52"/>
        <v>25</v>
      </c>
      <c r="L246" s="1">
        <v>12.43</v>
      </c>
      <c r="M246" s="1">
        <v>10.59</v>
      </c>
      <c r="N246" s="1">
        <f t="shared" si="53"/>
        <v>1.8399999999999999</v>
      </c>
      <c r="O246" s="1" t="s">
        <v>379</v>
      </c>
    </row>
    <row r="247" spans="1:15" x14ac:dyDescent="0.25">
      <c r="A247" s="28">
        <v>45995</v>
      </c>
      <c r="B247" s="1" t="s">
        <v>263</v>
      </c>
      <c r="C247" s="1"/>
      <c r="D247" s="28">
        <f t="shared" si="46"/>
        <v>46018</v>
      </c>
      <c r="E247" s="28">
        <f t="shared" si="47"/>
        <v>46002</v>
      </c>
      <c r="F247" s="28">
        <f t="shared" si="48"/>
        <v>46009</v>
      </c>
      <c r="G247" s="28">
        <f t="shared" si="49"/>
        <v>46015</v>
      </c>
      <c r="H247" s="28">
        <f t="shared" si="50"/>
        <v>46003</v>
      </c>
      <c r="I247" s="28">
        <f t="shared" si="51"/>
        <v>46010</v>
      </c>
      <c r="J247" s="28">
        <v>46020</v>
      </c>
      <c r="K247" s="29">
        <f t="shared" si="52"/>
        <v>25</v>
      </c>
      <c r="L247" s="1">
        <v>14.85</v>
      </c>
      <c r="M247" s="1">
        <v>12.71</v>
      </c>
      <c r="N247" s="1">
        <f t="shared" si="53"/>
        <v>2.1399999999999988</v>
      </c>
      <c r="O247" s="1" t="s">
        <v>379</v>
      </c>
    </row>
    <row r="248" spans="1:15" x14ac:dyDescent="0.25">
      <c r="A248" s="28">
        <v>45997</v>
      </c>
      <c r="B248" s="1" t="s">
        <v>204</v>
      </c>
      <c r="C248" s="1"/>
      <c r="D248" s="28">
        <f t="shared" si="46"/>
        <v>46020</v>
      </c>
      <c r="E248" s="28">
        <f t="shared" si="47"/>
        <v>46004</v>
      </c>
      <c r="F248" s="28">
        <f t="shared" si="48"/>
        <v>46011</v>
      </c>
      <c r="G248" s="28">
        <f t="shared" si="49"/>
        <v>46017</v>
      </c>
      <c r="H248" s="28">
        <f t="shared" si="50"/>
        <v>46005</v>
      </c>
      <c r="I248" s="28">
        <f t="shared" si="51"/>
        <v>46012</v>
      </c>
      <c r="J248" s="28">
        <v>46021</v>
      </c>
      <c r="K248" s="29">
        <f>J249-A248</f>
        <v>24</v>
      </c>
      <c r="L248" s="1">
        <v>13.24</v>
      </c>
      <c r="M248" s="1">
        <v>6.67</v>
      </c>
      <c r="N248" s="1">
        <f t="shared" si="53"/>
        <v>6.57</v>
      </c>
      <c r="O248" s="1" t="s">
        <v>378</v>
      </c>
    </row>
    <row r="249" spans="1:15" x14ac:dyDescent="0.25">
      <c r="A249" s="28">
        <v>45997</v>
      </c>
      <c r="B249" s="1" t="s">
        <v>205</v>
      </c>
      <c r="C249" s="1"/>
      <c r="D249" s="28">
        <f t="shared" si="46"/>
        <v>46020</v>
      </c>
      <c r="E249" s="28">
        <f t="shared" si="47"/>
        <v>46004</v>
      </c>
      <c r="F249" s="28">
        <f t="shared" si="48"/>
        <v>46011</v>
      </c>
      <c r="G249" s="28">
        <f t="shared" si="49"/>
        <v>46017</v>
      </c>
      <c r="H249" s="28">
        <f t="shared" si="50"/>
        <v>46005</v>
      </c>
      <c r="I249" s="28">
        <f t="shared" si="51"/>
        <v>46012</v>
      </c>
      <c r="J249" s="28">
        <v>46021</v>
      </c>
      <c r="K249" s="29">
        <f>J250-A249</f>
        <v>23</v>
      </c>
      <c r="L249" s="1">
        <v>14.2</v>
      </c>
      <c r="M249" s="1">
        <v>7.52</v>
      </c>
      <c r="N249" s="1">
        <f t="shared" si="53"/>
        <v>6.68</v>
      </c>
      <c r="O249" s="1" t="s">
        <v>378</v>
      </c>
    </row>
    <row r="250" spans="1:15" x14ac:dyDescent="0.25">
      <c r="A250" s="28">
        <v>45997</v>
      </c>
      <c r="B250" s="1" t="s">
        <v>236</v>
      </c>
      <c r="C250" s="1"/>
      <c r="D250" s="28">
        <f t="shared" si="46"/>
        <v>46020</v>
      </c>
      <c r="E250" s="28">
        <f t="shared" si="47"/>
        <v>46004</v>
      </c>
      <c r="F250" s="28">
        <f t="shared" si="48"/>
        <v>46011</v>
      </c>
      <c r="G250" s="28">
        <f t="shared" si="49"/>
        <v>46017</v>
      </c>
      <c r="H250" s="28">
        <f t="shared" si="50"/>
        <v>46005</v>
      </c>
      <c r="I250" s="28">
        <f t="shared" si="51"/>
        <v>46012</v>
      </c>
      <c r="J250" s="28">
        <v>46020</v>
      </c>
      <c r="K250" s="29">
        <f>J250-A250</f>
        <v>23</v>
      </c>
      <c r="L250" s="1">
        <v>16.63</v>
      </c>
      <c r="M250" s="1">
        <v>14.74</v>
      </c>
      <c r="N250" s="1">
        <f>L250-M250</f>
        <v>1.8899999999999988</v>
      </c>
      <c r="O250" s="1" t="s">
        <v>379</v>
      </c>
    </row>
    <row r="251" spans="1:15" x14ac:dyDescent="0.25">
      <c r="A251" s="28">
        <v>45997</v>
      </c>
      <c r="B251" s="1" t="s">
        <v>237</v>
      </c>
      <c r="C251" s="1"/>
      <c r="D251" s="28">
        <f t="shared" si="46"/>
        <v>46020</v>
      </c>
      <c r="E251" s="28">
        <f t="shared" si="47"/>
        <v>46004</v>
      </c>
      <c r="F251" s="28">
        <f t="shared" si="48"/>
        <v>46011</v>
      </c>
      <c r="G251" s="28">
        <f t="shared" si="49"/>
        <v>46017</v>
      </c>
      <c r="H251" s="28">
        <f t="shared" si="50"/>
        <v>46005</v>
      </c>
      <c r="I251" s="28">
        <f t="shared" si="51"/>
        <v>46012</v>
      </c>
      <c r="J251" s="28">
        <v>46020</v>
      </c>
      <c r="K251" s="29">
        <f>J251-A251</f>
        <v>23</v>
      </c>
      <c r="L251" s="1">
        <v>16.39</v>
      </c>
      <c r="M251" s="1">
        <v>14.19</v>
      </c>
      <c r="N251" s="1">
        <f>L251-M251</f>
        <v>2.2000000000000011</v>
      </c>
      <c r="O251" s="1" t="s">
        <v>379</v>
      </c>
    </row>
    <row r="252" spans="1:15" x14ac:dyDescent="0.25">
      <c r="A252" s="28">
        <v>45997</v>
      </c>
      <c r="B252" s="1" t="s">
        <v>238</v>
      </c>
      <c r="C252" s="1"/>
      <c r="D252" s="28">
        <f t="shared" si="35"/>
        <v>46020</v>
      </c>
      <c r="E252" s="28">
        <f t="shared" si="36"/>
        <v>46004</v>
      </c>
      <c r="F252" s="28">
        <f t="shared" si="37"/>
        <v>46011</v>
      </c>
      <c r="G252" s="28">
        <f t="shared" si="38"/>
        <v>46017</v>
      </c>
      <c r="H252" s="28">
        <f t="shared" si="39"/>
        <v>46005</v>
      </c>
      <c r="I252" s="28">
        <f t="shared" si="40"/>
        <v>46012</v>
      </c>
      <c r="J252" s="28">
        <v>46019</v>
      </c>
      <c r="K252" s="29">
        <f t="shared" ref="K252:K315" si="54">J252-A252</f>
        <v>22</v>
      </c>
      <c r="L252" s="1">
        <v>13.06</v>
      </c>
      <c r="M252" s="1">
        <v>11.31</v>
      </c>
      <c r="N252" s="1">
        <f t="shared" ref="N252:N315" si="55">L252-M252</f>
        <v>1.75</v>
      </c>
      <c r="O252" s="1" t="s">
        <v>379</v>
      </c>
    </row>
    <row r="253" spans="1:15" x14ac:dyDescent="0.25">
      <c r="A253" s="28">
        <v>45997</v>
      </c>
      <c r="B253" s="1" t="s">
        <v>239</v>
      </c>
      <c r="C253" s="1"/>
      <c r="D253" s="28">
        <f t="shared" si="35"/>
        <v>46020</v>
      </c>
      <c r="E253" s="28">
        <f t="shared" si="36"/>
        <v>46004</v>
      </c>
      <c r="F253" s="28">
        <f t="shared" si="37"/>
        <v>46011</v>
      </c>
      <c r="G253" s="28">
        <f t="shared" si="38"/>
        <v>46017</v>
      </c>
      <c r="H253" s="28">
        <f t="shared" si="39"/>
        <v>46005</v>
      </c>
      <c r="I253" s="28">
        <f t="shared" si="40"/>
        <v>46012</v>
      </c>
      <c r="J253" s="28">
        <v>46019</v>
      </c>
      <c r="K253" s="29">
        <f t="shared" si="54"/>
        <v>22</v>
      </c>
      <c r="L253" s="1">
        <v>14.18</v>
      </c>
      <c r="M253" s="1">
        <v>12.48</v>
      </c>
      <c r="N253" s="1">
        <f t="shared" si="55"/>
        <v>1.6999999999999993</v>
      </c>
      <c r="O253" s="1" t="s">
        <v>379</v>
      </c>
    </row>
    <row r="254" spans="1:15" x14ac:dyDescent="0.25">
      <c r="A254" s="28">
        <v>45997</v>
      </c>
      <c r="B254" s="1" t="s">
        <v>242</v>
      </c>
      <c r="C254" s="1"/>
      <c r="D254" s="28">
        <f t="shared" si="35"/>
        <v>46020</v>
      </c>
      <c r="E254" s="28">
        <f t="shared" si="36"/>
        <v>46004</v>
      </c>
      <c r="F254" s="28">
        <f t="shared" si="37"/>
        <v>46011</v>
      </c>
      <c r="G254" s="28">
        <f t="shared" si="38"/>
        <v>46017</v>
      </c>
      <c r="H254" s="28">
        <f t="shared" si="39"/>
        <v>46005</v>
      </c>
      <c r="I254" s="28">
        <f t="shared" si="40"/>
        <v>46012</v>
      </c>
      <c r="J254" s="28">
        <v>46019</v>
      </c>
      <c r="K254" s="29">
        <f t="shared" si="54"/>
        <v>22</v>
      </c>
      <c r="L254" s="1">
        <v>13.18</v>
      </c>
      <c r="M254" s="1">
        <v>11.73</v>
      </c>
      <c r="N254" s="1">
        <f t="shared" si="55"/>
        <v>1.4499999999999993</v>
      </c>
      <c r="O254" s="1" t="s">
        <v>379</v>
      </c>
    </row>
    <row r="255" spans="1:15" x14ac:dyDescent="0.25">
      <c r="A255" s="28">
        <v>45998</v>
      </c>
      <c r="B255" s="1" t="s">
        <v>234</v>
      </c>
      <c r="C255" s="1"/>
      <c r="D255" s="28">
        <f t="shared" si="35"/>
        <v>46021</v>
      </c>
      <c r="E255" s="28">
        <f t="shared" si="36"/>
        <v>46005</v>
      </c>
      <c r="F255" s="28">
        <f t="shared" si="37"/>
        <v>46012</v>
      </c>
      <c r="G255" s="28">
        <f t="shared" si="38"/>
        <v>46018</v>
      </c>
      <c r="H255" s="28">
        <f t="shared" si="39"/>
        <v>46006</v>
      </c>
      <c r="I255" s="28">
        <f t="shared" si="40"/>
        <v>46013</v>
      </c>
      <c r="J255" s="28">
        <v>46021</v>
      </c>
      <c r="K255" s="29">
        <f t="shared" si="54"/>
        <v>23</v>
      </c>
      <c r="L255" s="1">
        <v>14.11</v>
      </c>
      <c r="M255" s="1">
        <v>7.59</v>
      </c>
      <c r="N255" s="1">
        <f t="shared" si="55"/>
        <v>6.52</v>
      </c>
      <c r="O255" s="1" t="s">
        <v>378</v>
      </c>
    </row>
    <row r="256" spans="1:15" x14ac:dyDescent="0.25">
      <c r="A256" s="28">
        <v>45998</v>
      </c>
      <c r="B256" s="1" t="s">
        <v>235</v>
      </c>
      <c r="C256" s="1"/>
      <c r="D256" s="28">
        <f t="shared" si="35"/>
        <v>46021</v>
      </c>
      <c r="E256" s="28">
        <f t="shared" si="36"/>
        <v>46005</v>
      </c>
      <c r="F256" s="28">
        <f t="shared" si="37"/>
        <v>46012</v>
      </c>
      <c r="G256" s="28">
        <f t="shared" si="38"/>
        <v>46018</v>
      </c>
      <c r="H256" s="28">
        <f t="shared" si="39"/>
        <v>46006</v>
      </c>
      <c r="I256" s="28">
        <f t="shared" si="40"/>
        <v>46013</v>
      </c>
      <c r="J256" s="28">
        <v>46021</v>
      </c>
      <c r="K256" s="29">
        <f t="shared" si="54"/>
        <v>23</v>
      </c>
      <c r="L256" s="1">
        <v>14.67</v>
      </c>
      <c r="M256" s="1">
        <v>12.51</v>
      </c>
      <c r="N256" s="1">
        <f t="shared" si="55"/>
        <v>2.16</v>
      </c>
      <c r="O256" s="1" t="s">
        <v>379</v>
      </c>
    </row>
    <row r="257" spans="1:15" x14ac:dyDescent="0.25">
      <c r="A257" s="28">
        <v>45998</v>
      </c>
      <c r="B257" s="1" t="s">
        <v>268</v>
      </c>
      <c r="C257" s="1"/>
      <c r="D257" s="28">
        <f t="shared" si="35"/>
        <v>46021</v>
      </c>
      <c r="E257" s="28">
        <f t="shared" si="36"/>
        <v>46005</v>
      </c>
      <c r="F257" s="28">
        <f t="shared" si="37"/>
        <v>46012</v>
      </c>
      <c r="G257" s="28">
        <f t="shared" si="38"/>
        <v>46018</v>
      </c>
      <c r="H257" s="28">
        <f t="shared" si="39"/>
        <v>46006</v>
      </c>
      <c r="I257" s="28">
        <f t="shared" si="40"/>
        <v>46013</v>
      </c>
      <c r="J257" s="28">
        <v>46021</v>
      </c>
      <c r="K257" s="29">
        <f t="shared" si="54"/>
        <v>23</v>
      </c>
      <c r="L257" s="1">
        <v>12.38</v>
      </c>
      <c r="M257" s="1">
        <v>10.74</v>
      </c>
      <c r="N257" s="1">
        <f t="shared" si="55"/>
        <v>1.6400000000000006</v>
      </c>
      <c r="O257" s="1" t="s">
        <v>379</v>
      </c>
    </row>
    <row r="258" spans="1:15" x14ac:dyDescent="0.25">
      <c r="A258" s="28">
        <v>45998</v>
      </c>
      <c r="B258" s="1" t="s">
        <v>269</v>
      </c>
      <c r="C258" s="1"/>
      <c r="D258" s="28">
        <f t="shared" si="35"/>
        <v>46021</v>
      </c>
      <c r="E258" s="28">
        <f t="shared" si="36"/>
        <v>46005</v>
      </c>
      <c r="F258" s="28">
        <f t="shared" si="37"/>
        <v>46012</v>
      </c>
      <c r="G258" s="28">
        <f t="shared" si="38"/>
        <v>46018</v>
      </c>
      <c r="H258" s="28">
        <f t="shared" si="39"/>
        <v>46006</v>
      </c>
      <c r="I258" s="28">
        <f t="shared" si="40"/>
        <v>46013</v>
      </c>
      <c r="J258" s="28">
        <v>46021</v>
      </c>
      <c r="K258" s="29">
        <f t="shared" si="54"/>
        <v>23</v>
      </c>
      <c r="L258" s="1">
        <v>14.47</v>
      </c>
      <c r="M258" s="1">
        <v>12.58</v>
      </c>
      <c r="N258" s="1">
        <f t="shared" si="55"/>
        <v>1.8900000000000006</v>
      </c>
      <c r="O258" s="1" t="s">
        <v>379</v>
      </c>
    </row>
    <row r="259" spans="1:15" x14ac:dyDescent="0.25">
      <c r="A259" s="28">
        <v>45998</v>
      </c>
      <c r="B259" s="1" t="s">
        <v>270</v>
      </c>
      <c r="C259" s="1"/>
      <c r="D259" s="28">
        <f t="shared" ref="D259:D322" si="56">A259+23</f>
        <v>46021</v>
      </c>
      <c r="E259" s="28">
        <f t="shared" ref="E259:E322" si="57">A259+7</f>
        <v>46005</v>
      </c>
      <c r="F259" s="28">
        <f t="shared" ref="F259:F322" si="58">A259+14</f>
        <v>46012</v>
      </c>
      <c r="G259" s="28">
        <f t="shared" ref="G259:G322" si="59">A259+20</f>
        <v>46018</v>
      </c>
      <c r="H259" s="28">
        <f t="shared" ref="H259:H322" si="60">A259+8</f>
        <v>46006</v>
      </c>
      <c r="I259" s="28">
        <f t="shared" ref="I259:I322" si="61">A259+15</f>
        <v>46013</v>
      </c>
      <c r="J259" s="28">
        <v>46021</v>
      </c>
      <c r="K259" s="29">
        <f t="shared" si="54"/>
        <v>23</v>
      </c>
      <c r="L259" s="1">
        <v>13.56</v>
      </c>
      <c r="M259" s="1">
        <v>11.86</v>
      </c>
      <c r="N259" s="1">
        <f t="shared" si="55"/>
        <v>1.7000000000000011</v>
      </c>
      <c r="O259" s="1" t="s">
        <v>379</v>
      </c>
    </row>
    <row r="260" spans="1:15" x14ac:dyDescent="0.25">
      <c r="A260" s="28">
        <v>45998</v>
      </c>
      <c r="B260" s="1" t="s">
        <v>271</v>
      </c>
      <c r="C260" s="1"/>
      <c r="D260" s="28">
        <f t="shared" si="56"/>
        <v>46021</v>
      </c>
      <c r="E260" s="28">
        <f t="shared" si="57"/>
        <v>46005</v>
      </c>
      <c r="F260" s="28">
        <f t="shared" si="58"/>
        <v>46012</v>
      </c>
      <c r="G260" s="28">
        <f t="shared" si="59"/>
        <v>46018</v>
      </c>
      <c r="H260" s="28">
        <f t="shared" si="60"/>
        <v>46006</v>
      </c>
      <c r="I260" s="28">
        <f t="shared" si="61"/>
        <v>46013</v>
      </c>
      <c r="J260" s="28">
        <v>46021</v>
      </c>
      <c r="K260" s="29">
        <f t="shared" si="54"/>
        <v>23</v>
      </c>
      <c r="L260" s="1">
        <v>14.19</v>
      </c>
      <c r="M260" s="1">
        <v>12.1</v>
      </c>
      <c r="N260" s="1">
        <f t="shared" si="55"/>
        <v>2.09</v>
      </c>
      <c r="O260" s="1" t="s">
        <v>379</v>
      </c>
    </row>
    <row r="261" spans="1:15" x14ac:dyDescent="0.25">
      <c r="A261" s="28">
        <v>45998</v>
      </c>
      <c r="B261" s="1" t="s">
        <v>272</v>
      </c>
      <c r="C261" s="1"/>
      <c r="D261" s="28">
        <f t="shared" si="56"/>
        <v>46021</v>
      </c>
      <c r="E261" s="28">
        <f t="shared" si="57"/>
        <v>46005</v>
      </c>
      <c r="F261" s="28">
        <f t="shared" si="58"/>
        <v>46012</v>
      </c>
      <c r="G261" s="28">
        <f t="shared" si="59"/>
        <v>46018</v>
      </c>
      <c r="H261" s="28">
        <f t="shared" si="60"/>
        <v>46006</v>
      </c>
      <c r="I261" s="28">
        <f t="shared" si="61"/>
        <v>46013</v>
      </c>
      <c r="J261" s="28">
        <v>46023</v>
      </c>
      <c r="K261" s="29">
        <f t="shared" si="54"/>
        <v>25</v>
      </c>
      <c r="L261" s="1">
        <v>13.37</v>
      </c>
      <c r="M261" s="1">
        <v>11.24</v>
      </c>
      <c r="N261" s="1">
        <f t="shared" si="55"/>
        <v>2.129999999999999</v>
      </c>
      <c r="O261" s="1" t="s">
        <v>379</v>
      </c>
    </row>
    <row r="262" spans="1:15" x14ac:dyDescent="0.25">
      <c r="A262" s="28">
        <v>45998</v>
      </c>
      <c r="B262" s="1" t="s">
        <v>273</v>
      </c>
      <c r="C262" s="1"/>
      <c r="D262" s="28">
        <f t="shared" si="56"/>
        <v>46021</v>
      </c>
      <c r="E262" s="28">
        <f t="shared" si="57"/>
        <v>46005</v>
      </c>
      <c r="F262" s="28">
        <f t="shared" si="58"/>
        <v>46012</v>
      </c>
      <c r="G262" s="28">
        <f t="shared" si="59"/>
        <v>46018</v>
      </c>
      <c r="H262" s="28">
        <f t="shared" si="60"/>
        <v>46006</v>
      </c>
      <c r="I262" s="28">
        <f t="shared" si="61"/>
        <v>46013</v>
      </c>
      <c r="J262" s="28">
        <v>46023</v>
      </c>
      <c r="K262" s="29">
        <f t="shared" si="54"/>
        <v>25</v>
      </c>
      <c r="L262" s="1">
        <v>12.68</v>
      </c>
      <c r="M262" s="1">
        <v>10.37</v>
      </c>
      <c r="N262" s="1">
        <f t="shared" si="55"/>
        <v>2.3100000000000005</v>
      </c>
      <c r="O262" s="1" t="s">
        <v>379</v>
      </c>
    </row>
    <row r="263" spans="1:15" x14ac:dyDescent="0.25">
      <c r="A263" s="28">
        <v>45998</v>
      </c>
      <c r="B263" s="1" t="s">
        <v>274</v>
      </c>
      <c r="C263" s="1"/>
      <c r="D263" s="28">
        <f t="shared" si="56"/>
        <v>46021</v>
      </c>
      <c r="E263" s="28">
        <f t="shared" si="57"/>
        <v>46005</v>
      </c>
      <c r="F263" s="28">
        <f t="shared" si="58"/>
        <v>46012</v>
      </c>
      <c r="G263" s="28">
        <f t="shared" si="59"/>
        <v>46018</v>
      </c>
      <c r="H263" s="28">
        <f t="shared" si="60"/>
        <v>46006</v>
      </c>
      <c r="I263" s="28">
        <f t="shared" si="61"/>
        <v>46013</v>
      </c>
      <c r="J263" s="28">
        <v>46024</v>
      </c>
      <c r="K263" s="29">
        <f t="shared" si="54"/>
        <v>26</v>
      </c>
      <c r="L263" s="1">
        <v>8.5399999999999991</v>
      </c>
      <c r="M263" s="1">
        <v>7.42</v>
      </c>
      <c r="N263" s="1">
        <f t="shared" si="55"/>
        <v>1.1199999999999992</v>
      </c>
      <c r="O263" s="1" t="s">
        <v>379</v>
      </c>
    </row>
    <row r="264" spans="1:15" x14ac:dyDescent="0.25">
      <c r="A264" s="28">
        <v>45999</v>
      </c>
      <c r="B264" s="1" t="s">
        <v>275</v>
      </c>
      <c r="C264" s="1"/>
      <c r="D264" s="28">
        <f t="shared" si="56"/>
        <v>46022</v>
      </c>
      <c r="E264" s="28">
        <f t="shared" si="57"/>
        <v>46006</v>
      </c>
      <c r="F264" s="28">
        <f t="shared" si="58"/>
        <v>46013</v>
      </c>
      <c r="G264" s="28">
        <f t="shared" si="59"/>
        <v>46019</v>
      </c>
      <c r="H264" s="28">
        <f t="shared" si="60"/>
        <v>46007</v>
      </c>
      <c r="I264" s="28">
        <f t="shared" si="61"/>
        <v>46014</v>
      </c>
      <c r="J264" s="28">
        <v>46024</v>
      </c>
      <c r="K264" s="29">
        <f t="shared" si="54"/>
        <v>25</v>
      </c>
      <c r="L264" s="1">
        <v>6.81</v>
      </c>
      <c r="M264" s="1">
        <v>6.7</v>
      </c>
      <c r="N264" s="1">
        <f t="shared" si="55"/>
        <v>0.10999999999999943</v>
      </c>
      <c r="O264" s="1" t="s">
        <v>379</v>
      </c>
    </row>
    <row r="265" spans="1:15" x14ac:dyDescent="0.25">
      <c r="A265" s="28">
        <v>45999</v>
      </c>
      <c r="B265" s="1" t="s">
        <v>276</v>
      </c>
      <c r="C265" s="1"/>
      <c r="D265" s="28">
        <f t="shared" si="56"/>
        <v>46022</v>
      </c>
      <c r="E265" s="28">
        <f t="shared" si="57"/>
        <v>46006</v>
      </c>
      <c r="F265" s="28">
        <f t="shared" si="58"/>
        <v>46013</v>
      </c>
      <c r="G265" s="28">
        <f t="shared" si="59"/>
        <v>46019</v>
      </c>
      <c r="H265" s="28">
        <f t="shared" si="60"/>
        <v>46007</v>
      </c>
      <c r="I265" s="28">
        <f t="shared" si="61"/>
        <v>46014</v>
      </c>
      <c r="J265" s="28">
        <v>46024</v>
      </c>
      <c r="K265" s="29">
        <f t="shared" si="54"/>
        <v>25</v>
      </c>
      <c r="L265" s="1">
        <v>8.26</v>
      </c>
      <c r="M265" s="1">
        <v>7.23</v>
      </c>
      <c r="N265" s="1">
        <f t="shared" si="55"/>
        <v>1.0299999999999994</v>
      </c>
      <c r="O265" s="1" t="s">
        <v>379</v>
      </c>
    </row>
    <row r="266" spans="1:15" x14ac:dyDescent="0.25">
      <c r="A266" s="28">
        <v>45999</v>
      </c>
      <c r="B266" s="1" t="s">
        <v>277</v>
      </c>
      <c r="C266" s="1"/>
      <c r="D266" s="28">
        <f t="shared" si="56"/>
        <v>46022</v>
      </c>
      <c r="E266" s="28">
        <f t="shared" si="57"/>
        <v>46006</v>
      </c>
      <c r="F266" s="28">
        <f t="shared" si="58"/>
        <v>46013</v>
      </c>
      <c r="G266" s="28">
        <f t="shared" si="59"/>
        <v>46019</v>
      </c>
      <c r="H266" s="28">
        <f t="shared" si="60"/>
        <v>46007</v>
      </c>
      <c r="I266" s="28">
        <f t="shared" si="61"/>
        <v>46014</v>
      </c>
      <c r="J266" s="28">
        <v>46024</v>
      </c>
      <c r="K266" s="29">
        <f t="shared" si="54"/>
        <v>25</v>
      </c>
      <c r="L266" s="1">
        <v>7.63</v>
      </c>
      <c r="M266" s="1">
        <v>7.12</v>
      </c>
      <c r="N266" s="1">
        <f t="shared" si="55"/>
        <v>0.50999999999999979</v>
      </c>
      <c r="O266" s="1" t="s">
        <v>379</v>
      </c>
    </row>
    <row r="267" spans="1:15" x14ac:dyDescent="0.25">
      <c r="A267" s="28">
        <v>45999</v>
      </c>
      <c r="B267" s="1" t="s">
        <v>278</v>
      </c>
      <c r="C267" s="1"/>
      <c r="D267" s="28">
        <f t="shared" si="56"/>
        <v>46022</v>
      </c>
      <c r="E267" s="28">
        <f t="shared" si="57"/>
        <v>46006</v>
      </c>
      <c r="F267" s="28">
        <f t="shared" si="58"/>
        <v>46013</v>
      </c>
      <c r="G267" s="28">
        <f t="shared" si="59"/>
        <v>46019</v>
      </c>
      <c r="H267" s="28">
        <f t="shared" si="60"/>
        <v>46007</v>
      </c>
      <c r="I267" s="28">
        <f t="shared" si="61"/>
        <v>46014</v>
      </c>
      <c r="J267" s="28">
        <v>46025</v>
      </c>
      <c r="K267" s="29">
        <f t="shared" si="54"/>
        <v>26</v>
      </c>
      <c r="L267" s="1">
        <v>7.26</v>
      </c>
      <c r="M267" s="1">
        <v>5.54</v>
      </c>
      <c r="N267" s="1">
        <f t="shared" si="55"/>
        <v>1.7199999999999998</v>
      </c>
      <c r="O267" s="1" t="s">
        <v>379</v>
      </c>
    </row>
    <row r="268" spans="1:15" x14ac:dyDescent="0.25">
      <c r="A268" s="28">
        <v>45999</v>
      </c>
      <c r="B268" s="1" t="s">
        <v>279</v>
      </c>
      <c r="C268" s="1"/>
      <c r="D268" s="28">
        <f t="shared" si="56"/>
        <v>46022</v>
      </c>
      <c r="E268" s="28">
        <f t="shared" si="57"/>
        <v>46006</v>
      </c>
      <c r="F268" s="28">
        <f t="shared" si="58"/>
        <v>46013</v>
      </c>
      <c r="G268" s="28">
        <f t="shared" si="59"/>
        <v>46019</v>
      </c>
      <c r="H268" s="28">
        <f t="shared" si="60"/>
        <v>46007</v>
      </c>
      <c r="I268" s="28">
        <f t="shared" si="61"/>
        <v>46014</v>
      </c>
      <c r="J268" s="28">
        <v>46025</v>
      </c>
      <c r="K268" s="29">
        <f t="shared" si="54"/>
        <v>26</v>
      </c>
      <c r="L268" s="1">
        <v>6.93</v>
      </c>
      <c r="M268" s="1">
        <v>5.21</v>
      </c>
      <c r="N268" s="1">
        <f t="shared" si="55"/>
        <v>1.7199999999999998</v>
      </c>
      <c r="O268" s="1" t="s">
        <v>379</v>
      </c>
    </row>
    <row r="269" spans="1:15" x14ac:dyDescent="0.25">
      <c r="A269" s="28">
        <v>45999</v>
      </c>
      <c r="B269" s="1" t="s">
        <v>280</v>
      </c>
      <c r="C269" s="1"/>
      <c r="D269" s="28">
        <f t="shared" si="56"/>
        <v>46022</v>
      </c>
      <c r="E269" s="28">
        <f t="shared" si="57"/>
        <v>46006</v>
      </c>
      <c r="F269" s="28">
        <f t="shared" si="58"/>
        <v>46013</v>
      </c>
      <c r="G269" s="28">
        <f t="shared" si="59"/>
        <v>46019</v>
      </c>
      <c r="H269" s="28">
        <f t="shared" si="60"/>
        <v>46007</v>
      </c>
      <c r="I269" s="28">
        <f t="shared" si="61"/>
        <v>46014</v>
      </c>
      <c r="J269" s="28">
        <v>46025</v>
      </c>
      <c r="K269" s="29">
        <f t="shared" si="54"/>
        <v>26</v>
      </c>
      <c r="L269" s="1">
        <v>12.09</v>
      </c>
      <c r="M269" s="1">
        <v>12.09</v>
      </c>
      <c r="N269" s="1">
        <f t="shared" si="55"/>
        <v>0</v>
      </c>
      <c r="O269" s="1" t="s">
        <v>379</v>
      </c>
    </row>
    <row r="270" spans="1:15" x14ac:dyDescent="0.25">
      <c r="A270" s="28">
        <v>45999</v>
      </c>
      <c r="B270" s="1" t="s">
        <v>281</v>
      </c>
      <c r="C270" s="1"/>
      <c r="D270" s="28">
        <f t="shared" si="56"/>
        <v>46022</v>
      </c>
      <c r="E270" s="28">
        <f t="shared" si="57"/>
        <v>46006</v>
      </c>
      <c r="F270" s="28">
        <f t="shared" si="58"/>
        <v>46013</v>
      </c>
      <c r="G270" s="28">
        <f t="shared" si="59"/>
        <v>46019</v>
      </c>
      <c r="H270" s="28">
        <f t="shared" si="60"/>
        <v>46007</v>
      </c>
      <c r="I270" s="28">
        <f t="shared" si="61"/>
        <v>46014</v>
      </c>
      <c r="J270" s="28">
        <v>46026</v>
      </c>
      <c r="K270" s="29">
        <f t="shared" si="54"/>
        <v>27</v>
      </c>
      <c r="L270" s="1">
        <v>12.51</v>
      </c>
      <c r="M270" s="1">
        <v>10.26</v>
      </c>
      <c r="N270" s="1">
        <f t="shared" si="55"/>
        <v>2.25</v>
      </c>
      <c r="O270" s="1" t="s">
        <v>379</v>
      </c>
    </row>
    <row r="271" spans="1:15" x14ac:dyDescent="0.25">
      <c r="A271" s="28">
        <v>46000</v>
      </c>
      <c r="B271" s="1" t="s">
        <v>282</v>
      </c>
      <c r="C271" s="1"/>
      <c r="D271" s="28">
        <f t="shared" si="56"/>
        <v>46023</v>
      </c>
      <c r="E271" s="28">
        <f t="shared" si="57"/>
        <v>46007</v>
      </c>
      <c r="F271" s="28">
        <f t="shared" si="58"/>
        <v>46014</v>
      </c>
      <c r="G271" s="28">
        <f t="shared" si="59"/>
        <v>46020</v>
      </c>
      <c r="H271" s="28">
        <f t="shared" si="60"/>
        <v>46008</v>
      </c>
      <c r="I271" s="28">
        <f t="shared" si="61"/>
        <v>46015</v>
      </c>
      <c r="J271" s="28">
        <v>46027</v>
      </c>
      <c r="K271" s="29">
        <f t="shared" si="54"/>
        <v>27</v>
      </c>
      <c r="L271" s="1">
        <v>7.3</v>
      </c>
      <c r="M271" s="1">
        <v>7</v>
      </c>
      <c r="N271" s="1">
        <f t="shared" si="55"/>
        <v>0.29999999999999982</v>
      </c>
      <c r="O271" s="1" t="s">
        <v>379</v>
      </c>
    </row>
    <row r="272" spans="1:15" x14ac:dyDescent="0.25">
      <c r="A272" s="28">
        <v>46000</v>
      </c>
      <c r="B272" s="1" t="s">
        <v>283</v>
      </c>
      <c r="C272" s="1"/>
      <c r="D272" s="28">
        <f t="shared" si="56"/>
        <v>46023</v>
      </c>
      <c r="E272" s="28">
        <f t="shared" si="57"/>
        <v>46007</v>
      </c>
      <c r="F272" s="28">
        <f t="shared" si="58"/>
        <v>46014</v>
      </c>
      <c r="G272" s="28">
        <f t="shared" si="59"/>
        <v>46020</v>
      </c>
      <c r="H272" s="28">
        <f t="shared" si="60"/>
        <v>46008</v>
      </c>
      <c r="I272" s="28">
        <f t="shared" si="61"/>
        <v>46015</v>
      </c>
      <c r="J272" s="28">
        <v>46027</v>
      </c>
      <c r="K272" s="29">
        <f t="shared" si="54"/>
        <v>27</v>
      </c>
      <c r="L272" s="1">
        <v>9.17</v>
      </c>
      <c r="M272" s="1">
        <v>8.92</v>
      </c>
      <c r="N272" s="1">
        <f t="shared" si="55"/>
        <v>0.25</v>
      </c>
      <c r="O272" s="1" t="s">
        <v>379</v>
      </c>
    </row>
    <row r="273" spans="1:15" x14ac:dyDescent="0.25">
      <c r="A273" s="28">
        <v>46000</v>
      </c>
      <c r="B273" s="1" t="s">
        <v>284</v>
      </c>
      <c r="C273" s="1"/>
      <c r="D273" s="28">
        <f t="shared" si="56"/>
        <v>46023</v>
      </c>
      <c r="E273" s="28">
        <f t="shared" si="57"/>
        <v>46007</v>
      </c>
      <c r="F273" s="28">
        <f t="shared" si="58"/>
        <v>46014</v>
      </c>
      <c r="G273" s="28">
        <f t="shared" si="59"/>
        <v>46020</v>
      </c>
      <c r="H273" s="28">
        <f t="shared" si="60"/>
        <v>46008</v>
      </c>
      <c r="I273" s="28">
        <f t="shared" si="61"/>
        <v>46015</v>
      </c>
      <c r="J273" s="28">
        <v>46029</v>
      </c>
      <c r="K273" s="29">
        <f t="shared" si="54"/>
        <v>29</v>
      </c>
      <c r="L273" s="34">
        <v>12.67</v>
      </c>
      <c r="M273" s="32">
        <v>6.58</v>
      </c>
      <c r="N273" s="1">
        <f t="shared" si="55"/>
        <v>6.09</v>
      </c>
      <c r="O273" s="1" t="s">
        <v>378</v>
      </c>
    </row>
    <row r="274" spans="1:15" x14ac:dyDescent="0.25">
      <c r="A274" s="28">
        <v>46000</v>
      </c>
      <c r="B274" s="1" t="s">
        <v>285</v>
      </c>
      <c r="C274" s="1"/>
      <c r="D274" s="28">
        <f t="shared" si="56"/>
        <v>46023</v>
      </c>
      <c r="E274" s="28">
        <f t="shared" si="57"/>
        <v>46007</v>
      </c>
      <c r="F274" s="28">
        <f t="shared" si="58"/>
        <v>46014</v>
      </c>
      <c r="G274" s="28">
        <f t="shared" si="59"/>
        <v>46020</v>
      </c>
      <c r="H274" s="28">
        <f t="shared" si="60"/>
        <v>46008</v>
      </c>
      <c r="I274" s="28">
        <f t="shared" si="61"/>
        <v>46015</v>
      </c>
      <c r="J274" s="28">
        <v>46029</v>
      </c>
      <c r="K274" s="29">
        <f t="shared" si="54"/>
        <v>29</v>
      </c>
      <c r="L274" s="34">
        <v>13.73</v>
      </c>
      <c r="M274" s="32">
        <v>7.52</v>
      </c>
      <c r="N274" s="1">
        <f t="shared" si="55"/>
        <v>6.2100000000000009</v>
      </c>
      <c r="O274" s="1" t="s">
        <v>378</v>
      </c>
    </row>
    <row r="275" spans="1:15" x14ac:dyDescent="0.25">
      <c r="A275" s="28">
        <v>46000</v>
      </c>
      <c r="B275" s="1" t="s">
        <v>286</v>
      </c>
      <c r="C275" s="1"/>
      <c r="D275" s="28">
        <f t="shared" si="56"/>
        <v>46023</v>
      </c>
      <c r="E275" s="28">
        <f t="shared" si="57"/>
        <v>46007</v>
      </c>
      <c r="F275" s="28">
        <f t="shared" si="58"/>
        <v>46014</v>
      </c>
      <c r="G275" s="28">
        <f t="shared" si="59"/>
        <v>46020</v>
      </c>
      <c r="H275" s="28">
        <f t="shared" si="60"/>
        <v>46008</v>
      </c>
      <c r="I275" s="28">
        <f t="shared" si="61"/>
        <v>46015</v>
      </c>
      <c r="J275" s="28">
        <v>46029</v>
      </c>
      <c r="K275" s="29">
        <f t="shared" si="54"/>
        <v>29</v>
      </c>
      <c r="L275" s="34">
        <v>14.11</v>
      </c>
      <c r="M275" s="32">
        <v>7.8</v>
      </c>
      <c r="N275" s="1">
        <f t="shared" si="55"/>
        <v>6.31</v>
      </c>
      <c r="O275" s="1" t="s">
        <v>378</v>
      </c>
    </row>
    <row r="276" spans="1:15" x14ac:dyDescent="0.25">
      <c r="A276" s="28">
        <v>46000</v>
      </c>
      <c r="B276" s="1" t="s">
        <v>287</v>
      </c>
      <c r="C276" s="1"/>
      <c r="D276" s="28">
        <f t="shared" si="56"/>
        <v>46023</v>
      </c>
      <c r="E276" s="28">
        <f t="shared" si="57"/>
        <v>46007</v>
      </c>
      <c r="F276" s="28">
        <f t="shared" si="58"/>
        <v>46014</v>
      </c>
      <c r="G276" s="28">
        <f t="shared" si="59"/>
        <v>46020</v>
      </c>
      <c r="H276" s="28">
        <f t="shared" si="60"/>
        <v>46008</v>
      </c>
      <c r="I276" s="28">
        <f t="shared" si="61"/>
        <v>46015</v>
      </c>
      <c r="J276" s="28">
        <v>46029</v>
      </c>
      <c r="K276" s="29">
        <f t="shared" si="54"/>
        <v>29</v>
      </c>
      <c r="L276" s="34">
        <v>13.82</v>
      </c>
      <c r="M276" s="32">
        <v>12.54</v>
      </c>
      <c r="N276" s="1">
        <f t="shared" si="55"/>
        <v>1.2800000000000011</v>
      </c>
      <c r="O276" s="1" t="s">
        <v>379</v>
      </c>
    </row>
    <row r="277" spans="1:15" x14ac:dyDescent="0.25">
      <c r="A277" s="28">
        <v>46000</v>
      </c>
      <c r="B277" s="1" t="s">
        <v>288</v>
      </c>
      <c r="C277" s="1"/>
      <c r="D277" s="28">
        <f t="shared" si="56"/>
        <v>46023</v>
      </c>
      <c r="E277" s="28">
        <f t="shared" si="57"/>
        <v>46007</v>
      </c>
      <c r="F277" s="28">
        <f t="shared" si="58"/>
        <v>46014</v>
      </c>
      <c r="G277" s="28">
        <f t="shared" si="59"/>
        <v>46020</v>
      </c>
      <c r="H277" s="28">
        <f t="shared" si="60"/>
        <v>46008</v>
      </c>
      <c r="I277" s="28">
        <f t="shared" si="61"/>
        <v>46015</v>
      </c>
      <c r="J277" s="28">
        <v>46029</v>
      </c>
      <c r="K277" s="29">
        <f t="shared" si="54"/>
        <v>29</v>
      </c>
      <c r="L277" s="34">
        <v>14.75</v>
      </c>
      <c r="M277" s="32">
        <v>13.21</v>
      </c>
      <c r="N277" s="1">
        <f t="shared" si="55"/>
        <v>1.5399999999999991</v>
      </c>
      <c r="O277" s="1" t="s">
        <v>379</v>
      </c>
    </row>
    <row r="278" spans="1:15" x14ac:dyDescent="0.25">
      <c r="A278" s="28">
        <v>46001</v>
      </c>
      <c r="B278" s="1" t="s">
        <v>289</v>
      </c>
      <c r="C278" s="1"/>
      <c r="D278" s="28">
        <f t="shared" si="56"/>
        <v>46024</v>
      </c>
      <c r="E278" s="28">
        <f t="shared" si="57"/>
        <v>46008</v>
      </c>
      <c r="F278" s="28">
        <f t="shared" si="58"/>
        <v>46015</v>
      </c>
      <c r="G278" s="28">
        <f t="shared" si="59"/>
        <v>46021</v>
      </c>
      <c r="H278" s="28">
        <f t="shared" si="60"/>
        <v>46009</v>
      </c>
      <c r="I278" s="28">
        <f t="shared" si="61"/>
        <v>46016</v>
      </c>
      <c r="J278" s="28">
        <v>46029</v>
      </c>
      <c r="K278" s="29">
        <f t="shared" si="54"/>
        <v>28</v>
      </c>
      <c r="L278" s="34">
        <v>14.06</v>
      </c>
      <c r="M278" s="32">
        <v>12.88</v>
      </c>
      <c r="N278" s="1">
        <f t="shared" si="55"/>
        <v>1.1799999999999997</v>
      </c>
      <c r="O278" s="1" t="s">
        <v>379</v>
      </c>
    </row>
    <row r="279" spans="1:15" x14ac:dyDescent="0.25">
      <c r="A279" s="28">
        <v>46001</v>
      </c>
      <c r="B279" s="1" t="s">
        <v>290</v>
      </c>
      <c r="C279" s="1"/>
      <c r="D279" s="28">
        <f t="shared" si="56"/>
        <v>46024</v>
      </c>
      <c r="E279" s="28">
        <f t="shared" si="57"/>
        <v>46008</v>
      </c>
      <c r="F279" s="28">
        <f t="shared" si="58"/>
        <v>46015</v>
      </c>
      <c r="G279" s="28">
        <f t="shared" si="59"/>
        <v>46021</v>
      </c>
      <c r="H279" s="28">
        <f t="shared" si="60"/>
        <v>46009</v>
      </c>
      <c r="I279" s="28">
        <f t="shared" si="61"/>
        <v>46016</v>
      </c>
      <c r="J279" s="28">
        <v>46029</v>
      </c>
      <c r="K279" s="29">
        <f t="shared" si="54"/>
        <v>28</v>
      </c>
      <c r="L279" s="34">
        <v>12.3</v>
      </c>
      <c r="M279" s="32">
        <v>11.1</v>
      </c>
      <c r="N279" s="1">
        <f t="shared" si="55"/>
        <v>1.2000000000000011</v>
      </c>
      <c r="O279" s="1" t="s">
        <v>379</v>
      </c>
    </row>
    <row r="280" spans="1:15" x14ac:dyDescent="0.25">
      <c r="A280" s="28">
        <v>46001</v>
      </c>
      <c r="B280" s="1" t="s">
        <v>291</v>
      </c>
      <c r="C280" s="1"/>
      <c r="D280" s="28">
        <f t="shared" si="56"/>
        <v>46024</v>
      </c>
      <c r="E280" s="28">
        <f t="shared" si="57"/>
        <v>46008</v>
      </c>
      <c r="F280" s="28">
        <f t="shared" si="58"/>
        <v>46015</v>
      </c>
      <c r="G280" s="28">
        <f t="shared" si="59"/>
        <v>46021</v>
      </c>
      <c r="H280" s="28">
        <f t="shared" si="60"/>
        <v>46009</v>
      </c>
      <c r="I280" s="28">
        <f t="shared" si="61"/>
        <v>46016</v>
      </c>
      <c r="J280" s="28">
        <v>46029</v>
      </c>
      <c r="K280" s="29">
        <f t="shared" si="54"/>
        <v>28</v>
      </c>
      <c r="L280" s="34">
        <v>11.18</v>
      </c>
      <c r="M280" s="32">
        <v>9.2799999999999994</v>
      </c>
      <c r="N280" s="1">
        <f t="shared" si="55"/>
        <v>1.9000000000000004</v>
      </c>
      <c r="O280" s="1" t="s">
        <v>379</v>
      </c>
    </row>
    <row r="281" spans="1:15" x14ac:dyDescent="0.25">
      <c r="A281" s="28">
        <v>46001</v>
      </c>
      <c r="B281" s="1" t="s">
        <v>292</v>
      </c>
      <c r="C281" s="1"/>
      <c r="D281" s="28">
        <f t="shared" si="56"/>
        <v>46024</v>
      </c>
      <c r="E281" s="28">
        <f t="shared" si="57"/>
        <v>46008</v>
      </c>
      <c r="F281" s="28">
        <f t="shared" si="58"/>
        <v>46015</v>
      </c>
      <c r="G281" s="28">
        <f t="shared" si="59"/>
        <v>46021</v>
      </c>
      <c r="H281" s="28">
        <f t="shared" si="60"/>
        <v>46009</v>
      </c>
      <c r="I281" s="28">
        <f t="shared" si="61"/>
        <v>46016</v>
      </c>
      <c r="J281" s="28">
        <v>46030</v>
      </c>
      <c r="K281" s="29">
        <f t="shared" si="54"/>
        <v>29</v>
      </c>
      <c r="L281" s="34">
        <v>11.36</v>
      </c>
      <c r="M281" s="32">
        <v>5.21</v>
      </c>
      <c r="N281" s="1">
        <f t="shared" si="55"/>
        <v>6.1499999999999995</v>
      </c>
      <c r="O281" s="1" t="s">
        <v>378</v>
      </c>
    </row>
    <row r="282" spans="1:15" x14ac:dyDescent="0.25">
      <c r="A282" s="28">
        <v>46001</v>
      </c>
      <c r="B282" s="1" t="s">
        <v>293</v>
      </c>
      <c r="C282" s="1"/>
      <c r="D282" s="28">
        <f t="shared" si="56"/>
        <v>46024</v>
      </c>
      <c r="E282" s="28">
        <f t="shared" si="57"/>
        <v>46008</v>
      </c>
      <c r="F282" s="28">
        <f t="shared" si="58"/>
        <v>46015</v>
      </c>
      <c r="G282" s="28">
        <f t="shared" si="59"/>
        <v>46021</v>
      </c>
      <c r="H282" s="28">
        <f t="shared" si="60"/>
        <v>46009</v>
      </c>
      <c r="I282" s="28">
        <f t="shared" si="61"/>
        <v>46016</v>
      </c>
      <c r="J282" s="28">
        <v>46030</v>
      </c>
      <c r="K282" s="29">
        <f t="shared" si="54"/>
        <v>29</v>
      </c>
      <c r="L282" s="34">
        <v>10.85</v>
      </c>
      <c r="M282" s="32">
        <v>4.57</v>
      </c>
      <c r="N282" s="1">
        <f t="shared" si="55"/>
        <v>6.2799999999999994</v>
      </c>
      <c r="O282" s="1" t="s">
        <v>378</v>
      </c>
    </row>
    <row r="283" spans="1:15" x14ac:dyDescent="0.25">
      <c r="A283" s="28">
        <v>46001</v>
      </c>
      <c r="B283" s="1" t="s">
        <v>294</v>
      </c>
      <c r="C283" s="1"/>
      <c r="D283" s="28">
        <f t="shared" si="56"/>
        <v>46024</v>
      </c>
      <c r="E283" s="28">
        <f t="shared" si="57"/>
        <v>46008</v>
      </c>
      <c r="F283" s="28">
        <f t="shared" si="58"/>
        <v>46015</v>
      </c>
      <c r="G283" s="28">
        <f t="shared" si="59"/>
        <v>46021</v>
      </c>
      <c r="H283" s="28">
        <f t="shared" si="60"/>
        <v>46009</v>
      </c>
      <c r="I283" s="28">
        <f t="shared" si="61"/>
        <v>46016</v>
      </c>
      <c r="J283" s="28">
        <v>46030</v>
      </c>
      <c r="K283" s="29">
        <f t="shared" si="54"/>
        <v>29</v>
      </c>
      <c r="L283" s="34">
        <v>9.7899999999999991</v>
      </c>
      <c r="M283" s="32">
        <v>4.1500000000000004</v>
      </c>
      <c r="N283" s="1">
        <f t="shared" si="55"/>
        <v>5.6399999999999988</v>
      </c>
      <c r="O283" s="1" t="s">
        <v>378</v>
      </c>
    </row>
    <row r="284" spans="1:15" x14ac:dyDescent="0.25">
      <c r="A284" s="28">
        <v>46001</v>
      </c>
      <c r="B284" s="1" t="s">
        <v>295</v>
      </c>
      <c r="C284" s="1"/>
      <c r="D284" s="28">
        <f t="shared" si="56"/>
        <v>46024</v>
      </c>
      <c r="E284" s="28">
        <f t="shared" si="57"/>
        <v>46008</v>
      </c>
      <c r="F284" s="28">
        <f t="shared" si="58"/>
        <v>46015</v>
      </c>
      <c r="G284" s="28">
        <f t="shared" si="59"/>
        <v>46021</v>
      </c>
      <c r="H284" s="28">
        <f t="shared" si="60"/>
        <v>46009</v>
      </c>
      <c r="I284" s="28">
        <f t="shared" si="61"/>
        <v>46016</v>
      </c>
      <c r="J284" s="28">
        <v>46030</v>
      </c>
      <c r="K284" s="29">
        <f t="shared" si="54"/>
        <v>29</v>
      </c>
      <c r="L284" s="34">
        <v>11.68</v>
      </c>
      <c r="M284" s="32">
        <v>5.73</v>
      </c>
      <c r="N284" s="1">
        <f t="shared" si="55"/>
        <v>5.9499999999999993</v>
      </c>
      <c r="O284" s="1" t="s">
        <v>378</v>
      </c>
    </row>
    <row r="285" spans="1:15" x14ac:dyDescent="0.25">
      <c r="A285" s="28">
        <v>46002</v>
      </c>
      <c r="B285" s="1" t="s">
        <v>296</v>
      </c>
      <c r="C285" s="1"/>
      <c r="D285" s="28">
        <f t="shared" si="56"/>
        <v>46025</v>
      </c>
      <c r="E285" s="28">
        <f t="shared" si="57"/>
        <v>46009</v>
      </c>
      <c r="F285" s="28">
        <f t="shared" si="58"/>
        <v>46016</v>
      </c>
      <c r="G285" s="28">
        <f t="shared" si="59"/>
        <v>46022</v>
      </c>
      <c r="H285" s="28">
        <f t="shared" si="60"/>
        <v>46010</v>
      </c>
      <c r="I285" s="28">
        <f t="shared" si="61"/>
        <v>46017</v>
      </c>
      <c r="J285" s="28">
        <v>46030</v>
      </c>
      <c r="K285" s="29">
        <f t="shared" si="54"/>
        <v>28</v>
      </c>
      <c r="L285" s="34">
        <v>10.11</v>
      </c>
      <c r="M285" s="32">
        <v>8.59</v>
      </c>
      <c r="N285" s="1">
        <f t="shared" si="55"/>
        <v>1.5199999999999996</v>
      </c>
      <c r="O285" s="1" t="s">
        <v>379</v>
      </c>
    </row>
    <row r="286" spans="1:15" x14ac:dyDescent="0.25">
      <c r="A286" s="28">
        <v>46002</v>
      </c>
      <c r="B286" s="1" t="s">
        <v>297</v>
      </c>
      <c r="C286" s="1"/>
      <c r="D286" s="28">
        <f t="shared" si="56"/>
        <v>46025</v>
      </c>
      <c r="E286" s="28">
        <f t="shared" si="57"/>
        <v>46009</v>
      </c>
      <c r="F286" s="28">
        <f t="shared" si="58"/>
        <v>46016</v>
      </c>
      <c r="G286" s="28">
        <f t="shared" si="59"/>
        <v>46022</v>
      </c>
      <c r="H286" s="28">
        <f t="shared" si="60"/>
        <v>46010</v>
      </c>
      <c r="I286" s="28">
        <f t="shared" si="61"/>
        <v>46017</v>
      </c>
      <c r="J286" s="28">
        <v>46030</v>
      </c>
      <c r="K286" s="29">
        <f t="shared" si="54"/>
        <v>28</v>
      </c>
      <c r="L286" s="34">
        <v>11.57</v>
      </c>
      <c r="M286" s="32">
        <v>9.1199999999999992</v>
      </c>
      <c r="N286" s="1">
        <f t="shared" si="55"/>
        <v>2.4500000000000011</v>
      </c>
      <c r="O286" s="1" t="s">
        <v>379</v>
      </c>
    </row>
    <row r="287" spans="1:15" x14ac:dyDescent="0.25">
      <c r="A287" s="28">
        <v>46002</v>
      </c>
      <c r="B287" s="1" t="s">
        <v>298</v>
      </c>
      <c r="C287" s="1"/>
      <c r="D287" s="28">
        <f t="shared" si="56"/>
        <v>46025</v>
      </c>
      <c r="E287" s="28">
        <f t="shared" si="57"/>
        <v>46009</v>
      </c>
      <c r="F287" s="28">
        <f t="shared" si="58"/>
        <v>46016</v>
      </c>
      <c r="G287" s="28">
        <f t="shared" si="59"/>
        <v>46022</v>
      </c>
      <c r="H287" s="28">
        <f t="shared" si="60"/>
        <v>46010</v>
      </c>
      <c r="I287" s="28">
        <f t="shared" si="61"/>
        <v>46017</v>
      </c>
      <c r="J287" s="28">
        <v>46030</v>
      </c>
      <c r="K287" s="29">
        <f t="shared" si="54"/>
        <v>28</v>
      </c>
      <c r="L287" s="34">
        <v>10.98</v>
      </c>
      <c r="M287" s="32">
        <v>9.31</v>
      </c>
      <c r="N287" s="1">
        <f t="shared" si="55"/>
        <v>1.67</v>
      </c>
      <c r="O287" s="1" t="s">
        <v>379</v>
      </c>
    </row>
    <row r="288" spans="1:15" x14ac:dyDescent="0.25">
      <c r="A288" s="28">
        <v>46002</v>
      </c>
      <c r="B288" s="1" t="s">
        <v>299</v>
      </c>
      <c r="C288" s="1"/>
      <c r="D288" s="28">
        <f t="shared" si="56"/>
        <v>46025</v>
      </c>
      <c r="E288" s="28">
        <f t="shared" si="57"/>
        <v>46009</v>
      </c>
      <c r="F288" s="28">
        <f t="shared" si="58"/>
        <v>46016</v>
      </c>
      <c r="G288" s="28">
        <f t="shared" si="59"/>
        <v>46022</v>
      </c>
      <c r="H288" s="28">
        <f t="shared" si="60"/>
        <v>46010</v>
      </c>
      <c r="I288" s="28">
        <f t="shared" si="61"/>
        <v>46017</v>
      </c>
      <c r="J288" s="28">
        <v>46030</v>
      </c>
      <c r="K288" s="29">
        <f t="shared" si="54"/>
        <v>28</v>
      </c>
      <c r="L288" s="34">
        <v>13.24</v>
      </c>
      <c r="M288" s="32">
        <v>10.47</v>
      </c>
      <c r="N288" s="1">
        <f t="shared" si="55"/>
        <v>2.7699999999999996</v>
      </c>
      <c r="O288" s="1" t="s">
        <v>379</v>
      </c>
    </row>
    <row r="289" spans="1:15" x14ac:dyDescent="0.25">
      <c r="A289" s="28">
        <v>46002</v>
      </c>
      <c r="B289" s="1" t="s">
        <v>300</v>
      </c>
      <c r="C289" s="1"/>
      <c r="D289" s="28">
        <f t="shared" si="56"/>
        <v>46025</v>
      </c>
      <c r="E289" s="28">
        <f t="shared" si="57"/>
        <v>46009</v>
      </c>
      <c r="F289" s="28">
        <f t="shared" si="58"/>
        <v>46016</v>
      </c>
      <c r="G289" s="28">
        <f t="shared" si="59"/>
        <v>46022</v>
      </c>
      <c r="H289" s="28">
        <f t="shared" si="60"/>
        <v>46010</v>
      </c>
      <c r="I289" s="28">
        <f t="shared" si="61"/>
        <v>46017</v>
      </c>
      <c r="J289" s="28">
        <v>46031</v>
      </c>
      <c r="K289" s="29">
        <f t="shared" si="54"/>
        <v>29</v>
      </c>
      <c r="L289" s="1">
        <v>10.91</v>
      </c>
      <c r="M289" s="1">
        <v>5.69</v>
      </c>
      <c r="N289" s="1">
        <f t="shared" si="55"/>
        <v>5.22</v>
      </c>
      <c r="O289" s="1" t="s">
        <v>378</v>
      </c>
    </row>
    <row r="290" spans="1:15" x14ac:dyDescent="0.25">
      <c r="A290" s="28">
        <v>46002</v>
      </c>
      <c r="B290" s="1" t="s">
        <v>301</v>
      </c>
      <c r="C290" s="1"/>
      <c r="D290" s="28">
        <f t="shared" si="56"/>
        <v>46025</v>
      </c>
      <c r="E290" s="28">
        <f t="shared" si="57"/>
        <v>46009</v>
      </c>
      <c r="F290" s="28">
        <f t="shared" si="58"/>
        <v>46016</v>
      </c>
      <c r="G290" s="28">
        <f t="shared" si="59"/>
        <v>46022</v>
      </c>
      <c r="H290" s="28">
        <f t="shared" si="60"/>
        <v>46010</v>
      </c>
      <c r="I290" s="28">
        <f t="shared" si="61"/>
        <v>46017</v>
      </c>
      <c r="J290" s="28">
        <v>46031</v>
      </c>
      <c r="K290" s="29">
        <f t="shared" si="54"/>
        <v>29</v>
      </c>
      <c r="L290" s="1">
        <v>11.19</v>
      </c>
      <c r="M290" s="1">
        <v>5.87</v>
      </c>
      <c r="N290" s="1">
        <f t="shared" si="55"/>
        <v>5.3199999999999994</v>
      </c>
      <c r="O290" s="1" t="s">
        <v>378</v>
      </c>
    </row>
    <row r="291" spans="1:15" x14ac:dyDescent="0.25">
      <c r="A291" s="28">
        <v>46002</v>
      </c>
      <c r="B291" s="1" t="s">
        <v>302</v>
      </c>
      <c r="C291" s="1"/>
      <c r="D291" s="28">
        <f t="shared" si="56"/>
        <v>46025</v>
      </c>
      <c r="E291" s="28">
        <f t="shared" si="57"/>
        <v>46009</v>
      </c>
      <c r="F291" s="28">
        <f t="shared" si="58"/>
        <v>46016</v>
      </c>
      <c r="G291" s="28">
        <f t="shared" si="59"/>
        <v>46022</v>
      </c>
      <c r="H291" s="28">
        <f t="shared" si="60"/>
        <v>46010</v>
      </c>
      <c r="I291" s="28">
        <f t="shared" si="61"/>
        <v>46017</v>
      </c>
      <c r="J291" s="28">
        <v>46031</v>
      </c>
      <c r="K291" s="29">
        <f t="shared" si="54"/>
        <v>29</v>
      </c>
      <c r="L291" s="1">
        <v>10.24</v>
      </c>
      <c r="M291" s="1">
        <v>4.96</v>
      </c>
      <c r="N291" s="1">
        <f t="shared" si="55"/>
        <v>5.28</v>
      </c>
      <c r="O291" s="1" t="s">
        <v>378</v>
      </c>
    </row>
    <row r="292" spans="1:15" x14ac:dyDescent="0.25">
      <c r="A292" s="28">
        <v>46003</v>
      </c>
      <c r="B292" s="1" t="s">
        <v>339</v>
      </c>
      <c r="C292" s="1"/>
      <c r="D292" s="28">
        <f t="shared" si="56"/>
        <v>46026</v>
      </c>
      <c r="E292" s="28">
        <f t="shared" si="57"/>
        <v>46010</v>
      </c>
      <c r="F292" s="28">
        <f t="shared" si="58"/>
        <v>46017</v>
      </c>
      <c r="G292" s="28">
        <f t="shared" si="59"/>
        <v>46023</v>
      </c>
      <c r="H292" s="28">
        <f t="shared" si="60"/>
        <v>46011</v>
      </c>
      <c r="I292" s="28">
        <f t="shared" si="61"/>
        <v>46018</v>
      </c>
      <c r="J292" s="28">
        <v>46032</v>
      </c>
      <c r="K292" s="29">
        <f t="shared" si="54"/>
        <v>29</v>
      </c>
      <c r="L292" s="1">
        <v>12.74</v>
      </c>
      <c r="M292" s="1">
        <v>6.18</v>
      </c>
      <c r="N292" s="1">
        <f t="shared" si="55"/>
        <v>6.5600000000000005</v>
      </c>
      <c r="O292" s="1" t="s">
        <v>378</v>
      </c>
    </row>
    <row r="293" spans="1:15" x14ac:dyDescent="0.25">
      <c r="A293" s="28">
        <v>46003</v>
      </c>
      <c r="B293" s="1" t="s">
        <v>340</v>
      </c>
      <c r="C293" s="1"/>
      <c r="D293" s="28">
        <f t="shared" si="56"/>
        <v>46026</v>
      </c>
      <c r="E293" s="28">
        <f t="shared" si="57"/>
        <v>46010</v>
      </c>
      <c r="F293" s="28">
        <f t="shared" si="58"/>
        <v>46017</v>
      </c>
      <c r="G293" s="28">
        <f t="shared" si="59"/>
        <v>46023</v>
      </c>
      <c r="H293" s="28">
        <f t="shared" si="60"/>
        <v>46011</v>
      </c>
      <c r="I293" s="28">
        <f t="shared" si="61"/>
        <v>46018</v>
      </c>
      <c r="J293" s="28">
        <v>46031</v>
      </c>
      <c r="K293" s="29">
        <f t="shared" si="54"/>
        <v>28</v>
      </c>
      <c r="L293" s="1">
        <v>15.17</v>
      </c>
      <c r="M293" s="1">
        <v>14.81</v>
      </c>
      <c r="N293" s="1">
        <f t="shared" si="55"/>
        <v>0.35999999999999943</v>
      </c>
      <c r="O293" s="1" t="s">
        <v>379</v>
      </c>
    </row>
    <row r="294" spans="1:15" x14ac:dyDescent="0.25">
      <c r="A294" s="28">
        <v>46003</v>
      </c>
      <c r="B294" s="1" t="s">
        <v>341</v>
      </c>
      <c r="C294" s="1"/>
      <c r="D294" s="28">
        <f t="shared" si="56"/>
        <v>46026</v>
      </c>
      <c r="E294" s="28">
        <f t="shared" si="57"/>
        <v>46010</v>
      </c>
      <c r="F294" s="28">
        <f t="shared" si="58"/>
        <v>46017</v>
      </c>
      <c r="G294" s="28">
        <f t="shared" si="59"/>
        <v>46023</v>
      </c>
      <c r="H294" s="28">
        <f t="shared" si="60"/>
        <v>46011</v>
      </c>
      <c r="I294" s="28">
        <f t="shared" si="61"/>
        <v>46018</v>
      </c>
      <c r="J294" s="28">
        <v>46031</v>
      </c>
      <c r="K294" s="29">
        <f t="shared" si="54"/>
        <v>28</v>
      </c>
      <c r="L294" s="1">
        <v>13.98</v>
      </c>
      <c r="M294" s="1">
        <v>12.77</v>
      </c>
      <c r="N294" s="1">
        <f t="shared" si="55"/>
        <v>1.2100000000000009</v>
      </c>
      <c r="O294" s="1" t="s">
        <v>379</v>
      </c>
    </row>
    <row r="295" spans="1:15" x14ac:dyDescent="0.25">
      <c r="A295" s="28">
        <v>46003</v>
      </c>
      <c r="B295" s="1" t="s">
        <v>342</v>
      </c>
      <c r="C295" s="1"/>
      <c r="D295" s="28">
        <f t="shared" si="56"/>
        <v>46026</v>
      </c>
      <c r="E295" s="28">
        <f t="shared" si="57"/>
        <v>46010</v>
      </c>
      <c r="F295" s="28">
        <f t="shared" si="58"/>
        <v>46017</v>
      </c>
      <c r="G295" s="28">
        <f t="shared" si="59"/>
        <v>46023</v>
      </c>
      <c r="H295" s="28">
        <f t="shared" si="60"/>
        <v>46011</v>
      </c>
      <c r="I295" s="28">
        <f t="shared" si="61"/>
        <v>46018</v>
      </c>
      <c r="J295" s="28">
        <v>46031</v>
      </c>
      <c r="K295" s="29">
        <f t="shared" si="54"/>
        <v>28</v>
      </c>
      <c r="L295" s="1">
        <v>13.41</v>
      </c>
      <c r="M295" s="1">
        <v>12.1</v>
      </c>
      <c r="N295" s="1">
        <f t="shared" si="55"/>
        <v>1.3100000000000005</v>
      </c>
      <c r="O295" s="1" t="s">
        <v>379</v>
      </c>
    </row>
    <row r="296" spans="1:15" x14ac:dyDescent="0.25">
      <c r="A296" s="28">
        <v>46003</v>
      </c>
      <c r="B296" s="1" t="s">
        <v>343</v>
      </c>
      <c r="C296" s="1"/>
      <c r="D296" s="28">
        <f t="shared" si="56"/>
        <v>46026</v>
      </c>
      <c r="E296" s="28">
        <f t="shared" si="57"/>
        <v>46010</v>
      </c>
      <c r="F296" s="28">
        <f t="shared" si="58"/>
        <v>46017</v>
      </c>
      <c r="G296" s="28">
        <f t="shared" si="59"/>
        <v>46023</v>
      </c>
      <c r="H296" s="28">
        <f t="shared" si="60"/>
        <v>46011</v>
      </c>
      <c r="I296" s="28">
        <f t="shared" si="61"/>
        <v>46018</v>
      </c>
      <c r="J296" s="28">
        <v>46031</v>
      </c>
      <c r="K296" s="29">
        <f t="shared" si="54"/>
        <v>28</v>
      </c>
      <c r="L296" s="1">
        <v>12.86</v>
      </c>
      <c r="M296" s="1">
        <v>11.69</v>
      </c>
      <c r="N296" s="1">
        <f t="shared" si="55"/>
        <v>1.17</v>
      </c>
      <c r="O296" s="1" t="s">
        <v>379</v>
      </c>
    </row>
    <row r="297" spans="1:15" x14ac:dyDescent="0.25">
      <c r="A297" s="28">
        <v>46003</v>
      </c>
      <c r="B297" s="1" t="s">
        <v>344</v>
      </c>
      <c r="C297" s="1"/>
      <c r="D297" s="28">
        <f t="shared" si="56"/>
        <v>46026</v>
      </c>
      <c r="E297" s="28">
        <f t="shared" si="57"/>
        <v>46010</v>
      </c>
      <c r="F297" s="28">
        <f t="shared" si="58"/>
        <v>46017</v>
      </c>
      <c r="G297" s="28">
        <f t="shared" si="59"/>
        <v>46023</v>
      </c>
      <c r="H297" s="28">
        <f t="shared" si="60"/>
        <v>46011</v>
      </c>
      <c r="I297" s="28">
        <f t="shared" si="61"/>
        <v>46018</v>
      </c>
      <c r="J297" s="28">
        <v>46031</v>
      </c>
      <c r="K297" s="29">
        <f t="shared" si="54"/>
        <v>28</v>
      </c>
      <c r="L297" s="1">
        <v>13.47</v>
      </c>
      <c r="M297" s="1">
        <v>7.39</v>
      </c>
      <c r="N297" s="1">
        <f t="shared" si="55"/>
        <v>6.080000000000001</v>
      </c>
      <c r="O297" s="1" t="s">
        <v>378</v>
      </c>
    </row>
    <row r="298" spans="1:15" x14ac:dyDescent="0.25">
      <c r="A298" s="28">
        <v>46003</v>
      </c>
      <c r="B298" s="1" t="s">
        <v>345</v>
      </c>
      <c r="C298" s="1"/>
      <c r="D298" s="28">
        <f t="shared" si="56"/>
        <v>46026</v>
      </c>
      <c r="E298" s="28">
        <f t="shared" si="57"/>
        <v>46010</v>
      </c>
      <c r="F298" s="28">
        <f t="shared" si="58"/>
        <v>46017</v>
      </c>
      <c r="G298" s="28">
        <f t="shared" si="59"/>
        <v>46023</v>
      </c>
      <c r="H298" s="28">
        <f t="shared" si="60"/>
        <v>46011</v>
      </c>
      <c r="I298" s="28">
        <f t="shared" si="61"/>
        <v>46018</v>
      </c>
      <c r="J298" s="28">
        <v>46031</v>
      </c>
      <c r="K298" s="29">
        <f t="shared" si="54"/>
        <v>28</v>
      </c>
      <c r="L298" s="1">
        <v>11.58</v>
      </c>
      <c r="M298" s="1">
        <v>6.73</v>
      </c>
      <c r="N298" s="1">
        <f t="shared" si="55"/>
        <v>4.8499999999999996</v>
      </c>
      <c r="O298" s="1" t="s">
        <v>378</v>
      </c>
    </row>
    <row r="299" spans="1:15" x14ac:dyDescent="0.25">
      <c r="A299" s="28">
        <v>46004</v>
      </c>
      <c r="B299" s="1" t="s">
        <v>332</v>
      </c>
      <c r="C299" s="1"/>
      <c r="D299" s="28">
        <f t="shared" si="56"/>
        <v>46027</v>
      </c>
      <c r="E299" s="28">
        <f t="shared" si="57"/>
        <v>46011</v>
      </c>
      <c r="F299" s="28">
        <f t="shared" si="58"/>
        <v>46018</v>
      </c>
      <c r="G299" s="28">
        <f t="shared" si="59"/>
        <v>46024</v>
      </c>
      <c r="H299" s="28">
        <f t="shared" si="60"/>
        <v>46012</v>
      </c>
      <c r="I299" s="28">
        <f t="shared" si="61"/>
        <v>46019</v>
      </c>
      <c r="J299" s="28">
        <v>46032</v>
      </c>
      <c r="K299" s="29">
        <f t="shared" si="54"/>
        <v>28</v>
      </c>
      <c r="L299" s="1">
        <v>12.15</v>
      </c>
      <c r="M299" s="1">
        <v>10.96</v>
      </c>
      <c r="N299" s="1">
        <f t="shared" si="55"/>
        <v>1.1899999999999995</v>
      </c>
      <c r="O299" s="1" t="s">
        <v>379</v>
      </c>
    </row>
    <row r="300" spans="1:15" x14ac:dyDescent="0.25">
      <c r="A300" s="28">
        <v>46004</v>
      </c>
      <c r="B300" s="1" t="s">
        <v>333</v>
      </c>
      <c r="C300" s="1"/>
      <c r="D300" s="28">
        <f t="shared" si="56"/>
        <v>46027</v>
      </c>
      <c r="E300" s="28">
        <f t="shared" si="57"/>
        <v>46011</v>
      </c>
      <c r="F300" s="28">
        <f t="shared" si="58"/>
        <v>46018</v>
      </c>
      <c r="G300" s="28">
        <f t="shared" si="59"/>
        <v>46024</v>
      </c>
      <c r="H300" s="28">
        <f t="shared" si="60"/>
        <v>46012</v>
      </c>
      <c r="I300" s="28">
        <f t="shared" si="61"/>
        <v>46019</v>
      </c>
      <c r="J300" s="28">
        <v>46032</v>
      </c>
      <c r="K300" s="29">
        <f t="shared" si="54"/>
        <v>28</v>
      </c>
      <c r="L300" s="1">
        <v>12.91</v>
      </c>
      <c r="M300" s="1">
        <v>11.81</v>
      </c>
      <c r="N300" s="1">
        <f t="shared" si="55"/>
        <v>1.0999999999999996</v>
      </c>
      <c r="O300" s="1" t="s">
        <v>379</v>
      </c>
    </row>
    <row r="301" spans="1:15" x14ac:dyDescent="0.25">
      <c r="A301" s="28">
        <v>46004</v>
      </c>
      <c r="B301" s="1" t="s">
        <v>334</v>
      </c>
      <c r="C301" s="1"/>
      <c r="D301" s="28">
        <f t="shared" si="56"/>
        <v>46027</v>
      </c>
      <c r="E301" s="28">
        <f t="shared" si="57"/>
        <v>46011</v>
      </c>
      <c r="F301" s="28">
        <f t="shared" si="58"/>
        <v>46018</v>
      </c>
      <c r="G301" s="28">
        <f t="shared" si="59"/>
        <v>46024</v>
      </c>
      <c r="H301" s="28">
        <f t="shared" si="60"/>
        <v>46012</v>
      </c>
      <c r="I301" s="28">
        <f t="shared" si="61"/>
        <v>46019</v>
      </c>
      <c r="J301" s="28">
        <v>46032</v>
      </c>
      <c r="K301" s="29">
        <f t="shared" si="54"/>
        <v>28</v>
      </c>
      <c r="L301" s="1">
        <v>11.86</v>
      </c>
      <c r="M301" s="1">
        <v>10.54</v>
      </c>
      <c r="N301" s="1">
        <f t="shared" si="55"/>
        <v>1.3200000000000003</v>
      </c>
      <c r="O301" s="1" t="s">
        <v>379</v>
      </c>
    </row>
    <row r="302" spans="1:15" x14ac:dyDescent="0.25">
      <c r="A302" s="28">
        <v>46004</v>
      </c>
      <c r="B302" s="1" t="s">
        <v>335</v>
      </c>
      <c r="C302" s="1"/>
      <c r="D302" s="28">
        <f t="shared" si="56"/>
        <v>46027</v>
      </c>
      <c r="E302" s="28">
        <f t="shared" si="57"/>
        <v>46011</v>
      </c>
      <c r="F302" s="28">
        <f t="shared" si="58"/>
        <v>46018</v>
      </c>
      <c r="G302" s="28">
        <f t="shared" si="59"/>
        <v>46024</v>
      </c>
      <c r="H302" s="28">
        <f t="shared" si="60"/>
        <v>46012</v>
      </c>
      <c r="I302" s="28">
        <f t="shared" si="61"/>
        <v>46019</v>
      </c>
      <c r="J302" s="28">
        <v>46032</v>
      </c>
      <c r="K302" s="29">
        <f t="shared" si="54"/>
        <v>28</v>
      </c>
      <c r="L302" s="1">
        <v>11.17</v>
      </c>
      <c r="M302" s="1">
        <v>9.2799999999999994</v>
      </c>
      <c r="N302" s="1">
        <f t="shared" si="55"/>
        <v>1.8900000000000006</v>
      </c>
      <c r="O302" s="1" t="s">
        <v>379</v>
      </c>
    </row>
    <row r="303" spans="1:15" x14ac:dyDescent="0.25">
      <c r="A303" s="28">
        <v>46004</v>
      </c>
      <c r="B303" s="1" t="s">
        <v>336</v>
      </c>
      <c r="C303" s="1"/>
      <c r="D303" s="28">
        <f t="shared" si="56"/>
        <v>46027</v>
      </c>
      <c r="E303" s="28">
        <f t="shared" si="57"/>
        <v>46011</v>
      </c>
      <c r="F303" s="28">
        <f t="shared" si="58"/>
        <v>46018</v>
      </c>
      <c r="G303" s="28">
        <f t="shared" si="59"/>
        <v>46024</v>
      </c>
      <c r="H303" s="28">
        <f t="shared" si="60"/>
        <v>46012</v>
      </c>
      <c r="I303" s="28">
        <f t="shared" si="61"/>
        <v>46019</v>
      </c>
      <c r="J303" s="28">
        <v>46032</v>
      </c>
      <c r="K303" s="29">
        <f t="shared" si="54"/>
        <v>28</v>
      </c>
      <c r="L303" s="1">
        <v>10.98</v>
      </c>
      <c r="M303" s="1">
        <v>5.09</v>
      </c>
      <c r="N303" s="1">
        <f t="shared" si="55"/>
        <v>5.8900000000000006</v>
      </c>
      <c r="O303" s="1" t="s">
        <v>378</v>
      </c>
    </row>
    <row r="304" spans="1:15" x14ac:dyDescent="0.25">
      <c r="A304" s="28">
        <v>46004</v>
      </c>
      <c r="B304" s="1" t="s">
        <v>337</v>
      </c>
      <c r="C304" s="1"/>
      <c r="D304" s="28">
        <f t="shared" si="56"/>
        <v>46027</v>
      </c>
      <c r="E304" s="28">
        <f t="shared" si="57"/>
        <v>46011</v>
      </c>
      <c r="F304" s="28">
        <f t="shared" si="58"/>
        <v>46018</v>
      </c>
      <c r="G304" s="28">
        <f t="shared" si="59"/>
        <v>46024</v>
      </c>
      <c r="H304" s="28">
        <f t="shared" si="60"/>
        <v>46012</v>
      </c>
      <c r="I304" s="28">
        <f t="shared" si="61"/>
        <v>46019</v>
      </c>
      <c r="J304" s="28">
        <v>46032</v>
      </c>
      <c r="K304" s="29">
        <f t="shared" si="54"/>
        <v>28</v>
      </c>
      <c r="L304" s="1">
        <v>10.31</v>
      </c>
      <c r="M304" s="1">
        <v>4.17</v>
      </c>
      <c r="N304" s="1">
        <f t="shared" si="55"/>
        <v>6.1400000000000006</v>
      </c>
      <c r="O304" s="1" t="s">
        <v>378</v>
      </c>
    </row>
    <row r="305" spans="1:15" x14ac:dyDescent="0.25">
      <c r="A305" s="28">
        <v>46004</v>
      </c>
      <c r="B305" s="1" t="s">
        <v>338</v>
      </c>
      <c r="C305" s="1"/>
      <c r="D305" s="28">
        <f t="shared" si="56"/>
        <v>46027</v>
      </c>
      <c r="E305" s="28">
        <f t="shared" si="57"/>
        <v>46011</v>
      </c>
      <c r="F305" s="28">
        <f t="shared" si="58"/>
        <v>46018</v>
      </c>
      <c r="G305" s="28">
        <f t="shared" si="59"/>
        <v>46024</v>
      </c>
      <c r="H305" s="28">
        <f t="shared" si="60"/>
        <v>46012</v>
      </c>
      <c r="I305" s="28">
        <f t="shared" si="61"/>
        <v>46019</v>
      </c>
      <c r="J305" s="28">
        <v>46032</v>
      </c>
      <c r="K305" s="29">
        <f t="shared" si="54"/>
        <v>28</v>
      </c>
      <c r="L305" s="1">
        <v>11.45</v>
      </c>
      <c r="M305" s="1">
        <v>5.26</v>
      </c>
      <c r="N305" s="1">
        <f t="shared" si="55"/>
        <v>6.1899999999999995</v>
      </c>
      <c r="O305" s="1" t="s">
        <v>378</v>
      </c>
    </row>
    <row r="306" spans="1:15" x14ac:dyDescent="0.25">
      <c r="A306" s="28">
        <v>46005</v>
      </c>
      <c r="B306" s="1" t="s">
        <v>324</v>
      </c>
      <c r="C306" s="1"/>
      <c r="D306" s="28">
        <f t="shared" si="56"/>
        <v>46028</v>
      </c>
      <c r="E306" s="28">
        <f t="shared" si="57"/>
        <v>46012</v>
      </c>
      <c r="F306" s="28">
        <f t="shared" si="58"/>
        <v>46019</v>
      </c>
      <c r="G306" s="28">
        <f t="shared" si="59"/>
        <v>46025</v>
      </c>
      <c r="H306" s="28">
        <f t="shared" si="60"/>
        <v>46013</v>
      </c>
      <c r="I306" s="28">
        <f t="shared" si="61"/>
        <v>46020</v>
      </c>
      <c r="J306" s="28">
        <v>46033</v>
      </c>
      <c r="K306" s="29">
        <f t="shared" si="54"/>
        <v>28</v>
      </c>
      <c r="L306" s="1">
        <v>12.07</v>
      </c>
      <c r="M306" s="1">
        <v>10.78</v>
      </c>
      <c r="N306" s="1">
        <f t="shared" si="55"/>
        <v>1.2900000000000009</v>
      </c>
      <c r="O306" s="1" t="s">
        <v>379</v>
      </c>
    </row>
    <row r="307" spans="1:15" x14ac:dyDescent="0.25">
      <c r="A307" s="28">
        <v>46005</v>
      </c>
      <c r="B307" s="1" t="s">
        <v>325</v>
      </c>
      <c r="C307" s="1"/>
      <c r="D307" s="28">
        <f t="shared" si="56"/>
        <v>46028</v>
      </c>
      <c r="E307" s="28">
        <f t="shared" si="57"/>
        <v>46012</v>
      </c>
      <c r="F307" s="28">
        <f t="shared" si="58"/>
        <v>46019</v>
      </c>
      <c r="G307" s="28">
        <f t="shared" si="59"/>
        <v>46025</v>
      </c>
      <c r="H307" s="28">
        <f t="shared" si="60"/>
        <v>46013</v>
      </c>
      <c r="I307" s="28">
        <f t="shared" si="61"/>
        <v>46020</v>
      </c>
      <c r="J307" s="28">
        <v>46033</v>
      </c>
      <c r="K307" s="29">
        <f t="shared" si="54"/>
        <v>28</v>
      </c>
      <c r="L307" s="1">
        <v>12.51</v>
      </c>
      <c r="M307" s="1">
        <v>11.89</v>
      </c>
      <c r="N307" s="1">
        <f t="shared" si="55"/>
        <v>0.61999999999999922</v>
      </c>
      <c r="O307" s="1" t="s">
        <v>379</v>
      </c>
    </row>
    <row r="308" spans="1:15" x14ac:dyDescent="0.25">
      <c r="A308" s="28">
        <v>46005</v>
      </c>
      <c r="B308" s="1" t="s">
        <v>326</v>
      </c>
      <c r="C308" s="1"/>
      <c r="D308" s="28">
        <f t="shared" si="56"/>
        <v>46028</v>
      </c>
      <c r="E308" s="28">
        <f t="shared" si="57"/>
        <v>46012</v>
      </c>
      <c r="F308" s="28">
        <f t="shared" si="58"/>
        <v>46019</v>
      </c>
      <c r="G308" s="28">
        <f t="shared" si="59"/>
        <v>46025</v>
      </c>
      <c r="H308" s="28">
        <f t="shared" si="60"/>
        <v>46013</v>
      </c>
      <c r="I308" s="28">
        <f t="shared" si="61"/>
        <v>46020</v>
      </c>
      <c r="J308" s="28">
        <v>46033</v>
      </c>
      <c r="K308" s="29">
        <f t="shared" si="54"/>
        <v>28</v>
      </c>
      <c r="L308" s="1">
        <v>14.98</v>
      </c>
      <c r="M308" s="1">
        <v>13.51</v>
      </c>
      <c r="N308" s="1">
        <f t="shared" si="55"/>
        <v>1.4700000000000006</v>
      </c>
      <c r="O308" s="1" t="s">
        <v>379</v>
      </c>
    </row>
    <row r="309" spans="1:15" x14ac:dyDescent="0.25">
      <c r="A309" s="28">
        <v>46005</v>
      </c>
      <c r="B309" s="1" t="s">
        <v>327</v>
      </c>
      <c r="C309" s="1"/>
      <c r="D309" s="28">
        <f t="shared" si="56"/>
        <v>46028</v>
      </c>
      <c r="E309" s="28">
        <f t="shared" si="57"/>
        <v>46012</v>
      </c>
      <c r="F309" s="28">
        <f t="shared" si="58"/>
        <v>46019</v>
      </c>
      <c r="G309" s="28">
        <f t="shared" si="59"/>
        <v>46025</v>
      </c>
      <c r="H309" s="28">
        <f t="shared" si="60"/>
        <v>46013</v>
      </c>
      <c r="I309" s="28">
        <f t="shared" si="61"/>
        <v>46020</v>
      </c>
      <c r="J309" s="28">
        <v>46033</v>
      </c>
      <c r="K309" s="29">
        <f t="shared" si="54"/>
        <v>28</v>
      </c>
      <c r="L309" s="1">
        <v>14.08</v>
      </c>
      <c r="M309" s="1">
        <v>12.76</v>
      </c>
      <c r="N309" s="1">
        <f t="shared" si="55"/>
        <v>1.3200000000000003</v>
      </c>
      <c r="O309" s="1" t="s">
        <v>379</v>
      </c>
    </row>
    <row r="310" spans="1:15" x14ac:dyDescent="0.25">
      <c r="A310" s="28">
        <v>46005</v>
      </c>
      <c r="B310" s="1" t="s">
        <v>328</v>
      </c>
      <c r="C310" s="1"/>
      <c r="D310" s="28">
        <f t="shared" si="56"/>
        <v>46028</v>
      </c>
      <c r="E310" s="28">
        <f t="shared" si="57"/>
        <v>46012</v>
      </c>
      <c r="F310" s="28">
        <f t="shared" si="58"/>
        <v>46019</v>
      </c>
      <c r="G310" s="28">
        <f t="shared" si="59"/>
        <v>46025</v>
      </c>
      <c r="H310" s="28">
        <f t="shared" si="60"/>
        <v>46013</v>
      </c>
      <c r="I310" s="28">
        <f t="shared" si="61"/>
        <v>46020</v>
      </c>
      <c r="J310" s="28">
        <v>46033</v>
      </c>
      <c r="K310" s="29">
        <f t="shared" si="54"/>
        <v>28</v>
      </c>
      <c r="L310" s="1">
        <v>13.28</v>
      </c>
      <c r="M310" s="1">
        <v>6.42</v>
      </c>
      <c r="N310" s="1">
        <f t="shared" si="55"/>
        <v>6.8599999999999994</v>
      </c>
      <c r="O310" s="1" t="s">
        <v>378</v>
      </c>
    </row>
    <row r="311" spans="1:15" x14ac:dyDescent="0.25">
      <c r="A311" s="28">
        <v>46005</v>
      </c>
      <c r="B311" s="1" t="s">
        <v>329</v>
      </c>
      <c r="C311" s="1"/>
      <c r="D311" s="28">
        <f t="shared" si="56"/>
        <v>46028</v>
      </c>
      <c r="E311" s="28">
        <f t="shared" si="57"/>
        <v>46012</v>
      </c>
      <c r="F311" s="28">
        <f t="shared" si="58"/>
        <v>46019</v>
      </c>
      <c r="G311" s="28">
        <f t="shared" si="59"/>
        <v>46025</v>
      </c>
      <c r="H311" s="28">
        <f t="shared" si="60"/>
        <v>46013</v>
      </c>
      <c r="I311" s="28">
        <f t="shared" si="61"/>
        <v>46020</v>
      </c>
      <c r="J311" s="28">
        <v>46033</v>
      </c>
      <c r="K311" s="29">
        <f t="shared" si="54"/>
        <v>28</v>
      </c>
      <c r="L311" s="1">
        <v>11.13</v>
      </c>
      <c r="M311" s="1">
        <v>5.87</v>
      </c>
      <c r="N311" s="1">
        <f t="shared" si="55"/>
        <v>5.2600000000000007</v>
      </c>
      <c r="O311" s="1" t="s">
        <v>378</v>
      </c>
    </row>
    <row r="312" spans="1:15" x14ac:dyDescent="0.25">
      <c r="A312" s="28">
        <v>46005</v>
      </c>
      <c r="B312" s="1" t="s">
        <v>330</v>
      </c>
      <c r="C312" s="1"/>
      <c r="D312" s="28">
        <f t="shared" si="56"/>
        <v>46028</v>
      </c>
      <c r="E312" s="28">
        <f t="shared" si="57"/>
        <v>46012</v>
      </c>
      <c r="F312" s="28">
        <f t="shared" si="58"/>
        <v>46019</v>
      </c>
      <c r="G312" s="28">
        <f t="shared" si="59"/>
        <v>46025</v>
      </c>
      <c r="H312" s="28">
        <f t="shared" si="60"/>
        <v>46013</v>
      </c>
      <c r="I312" s="28">
        <f t="shared" si="61"/>
        <v>46020</v>
      </c>
      <c r="J312" s="28">
        <v>46033</v>
      </c>
      <c r="K312" s="29">
        <f t="shared" si="54"/>
        <v>28</v>
      </c>
      <c r="L312" s="1">
        <v>13.91</v>
      </c>
      <c r="M312" s="1">
        <v>7.11</v>
      </c>
      <c r="N312" s="1">
        <f t="shared" si="55"/>
        <v>6.8</v>
      </c>
      <c r="O312" s="1" t="s">
        <v>378</v>
      </c>
    </row>
    <row r="313" spans="1:15" x14ac:dyDescent="0.25">
      <c r="A313" s="28">
        <v>46005</v>
      </c>
      <c r="B313" s="1" t="s">
        <v>331</v>
      </c>
      <c r="C313" s="1"/>
      <c r="D313" s="28">
        <f t="shared" si="56"/>
        <v>46028</v>
      </c>
      <c r="E313" s="28">
        <f t="shared" si="57"/>
        <v>46012</v>
      </c>
      <c r="F313" s="28">
        <f t="shared" si="58"/>
        <v>46019</v>
      </c>
      <c r="G313" s="28">
        <f t="shared" si="59"/>
        <v>46025</v>
      </c>
      <c r="H313" s="28">
        <f t="shared" si="60"/>
        <v>46013</v>
      </c>
      <c r="I313" s="28">
        <f t="shared" si="61"/>
        <v>46020</v>
      </c>
      <c r="J313" s="28">
        <v>46033</v>
      </c>
      <c r="K313" s="29">
        <f t="shared" si="54"/>
        <v>28</v>
      </c>
      <c r="L313" s="1">
        <v>12.84</v>
      </c>
      <c r="M313" s="1">
        <v>6.25</v>
      </c>
      <c r="N313" s="1">
        <f t="shared" si="55"/>
        <v>6.59</v>
      </c>
      <c r="O313" s="1" t="s">
        <v>378</v>
      </c>
    </row>
    <row r="314" spans="1:15" x14ac:dyDescent="0.25">
      <c r="A314" s="28">
        <v>46006</v>
      </c>
      <c r="B314" s="1" t="s">
        <v>303</v>
      </c>
      <c r="C314" s="1"/>
      <c r="D314" s="28">
        <f t="shared" si="56"/>
        <v>46029</v>
      </c>
      <c r="E314" s="28">
        <f t="shared" si="57"/>
        <v>46013</v>
      </c>
      <c r="F314" s="28">
        <f t="shared" si="58"/>
        <v>46020</v>
      </c>
      <c r="G314" s="28">
        <f t="shared" si="59"/>
        <v>46026</v>
      </c>
      <c r="H314" s="28">
        <f t="shared" si="60"/>
        <v>46014</v>
      </c>
      <c r="I314" s="28">
        <f t="shared" si="61"/>
        <v>46021</v>
      </c>
      <c r="J314" s="28">
        <v>46034</v>
      </c>
      <c r="K314" s="29">
        <f t="shared" si="54"/>
        <v>28</v>
      </c>
      <c r="L314" s="34">
        <v>10.38</v>
      </c>
      <c r="M314" s="32">
        <v>5.17</v>
      </c>
      <c r="N314" s="1">
        <f t="shared" si="55"/>
        <v>5.2100000000000009</v>
      </c>
      <c r="O314" s="32" t="s">
        <v>378</v>
      </c>
    </row>
    <row r="315" spans="1:15" x14ac:dyDescent="0.25">
      <c r="A315" s="28">
        <v>46006</v>
      </c>
      <c r="B315" s="1" t="s">
        <v>304</v>
      </c>
      <c r="C315" s="1"/>
      <c r="D315" s="28">
        <f t="shared" si="56"/>
        <v>46029</v>
      </c>
      <c r="E315" s="28">
        <f t="shared" si="57"/>
        <v>46013</v>
      </c>
      <c r="F315" s="28">
        <f t="shared" si="58"/>
        <v>46020</v>
      </c>
      <c r="G315" s="28">
        <f t="shared" si="59"/>
        <v>46026</v>
      </c>
      <c r="H315" s="28">
        <f t="shared" si="60"/>
        <v>46014</v>
      </c>
      <c r="I315" s="28">
        <f t="shared" si="61"/>
        <v>46021</v>
      </c>
      <c r="J315" s="28">
        <v>46034</v>
      </c>
      <c r="K315" s="29">
        <f t="shared" si="54"/>
        <v>28</v>
      </c>
      <c r="L315" s="34">
        <v>11.52</v>
      </c>
      <c r="M315" s="32">
        <v>6.31</v>
      </c>
      <c r="N315" s="1">
        <f t="shared" si="55"/>
        <v>5.21</v>
      </c>
      <c r="O315" s="32" t="s">
        <v>378</v>
      </c>
    </row>
    <row r="316" spans="1:15" x14ac:dyDescent="0.25">
      <c r="A316" s="28">
        <v>46006</v>
      </c>
      <c r="B316" s="1" t="s">
        <v>305</v>
      </c>
      <c r="C316" s="1"/>
      <c r="D316" s="28">
        <f t="shared" si="56"/>
        <v>46029</v>
      </c>
      <c r="E316" s="28">
        <f t="shared" si="57"/>
        <v>46013</v>
      </c>
      <c r="F316" s="28">
        <f t="shared" si="58"/>
        <v>46020</v>
      </c>
      <c r="G316" s="28">
        <f t="shared" si="59"/>
        <v>46026</v>
      </c>
      <c r="H316" s="28">
        <f t="shared" si="60"/>
        <v>46014</v>
      </c>
      <c r="I316" s="28">
        <f t="shared" si="61"/>
        <v>46021</v>
      </c>
      <c r="J316" s="28">
        <v>46034</v>
      </c>
      <c r="K316" s="29">
        <f t="shared" ref="K316:K341" si="62">J316-A316</f>
        <v>28</v>
      </c>
      <c r="L316" s="34">
        <v>10.29</v>
      </c>
      <c r="M316" s="32">
        <v>5.0999999999999996</v>
      </c>
      <c r="N316" s="1">
        <f t="shared" ref="N316:N366" si="63">L316-M316</f>
        <v>5.1899999999999995</v>
      </c>
      <c r="O316" s="32" t="s">
        <v>378</v>
      </c>
    </row>
    <row r="317" spans="1:15" x14ac:dyDescent="0.25">
      <c r="A317" s="28">
        <v>46006</v>
      </c>
      <c r="B317" s="1" t="s">
        <v>306</v>
      </c>
      <c r="C317" s="1"/>
      <c r="D317" s="28">
        <f t="shared" si="56"/>
        <v>46029</v>
      </c>
      <c r="E317" s="28">
        <f t="shared" si="57"/>
        <v>46013</v>
      </c>
      <c r="F317" s="28">
        <f t="shared" si="58"/>
        <v>46020</v>
      </c>
      <c r="G317" s="28">
        <f t="shared" si="59"/>
        <v>46026</v>
      </c>
      <c r="H317" s="28">
        <f t="shared" si="60"/>
        <v>46014</v>
      </c>
      <c r="I317" s="28">
        <f t="shared" si="61"/>
        <v>46021</v>
      </c>
      <c r="J317" s="28">
        <v>46034</v>
      </c>
      <c r="K317" s="29">
        <f t="shared" si="62"/>
        <v>28</v>
      </c>
      <c r="L317" s="34">
        <v>10.07</v>
      </c>
      <c r="M317" s="32">
        <v>4.5199999999999996</v>
      </c>
      <c r="N317" s="1">
        <f t="shared" si="63"/>
        <v>5.5500000000000007</v>
      </c>
      <c r="O317" s="32" t="s">
        <v>378</v>
      </c>
    </row>
    <row r="318" spans="1:15" x14ac:dyDescent="0.25">
      <c r="A318" s="28">
        <v>46006</v>
      </c>
      <c r="B318" s="1" t="s">
        <v>307</v>
      </c>
      <c r="C318" s="1"/>
      <c r="D318" s="28">
        <f t="shared" si="56"/>
        <v>46029</v>
      </c>
      <c r="E318" s="28">
        <f t="shared" si="57"/>
        <v>46013</v>
      </c>
      <c r="F318" s="28">
        <f t="shared" si="58"/>
        <v>46020</v>
      </c>
      <c r="G318" s="28">
        <f t="shared" si="59"/>
        <v>46026</v>
      </c>
      <c r="H318" s="28">
        <f t="shared" si="60"/>
        <v>46014</v>
      </c>
      <c r="I318" s="28">
        <f t="shared" si="61"/>
        <v>46021</v>
      </c>
      <c r="J318" s="28">
        <v>46034</v>
      </c>
      <c r="K318" s="29">
        <f t="shared" si="62"/>
        <v>28</v>
      </c>
      <c r="L318" s="34">
        <v>13.24</v>
      </c>
      <c r="M318" s="32">
        <v>11.71</v>
      </c>
      <c r="N318" s="1">
        <f t="shared" si="63"/>
        <v>1.5299999999999994</v>
      </c>
      <c r="O318" s="32" t="s">
        <v>379</v>
      </c>
    </row>
    <row r="319" spans="1:15" x14ac:dyDescent="0.25">
      <c r="A319" s="28">
        <v>46006</v>
      </c>
      <c r="B319" s="1" t="s">
        <v>308</v>
      </c>
      <c r="C319" s="1"/>
      <c r="D319" s="28">
        <f t="shared" si="56"/>
        <v>46029</v>
      </c>
      <c r="E319" s="28">
        <f t="shared" si="57"/>
        <v>46013</v>
      </c>
      <c r="F319" s="28">
        <f t="shared" si="58"/>
        <v>46020</v>
      </c>
      <c r="G319" s="28">
        <f t="shared" si="59"/>
        <v>46026</v>
      </c>
      <c r="H319" s="28">
        <f t="shared" si="60"/>
        <v>46014</v>
      </c>
      <c r="I319" s="28">
        <f t="shared" si="61"/>
        <v>46021</v>
      </c>
      <c r="J319" s="28">
        <v>46034</v>
      </c>
      <c r="K319" s="29">
        <f t="shared" si="62"/>
        <v>28</v>
      </c>
      <c r="L319" s="34">
        <v>12.03</v>
      </c>
      <c r="M319" s="32">
        <v>10.86</v>
      </c>
      <c r="N319" s="1">
        <f t="shared" si="63"/>
        <v>1.17</v>
      </c>
      <c r="O319" s="32" t="s">
        <v>379</v>
      </c>
    </row>
    <row r="320" spans="1:15" x14ac:dyDescent="0.25">
      <c r="A320" s="28">
        <v>46006</v>
      </c>
      <c r="B320" s="1" t="s">
        <v>309</v>
      </c>
      <c r="C320" s="1"/>
      <c r="D320" s="28">
        <f t="shared" si="56"/>
        <v>46029</v>
      </c>
      <c r="E320" s="28">
        <f t="shared" si="57"/>
        <v>46013</v>
      </c>
      <c r="F320" s="28">
        <f t="shared" si="58"/>
        <v>46020</v>
      </c>
      <c r="G320" s="28">
        <f t="shared" si="59"/>
        <v>46026</v>
      </c>
      <c r="H320" s="28">
        <f t="shared" si="60"/>
        <v>46014</v>
      </c>
      <c r="I320" s="28">
        <f t="shared" si="61"/>
        <v>46021</v>
      </c>
      <c r="J320" s="28">
        <v>46034</v>
      </c>
      <c r="K320" s="29">
        <f t="shared" si="62"/>
        <v>28</v>
      </c>
      <c r="L320" s="34">
        <v>13.98</v>
      </c>
      <c r="M320" s="32">
        <v>12.14</v>
      </c>
      <c r="N320" s="1">
        <f t="shared" si="63"/>
        <v>1.8399999999999999</v>
      </c>
      <c r="O320" s="32" t="s">
        <v>379</v>
      </c>
    </row>
    <row r="321" spans="1:15" x14ac:dyDescent="0.25">
      <c r="A321" s="28">
        <v>46007</v>
      </c>
      <c r="B321" s="1" t="s">
        <v>310</v>
      </c>
      <c r="C321" s="1"/>
      <c r="D321" s="28">
        <f t="shared" si="56"/>
        <v>46030</v>
      </c>
      <c r="E321" s="28">
        <f t="shared" si="57"/>
        <v>46014</v>
      </c>
      <c r="F321" s="28">
        <f t="shared" si="58"/>
        <v>46021</v>
      </c>
      <c r="G321" s="28">
        <f t="shared" si="59"/>
        <v>46027</v>
      </c>
      <c r="H321" s="28">
        <f t="shared" si="60"/>
        <v>46015</v>
      </c>
      <c r="I321" s="28">
        <f t="shared" si="61"/>
        <v>46022</v>
      </c>
      <c r="J321" s="28">
        <v>46034</v>
      </c>
      <c r="K321" s="29">
        <f t="shared" si="62"/>
        <v>27</v>
      </c>
      <c r="L321" s="34">
        <v>12.55</v>
      </c>
      <c r="M321" s="32">
        <v>11.39</v>
      </c>
      <c r="N321" s="1">
        <f t="shared" si="63"/>
        <v>1.1600000000000001</v>
      </c>
      <c r="O321" s="32" t="s">
        <v>379</v>
      </c>
    </row>
    <row r="322" spans="1:15" x14ac:dyDescent="0.25">
      <c r="A322" s="28">
        <v>46007</v>
      </c>
      <c r="B322" s="1" t="s">
        <v>311</v>
      </c>
      <c r="C322" s="1"/>
      <c r="D322" s="28">
        <f t="shared" si="56"/>
        <v>46030</v>
      </c>
      <c r="E322" s="28">
        <f t="shared" si="57"/>
        <v>46014</v>
      </c>
      <c r="F322" s="28">
        <f t="shared" si="58"/>
        <v>46021</v>
      </c>
      <c r="G322" s="28">
        <f t="shared" si="59"/>
        <v>46027</v>
      </c>
      <c r="H322" s="28">
        <f t="shared" si="60"/>
        <v>46015</v>
      </c>
      <c r="I322" s="28">
        <f t="shared" si="61"/>
        <v>46022</v>
      </c>
      <c r="J322" s="28">
        <v>46035</v>
      </c>
      <c r="K322" s="29">
        <f t="shared" si="62"/>
        <v>28</v>
      </c>
      <c r="L322" s="34">
        <v>9.51</v>
      </c>
      <c r="M322" s="32">
        <v>4.12</v>
      </c>
      <c r="N322" s="1">
        <f t="shared" si="63"/>
        <v>5.39</v>
      </c>
      <c r="O322" s="32" t="s">
        <v>378</v>
      </c>
    </row>
    <row r="323" spans="1:15" x14ac:dyDescent="0.25">
      <c r="A323" s="28">
        <v>46007</v>
      </c>
      <c r="B323" s="1" t="s">
        <v>312</v>
      </c>
      <c r="C323" s="1"/>
      <c r="D323" s="28">
        <f t="shared" ref="D323:D334" si="64">A323+23</f>
        <v>46030</v>
      </c>
      <c r="E323" s="28">
        <f t="shared" ref="E323:E334" si="65">A323+7</f>
        <v>46014</v>
      </c>
      <c r="F323" s="28">
        <f t="shared" ref="F323:F334" si="66">A323+14</f>
        <v>46021</v>
      </c>
      <c r="G323" s="28">
        <f t="shared" ref="G323:G334" si="67">A323+20</f>
        <v>46027</v>
      </c>
      <c r="H323" s="28">
        <f t="shared" ref="H323:H334" si="68">A323+8</f>
        <v>46015</v>
      </c>
      <c r="I323" s="28">
        <f t="shared" ref="I323:I334" si="69">A323+15</f>
        <v>46022</v>
      </c>
      <c r="J323" s="28">
        <v>46035</v>
      </c>
      <c r="K323" s="29">
        <f t="shared" si="62"/>
        <v>28</v>
      </c>
      <c r="L323" s="34">
        <v>10.75</v>
      </c>
      <c r="M323" s="32">
        <v>5.24</v>
      </c>
      <c r="N323" s="1">
        <f t="shared" si="63"/>
        <v>5.51</v>
      </c>
      <c r="O323" s="32" t="s">
        <v>378</v>
      </c>
    </row>
    <row r="324" spans="1:15" x14ac:dyDescent="0.25">
      <c r="A324" s="28">
        <v>46007</v>
      </c>
      <c r="B324" s="1" t="s">
        <v>313</v>
      </c>
      <c r="C324" s="1"/>
      <c r="D324" s="28">
        <f t="shared" si="64"/>
        <v>46030</v>
      </c>
      <c r="E324" s="28">
        <f t="shared" si="65"/>
        <v>46014</v>
      </c>
      <c r="F324" s="28">
        <f t="shared" si="66"/>
        <v>46021</v>
      </c>
      <c r="G324" s="28">
        <f t="shared" si="67"/>
        <v>46027</v>
      </c>
      <c r="H324" s="28">
        <f t="shared" si="68"/>
        <v>46015</v>
      </c>
      <c r="I324" s="28">
        <f t="shared" si="69"/>
        <v>46022</v>
      </c>
      <c r="J324" s="28">
        <v>46035</v>
      </c>
      <c r="K324" s="29">
        <f t="shared" si="62"/>
        <v>28</v>
      </c>
      <c r="L324" s="34">
        <v>11.18</v>
      </c>
      <c r="M324" s="32">
        <v>5.58</v>
      </c>
      <c r="N324" s="1">
        <f t="shared" si="63"/>
        <v>5.6</v>
      </c>
      <c r="O324" s="32" t="s">
        <v>378</v>
      </c>
    </row>
    <row r="325" spans="1:15" x14ac:dyDescent="0.25">
      <c r="A325" s="28">
        <v>46007</v>
      </c>
      <c r="B325" s="1" t="s">
        <v>314</v>
      </c>
      <c r="C325" s="1"/>
      <c r="D325" s="28">
        <f t="shared" si="64"/>
        <v>46030</v>
      </c>
      <c r="E325" s="28">
        <f t="shared" si="65"/>
        <v>46014</v>
      </c>
      <c r="F325" s="28">
        <f t="shared" si="66"/>
        <v>46021</v>
      </c>
      <c r="G325" s="28">
        <f t="shared" si="67"/>
        <v>46027</v>
      </c>
      <c r="H325" s="28">
        <f t="shared" si="68"/>
        <v>46015</v>
      </c>
      <c r="I325" s="28">
        <f t="shared" si="69"/>
        <v>46022</v>
      </c>
      <c r="J325" s="28">
        <v>46035</v>
      </c>
      <c r="K325" s="29">
        <f t="shared" si="62"/>
        <v>28</v>
      </c>
      <c r="L325" s="34">
        <v>8.27</v>
      </c>
      <c r="M325" s="32">
        <v>7.17</v>
      </c>
      <c r="N325" s="1">
        <f t="shared" si="63"/>
        <v>1.0999999999999996</v>
      </c>
      <c r="O325" s="32" t="s">
        <v>379</v>
      </c>
    </row>
    <row r="326" spans="1:15" x14ac:dyDescent="0.25">
      <c r="A326" s="28">
        <v>46007</v>
      </c>
      <c r="B326" s="1" t="s">
        <v>315</v>
      </c>
      <c r="C326" s="1"/>
      <c r="D326" s="28">
        <f t="shared" si="64"/>
        <v>46030</v>
      </c>
      <c r="E326" s="28">
        <f t="shared" si="65"/>
        <v>46014</v>
      </c>
      <c r="F326" s="28">
        <f t="shared" si="66"/>
        <v>46021</v>
      </c>
      <c r="G326" s="28">
        <f t="shared" si="67"/>
        <v>46027</v>
      </c>
      <c r="H326" s="28">
        <f t="shared" si="68"/>
        <v>46015</v>
      </c>
      <c r="I326" s="28">
        <f t="shared" si="69"/>
        <v>46022</v>
      </c>
      <c r="J326" s="28">
        <v>46036</v>
      </c>
      <c r="K326" s="29">
        <f t="shared" si="62"/>
        <v>29</v>
      </c>
      <c r="L326" s="34">
        <v>9.73</v>
      </c>
      <c r="M326" s="32">
        <v>4.3</v>
      </c>
      <c r="N326" s="1">
        <f t="shared" si="63"/>
        <v>5.4300000000000006</v>
      </c>
      <c r="O326" s="32" t="s">
        <v>378</v>
      </c>
    </row>
    <row r="327" spans="1:15" x14ac:dyDescent="0.25">
      <c r="A327" s="28">
        <v>46007</v>
      </c>
      <c r="B327" s="1" t="s">
        <v>316</v>
      </c>
      <c r="C327" s="1"/>
      <c r="D327" s="28">
        <f t="shared" si="64"/>
        <v>46030</v>
      </c>
      <c r="E327" s="28">
        <f t="shared" si="65"/>
        <v>46014</v>
      </c>
      <c r="F327" s="28">
        <f t="shared" si="66"/>
        <v>46021</v>
      </c>
      <c r="G327" s="28">
        <f t="shared" si="67"/>
        <v>46027</v>
      </c>
      <c r="H327" s="28">
        <f t="shared" si="68"/>
        <v>46015</v>
      </c>
      <c r="I327" s="28">
        <f t="shared" si="69"/>
        <v>46022</v>
      </c>
      <c r="J327" s="28">
        <v>46036</v>
      </c>
      <c r="K327" s="29">
        <f t="shared" si="62"/>
        <v>29</v>
      </c>
      <c r="L327" s="34">
        <v>11.28</v>
      </c>
      <c r="M327" s="32">
        <v>5.58</v>
      </c>
      <c r="N327" s="1">
        <f t="shared" si="63"/>
        <v>5.6999999999999993</v>
      </c>
      <c r="O327" s="32" t="s">
        <v>378</v>
      </c>
    </row>
    <row r="328" spans="1:15" x14ac:dyDescent="0.25">
      <c r="A328" s="28">
        <v>46008</v>
      </c>
      <c r="B328" s="1" t="s">
        <v>317</v>
      </c>
      <c r="C328" s="1"/>
      <c r="D328" s="28">
        <f t="shared" si="64"/>
        <v>46031</v>
      </c>
      <c r="E328" s="28">
        <f t="shared" si="65"/>
        <v>46015</v>
      </c>
      <c r="F328" s="28">
        <f t="shared" si="66"/>
        <v>46022</v>
      </c>
      <c r="G328" s="28">
        <f t="shared" si="67"/>
        <v>46028</v>
      </c>
      <c r="H328" s="28">
        <f t="shared" si="68"/>
        <v>46016</v>
      </c>
      <c r="I328" s="28">
        <f t="shared" si="69"/>
        <v>46023</v>
      </c>
      <c r="J328" s="28">
        <v>46036</v>
      </c>
      <c r="K328" s="29">
        <f t="shared" si="62"/>
        <v>28</v>
      </c>
      <c r="L328" s="34">
        <v>10.91</v>
      </c>
      <c r="M328" s="32">
        <v>5.13</v>
      </c>
      <c r="N328" s="1">
        <f t="shared" si="63"/>
        <v>5.78</v>
      </c>
      <c r="O328" s="32" t="s">
        <v>378</v>
      </c>
    </row>
    <row r="329" spans="1:15" x14ac:dyDescent="0.25">
      <c r="A329" s="28">
        <v>46008</v>
      </c>
      <c r="B329" s="1" t="s">
        <v>318</v>
      </c>
      <c r="C329" s="1"/>
      <c r="D329" s="28">
        <f t="shared" si="64"/>
        <v>46031</v>
      </c>
      <c r="E329" s="28">
        <f t="shared" si="65"/>
        <v>46015</v>
      </c>
      <c r="F329" s="28">
        <f t="shared" si="66"/>
        <v>46022</v>
      </c>
      <c r="G329" s="28">
        <f t="shared" si="67"/>
        <v>46028</v>
      </c>
      <c r="H329" s="28">
        <f t="shared" si="68"/>
        <v>46016</v>
      </c>
      <c r="I329" s="28">
        <f t="shared" si="69"/>
        <v>46023</v>
      </c>
      <c r="J329" s="28">
        <v>46036</v>
      </c>
      <c r="K329" s="29">
        <f t="shared" si="62"/>
        <v>28</v>
      </c>
      <c r="L329" s="34">
        <v>10.06</v>
      </c>
      <c r="M329" s="32">
        <v>4.72</v>
      </c>
      <c r="N329" s="1">
        <f t="shared" si="63"/>
        <v>5.3400000000000007</v>
      </c>
      <c r="O329" s="32" t="s">
        <v>378</v>
      </c>
    </row>
    <row r="330" spans="1:15" x14ac:dyDescent="0.25">
      <c r="A330" s="28">
        <v>46008</v>
      </c>
      <c r="B330" s="1" t="s">
        <v>319</v>
      </c>
      <c r="C330" s="1"/>
      <c r="D330" s="28">
        <f t="shared" si="64"/>
        <v>46031</v>
      </c>
      <c r="E330" s="28">
        <f t="shared" si="65"/>
        <v>46015</v>
      </c>
      <c r="F330" s="28">
        <f t="shared" si="66"/>
        <v>46022</v>
      </c>
      <c r="G330" s="28">
        <f t="shared" si="67"/>
        <v>46028</v>
      </c>
      <c r="H330" s="28">
        <f t="shared" si="68"/>
        <v>46016</v>
      </c>
      <c r="I330" s="28">
        <f t="shared" si="69"/>
        <v>46023</v>
      </c>
      <c r="J330" s="28">
        <v>46036</v>
      </c>
      <c r="K330" s="29">
        <f t="shared" si="62"/>
        <v>28</v>
      </c>
      <c r="L330" s="34">
        <v>11.81</v>
      </c>
      <c r="M330" s="32">
        <v>10.51</v>
      </c>
      <c r="N330" s="1">
        <f t="shared" si="63"/>
        <v>1.3000000000000007</v>
      </c>
      <c r="O330" s="32" t="s">
        <v>379</v>
      </c>
    </row>
    <row r="331" spans="1:15" x14ac:dyDescent="0.25">
      <c r="A331" s="28">
        <v>46008</v>
      </c>
      <c r="B331" s="1" t="s">
        <v>320</v>
      </c>
      <c r="C331" s="1"/>
      <c r="D331" s="28">
        <f t="shared" si="64"/>
        <v>46031</v>
      </c>
      <c r="E331" s="28">
        <f t="shared" si="65"/>
        <v>46015</v>
      </c>
      <c r="F331" s="28">
        <f t="shared" si="66"/>
        <v>46022</v>
      </c>
      <c r="G331" s="28">
        <f t="shared" si="67"/>
        <v>46028</v>
      </c>
      <c r="H331" s="28">
        <f t="shared" si="68"/>
        <v>46016</v>
      </c>
      <c r="I331" s="28">
        <f t="shared" si="69"/>
        <v>46023</v>
      </c>
      <c r="J331" s="28">
        <v>46036</v>
      </c>
      <c r="K331" s="29">
        <f t="shared" si="62"/>
        <v>28</v>
      </c>
      <c r="L331" s="34">
        <v>12.75</v>
      </c>
      <c r="M331" s="32">
        <v>11.27</v>
      </c>
      <c r="N331" s="1">
        <f t="shared" si="63"/>
        <v>1.4800000000000004</v>
      </c>
      <c r="O331" s="32" t="s">
        <v>379</v>
      </c>
    </row>
    <row r="332" spans="1:15" x14ac:dyDescent="0.25">
      <c r="A332" s="28">
        <v>46008</v>
      </c>
      <c r="B332" s="1" t="s">
        <v>321</v>
      </c>
      <c r="C332" s="1"/>
      <c r="D332" s="28">
        <f t="shared" si="64"/>
        <v>46031</v>
      </c>
      <c r="E332" s="28">
        <f t="shared" si="65"/>
        <v>46015</v>
      </c>
      <c r="F332" s="28">
        <f t="shared" si="66"/>
        <v>46022</v>
      </c>
      <c r="G332" s="28">
        <f t="shared" si="67"/>
        <v>46028</v>
      </c>
      <c r="H332" s="28">
        <f t="shared" si="68"/>
        <v>46016</v>
      </c>
      <c r="I332" s="28">
        <f t="shared" si="69"/>
        <v>46023</v>
      </c>
      <c r="J332" s="28">
        <v>46036</v>
      </c>
      <c r="K332" s="29">
        <f t="shared" si="62"/>
        <v>28</v>
      </c>
      <c r="L332" s="34">
        <v>12.11</v>
      </c>
      <c r="M332" s="32">
        <v>10.73</v>
      </c>
      <c r="N332" s="1">
        <f t="shared" si="63"/>
        <v>1.379999999999999</v>
      </c>
      <c r="O332" s="32" t="s">
        <v>379</v>
      </c>
    </row>
    <row r="333" spans="1:15" x14ac:dyDescent="0.25">
      <c r="A333" s="28">
        <v>46008</v>
      </c>
      <c r="B333" s="1" t="s">
        <v>322</v>
      </c>
      <c r="C333" s="1"/>
      <c r="D333" s="28">
        <f t="shared" si="64"/>
        <v>46031</v>
      </c>
      <c r="E333" s="28">
        <f t="shared" si="65"/>
        <v>46015</v>
      </c>
      <c r="F333" s="28">
        <f t="shared" si="66"/>
        <v>46022</v>
      </c>
      <c r="G333" s="28">
        <f t="shared" si="67"/>
        <v>46028</v>
      </c>
      <c r="H333" s="28">
        <f t="shared" si="68"/>
        <v>46016</v>
      </c>
      <c r="I333" s="28">
        <f t="shared" si="69"/>
        <v>46023</v>
      </c>
      <c r="J333" s="28">
        <v>46036</v>
      </c>
      <c r="K333" s="29">
        <f t="shared" si="62"/>
        <v>28</v>
      </c>
      <c r="L333" s="34">
        <v>13.59</v>
      </c>
      <c r="M333" s="32">
        <v>12.54</v>
      </c>
      <c r="N333" s="1">
        <f t="shared" si="63"/>
        <v>1.0500000000000007</v>
      </c>
      <c r="O333" s="32" t="s">
        <v>379</v>
      </c>
    </row>
    <row r="334" spans="1:15" x14ac:dyDescent="0.25">
      <c r="A334" s="28">
        <v>46008</v>
      </c>
      <c r="B334" s="1" t="s">
        <v>323</v>
      </c>
      <c r="C334" s="1"/>
      <c r="D334" s="28">
        <f t="shared" si="64"/>
        <v>46031</v>
      </c>
      <c r="E334" s="28">
        <f t="shared" si="65"/>
        <v>46015</v>
      </c>
      <c r="F334" s="28">
        <f t="shared" si="66"/>
        <v>46022</v>
      </c>
      <c r="G334" s="28">
        <f t="shared" si="67"/>
        <v>46028</v>
      </c>
      <c r="H334" s="28">
        <f t="shared" si="68"/>
        <v>46016</v>
      </c>
      <c r="I334" s="28">
        <f t="shared" si="69"/>
        <v>46023</v>
      </c>
      <c r="J334" s="28">
        <v>46036</v>
      </c>
      <c r="K334" s="29">
        <f t="shared" si="62"/>
        <v>28</v>
      </c>
      <c r="L334" s="34">
        <v>11.42</v>
      </c>
      <c r="M334" s="32">
        <v>10.25</v>
      </c>
      <c r="N334" s="1">
        <f t="shared" si="63"/>
        <v>1.17</v>
      </c>
      <c r="O334" s="32" t="s">
        <v>379</v>
      </c>
    </row>
    <row r="335" spans="1:15" x14ac:dyDescent="0.25">
      <c r="A335" s="28">
        <v>46009</v>
      </c>
      <c r="B335" s="1" t="s">
        <v>153</v>
      </c>
      <c r="C335" s="1"/>
      <c r="D335" s="28">
        <f t="shared" ref="D335:D348" si="70">A335+23</f>
        <v>46032</v>
      </c>
      <c r="E335" s="28">
        <f t="shared" ref="E335:E348" si="71">A335+7</f>
        <v>46016</v>
      </c>
      <c r="F335" s="28">
        <f t="shared" ref="F335:F348" si="72">A335+14</f>
        <v>46023</v>
      </c>
      <c r="G335" s="28">
        <f t="shared" ref="G335:G348" si="73">A335+20</f>
        <v>46029</v>
      </c>
      <c r="H335" s="28">
        <f t="shared" ref="H335:H348" si="74">A335+8</f>
        <v>46017</v>
      </c>
      <c r="I335" s="28">
        <f t="shared" ref="I335:I348" si="75">A335+15</f>
        <v>46024</v>
      </c>
      <c r="J335" s="28">
        <v>46036</v>
      </c>
      <c r="K335" s="29">
        <f t="shared" si="62"/>
        <v>27</v>
      </c>
      <c r="L335" s="34">
        <v>14.66</v>
      </c>
      <c r="M335" s="32">
        <v>13.86</v>
      </c>
      <c r="N335" s="1">
        <f t="shared" si="63"/>
        <v>0.80000000000000071</v>
      </c>
      <c r="O335" s="32" t="s">
        <v>379</v>
      </c>
    </row>
    <row r="336" spans="1:15" x14ac:dyDescent="0.25">
      <c r="A336" s="28">
        <v>46009</v>
      </c>
      <c r="B336" s="1" t="s">
        <v>154</v>
      </c>
      <c r="C336" s="1"/>
      <c r="D336" s="28">
        <f t="shared" si="70"/>
        <v>46032</v>
      </c>
      <c r="E336" s="28">
        <f t="shared" si="71"/>
        <v>46016</v>
      </c>
      <c r="F336" s="28">
        <f t="shared" si="72"/>
        <v>46023</v>
      </c>
      <c r="G336" s="28">
        <f t="shared" si="73"/>
        <v>46029</v>
      </c>
      <c r="H336" s="28">
        <f t="shared" si="74"/>
        <v>46017</v>
      </c>
      <c r="I336" s="28">
        <f t="shared" si="75"/>
        <v>46024</v>
      </c>
      <c r="J336" s="28">
        <v>46037</v>
      </c>
      <c r="K336" s="29">
        <f t="shared" si="62"/>
        <v>28</v>
      </c>
      <c r="L336" s="34">
        <v>15.24</v>
      </c>
      <c r="M336" s="32">
        <v>7.38</v>
      </c>
      <c r="N336" s="1">
        <f t="shared" si="63"/>
        <v>7.86</v>
      </c>
      <c r="O336" s="32" t="s">
        <v>378</v>
      </c>
    </row>
    <row r="337" spans="1:15" x14ac:dyDescent="0.25">
      <c r="A337" s="28">
        <v>46009</v>
      </c>
      <c r="B337" s="1" t="s">
        <v>155</v>
      </c>
      <c r="C337" s="1"/>
      <c r="D337" s="28">
        <f t="shared" si="70"/>
        <v>46032</v>
      </c>
      <c r="E337" s="28">
        <f t="shared" si="71"/>
        <v>46016</v>
      </c>
      <c r="F337" s="28">
        <f t="shared" si="72"/>
        <v>46023</v>
      </c>
      <c r="G337" s="28">
        <f t="shared" si="73"/>
        <v>46029</v>
      </c>
      <c r="H337" s="28">
        <f t="shared" si="74"/>
        <v>46017</v>
      </c>
      <c r="I337" s="28">
        <f t="shared" si="75"/>
        <v>46024</v>
      </c>
      <c r="J337" s="28">
        <v>46037</v>
      </c>
      <c r="K337" s="29">
        <f t="shared" si="62"/>
        <v>28</v>
      </c>
      <c r="L337" s="34">
        <v>16.59</v>
      </c>
      <c r="M337" s="32">
        <v>8.86</v>
      </c>
      <c r="N337" s="1">
        <f t="shared" si="63"/>
        <v>7.73</v>
      </c>
      <c r="O337" s="32" t="s">
        <v>378</v>
      </c>
    </row>
    <row r="338" spans="1:15" x14ac:dyDescent="0.25">
      <c r="A338" s="28">
        <v>46009</v>
      </c>
      <c r="B338" s="1" t="s">
        <v>156</v>
      </c>
      <c r="C338" s="1"/>
      <c r="D338" s="28">
        <f t="shared" si="70"/>
        <v>46032</v>
      </c>
      <c r="E338" s="28">
        <f t="shared" si="71"/>
        <v>46016</v>
      </c>
      <c r="F338" s="28">
        <f t="shared" si="72"/>
        <v>46023</v>
      </c>
      <c r="G338" s="28">
        <f t="shared" si="73"/>
        <v>46029</v>
      </c>
      <c r="H338" s="28">
        <f t="shared" si="74"/>
        <v>46017</v>
      </c>
      <c r="I338" s="28">
        <f t="shared" si="75"/>
        <v>46024</v>
      </c>
      <c r="J338" s="28">
        <v>46037</v>
      </c>
      <c r="K338" s="29">
        <f t="shared" si="62"/>
        <v>28</v>
      </c>
      <c r="L338" s="34">
        <v>15.82</v>
      </c>
      <c r="M338" s="32">
        <v>14.96</v>
      </c>
      <c r="N338" s="1">
        <f t="shared" si="63"/>
        <v>0.85999999999999943</v>
      </c>
      <c r="O338" s="32" t="s">
        <v>379</v>
      </c>
    </row>
    <row r="339" spans="1:15" x14ac:dyDescent="0.25">
      <c r="A339" s="28">
        <v>46009</v>
      </c>
      <c r="B339" s="1" t="s">
        <v>157</v>
      </c>
      <c r="C339" s="1"/>
      <c r="D339" s="28">
        <f t="shared" si="70"/>
        <v>46032</v>
      </c>
      <c r="E339" s="28">
        <f t="shared" si="71"/>
        <v>46016</v>
      </c>
      <c r="F339" s="28">
        <f t="shared" si="72"/>
        <v>46023</v>
      </c>
      <c r="G339" s="28">
        <f t="shared" si="73"/>
        <v>46029</v>
      </c>
      <c r="H339" s="28">
        <f t="shared" si="74"/>
        <v>46017</v>
      </c>
      <c r="I339" s="28">
        <f t="shared" si="75"/>
        <v>46024</v>
      </c>
      <c r="J339" s="28">
        <v>46037</v>
      </c>
      <c r="K339" s="29">
        <f t="shared" si="62"/>
        <v>28</v>
      </c>
      <c r="L339" s="34">
        <v>18.16</v>
      </c>
      <c r="M339" s="32">
        <v>16.579999999999998</v>
      </c>
      <c r="N339" s="1">
        <f t="shared" si="63"/>
        <v>1.5800000000000018</v>
      </c>
      <c r="O339" s="32" t="s">
        <v>379</v>
      </c>
    </row>
    <row r="340" spans="1:15" x14ac:dyDescent="0.25">
      <c r="A340" s="28">
        <v>46009</v>
      </c>
      <c r="B340" s="1" t="s">
        <v>158</v>
      </c>
      <c r="C340" s="1"/>
      <c r="D340" s="28">
        <f t="shared" si="70"/>
        <v>46032</v>
      </c>
      <c r="E340" s="28">
        <f t="shared" si="71"/>
        <v>46016</v>
      </c>
      <c r="F340" s="28">
        <f t="shared" si="72"/>
        <v>46023</v>
      </c>
      <c r="G340" s="28">
        <f t="shared" si="73"/>
        <v>46029</v>
      </c>
      <c r="H340" s="28">
        <f t="shared" si="74"/>
        <v>46017</v>
      </c>
      <c r="I340" s="28">
        <f t="shared" si="75"/>
        <v>46024</v>
      </c>
      <c r="J340" s="28">
        <v>46037</v>
      </c>
      <c r="K340" s="29">
        <f t="shared" si="62"/>
        <v>28</v>
      </c>
      <c r="L340" s="34">
        <v>16.37</v>
      </c>
      <c r="M340" s="32">
        <v>15.49</v>
      </c>
      <c r="N340" s="1">
        <f t="shared" si="63"/>
        <v>0.88000000000000078</v>
      </c>
      <c r="O340" s="32" t="s">
        <v>379</v>
      </c>
    </row>
    <row r="341" spans="1:15" x14ac:dyDescent="0.25">
      <c r="A341" s="28">
        <v>46009</v>
      </c>
      <c r="B341" s="1" t="s">
        <v>159</v>
      </c>
      <c r="C341" s="1"/>
      <c r="D341" s="28">
        <f t="shared" si="70"/>
        <v>46032</v>
      </c>
      <c r="E341" s="28">
        <f t="shared" si="71"/>
        <v>46016</v>
      </c>
      <c r="F341" s="28">
        <f t="shared" si="72"/>
        <v>46023</v>
      </c>
      <c r="G341" s="28">
        <f t="shared" si="73"/>
        <v>46029</v>
      </c>
      <c r="H341" s="28">
        <f t="shared" si="74"/>
        <v>46017</v>
      </c>
      <c r="I341" s="28">
        <f t="shared" si="75"/>
        <v>46024</v>
      </c>
      <c r="J341" s="28">
        <v>46038</v>
      </c>
      <c r="K341" s="29">
        <f t="shared" si="62"/>
        <v>29</v>
      </c>
      <c r="L341" s="34">
        <v>13.71</v>
      </c>
      <c r="M341" s="32">
        <v>6.26</v>
      </c>
      <c r="N341" s="1">
        <f t="shared" si="63"/>
        <v>7.4500000000000011</v>
      </c>
      <c r="O341" s="32" t="s">
        <v>378</v>
      </c>
    </row>
    <row r="342" spans="1:15" x14ac:dyDescent="0.25">
      <c r="A342" s="28">
        <v>46010</v>
      </c>
      <c r="B342" s="1" t="s">
        <v>173</v>
      </c>
      <c r="C342" s="1"/>
      <c r="D342" s="28">
        <f t="shared" si="70"/>
        <v>46033</v>
      </c>
      <c r="E342" s="28">
        <f t="shared" si="71"/>
        <v>46017</v>
      </c>
      <c r="F342" s="28">
        <f t="shared" si="72"/>
        <v>46024</v>
      </c>
      <c r="G342" s="28">
        <f t="shared" si="73"/>
        <v>46030</v>
      </c>
      <c r="H342" s="28">
        <f t="shared" si="74"/>
        <v>46018</v>
      </c>
      <c r="I342" s="28">
        <f t="shared" si="75"/>
        <v>46025</v>
      </c>
      <c r="J342" s="28">
        <v>46038</v>
      </c>
      <c r="K342" s="29">
        <f t="shared" ref="K342:K349" si="76">J342-A342</f>
        <v>28</v>
      </c>
      <c r="L342" s="34">
        <v>13.68</v>
      </c>
      <c r="M342" s="32">
        <v>6.21</v>
      </c>
      <c r="N342" s="1">
        <f t="shared" si="63"/>
        <v>7.47</v>
      </c>
      <c r="O342" s="32" t="s">
        <v>378</v>
      </c>
    </row>
    <row r="343" spans="1:15" x14ac:dyDescent="0.25">
      <c r="A343" s="28">
        <v>46010</v>
      </c>
      <c r="B343" s="1" t="s">
        <v>174</v>
      </c>
      <c r="C343" s="1"/>
      <c r="D343" s="28">
        <f t="shared" si="70"/>
        <v>46033</v>
      </c>
      <c r="E343" s="28">
        <f t="shared" si="71"/>
        <v>46017</v>
      </c>
      <c r="F343" s="28">
        <f t="shared" si="72"/>
        <v>46024</v>
      </c>
      <c r="G343" s="28">
        <f t="shared" si="73"/>
        <v>46030</v>
      </c>
      <c r="H343" s="28">
        <f t="shared" si="74"/>
        <v>46018</v>
      </c>
      <c r="I343" s="28">
        <f t="shared" si="75"/>
        <v>46025</v>
      </c>
      <c r="J343" s="28">
        <v>46038</v>
      </c>
      <c r="K343" s="29">
        <f t="shared" si="76"/>
        <v>28</v>
      </c>
      <c r="L343" s="34">
        <v>15.26</v>
      </c>
      <c r="M343" s="32">
        <v>7.1</v>
      </c>
      <c r="N343" s="1">
        <f t="shared" si="63"/>
        <v>8.16</v>
      </c>
      <c r="O343" s="32" t="s">
        <v>378</v>
      </c>
    </row>
    <row r="344" spans="1:15" x14ac:dyDescent="0.25">
      <c r="A344" s="28">
        <v>46010</v>
      </c>
      <c r="B344" s="1" t="s">
        <v>175</v>
      </c>
      <c r="C344" s="1"/>
      <c r="D344" s="28">
        <f t="shared" si="70"/>
        <v>46033</v>
      </c>
      <c r="E344" s="28">
        <f t="shared" si="71"/>
        <v>46017</v>
      </c>
      <c r="F344" s="28">
        <f t="shared" si="72"/>
        <v>46024</v>
      </c>
      <c r="G344" s="28">
        <f t="shared" si="73"/>
        <v>46030</v>
      </c>
      <c r="H344" s="28">
        <f t="shared" si="74"/>
        <v>46018</v>
      </c>
      <c r="I344" s="28">
        <f t="shared" si="75"/>
        <v>46025</v>
      </c>
      <c r="J344" s="28">
        <v>46038</v>
      </c>
      <c r="K344" s="29">
        <f t="shared" si="76"/>
        <v>28</v>
      </c>
      <c r="L344" s="34">
        <v>15.34</v>
      </c>
      <c r="M344" s="32">
        <v>7.13</v>
      </c>
      <c r="N344" s="1">
        <f t="shared" si="63"/>
        <v>8.2100000000000009</v>
      </c>
      <c r="O344" s="32" t="s">
        <v>378</v>
      </c>
    </row>
    <row r="345" spans="1:15" x14ac:dyDescent="0.25">
      <c r="A345" s="28">
        <v>46010</v>
      </c>
      <c r="B345" s="1" t="s">
        <v>176</v>
      </c>
      <c r="C345" s="1"/>
      <c r="D345" s="28">
        <f t="shared" si="70"/>
        <v>46033</v>
      </c>
      <c r="E345" s="28">
        <f t="shared" si="71"/>
        <v>46017</v>
      </c>
      <c r="F345" s="28">
        <f t="shared" si="72"/>
        <v>46024</v>
      </c>
      <c r="G345" s="28">
        <f t="shared" si="73"/>
        <v>46030</v>
      </c>
      <c r="H345" s="28">
        <f t="shared" si="74"/>
        <v>46018</v>
      </c>
      <c r="I345" s="28">
        <f t="shared" si="75"/>
        <v>46025</v>
      </c>
      <c r="J345" s="28">
        <v>46038</v>
      </c>
      <c r="K345" s="29">
        <f t="shared" si="76"/>
        <v>28</v>
      </c>
      <c r="L345" s="34">
        <v>15.67</v>
      </c>
      <c r="M345" s="32">
        <v>14.32</v>
      </c>
      <c r="N345" s="1">
        <f t="shared" si="63"/>
        <v>1.3499999999999996</v>
      </c>
      <c r="O345" s="32" t="s">
        <v>379</v>
      </c>
    </row>
    <row r="346" spans="1:15" x14ac:dyDescent="0.25">
      <c r="A346" s="28">
        <v>46010</v>
      </c>
      <c r="B346" s="1" t="s">
        <v>177</v>
      </c>
      <c r="C346" s="1"/>
      <c r="D346" s="28">
        <f t="shared" si="70"/>
        <v>46033</v>
      </c>
      <c r="E346" s="28">
        <f t="shared" si="71"/>
        <v>46017</v>
      </c>
      <c r="F346" s="28">
        <f t="shared" si="72"/>
        <v>46024</v>
      </c>
      <c r="G346" s="28">
        <f t="shared" si="73"/>
        <v>46030</v>
      </c>
      <c r="H346" s="28">
        <f t="shared" si="74"/>
        <v>46018</v>
      </c>
      <c r="I346" s="28">
        <f t="shared" si="75"/>
        <v>46025</v>
      </c>
      <c r="J346" s="28">
        <v>46038</v>
      </c>
      <c r="K346" s="29">
        <f t="shared" si="76"/>
        <v>28</v>
      </c>
      <c r="L346" s="34">
        <v>16.12</v>
      </c>
      <c r="M346" s="32">
        <v>14.78</v>
      </c>
      <c r="N346" s="1">
        <f t="shared" si="63"/>
        <v>1.3400000000000016</v>
      </c>
      <c r="O346" s="32" t="s">
        <v>379</v>
      </c>
    </row>
    <row r="347" spans="1:15" x14ac:dyDescent="0.25">
      <c r="A347" s="28">
        <v>46010</v>
      </c>
      <c r="B347" s="1" t="s">
        <v>178</v>
      </c>
      <c r="C347" s="1"/>
      <c r="D347" s="28">
        <f t="shared" si="70"/>
        <v>46033</v>
      </c>
      <c r="E347" s="28">
        <f t="shared" si="71"/>
        <v>46017</v>
      </c>
      <c r="F347" s="28">
        <f t="shared" si="72"/>
        <v>46024</v>
      </c>
      <c r="G347" s="28">
        <f t="shared" si="73"/>
        <v>46030</v>
      </c>
      <c r="H347" s="28">
        <f t="shared" si="74"/>
        <v>46018</v>
      </c>
      <c r="I347" s="28">
        <f t="shared" si="75"/>
        <v>46025</v>
      </c>
      <c r="J347" s="28">
        <v>46038</v>
      </c>
      <c r="K347" s="29">
        <f t="shared" si="76"/>
        <v>28</v>
      </c>
      <c r="L347" s="34">
        <v>16.18</v>
      </c>
      <c r="M347" s="32">
        <v>15.03</v>
      </c>
      <c r="N347" s="1">
        <f t="shared" si="63"/>
        <v>1.1500000000000004</v>
      </c>
      <c r="O347" s="32" t="s">
        <v>379</v>
      </c>
    </row>
    <row r="348" spans="1:15" x14ac:dyDescent="0.25">
      <c r="A348" s="28">
        <v>46010</v>
      </c>
      <c r="B348" s="1" t="s">
        <v>179</v>
      </c>
      <c r="C348" s="1"/>
      <c r="D348" s="28">
        <f t="shared" si="70"/>
        <v>46033</v>
      </c>
      <c r="E348" s="28">
        <f t="shared" si="71"/>
        <v>46017</v>
      </c>
      <c r="F348" s="28">
        <f t="shared" si="72"/>
        <v>46024</v>
      </c>
      <c r="G348" s="28">
        <f t="shared" si="73"/>
        <v>46030</v>
      </c>
      <c r="H348" s="28">
        <f t="shared" si="74"/>
        <v>46018</v>
      </c>
      <c r="I348" s="28">
        <f t="shared" si="75"/>
        <v>46025</v>
      </c>
      <c r="J348" s="28">
        <v>46038</v>
      </c>
      <c r="K348" s="29">
        <f t="shared" si="76"/>
        <v>28</v>
      </c>
      <c r="L348" s="34">
        <v>17.059999999999999</v>
      </c>
      <c r="M348" s="32">
        <v>15.27</v>
      </c>
      <c r="N348" s="1">
        <f t="shared" si="63"/>
        <v>1.7899999999999991</v>
      </c>
      <c r="O348" s="32" t="s">
        <v>379</v>
      </c>
    </row>
    <row r="349" spans="1:15" x14ac:dyDescent="0.25">
      <c r="A349" s="28">
        <v>46011</v>
      </c>
      <c r="B349" s="1" t="s">
        <v>160</v>
      </c>
      <c r="C349" s="1"/>
      <c r="D349" s="28">
        <f t="shared" ref="D349:D362" si="77">A349+23</f>
        <v>46034</v>
      </c>
      <c r="E349" s="28">
        <f t="shared" ref="E349:E362" si="78">A349+7</f>
        <v>46018</v>
      </c>
      <c r="F349" s="28">
        <f t="shared" ref="F349:F362" si="79">A349+14</f>
        <v>46025</v>
      </c>
      <c r="G349" s="28">
        <f t="shared" ref="G349:G362" si="80">A349+20</f>
        <v>46031</v>
      </c>
      <c r="H349" s="28">
        <f t="shared" ref="H349:H362" si="81">A349+8</f>
        <v>46019</v>
      </c>
      <c r="I349" s="28">
        <f t="shared" ref="I349:I362" si="82">A349+15</f>
        <v>46026</v>
      </c>
      <c r="J349" s="28">
        <v>46039</v>
      </c>
      <c r="K349" s="29">
        <f t="shared" si="76"/>
        <v>28</v>
      </c>
      <c r="L349" s="34">
        <v>14.3</v>
      </c>
      <c r="M349" s="32">
        <v>7.58</v>
      </c>
      <c r="N349" s="1">
        <f t="shared" si="63"/>
        <v>6.7200000000000006</v>
      </c>
      <c r="O349" s="32" t="s">
        <v>378</v>
      </c>
    </row>
    <row r="350" spans="1:15" x14ac:dyDescent="0.25">
      <c r="A350" s="28">
        <v>46011</v>
      </c>
      <c r="B350" s="1" t="s">
        <v>161</v>
      </c>
      <c r="C350" s="1"/>
      <c r="D350" s="28">
        <f t="shared" si="77"/>
        <v>46034</v>
      </c>
      <c r="E350" s="28">
        <f t="shared" si="78"/>
        <v>46018</v>
      </c>
      <c r="F350" s="28">
        <f t="shared" si="79"/>
        <v>46025</v>
      </c>
      <c r="G350" s="28">
        <f t="shared" si="80"/>
        <v>46031</v>
      </c>
      <c r="H350" s="28">
        <f t="shared" si="81"/>
        <v>46019</v>
      </c>
      <c r="I350" s="28">
        <f t="shared" si="82"/>
        <v>46026</v>
      </c>
      <c r="J350" s="28">
        <v>46039</v>
      </c>
      <c r="K350" s="29">
        <f>J350-A350</f>
        <v>28</v>
      </c>
      <c r="L350" s="34">
        <v>15.28</v>
      </c>
      <c r="M350" s="32">
        <v>8.69</v>
      </c>
      <c r="N350" s="1">
        <f t="shared" si="63"/>
        <v>6.59</v>
      </c>
      <c r="O350" s="32" t="s">
        <v>378</v>
      </c>
    </row>
    <row r="351" spans="1:15" x14ac:dyDescent="0.25">
      <c r="A351" s="28">
        <v>46011</v>
      </c>
      <c r="B351" s="1" t="s">
        <v>162</v>
      </c>
      <c r="C351" s="1"/>
      <c r="D351" s="28">
        <f t="shared" si="77"/>
        <v>46034</v>
      </c>
      <c r="E351" s="28">
        <f t="shared" si="78"/>
        <v>46018</v>
      </c>
      <c r="F351" s="28">
        <f t="shared" si="79"/>
        <v>46025</v>
      </c>
      <c r="G351" s="28">
        <f t="shared" si="80"/>
        <v>46031</v>
      </c>
      <c r="H351" s="28">
        <f t="shared" si="81"/>
        <v>46019</v>
      </c>
      <c r="I351" s="28">
        <f t="shared" si="82"/>
        <v>46026</v>
      </c>
      <c r="J351" s="28">
        <v>46039</v>
      </c>
      <c r="K351" s="29">
        <f>J351-A351</f>
        <v>28</v>
      </c>
      <c r="L351" s="34">
        <v>15.45</v>
      </c>
      <c r="M351" s="32">
        <v>8.7100000000000009</v>
      </c>
      <c r="N351" s="1">
        <f t="shared" si="63"/>
        <v>6.7399999999999984</v>
      </c>
      <c r="O351" s="32" t="s">
        <v>378</v>
      </c>
    </row>
    <row r="352" spans="1:15" x14ac:dyDescent="0.25">
      <c r="A352" s="28">
        <v>46011</v>
      </c>
      <c r="B352" s="1" t="s">
        <v>163</v>
      </c>
      <c r="C352" s="1"/>
      <c r="D352" s="28">
        <f t="shared" si="77"/>
        <v>46034</v>
      </c>
      <c r="E352" s="28">
        <f t="shared" si="78"/>
        <v>46018</v>
      </c>
      <c r="F352" s="28">
        <f t="shared" si="79"/>
        <v>46025</v>
      </c>
      <c r="G352" s="28">
        <f t="shared" si="80"/>
        <v>46031</v>
      </c>
      <c r="H352" s="28">
        <f t="shared" si="81"/>
        <v>46019</v>
      </c>
      <c r="I352" s="28">
        <f t="shared" si="82"/>
        <v>46026</v>
      </c>
      <c r="J352" s="28">
        <v>46039</v>
      </c>
      <c r="K352" s="29">
        <f>J352-A352</f>
        <v>28</v>
      </c>
      <c r="L352" s="34">
        <v>16.89</v>
      </c>
      <c r="M352" s="32">
        <v>15.32</v>
      </c>
      <c r="N352" s="1">
        <f t="shared" si="63"/>
        <v>1.5700000000000003</v>
      </c>
      <c r="O352" s="32" t="s">
        <v>379</v>
      </c>
    </row>
    <row r="353" spans="1:17" x14ac:dyDescent="0.25">
      <c r="A353" s="28">
        <v>46011</v>
      </c>
      <c r="B353" s="1" t="s">
        <v>164</v>
      </c>
      <c r="C353" s="1"/>
      <c r="D353" s="28">
        <f t="shared" si="77"/>
        <v>46034</v>
      </c>
      <c r="E353" s="28">
        <f t="shared" si="78"/>
        <v>46018</v>
      </c>
      <c r="F353" s="28">
        <f t="shared" si="79"/>
        <v>46025</v>
      </c>
      <c r="G353" s="28">
        <f t="shared" si="80"/>
        <v>46031</v>
      </c>
      <c r="H353" s="28">
        <f t="shared" si="81"/>
        <v>46019</v>
      </c>
      <c r="I353" s="28">
        <f t="shared" si="82"/>
        <v>46026</v>
      </c>
      <c r="J353" s="28">
        <v>46039</v>
      </c>
      <c r="K353" s="29">
        <f>J353-A353</f>
        <v>28</v>
      </c>
      <c r="L353" s="34">
        <v>15.63</v>
      </c>
      <c r="M353" s="32">
        <v>14.76</v>
      </c>
      <c r="N353" s="1">
        <f t="shared" si="63"/>
        <v>0.87000000000000099</v>
      </c>
      <c r="O353" s="32" t="s">
        <v>379</v>
      </c>
    </row>
    <row r="354" spans="1:17" x14ac:dyDescent="0.25">
      <c r="A354" s="28">
        <v>46011</v>
      </c>
      <c r="B354" s="1" t="s">
        <v>165</v>
      </c>
      <c r="C354" s="1"/>
      <c r="D354" s="28">
        <f t="shared" si="77"/>
        <v>46034</v>
      </c>
      <c r="E354" s="28">
        <f t="shared" si="78"/>
        <v>46018</v>
      </c>
      <c r="F354" s="28">
        <f t="shared" si="79"/>
        <v>46025</v>
      </c>
      <c r="G354" s="28">
        <f t="shared" si="80"/>
        <v>46031</v>
      </c>
      <c r="H354" s="28">
        <f t="shared" si="81"/>
        <v>46019</v>
      </c>
      <c r="I354" s="28">
        <f t="shared" si="82"/>
        <v>46026</v>
      </c>
      <c r="J354" s="28">
        <v>46039</v>
      </c>
      <c r="K354" s="29">
        <f>J354-A354</f>
        <v>28</v>
      </c>
      <c r="L354" s="34">
        <v>16.91</v>
      </c>
      <c r="M354" s="32">
        <v>15.89</v>
      </c>
      <c r="N354" s="1">
        <f t="shared" si="63"/>
        <v>1.0199999999999996</v>
      </c>
      <c r="O354" s="32" t="s">
        <v>379</v>
      </c>
    </row>
    <row r="355" spans="1:17" x14ac:dyDescent="0.25">
      <c r="A355" s="28">
        <v>46011</v>
      </c>
      <c r="B355" s="1" t="s">
        <v>166</v>
      </c>
      <c r="C355" s="1"/>
      <c r="D355" s="28">
        <f t="shared" si="77"/>
        <v>46034</v>
      </c>
      <c r="E355" s="28">
        <f t="shared" si="78"/>
        <v>46018</v>
      </c>
      <c r="F355" s="28">
        <f t="shared" si="79"/>
        <v>46025</v>
      </c>
      <c r="G355" s="28">
        <f t="shared" si="80"/>
        <v>46031</v>
      </c>
      <c r="H355" s="28">
        <f t="shared" si="81"/>
        <v>46019</v>
      </c>
      <c r="I355" s="28">
        <f t="shared" si="82"/>
        <v>46026</v>
      </c>
      <c r="J355" s="28">
        <v>46040</v>
      </c>
      <c r="K355" s="29">
        <f t="shared" ref="K355:K366" si="83">J355-A355</f>
        <v>29</v>
      </c>
      <c r="L355" s="34">
        <v>16.52</v>
      </c>
      <c r="M355" s="32">
        <v>9.2100000000000009</v>
      </c>
      <c r="N355" s="1">
        <f t="shared" si="63"/>
        <v>7.3099999999999987</v>
      </c>
      <c r="O355" s="32" t="s">
        <v>378</v>
      </c>
    </row>
    <row r="356" spans="1:17" x14ac:dyDescent="0.25">
      <c r="A356" s="28">
        <v>46012</v>
      </c>
      <c r="B356" s="1" t="s">
        <v>180</v>
      </c>
      <c r="C356" s="1"/>
      <c r="D356" s="28">
        <f t="shared" si="77"/>
        <v>46035</v>
      </c>
      <c r="E356" s="28">
        <f t="shared" si="78"/>
        <v>46019</v>
      </c>
      <c r="F356" s="28">
        <f t="shared" si="79"/>
        <v>46026</v>
      </c>
      <c r="G356" s="28">
        <f t="shared" si="80"/>
        <v>46032</v>
      </c>
      <c r="H356" s="28">
        <f t="shared" si="81"/>
        <v>46020</v>
      </c>
      <c r="I356" s="28">
        <f t="shared" si="82"/>
        <v>46027</v>
      </c>
      <c r="J356" s="28">
        <v>46040</v>
      </c>
      <c r="K356" s="29">
        <f t="shared" si="83"/>
        <v>28</v>
      </c>
      <c r="L356" s="34">
        <v>17.34</v>
      </c>
      <c r="M356" s="32">
        <v>10.32</v>
      </c>
      <c r="N356" s="1">
        <f t="shared" si="63"/>
        <v>7.02</v>
      </c>
      <c r="O356" s="32" t="s">
        <v>378</v>
      </c>
    </row>
    <row r="357" spans="1:17" x14ac:dyDescent="0.25">
      <c r="A357" s="28">
        <v>46012</v>
      </c>
      <c r="B357" s="1" t="s">
        <v>181</v>
      </c>
      <c r="C357" s="1"/>
      <c r="D357" s="28">
        <f t="shared" si="77"/>
        <v>46035</v>
      </c>
      <c r="E357" s="28">
        <f t="shared" si="78"/>
        <v>46019</v>
      </c>
      <c r="F357" s="28">
        <f t="shared" si="79"/>
        <v>46026</v>
      </c>
      <c r="G357" s="28">
        <f t="shared" si="80"/>
        <v>46032</v>
      </c>
      <c r="H357" s="28">
        <f t="shared" si="81"/>
        <v>46020</v>
      </c>
      <c r="I357" s="28">
        <f t="shared" si="82"/>
        <v>46027</v>
      </c>
      <c r="J357" s="28">
        <v>46040</v>
      </c>
      <c r="K357" s="29">
        <f t="shared" si="83"/>
        <v>28</v>
      </c>
      <c r="L357" s="34">
        <v>17.850000000000001</v>
      </c>
      <c r="M357" s="32">
        <v>11.7</v>
      </c>
      <c r="N357" s="1">
        <f t="shared" si="63"/>
        <v>6.1500000000000021</v>
      </c>
      <c r="O357" s="32" t="s">
        <v>378</v>
      </c>
    </row>
    <row r="358" spans="1:17" x14ac:dyDescent="0.25">
      <c r="A358" s="28">
        <v>46012</v>
      </c>
      <c r="B358" s="1" t="s">
        <v>182</v>
      </c>
      <c r="C358" s="1"/>
      <c r="D358" s="28">
        <f t="shared" si="77"/>
        <v>46035</v>
      </c>
      <c r="E358" s="28">
        <f t="shared" si="78"/>
        <v>46019</v>
      </c>
      <c r="F358" s="28">
        <f t="shared" si="79"/>
        <v>46026</v>
      </c>
      <c r="G358" s="28">
        <f t="shared" si="80"/>
        <v>46032</v>
      </c>
      <c r="H358" s="28">
        <f t="shared" si="81"/>
        <v>46020</v>
      </c>
      <c r="I358" s="28">
        <f t="shared" si="82"/>
        <v>46027</v>
      </c>
      <c r="J358" s="28">
        <v>46040</v>
      </c>
      <c r="K358" s="29">
        <f t="shared" si="83"/>
        <v>28</v>
      </c>
      <c r="L358" s="34">
        <v>18.190000000000001</v>
      </c>
      <c r="M358" s="32">
        <v>10.18</v>
      </c>
      <c r="N358" s="1">
        <f t="shared" si="63"/>
        <v>8.0100000000000016</v>
      </c>
      <c r="O358" s="32" t="s">
        <v>378</v>
      </c>
    </row>
    <row r="359" spans="1:17" x14ac:dyDescent="0.25">
      <c r="A359" s="28">
        <v>46012</v>
      </c>
      <c r="B359" s="1" t="s">
        <v>183</v>
      </c>
      <c r="C359" s="1"/>
      <c r="D359" s="28">
        <f t="shared" si="77"/>
        <v>46035</v>
      </c>
      <c r="E359" s="28">
        <f t="shared" si="78"/>
        <v>46019</v>
      </c>
      <c r="F359" s="28">
        <f t="shared" si="79"/>
        <v>46026</v>
      </c>
      <c r="G359" s="28">
        <f t="shared" si="80"/>
        <v>46032</v>
      </c>
      <c r="H359" s="28">
        <f t="shared" si="81"/>
        <v>46020</v>
      </c>
      <c r="I359" s="28">
        <f t="shared" si="82"/>
        <v>46027</v>
      </c>
      <c r="J359" s="28">
        <v>46040</v>
      </c>
      <c r="K359" s="29">
        <f t="shared" si="83"/>
        <v>28</v>
      </c>
      <c r="L359" s="34">
        <v>18.03</v>
      </c>
      <c r="M359" s="32">
        <v>9.99</v>
      </c>
      <c r="N359" s="1">
        <f t="shared" si="63"/>
        <v>8.0400000000000009</v>
      </c>
      <c r="O359" s="32" t="s">
        <v>378</v>
      </c>
    </row>
    <row r="360" spans="1:17" x14ac:dyDescent="0.25">
      <c r="A360" s="28">
        <v>46012</v>
      </c>
      <c r="B360" s="1" t="s">
        <v>184</v>
      </c>
      <c r="C360" s="1"/>
      <c r="D360" s="28">
        <f t="shared" si="77"/>
        <v>46035</v>
      </c>
      <c r="E360" s="28">
        <f t="shared" si="78"/>
        <v>46019</v>
      </c>
      <c r="F360" s="28">
        <f t="shared" si="79"/>
        <v>46026</v>
      </c>
      <c r="G360" s="28">
        <f t="shared" si="80"/>
        <v>46032</v>
      </c>
      <c r="H360" s="28">
        <f t="shared" si="81"/>
        <v>46020</v>
      </c>
      <c r="I360" s="28">
        <f t="shared" si="82"/>
        <v>46027</v>
      </c>
      <c r="J360" s="28">
        <v>46040</v>
      </c>
      <c r="K360" s="29">
        <f t="shared" si="83"/>
        <v>28</v>
      </c>
      <c r="L360" s="34">
        <v>17.16</v>
      </c>
      <c r="M360" s="32">
        <v>9.89</v>
      </c>
      <c r="N360" s="1">
        <f t="shared" si="63"/>
        <v>7.27</v>
      </c>
      <c r="O360" s="32" t="s">
        <v>378</v>
      </c>
    </row>
    <row r="361" spans="1:17" x14ac:dyDescent="0.25">
      <c r="A361" s="28">
        <v>46012</v>
      </c>
      <c r="B361" s="1" t="s">
        <v>185</v>
      </c>
      <c r="C361" s="1"/>
      <c r="D361" s="28">
        <f t="shared" si="77"/>
        <v>46035</v>
      </c>
      <c r="E361" s="28">
        <f t="shared" si="78"/>
        <v>46019</v>
      </c>
      <c r="F361" s="28">
        <f t="shared" si="79"/>
        <v>46026</v>
      </c>
      <c r="G361" s="28">
        <f t="shared" si="80"/>
        <v>46032</v>
      </c>
      <c r="H361" s="28">
        <f t="shared" si="81"/>
        <v>46020</v>
      </c>
      <c r="I361" s="28">
        <f t="shared" si="82"/>
        <v>46027</v>
      </c>
      <c r="J361" s="28">
        <v>46040</v>
      </c>
      <c r="K361" s="29">
        <f t="shared" si="83"/>
        <v>28</v>
      </c>
      <c r="L361" s="34">
        <v>19.82</v>
      </c>
      <c r="M361" s="32">
        <v>18.54</v>
      </c>
      <c r="N361" s="1">
        <f t="shared" si="63"/>
        <v>1.2800000000000011</v>
      </c>
      <c r="O361" s="32" t="s">
        <v>379</v>
      </c>
    </row>
    <row r="362" spans="1:17" x14ac:dyDescent="0.25">
      <c r="A362" s="28">
        <v>46012</v>
      </c>
      <c r="B362" s="1" t="s">
        <v>186</v>
      </c>
      <c r="C362" s="1"/>
      <c r="D362" s="28">
        <f t="shared" si="77"/>
        <v>46035</v>
      </c>
      <c r="E362" s="28">
        <f t="shared" si="78"/>
        <v>46019</v>
      </c>
      <c r="F362" s="28">
        <f t="shared" si="79"/>
        <v>46026</v>
      </c>
      <c r="G362" s="28">
        <f t="shared" si="80"/>
        <v>46032</v>
      </c>
      <c r="H362" s="28">
        <f t="shared" si="81"/>
        <v>46020</v>
      </c>
      <c r="I362" s="28">
        <f t="shared" si="82"/>
        <v>46027</v>
      </c>
      <c r="J362" s="28">
        <v>46040</v>
      </c>
      <c r="K362" s="29">
        <f t="shared" si="83"/>
        <v>28</v>
      </c>
      <c r="L362" s="34">
        <v>18.91</v>
      </c>
      <c r="M362" s="32">
        <v>17.32</v>
      </c>
      <c r="N362" s="1">
        <f t="shared" si="63"/>
        <v>1.5899999999999999</v>
      </c>
      <c r="O362" s="32" t="s">
        <v>379</v>
      </c>
    </row>
    <row r="363" spans="1:17" x14ac:dyDescent="0.25">
      <c r="A363" s="28">
        <v>46013</v>
      </c>
      <c r="B363" s="1" t="s">
        <v>187</v>
      </c>
      <c r="C363" s="1"/>
      <c r="D363" s="28">
        <f t="shared" ref="D363:D373" si="84">A363+23</f>
        <v>46036</v>
      </c>
      <c r="E363" s="28">
        <f t="shared" ref="E363:E373" si="85">A363+7</f>
        <v>46020</v>
      </c>
      <c r="F363" s="28">
        <f t="shared" ref="F363:F373" si="86">A363+14</f>
        <v>46027</v>
      </c>
      <c r="G363" s="28">
        <f t="shared" ref="G363:G373" si="87">A363+20</f>
        <v>46033</v>
      </c>
      <c r="H363" s="28">
        <f t="shared" ref="H363:H373" si="88">A363+8</f>
        <v>46021</v>
      </c>
      <c r="I363" s="28">
        <f t="shared" ref="I363:I373" si="89">A363+15</f>
        <v>46028</v>
      </c>
      <c r="J363" s="28">
        <v>46040</v>
      </c>
      <c r="K363" s="29">
        <f t="shared" si="83"/>
        <v>27</v>
      </c>
      <c r="L363" s="34">
        <v>18.670000000000002</v>
      </c>
      <c r="M363" s="32">
        <v>17.18</v>
      </c>
      <c r="N363" s="1">
        <f t="shared" si="63"/>
        <v>1.490000000000002</v>
      </c>
      <c r="O363" s="32" t="s">
        <v>379</v>
      </c>
    </row>
    <row r="364" spans="1:17" x14ac:dyDescent="0.25">
      <c r="A364" s="28">
        <v>46013</v>
      </c>
      <c r="B364" s="1" t="s">
        <v>188</v>
      </c>
      <c r="C364" s="1"/>
      <c r="D364" s="28">
        <f t="shared" si="84"/>
        <v>46036</v>
      </c>
      <c r="E364" s="28">
        <f t="shared" si="85"/>
        <v>46020</v>
      </c>
      <c r="F364" s="28">
        <f t="shared" si="86"/>
        <v>46027</v>
      </c>
      <c r="G364" s="28">
        <f t="shared" si="87"/>
        <v>46033</v>
      </c>
      <c r="H364" s="28">
        <f t="shared" si="88"/>
        <v>46021</v>
      </c>
      <c r="I364" s="28">
        <f t="shared" si="89"/>
        <v>46028</v>
      </c>
      <c r="J364" s="28">
        <v>46040</v>
      </c>
      <c r="K364" s="29">
        <f t="shared" si="83"/>
        <v>27</v>
      </c>
      <c r="L364" s="34">
        <v>19.78</v>
      </c>
      <c r="M364" s="32">
        <v>18.100000000000001</v>
      </c>
      <c r="N364" s="1">
        <f t="shared" si="63"/>
        <v>1.6799999999999997</v>
      </c>
      <c r="O364" s="32" t="s">
        <v>379</v>
      </c>
    </row>
    <row r="365" spans="1:17" x14ac:dyDescent="0.25">
      <c r="A365" s="28">
        <v>46013</v>
      </c>
      <c r="B365" s="1" t="s">
        <v>167</v>
      </c>
      <c r="C365" s="1"/>
      <c r="D365" s="28">
        <f t="shared" si="84"/>
        <v>46036</v>
      </c>
      <c r="E365" s="28">
        <f t="shared" si="85"/>
        <v>46020</v>
      </c>
      <c r="F365" s="28">
        <f t="shared" si="86"/>
        <v>46027</v>
      </c>
      <c r="G365" s="28">
        <f t="shared" si="87"/>
        <v>46033</v>
      </c>
      <c r="H365" s="28">
        <f t="shared" si="88"/>
        <v>46021</v>
      </c>
      <c r="I365" s="28">
        <f t="shared" si="89"/>
        <v>46028</v>
      </c>
      <c r="J365" s="28">
        <v>46042</v>
      </c>
      <c r="K365" s="29">
        <f t="shared" si="83"/>
        <v>29</v>
      </c>
      <c r="L365" s="34">
        <v>16.73</v>
      </c>
      <c r="M365" s="32">
        <v>8.5399999999999991</v>
      </c>
      <c r="N365" s="1">
        <f t="shared" si="63"/>
        <v>8.1900000000000013</v>
      </c>
      <c r="O365" s="1" t="s">
        <v>378</v>
      </c>
      <c r="Q365" s="35"/>
    </row>
    <row r="366" spans="1:17" x14ac:dyDescent="0.25">
      <c r="A366" s="28">
        <v>46013</v>
      </c>
      <c r="B366" s="1" t="s">
        <v>168</v>
      </c>
      <c r="C366" s="1"/>
      <c r="D366" s="28">
        <f t="shared" si="84"/>
        <v>46036</v>
      </c>
      <c r="E366" s="28">
        <f t="shared" si="85"/>
        <v>46020</v>
      </c>
      <c r="F366" s="28">
        <f t="shared" si="86"/>
        <v>46027</v>
      </c>
      <c r="G366" s="28">
        <f t="shared" si="87"/>
        <v>46033</v>
      </c>
      <c r="H366" s="28">
        <f t="shared" si="88"/>
        <v>46021</v>
      </c>
      <c r="I366" s="28">
        <f t="shared" si="89"/>
        <v>46028</v>
      </c>
      <c r="J366" s="28">
        <v>46042</v>
      </c>
      <c r="K366" s="29">
        <f t="shared" si="83"/>
        <v>29</v>
      </c>
      <c r="L366" s="34">
        <v>17.059999999999999</v>
      </c>
      <c r="M366" s="32">
        <v>8.9700000000000006</v>
      </c>
      <c r="N366" s="1">
        <f t="shared" si="63"/>
        <v>8.0899999999999981</v>
      </c>
      <c r="O366" s="1" t="s">
        <v>378</v>
      </c>
      <c r="Q366" s="35"/>
    </row>
    <row r="367" spans="1:17" x14ac:dyDescent="0.25">
      <c r="A367" s="28">
        <v>46013</v>
      </c>
      <c r="B367" s="1" t="s">
        <v>169</v>
      </c>
      <c r="C367" s="1"/>
      <c r="D367" s="28">
        <f t="shared" si="84"/>
        <v>46036</v>
      </c>
      <c r="E367" s="28">
        <f t="shared" si="85"/>
        <v>46020</v>
      </c>
      <c r="F367" s="28">
        <f t="shared" si="86"/>
        <v>46027</v>
      </c>
      <c r="G367" s="28">
        <f t="shared" si="87"/>
        <v>46033</v>
      </c>
      <c r="H367" s="28">
        <f t="shared" si="88"/>
        <v>46021</v>
      </c>
      <c r="I367" s="28">
        <f t="shared" si="89"/>
        <v>46028</v>
      </c>
      <c r="J367" s="28">
        <v>46041</v>
      </c>
      <c r="K367" s="29">
        <f t="shared" ref="K367:K381" si="90">J367-A367</f>
        <v>28</v>
      </c>
      <c r="L367" s="34">
        <v>18.54</v>
      </c>
      <c r="M367" s="32">
        <v>17.21</v>
      </c>
      <c r="N367" s="1">
        <f t="shared" ref="N367:N376" si="91">L367-M367</f>
        <v>1.3299999999999983</v>
      </c>
      <c r="O367" s="32" t="s">
        <v>379</v>
      </c>
      <c r="Q367" s="35"/>
    </row>
    <row r="368" spans="1:17" x14ac:dyDescent="0.25">
      <c r="A368" s="28">
        <v>46013</v>
      </c>
      <c r="B368" s="1" t="s">
        <v>170</v>
      </c>
      <c r="C368" s="1"/>
      <c r="D368" s="28">
        <f t="shared" si="84"/>
        <v>46036</v>
      </c>
      <c r="E368" s="28">
        <f t="shared" si="85"/>
        <v>46020</v>
      </c>
      <c r="F368" s="28">
        <f t="shared" si="86"/>
        <v>46027</v>
      </c>
      <c r="G368" s="28">
        <f t="shared" si="87"/>
        <v>46033</v>
      </c>
      <c r="H368" s="28">
        <f t="shared" si="88"/>
        <v>46021</v>
      </c>
      <c r="I368" s="28">
        <f t="shared" si="89"/>
        <v>46028</v>
      </c>
      <c r="J368" s="28">
        <v>46041</v>
      </c>
      <c r="K368" s="29">
        <f t="shared" si="90"/>
        <v>28</v>
      </c>
      <c r="L368" s="34">
        <v>19.78</v>
      </c>
      <c r="M368" s="32">
        <v>18.829999999999998</v>
      </c>
      <c r="N368" s="1">
        <f t="shared" si="91"/>
        <v>0.95000000000000284</v>
      </c>
      <c r="O368" s="32" t="s">
        <v>379</v>
      </c>
      <c r="Q368" s="35"/>
    </row>
    <row r="369" spans="1:17" x14ac:dyDescent="0.25">
      <c r="A369" s="28">
        <v>46013</v>
      </c>
      <c r="B369" s="1" t="s">
        <v>171</v>
      </c>
      <c r="C369" s="1"/>
      <c r="D369" s="28">
        <f t="shared" si="84"/>
        <v>46036</v>
      </c>
      <c r="E369" s="28">
        <f t="shared" si="85"/>
        <v>46020</v>
      </c>
      <c r="F369" s="28">
        <f t="shared" si="86"/>
        <v>46027</v>
      </c>
      <c r="G369" s="28">
        <f t="shared" si="87"/>
        <v>46033</v>
      </c>
      <c r="H369" s="28">
        <f t="shared" si="88"/>
        <v>46021</v>
      </c>
      <c r="I369" s="28">
        <f t="shared" si="89"/>
        <v>46028</v>
      </c>
      <c r="J369" s="28">
        <v>46041</v>
      </c>
      <c r="K369" s="29">
        <f t="shared" si="90"/>
        <v>28</v>
      </c>
      <c r="L369" s="34">
        <v>18.059999999999999</v>
      </c>
      <c r="M369" s="32">
        <v>16.98</v>
      </c>
      <c r="N369" s="1">
        <f t="shared" si="91"/>
        <v>1.0799999999999983</v>
      </c>
      <c r="O369" s="32" t="s">
        <v>379</v>
      </c>
      <c r="Q369" s="35"/>
    </row>
    <row r="370" spans="1:17" x14ac:dyDescent="0.25">
      <c r="A370" s="28">
        <v>46014</v>
      </c>
      <c r="B370" s="1" t="s">
        <v>189</v>
      </c>
      <c r="C370" s="1"/>
      <c r="D370" s="28">
        <f t="shared" si="84"/>
        <v>46037</v>
      </c>
      <c r="E370" s="28">
        <f t="shared" si="85"/>
        <v>46021</v>
      </c>
      <c r="F370" s="28">
        <f t="shared" si="86"/>
        <v>46028</v>
      </c>
      <c r="G370" s="28">
        <f t="shared" si="87"/>
        <v>46034</v>
      </c>
      <c r="H370" s="28">
        <f t="shared" si="88"/>
        <v>46022</v>
      </c>
      <c r="I370" s="28">
        <f t="shared" si="89"/>
        <v>46029</v>
      </c>
      <c r="J370" s="28">
        <v>46042</v>
      </c>
      <c r="K370" s="29">
        <f t="shared" si="90"/>
        <v>28</v>
      </c>
      <c r="L370" s="34">
        <v>16.25</v>
      </c>
      <c r="M370" s="32">
        <v>7.81</v>
      </c>
      <c r="N370" s="1">
        <f t="shared" si="91"/>
        <v>8.4400000000000013</v>
      </c>
      <c r="O370" s="32" t="s">
        <v>378</v>
      </c>
      <c r="Q370" s="35"/>
    </row>
    <row r="371" spans="1:17" x14ac:dyDescent="0.25">
      <c r="A371" s="28">
        <v>46014</v>
      </c>
      <c r="B371" s="1" t="s">
        <v>190</v>
      </c>
      <c r="C371" s="1"/>
      <c r="D371" s="28">
        <f t="shared" si="84"/>
        <v>46037</v>
      </c>
      <c r="E371" s="28">
        <f t="shared" si="85"/>
        <v>46021</v>
      </c>
      <c r="F371" s="28">
        <f t="shared" si="86"/>
        <v>46028</v>
      </c>
      <c r="G371" s="28">
        <f t="shared" si="87"/>
        <v>46034</v>
      </c>
      <c r="H371" s="28">
        <f t="shared" si="88"/>
        <v>46022</v>
      </c>
      <c r="I371" s="28">
        <f t="shared" si="89"/>
        <v>46029</v>
      </c>
      <c r="J371" s="28">
        <v>46043</v>
      </c>
      <c r="K371" s="29">
        <f t="shared" si="90"/>
        <v>29</v>
      </c>
      <c r="L371" s="34">
        <v>14.52</v>
      </c>
      <c r="M371" s="32">
        <v>7.81</v>
      </c>
      <c r="N371" s="1">
        <f t="shared" si="91"/>
        <v>6.71</v>
      </c>
      <c r="O371" s="32" t="s">
        <v>378</v>
      </c>
    </row>
    <row r="372" spans="1:17" x14ac:dyDescent="0.25">
      <c r="A372" s="28">
        <v>46014</v>
      </c>
      <c r="B372" s="1" t="s">
        <v>191</v>
      </c>
      <c r="C372" s="1"/>
      <c r="D372" s="28">
        <f t="shared" si="84"/>
        <v>46037</v>
      </c>
      <c r="E372" s="28">
        <f t="shared" si="85"/>
        <v>46021</v>
      </c>
      <c r="F372" s="28">
        <f t="shared" si="86"/>
        <v>46028</v>
      </c>
      <c r="G372" s="28">
        <f t="shared" si="87"/>
        <v>46034</v>
      </c>
      <c r="H372" s="28">
        <f t="shared" si="88"/>
        <v>46022</v>
      </c>
      <c r="I372" s="28">
        <f t="shared" si="89"/>
        <v>46029</v>
      </c>
      <c r="J372" s="28">
        <v>46043</v>
      </c>
      <c r="K372" s="29">
        <f t="shared" si="90"/>
        <v>29</v>
      </c>
      <c r="L372" s="34">
        <v>16.170000000000002</v>
      </c>
      <c r="M372" s="32">
        <v>8.66</v>
      </c>
      <c r="N372" s="1">
        <f t="shared" si="91"/>
        <v>7.5100000000000016</v>
      </c>
      <c r="O372" s="32" t="s">
        <v>378</v>
      </c>
    </row>
    <row r="373" spans="1:17" x14ac:dyDescent="0.25">
      <c r="A373" s="28">
        <v>46014</v>
      </c>
      <c r="B373" s="1" t="s">
        <v>196</v>
      </c>
      <c r="C373" s="1"/>
      <c r="D373" s="28">
        <f t="shared" si="84"/>
        <v>46037</v>
      </c>
      <c r="E373" s="28">
        <f t="shared" si="85"/>
        <v>46021</v>
      </c>
      <c r="F373" s="28">
        <f t="shared" si="86"/>
        <v>46028</v>
      </c>
      <c r="G373" s="28">
        <f t="shared" si="87"/>
        <v>46034</v>
      </c>
      <c r="H373" s="28">
        <f t="shared" si="88"/>
        <v>46022</v>
      </c>
      <c r="I373" s="28">
        <f t="shared" si="89"/>
        <v>46029</v>
      </c>
      <c r="J373" s="28">
        <v>46044</v>
      </c>
      <c r="K373" s="29">
        <f t="shared" si="90"/>
        <v>30</v>
      </c>
      <c r="L373" s="34">
        <v>15.37</v>
      </c>
      <c r="M373" s="32">
        <v>7.59</v>
      </c>
      <c r="N373" s="1">
        <f t="shared" si="91"/>
        <v>7.7799999999999994</v>
      </c>
      <c r="O373" s="32" t="s">
        <v>378</v>
      </c>
    </row>
    <row r="374" spans="1:17" x14ac:dyDescent="0.25">
      <c r="A374" s="28">
        <v>46014</v>
      </c>
      <c r="B374" s="1" t="s">
        <v>197</v>
      </c>
      <c r="C374" s="1"/>
      <c r="D374" s="28">
        <f t="shared" ref="D374:D380" si="92">A374+23</f>
        <v>46037</v>
      </c>
      <c r="E374" s="28">
        <f t="shared" ref="E374:E380" si="93">A374+7</f>
        <v>46021</v>
      </c>
      <c r="F374" s="28">
        <f t="shared" ref="F374:F380" si="94">A374+14</f>
        <v>46028</v>
      </c>
      <c r="G374" s="28">
        <f t="shared" ref="G374:G380" si="95">A374+20</f>
        <v>46034</v>
      </c>
      <c r="H374" s="28">
        <f t="shared" ref="H374:H380" si="96">A374+8</f>
        <v>46022</v>
      </c>
      <c r="I374" s="28">
        <f t="shared" ref="I374:I380" si="97">A374+15</f>
        <v>46029</v>
      </c>
      <c r="J374" s="28">
        <v>46044</v>
      </c>
      <c r="K374" s="29">
        <f t="shared" si="90"/>
        <v>30</v>
      </c>
      <c r="L374" s="34">
        <v>16.84</v>
      </c>
      <c r="M374" s="32">
        <v>8.31</v>
      </c>
      <c r="N374" s="1">
        <f t="shared" si="91"/>
        <v>8.5299999999999994</v>
      </c>
      <c r="O374" s="32" t="s">
        <v>378</v>
      </c>
    </row>
    <row r="375" spans="1:17" x14ac:dyDescent="0.25">
      <c r="A375" s="28">
        <v>46014</v>
      </c>
      <c r="B375" s="1" t="s">
        <v>198</v>
      </c>
      <c r="C375" s="1"/>
      <c r="D375" s="28">
        <f t="shared" si="92"/>
        <v>46037</v>
      </c>
      <c r="E375" s="28">
        <f t="shared" si="93"/>
        <v>46021</v>
      </c>
      <c r="F375" s="28">
        <f t="shared" si="94"/>
        <v>46028</v>
      </c>
      <c r="G375" s="28">
        <f t="shared" si="95"/>
        <v>46034</v>
      </c>
      <c r="H375" s="28">
        <f t="shared" si="96"/>
        <v>46022</v>
      </c>
      <c r="I375" s="28">
        <f t="shared" si="97"/>
        <v>46029</v>
      </c>
      <c r="J375" s="28">
        <v>46044</v>
      </c>
      <c r="K375" s="29">
        <f t="shared" si="90"/>
        <v>30</v>
      </c>
      <c r="L375" s="34">
        <v>19.11</v>
      </c>
      <c r="M375" s="32">
        <v>17.87</v>
      </c>
      <c r="N375" s="1">
        <f t="shared" si="91"/>
        <v>1.2399999999999984</v>
      </c>
      <c r="O375" s="32" t="s">
        <v>379</v>
      </c>
    </row>
    <row r="376" spans="1:17" x14ac:dyDescent="0.25">
      <c r="A376" s="28">
        <v>46014</v>
      </c>
      <c r="B376" s="1" t="s">
        <v>199</v>
      </c>
      <c r="C376" s="1"/>
      <c r="D376" s="28">
        <f t="shared" si="92"/>
        <v>46037</v>
      </c>
      <c r="E376" s="28">
        <f t="shared" si="93"/>
        <v>46021</v>
      </c>
      <c r="F376" s="28">
        <f t="shared" si="94"/>
        <v>46028</v>
      </c>
      <c r="G376" s="28">
        <f t="shared" si="95"/>
        <v>46034</v>
      </c>
      <c r="H376" s="28">
        <f t="shared" si="96"/>
        <v>46022</v>
      </c>
      <c r="I376" s="28">
        <f t="shared" si="97"/>
        <v>46029</v>
      </c>
      <c r="J376" s="28">
        <v>46044</v>
      </c>
      <c r="K376" s="29">
        <f t="shared" si="90"/>
        <v>30</v>
      </c>
      <c r="L376" s="34">
        <v>19.93</v>
      </c>
      <c r="M376" s="32">
        <v>18.059999999999999</v>
      </c>
      <c r="N376" s="1">
        <f t="shared" si="91"/>
        <v>1.870000000000001</v>
      </c>
      <c r="O376" s="32" t="s">
        <v>379</v>
      </c>
    </row>
    <row r="377" spans="1:17" x14ac:dyDescent="0.25">
      <c r="A377" s="28">
        <v>46014</v>
      </c>
      <c r="B377" s="1" t="s">
        <v>200</v>
      </c>
      <c r="C377" s="1"/>
      <c r="D377" s="28">
        <f t="shared" si="92"/>
        <v>46037</v>
      </c>
      <c r="E377" s="28">
        <f t="shared" si="93"/>
        <v>46021</v>
      </c>
      <c r="F377" s="28">
        <f t="shared" si="94"/>
        <v>46028</v>
      </c>
      <c r="G377" s="28">
        <f t="shared" si="95"/>
        <v>46034</v>
      </c>
      <c r="H377" s="28">
        <f t="shared" si="96"/>
        <v>46022</v>
      </c>
      <c r="I377" s="28">
        <f t="shared" si="97"/>
        <v>46029</v>
      </c>
      <c r="J377" s="28">
        <v>46043</v>
      </c>
      <c r="K377" s="29">
        <f t="shared" si="90"/>
        <v>29</v>
      </c>
      <c r="L377" s="34">
        <v>19.86</v>
      </c>
      <c r="M377" s="32">
        <v>18.559999999999999</v>
      </c>
      <c r="N377" s="1">
        <f t="shared" ref="N377:N440" si="98">L377-M377</f>
        <v>1.3000000000000007</v>
      </c>
      <c r="O377" s="32" t="s">
        <v>379</v>
      </c>
    </row>
    <row r="378" spans="1:17" x14ac:dyDescent="0.25">
      <c r="A378" s="28">
        <v>46014</v>
      </c>
      <c r="B378" s="1" t="s">
        <v>201</v>
      </c>
      <c r="C378" s="1"/>
      <c r="D378" s="28">
        <f t="shared" si="92"/>
        <v>46037</v>
      </c>
      <c r="E378" s="28">
        <f t="shared" si="93"/>
        <v>46021</v>
      </c>
      <c r="F378" s="28">
        <f t="shared" si="94"/>
        <v>46028</v>
      </c>
      <c r="G378" s="28">
        <f t="shared" si="95"/>
        <v>46034</v>
      </c>
      <c r="H378" s="28">
        <f t="shared" si="96"/>
        <v>46022</v>
      </c>
      <c r="I378" s="28">
        <f t="shared" si="97"/>
        <v>46029</v>
      </c>
      <c r="J378" s="28">
        <v>46043</v>
      </c>
      <c r="K378" s="29">
        <f t="shared" si="90"/>
        <v>29</v>
      </c>
      <c r="L378" s="34">
        <v>18.93</v>
      </c>
      <c r="M378" s="32">
        <v>17.91</v>
      </c>
      <c r="N378" s="1">
        <f t="shared" si="98"/>
        <v>1.0199999999999996</v>
      </c>
      <c r="O378" s="32" t="s">
        <v>379</v>
      </c>
    </row>
    <row r="379" spans="1:17" x14ac:dyDescent="0.25">
      <c r="A379" s="28">
        <v>46014</v>
      </c>
      <c r="B379" s="1" t="s">
        <v>202</v>
      </c>
      <c r="C379" s="1"/>
      <c r="D379" s="28">
        <f t="shared" si="92"/>
        <v>46037</v>
      </c>
      <c r="E379" s="28">
        <f t="shared" si="93"/>
        <v>46021</v>
      </c>
      <c r="F379" s="28">
        <f t="shared" si="94"/>
        <v>46028</v>
      </c>
      <c r="G379" s="28">
        <f t="shared" si="95"/>
        <v>46034</v>
      </c>
      <c r="H379" s="28">
        <f t="shared" si="96"/>
        <v>46022</v>
      </c>
      <c r="I379" s="28">
        <f t="shared" si="97"/>
        <v>46029</v>
      </c>
      <c r="J379" s="28">
        <v>46043</v>
      </c>
      <c r="K379" s="29">
        <f t="shared" si="90"/>
        <v>29</v>
      </c>
      <c r="L379" s="34">
        <v>19.75</v>
      </c>
      <c r="M379" s="32">
        <v>18.34</v>
      </c>
      <c r="N379" s="1">
        <f t="shared" si="98"/>
        <v>1.4100000000000001</v>
      </c>
      <c r="O379" s="32" t="s">
        <v>379</v>
      </c>
    </row>
    <row r="380" spans="1:17" x14ac:dyDescent="0.25">
      <c r="A380" s="28">
        <v>46014</v>
      </c>
      <c r="B380" s="1" t="s">
        <v>203</v>
      </c>
      <c r="C380" s="1"/>
      <c r="D380" s="28">
        <f t="shared" si="92"/>
        <v>46037</v>
      </c>
      <c r="E380" s="28">
        <f t="shared" si="93"/>
        <v>46021</v>
      </c>
      <c r="F380" s="28">
        <f t="shared" si="94"/>
        <v>46028</v>
      </c>
      <c r="G380" s="28">
        <f t="shared" si="95"/>
        <v>46034</v>
      </c>
      <c r="H380" s="28">
        <f t="shared" si="96"/>
        <v>46022</v>
      </c>
      <c r="I380" s="28">
        <f t="shared" si="97"/>
        <v>46029</v>
      </c>
      <c r="J380" s="28">
        <v>46043</v>
      </c>
      <c r="K380" s="29">
        <f t="shared" si="90"/>
        <v>29</v>
      </c>
      <c r="L380" s="34">
        <v>13.38</v>
      </c>
      <c r="M380" s="32">
        <v>7.3</v>
      </c>
      <c r="N380" s="1">
        <f t="shared" si="98"/>
        <v>6.080000000000001</v>
      </c>
      <c r="O380" s="32" t="s">
        <v>379</v>
      </c>
    </row>
    <row r="381" spans="1:17" x14ac:dyDescent="0.25">
      <c r="A381" s="28">
        <v>46015</v>
      </c>
      <c r="B381" s="1" t="s">
        <v>227</v>
      </c>
      <c r="C381" s="1"/>
      <c r="D381" s="28">
        <f t="shared" ref="D381:D394" si="99">A381+23</f>
        <v>46038</v>
      </c>
      <c r="E381" s="28">
        <f t="shared" ref="E381:E394" si="100">A381+7</f>
        <v>46022</v>
      </c>
      <c r="F381" s="28">
        <f t="shared" ref="F381:F394" si="101">A381+14</f>
        <v>46029</v>
      </c>
      <c r="G381" s="28">
        <f t="shared" ref="G381:G387" si="102">A381+20</f>
        <v>46035</v>
      </c>
      <c r="H381" s="28">
        <f t="shared" ref="H381:H387" si="103">A381+8</f>
        <v>46023</v>
      </c>
      <c r="I381" s="28">
        <f t="shared" ref="I381:I387" si="104">A381+15</f>
        <v>46030</v>
      </c>
      <c r="J381" s="28">
        <v>46045</v>
      </c>
      <c r="K381" s="29">
        <f t="shared" si="90"/>
        <v>30</v>
      </c>
      <c r="L381" s="34">
        <v>12.56</v>
      </c>
      <c r="M381" s="32">
        <v>6.7</v>
      </c>
      <c r="N381" s="1">
        <f t="shared" si="98"/>
        <v>5.86</v>
      </c>
      <c r="O381" s="32" t="s">
        <v>378</v>
      </c>
    </row>
    <row r="382" spans="1:17" x14ac:dyDescent="0.25">
      <c r="A382" s="28">
        <v>46015</v>
      </c>
      <c r="B382" s="1" t="s">
        <v>228</v>
      </c>
      <c r="C382" s="1"/>
      <c r="D382" s="28">
        <f t="shared" si="99"/>
        <v>46038</v>
      </c>
      <c r="E382" s="28">
        <f t="shared" si="100"/>
        <v>46022</v>
      </c>
      <c r="F382" s="28">
        <f t="shared" si="101"/>
        <v>46029</v>
      </c>
      <c r="G382" s="28">
        <f t="shared" si="102"/>
        <v>46035</v>
      </c>
      <c r="H382" s="28">
        <f t="shared" si="103"/>
        <v>46023</v>
      </c>
      <c r="I382" s="28">
        <f t="shared" si="104"/>
        <v>46030</v>
      </c>
      <c r="J382" s="28">
        <v>46045</v>
      </c>
      <c r="K382" s="29">
        <f t="shared" ref="K382:K416" si="105">J382-A382</f>
        <v>30</v>
      </c>
      <c r="L382" s="34">
        <v>13.18</v>
      </c>
      <c r="M382" s="32">
        <v>7.03</v>
      </c>
      <c r="N382" s="1">
        <f t="shared" si="98"/>
        <v>6.1499999999999995</v>
      </c>
      <c r="O382" s="32" t="s">
        <v>378</v>
      </c>
    </row>
    <row r="383" spans="1:17" x14ac:dyDescent="0.25">
      <c r="A383" s="28">
        <v>46015</v>
      </c>
      <c r="B383" s="1" t="s">
        <v>229</v>
      </c>
      <c r="C383" s="1"/>
      <c r="D383" s="28">
        <f t="shared" si="99"/>
        <v>46038</v>
      </c>
      <c r="E383" s="28">
        <f t="shared" si="100"/>
        <v>46022</v>
      </c>
      <c r="F383" s="28">
        <f t="shared" si="101"/>
        <v>46029</v>
      </c>
      <c r="G383" s="28">
        <f t="shared" si="102"/>
        <v>46035</v>
      </c>
      <c r="H383" s="28">
        <f t="shared" si="103"/>
        <v>46023</v>
      </c>
      <c r="I383" s="28">
        <f t="shared" si="104"/>
        <v>46030</v>
      </c>
      <c r="J383" s="28">
        <v>46045</v>
      </c>
      <c r="K383" s="29">
        <f t="shared" si="105"/>
        <v>30</v>
      </c>
      <c r="L383" s="34">
        <v>12.83</v>
      </c>
      <c r="M383" s="32">
        <v>6.21</v>
      </c>
      <c r="N383" s="1">
        <f t="shared" si="98"/>
        <v>6.62</v>
      </c>
      <c r="O383" s="32" t="s">
        <v>378</v>
      </c>
    </row>
    <row r="384" spans="1:17" x14ac:dyDescent="0.25">
      <c r="A384" s="28">
        <v>46015</v>
      </c>
      <c r="B384" s="1" t="s">
        <v>230</v>
      </c>
      <c r="C384" s="1"/>
      <c r="D384" s="28">
        <f t="shared" si="99"/>
        <v>46038</v>
      </c>
      <c r="E384" s="28">
        <f t="shared" si="100"/>
        <v>46022</v>
      </c>
      <c r="F384" s="28">
        <f t="shared" si="101"/>
        <v>46029</v>
      </c>
      <c r="G384" s="28">
        <f t="shared" si="102"/>
        <v>46035</v>
      </c>
      <c r="H384" s="28">
        <f t="shared" si="103"/>
        <v>46023</v>
      </c>
      <c r="I384" s="28">
        <f t="shared" si="104"/>
        <v>46030</v>
      </c>
      <c r="J384" s="28">
        <v>46045</v>
      </c>
      <c r="K384" s="29">
        <f t="shared" si="105"/>
        <v>30</v>
      </c>
      <c r="L384" s="34">
        <v>13.16</v>
      </c>
      <c r="M384" s="32">
        <v>11.73</v>
      </c>
      <c r="N384" s="1">
        <f t="shared" si="98"/>
        <v>1.4299999999999997</v>
      </c>
      <c r="O384" s="32" t="s">
        <v>379</v>
      </c>
    </row>
    <row r="385" spans="1:15" x14ac:dyDescent="0.25">
      <c r="A385" s="28">
        <v>46015</v>
      </c>
      <c r="B385" s="1" t="s">
        <v>231</v>
      </c>
      <c r="C385" s="1"/>
      <c r="D385" s="28">
        <f t="shared" si="99"/>
        <v>46038</v>
      </c>
      <c r="E385" s="28">
        <f t="shared" si="100"/>
        <v>46022</v>
      </c>
      <c r="F385" s="28">
        <f t="shared" si="101"/>
        <v>46029</v>
      </c>
      <c r="G385" s="28">
        <f t="shared" si="102"/>
        <v>46035</v>
      </c>
      <c r="H385" s="28">
        <f t="shared" si="103"/>
        <v>46023</v>
      </c>
      <c r="I385" s="28">
        <f t="shared" si="104"/>
        <v>46030</v>
      </c>
      <c r="J385" s="28">
        <v>46045</v>
      </c>
      <c r="K385" s="29">
        <f t="shared" si="105"/>
        <v>30</v>
      </c>
      <c r="L385" s="34">
        <v>13.95</v>
      </c>
      <c r="M385" s="32">
        <v>12.54</v>
      </c>
      <c r="N385" s="1">
        <f t="shared" si="98"/>
        <v>1.4100000000000001</v>
      </c>
      <c r="O385" s="32" t="s">
        <v>379</v>
      </c>
    </row>
    <row r="386" spans="1:15" x14ac:dyDescent="0.25">
      <c r="A386" s="28">
        <v>46015</v>
      </c>
      <c r="B386" s="1" t="s">
        <v>232</v>
      </c>
      <c r="C386" s="1"/>
      <c r="D386" s="28">
        <f t="shared" si="99"/>
        <v>46038</v>
      </c>
      <c r="E386" s="28">
        <f t="shared" si="100"/>
        <v>46022</v>
      </c>
      <c r="F386" s="28">
        <f t="shared" si="101"/>
        <v>46029</v>
      </c>
      <c r="G386" s="28">
        <f t="shared" si="102"/>
        <v>46035</v>
      </c>
      <c r="H386" s="28">
        <f t="shared" si="103"/>
        <v>46023</v>
      </c>
      <c r="I386" s="28">
        <f t="shared" si="104"/>
        <v>46030</v>
      </c>
      <c r="J386" s="28">
        <v>46045</v>
      </c>
      <c r="K386" s="29">
        <f t="shared" si="105"/>
        <v>30</v>
      </c>
      <c r="L386" s="34">
        <v>14.15</v>
      </c>
      <c r="M386" s="32">
        <v>12.61</v>
      </c>
      <c r="N386" s="1">
        <f t="shared" si="98"/>
        <v>1.5400000000000009</v>
      </c>
      <c r="O386" s="32" t="s">
        <v>379</v>
      </c>
    </row>
    <row r="387" spans="1:15" x14ac:dyDescent="0.25">
      <c r="A387" s="28">
        <v>46015</v>
      </c>
      <c r="B387" s="1" t="s">
        <v>233</v>
      </c>
      <c r="C387" s="1"/>
      <c r="D387" s="28">
        <f t="shared" si="99"/>
        <v>46038</v>
      </c>
      <c r="E387" s="28">
        <f t="shared" si="100"/>
        <v>46022</v>
      </c>
      <c r="F387" s="28">
        <f t="shared" si="101"/>
        <v>46029</v>
      </c>
      <c r="G387" s="28">
        <f t="shared" si="102"/>
        <v>46035</v>
      </c>
      <c r="H387" s="28">
        <f t="shared" si="103"/>
        <v>46023</v>
      </c>
      <c r="I387" s="28">
        <f t="shared" si="104"/>
        <v>46030</v>
      </c>
      <c r="J387" s="28">
        <v>46045</v>
      </c>
      <c r="K387" s="29">
        <f t="shared" si="105"/>
        <v>30</v>
      </c>
      <c r="L387" s="34">
        <v>14.87</v>
      </c>
      <c r="M387" s="32">
        <v>13.1</v>
      </c>
      <c r="N387" s="1">
        <f t="shared" si="98"/>
        <v>1.7699999999999996</v>
      </c>
      <c r="O387" s="32" t="s">
        <v>379</v>
      </c>
    </row>
    <row r="388" spans="1:15" x14ac:dyDescent="0.25">
      <c r="A388" s="28">
        <v>46016</v>
      </c>
      <c r="B388" s="1" t="s">
        <v>220</v>
      </c>
      <c r="C388" s="1"/>
      <c r="D388" s="28">
        <f t="shared" si="99"/>
        <v>46039</v>
      </c>
      <c r="E388" s="28">
        <f t="shared" si="100"/>
        <v>46023</v>
      </c>
      <c r="F388" s="28">
        <f t="shared" si="101"/>
        <v>46030</v>
      </c>
      <c r="G388" s="28">
        <f t="shared" ref="G388:G394" si="106">A388+20</f>
        <v>46036</v>
      </c>
      <c r="H388" s="28">
        <f t="shared" ref="H388:H394" si="107">A388+8</f>
        <v>46024</v>
      </c>
      <c r="I388" s="28">
        <f t="shared" ref="I388:I394" si="108">A388+15</f>
        <v>46031</v>
      </c>
      <c r="J388" s="28">
        <v>46046</v>
      </c>
      <c r="K388" s="29">
        <f t="shared" si="105"/>
        <v>30</v>
      </c>
      <c r="L388" s="34">
        <v>12.69</v>
      </c>
      <c r="M388" s="32">
        <v>6.51</v>
      </c>
      <c r="N388" s="1">
        <f t="shared" si="98"/>
        <v>6.18</v>
      </c>
      <c r="O388" s="32" t="s">
        <v>378</v>
      </c>
    </row>
    <row r="389" spans="1:15" x14ac:dyDescent="0.25">
      <c r="A389" s="28">
        <v>46016</v>
      </c>
      <c r="B389" s="1" t="s">
        <v>221</v>
      </c>
      <c r="C389" s="1"/>
      <c r="D389" s="28">
        <f t="shared" si="99"/>
        <v>46039</v>
      </c>
      <c r="E389" s="28">
        <f t="shared" si="100"/>
        <v>46023</v>
      </c>
      <c r="F389" s="28">
        <f t="shared" si="101"/>
        <v>46030</v>
      </c>
      <c r="G389" s="28">
        <f t="shared" si="106"/>
        <v>46036</v>
      </c>
      <c r="H389" s="28">
        <f t="shared" si="107"/>
        <v>46024</v>
      </c>
      <c r="I389" s="28">
        <f t="shared" si="108"/>
        <v>46031</v>
      </c>
      <c r="J389" s="28">
        <v>46046</v>
      </c>
      <c r="K389" s="29">
        <f t="shared" si="105"/>
        <v>30</v>
      </c>
      <c r="L389" s="34">
        <v>11.15</v>
      </c>
      <c r="M389" s="32">
        <v>5.74</v>
      </c>
      <c r="N389" s="1">
        <f t="shared" si="98"/>
        <v>5.41</v>
      </c>
      <c r="O389" s="32" t="s">
        <v>378</v>
      </c>
    </row>
    <row r="390" spans="1:15" x14ac:dyDescent="0.25">
      <c r="A390" s="28">
        <v>46016</v>
      </c>
      <c r="B390" s="1" t="s">
        <v>222</v>
      </c>
      <c r="C390" s="1"/>
      <c r="D390" s="28">
        <f t="shared" si="99"/>
        <v>46039</v>
      </c>
      <c r="E390" s="28">
        <f t="shared" si="100"/>
        <v>46023</v>
      </c>
      <c r="F390" s="28">
        <f t="shared" si="101"/>
        <v>46030</v>
      </c>
      <c r="G390" s="28">
        <f t="shared" si="106"/>
        <v>46036</v>
      </c>
      <c r="H390" s="28">
        <f t="shared" si="107"/>
        <v>46024</v>
      </c>
      <c r="I390" s="28">
        <f t="shared" si="108"/>
        <v>46031</v>
      </c>
      <c r="J390" s="28">
        <v>46046</v>
      </c>
      <c r="K390" s="29">
        <f t="shared" si="105"/>
        <v>30</v>
      </c>
      <c r="L390" s="34">
        <v>10.44</v>
      </c>
      <c r="M390" s="32">
        <v>4.7300000000000004</v>
      </c>
      <c r="N390" s="1">
        <f t="shared" si="98"/>
        <v>5.7099999999999991</v>
      </c>
      <c r="O390" s="32" t="s">
        <v>378</v>
      </c>
    </row>
    <row r="391" spans="1:15" x14ac:dyDescent="0.25">
      <c r="A391" s="28">
        <v>46016</v>
      </c>
      <c r="B391" s="1" t="s">
        <v>223</v>
      </c>
      <c r="C391" s="1"/>
      <c r="D391" s="28">
        <f t="shared" si="99"/>
        <v>46039</v>
      </c>
      <c r="E391" s="28">
        <f t="shared" si="100"/>
        <v>46023</v>
      </c>
      <c r="F391" s="28">
        <f t="shared" si="101"/>
        <v>46030</v>
      </c>
      <c r="G391" s="28">
        <f t="shared" si="106"/>
        <v>46036</v>
      </c>
      <c r="H391" s="28">
        <f t="shared" si="107"/>
        <v>46024</v>
      </c>
      <c r="I391" s="28">
        <f t="shared" si="108"/>
        <v>46031</v>
      </c>
      <c r="J391" s="28">
        <v>46046</v>
      </c>
      <c r="K391" s="29">
        <f t="shared" si="105"/>
        <v>30</v>
      </c>
      <c r="L391" s="34">
        <v>10.119999999999999</v>
      </c>
      <c r="M391" s="32">
        <v>4.26</v>
      </c>
      <c r="N391" s="1">
        <f t="shared" si="98"/>
        <v>5.8599999999999994</v>
      </c>
      <c r="O391" s="32" t="s">
        <v>378</v>
      </c>
    </row>
    <row r="392" spans="1:15" x14ac:dyDescent="0.25">
      <c r="A392" s="28">
        <v>46016</v>
      </c>
      <c r="B392" s="1" t="s">
        <v>224</v>
      </c>
      <c r="C392" s="1"/>
      <c r="D392" s="28">
        <f t="shared" si="99"/>
        <v>46039</v>
      </c>
      <c r="E392" s="28">
        <f t="shared" si="100"/>
        <v>46023</v>
      </c>
      <c r="F392" s="28">
        <f t="shared" si="101"/>
        <v>46030</v>
      </c>
      <c r="G392" s="28">
        <f t="shared" si="106"/>
        <v>46036</v>
      </c>
      <c r="H392" s="28">
        <f t="shared" si="107"/>
        <v>46024</v>
      </c>
      <c r="I392" s="28">
        <f t="shared" si="108"/>
        <v>46031</v>
      </c>
      <c r="J392" s="28">
        <v>46046</v>
      </c>
      <c r="K392" s="29">
        <f t="shared" si="105"/>
        <v>30</v>
      </c>
      <c r="L392" s="34">
        <v>12.17</v>
      </c>
      <c r="M392" s="32">
        <v>10.23</v>
      </c>
      <c r="N392" s="1">
        <f t="shared" si="98"/>
        <v>1.9399999999999995</v>
      </c>
      <c r="O392" s="32" t="s">
        <v>379</v>
      </c>
    </row>
    <row r="393" spans="1:15" x14ac:dyDescent="0.25">
      <c r="A393" s="28">
        <v>46016</v>
      </c>
      <c r="B393" s="1" t="s">
        <v>225</v>
      </c>
      <c r="C393" s="1"/>
      <c r="D393" s="28">
        <f t="shared" si="99"/>
        <v>46039</v>
      </c>
      <c r="E393" s="28">
        <f t="shared" si="100"/>
        <v>46023</v>
      </c>
      <c r="F393" s="28">
        <f t="shared" si="101"/>
        <v>46030</v>
      </c>
      <c r="G393" s="28">
        <f t="shared" si="106"/>
        <v>46036</v>
      </c>
      <c r="H393" s="28">
        <f t="shared" si="107"/>
        <v>46024</v>
      </c>
      <c r="I393" s="28">
        <f t="shared" si="108"/>
        <v>46031</v>
      </c>
      <c r="J393" s="28">
        <v>46046</v>
      </c>
      <c r="K393" s="29">
        <f t="shared" si="105"/>
        <v>30</v>
      </c>
      <c r="L393" s="34">
        <v>13.06</v>
      </c>
      <c r="M393" s="32">
        <v>11.15</v>
      </c>
      <c r="N393" s="1">
        <f t="shared" si="98"/>
        <v>1.9100000000000001</v>
      </c>
      <c r="O393" s="32" t="s">
        <v>379</v>
      </c>
    </row>
    <row r="394" spans="1:15" x14ac:dyDescent="0.25">
      <c r="A394" s="28">
        <v>46016</v>
      </c>
      <c r="B394" s="1" t="s">
        <v>226</v>
      </c>
      <c r="C394" s="1"/>
      <c r="D394" s="28">
        <f t="shared" si="99"/>
        <v>46039</v>
      </c>
      <c r="E394" s="28">
        <f t="shared" si="100"/>
        <v>46023</v>
      </c>
      <c r="F394" s="28">
        <f t="shared" si="101"/>
        <v>46030</v>
      </c>
      <c r="G394" s="28">
        <f t="shared" si="106"/>
        <v>46036</v>
      </c>
      <c r="H394" s="28">
        <f t="shared" si="107"/>
        <v>46024</v>
      </c>
      <c r="I394" s="28">
        <f t="shared" si="108"/>
        <v>46031</v>
      </c>
      <c r="J394" s="28">
        <v>46046</v>
      </c>
      <c r="K394" s="29">
        <f t="shared" si="105"/>
        <v>30</v>
      </c>
      <c r="L394" s="34">
        <v>13.89</v>
      </c>
      <c r="M394" s="32">
        <v>12.01</v>
      </c>
      <c r="N394" s="1">
        <f t="shared" si="98"/>
        <v>1.8800000000000008</v>
      </c>
      <c r="O394" s="32" t="s">
        <v>379</v>
      </c>
    </row>
    <row r="395" spans="1:15" x14ac:dyDescent="0.25">
      <c r="A395" s="28">
        <v>46017</v>
      </c>
      <c r="B395" s="1" t="s">
        <v>346</v>
      </c>
      <c r="C395" s="1"/>
      <c r="D395" s="28">
        <f t="shared" ref="D395:D401" si="109">A395+23</f>
        <v>46040</v>
      </c>
      <c r="E395" s="28">
        <f t="shared" ref="E395:E401" si="110">A395+7</f>
        <v>46024</v>
      </c>
      <c r="F395" s="28">
        <f t="shared" ref="F395:F401" si="111">A395+14</f>
        <v>46031</v>
      </c>
      <c r="G395" s="28">
        <f t="shared" ref="G395:G401" si="112">A395+20</f>
        <v>46037</v>
      </c>
      <c r="H395" s="28">
        <f t="shared" ref="H395:H401" si="113">A395+8</f>
        <v>46025</v>
      </c>
      <c r="I395" s="28">
        <f t="shared" ref="I395:I401" si="114">A395+15</f>
        <v>46032</v>
      </c>
      <c r="J395" s="28">
        <v>46046</v>
      </c>
      <c r="K395" s="29">
        <f t="shared" si="105"/>
        <v>29</v>
      </c>
      <c r="L395" s="34">
        <v>14.19</v>
      </c>
      <c r="M395" s="32">
        <v>12.19</v>
      </c>
      <c r="N395" s="1">
        <f t="shared" si="98"/>
        <v>2</v>
      </c>
      <c r="O395" s="32" t="s">
        <v>379</v>
      </c>
    </row>
    <row r="396" spans="1:15" x14ac:dyDescent="0.25">
      <c r="A396" s="28">
        <v>46017</v>
      </c>
      <c r="B396" s="1" t="s">
        <v>347</v>
      </c>
      <c r="C396" s="1"/>
      <c r="D396" s="28">
        <f t="shared" si="109"/>
        <v>46040</v>
      </c>
      <c r="E396" s="28">
        <f t="shared" si="110"/>
        <v>46024</v>
      </c>
      <c r="F396" s="28">
        <f t="shared" si="111"/>
        <v>46031</v>
      </c>
      <c r="G396" s="28">
        <f t="shared" si="112"/>
        <v>46037</v>
      </c>
      <c r="H396" s="28">
        <f t="shared" si="113"/>
        <v>46025</v>
      </c>
      <c r="I396" s="28">
        <f t="shared" si="114"/>
        <v>46032</v>
      </c>
      <c r="J396" s="28">
        <v>46046</v>
      </c>
      <c r="K396" s="29">
        <f t="shared" si="105"/>
        <v>29</v>
      </c>
      <c r="L396" s="34">
        <v>11.73</v>
      </c>
      <c r="M396" s="32">
        <v>10.58</v>
      </c>
      <c r="N396" s="1">
        <f t="shared" si="98"/>
        <v>1.1500000000000004</v>
      </c>
      <c r="O396" s="32" t="s">
        <v>379</v>
      </c>
    </row>
    <row r="397" spans="1:15" x14ac:dyDescent="0.25">
      <c r="A397" s="28">
        <v>46017</v>
      </c>
      <c r="B397" s="1" t="s">
        <v>348</v>
      </c>
      <c r="C397" s="1"/>
      <c r="D397" s="28">
        <f t="shared" si="109"/>
        <v>46040</v>
      </c>
      <c r="E397" s="28">
        <f t="shared" si="110"/>
        <v>46024</v>
      </c>
      <c r="F397" s="28">
        <f t="shared" si="111"/>
        <v>46031</v>
      </c>
      <c r="G397" s="28">
        <f t="shared" si="112"/>
        <v>46037</v>
      </c>
      <c r="H397" s="28">
        <f t="shared" si="113"/>
        <v>46025</v>
      </c>
      <c r="I397" s="28">
        <f t="shared" si="114"/>
        <v>46032</v>
      </c>
      <c r="J397" s="28">
        <v>46046</v>
      </c>
      <c r="K397" s="29">
        <f t="shared" si="105"/>
        <v>29</v>
      </c>
      <c r="L397" s="34">
        <v>12.58</v>
      </c>
      <c r="M397" s="32">
        <v>11.2</v>
      </c>
      <c r="N397" s="1">
        <f t="shared" si="98"/>
        <v>1.3800000000000008</v>
      </c>
      <c r="O397" s="32" t="s">
        <v>379</v>
      </c>
    </row>
    <row r="398" spans="1:15" x14ac:dyDescent="0.25">
      <c r="A398" s="28">
        <v>46017</v>
      </c>
      <c r="B398" s="1" t="s">
        <v>349</v>
      </c>
      <c r="C398" s="1"/>
      <c r="D398" s="28">
        <f t="shared" si="109"/>
        <v>46040</v>
      </c>
      <c r="E398" s="28">
        <f t="shared" si="110"/>
        <v>46024</v>
      </c>
      <c r="F398" s="28">
        <f t="shared" si="111"/>
        <v>46031</v>
      </c>
      <c r="G398" s="28">
        <f t="shared" si="112"/>
        <v>46037</v>
      </c>
      <c r="H398" s="28">
        <f t="shared" si="113"/>
        <v>46025</v>
      </c>
      <c r="I398" s="28">
        <f t="shared" si="114"/>
        <v>46032</v>
      </c>
      <c r="J398" s="28">
        <v>46047</v>
      </c>
      <c r="K398" s="29">
        <f t="shared" si="105"/>
        <v>30</v>
      </c>
      <c r="L398" s="1">
        <v>7.12</v>
      </c>
      <c r="M398" s="1">
        <v>4.9800000000000004</v>
      </c>
      <c r="N398" s="1">
        <f t="shared" si="98"/>
        <v>2.1399999999999997</v>
      </c>
      <c r="O398" s="1" t="s">
        <v>378</v>
      </c>
    </row>
    <row r="399" spans="1:15" x14ac:dyDescent="0.25">
      <c r="A399" s="28">
        <v>46017</v>
      </c>
      <c r="B399" s="1" t="s">
        <v>350</v>
      </c>
      <c r="C399" s="1"/>
      <c r="D399" s="28">
        <f t="shared" si="109"/>
        <v>46040</v>
      </c>
      <c r="E399" s="28">
        <f t="shared" si="110"/>
        <v>46024</v>
      </c>
      <c r="F399" s="28">
        <f t="shared" si="111"/>
        <v>46031</v>
      </c>
      <c r="G399" s="28">
        <f t="shared" si="112"/>
        <v>46037</v>
      </c>
      <c r="H399" s="28">
        <f t="shared" si="113"/>
        <v>46025</v>
      </c>
      <c r="I399" s="28">
        <f t="shared" si="114"/>
        <v>46032</v>
      </c>
      <c r="J399" s="28">
        <v>46047</v>
      </c>
      <c r="K399" s="29">
        <f t="shared" si="105"/>
        <v>30</v>
      </c>
      <c r="L399" s="1">
        <v>8.19</v>
      </c>
      <c r="M399" s="1">
        <v>4.72</v>
      </c>
      <c r="N399" s="1">
        <f t="shared" si="98"/>
        <v>3.4699999999999998</v>
      </c>
      <c r="O399" s="1" t="s">
        <v>378</v>
      </c>
    </row>
    <row r="400" spans="1:15" x14ac:dyDescent="0.25">
      <c r="A400" s="28">
        <v>46017</v>
      </c>
      <c r="B400" s="1" t="s">
        <v>351</v>
      </c>
      <c r="C400" s="1"/>
      <c r="D400" s="28">
        <f t="shared" si="109"/>
        <v>46040</v>
      </c>
      <c r="E400" s="28">
        <f t="shared" si="110"/>
        <v>46024</v>
      </c>
      <c r="F400" s="28">
        <f t="shared" si="111"/>
        <v>46031</v>
      </c>
      <c r="G400" s="28">
        <f t="shared" si="112"/>
        <v>46037</v>
      </c>
      <c r="H400" s="28">
        <f t="shared" si="113"/>
        <v>46025</v>
      </c>
      <c r="I400" s="28">
        <f t="shared" si="114"/>
        <v>46032</v>
      </c>
      <c r="J400" s="28">
        <v>46047</v>
      </c>
      <c r="K400" s="29">
        <f t="shared" si="105"/>
        <v>30</v>
      </c>
      <c r="L400" s="1">
        <v>8.23</v>
      </c>
      <c r="M400" s="1">
        <v>4.1900000000000004</v>
      </c>
      <c r="N400" s="1">
        <f t="shared" si="98"/>
        <v>4.04</v>
      </c>
      <c r="O400" s="1" t="s">
        <v>378</v>
      </c>
    </row>
    <row r="401" spans="1:17" x14ac:dyDescent="0.25">
      <c r="A401" s="28">
        <v>46017</v>
      </c>
      <c r="B401" s="1" t="s">
        <v>352</v>
      </c>
      <c r="C401" s="1"/>
      <c r="D401" s="28">
        <f t="shared" si="109"/>
        <v>46040</v>
      </c>
      <c r="E401" s="28">
        <f t="shared" si="110"/>
        <v>46024</v>
      </c>
      <c r="F401" s="28">
        <f t="shared" si="111"/>
        <v>46031</v>
      </c>
      <c r="G401" s="28">
        <f t="shared" si="112"/>
        <v>46037</v>
      </c>
      <c r="H401" s="28">
        <f t="shared" si="113"/>
        <v>46025</v>
      </c>
      <c r="I401" s="28">
        <f t="shared" si="114"/>
        <v>46032</v>
      </c>
      <c r="J401" s="28">
        <v>46047</v>
      </c>
      <c r="K401" s="29">
        <f t="shared" si="105"/>
        <v>30</v>
      </c>
      <c r="L401" s="1">
        <v>6.15</v>
      </c>
      <c r="M401" s="1">
        <v>3.71</v>
      </c>
      <c r="N401" s="1">
        <f t="shared" si="98"/>
        <v>2.4400000000000004</v>
      </c>
      <c r="O401" s="1" t="s">
        <v>378</v>
      </c>
    </row>
    <row r="402" spans="1:17" x14ac:dyDescent="0.25">
      <c r="A402" s="28">
        <v>46018</v>
      </c>
      <c r="B402" s="1" t="s">
        <v>353</v>
      </c>
      <c r="C402" s="1"/>
      <c r="D402" s="28">
        <f t="shared" ref="D402:D408" si="115">A402+23</f>
        <v>46041</v>
      </c>
      <c r="E402" s="28">
        <f t="shared" ref="E402:E408" si="116">A402+7</f>
        <v>46025</v>
      </c>
      <c r="F402" s="28">
        <f t="shared" ref="F402:F408" si="117">A402+14</f>
        <v>46032</v>
      </c>
      <c r="G402" s="28">
        <f t="shared" ref="G402:G408" si="118">A402+20</f>
        <v>46038</v>
      </c>
      <c r="H402" s="28">
        <f t="shared" ref="H402:H408" si="119">A402+8</f>
        <v>46026</v>
      </c>
      <c r="I402" s="28">
        <f t="shared" ref="I402:I408" si="120">A402+15</f>
        <v>46033</v>
      </c>
      <c r="J402" s="28">
        <v>46047</v>
      </c>
      <c r="K402" s="29">
        <f t="shared" si="105"/>
        <v>29</v>
      </c>
      <c r="L402" s="1">
        <v>8.19</v>
      </c>
      <c r="M402" s="1">
        <v>4.2699999999999996</v>
      </c>
      <c r="N402" s="1">
        <f t="shared" si="98"/>
        <v>3.92</v>
      </c>
      <c r="O402" s="1" t="s">
        <v>378</v>
      </c>
    </row>
    <row r="403" spans="1:17" x14ac:dyDescent="0.25">
      <c r="A403" s="28">
        <v>46018</v>
      </c>
      <c r="B403" s="1" t="s">
        <v>354</v>
      </c>
      <c r="C403" s="1"/>
      <c r="D403" s="28">
        <f t="shared" si="115"/>
        <v>46041</v>
      </c>
      <c r="E403" s="28">
        <f t="shared" si="116"/>
        <v>46025</v>
      </c>
      <c r="F403" s="28">
        <f t="shared" si="117"/>
        <v>46032</v>
      </c>
      <c r="G403" s="28">
        <f t="shared" si="118"/>
        <v>46038</v>
      </c>
      <c r="H403" s="28">
        <f t="shared" si="119"/>
        <v>46026</v>
      </c>
      <c r="I403" s="28">
        <f t="shared" si="120"/>
        <v>46033</v>
      </c>
      <c r="J403" s="28">
        <v>46047</v>
      </c>
      <c r="K403" s="29">
        <f t="shared" si="105"/>
        <v>29</v>
      </c>
      <c r="L403" s="1">
        <v>8.23</v>
      </c>
      <c r="M403" s="1">
        <v>4.29</v>
      </c>
      <c r="N403" s="1">
        <f t="shared" si="98"/>
        <v>3.9400000000000004</v>
      </c>
      <c r="O403" s="1" t="s">
        <v>378</v>
      </c>
    </row>
    <row r="404" spans="1:17" x14ac:dyDescent="0.25">
      <c r="A404" s="28">
        <v>46018</v>
      </c>
      <c r="B404" s="1" t="s">
        <v>355</v>
      </c>
      <c r="C404" s="1"/>
      <c r="D404" s="28">
        <f t="shared" si="115"/>
        <v>46041</v>
      </c>
      <c r="E404" s="28">
        <f t="shared" si="116"/>
        <v>46025</v>
      </c>
      <c r="F404" s="28">
        <f t="shared" si="117"/>
        <v>46032</v>
      </c>
      <c r="G404" s="28">
        <f t="shared" si="118"/>
        <v>46038</v>
      </c>
      <c r="H404" s="28">
        <f t="shared" si="119"/>
        <v>46026</v>
      </c>
      <c r="I404" s="28">
        <f t="shared" si="120"/>
        <v>46033</v>
      </c>
      <c r="J404" s="28">
        <v>46047</v>
      </c>
      <c r="K404" s="29">
        <f t="shared" si="105"/>
        <v>29</v>
      </c>
      <c r="L404" s="1">
        <v>10.74</v>
      </c>
      <c r="M404" s="1">
        <v>5.63</v>
      </c>
      <c r="N404" s="1">
        <f t="shared" si="98"/>
        <v>5.1100000000000003</v>
      </c>
      <c r="O404" s="1" t="s">
        <v>378</v>
      </c>
    </row>
    <row r="405" spans="1:17" x14ac:dyDescent="0.25">
      <c r="A405" s="28">
        <v>46018</v>
      </c>
      <c r="B405" s="1" t="s">
        <v>356</v>
      </c>
      <c r="C405" s="1"/>
      <c r="D405" s="28">
        <f t="shared" si="115"/>
        <v>46041</v>
      </c>
      <c r="E405" s="28">
        <f t="shared" si="116"/>
        <v>46025</v>
      </c>
      <c r="F405" s="28">
        <f t="shared" si="117"/>
        <v>46032</v>
      </c>
      <c r="G405" s="28">
        <f t="shared" si="118"/>
        <v>46038</v>
      </c>
      <c r="H405" s="28">
        <f t="shared" si="119"/>
        <v>46026</v>
      </c>
      <c r="I405" s="28">
        <f t="shared" si="120"/>
        <v>46033</v>
      </c>
      <c r="J405" s="28">
        <v>46047</v>
      </c>
      <c r="K405" s="29">
        <f t="shared" si="105"/>
        <v>29</v>
      </c>
      <c r="L405" s="1">
        <v>11.16</v>
      </c>
      <c r="M405" s="1">
        <v>5.84</v>
      </c>
      <c r="N405" s="1">
        <f t="shared" si="98"/>
        <v>5.32</v>
      </c>
      <c r="O405" s="1" t="s">
        <v>378</v>
      </c>
    </row>
    <row r="406" spans="1:17" x14ac:dyDescent="0.25">
      <c r="A406" s="28">
        <v>46018</v>
      </c>
      <c r="B406" s="1" t="s">
        <v>357</v>
      </c>
      <c r="C406" s="1"/>
      <c r="D406" s="28">
        <f t="shared" si="115"/>
        <v>46041</v>
      </c>
      <c r="E406" s="28">
        <f t="shared" si="116"/>
        <v>46025</v>
      </c>
      <c r="F406" s="28">
        <f t="shared" si="117"/>
        <v>46032</v>
      </c>
      <c r="G406" s="28">
        <f t="shared" si="118"/>
        <v>46038</v>
      </c>
      <c r="H406" s="28">
        <f t="shared" si="119"/>
        <v>46026</v>
      </c>
      <c r="I406" s="28">
        <f t="shared" si="120"/>
        <v>46033</v>
      </c>
      <c r="J406" s="28">
        <v>46047</v>
      </c>
      <c r="K406" s="29">
        <f t="shared" si="105"/>
        <v>29</v>
      </c>
      <c r="L406" s="1">
        <v>10.08</v>
      </c>
      <c r="M406" s="1">
        <v>8.19</v>
      </c>
      <c r="N406" s="1">
        <f t="shared" si="98"/>
        <v>1.8900000000000006</v>
      </c>
      <c r="O406" s="1" t="s">
        <v>379</v>
      </c>
    </row>
    <row r="407" spans="1:17" x14ac:dyDescent="0.25">
      <c r="A407" s="28">
        <v>46018</v>
      </c>
      <c r="B407" s="1" t="s">
        <v>358</v>
      </c>
      <c r="C407" s="1"/>
      <c r="D407" s="28">
        <f t="shared" si="115"/>
        <v>46041</v>
      </c>
      <c r="E407" s="28">
        <f t="shared" si="116"/>
        <v>46025</v>
      </c>
      <c r="F407" s="28">
        <f t="shared" si="117"/>
        <v>46032</v>
      </c>
      <c r="G407" s="28">
        <f t="shared" si="118"/>
        <v>46038</v>
      </c>
      <c r="H407" s="28">
        <f t="shared" si="119"/>
        <v>46026</v>
      </c>
      <c r="I407" s="28">
        <f t="shared" si="120"/>
        <v>46033</v>
      </c>
      <c r="J407" s="28">
        <v>46047</v>
      </c>
      <c r="K407" s="29">
        <f t="shared" si="105"/>
        <v>29</v>
      </c>
      <c r="L407" s="1">
        <v>10.92</v>
      </c>
      <c r="M407" s="1">
        <v>9.43</v>
      </c>
      <c r="N407" s="1">
        <f t="shared" si="98"/>
        <v>1.4900000000000002</v>
      </c>
      <c r="O407" s="1" t="s">
        <v>379</v>
      </c>
    </row>
    <row r="408" spans="1:17" x14ac:dyDescent="0.25">
      <c r="A408" s="28">
        <v>46018</v>
      </c>
      <c r="B408" s="1" t="s">
        <v>359</v>
      </c>
      <c r="C408" s="1"/>
      <c r="D408" s="28">
        <f t="shared" si="115"/>
        <v>46041</v>
      </c>
      <c r="E408" s="28">
        <f t="shared" si="116"/>
        <v>46025</v>
      </c>
      <c r="F408" s="28">
        <f t="shared" si="117"/>
        <v>46032</v>
      </c>
      <c r="G408" s="28">
        <f t="shared" si="118"/>
        <v>46038</v>
      </c>
      <c r="H408" s="28">
        <f t="shared" si="119"/>
        <v>46026</v>
      </c>
      <c r="I408" s="28">
        <f t="shared" si="120"/>
        <v>46033</v>
      </c>
      <c r="J408" s="28">
        <v>46047</v>
      </c>
      <c r="K408" s="29">
        <f t="shared" si="105"/>
        <v>29</v>
      </c>
      <c r="L408" s="1">
        <v>10.27</v>
      </c>
      <c r="M408" s="1">
        <v>8.76</v>
      </c>
      <c r="N408" s="1">
        <f t="shared" si="98"/>
        <v>1.5099999999999998</v>
      </c>
      <c r="O408" s="1" t="s">
        <v>379</v>
      </c>
    </row>
    <row r="409" spans="1:17" x14ac:dyDescent="0.25">
      <c r="A409" s="28">
        <v>46019</v>
      </c>
      <c r="B409" s="1" t="s">
        <v>360</v>
      </c>
      <c r="C409" s="1"/>
      <c r="D409" s="28">
        <f t="shared" ref="D409:D415" si="121">A409+23</f>
        <v>46042</v>
      </c>
      <c r="E409" s="28">
        <f t="shared" ref="E409:E415" si="122">A409+7</f>
        <v>46026</v>
      </c>
      <c r="F409" s="28">
        <f t="shared" ref="F409:F415" si="123">A409+14</f>
        <v>46033</v>
      </c>
      <c r="G409" s="28">
        <f t="shared" ref="G409:G415" si="124">A409+20</f>
        <v>46039</v>
      </c>
      <c r="H409" s="28">
        <f t="shared" ref="H409:H415" si="125">A409+8</f>
        <v>46027</v>
      </c>
      <c r="I409" s="28">
        <f t="shared" ref="I409:I415" si="126">A409+15</f>
        <v>46034</v>
      </c>
      <c r="J409" s="28">
        <v>46047</v>
      </c>
      <c r="K409" s="29">
        <f t="shared" si="105"/>
        <v>28</v>
      </c>
      <c r="L409" s="1">
        <v>9.76</v>
      </c>
      <c r="M409" s="1">
        <v>7.83</v>
      </c>
      <c r="N409" s="1">
        <f t="shared" si="98"/>
        <v>1.9299999999999997</v>
      </c>
      <c r="O409" s="1" t="s">
        <v>379</v>
      </c>
    </row>
    <row r="410" spans="1:17" x14ac:dyDescent="0.25">
      <c r="A410" s="28">
        <v>46019</v>
      </c>
      <c r="B410" s="1" t="s">
        <v>361</v>
      </c>
      <c r="C410" s="1"/>
      <c r="D410" s="28">
        <f t="shared" si="121"/>
        <v>46042</v>
      </c>
      <c r="E410" s="28">
        <f t="shared" si="122"/>
        <v>46026</v>
      </c>
      <c r="F410" s="28">
        <f t="shared" si="123"/>
        <v>46033</v>
      </c>
      <c r="G410" s="28">
        <f t="shared" si="124"/>
        <v>46039</v>
      </c>
      <c r="H410" s="28">
        <f t="shared" si="125"/>
        <v>46027</v>
      </c>
      <c r="I410" s="28">
        <f t="shared" si="126"/>
        <v>46034</v>
      </c>
      <c r="J410" s="28">
        <v>46047</v>
      </c>
      <c r="K410" s="29">
        <f t="shared" si="105"/>
        <v>28</v>
      </c>
      <c r="L410" s="1">
        <v>9.92</v>
      </c>
      <c r="M410" s="1">
        <v>8.1199999999999992</v>
      </c>
      <c r="N410" s="1">
        <f t="shared" si="98"/>
        <v>1.8000000000000007</v>
      </c>
      <c r="O410" s="1" t="s">
        <v>379</v>
      </c>
    </row>
    <row r="411" spans="1:17" x14ac:dyDescent="0.25">
      <c r="A411" s="28">
        <v>46019</v>
      </c>
      <c r="B411" s="1" t="s">
        <v>362</v>
      </c>
      <c r="C411" s="1"/>
      <c r="D411" s="28">
        <f t="shared" si="121"/>
        <v>46042</v>
      </c>
      <c r="E411" s="28">
        <f t="shared" si="122"/>
        <v>46026</v>
      </c>
      <c r="F411" s="28">
        <f t="shared" si="123"/>
        <v>46033</v>
      </c>
      <c r="G411" s="28">
        <f t="shared" si="124"/>
        <v>46039</v>
      </c>
      <c r="H411" s="28">
        <f t="shared" si="125"/>
        <v>46027</v>
      </c>
      <c r="I411" s="28">
        <f t="shared" si="126"/>
        <v>46034</v>
      </c>
      <c r="J411" s="28">
        <v>46047</v>
      </c>
      <c r="K411" s="29">
        <f t="shared" si="105"/>
        <v>28</v>
      </c>
      <c r="L411" s="1">
        <v>8.33</v>
      </c>
      <c r="M411" s="1">
        <v>7.24</v>
      </c>
      <c r="N411" s="1">
        <f t="shared" si="98"/>
        <v>1.0899999999999999</v>
      </c>
      <c r="O411" s="1" t="s">
        <v>379</v>
      </c>
    </row>
    <row r="412" spans="1:17" x14ac:dyDescent="0.25">
      <c r="A412" s="28">
        <v>46019</v>
      </c>
      <c r="B412" s="1" t="s">
        <v>363</v>
      </c>
      <c r="C412" s="1"/>
      <c r="D412" s="28">
        <f t="shared" si="121"/>
        <v>46042</v>
      </c>
      <c r="E412" s="28">
        <f t="shared" si="122"/>
        <v>46026</v>
      </c>
      <c r="F412" s="28">
        <f t="shared" si="123"/>
        <v>46033</v>
      </c>
      <c r="G412" s="28">
        <f t="shared" si="124"/>
        <v>46039</v>
      </c>
      <c r="H412" s="28">
        <f t="shared" si="125"/>
        <v>46027</v>
      </c>
      <c r="I412" s="28">
        <f t="shared" si="126"/>
        <v>46034</v>
      </c>
      <c r="J412" s="28">
        <v>46047</v>
      </c>
      <c r="K412" s="29">
        <f t="shared" si="105"/>
        <v>28</v>
      </c>
      <c r="L412" s="1">
        <v>7.68</v>
      </c>
      <c r="M412" s="1">
        <v>6.27</v>
      </c>
      <c r="N412" s="1">
        <f t="shared" si="98"/>
        <v>1.4100000000000001</v>
      </c>
      <c r="O412" s="1" t="s">
        <v>379</v>
      </c>
    </row>
    <row r="413" spans="1:17" x14ac:dyDescent="0.25">
      <c r="A413" s="28">
        <v>46019</v>
      </c>
      <c r="B413" s="1" t="s">
        <v>364</v>
      </c>
      <c r="C413" s="1"/>
      <c r="D413" s="28">
        <f t="shared" si="121"/>
        <v>46042</v>
      </c>
      <c r="E413" s="28">
        <f t="shared" si="122"/>
        <v>46026</v>
      </c>
      <c r="F413" s="28">
        <f t="shared" si="123"/>
        <v>46033</v>
      </c>
      <c r="G413" s="28">
        <f t="shared" si="124"/>
        <v>46039</v>
      </c>
      <c r="H413" s="28">
        <f t="shared" si="125"/>
        <v>46027</v>
      </c>
      <c r="I413" s="28">
        <f t="shared" si="126"/>
        <v>46034</v>
      </c>
      <c r="J413" s="28">
        <v>46047</v>
      </c>
      <c r="K413" s="29">
        <f t="shared" si="105"/>
        <v>28</v>
      </c>
      <c r="L413" s="1">
        <v>6.19</v>
      </c>
      <c r="M413" s="1">
        <v>4.51</v>
      </c>
      <c r="N413" s="1">
        <f t="shared" si="98"/>
        <v>1.6800000000000006</v>
      </c>
      <c r="O413" s="1" t="s">
        <v>379</v>
      </c>
    </row>
    <row r="414" spans="1:17" x14ac:dyDescent="0.25">
      <c r="A414" s="28">
        <v>46019</v>
      </c>
      <c r="B414" s="1" t="s">
        <v>365</v>
      </c>
      <c r="C414" s="1"/>
      <c r="D414" s="28">
        <f t="shared" si="121"/>
        <v>46042</v>
      </c>
      <c r="E414" s="28">
        <f t="shared" si="122"/>
        <v>46026</v>
      </c>
      <c r="F414" s="28">
        <f t="shared" si="123"/>
        <v>46033</v>
      </c>
      <c r="G414" s="28">
        <f t="shared" si="124"/>
        <v>46039</v>
      </c>
      <c r="H414" s="28">
        <f t="shared" si="125"/>
        <v>46027</v>
      </c>
      <c r="I414" s="28">
        <f t="shared" si="126"/>
        <v>46034</v>
      </c>
      <c r="J414" s="28">
        <v>46047</v>
      </c>
      <c r="K414" s="29">
        <f t="shared" si="105"/>
        <v>28</v>
      </c>
      <c r="L414" s="1">
        <v>6.83</v>
      </c>
      <c r="M414" s="1">
        <v>4.8600000000000003</v>
      </c>
      <c r="N414" s="1">
        <f t="shared" si="98"/>
        <v>1.9699999999999998</v>
      </c>
      <c r="O414" s="1" t="s">
        <v>379</v>
      </c>
    </row>
    <row r="415" spans="1:17" x14ac:dyDescent="0.25">
      <c r="A415" s="28">
        <v>46019</v>
      </c>
      <c r="B415" s="1" t="s">
        <v>390</v>
      </c>
      <c r="C415" s="1"/>
      <c r="D415" s="28">
        <f t="shared" si="121"/>
        <v>46042</v>
      </c>
      <c r="E415" s="28">
        <f t="shared" si="122"/>
        <v>46026</v>
      </c>
      <c r="F415" s="28">
        <f t="shared" si="123"/>
        <v>46033</v>
      </c>
      <c r="G415" s="28">
        <f t="shared" si="124"/>
        <v>46039</v>
      </c>
      <c r="H415" s="28">
        <f t="shared" si="125"/>
        <v>46027</v>
      </c>
      <c r="I415" s="28">
        <f t="shared" si="126"/>
        <v>46034</v>
      </c>
      <c r="J415" s="28">
        <v>46048</v>
      </c>
      <c r="K415" s="29">
        <f t="shared" si="105"/>
        <v>29</v>
      </c>
      <c r="L415" s="1">
        <v>14.53</v>
      </c>
      <c r="M415" s="1">
        <v>7.64</v>
      </c>
      <c r="N415" s="1">
        <f t="shared" si="98"/>
        <v>6.89</v>
      </c>
      <c r="O415" s="1" t="s">
        <v>378</v>
      </c>
    </row>
    <row r="416" spans="1:17" x14ac:dyDescent="0.25">
      <c r="A416" s="28">
        <v>46020</v>
      </c>
      <c r="B416" s="1" t="s">
        <v>257</v>
      </c>
      <c r="C416" s="1"/>
      <c r="D416" s="28">
        <f>A416+23</f>
        <v>46043</v>
      </c>
      <c r="E416" s="28">
        <f>A416+7</f>
        <v>46027</v>
      </c>
      <c r="F416" s="28">
        <f>A416+14</f>
        <v>46034</v>
      </c>
      <c r="G416" s="28">
        <f>A416+20</f>
        <v>46040</v>
      </c>
      <c r="H416" s="28">
        <f>A416+8</f>
        <v>46028</v>
      </c>
      <c r="I416" s="28">
        <f>A416+15</f>
        <v>46035</v>
      </c>
      <c r="J416" s="28">
        <v>46049</v>
      </c>
      <c r="K416" s="29">
        <f t="shared" si="105"/>
        <v>29</v>
      </c>
      <c r="L416" s="1">
        <v>0</v>
      </c>
      <c r="M416" s="1">
        <v>0</v>
      </c>
      <c r="N416" s="1">
        <f t="shared" si="98"/>
        <v>0</v>
      </c>
      <c r="O416" s="1"/>
      <c r="Q416" s="35"/>
    </row>
    <row r="417" spans="1:17" x14ac:dyDescent="0.25">
      <c r="A417" s="28">
        <v>46020</v>
      </c>
      <c r="B417" s="1" t="s">
        <v>258</v>
      </c>
      <c r="C417" s="1"/>
      <c r="D417" s="28">
        <f t="shared" ref="D417:D422" si="127">A417+23</f>
        <v>46043</v>
      </c>
      <c r="E417" s="28">
        <f t="shared" ref="E417:E422" si="128">A417+7</f>
        <v>46027</v>
      </c>
      <c r="F417" s="28">
        <f t="shared" ref="F417:F422" si="129">A417+14</f>
        <v>46034</v>
      </c>
      <c r="G417" s="28">
        <f t="shared" ref="G417:G422" si="130">A417+20</f>
        <v>46040</v>
      </c>
      <c r="H417" s="28">
        <f t="shared" ref="H417:H422" si="131">A417+8</f>
        <v>46028</v>
      </c>
      <c r="I417" s="28">
        <f t="shared" ref="I417:I422" si="132">A417+15</f>
        <v>46035</v>
      </c>
      <c r="J417" s="28">
        <v>46049</v>
      </c>
      <c r="K417" s="29">
        <f t="shared" ref="K417:K422" si="133">J417-A417</f>
        <v>29</v>
      </c>
      <c r="L417" s="1">
        <v>0</v>
      </c>
      <c r="M417" s="1">
        <v>0</v>
      </c>
      <c r="N417" s="1">
        <f t="shared" ref="N417:N422" si="134">L417-M417</f>
        <v>0</v>
      </c>
      <c r="O417" s="1"/>
      <c r="Q417" s="35"/>
    </row>
    <row r="418" spans="1:17" x14ac:dyDescent="0.25">
      <c r="A418" s="28">
        <v>46020</v>
      </c>
      <c r="B418" s="1" t="s">
        <v>259</v>
      </c>
      <c r="C418" s="1"/>
      <c r="D418" s="28">
        <f t="shared" si="127"/>
        <v>46043</v>
      </c>
      <c r="E418" s="28">
        <f t="shared" si="128"/>
        <v>46027</v>
      </c>
      <c r="F418" s="28">
        <f t="shared" si="129"/>
        <v>46034</v>
      </c>
      <c r="G418" s="28">
        <f t="shared" si="130"/>
        <v>46040</v>
      </c>
      <c r="H418" s="28">
        <f t="shared" si="131"/>
        <v>46028</v>
      </c>
      <c r="I418" s="28">
        <f t="shared" si="132"/>
        <v>46035</v>
      </c>
      <c r="J418" s="28">
        <v>46049</v>
      </c>
      <c r="K418" s="29">
        <f t="shared" si="133"/>
        <v>29</v>
      </c>
      <c r="L418" s="1">
        <v>0</v>
      </c>
      <c r="M418" s="1">
        <v>0</v>
      </c>
      <c r="N418" s="1">
        <f t="shared" si="134"/>
        <v>0</v>
      </c>
      <c r="O418" s="1"/>
      <c r="Q418" s="35"/>
    </row>
    <row r="419" spans="1:17" x14ac:dyDescent="0.25">
      <c r="A419" s="28">
        <v>46020</v>
      </c>
      <c r="B419" s="1" t="s">
        <v>260</v>
      </c>
      <c r="C419" s="1"/>
      <c r="D419" s="28">
        <f t="shared" si="127"/>
        <v>46043</v>
      </c>
      <c r="E419" s="28">
        <f t="shared" si="128"/>
        <v>46027</v>
      </c>
      <c r="F419" s="28">
        <f t="shared" si="129"/>
        <v>46034</v>
      </c>
      <c r="G419" s="28">
        <f t="shared" si="130"/>
        <v>46040</v>
      </c>
      <c r="H419" s="28">
        <f t="shared" si="131"/>
        <v>46028</v>
      </c>
      <c r="I419" s="28">
        <f t="shared" si="132"/>
        <v>46035</v>
      </c>
      <c r="J419" s="28">
        <v>46049</v>
      </c>
      <c r="K419" s="29">
        <f t="shared" si="133"/>
        <v>29</v>
      </c>
      <c r="L419" s="1">
        <v>0</v>
      </c>
      <c r="M419" s="1">
        <v>0</v>
      </c>
      <c r="N419" s="1">
        <f t="shared" si="134"/>
        <v>0</v>
      </c>
      <c r="O419" s="1"/>
      <c r="Q419" s="35"/>
    </row>
    <row r="420" spans="1:17" x14ac:dyDescent="0.25">
      <c r="A420" s="28">
        <v>46020</v>
      </c>
      <c r="B420" s="1" t="s">
        <v>261</v>
      </c>
      <c r="C420" s="1"/>
      <c r="D420" s="28">
        <f t="shared" si="127"/>
        <v>46043</v>
      </c>
      <c r="E420" s="28">
        <f t="shared" si="128"/>
        <v>46027</v>
      </c>
      <c r="F420" s="28">
        <f t="shared" si="129"/>
        <v>46034</v>
      </c>
      <c r="G420" s="28">
        <f t="shared" si="130"/>
        <v>46040</v>
      </c>
      <c r="H420" s="28">
        <f t="shared" si="131"/>
        <v>46028</v>
      </c>
      <c r="I420" s="28">
        <f t="shared" si="132"/>
        <v>46035</v>
      </c>
      <c r="J420" s="28">
        <v>46049</v>
      </c>
      <c r="K420" s="29">
        <f t="shared" si="133"/>
        <v>29</v>
      </c>
      <c r="L420" s="1">
        <v>0</v>
      </c>
      <c r="M420" s="1">
        <v>0</v>
      </c>
      <c r="N420" s="1">
        <f t="shared" si="134"/>
        <v>0</v>
      </c>
      <c r="O420" s="1"/>
      <c r="Q420" s="35"/>
    </row>
    <row r="421" spans="1:17" x14ac:dyDescent="0.25">
      <c r="A421" s="28">
        <v>46020</v>
      </c>
      <c r="B421" s="1" t="s">
        <v>262</v>
      </c>
      <c r="C421" s="1"/>
      <c r="D421" s="28">
        <f t="shared" si="127"/>
        <v>46043</v>
      </c>
      <c r="E421" s="28">
        <f t="shared" si="128"/>
        <v>46027</v>
      </c>
      <c r="F421" s="28">
        <f t="shared" si="129"/>
        <v>46034</v>
      </c>
      <c r="G421" s="28">
        <f t="shared" si="130"/>
        <v>46040</v>
      </c>
      <c r="H421" s="28">
        <f t="shared" si="131"/>
        <v>46028</v>
      </c>
      <c r="I421" s="28">
        <f t="shared" si="132"/>
        <v>46035</v>
      </c>
      <c r="J421" s="28">
        <v>46049</v>
      </c>
      <c r="K421" s="29">
        <f t="shared" si="133"/>
        <v>29</v>
      </c>
      <c r="L421" s="1">
        <v>0</v>
      </c>
      <c r="M421" s="1">
        <v>0</v>
      </c>
      <c r="N421" s="1">
        <f t="shared" si="134"/>
        <v>0</v>
      </c>
      <c r="O421" s="1"/>
    </row>
    <row r="422" spans="1:17" x14ac:dyDescent="0.25">
      <c r="A422" s="28">
        <v>46020</v>
      </c>
      <c r="B422" s="1" t="s">
        <v>263</v>
      </c>
      <c r="C422" s="1"/>
      <c r="D422" s="28">
        <f t="shared" si="127"/>
        <v>46043</v>
      </c>
      <c r="E422" s="28">
        <f t="shared" si="128"/>
        <v>46027</v>
      </c>
      <c r="F422" s="28">
        <f t="shared" si="129"/>
        <v>46034</v>
      </c>
      <c r="G422" s="28">
        <f t="shared" si="130"/>
        <v>46040</v>
      </c>
      <c r="H422" s="28">
        <f t="shared" si="131"/>
        <v>46028</v>
      </c>
      <c r="I422" s="28">
        <f t="shared" si="132"/>
        <v>46035</v>
      </c>
      <c r="J422" s="28">
        <v>46049</v>
      </c>
      <c r="K422" s="29">
        <f t="shared" si="133"/>
        <v>29</v>
      </c>
      <c r="L422" s="1">
        <v>0</v>
      </c>
      <c r="M422" s="1">
        <v>0</v>
      </c>
      <c r="N422" s="1">
        <f t="shared" si="134"/>
        <v>0</v>
      </c>
      <c r="O422" s="1"/>
    </row>
    <row r="423" spans="1:17" x14ac:dyDescent="0.25">
      <c r="A423" s="28">
        <v>46021</v>
      </c>
      <c r="B423" s="1" t="s">
        <v>250</v>
      </c>
      <c r="C423" s="1"/>
      <c r="D423" s="28">
        <f t="shared" ref="D423:D429" si="135">A423+23</f>
        <v>46044</v>
      </c>
      <c r="E423" s="28">
        <f t="shared" ref="E423:E429" si="136">A423+7</f>
        <v>46028</v>
      </c>
      <c r="F423" s="28">
        <f t="shared" ref="F423:F429" si="137">A423+14</f>
        <v>46035</v>
      </c>
      <c r="G423" s="28">
        <f t="shared" ref="G423:G429" si="138">A423+20</f>
        <v>46041</v>
      </c>
      <c r="H423" s="28">
        <f t="shared" ref="H423:H429" si="139">A423+8</f>
        <v>46029</v>
      </c>
      <c r="I423" s="28">
        <f t="shared" ref="I423:I429" si="140">A423+15</f>
        <v>46036</v>
      </c>
      <c r="J423" s="28">
        <v>46048</v>
      </c>
      <c r="K423" s="29">
        <f t="shared" ref="K423:K430" si="141">J423-A423</f>
        <v>27</v>
      </c>
      <c r="L423" s="1">
        <v>12.87</v>
      </c>
      <c r="M423" s="1">
        <v>6.17</v>
      </c>
      <c r="N423" s="1">
        <f t="shared" si="98"/>
        <v>6.6999999999999993</v>
      </c>
      <c r="O423" s="1" t="s">
        <v>378</v>
      </c>
    </row>
    <row r="424" spans="1:17" x14ac:dyDescent="0.25">
      <c r="A424" s="28">
        <v>46021</v>
      </c>
      <c r="B424" s="1" t="s">
        <v>251</v>
      </c>
      <c r="C424" s="1"/>
      <c r="D424" s="28">
        <f t="shared" si="135"/>
        <v>46044</v>
      </c>
      <c r="E424" s="28">
        <f t="shared" si="136"/>
        <v>46028</v>
      </c>
      <c r="F424" s="28">
        <f t="shared" si="137"/>
        <v>46035</v>
      </c>
      <c r="G424" s="28">
        <f t="shared" si="138"/>
        <v>46041</v>
      </c>
      <c r="H424" s="28">
        <f t="shared" si="139"/>
        <v>46029</v>
      </c>
      <c r="I424" s="28">
        <f t="shared" si="140"/>
        <v>46036</v>
      </c>
      <c r="J424" s="28">
        <v>46048</v>
      </c>
      <c r="K424" s="29">
        <f t="shared" si="141"/>
        <v>27</v>
      </c>
      <c r="L424" s="1">
        <v>13.89</v>
      </c>
      <c r="M424" s="1">
        <v>7.28</v>
      </c>
      <c r="N424" s="1">
        <f t="shared" si="98"/>
        <v>6.61</v>
      </c>
      <c r="O424" s="1" t="s">
        <v>378</v>
      </c>
    </row>
    <row r="425" spans="1:17" x14ac:dyDescent="0.25">
      <c r="A425" s="28">
        <v>46021</v>
      </c>
      <c r="B425" s="1" t="s">
        <v>252</v>
      </c>
      <c r="C425" s="1"/>
      <c r="D425" s="28">
        <f t="shared" si="135"/>
        <v>46044</v>
      </c>
      <c r="E425" s="28">
        <f t="shared" si="136"/>
        <v>46028</v>
      </c>
      <c r="F425" s="28">
        <f t="shared" si="137"/>
        <v>46035</v>
      </c>
      <c r="G425" s="28">
        <f t="shared" si="138"/>
        <v>46041</v>
      </c>
      <c r="H425" s="28">
        <f t="shared" si="139"/>
        <v>46029</v>
      </c>
      <c r="I425" s="28">
        <f t="shared" si="140"/>
        <v>46036</v>
      </c>
      <c r="J425" s="28">
        <v>46048</v>
      </c>
      <c r="K425" s="29">
        <f t="shared" si="141"/>
        <v>27</v>
      </c>
      <c r="L425" s="1">
        <v>13.74</v>
      </c>
      <c r="M425" s="1">
        <v>12.06</v>
      </c>
      <c r="N425" s="1">
        <f t="shared" si="98"/>
        <v>1.6799999999999997</v>
      </c>
      <c r="O425" s="1" t="s">
        <v>379</v>
      </c>
    </row>
    <row r="426" spans="1:17" x14ac:dyDescent="0.25">
      <c r="A426" s="28">
        <v>46021</v>
      </c>
      <c r="B426" s="1" t="s">
        <v>253</v>
      </c>
      <c r="C426" s="1"/>
      <c r="D426" s="28">
        <f t="shared" si="135"/>
        <v>46044</v>
      </c>
      <c r="E426" s="28">
        <f t="shared" si="136"/>
        <v>46028</v>
      </c>
      <c r="F426" s="28">
        <f t="shared" si="137"/>
        <v>46035</v>
      </c>
      <c r="G426" s="28">
        <f t="shared" si="138"/>
        <v>46041</v>
      </c>
      <c r="H426" s="28">
        <f t="shared" si="139"/>
        <v>46029</v>
      </c>
      <c r="I426" s="28">
        <f t="shared" si="140"/>
        <v>46036</v>
      </c>
      <c r="J426" s="28">
        <v>46048</v>
      </c>
      <c r="K426" s="29">
        <f t="shared" si="141"/>
        <v>27</v>
      </c>
      <c r="L426" s="1">
        <v>12.68</v>
      </c>
      <c r="M426" s="1">
        <v>11.54</v>
      </c>
      <c r="N426" s="1">
        <f t="shared" si="98"/>
        <v>1.1400000000000006</v>
      </c>
      <c r="O426" s="1" t="s">
        <v>379</v>
      </c>
    </row>
    <row r="427" spans="1:17" x14ac:dyDescent="0.25">
      <c r="A427" s="28">
        <v>46021</v>
      </c>
      <c r="B427" s="1" t="s">
        <v>254</v>
      </c>
      <c r="C427" s="1"/>
      <c r="D427" s="28">
        <f t="shared" si="135"/>
        <v>46044</v>
      </c>
      <c r="E427" s="28">
        <f t="shared" si="136"/>
        <v>46028</v>
      </c>
      <c r="F427" s="28">
        <f t="shared" si="137"/>
        <v>46035</v>
      </c>
      <c r="G427" s="28">
        <f t="shared" si="138"/>
        <v>46041</v>
      </c>
      <c r="H427" s="28">
        <f t="shared" si="139"/>
        <v>46029</v>
      </c>
      <c r="I427" s="28">
        <f t="shared" si="140"/>
        <v>46036</v>
      </c>
      <c r="J427" s="28">
        <v>46048</v>
      </c>
      <c r="K427" s="29">
        <f t="shared" si="141"/>
        <v>27</v>
      </c>
      <c r="L427" s="1">
        <v>12.23</v>
      </c>
      <c r="M427" s="1">
        <v>11.31</v>
      </c>
      <c r="N427" s="1">
        <f t="shared" si="98"/>
        <v>0.91999999999999993</v>
      </c>
      <c r="O427" s="1" t="s">
        <v>379</v>
      </c>
    </row>
    <row r="428" spans="1:17" x14ac:dyDescent="0.25">
      <c r="A428" s="28">
        <v>46021</v>
      </c>
      <c r="B428" s="1" t="s">
        <v>255</v>
      </c>
      <c r="C428" s="1"/>
      <c r="D428" s="28">
        <f t="shared" si="135"/>
        <v>46044</v>
      </c>
      <c r="E428" s="28">
        <f t="shared" si="136"/>
        <v>46028</v>
      </c>
      <c r="F428" s="28">
        <f t="shared" si="137"/>
        <v>46035</v>
      </c>
      <c r="G428" s="28">
        <f t="shared" si="138"/>
        <v>46041</v>
      </c>
      <c r="H428" s="28">
        <f t="shared" si="139"/>
        <v>46029</v>
      </c>
      <c r="I428" s="28">
        <f t="shared" si="140"/>
        <v>46036</v>
      </c>
      <c r="J428" s="28">
        <v>46048</v>
      </c>
      <c r="K428" s="29">
        <f t="shared" si="141"/>
        <v>27</v>
      </c>
      <c r="L428" s="1">
        <v>14.19</v>
      </c>
      <c r="M428" s="1">
        <v>12.51</v>
      </c>
      <c r="N428" s="1">
        <f t="shared" si="98"/>
        <v>1.6799999999999997</v>
      </c>
      <c r="O428" s="1" t="s">
        <v>379</v>
      </c>
    </row>
    <row r="429" spans="1:17" x14ac:dyDescent="0.25">
      <c r="A429" s="28">
        <v>46021</v>
      </c>
      <c r="B429" s="1" t="s">
        <v>256</v>
      </c>
      <c r="C429" s="1"/>
      <c r="D429" s="28">
        <f t="shared" si="135"/>
        <v>46044</v>
      </c>
      <c r="E429" s="28">
        <f t="shared" si="136"/>
        <v>46028</v>
      </c>
      <c r="F429" s="28">
        <f t="shared" si="137"/>
        <v>46035</v>
      </c>
      <c r="G429" s="28">
        <f t="shared" si="138"/>
        <v>46041</v>
      </c>
      <c r="H429" s="28">
        <f t="shared" si="139"/>
        <v>46029</v>
      </c>
      <c r="I429" s="28">
        <f t="shared" si="140"/>
        <v>46036</v>
      </c>
      <c r="J429" s="28">
        <v>46048</v>
      </c>
      <c r="K429" s="29">
        <f t="shared" si="141"/>
        <v>27</v>
      </c>
      <c r="L429" s="1">
        <v>14.35</v>
      </c>
      <c r="M429" s="1">
        <v>12.73</v>
      </c>
      <c r="N429" s="1">
        <f t="shared" si="98"/>
        <v>1.6199999999999992</v>
      </c>
      <c r="O429" s="1" t="s">
        <v>379</v>
      </c>
    </row>
    <row r="430" spans="1:17" x14ac:dyDescent="0.25">
      <c r="A430" s="28">
        <v>46022</v>
      </c>
      <c r="B430" s="1" t="s">
        <v>213</v>
      </c>
      <c r="C430" s="1"/>
      <c r="D430" s="28">
        <f t="shared" ref="D430:D459" si="142">A430+23</f>
        <v>46045</v>
      </c>
      <c r="E430" s="28">
        <f t="shared" ref="E430:E459" si="143">A430+7</f>
        <v>46029</v>
      </c>
      <c r="F430" s="28">
        <f t="shared" ref="F430:F459" si="144">A430+14</f>
        <v>46036</v>
      </c>
      <c r="G430" s="28">
        <f t="shared" ref="G430:G453" si="145">A430+20</f>
        <v>46042</v>
      </c>
      <c r="H430" s="28">
        <f t="shared" ref="H430:H453" si="146">A430+8</f>
        <v>46030</v>
      </c>
      <c r="I430" s="28">
        <f t="shared" ref="I430:I453" si="147">A430+15</f>
        <v>46037</v>
      </c>
      <c r="J430" s="28">
        <v>46049</v>
      </c>
      <c r="K430" s="29">
        <f t="shared" si="141"/>
        <v>27</v>
      </c>
      <c r="L430" s="34">
        <v>14.75</v>
      </c>
      <c r="M430" s="32">
        <v>12.53</v>
      </c>
      <c r="N430" s="1">
        <f t="shared" si="98"/>
        <v>2.2200000000000006</v>
      </c>
      <c r="O430" s="32" t="s">
        <v>379</v>
      </c>
    </row>
    <row r="431" spans="1:17" x14ac:dyDescent="0.25">
      <c r="A431" s="28">
        <v>46022</v>
      </c>
      <c r="B431" s="1" t="s">
        <v>214</v>
      </c>
      <c r="C431" s="1"/>
      <c r="D431" s="28">
        <f t="shared" si="142"/>
        <v>46045</v>
      </c>
      <c r="E431" s="28">
        <f t="shared" si="143"/>
        <v>46029</v>
      </c>
      <c r="F431" s="28">
        <f t="shared" si="144"/>
        <v>46036</v>
      </c>
      <c r="G431" s="28">
        <f t="shared" si="145"/>
        <v>46042</v>
      </c>
      <c r="H431" s="28">
        <f t="shared" si="146"/>
        <v>46030</v>
      </c>
      <c r="I431" s="28">
        <f t="shared" si="147"/>
        <v>46037</v>
      </c>
      <c r="J431" s="28">
        <v>46049</v>
      </c>
      <c r="K431" s="29">
        <f t="shared" ref="K431:K437" si="148">J431-A431</f>
        <v>27</v>
      </c>
      <c r="L431" s="34">
        <v>13.06</v>
      </c>
      <c r="M431" s="32">
        <v>6.33</v>
      </c>
      <c r="N431" s="1">
        <f t="shared" si="98"/>
        <v>6.73</v>
      </c>
      <c r="O431" s="32" t="s">
        <v>378</v>
      </c>
    </row>
    <row r="432" spans="1:17" x14ac:dyDescent="0.25">
      <c r="A432" s="28">
        <v>46022</v>
      </c>
      <c r="B432" s="1" t="s">
        <v>215</v>
      </c>
      <c r="C432" s="1"/>
      <c r="D432" s="28">
        <f t="shared" si="142"/>
        <v>46045</v>
      </c>
      <c r="E432" s="28">
        <f t="shared" si="143"/>
        <v>46029</v>
      </c>
      <c r="F432" s="28">
        <f t="shared" si="144"/>
        <v>46036</v>
      </c>
      <c r="G432" s="28">
        <f t="shared" si="145"/>
        <v>46042</v>
      </c>
      <c r="H432" s="28">
        <f t="shared" si="146"/>
        <v>46030</v>
      </c>
      <c r="I432" s="28">
        <f t="shared" si="147"/>
        <v>46037</v>
      </c>
      <c r="J432" s="28">
        <v>46049</v>
      </c>
      <c r="K432" s="29">
        <f t="shared" si="148"/>
        <v>27</v>
      </c>
      <c r="L432" s="34">
        <v>12.42</v>
      </c>
      <c r="M432" s="32">
        <v>6.1</v>
      </c>
      <c r="N432" s="1">
        <f t="shared" si="98"/>
        <v>6.32</v>
      </c>
      <c r="O432" s="32" t="s">
        <v>378</v>
      </c>
    </row>
    <row r="433" spans="1:17" x14ac:dyDescent="0.25">
      <c r="A433" s="28">
        <v>46022</v>
      </c>
      <c r="B433" s="1" t="s">
        <v>216</v>
      </c>
      <c r="C433" s="1"/>
      <c r="D433" s="28">
        <f t="shared" si="142"/>
        <v>46045</v>
      </c>
      <c r="E433" s="28">
        <f t="shared" si="143"/>
        <v>46029</v>
      </c>
      <c r="F433" s="28">
        <f t="shared" si="144"/>
        <v>46036</v>
      </c>
      <c r="G433" s="28">
        <f t="shared" si="145"/>
        <v>46042</v>
      </c>
      <c r="H433" s="28">
        <f t="shared" si="146"/>
        <v>46030</v>
      </c>
      <c r="I433" s="28">
        <f t="shared" si="147"/>
        <v>46037</v>
      </c>
      <c r="J433" s="28">
        <v>46049</v>
      </c>
      <c r="K433" s="29">
        <f t="shared" si="148"/>
        <v>27</v>
      </c>
      <c r="L433" s="34">
        <v>13.86</v>
      </c>
      <c r="M433" s="32">
        <v>7.11</v>
      </c>
      <c r="N433" s="1">
        <f t="shared" si="98"/>
        <v>6.7499999999999991</v>
      </c>
      <c r="O433" s="32" t="s">
        <v>378</v>
      </c>
    </row>
    <row r="434" spans="1:17" x14ac:dyDescent="0.25">
      <c r="A434" s="28">
        <v>46022</v>
      </c>
      <c r="B434" s="1" t="s">
        <v>217</v>
      </c>
      <c r="C434" s="1"/>
      <c r="D434" s="28">
        <f t="shared" si="142"/>
        <v>46045</v>
      </c>
      <c r="E434" s="28">
        <f t="shared" si="143"/>
        <v>46029</v>
      </c>
      <c r="F434" s="28">
        <f t="shared" si="144"/>
        <v>46036</v>
      </c>
      <c r="G434" s="28">
        <f t="shared" si="145"/>
        <v>46042</v>
      </c>
      <c r="H434" s="28">
        <f t="shared" si="146"/>
        <v>46030</v>
      </c>
      <c r="I434" s="28">
        <f t="shared" si="147"/>
        <v>46037</v>
      </c>
      <c r="J434" s="28">
        <v>46049</v>
      </c>
      <c r="K434" s="29">
        <f t="shared" si="148"/>
        <v>27</v>
      </c>
      <c r="L434" s="34">
        <v>12.51</v>
      </c>
      <c r="M434" s="32">
        <v>6.25</v>
      </c>
      <c r="N434" s="1">
        <f t="shared" si="98"/>
        <v>6.26</v>
      </c>
      <c r="O434" s="32" t="s">
        <v>378</v>
      </c>
    </row>
    <row r="435" spans="1:17" x14ac:dyDescent="0.25">
      <c r="A435" s="28">
        <v>46022</v>
      </c>
      <c r="B435" s="1" t="s">
        <v>218</v>
      </c>
      <c r="C435" s="1"/>
      <c r="D435" s="28">
        <f t="shared" si="142"/>
        <v>46045</v>
      </c>
      <c r="E435" s="28">
        <f t="shared" si="143"/>
        <v>46029</v>
      </c>
      <c r="F435" s="28">
        <f t="shared" si="144"/>
        <v>46036</v>
      </c>
      <c r="G435" s="28">
        <f t="shared" si="145"/>
        <v>46042</v>
      </c>
      <c r="H435" s="28">
        <f t="shared" si="146"/>
        <v>46030</v>
      </c>
      <c r="I435" s="28">
        <f t="shared" si="147"/>
        <v>46037</v>
      </c>
      <c r="J435" s="28">
        <v>46048</v>
      </c>
      <c r="K435" s="29">
        <f t="shared" si="148"/>
        <v>26</v>
      </c>
      <c r="L435" s="1">
        <v>12.22</v>
      </c>
      <c r="M435" s="1">
        <v>10.48</v>
      </c>
      <c r="N435" s="1">
        <f t="shared" si="98"/>
        <v>1.7400000000000002</v>
      </c>
      <c r="O435" s="1" t="s">
        <v>379</v>
      </c>
    </row>
    <row r="436" spans="1:17" x14ac:dyDescent="0.25">
      <c r="A436" s="28">
        <v>46022</v>
      </c>
      <c r="B436" s="1" t="s">
        <v>219</v>
      </c>
      <c r="C436" s="1"/>
      <c r="D436" s="28">
        <f t="shared" si="142"/>
        <v>46045</v>
      </c>
      <c r="E436" s="28">
        <f t="shared" si="143"/>
        <v>46029</v>
      </c>
      <c r="F436" s="28">
        <f t="shared" si="144"/>
        <v>46036</v>
      </c>
      <c r="G436" s="28">
        <f t="shared" si="145"/>
        <v>46042</v>
      </c>
      <c r="H436" s="28">
        <f t="shared" si="146"/>
        <v>46030</v>
      </c>
      <c r="I436" s="28">
        <f t="shared" si="147"/>
        <v>46037</v>
      </c>
      <c r="J436" s="28">
        <v>46048</v>
      </c>
      <c r="K436" s="29">
        <f t="shared" si="148"/>
        <v>26</v>
      </c>
      <c r="L436" s="1">
        <v>12.04</v>
      </c>
      <c r="M436" s="1">
        <v>10.210000000000001</v>
      </c>
      <c r="N436" s="1">
        <f t="shared" si="98"/>
        <v>1.8299999999999983</v>
      </c>
      <c r="O436" s="1" t="s">
        <v>379</v>
      </c>
    </row>
    <row r="437" spans="1:17" x14ac:dyDescent="0.25">
      <c r="A437" s="28">
        <v>46023</v>
      </c>
      <c r="B437" s="1" t="s">
        <v>243</v>
      </c>
      <c r="C437" s="1"/>
      <c r="D437" s="28">
        <f t="shared" si="142"/>
        <v>46046</v>
      </c>
      <c r="E437" s="28">
        <f t="shared" si="143"/>
        <v>46030</v>
      </c>
      <c r="F437" s="28">
        <f t="shared" si="144"/>
        <v>46037</v>
      </c>
      <c r="G437" s="28">
        <f t="shared" si="145"/>
        <v>46043</v>
      </c>
      <c r="H437" s="28">
        <f t="shared" si="146"/>
        <v>46031</v>
      </c>
      <c r="I437" s="28">
        <f t="shared" si="147"/>
        <v>46038</v>
      </c>
      <c r="J437" s="28">
        <v>46050</v>
      </c>
      <c r="K437" s="29">
        <f t="shared" si="148"/>
        <v>27</v>
      </c>
      <c r="L437" s="34">
        <v>6.91</v>
      </c>
      <c r="M437" s="32">
        <v>5.24</v>
      </c>
      <c r="N437" s="1">
        <f t="shared" si="98"/>
        <v>1.67</v>
      </c>
      <c r="O437" s="32" t="s">
        <v>378</v>
      </c>
      <c r="Q437" s="35"/>
    </row>
    <row r="438" spans="1:17" x14ac:dyDescent="0.25">
      <c r="A438" s="28">
        <v>46023</v>
      </c>
      <c r="B438" s="1" t="s">
        <v>244</v>
      </c>
      <c r="C438" s="1"/>
      <c r="D438" s="28">
        <f t="shared" si="142"/>
        <v>46046</v>
      </c>
      <c r="E438" s="28">
        <f t="shared" si="143"/>
        <v>46030</v>
      </c>
      <c r="F438" s="28">
        <f t="shared" si="144"/>
        <v>46037</v>
      </c>
      <c r="G438" s="28">
        <f t="shared" si="145"/>
        <v>46043</v>
      </c>
      <c r="H438" s="28">
        <f t="shared" si="146"/>
        <v>46031</v>
      </c>
      <c r="I438" s="28">
        <f t="shared" si="147"/>
        <v>46038</v>
      </c>
      <c r="J438" s="28">
        <v>46050</v>
      </c>
      <c r="K438" s="29">
        <f t="shared" ref="K438:K443" si="149">J438-A438</f>
        <v>27</v>
      </c>
      <c r="L438" s="34">
        <v>7.86</v>
      </c>
      <c r="M438" s="32">
        <v>6.58</v>
      </c>
      <c r="N438" s="1">
        <f t="shared" si="98"/>
        <v>1.2800000000000002</v>
      </c>
      <c r="O438" s="32" t="s">
        <v>378</v>
      </c>
      <c r="Q438" s="35"/>
    </row>
    <row r="439" spans="1:17" x14ac:dyDescent="0.25">
      <c r="A439" s="28">
        <v>46023</v>
      </c>
      <c r="B439" s="1" t="s">
        <v>245</v>
      </c>
      <c r="C439" s="1"/>
      <c r="D439" s="28">
        <f t="shared" si="142"/>
        <v>46046</v>
      </c>
      <c r="E439" s="28">
        <f t="shared" si="143"/>
        <v>46030</v>
      </c>
      <c r="F439" s="28">
        <f t="shared" si="144"/>
        <v>46037</v>
      </c>
      <c r="G439" s="28">
        <f t="shared" si="145"/>
        <v>46043</v>
      </c>
      <c r="H439" s="28">
        <f t="shared" si="146"/>
        <v>46031</v>
      </c>
      <c r="I439" s="28">
        <f t="shared" si="147"/>
        <v>46038</v>
      </c>
      <c r="J439" s="28">
        <v>46050</v>
      </c>
      <c r="K439" s="29">
        <f t="shared" si="149"/>
        <v>27</v>
      </c>
      <c r="L439" s="34">
        <v>8.94</v>
      </c>
      <c r="M439" s="32">
        <v>7.12</v>
      </c>
      <c r="N439" s="1">
        <f t="shared" si="98"/>
        <v>1.8199999999999994</v>
      </c>
      <c r="O439" s="32" t="s">
        <v>378</v>
      </c>
      <c r="Q439" s="35"/>
    </row>
    <row r="440" spans="1:17" x14ac:dyDescent="0.25">
      <c r="A440" s="28">
        <v>46023</v>
      </c>
      <c r="B440" s="1" t="s">
        <v>246</v>
      </c>
      <c r="C440" s="1"/>
      <c r="D440" s="28">
        <f t="shared" si="142"/>
        <v>46046</v>
      </c>
      <c r="E440" s="28">
        <f t="shared" si="143"/>
        <v>46030</v>
      </c>
      <c r="F440" s="28">
        <f t="shared" si="144"/>
        <v>46037</v>
      </c>
      <c r="G440" s="28">
        <f t="shared" si="145"/>
        <v>46043</v>
      </c>
      <c r="H440" s="28">
        <f t="shared" si="146"/>
        <v>46031</v>
      </c>
      <c r="I440" s="28">
        <f t="shared" si="147"/>
        <v>46038</v>
      </c>
      <c r="J440" s="28">
        <v>46050</v>
      </c>
      <c r="K440" s="29">
        <f t="shared" si="149"/>
        <v>27</v>
      </c>
      <c r="L440" s="34">
        <v>11.07</v>
      </c>
      <c r="M440" s="32">
        <v>9.6</v>
      </c>
      <c r="N440" s="1">
        <f t="shared" si="98"/>
        <v>1.4700000000000006</v>
      </c>
      <c r="O440" s="32" t="s">
        <v>378</v>
      </c>
      <c r="Q440" s="35"/>
    </row>
    <row r="441" spans="1:17" x14ac:dyDescent="0.25">
      <c r="A441" s="28">
        <v>46023</v>
      </c>
      <c r="B441" s="1" t="s">
        <v>247</v>
      </c>
      <c r="C441" s="1"/>
      <c r="D441" s="28">
        <f t="shared" si="142"/>
        <v>46046</v>
      </c>
      <c r="E441" s="28">
        <f t="shared" si="143"/>
        <v>46030</v>
      </c>
      <c r="F441" s="28">
        <f t="shared" si="144"/>
        <v>46037</v>
      </c>
      <c r="G441" s="28">
        <f t="shared" si="145"/>
        <v>46043</v>
      </c>
      <c r="H441" s="28">
        <f t="shared" si="146"/>
        <v>46031</v>
      </c>
      <c r="I441" s="28">
        <f t="shared" si="147"/>
        <v>46038</v>
      </c>
      <c r="J441" s="28">
        <v>46050</v>
      </c>
      <c r="K441" s="29">
        <f t="shared" si="149"/>
        <v>27</v>
      </c>
      <c r="L441" s="34">
        <v>11.84</v>
      </c>
      <c r="M441" s="32">
        <v>10.71</v>
      </c>
      <c r="N441" s="1">
        <f t="shared" ref="N441:N493" si="150">L441-M441</f>
        <v>1.129999999999999</v>
      </c>
      <c r="O441" s="32" t="s">
        <v>379</v>
      </c>
      <c r="Q441" s="35"/>
    </row>
    <row r="442" spans="1:17" x14ac:dyDescent="0.25">
      <c r="A442" s="28">
        <v>46023</v>
      </c>
      <c r="B442" s="1" t="s">
        <v>248</v>
      </c>
      <c r="C442" s="1"/>
      <c r="D442" s="28">
        <f t="shared" si="142"/>
        <v>46046</v>
      </c>
      <c r="E442" s="28">
        <f t="shared" si="143"/>
        <v>46030</v>
      </c>
      <c r="F442" s="28">
        <f t="shared" si="144"/>
        <v>46037</v>
      </c>
      <c r="G442" s="28">
        <f t="shared" si="145"/>
        <v>46043</v>
      </c>
      <c r="H442" s="28">
        <f t="shared" si="146"/>
        <v>46031</v>
      </c>
      <c r="I442" s="28">
        <f t="shared" si="147"/>
        <v>46038</v>
      </c>
      <c r="J442" s="28">
        <v>46050</v>
      </c>
      <c r="K442" s="29">
        <f t="shared" si="149"/>
        <v>27</v>
      </c>
      <c r="L442" s="34">
        <v>15.71</v>
      </c>
      <c r="M442" s="32">
        <v>11.33</v>
      </c>
      <c r="N442" s="1">
        <f t="shared" si="150"/>
        <v>4.3800000000000008</v>
      </c>
      <c r="O442" s="32" t="s">
        <v>379</v>
      </c>
      <c r="Q442" s="35"/>
    </row>
    <row r="443" spans="1:17" x14ac:dyDescent="0.25">
      <c r="A443" s="28">
        <v>46023</v>
      </c>
      <c r="B443" s="1" t="s">
        <v>249</v>
      </c>
      <c r="C443" s="1"/>
      <c r="D443" s="28">
        <f t="shared" si="142"/>
        <v>46046</v>
      </c>
      <c r="E443" s="28">
        <f t="shared" si="143"/>
        <v>46030</v>
      </c>
      <c r="F443" s="28">
        <f t="shared" si="144"/>
        <v>46037</v>
      </c>
      <c r="G443" s="28">
        <f t="shared" si="145"/>
        <v>46043</v>
      </c>
      <c r="H443" s="28">
        <f t="shared" si="146"/>
        <v>46031</v>
      </c>
      <c r="I443" s="28">
        <f t="shared" si="147"/>
        <v>46038</v>
      </c>
      <c r="J443" s="28">
        <v>46050</v>
      </c>
      <c r="K443" s="29">
        <f t="shared" si="149"/>
        <v>27</v>
      </c>
      <c r="L443" s="34">
        <v>13.16</v>
      </c>
      <c r="M443" s="32">
        <v>11.27</v>
      </c>
      <c r="N443" s="1">
        <f t="shared" si="150"/>
        <v>1.8900000000000006</v>
      </c>
      <c r="O443" s="32" t="s">
        <v>379</v>
      </c>
      <c r="Q443" s="35"/>
    </row>
    <row r="444" spans="1:17" x14ac:dyDescent="0.25">
      <c r="A444" s="28">
        <v>46024</v>
      </c>
      <c r="B444" s="1" t="s">
        <v>206</v>
      </c>
      <c r="C444" s="1"/>
      <c r="D444" s="28">
        <f t="shared" si="142"/>
        <v>46047</v>
      </c>
      <c r="E444" s="28">
        <f t="shared" si="143"/>
        <v>46031</v>
      </c>
      <c r="F444" s="28">
        <f t="shared" si="144"/>
        <v>46038</v>
      </c>
      <c r="G444" s="28">
        <f t="shared" si="145"/>
        <v>46044</v>
      </c>
      <c r="H444" s="28">
        <f t="shared" si="146"/>
        <v>46032</v>
      </c>
      <c r="I444" s="28">
        <f t="shared" si="147"/>
        <v>46039</v>
      </c>
      <c r="J444" s="28">
        <v>46051</v>
      </c>
      <c r="K444" s="29">
        <f t="shared" ref="K444:K449" si="151">J444-A444</f>
        <v>27</v>
      </c>
      <c r="L444" s="34">
        <v>11.37</v>
      </c>
      <c r="M444" s="32">
        <v>10.59</v>
      </c>
      <c r="N444" s="1">
        <f t="shared" si="150"/>
        <v>0.77999999999999936</v>
      </c>
      <c r="O444" s="32" t="s">
        <v>379</v>
      </c>
      <c r="Q444" s="35"/>
    </row>
    <row r="445" spans="1:17" x14ac:dyDescent="0.25">
      <c r="A445" s="28">
        <v>46024</v>
      </c>
      <c r="B445" s="1" t="s">
        <v>207</v>
      </c>
      <c r="C445" s="1"/>
      <c r="D445" s="28">
        <f t="shared" si="142"/>
        <v>46047</v>
      </c>
      <c r="E445" s="28">
        <f t="shared" si="143"/>
        <v>46031</v>
      </c>
      <c r="F445" s="28">
        <f t="shared" si="144"/>
        <v>46038</v>
      </c>
      <c r="G445" s="28">
        <f t="shared" si="145"/>
        <v>46044</v>
      </c>
      <c r="H445" s="28">
        <f t="shared" si="146"/>
        <v>46032</v>
      </c>
      <c r="I445" s="28">
        <f t="shared" si="147"/>
        <v>46039</v>
      </c>
      <c r="J445" s="28">
        <v>46051</v>
      </c>
      <c r="K445" s="29">
        <f t="shared" si="151"/>
        <v>27</v>
      </c>
      <c r="L445" s="34">
        <v>12.74</v>
      </c>
      <c r="M445" s="32">
        <v>11.2</v>
      </c>
      <c r="N445" s="1">
        <f t="shared" si="150"/>
        <v>1.5400000000000009</v>
      </c>
      <c r="O445" s="32" t="s">
        <v>379</v>
      </c>
      <c r="Q445" s="35"/>
    </row>
    <row r="446" spans="1:17" x14ac:dyDescent="0.25">
      <c r="A446" s="28">
        <v>46024</v>
      </c>
      <c r="B446" s="1" t="s">
        <v>208</v>
      </c>
      <c r="C446" s="1"/>
      <c r="D446" s="28">
        <f t="shared" si="142"/>
        <v>46047</v>
      </c>
      <c r="E446" s="28">
        <f t="shared" si="143"/>
        <v>46031</v>
      </c>
      <c r="F446" s="28">
        <f t="shared" si="144"/>
        <v>46038</v>
      </c>
      <c r="G446" s="28">
        <f t="shared" si="145"/>
        <v>46044</v>
      </c>
      <c r="H446" s="28">
        <f t="shared" si="146"/>
        <v>46032</v>
      </c>
      <c r="I446" s="28">
        <f t="shared" si="147"/>
        <v>46039</v>
      </c>
      <c r="J446" s="28">
        <v>46051</v>
      </c>
      <c r="K446" s="29">
        <f t="shared" si="151"/>
        <v>27</v>
      </c>
      <c r="L446" s="34">
        <v>11.86</v>
      </c>
      <c r="M446" s="32">
        <v>5.61</v>
      </c>
      <c r="N446" s="1">
        <f t="shared" si="150"/>
        <v>6.2499999999999991</v>
      </c>
      <c r="O446" s="32" t="s">
        <v>378</v>
      </c>
      <c r="Q446" s="35"/>
    </row>
    <row r="447" spans="1:17" x14ac:dyDescent="0.25">
      <c r="A447" s="28">
        <v>46024</v>
      </c>
      <c r="B447" s="1" t="s">
        <v>209</v>
      </c>
      <c r="C447" s="1"/>
      <c r="D447" s="28">
        <f t="shared" si="142"/>
        <v>46047</v>
      </c>
      <c r="E447" s="28">
        <f t="shared" si="143"/>
        <v>46031</v>
      </c>
      <c r="F447" s="28">
        <f t="shared" si="144"/>
        <v>46038</v>
      </c>
      <c r="G447" s="28">
        <f t="shared" si="145"/>
        <v>46044</v>
      </c>
      <c r="H447" s="28">
        <f t="shared" si="146"/>
        <v>46032</v>
      </c>
      <c r="I447" s="28">
        <f t="shared" si="147"/>
        <v>46039</v>
      </c>
      <c r="J447" s="28">
        <v>46051</v>
      </c>
      <c r="K447" s="29">
        <f t="shared" si="151"/>
        <v>27</v>
      </c>
      <c r="L447" s="34">
        <v>10.41</v>
      </c>
      <c r="M447" s="32">
        <v>4.58</v>
      </c>
      <c r="N447" s="1">
        <f t="shared" si="150"/>
        <v>5.83</v>
      </c>
      <c r="O447" s="32" t="s">
        <v>378</v>
      </c>
      <c r="Q447" s="35"/>
    </row>
    <row r="448" spans="1:17" x14ac:dyDescent="0.25">
      <c r="A448" s="28">
        <v>46024</v>
      </c>
      <c r="B448" s="1" t="s">
        <v>210</v>
      </c>
      <c r="C448" s="1"/>
      <c r="D448" s="28">
        <f t="shared" si="142"/>
        <v>46047</v>
      </c>
      <c r="E448" s="28">
        <f t="shared" si="143"/>
        <v>46031</v>
      </c>
      <c r="F448" s="28">
        <f t="shared" si="144"/>
        <v>46038</v>
      </c>
      <c r="G448" s="28">
        <f t="shared" si="145"/>
        <v>46044</v>
      </c>
      <c r="H448" s="28">
        <f t="shared" si="146"/>
        <v>46032</v>
      </c>
      <c r="I448" s="28">
        <f t="shared" si="147"/>
        <v>46039</v>
      </c>
      <c r="J448" s="28">
        <v>46051</v>
      </c>
      <c r="K448" s="29">
        <f t="shared" si="151"/>
        <v>27</v>
      </c>
      <c r="L448" s="34">
        <v>11.17</v>
      </c>
      <c r="M448" s="32">
        <v>5.12</v>
      </c>
      <c r="N448" s="1">
        <f t="shared" si="150"/>
        <v>6.05</v>
      </c>
      <c r="O448" s="32" t="s">
        <v>378</v>
      </c>
      <c r="Q448" s="35"/>
    </row>
    <row r="449" spans="1:17" x14ac:dyDescent="0.25">
      <c r="A449" s="28">
        <v>46024</v>
      </c>
      <c r="B449" s="1" t="s">
        <v>211</v>
      </c>
      <c r="C449" s="1"/>
      <c r="D449" s="28">
        <f t="shared" si="142"/>
        <v>46047</v>
      </c>
      <c r="E449" s="28">
        <f t="shared" si="143"/>
        <v>46031</v>
      </c>
      <c r="F449" s="28">
        <f t="shared" si="144"/>
        <v>46038</v>
      </c>
      <c r="G449" s="28">
        <f t="shared" si="145"/>
        <v>46044</v>
      </c>
      <c r="H449" s="28">
        <f t="shared" si="146"/>
        <v>46032</v>
      </c>
      <c r="I449" s="28">
        <f t="shared" si="147"/>
        <v>46039</v>
      </c>
      <c r="J449" s="28">
        <v>46051</v>
      </c>
      <c r="K449" s="29">
        <f t="shared" si="151"/>
        <v>27</v>
      </c>
      <c r="L449" s="34">
        <v>11.68</v>
      </c>
      <c r="M449" s="32">
        <v>5.73</v>
      </c>
      <c r="N449" s="1">
        <f t="shared" si="150"/>
        <v>5.9499999999999993</v>
      </c>
      <c r="O449" s="32" t="s">
        <v>378</v>
      </c>
      <c r="Q449" s="35"/>
    </row>
    <row r="450" spans="1:17" x14ac:dyDescent="0.25">
      <c r="A450" s="28">
        <v>46024</v>
      </c>
      <c r="B450" s="1" t="s">
        <v>212</v>
      </c>
      <c r="C450" s="1"/>
      <c r="D450" s="28">
        <f t="shared" si="142"/>
        <v>46047</v>
      </c>
      <c r="E450" s="28">
        <f t="shared" si="143"/>
        <v>46031</v>
      </c>
      <c r="F450" s="28">
        <f t="shared" si="144"/>
        <v>46038</v>
      </c>
      <c r="G450" s="28">
        <f t="shared" si="145"/>
        <v>46044</v>
      </c>
      <c r="H450" s="28">
        <f t="shared" si="146"/>
        <v>46032</v>
      </c>
      <c r="I450" s="28">
        <f t="shared" si="147"/>
        <v>46039</v>
      </c>
      <c r="J450" s="28">
        <v>46050</v>
      </c>
      <c r="K450" s="29">
        <f t="shared" ref="K450:K456" si="152">J450-A450</f>
        <v>26</v>
      </c>
      <c r="L450" s="34">
        <v>10.27</v>
      </c>
      <c r="M450" s="32">
        <v>8.41</v>
      </c>
      <c r="N450" s="1">
        <f t="shared" si="150"/>
        <v>1.8599999999999994</v>
      </c>
      <c r="O450" s="32" t="s">
        <v>379</v>
      </c>
      <c r="Q450" s="35"/>
    </row>
    <row r="451" spans="1:17" x14ac:dyDescent="0.25">
      <c r="A451" s="28">
        <v>46025</v>
      </c>
      <c r="B451" s="1" t="s">
        <v>236</v>
      </c>
      <c r="C451" s="1"/>
      <c r="D451" s="28">
        <f t="shared" si="142"/>
        <v>46048</v>
      </c>
      <c r="E451" s="28">
        <f t="shared" si="143"/>
        <v>46032</v>
      </c>
      <c r="F451" s="28">
        <f t="shared" si="144"/>
        <v>46039</v>
      </c>
      <c r="G451" s="28">
        <f t="shared" si="145"/>
        <v>46045</v>
      </c>
      <c r="H451" s="28">
        <f t="shared" si="146"/>
        <v>46033</v>
      </c>
      <c r="I451" s="28">
        <f t="shared" si="147"/>
        <v>46040</v>
      </c>
      <c r="J451" s="28">
        <v>46052</v>
      </c>
      <c r="K451" s="29">
        <f t="shared" si="152"/>
        <v>27</v>
      </c>
      <c r="L451" s="34">
        <v>13.02</v>
      </c>
      <c r="M451" s="32">
        <v>11.73</v>
      </c>
      <c r="N451" s="1">
        <f t="shared" si="150"/>
        <v>1.2899999999999991</v>
      </c>
      <c r="O451" s="32" t="s">
        <v>379</v>
      </c>
      <c r="Q451" s="35"/>
    </row>
    <row r="452" spans="1:17" x14ac:dyDescent="0.25">
      <c r="A452" s="28">
        <v>46025</v>
      </c>
      <c r="B452" s="1" t="s">
        <v>237</v>
      </c>
      <c r="C452" s="1"/>
      <c r="D452" s="28">
        <f t="shared" si="142"/>
        <v>46048</v>
      </c>
      <c r="E452" s="28">
        <f t="shared" si="143"/>
        <v>46032</v>
      </c>
      <c r="F452" s="28">
        <f t="shared" si="144"/>
        <v>46039</v>
      </c>
      <c r="G452" s="28">
        <f t="shared" si="145"/>
        <v>46045</v>
      </c>
      <c r="H452" s="28">
        <f t="shared" si="146"/>
        <v>46033</v>
      </c>
      <c r="I452" s="28">
        <f t="shared" si="147"/>
        <v>46040</v>
      </c>
      <c r="J452" s="28">
        <v>46052</v>
      </c>
      <c r="K452" s="29">
        <f t="shared" si="152"/>
        <v>27</v>
      </c>
      <c r="L452" s="34">
        <v>13.81</v>
      </c>
      <c r="M452" s="32">
        <v>12.54</v>
      </c>
      <c r="N452" s="1">
        <f t="shared" si="150"/>
        <v>1.2700000000000014</v>
      </c>
      <c r="O452" s="32" t="s">
        <v>379</v>
      </c>
      <c r="Q452" s="35"/>
    </row>
    <row r="453" spans="1:17" x14ac:dyDescent="0.25">
      <c r="A453" s="28">
        <v>46025</v>
      </c>
      <c r="B453" s="1" t="s">
        <v>238</v>
      </c>
      <c r="C453" s="1"/>
      <c r="D453" s="28">
        <f t="shared" si="142"/>
        <v>46048</v>
      </c>
      <c r="E453" s="28">
        <f t="shared" si="143"/>
        <v>46032</v>
      </c>
      <c r="F453" s="28">
        <f t="shared" si="144"/>
        <v>46039</v>
      </c>
      <c r="G453" s="28">
        <f t="shared" si="145"/>
        <v>46045</v>
      </c>
      <c r="H453" s="28">
        <f t="shared" si="146"/>
        <v>46033</v>
      </c>
      <c r="I453" s="28">
        <f t="shared" si="147"/>
        <v>46040</v>
      </c>
      <c r="J453" s="28">
        <v>46052</v>
      </c>
      <c r="K453" s="29">
        <f t="shared" si="152"/>
        <v>27</v>
      </c>
      <c r="L453" s="34">
        <v>12.85</v>
      </c>
      <c r="M453" s="32">
        <v>6.93</v>
      </c>
      <c r="N453" s="1">
        <f t="shared" si="150"/>
        <v>5.92</v>
      </c>
      <c r="O453" s="32" t="s">
        <v>378</v>
      </c>
      <c r="Q453" s="35"/>
    </row>
    <row r="454" spans="1:17" x14ac:dyDescent="0.25">
      <c r="A454" s="28">
        <v>46025</v>
      </c>
      <c r="B454" s="1" t="s">
        <v>239</v>
      </c>
      <c r="C454" s="1"/>
      <c r="D454" s="28">
        <f t="shared" si="142"/>
        <v>46048</v>
      </c>
      <c r="E454" s="28">
        <f t="shared" si="143"/>
        <v>46032</v>
      </c>
      <c r="F454" s="28">
        <f t="shared" si="144"/>
        <v>46039</v>
      </c>
      <c r="G454" s="28">
        <f t="shared" ref="G454:G465" si="153">A454+20</f>
        <v>46045</v>
      </c>
      <c r="H454" s="28">
        <f t="shared" ref="H454:H465" si="154">A454+8</f>
        <v>46033</v>
      </c>
      <c r="I454" s="28">
        <f t="shared" ref="I454:I465" si="155">A454+15</f>
        <v>46040</v>
      </c>
      <c r="J454" s="28">
        <v>46052</v>
      </c>
      <c r="K454" s="29">
        <f t="shared" si="152"/>
        <v>27</v>
      </c>
      <c r="L454" s="34">
        <v>13.36</v>
      </c>
      <c r="M454" s="32">
        <v>7.51</v>
      </c>
      <c r="N454" s="1">
        <f t="shared" si="150"/>
        <v>5.85</v>
      </c>
      <c r="O454" s="32" t="s">
        <v>378</v>
      </c>
      <c r="Q454" s="35"/>
    </row>
    <row r="455" spans="1:17" x14ac:dyDescent="0.25">
      <c r="A455" s="28">
        <v>46025</v>
      </c>
      <c r="B455" s="1" t="s">
        <v>240</v>
      </c>
      <c r="C455" s="1"/>
      <c r="D455" s="28">
        <f t="shared" si="142"/>
        <v>46048</v>
      </c>
      <c r="E455" s="28">
        <f t="shared" si="143"/>
        <v>46032</v>
      </c>
      <c r="F455" s="28">
        <f t="shared" si="144"/>
        <v>46039</v>
      </c>
      <c r="G455" s="28">
        <f t="shared" si="153"/>
        <v>46045</v>
      </c>
      <c r="H455" s="28">
        <f t="shared" si="154"/>
        <v>46033</v>
      </c>
      <c r="I455" s="28">
        <f t="shared" si="155"/>
        <v>46040</v>
      </c>
      <c r="J455" s="28">
        <v>46052</v>
      </c>
      <c r="K455" s="29">
        <f t="shared" si="152"/>
        <v>27</v>
      </c>
      <c r="L455" s="34">
        <v>12.62</v>
      </c>
      <c r="M455" s="32">
        <v>7.78</v>
      </c>
      <c r="N455" s="1">
        <f t="shared" si="150"/>
        <v>4.839999999999999</v>
      </c>
      <c r="O455" s="32" t="s">
        <v>378</v>
      </c>
      <c r="Q455" s="35"/>
    </row>
    <row r="456" spans="1:17" x14ac:dyDescent="0.25">
      <c r="A456" s="28">
        <v>46025</v>
      </c>
      <c r="B456" s="1" t="s">
        <v>241</v>
      </c>
      <c r="C456" s="1"/>
      <c r="D456" s="28">
        <f t="shared" si="142"/>
        <v>46048</v>
      </c>
      <c r="E456" s="28">
        <f t="shared" si="143"/>
        <v>46032</v>
      </c>
      <c r="F456" s="28">
        <f t="shared" si="144"/>
        <v>46039</v>
      </c>
      <c r="G456" s="28">
        <f t="shared" si="153"/>
        <v>46045</v>
      </c>
      <c r="H456" s="28">
        <f t="shared" si="154"/>
        <v>46033</v>
      </c>
      <c r="I456" s="28">
        <f t="shared" si="155"/>
        <v>46040</v>
      </c>
      <c r="J456" s="28">
        <v>46051</v>
      </c>
      <c r="K456" s="29">
        <f t="shared" si="152"/>
        <v>26</v>
      </c>
      <c r="L456" s="34">
        <v>13.53</v>
      </c>
      <c r="M456" s="32">
        <v>12.08</v>
      </c>
      <c r="N456" s="1">
        <f t="shared" si="150"/>
        <v>1.4499999999999993</v>
      </c>
      <c r="O456" s="32" t="s">
        <v>379</v>
      </c>
      <c r="Q456" s="35"/>
    </row>
    <row r="457" spans="1:17" x14ac:dyDescent="0.25">
      <c r="A457" s="28">
        <v>46025</v>
      </c>
      <c r="B457" s="1" t="s">
        <v>242</v>
      </c>
      <c r="C457" s="1"/>
      <c r="D457" s="28">
        <f t="shared" si="142"/>
        <v>46048</v>
      </c>
      <c r="E457" s="28">
        <f t="shared" si="143"/>
        <v>46032</v>
      </c>
      <c r="F457" s="28">
        <f t="shared" si="144"/>
        <v>46039</v>
      </c>
      <c r="G457" s="28">
        <f t="shared" si="153"/>
        <v>46045</v>
      </c>
      <c r="H457" s="28">
        <f t="shared" si="154"/>
        <v>46033</v>
      </c>
      <c r="I457" s="28">
        <f t="shared" si="155"/>
        <v>46040</v>
      </c>
      <c r="J457" s="28">
        <v>46051</v>
      </c>
      <c r="K457" s="29">
        <f t="shared" ref="K457:K464" si="156">J457-A457</f>
        <v>26</v>
      </c>
      <c r="L457" s="34">
        <v>12.05</v>
      </c>
      <c r="M457" s="32">
        <v>10.74</v>
      </c>
      <c r="N457" s="1">
        <f t="shared" si="150"/>
        <v>1.3100000000000005</v>
      </c>
      <c r="O457" s="32" t="s">
        <v>379</v>
      </c>
      <c r="Q457" s="35"/>
    </row>
    <row r="458" spans="1:17" x14ac:dyDescent="0.25">
      <c r="A458" s="28">
        <v>46026</v>
      </c>
      <c r="B458" s="1" t="s">
        <v>204</v>
      </c>
      <c r="C458" s="1"/>
      <c r="D458" s="28">
        <f t="shared" si="142"/>
        <v>46049</v>
      </c>
      <c r="E458" s="28">
        <f t="shared" si="143"/>
        <v>46033</v>
      </c>
      <c r="F458" s="28">
        <f t="shared" si="144"/>
        <v>46040</v>
      </c>
      <c r="G458" s="28">
        <f t="shared" si="153"/>
        <v>46046</v>
      </c>
      <c r="H458" s="28">
        <f t="shared" si="154"/>
        <v>46034</v>
      </c>
      <c r="I458" s="28">
        <f t="shared" si="155"/>
        <v>46041</v>
      </c>
      <c r="J458" s="28">
        <v>46052</v>
      </c>
      <c r="K458" s="29">
        <f t="shared" si="156"/>
        <v>26</v>
      </c>
      <c r="L458" s="34">
        <v>11.89</v>
      </c>
      <c r="M458" s="32">
        <v>10.119999999999999</v>
      </c>
      <c r="N458" s="1">
        <f t="shared" si="150"/>
        <v>1.7700000000000014</v>
      </c>
      <c r="O458" s="32" t="s">
        <v>379</v>
      </c>
      <c r="Q458" s="35"/>
    </row>
    <row r="459" spans="1:17" x14ac:dyDescent="0.25">
      <c r="A459" s="28">
        <v>46026</v>
      </c>
      <c r="B459" s="1" t="s">
        <v>205</v>
      </c>
      <c r="C459" s="1"/>
      <c r="D459" s="28">
        <f t="shared" si="142"/>
        <v>46049</v>
      </c>
      <c r="E459" s="28">
        <f t="shared" si="143"/>
        <v>46033</v>
      </c>
      <c r="F459" s="28">
        <f t="shared" si="144"/>
        <v>46040</v>
      </c>
      <c r="G459" s="28">
        <f t="shared" si="153"/>
        <v>46046</v>
      </c>
      <c r="H459" s="28">
        <f t="shared" si="154"/>
        <v>46034</v>
      </c>
      <c r="I459" s="28">
        <f t="shared" si="155"/>
        <v>46041</v>
      </c>
      <c r="J459" s="28">
        <v>46052</v>
      </c>
      <c r="K459" s="29">
        <f t="shared" si="156"/>
        <v>26</v>
      </c>
      <c r="L459" s="34">
        <v>12.17</v>
      </c>
      <c r="M459" s="32">
        <v>10.54</v>
      </c>
      <c r="N459" s="1">
        <f t="shared" si="150"/>
        <v>1.6300000000000008</v>
      </c>
      <c r="O459" s="32" t="s">
        <v>379</v>
      </c>
      <c r="Q459" s="35"/>
    </row>
    <row r="460" spans="1:17" x14ac:dyDescent="0.25">
      <c r="A460" s="28">
        <v>46026</v>
      </c>
      <c r="B460" s="1" t="s">
        <v>234</v>
      </c>
      <c r="C460" s="1"/>
      <c r="D460" s="28">
        <f t="shared" ref="D460:D465" si="157">A460+23</f>
        <v>46049</v>
      </c>
      <c r="E460" s="28">
        <f t="shared" ref="E460:E465" si="158">A460+7</f>
        <v>46033</v>
      </c>
      <c r="F460" s="28">
        <f t="shared" ref="F460:F465" si="159">A460+14</f>
        <v>46040</v>
      </c>
      <c r="G460" s="28">
        <f t="shared" si="153"/>
        <v>46046</v>
      </c>
      <c r="H460" s="28">
        <f t="shared" si="154"/>
        <v>46034</v>
      </c>
      <c r="I460" s="28">
        <f t="shared" si="155"/>
        <v>46041</v>
      </c>
      <c r="J460" s="28">
        <v>46052</v>
      </c>
      <c r="K460" s="29">
        <f t="shared" si="156"/>
        <v>26</v>
      </c>
      <c r="L460" s="34">
        <v>12.91</v>
      </c>
      <c r="M460" s="32">
        <v>11.06</v>
      </c>
      <c r="N460" s="1">
        <f t="shared" si="150"/>
        <v>1.8499999999999996</v>
      </c>
      <c r="O460" s="32" t="s">
        <v>379</v>
      </c>
      <c r="Q460" s="35"/>
    </row>
    <row r="461" spans="1:17" x14ac:dyDescent="0.25">
      <c r="A461" s="28">
        <v>46026</v>
      </c>
      <c r="B461" s="1" t="s">
        <v>235</v>
      </c>
      <c r="C461" s="1"/>
      <c r="D461" s="28">
        <f t="shared" si="157"/>
        <v>46049</v>
      </c>
      <c r="E461" s="28">
        <f t="shared" si="158"/>
        <v>46033</v>
      </c>
      <c r="F461" s="28">
        <f t="shared" si="159"/>
        <v>46040</v>
      </c>
      <c r="G461" s="28">
        <f t="shared" si="153"/>
        <v>46046</v>
      </c>
      <c r="H461" s="28">
        <f t="shared" si="154"/>
        <v>46034</v>
      </c>
      <c r="I461" s="28">
        <f t="shared" si="155"/>
        <v>46041</v>
      </c>
      <c r="J461" s="28">
        <v>46052</v>
      </c>
      <c r="K461" s="29">
        <f t="shared" si="156"/>
        <v>26</v>
      </c>
      <c r="L461" s="34">
        <v>11.78</v>
      </c>
      <c r="M461" s="32">
        <v>10.24</v>
      </c>
      <c r="N461" s="1">
        <f t="shared" si="150"/>
        <v>1.5399999999999991</v>
      </c>
      <c r="O461" s="32" t="s">
        <v>379</v>
      </c>
    </row>
    <row r="462" spans="1:17" x14ac:dyDescent="0.25">
      <c r="A462" s="28">
        <v>46026</v>
      </c>
      <c r="B462" s="1" t="s">
        <v>391</v>
      </c>
      <c r="C462" s="1"/>
      <c r="D462" s="28">
        <f t="shared" si="157"/>
        <v>46049</v>
      </c>
      <c r="E462" s="28">
        <f t="shared" si="158"/>
        <v>46033</v>
      </c>
      <c r="F462" s="28">
        <f t="shared" si="159"/>
        <v>46040</v>
      </c>
      <c r="G462" s="28">
        <f t="shared" si="153"/>
        <v>46046</v>
      </c>
      <c r="H462" s="28">
        <f t="shared" si="154"/>
        <v>46034</v>
      </c>
      <c r="I462" s="28">
        <f t="shared" si="155"/>
        <v>46041</v>
      </c>
      <c r="J462" s="28">
        <v>46052</v>
      </c>
      <c r="K462" s="29">
        <f t="shared" si="156"/>
        <v>26</v>
      </c>
      <c r="L462" s="34">
        <v>10.66</v>
      </c>
      <c r="M462" s="32">
        <v>9.81</v>
      </c>
      <c r="N462" s="1">
        <f t="shared" si="150"/>
        <v>0.84999999999999964</v>
      </c>
      <c r="O462" s="32" t="s">
        <v>379</v>
      </c>
    </row>
    <row r="463" spans="1:17" x14ac:dyDescent="0.25">
      <c r="A463" s="28">
        <v>46026</v>
      </c>
      <c r="B463" s="1" t="s">
        <v>392</v>
      </c>
      <c r="C463" s="1"/>
      <c r="D463" s="28">
        <f t="shared" si="157"/>
        <v>46049</v>
      </c>
      <c r="E463" s="28">
        <f t="shared" si="158"/>
        <v>46033</v>
      </c>
      <c r="F463" s="28">
        <f t="shared" si="159"/>
        <v>46040</v>
      </c>
      <c r="G463" s="28">
        <f t="shared" si="153"/>
        <v>46046</v>
      </c>
      <c r="H463" s="28">
        <f t="shared" si="154"/>
        <v>46034</v>
      </c>
      <c r="I463" s="28">
        <f t="shared" si="155"/>
        <v>46041</v>
      </c>
      <c r="J463" s="28">
        <v>46052</v>
      </c>
      <c r="K463" s="29">
        <f t="shared" si="156"/>
        <v>26</v>
      </c>
      <c r="L463" s="1">
        <v>0</v>
      </c>
      <c r="M463" s="1">
        <v>0</v>
      </c>
      <c r="N463" s="1">
        <v>0</v>
      </c>
      <c r="O463" s="1"/>
      <c r="Q463" s="35"/>
    </row>
    <row r="464" spans="1:17" x14ac:dyDescent="0.25">
      <c r="A464" s="28">
        <v>46026</v>
      </c>
      <c r="B464" s="1" t="s">
        <v>266</v>
      </c>
      <c r="C464" s="1"/>
      <c r="D464" s="28">
        <f t="shared" si="157"/>
        <v>46049</v>
      </c>
      <c r="E464" s="28">
        <f t="shared" si="158"/>
        <v>46033</v>
      </c>
      <c r="F464" s="28">
        <f t="shared" si="159"/>
        <v>46040</v>
      </c>
      <c r="G464" s="28">
        <f t="shared" si="153"/>
        <v>46046</v>
      </c>
      <c r="H464" s="28">
        <f t="shared" si="154"/>
        <v>46034</v>
      </c>
      <c r="I464" s="28">
        <f t="shared" si="155"/>
        <v>46041</v>
      </c>
      <c r="J464" s="28">
        <v>46053</v>
      </c>
      <c r="K464" s="29">
        <f t="shared" si="156"/>
        <v>27</v>
      </c>
      <c r="L464" s="34">
        <v>11.54</v>
      </c>
      <c r="M464" s="32">
        <v>6.24</v>
      </c>
      <c r="N464" s="1">
        <f t="shared" si="150"/>
        <v>5.2999999999999989</v>
      </c>
      <c r="O464" s="32" t="s">
        <v>378</v>
      </c>
      <c r="Q464" s="35"/>
    </row>
    <row r="465" spans="1:17" x14ac:dyDescent="0.25">
      <c r="A465" s="28">
        <v>46026</v>
      </c>
      <c r="B465" s="1" t="s">
        <v>267</v>
      </c>
      <c r="C465" s="1"/>
      <c r="D465" s="28">
        <f t="shared" si="157"/>
        <v>46049</v>
      </c>
      <c r="E465" s="28">
        <f t="shared" si="158"/>
        <v>46033</v>
      </c>
      <c r="F465" s="28">
        <f t="shared" si="159"/>
        <v>46040</v>
      </c>
      <c r="G465" s="28">
        <f t="shared" si="153"/>
        <v>46046</v>
      </c>
      <c r="H465" s="28">
        <f t="shared" si="154"/>
        <v>46034</v>
      </c>
      <c r="I465" s="28">
        <f t="shared" si="155"/>
        <v>46041</v>
      </c>
      <c r="J465" s="28">
        <v>46053</v>
      </c>
      <c r="K465" s="29">
        <f t="shared" ref="K465:K472" si="160">J465-A465</f>
        <v>27</v>
      </c>
      <c r="L465" s="34">
        <v>11.27</v>
      </c>
      <c r="M465" s="32">
        <v>5.68</v>
      </c>
      <c r="N465" s="1">
        <f t="shared" si="150"/>
        <v>5.59</v>
      </c>
      <c r="O465" s="32" t="s">
        <v>378</v>
      </c>
      <c r="Q465" s="35"/>
    </row>
    <row r="466" spans="1:17" x14ac:dyDescent="0.25">
      <c r="A466" s="28">
        <v>46027</v>
      </c>
      <c r="B466" s="1" t="s">
        <v>268</v>
      </c>
      <c r="C466" s="1"/>
      <c r="D466" s="28">
        <f>A466+23</f>
        <v>46050</v>
      </c>
      <c r="E466" s="28">
        <f>A466+7</f>
        <v>46034</v>
      </c>
      <c r="F466" s="28">
        <f>A466+14</f>
        <v>46041</v>
      </c>
      <c r="G466" s="28">
        <f>A466+20</f>
        <v>46047</v>
      </c>
      <c r="H466" s="28">
        <f>A466+8</f>
        <v>46035</v>
      </c>
      <c r="I466" s="28">
        <f>A466+15</f>
        <v>46042</v>
      </c>
      <c r="J466" s="28">
        <v>46053</v>
      </c>
      <c r="K466" s="29">
        <f t="shared" si="160"/>
        <v>26</v>
      </c>
      <c r="L466" s="34">
        <v>12.92</v>
      </c>
      <c r="M466" s="32">
        <v>6.73</v>
      </c>
      <c r="N466" s="1">
        <f t="shared" si="150"/>
        <v>6.1899999999999995</v>
      </c>
      <c r="O466" s="32" t="s">
        <v>378</v>
      </c>
      <c r="Q466" s="35"/>
    </row>
    <row r="467" spans="1:17" x14ac:dyDescent="0.25">
      <c r="A467" s="28">
        <v>46027</v>
      </c>
      <c r="B467" s="1" t="s">
        <v>269</v>
      </c>
      <c r="C467" s="1"/>
      <c r="D467" s="28">
        <f t="shared" ref="D467:D472" si="161">A467+23</f>
        <v>46050</v>
      </c>
      <c r="E467" s="28">
        <f t="shared" ref="E467:E472" si="162">A467+7</f>
        <v>46034</v>
      </c>
      <c r="F467" s="28">
        <f t="shared" ref="F467:F472" si="163">A467+14</f>
        <v>46041</v>
      </c>
      <c r="G467" s="28">
        <f t="shared" ref="G467:G472" si="164">A467+20</f>
        <v>46047</v>
      </c>
      <c r="H467" s="28">
        <f t="shared" ref="H467:H472" si="165">A467+8</f>
        <v>46035</v>
      </c>
      <c r="I467" s="28">
        <f t="shared" ref="I467:I472" si="166">A467+15</f>
        <v>46042</v>
      </c>
      <c r="J467" s="28">
        <v>46053</v>
      </c>
      <c r="K467" s="29">
        <f t="shared" si="160"/>
        <v>26</v>
      </c>
      <c r="L467" s="34">
        <v>12.99</v>
      </c>
      <c r="M467" s="32">
        <v>6.81</v>
      </c>
      <c r="N467" s="1">
        <f t="shared" si="150"/>
        <v>6.1800000000000006</v>
      </c>
      <c r="O467" s="32" t="s">
        <v>378</v>
      </c>
      <c r="Q467" s="35"/>
    </row>
    <row r="468" spans="1:17" x14ac:dyDescent="0.25">
      <c r="A468" s="28">
        <v>46027</v>
      </c>
      <c r="B468" s="1" t="s">
        <v>270</v>
      </c>
      <c r="C468" s="1"/>
      <c r="D468" s="28">
        <f t="shared" si="161"/>
        <v>46050</v>
      </c>
      <c r="E468" s="28">
        <f t="shared" si="162"/>
        <v>46034</v>
      </c>
      <c r="F468" s="28">
        <f t="shared" si="163"/>
        <v>46041</v>
      </c>
      <c r="G468" s="28">
        <f t="shared" si="164"/>
        <v>46047</v>
      </c>
      <c r="H468" s="28">
        <f t="shared" si="165"/>
        <v>46035</v>
      </c>
      <c r="I468" s="28">
        <f t="shared" si="166"/>
        <v>46042</v>
      </c>
      <c r="J468" s="28">
        <v>46053</v>
      </c>
      <c r="K468" s="29">
        <f t="shared" si="160"/>
        <v>26</v>
      </c>
      <c r="L468" s="34">
        <v>14.15</v>
      </c>
      <c r="M468" s="32">
        <v>7.33</v>
      </c>
      <c r="N468" s="1">
        <f t="shared" si="150"/>
        <v>6.82</v>
      </c>
      <c r="O468" s="32" t="s">
        <v>378</v>
      </c>
      <c r="Q468" s="35"/>
    </row>
    <row r="469" spans="1:17" x14ac:dyDescent="0.25">
      <c r="A469" s="28">
        <v>46027</v>
      </c>
      <c r="B469" s="1" t="s">
        <v>271</v>
      </c>
      <c r="C469" s="1"/>
      <c r="D469" s="28">
        <f t="shared" si="161"/>
        <v>46050</v>
      </c>
      <c r="E469" s="28">
        <f t="shared" si="162"/>
        <v>46034</v>
      </c>
      <c r="F469" s="28">
        <f t="shared" si="163"/>
        <v>46041</v>
      </c>
      <c r="G469" s="28">
        <f t="shared" si="164"/>
        <v>46047</v>
      </c>
      <c r="H469" s="28">
        <f t="shared" si="165"/>
        <v>46035</v>
      </c>
      <c r="I469" s="28">
        <f t="shared" si="166"/>
        <v>46042</v>
      </c>
      <c r="J469" s="28">
        <v>46053</v>
      </c>
      <c r="K469" s="29">
        <f t="shared" si="160"/>
        <v>26</v>
      </c>
      <c r="L469" s="34">
        <v>15.22</v>
      </c>
      <c r="M469" s="32">
        <v>13.95</v>
      </c>
      <c r="N469" s="1">
        <f t="shared" si="150"/>
        <v>1.2700000000000014</v>
      </c>
      <c r="O469" s="32" t="s">
        <v>379</v>
      </c>
      <c r="Q469" s="35"/>
    </row>
    <row r="470" spans="1:17" x14ac:dyDescent="0.25">
      <c r="A470" s="28">
        <v>46027</v>
      </c>
      <c r="B470" s="1" t="s">
        <v>272</v>
      </c>
      <c r="C470" s="1"/>
      <c r="D470" s="28">
        <f t="shared" si="161"/>
        <v>46050</v>
      </c>
      <c r="E470" s="28">
        <f t="shared" si="162"/>
        <v>46034</v>
      </c>
      <c r="F470" s="28">
        <f t="shared" si="163"/>
        <v>46041</v>
      </c>
      <c r="G470" s="28">
        <f t="shared" si="164"/>
        <v>46047</v>
      </c>
      <c r="H470" s="28">
        <f t="shared" si="165"/>
        <v>46035</v>
      </c>
      <c r="I470" s="28">
        <f t="shared" si="166"/>
        <v>46042</v>
      </c>
      <c r="J470" s="28">
        <v>46053</v>
      </c>
      <c r="K470" s="29">
        <f t="shared" si="160"/>
        <v>26</v>
      </c>
      <c r="L470" s="34">
        <v>15.67</v>
      </c>
      <c r="M470" s="32">
        <v>13.69</v>
      </c>
      <c r="N470" s="1">
        <f t="shared" si="150"/>
        <v>1.9800000000000004</v>
      </c>
      <c r="O470" s="32" t="s">
        <v>379</v>
      </c>
      <c r="Q470" s="35"/>
    </row>
    <row r="471" spans="1:17" x14ac:dyDescent="0.25">
      <c r="A471" s="28">
        <v>46027</v>
      </c>
      <c r="B471" s="1" t="s">
        <v>273</v>
      </c>
      <c r="C471" s="1"/>
      <c r="D471" s="28">
        <f t="shared" si="161"/>
        <v>46050</v>
      </c>
      <c r="E471" s="28">
        <f t="shared" si="162"/>
        <v>46034</v>
      </c>
      <c r="F471" s="28">
        <f t="shared" si="163"/>
        <v>46041</v>
      </c>
      <c r="G471" s="28">
        <f t="shared" si="164"/>
        <v>46047</v>
      </c>
      <c r="H471" s="28">
        <f t="shared" si="165"/>
        <v>46035</v>
      </c>
      <c r="I471" s="28">
        <f t="shared" si="166"/>
        <v>46042</v>
      </c>
      <c r="J471" s="28">
        <v>46053</v>
      </c>
      <c r="K471" s="29">
        <f t="shared" si="160"/>
        <v>26</v>
      </c>
      <c r="L471" s="34">
        <v>15.9</v>
      </c>
      <c r="M471" s="32">
        <v>14.87</v>
      </c>
      <c r="N471" s="1">
        <f t="shared" si="150"/>
        <v>1.0300000000000011</v>
      </c>
      <c r="O471" s="32" t="s">
        <v>379</v>
      </c>
    </row>
    <row r="472" spans="1:17" x14ac:dyDescent="0.25">
      <c r="A472" s="28">
        <v>46027</v>
      </c>
      <c r="B472" s="1" t="s">
        <v>274</v>
      </c>
      <c r="C472" s="1"/>
      <c r="D472" s="28">
        <f t="shared" si="161"/>
        <v>46050</v>
      </c>
      <c r="E472" s="28">
        <f t="shared" si="162"/>
        <v>46034</v>
      </c>
      <c r="F472" s="28">
        <f t="shared" si="163"/>
        <v>46041</v>
      </c>
      <c r="G472" s="28">
        <f t="shared" si="164"/>
        <v>46047</v>
      </c>
      <c r="H472" s="28">
        <f t="shared" si="165"/>
        <v>46035</v>
      </c>
      <c r="I472" s="28">
        <f t="shared" si="166"/>
        <v>46042</v>
      </c>
      <c r="J472" s="28">
        <v>46054</v>
      </c>
      <c r="K472" s="29">
        <f t="shared" si="160"/>
        <v>27</v>
      </c>
      <c r="L472" s="34">
        <v>14.3</v>
      </c>
      <c r="M472" s="32">
        <v>7.51</v>
      </c>
      <c r="N472" s="1">
        <f t="shared" si="150"/>
        <v>6.7900000000000009</v>
      </c>
      <c r="O472" s="32" t="s">
        <v>378</v>
      </c>
      <c r="Q472" s="35"/>
    </row>
    <row r="473" spans="1:17" x14ac:dyDescent="0.25">
      <c r="A473" s="28">
        <v>46028</v>
      </c>
      <c r="B473" s="1" t="s">
        <v>275</v>
      </c>
      <c r="C473" s="1"/>
      <c r="D473" s="28">
        <f t="shared" ref="D473:D479" si="167">A473+23</f>
        <v>46051</v>
      </c>
      <c r="E473" s="28">
        <f t="shared" ref="E473:E479" si="168">A473+7</f>
        <v>46035</v>
      </c>
      <c r="F473" s="28">
        <f t="shared" ref="F473:F479" si="169">A473+14</f>
        <v>46042</v>
      </c>
      <c r="G473" s="28">
        <f t="shared" ref="G473:G479" si="170">A473+20</f>
        <v>46048</v>
      </c>
      <c r="H473" s="28">
        <f t="shared" ref="H473:H479" si="171">A473+8</f>
        <v>46036</v>
      </c>
      <c r="I473" s="28">
        <f t="shared" ref="I473:I479" si="172">A473+15</f>
        <v>46043</v>
      </c>
      <c r="J473" s="28">
        <v>46054</v>
      </c>
      <c r="K473" s="29">
        <f t="shared" ref="K473:K483" si="173">J473-A473</f>
        <v>26</v>
      </c>
      <c r="L473" s="34">
        <v>13.91</v>
      </c>
      <c r="M473" s="32">
        <v>7.18</v>
      </c>
      <c r="N473" s="1">
        <f t="shared" si="150"/>
        <v>6.73</v>
      </c>
      <c r="O473" s="32" t="s">
        <v>378</v>
      </c>
      <c r="Q473" s="35"/>
    </row>
    <row r="474" spans="1:17" x14ac:dyDescent="0.25">
      <c r="A474" s="28">
        <v>46028</v>
      </c>
      <c r="B474" s="1" t="s">
        <v>276</v>
      </c>
      <c r="C474" s="1"/>
      <c r="D474" s="28">
        <f t="shared" si="167"/>
        <v>46051</v>
      </c>
      <c r="E474" s="28">
        <f t="shared" si="168"/>
        <v>46035</v>
      </c>
      <c r="F474" s="28">
        <f t="shared" si="169"/>
        <v>46042</v>
      </c>
      <c r="G474" s="28">
        <f t="shared" si="170"/>
        <v>46048</v>
      </c>
      <c r="H474" s="28">
        <f t="shared" si="171"/>
        <v>46036</v>
      </c>
      <c r="I474" s="28">
        <f t="shared" si="172"/>
        <v>46043</v>
      </c>
      <c r="J474" s="28">
        <v>46054</v>
      </c>
      <c r="K474" s="29">
        <f t="shared" si="173"/>
        <v>26</v>
      </c>
      <c r="L474" s="34">
        <v>13.07</v>
      </c>
      <c r="M474" s="32">
        <v>6.91</v>
      </c>
      <c r="N474" s="1">
        <f t="shared" si="150"/>
        <v>6.16</v>
      </c>
      <c r="O474" s="32" t="s">
        <v>378</v>
      </c>
      <c r="Q474" s="35"/>
    </row>
    <row r="475" spans="1:17" x14ac:dyDescent="0.25">
      <c r="A475" s="28">
        <v>46028</v>
      </c>
      <c r="B475" s="1" t="s">
        <v>277</v>
      </c>
      <c r="C475" s="1"/>
      <c r="D475" s="28">
        <f t="shared" si="167"/>
        <v>46051</v>
      </c>
      <c r="E475" s="28">
        <f t="shared" si="168"/>
        <v>46035</v>
      </c>
      <c r="F475" s="28">
        <f t="shared" si="169"/>
        <v>46042</v>
      </c>
      <c r="G475" s="28">
        <f t="shared" si="170"/>
        <v>46048</v>
      </c>
      <c r="H475" s="28">
        <f t="shared" si="171"/>
        <v>46036</v>
      </c>
      <c r="I475" s="28">
        <f t="shared" si="172"/>
        <v>46043</v>
      </c>
      <c r="J475" s="28">
        <v>46054</v>
      </c>
      <c r="K475" s="29">
        <f t="shared" si="173"/>
        <v>26</v>
      </c>
      <c r="L475" s="34">
        <v>14.43</v>
      </c>
      <c r="M475" s="32">
        <v>7.55</v>
      </c>
      <c r="N475" s="1">
        <f t="shared" si="150"/>
        <v>6.88</v>
      </c>
      <c r="O475" s="32" t="s">
        <v>378</v>
      </c>
      <c r="Q475" s="35"/>
    </row>
    <row r="476" spans="1:17" x14ac:dyDescent="0.25">
      <c r="A476" s="28">
        <v>46028</v>
      </c>
      <c r="B476" s="1" t="s">
        <v>278</v>
      </c>
      <c r="C476" s="1"/>
      <c r="D476" s="28">
        <f t="shared" si="167"/>
        <v>46051</v>
      </c>
      <c r="E476" s="28">
        <f t="shared" si="168"/>
        <v>46035</v>
      </c>
      <c r="F476" s="28">
        <f t="shared" si="169"/>
        <v>46042</v>
      </c>
      <c r="G476" s="28">
        <f t="shared" si="170"/>
        <v>46048</v>
      </c>
      <c r="H476" s="28">
        <f t="shared" si="171"/>
        <v>46036</v>
      </c>
      <c r="I476" s="28">
        <f t="shared" si="172"/>
        <v>46043</v>
      </c>
      <c r="J476" s="28">
        <v>46054</v>
      </c>
      <c r="K476" s="29">
        <f t="shared" si="173"/>
        <v>26</v>
      </c>
      <c r="L476" s="34">
        <v>14.15</v>
      </c>
      <c r="M476" s="32">
        <v>7.38</v>
      </c>
      <c r="N476" s="1">
        <f t="shared" si="150"/>
        <v>6.7700000000000005</v>
      </c>
      <c r="O476" s="32" t="s">
        <v>378</v>
      </c>
      <c r="Q476" s="35"/>
    </row>
    <row r="477" spans="1:17" x14ac:dyDescent="0.25">
      <c r="A477" s="28">
        <v>46028</v>
      </c>
      <c r="B477" s="1" t="s">
        <v>279</v>
      </c>
      <c r="C477" s="1"/>
      <c r="D477" s="28">
        <f t="shared" si="167"/>
        <v>46051</v>
      </c>
      <c r="E477" s="28">
        <f t="shared" si="168"/>
        <v>46035</v>
      </c>
      <c r="F477" s="28">
        <f t="shared" si="169"/>
        <v>46042</v>
      </c>
      <c r="G477" s="28">
        <f t="shared" si="170"/>
        <v>46048</v>
      </c>
      <c r="H477" s="28">
        <f t="shared" si="171"/>
        <v>46036</v>
      </c>
      <c r="I477" s="28">
        <f t="shared" si="172"/>
        <v>46043</v>
      </c>
      <c r="J477" s="28">
        <v>46054</v>
      </c>
      <c r="K477" s="29">
        <f t="shared" si="173"/>
        <v>26</v>
      </c>
      <c r="L477" s="34">
        <v>11.86</v>
      </c>
      <c r="M477" s="32">
        <v>10.56</v>
      </c>
      <c r="N477" s="1">
        <f t="shared" si="150"/>
        <v>1.2999999999999989</v>
      </c>
      <c r="O477" s="32" t="s">
        <v>379</v>
      </c>
      <c r="Q477" s="35"/>
    </row>
    <row r="478" spans="1:17" x14ac:dyDescent="0.25">
      <c r="A478" s="28">
        <v>46028</v>
      </c>
      <c r="B478" s="1" t="s">
        <v>280</v>
      </c>
      <c r="C478" s="1"/>
      <c r="D478" s="28">
        <f t="shared" si="167"/>
        <v>46051</v>
      </c>
      <c r="E478" s="28">
        <f t="shared" si="168"/>
        <v>46035</v>
      </c>
      <c r="F478" s="28">
        <f t="shared" si="169"/>
        <v>46042</v>
      </c>
      <c r="G478" s="28">
        <f t="shared" si="170"/>
        <v>46048</v>
      </c>
      <c r="H478" s="28">
        <f t="shared" si="171"/>
        <v>46036</v>
      </c>
      <c r="I478" s="28">
        <f t="shared" si="172"/>
        <v>46043</v>
      </c>
      <c r="J478" s="28">
        <v>46054</v>
      </c>
      <c r="K478" s="29">
        <f t="shared" si="173"/>
        <v>26</v>
      </c>
      <c r="L478" s="34">
        <v>13.92</v>
      </c>
      <c r="M478" s="32">
        <v>12.74</v>
      </c>
      <c r="N478" s="1">
        <f t="shared" si="150"/>
        <v>1.1799999999999997</v>
      </c>
      <c r="O478" s="32" t="s">
        <v>379</v>
      </c>
      <c r="Q478" s="35"/>
    </row>
    <row r="479" spans="1:17" x14ac:dyDescent="0.25">
      <c r="A479" s="28">
        <v>46028</v>
      </c>
      <c r="B479" s="1" t="s">
        <v>281</v>
      </c>
      <c r="C479" s="1"/>
      <c r="D479" s="28">
        <f t="shared" si="167"/>
        <v>46051</v>
      </c>
      <c r="E479" s="28">
        <f t="shared" si="168"/>
        <v>46035</v>
      </c>
      <c r="F479" s="28">
        <f t="shared" si="169"/>
        <v>46042</v>
      </c>
      <c r="G479" s="28">
        <f t="shared" si="170"/>
        <v>46048</v>
      </c>
      <c r="H479" s="28">
        <f t="shared" si="171"/>
        <v>46036</v>
      </c>
      <c r="I479" s="28">
        <f t="shared" si="172"/>
        <v>46043</v>
      </c>
      <c r="J479" s="28">
        <v>46054</v>
      </c>
      <c r="K479" s="29">
        <f t="shared" si="173"/>
        <v>26</v>
      </c>
      <c r="L479" s="34">
        <v>14.77</v>
      </c>
      <c r="M479" s="32">
        <v>13.52</v>
      </c>
      <c r="N479" s="1">
        <f t="shared" si="150"/>
        <v>1.25</v>
      </c>
      <c r="O479" s="32" t="s">
        <v>379</v>
      </c>
      <c r="Q479" s="35"/>
    </row>
    <row r="480" spans="1:17" x14ac:dyDescent="0.25">
      <c r="A480" s="28">
        <v>46029</v>
      </c>
      <c r="B480" s="1" t="s">
        <v>282</v>
      </c>
      <c r="C480" s="1"/>
      <c r="D480" s="28">
        <f t="shared" ref="D480:D486" si="174">A480+23</f>
        <v>46052</v>
      </c>
      <c r="E480" s="28">
        <f t="shared" ref="E480:E486" si="175">A480+7</f>
        <v>46036</v>
      </c>
      <c r="F480" s="28">
        <f t="shared" ref="F480:F486" si="176">A480+14</f>
        <v>46043</v>
      </c>
      <c r="G480" s="28">
        <f t="shared" ref="G480:G486" si="177">A480+20</f>
        <v>46049</v>
      </c>
      <c r="H480" s="28">
        <f t="shared" ref="H480:H486" si="178">A480+8</f>
        <v>46037</v>
      </c>
      <c r="I480" s="28">
        <f t="shared" ref="I480:I486" si="179">A480+15</f>
        <v>46044</v>
      </c>
      <c r="J480" s="28">
        <v>46054</v>
      </c>
      <c r="K480" s="29">
        <f t="shared" si="173"/>
        <v>25</v>
      </c>
      <c r="L480" s="34">
        <v>15.09</v>
      </c>
      <c r="M480" s="32">
        <v>13.71</v>
      </c>
      <c r="N480" s="1">
        <f t="shared" si="150"/>
        <v>1.379999999999999</v>
      </c>
      <c r="O480" s="32" t="s">
        <v>379</v>
      </c>
      <c r="Q480" s="35"/>
    </row>
    <row r="481" spans="1:20" x14ac:dyDescent="0.25">
      <c r="A481" s="28">
        <v>46029</v>
      </c>
      <c r="B481" s="1" t="s">
        <v>283</v>
      </c>
      <c r="C481" s="1"/>
      <c r="D481" s="28">
        <f t="shared" si="174"/>
        <v>46052</v>
      </c>
      <c r="E481" s="28">
        <f t="shared" si="175"/>
        <v>46036</v>
      </c>
      <c r="F481" s="28">
        <f t="shared" si="176"/>
        <v>46043</v>
      </c>
      <c r="G481" s="28">
        <f t="shared" si="177"/>
        <v>46049</v>
      </c>
      <c r="H481" s="28">
        <f t="shared" si="178"/>
        <v>46037</v>
      </c>
      <c r="I481" s="28">
        <f t="shared" si="179"/>
        <v>46044</v>
      </c>
      <c r="J481" s="28">
        <v>46054</v>
      </c>
      <c r="K481" s="29">
        <f t="shared" si="173"/>
        <v>25</v>
      </c>
      <c r="L481" s="34">
        <v>13.21</v>
      </c>
      <c r="M481" s="32">
        <v>12.1</v>
      </c>
      <c r="N481" s="1">
        <f t="shared" si="150"/>
        <v>1.1100000000000012</v>
      </c>
      <c r="O481" s="32" t="s">
        <v>379</v>
      </c>
      <c r="Q481" s="35"/>
    </row>
    <row r="482" spans="1:20" x14ac:dyDescent="0.25">
      <c r="A482" s="28">
        <v>46029</v>
      </c>
      <c r="B482" s="1" t="s">
        <v>284</v>
      </c>
      <c r="C482" s="1"/>
      <c r="D482" s="28">
        <f t="shared" si="174"/>
        <v>46052</v>
      </c>
      <c r="E482" s="28">
        <f t="shared" si="175"/>
        <v>46036</v>
      </c>
      <c r="F482" s="28">
        <f t="shared" si="176"/>
        <v>46043</v>
      </c>
      <c r="G482" s="28">
        <f t="shared" si="177"/>
        <v>46049</v>
      </c>
      <c r="H482" s="28">
        <f t="shared" si="178"/>
        <v>46037</v>
      </c>
      <c r="I482" s="28">
        <f t="shared" si="179"/>
        <v>46044</v>
      </c>
      <c r="J482" s="28">
        <v>46054</v>
      </c>
      <c r="K482" s="29">
        <f t="shared" si="173"/>
        <v>25</v>
      </c>
      <c r="L482" s="34">
        <v>13.02</v>
      </c>
      <c r="M482" s="32">
        <v>11.87</v>
      </c>
      <c r="N482" s="1">
        <f t="shared" si="150"/>
        <v>1.1500000000000004</v>
      </c>
      <c r="O482" s="32" t="s">
        <v>379</v>
      </c>
      <c r="Q482" s="35"/>
    </row>
    <row r="483" spans="1:20" x14ac:dyDescent="0.25">
      <c r="A483" s="28">
        <v>46029</v>
      </c>
      <c r="B483" s="1" t="s">
        <v>285</v>
      </c>
      <c r="C483" s="1"/>
      <c r="D483" s="28">
        <f t="shared" si="174"/>
        <v>46052</v>
      </c>
      <c r="E483" s="28">
        <f t="shared" si="175"/>
        <v>46036</v>
      </c>
      <c r="F483" s="28">
        <f t="shared" si="176"/>
        <v>46043</v>
      </c>
      <c r="G483" s="28">
        <f t="shared" si="177"/>
        <v>46049</v>
      </c>
      <c r="H483" s="28">
        <f t="shared" si="178"/>
        <v>46037</v>
      </c>
      <c r="I483" s="28">
        <f t="shared" si="179"/>
        <v>46044</v>
      </c>
      <c r="J483" s="28">
        <v>46055</v>
      </c>
      <c r="K483" s="29">
        <f t="shared" si="173"/>
        <v>26</v>
      </c>
      <c r="L483" s="34">
        <v>11.58</v>
      </c>
      <c r="M483" s="32">
        <v>5.73</v>
      </c>
      <c r="N483" s="1">
        <f t="shared" si="150"/>
        <v>5.85</v>
      </c>
      <c r="O483" s="32" t="s">
        <v>378</v>
      </c>
      <c r="Q483" s="35"/>
      <c r="R483" s="36"/>
      <c r="S483" s="37"/>
      <c r="T483" s="37"/>
    </row>
    <row r="484" spans="1:20" x14ac:dyDescent="0.25">
      <c r="A484" s="28">
        <v>46029</v>
      </c>
      <c r="B484" s="1" t="s">
        <v>286</v>
      </c>
      <c r="C484" s="1"/>
      <c r="D484" s="28">
        <f t="shared" si="174"/>
        <v>46052</v>
      </c>
      <c r="E484" s="28">
        <f t="shared" si="175"/>
        <v>46036</v>
      </c>
      <c r="F484" s="28">
        <f t="shared" si="176"/>
        <v>46043</v>
      </c>
      <c r="G484" s="28">
        <f t="shared" si="177"/>
        <v>46049</v>
      </c>
      <c r="H484" s="28">
        <f t="shared" si="178"/>
        <v>46037</v>
      </c>
      <c r="I484" s="28">
        <f t="shared" si="179"/>
        <v>46044</v>
      </c>
      <c r="J484" s="28">
        <v>46055</v>
      </c>
      <c r="K484" s="29">
        <f t="shared" ref="K484:K494" si="180">J484-A484</f>
        <v>26</v>
      </c>
      <c r="L484" s="34">
        <v>15.9</v>
      </c>
      <c r="M484" s="32">
        <v>13.21</v>
      </c>
      <c r="N484" s="1">
        <f t="shared" si="150"/>
        <v>2.6899999999999995</v>
      </c>
      <c r="O484" s="32" t="s">
        <v>379</v>
      </c>
      <c r="Q484" s="35"/>
      <c r="R484" s="36"/>
      <c r="S484" s="37"/>
      <c r="T484" s="37"/>
    </row>
    <row r="485" spans="1:20" x14ac:dyDescent="0.25">
      <c r="A485" s="28">
        <v>46029</v>
      </c>
      <c r="B485" s="1" t="s">
        <v>287</v>
      </c>
      <c r="C485" s="1"/>
      <c r="D485" s="28">
        <f t="shared" si="174"/>
        <v>46052</v>
      </c>
      <c r="E485" s="28">
        <f t="shared" si="175"/>
        <v>46036</v>
      </c>
      <c r="F485" s="28">
        <f t="shared" si="176"/>
        <v>46043</v>
      </c>
      <c r="G485" s="28">
        <f t="shared" si="177"/>
        <v>46049</v>
      </c>
      <c r="H485" s="28">
        <f t="shared" si="178"/>
        <v>46037</v>
      </c>
      <c r="I485" s="28">
        <f t="shared" si="179"/>
        <v>46044</v>
      </c>
      <c r="J485" s="28">
        <v>46055</v>
      </c>
      <c r="K485" s="29">
        <f t="shared" si="180"/>
        <v>26</v>
      </c>
      <c r="L485" s="34">
        <v>14.83</v>
      </c>
      <c r="M485" s="32">
        <v>13.65</v>
      </c>
      <c r="N485" s="1">
        <f t="shared" si="150"/>
        <v>1.1799999999999997</v>
      </c>
      <c r="O485" s="32" t="s">
        <v>379</v>
      </c>
      <c r="Q485" s="35"/>
      <c r="R485" s="36"/>
      <c r="S485" s="37"/>
      <c r="T485" s="37"/>
    </row>
    <row r="486" spans="1:20" x14ac:dyDescent="0.25">
      <c r="A486" s="28">
        <v>46029</v>
      </c>
      <c r="B486" s="1" t="s">
        <v>288</v>
      </c>
      <c r="C486" s="1"/>
      <c r="D486" s="28">
        <f t="shared" si="174"/>
        <v>46052</v>
      </c>
      <c r="E486" s="28">
        <f t="shared" si="175"/>
        <v>46036</v>
      </c>
      <c r="F486" s="28">
        <f t="shared" si="176"/>
        <v>46043</v>
      </c>
      <c r="G486" s="28">
        <f t="shared" si="177"/>
        <v>46049</v>
      </c>
      <c r="H486" s="28">
        <f t="shared" si="178"/>
        <v>46037</v>
      </c>
      <c r="I486" s="28">
        <f t="shared" si="179"/>
        <v>46044</v>
      </c>
      <c r="J486" s="28">
        <v>46055</v>
      </c>
      <c r="K486" s="29">
        <f t="shared" si="180"/>
        <v>26</v>
      </c>
      <c r="L486" s="34">
        <v>14.52</v>
      </c>
      <c r="M486" s="32">
        <v>13.49</v>
      </c>
      <c r="N486" s="1">
        <f t="shared" si="150"/>
        <v>1.0299999999999994</v>
      </c>
      <c r="O486" s="32" t="s">
        <v>379</v>
      </c>
      <c r="Q486" s="35"/>
      <c r="R486" s="36"/>
      <c r="S486" s="37"/>
      <c r="T486" s="37"/>
    </row>
    <row r="487" spans="1:20" x14ac:dyDescent="0.25">
      <c r="A487" s="28">
        <v>46030</v>
      </c>
      <c r="B487" s="1" t="s">
        <v>289</v>
      </c>
      <c r="C487" s="1"/>
      <c r="D487" s="28">
        <f t="shared" ref="D487:D502" si="181">A487+23</f>
        <v>46053</v>
      </c>
      <c r="E487" s="28">
        <f t="shared" ref="E487:E502" si="182">A487+7</f>
        <v>46037</v>
      </c>
      <c r="F487" s="28">
        <f t="shared" ref="F487:F502" si="183">A487+14</f>
        <v>46044</v>
      </c>
      <c r="G487" s="28">
        <f t="shared" ref="G487:G502" si="184">A487+20</f>
        <v>46050</v>
      </c>
      <c r="H487" s="28">
        <f t="shared" ref="H487:H502" si="185">A487+8</f>
        <v>46038</v>
      </c>
      <c r="I487" s="28">
        <f t="shared" ref="I487:I502" si="186">A487+15</f>
        <v>46045</v>
      </c>
      <c r="J487" s="28">
        <v>46055</v>
      </c>
      <c r="K487" s="29">
        <f t="shared" si="180"/>
        <v>25</v>
      </c>
      <c r="L487" s="34">
        <v>13.66</v>
      </c>
      <c r="M487" s="32">
        <v>12.21</v>
      </c>
      <c r="N487" s="1">
        <f t="shared" si="150"/>
        <v>1.4499999999999993</v>
      </c>
      <c r="O487" s="32" t="s">
        <v>379</v>
      </c>
      <c r="Q487" s="35"/>
      <c r="R487" s="36"/>
      <c r="S487" s="37"/>
      <c r="T487" s="37"/>
    </row>
    <row r="488" spans="1:20" x14ac:dyDescent="0.25">
      <c r="A488" s="28">
        <v>46030</v>
      </c>
      <c r="B488" s="1" t="s">
        <v>290</v>
      </c>
      <c r="C488" s="1"/>
      <c r="D488" s="28">
        <f t="shared" si="181"/>
        <v>46053</v>
      </c>
      <c r="E488" s="28">
        <f t="shared" si="182"/>
        <v>46037</v>
      </c>
      <c r="F488" s="28">
        <f t="shared" si="183"/>
        <v>46044</v>
      </c>
      <c r="G488" s="28">
        <f t="shared" si="184"/>
        <v>46050</v>
      </c>
      <c r="H488" s="28">
        <f t="shared" si="185"/>
        <v>46038</v>
      </c>
      <c r="I488" s="28">
        <f t="shared" si="186"/>
        <v>46045</v>
      </c>
      <c r="J488" s="28">
        <v>46055</v>
      </c>
      <c r="K488" s="29">
        <f t="shared" si="180"/>
        <v>25</v>
      </c>
      <c r="L488" s="34">
        <v>12.81</v>
      </c>
      <c r="M488" s="32">
        <v>11.76</v>
      </c>
      <c r="N488" s="1">
        <f t="shared" si="150"/>
        <v>1.0500000000000007</v>
      </c>
      <c r="O488" s="32" t="s">
        <v>379</v>
      </c>
      <c r="Q488" s="35"/>
      <c r="R488" s="36"/>
      <c r="S488" s="37"/>
      <c r="T488" s="37"/>
    </row>
    <row r="489" spans="1:20" x14ac:dyDescent="0.25">
      <c r="A489" s="28">
        <v>46030</v>
      </c>
      <c r="B489" s="1" t="s">
        <v>291</v>
      </c>
      <c r="C489" s="1"/>
      <c r="D489" s="28">
        <f t="shared" si="181"/>
        <v>46053</v>
      </c>
      <c r="E489" s="28">
        <f t="shared" si="182"/>
        <v>46037</v>
      </c>
      <c r="F489" s="28">
        <f t="shared" si="183"/>
        <v>46044</v>
      </c>
      <c r="G489" s="28">
        <f t="shared" si="184"/>
        <v>46050</v>
      </c>
      <c r="H489" s="28">
        <f t="shared" si="185"/>
        <v>46038</v>
      </c>
      <c r="I489" s="28">
        <f t="shared" si="186"/>
        <v>46045</v>
      </c>
      <c r="J489" s="28">
        <v>46059</v>
      </c>
      <c r="K489" s="29">
        <f t="shared" si="180"/>
        <v>29</v>
      </c>
      <c r="L489" s="1">
        <v>6</v>
      </c>
      <c r="M489" s="1">
        <v>3</v>
      </c>
      <c r="N489" s="1">
        <f t="shared" si="150"/>
        <v>3</v>
      </c>
      <c r="O489" s="1" t="s">
        <v>378</v>
      </c>
    </row>
    <row r="490" spans="1:20" x14ac:dyDescent="0.25">
      <c r="A490" s="28">
        <v>46030</v>
      </c>
      <c r="B490" s="1" t="s">
        <v>292</v>
      </c>
      <c r="C490" s="1"/>
      <c r="D490" s="28">
        <f t="shared" si="181"/>
        <v>46053</v>
      </c>
      <c r="E490" s="28">
        <f t="shared" si="182"/>
        <v>46037</v>
      </c>
      <c r="F490" s="28">
        <f t="shared" si="183"/>
        <v>46044</v>
      </c>
      <c r="G490" s="28">
        <f t="shared" si="184"/>
        <v>46050</v>
      </c>
      <c r="H490" s="28">
        <f t="shared" si="185"/>
        <v>46038</v>
      </c>
      <c r="I490" s="28">
        <f t="shared" si="186"/>
        <v>46045</v>
      </c>
      <c r="J490" s="28">
        <v>46060</v>
      </c>
      <c r="K490" s="29">
        <f t="shared" si="180"/>
        <v>30</v>
      </c>
      <c r="L490" s="1">
        <v>5.2</v>
      </c>
      <c r="M490" s="1">
        <v>5</v>
      </c>
      <c r="N490" s="1">
        <f t="shared" si="150"/>
        <v>0.20000000000000018</v>
      </c>
      <c r="O490" s="1" t="s">
        <v>379</v>
      </c>
    </row>
    <row r="491" spans="1:20" x14ac:dyDescent="0.25">
      <c r="A491" s="28">
        <v>46030</v>
      </c>
      <c r="B491" s="1" t="s">
        <v>293</v>
      </c>
      <c r="C491" s="1"/>
      <c r="D491" s="28">
        <f t="shared" si="181"/>
        <v>46053</v>
      </c>
      <c r="E491" s="28">
        <f t="shared" si="182"/>
        <v>46037</v>
      </c>
      <c r="F491" s="28">
        <f t="shared" si="183"/>
        <v>46044</v>
      </c>
      <c r="G491" s="28">
        <f t="shared" si="184"/>
        <v>46050</v>
      </c>
      <c r="H491" s="28">
        <f t="shared" si="185"/>
        <v>46038</v>
      </c>
      <c r="I491" s="28">
        <f t="shared" si="186"/>
        <v>46045</v>
      </c>
      <c r="J491" s="28">
        <v>46060</v>
      </c>
      <c r="K491" s="29">
        <f t="shared" si="180"/>
        <v>30</v>
      </c>
      <c r="L491" s="1">
        <v>4.92</v>
      </c>
      <c r="M491" s="1">
        <v>2.8</v>
      </c>
      <c r="N491" s="1">
        <f t="shared" si="150"/>
        <v>2.12</v>
      </c>
      <c r="O491" s="1" t="s">
        <v>378</v>
      </c>
    </row>
    <row r="492" spans="1:20" x14ac:dyDescent="0.25">
      <c r="A492" s="28">
        <v>46030</v>
      </c>
      <c r="B492" s="1" t="s">
        <v>294</v>
      </c>
      <c r="C492" s="1"/>
      <c r="D492" s="28">
        <f t="shared" si="181"/>
        <v>46053</v>
      </c>
      <c r="E492" s="28">
        <f t="shared" si="182"/>
        <v>46037</v>
      </c>
      <c r="F492" s="28">
        <f t="shared" si="183"/>
        <v>46044</v>
      </c>
      <c r="G492" s="28">
        <f t="shared" si="184"/>
        <v>46050</v>
      </c>
      <c r="H492" s="28">
        <f t="shared" si="185"/>
        <v>46038</v>
      </c>
      <c r="I492" s="28">
        <f t="shared" si="186"/>
        <v>46045</v>
      </c>
      <c r="J492" s="28">
        <v>46060</v>
      </c>
      <c r="K492" s="29">
        <f t="shared" si="180"/>
        <v>30</v>
      </c>
      <c r="L492" s="1">
        <v>8.99</v>
      </c>
      <c r="M492" s="1">
        <v>4.7</v>
      </c>
      <c r="N492" s="1">
        <f t="shared" si="150"/>
        <v>4.29</v>
      </c>
      <c r="O492" s="1" t="s">
        <v>378</v>
      </c>
    </row>
    <row r="493" spans="1:20" x14ac:dyDescent="0.25">
      <c r="A493" s="28">
        <v>46030</v>
      </c>
      <c r="B493" s="1" t="s">
        <v>295</v>
      </c>
      <c r="C493" s="1"/>
      <c r="D493" s="28">
        <f t="shared" si="181"/>
        <v>46053</v>
      </c>
      <c r="E493" s="28">
        <f t="shared" si="182"/>
        <v>46037</v>
      </c>
      <c r="F493" s="28">
        <f t="shared" si="183"/>
        <v>46044</v>
      </c>
      <c r="G493" s="28">
        <f t="shared" si="184"/>
        <v>46050</v>
      </c>
      <c r="H493" s="28">
        <f t="shared" si="185"/>
        <v>46038</v>
      </c>
      <c r="I493" s="28">
        <f t="shared" si="186"/>
        <v>46045</v>
      </c>
      <c r="J493" s="28">
        <v>46060</v>
      </c>
      <c r="K493" s="29">
        <f t="shared" si="180"/>
        <v>30</v>
      </c>
      <c r="L493" s="1">
        <v>4.82</v>
      </c>
      <c r="M493" s="1">
        <v>3</v>
      </c>
      <c r="N493" s="1">
        <f t="shared" si="150"/>
        <v>1.8200000000000003</v>
      </c>
      <c r="O493" s="1" t="s">
        <v>378</v>
      </c>
    </row>
    <row r="494" spans="1:20" x14ac:dyDescent="0.25">
      <c r="A494" s="28">
        <v>46031</v>
      </c>
      <c r="B494" s="1" t="s">
        <v>296</v>
      </c>
      <c r="C494" s="1"/>
      <c r="D494" s="28">
        <f t="shared" si="181"/>
        <v>46054</v>
      </c>
      <c r="E494" s="28">
        <f t="shared" si="182"/>
        <v>46038</v>
      </c>
      <c r="F494" s="28">
        <f t="shared" si="183"/>
        <v>46045</v>
      </c>
      <c r="G494" s="28">
        <f t="shared" si="184"/>
        <v>46051</v>
      </c>
      <c r="H494" s="28">
        <f t="shared" si="185"/>
        <v>46039</v>
      </c>
      <c r="I494" s="28">
        <f t="shared" si="186"/>
        <v>46046</v>
      </c>
      <c r="J494" s="28">
        <v>46060</v>
      </c>
      <c r="K494" s="29">
        <f t="shared" si="180"/>
        <v>29</v>
      </c>
      <c r="L494" s="1">
        <v>0</v>
      </c>
      <c r="M494" s="1">
        <v>0</v>
      </c>
      <c r="N494" s="1">
        <v>0</v>
      </c>
      <c r="O494" s="1"/>
    </row>
    <row r="495" spans="1:20" x14ac:dyDescent="0.25">
      <c r="A495" s="28">
        <v>46031</v>
      </c>
      <c r="B495" s="1" t="s">
        <v>297</v>
      </c>
      <c r="C495" s="1"/>
      <c r="D495" s="28">
        <f t="shared" si="181"/>
        <v>46054</v>
      </c>
      <c r="E495" s="28">
        <f t="shared" si="182"/>
        <v>46038</v>
      </c>
      <c r="F495" s="28">
        <f t="shared" si="183"/>
        <v>46045</v>
      </c>
      <c r="G495" s="28">
        <f t="shared" si="184"/>
        <v>46051</v>
      </c>
      <c r="H495" s="28">
        <f t="shared" si="185"/>
        <v>46039</v>
      </c>
      <c r="I495" s="28">
        <f t="shared" si="186"/>
        <v>46046</v>
      </c>
      <c r="J495" s="28">
        <v>46060</v>
      </c>
      <c r="K495" s="29">
        <f t="shared" ref="K495:K504" si="187">J495-A495</f>
        <v>29</v>
      </c>
      <c r="L495" s="1">
        <v>0</v>
      </c>
      <c r="M495" s="1">
        <v>0</v>
      </c>
      <c r="N495" s="1">
        <v>0</v>
      </c>
      <c r="O495" s="1"/>
    </row>
    <row r="496" spans="1:20" x14ac:dyDescent="0.25">
      <c r="A496" s="28">
        <v>46031</v>
      </c>
      <c r="B496" s="1" t="s">
        <v>298</v>
      </c>
      <c r="C496" s="1"/>
      <c r="D496" s="28">
        <f t="shared" si="181"/>
        <v>46054</v>
      </c>
      <c r="E496" s="28">
        <f t="shared" si="182"/>
        <v>46038</v>
      </c>
      <c r="F496" s="28">
        <f t="shared" si="183"/>
        <v>46045</v>
      </c>
      <c r="G496" s="28">
        <f t="shared" si="184"/>
        <v>46051</v>
      </c>
      <c r="H496" s="28">
        <f t="shared" si="185"/>
        <v>46039</v>
      </c>
      <c r="I496" s="28">
        <f t="shared" si="186"/>
        <v>46046</v>
      </c>
      <c r="J496" s="28">
        <v>46060</v>
      </c>
      <c r="K496" s="29">
        <f t="shared" si="187"/>
        <v>29</v>
      </c>
      <c r="L496" s="1">
        <v>0</v>
      </c>
      <c r="M496" s="1">
        <v>0</v>
      </c>
      <c r="N496" s="1">
        <v>0</v>
      </c>
      <c r="O496" s="1"/>
    </row>
    <row r="497" spans="1:15" x14ac:dyDescent="0.25">
      <c r="A497" s="28">
        <v>46031</v>
      </c>
      <c r="B497" s="1" t="s">
        <v>299</v>
      </c>
      <c r="C497" s="1"/>
      <c r="D497" s="28">
        <f t="shared" si="181"/>
        <v>46054</v>
      </c>
      <c r="E497" s="28">
        <f t="shared" si="182"/>
        <v>46038</v>
      </c>
      <c r="F497" s="28">
        <f t="shared" si="183"/>
        <v>46045</v>
      </c>
      <c r="G497" s="28">
        <f t="shared" si="184"/>
        <v>46051</v>
      </c>
      <c r="H497" s="28">
        <f t="shared" si="185"/>
        <v>46039</v>
      </c>
      <c r="I497" s="28">
        <f t="shared" si="186"/>
        <v>46046</v>
      </c>
      <c r="J497" s="28">
        <v>46060</v>
      </c>
      <c r="K497" s="29">
        <f t="shared" si="187"/>
        <v>29</v>
      </c>
      <c r="L497" s="1">
        <v>0</v>
      </c>
      <c r="M497" s="1">
        <v>0</v>
      </c>
      <c r="N497" s="1">
        <v>0</v>
      </c>
      <c r="O497" s="1"/>
    </row>
    <row r="498" spans="1:15" x14ac:dyDescent="0.25">
      <c r="A498" s="28">
        <v>46031</v>
      </c>
      <c r="B498" s="1" t="s">
        <v>300</v>
      </c>
      <c r="C498" s="1"/>
      <c r="D498" s="28">
        <f t="shared" si="181"/>
        <v>46054</v>
      </c>
      <c r="E498" s="28">
        <f t="shared" si="182"/>
        <v>46038</v>
      </c>
      <c r="F498" s="28">
        <f t="shared" si="183"/>
        <v>46045</v>
      </c>
      <c r="G498" s="28">
        <f t="shared" si="184"/>
        <v>46051</v>
      </c>
      <c r="H498" s="28">
        <f t="shared" si="185"/>
        <v>46039</v>
      </c>
      <c r="I498" s="28">
        <f t="shared" si="186"/>
        <v>46046</v>
      </c>
      <c r="J498" s="28">
        <v>46060</v>
      </c>
      <c r="K498" s="29">
        <f t="shared" si="187"/>
        <v>29</v>
      </c>
      <c r="L498" s="1">
        <v>0</v>
      </c>
      <c r="M498" s="1">
        <v>0</v>
      </c>
      <c r="N498" s="1">
        <v>0</v>
      </c>
      <c r="O498" s="1"/>
    </row>
    <row r="499" spans="1:15" x14ac:dyDescent="0.25">
      <c r="A499" s="28">
        <v>46031</v>
      </c>
      <c r="B499" s="1" t="s">
        <v>301</v>
      </c>
      <c r="C499" s="1"/>
      <c r="D499" s="28">
        <f t="shared" si="181"/>
        <v>46054</v>
      </c>
      <c r="E499" s="28">
        <f t="shared" si="182"/>
        <v>46038</v>
      </c>
      <c r="F499" s="28">
        <f t="shared" si="183"/>
        <v>46045</v>
      </c>
      <c r="G499" s="28">
        <f t="shared" si="184"/>
        <v>46051</v>
      </c>
      <c r="H499" s="28">
        <f t="shared" si="185"/>
        <v>46039</v>
      </c>
      <c r="I499" s="28">
        <f t="shared" si="186"/>
        <v>46046</v>
      </c>
      <c r="J499" s="28">
        <v>46060</v>
      </c>
      <c r="K499" s="29">
        <f t="shared" si="187"/>
        <v>29</v>
      </c>
      <c r="L499" s="1">
        <v>0</v>
      </c>
      <c r="M499" s="1">
        <v>0</v>
      </c>
      <c r="N499" s="1">
        <v>0</v>
      </c>
      <c r="O499" s="1"/>
    </row>
    <row r="500" spans="1:15" x14ac:dyDescent="0.25">
      <c r="A500" s="28">
        <v>46031</v>
      </c>
      <c r="B500" s="1" t="s">
        <v>302</v>
      </c>
      <c r="C500" s="1"/>
      <c r="D500" s="28">
        <f t="shared" si="181"/>
        <v>46054</v>
      </c>
      <c r="E500" s="28">
        <f t="shared" si="182"/>
        <v>46038</v>
      </c>
      <c r="F500" s="28">
        <f t="shared" si="183"/>
        <v>46045</v>
      </c>
      <c r="G500" s="28">
        <f t="shared" si="184"/>
        <v>46051</v>
      </c>
      <c r="H500" s="28">
        <f t="shared" si="185"/>
        <v>46039</v>
      </c>
      <c r="I500" s="28">
        <f t="shared" si="186"/>
        <v>46046</v>
      </c>
      <c r="J500" s="28">
        <v>46060</v>
      </c>
      <c r="K500" s="29">
        <f t="shared" si="187"/>
        <v>29</v>
      </c>
      <c r="L500" s="1">
        <v>0</v>
      </c>
      <c r="M500" s="1">
        <v>0</v>
      </c>
      <c r="N500" s="1">
        <v>0</v>
      </c>
      <c r="O500" s="1"/>
    </row>
    <row r="501" spans="1:15" x14ac:dyDescent="0.25">
      <c r="A501" s="28">
        <v>46032</v>
      </c>
      <c r="B501" s="1" t="s">
        <v>339</v>
      </c>
      <c r="C501" s="1"/>
      <c r="D501" s="28">
        <f t="shared" si="181"/>
        <v>46055</v>
      </c>
      <c r="E501" s="28">
        <f t="shared" si="182"/>
        <v>46039</v>
      </c>
      <c r="F501" s="28">
        <f t="shared" si="183"/>
        <v>46046</v>
      </c>
      <c r="G501" s="28">
        <f t="shared" si="184"/>
        <v>46052</v>
      </c>
      <c r="H501" s="28">
        <f t="shared" si="185"/>
        <v>46040</v>
      </c>
      <c r="I501" s="28">
        <f t="shared" si="186"/>
        <v>46047</v>
      </c>
      <c r="J501" s="28">
        <v>46062</v>
      </c>
      <c r="K501" s="29">
        <f t="shared" si="187"/>
        <v>30</v>
      </c>
      <c r="L501" s="1">
        <v>12.9</v>
      </c>
      <c r="M501" s="1">
        <v>11.52</v>
      </c>
      <c r="N501" s="1">
        <f>L501-M501</f>
        <v>1.3800000000000008</v>
      </c>
      <c r="O501" s="1" t="s">
        <v>379</v>
      </c>
    </row>
    <row r="502" spans="1:15" x14ac:dyDescent="0.25">
      <c r="A502" s="28">
        <v>46032</v>
      </c>
      <c r="B502" s="1" t="s">
        <v>340</v>
      </c>
      <c r="C502" s="1"/>
      <c r="D502" s="28">
        <f t="shared" si="181"/>
        <v>46055</v>
      </c>
      <c r="E502" s="28">
        <f t="shared" si="182"/>
        <v>46039</v>
      </c>
      <c r="F502" s="28">
        <f t="shared" si="183"/>
        <v>46046</v>
      </c>
      <c r="G502" s="28">
        <f t="shared" si="184"/>
        <v>46052</v>
      </c>
      <c r="H502" s="28">
        <f t="shared" si="185"/>
        <v>46040</v>
      </c>
      <c r="I502" s="28">
        <f t="shared" si="186"/>
        <v>46047</v>
      </c>
      <c r="J502" s="28">
        <v>46062</v>
      </c>
      <c r="K502" s="29">
        <f t="shared" si="187"/>
        <v>30</v>
      </c>
      <c r="L502" s="1">
        <v>11.73</v>
      </c>
      <c r="M502" s="1">
        <v>10.26</v>
      </c>
      <c r="N502" s="1">
        <f>L502-M502</f>
        <v>1.4700000000000006</v>
      </c>
      <c r="O502" s="1" t="s">
        <v>379</v>
      </c>
    </row>
    <row r="503" spans="1:15" x14ac:dyDescent="0.25">
      <c r="A503" s="28">
        <v>46032</v>
      </c>
      <c r="B503" s="1" t="s">
        <v>341</v>
      </c>
      <c r="C503" s="1"/>
      <c r="D503" s="28">
        <f t="shared" ref="D503:D514" si="188">A503+23</f>
        <v>46055</v>
      </c>
      <c r="E503" s="28">
        <f t="shared" ref="E503:E514" si="189">A503+7</f>
        <v>46039</v>
      </c>
      <c r="F503" s="28">
        <f t="shared" ref="F503:F514" si="190">A503+14</f>
        <v>46046</v>
      </c>
      <c r="G503" s="28">
        <f t="shared" ref="G503:G514" si="191">A503+20</f>
        <v>46052</v>
      </c>
      <c r="H503" s="28">
        <f t="shared" ref="H503:H514" si="192">A503+8</f>
        <v>46040</v>
      </c>
      <c r="I503" s="28">
        <f t="shared" ref="I503:I514" si="193">A503+15</f>
        <v>46047</v>
      </c>
      <c r="J503" s="28">
        <v>46062</v>
      </c>
      <c r="K503" s="29">
        <f t="shared" si="187"/>
        <v>30</v>
      </c>
      <c r="L503" s="1">
        <v>10.210000000000001</v>
      </c>
      <c r="M503" s="1">
        <v>8.58</v>
      </c>
      <c r="N503" s="1">
        <f>L503-M503</f>
        <v>1.6300000000000008</v>
      </c>
      <c r="O503" s="1" t="s">
        <v>379</v>
      </c>
    </row>
    <row r="504" spans="1:15" x14ac:dyDescent="0.25">
      <c r="A504" s="28">
        <v>46032</v>
      </c>
      <c r="B504" s="1" t="s">
        <v>342</v>
      </c>
      <c r="C504" s="1"/>
      <c r="D504" s="28">
        <f t="shared" si="188"/>
        <v>46055</v>
      </c>
      <c r="E504" s="28">
        <f t="shared" si="189"/>
        <v>46039</v>
      </c>
      <c r="F504" s="28">
        <f t="shared" si="190"/>
        <v>46046</v>
      </c>
      <c r="G504" s="28">
        <f t="shared" si="191"/>
        <v>46052</v>
      </c>
      <c r="H504" s="28">
        <f t="shared" si="192"/>
        <v>46040</v>
      </c>
      <c r="I504" s="28">
        <f t="shared" si="193"/>
        <v>46047</v>
      </c>
      <c r="J504" s="28">
        <v>46062</v>
      </c>
      <c r="K504" s="29">
        <f t="shared" si="187"/>
        <v>30</v>
      </c>
      <c r="L504" s="1">
        <v>9.1</v>
      </c>
      <c r="M504" s="1">
        <v>7.21</v>
      </c>
      <c r="N504" s="1">
        <f>L504-M504</f>
        <v>1.8899999999999997</v>
      </c>
      <c r="O504" s="1" t="s">
        <v>379</v>
      </c>
    </row>
    <row r="505" spans="1:15" x14ac:dyDescent="0.25">
      <c r="A505" s="28">
        <v>46032</v>
      </c>
      <c r="B505" s="1" t="s">
        <v>343</v>
      </c>
      <c r="C505" s="1"/>
      <c r="D505" s="28">
        <f t="shared" si="188"/>
        <v>46055</v>
      </c>
      <c r="E505" s="28">
        <f t="shared" si="189"/>
        <v>46039</v>
      </c>
      <c r="F505" s="28">
        <f t="shared" si="190"/>
        <v>46046</v>
      </c>
      <c r="G505" s="28">
        <f t="shared" si="191"/>
        <v>46052</v>
      </c>
      <c r="H505" s="28">
        <f t="shared" si="192"/>
        <v>46040</v>
      </c>
      <c r="I505" s="28">
        <f t="shared" si="193"/>
        <v>46047</v>
      </c>
      <c r="J505" s="28">
        <v>46061</v>
      </c>
      <c r="K505" s="29">
        <f t="shared" ref="K505:K515" si="194">J505-A505</f>
        <v>29</v>
      </c>
      <c r="L505" s="1">
        <v>6.93</v>
      </c>
      <c r="M505" s="1">
        <v>3.35</v>
      </c>
      <c r="N505" s="1">
        <f t="shared" ref="N505:N511" si="195">L505-M505</f>
        <v>3.5799999999999996</v>
      </c>
      <c r="O505" s="1" t="s">
        <v>378</v>
      </c>
    </row>
    <row r="506" spans="1:15" x14ac:dyDescent="0.25">
      <c r="A506" s="28">
        <v>46032</v>
      </c>
      <c r="B506" s="1" t="s">
        <v>344</v>
      </c>
      <c r="C506" s="1"/>
      <c r="D506" s="28">
        <f t="shared" si="188"/>
        <v>46055</v>
      </c>
      <c r="E506" s="28">
        <f t="shared" si="189"/>
        <v>46039</v>
      </c>
      <c r="F506" s="28">
        <f t="shared" si="190"/>
        <v>46046</v>
      </c>
      <c r="G506" s="28">
        <f t="shared" si="191"/>
        <v>46052</v>
      </c>
      <c r="H506" s="28">
        <f t="shared" si="192"/>
        <v>46040</v>
      </c>
      <c r="I506" s="28">
        <f t="shared" si="193"/>
        <v>46047</v>
      </c>
      <c r="J506" s="28">
        <v>46061</v>
      </c>
      <c r="K506" s="29">
        <f t="shared" si="194"/>
        <v>29</v>
      </c>
      <c r="L506" s="1">
        <v>6.99</v>
      </c>
      <c r="M506" s="1">
        <v>3.64</v>
      </c>
      <c r="N506" s="1">
        <f t="shared" si="195"/>
        <v>3.35</v>
      </c>
      <c r="O506" s="1" t="s">
        <v>378</v>
      </c>
    </row>
    <row r="507" spans="1:15" x14ac:dyDescent="0.25">
      <c r="A507" s="28">
        <v>46032</v>
      </c>
      <c r="B507" s="1" t="s">
        <v>345</v>
      </c>
      <c r="C507" s="1"/>
      <c r="D507" s="28">
        <f t="shared" si="188"/>
        <v>46055</v>
      </c>
      <c r="E507" s="28">
        <f t="shared" si="189"/>
        <v>46039</v>
      </c>
      <c r="F507" s="28">
        <f t="shared" si="190"/>
        <v>46046</v>
      </c>
      <c r="G507" s="28">
        <f t="shared" si="191"/>
        <v>46052</v>
      </c>
      <c r="H507" s="28">
        <f t="shared" si="192"/>
        <v>46040</v>
      </c>
      <c r="I507" s="28">
        <f t="shared" si="193"/>
        <v>46047</v>
      </c>
      <c r="J507" s="28">
        <v>46061</v>
      </c>
      <c r="K507" s="29">
        <f t="shared" si="194"/>
        <v>29</v>
      </c>
      <c r="L507" s="1">
        <v>4.8099999999999996</v>
      </c>
      <c r="M507" s="1">
        <v>2.11</v>
      </c>
      <c r="N507" s="1">
        <f t="shared" si="195"/>
        <v>2.6999999999999997</v>
      </c>
      <c r="O507" s="1" t="s">
        <v>378</v>
      </c>
    </row>
    <row r="508" spans="1:15" x14ac:dyDescent="0.25">
      <c r="A508" s="28">
        <v>46033</v>
      </c>
      <c r="B508" s="1" t="s">
        <v>332</v>
      </c>
      <c r="C508" s="1"/>
      <c r="D508" s="28">
        <f t="shared" si="188"/>
        <v>46056</v>
      </c>
      <c r="E508" s="28">
        <f t="shared" si="189"/>
        <v>46040</v>
      </c>
      <c r="F508" s="28">
        <f t="shared" si="190"/>
        <v>46047</v>
      </c>
      <c r="G508" s="28">
        <f t="shared" si="191"/>
        <v>46053</v>
      </c>
      <c r="H508" s="28">
        <f t="shared" si="192"/>
        <v>46041</v>
      </c>
      <c r="I508" s="28">
        <f t="shared" si="193"/>
        <v>46048</v>
      </c>
      <c r="J508" s="28">
        <v>46063</v>
      </c>
      <c r="K508" s="29">
        <f t="shared" si="194"/>
        <v>30</v>
      </c>
      <c r="L508" s="1">
        <v>10.19</v>
      </c>
      <c r="M508" s="1">
        <v>4.2300000000000004</v>
      </c>
      <c r="N508" s="1">
        <f t="shared" si="195"/>
        <v>5.9599999999999991</v>
      </c>
      <c r="O508" s="1" t="s">
        <v>378</v>
      </c>
    </row>
    <row r="509" spans="1:15" x14ac:dyDescent="0.25">
      <c r="A509" s="28">
        <v>46033</v>
      </c>
      <c r="B509" s="1" t="s">
        <v>333</v>
      </c>
      <c r="C509" s="1"/>
      <c r="D509" s="28">
        <f t="shared" si="188"/>
        <v>46056</v>
      </c>
      <c r="E509" s="28">
        <f t="shared" si="189"/>
        <v>46040</v>
      </c>
      <c r="F509" s="28">
        <f t="shared" si="190"/>
        <v>46047</v>
      </c>
      <c r="G509" s="28">
        <f t="shared" si="191"/>
        <v>46053</v>
      </c>
      <c r="H509" s="28">
        <f t="shared" si="192"/>
        <v>46041</v>
      </c>
      <c r="I509" s="28">
        <f t="shared" si="193"/>
        <v>46048</v>
      </c>
      <c r="J509" s="28">
        <v>46063</v>
      </c>
      <c r="K509" s="29">
        <f t="shared" si="194"/>
        <v>30</v>
      </c>
      <c r="L509" s="1">
        <v>10.17</v>
      </c>
      <c r="M509" s="1">
        <v>4.82</v>
      </c>
      <c r="N509" s="1">
        <f t="shared" si="195"/>
        <v>5.35</v>
      </c>
      <c r="O509" s="1" t="s">
        <v>378</v>
      </c>
    </row>
    <row r="510" spans="1:15" x14ac:dyDescent="0.25">
      <c r="A510" s="28">
        <v>46033</v>
      </c>
      <c r="B510" s="1" t="s">
        <v>334</v>
      </c>
      <c r="C510" s="1"/>
      <c r="D510" s="28">
        <f t="shared" si="188"/>
        <v>46056</v>
      </c>
      <c r="E510" s="28">
        <f t="shared" si="189"/>
        <v>46040</v>
      </c>
      <c r="F510" s="28">
        <f t="shared" si="190"/>
        <v>46047</v>
      </c>
      <c r="G510" s="28">
        <f t="shared" si="191"/>
        <v>46053</v>
      </c>
      <c r="H510" s="28">
        <f t="shared" si="192"/>
        <v>46041</v>
      </c>
      <c r="I510" s="28">
        <f t="shared" si="193"/>
        <v>46048</v>
      </c>
      <c r="J510" s="28">
        <v>46063</v>
      </c>
      <c r="K510" s="29">
        <f t="shared" si="194"/>
        <v>30</v>
      </c>
      <c r="L510" s="1">
        <v>9.36</v>
      </c>
      <c r="M510" s="1">
        <v>7.54</v>
      </c>
      <c r="N510" s="1">
        <f t="shared" si="195"/>
        <v>1.8199999999999994</v>
      </c>
      <c r="O510" s="1" t="s">
        <v>379</v>
      </c>
    </row>
    <row r="511" spans="1:15" x14ac:dyDescent="0.25">
      <c r="A511" s="28">
        <v>46033</v>
      </c>
      <c r="B511" s="1" t="s">
        <v>335</v>
      </c>
      <c r="C511" s="1"/>
      <c r="D511" s="28">
        <f t="shared" si="188"/>
        <v>46056</v>
      </c>
      <c r="E511" s="28">
        <f t="shared" si="189"/>
        <v>46040</v>
      </c>
      <c r="F511" s="28">
        <f t="shared" si="190"/>
        <v>46047</v>
      </c>
      <c r="G511" s="28">
        <f t="shared" si="191"/>
        <v>46053</v>
      </c>
      <c r="H511" s="28">
        <f t="shared" si="192"/>
        <v>46041</v>
      </c>
      <c r="I511" s="28">
        <f t="shared" si="193"/>
        <v>46048</v>
      </c>
      <c r="J511" s="28">
        <v>46063</v>
      </c>
      <c r="K511" s="29">
        <f t="shared" si="194"/>
        <v>30</v>
      </c>
      <c r="L511" s="1">
        <v>9.02</v>
      </c>
      <c r="M511" s="1">
        <v>7.31</v>
      </c>
      <c r="N511" s="1">
        <f t="shared" si="195"/>
        <v>1.71</v>
      </c>
      <c r="O511" s="1" t="s">
        <v>379</v>
      </c>
    </row>
    <row r="512" spans="1:15" x14ac:dyDescent="0.25">
      <c r="A512" s="28">
        <v>46033</v>
      </c>
      <c r="B512" s="1" t="s">
        <v>336</v>
      </c>
      <c r="C512" s="1"/>
      <c r="D512" s="28">
        <f t="shared" si="188"/>
        <v>46056</v>
      </c>
      <c r="E512" s="28">
        <f t="shared" si="189"/>
        <v>46040</v>
      </c>
      <c r="F512" s="28">
        <f t="shared" si="190"/>
        <v>46047</v>
      </c>
      <c r="G512" s="28">
        <f t="shared" si="191"/>
        <v>46053</v>
      </c>
      <c r="H512" s="28">
        <f t="shared" si="192"/>
        <v>46041</v>
      </c>
      <c r="I512" s="28">
        <f t="shared" si="193"/>
        <v>46048</v>
      </c>
      <c r="J512" s="28">
        <v>46061</v>
      </c>
      <c r="K512" s="29">
        <f t="shared" si="194"/>
        <v>28</v>
      </c>
      <c r="L512" s="1">
        <v>10.35</v>
      </c>
      <c r="M512" s="1">
        <v>8.6300000000000008</v>
      </c>
      <c r="N512" s="1">
        <f t="shared" ref="N512:N522" si="196">L512-M512</f>
        <v>1.7199999999999989</v>
      </c>
      <c r="O512" s="1" t="s">
        <v>379</v>
      </c>
    </row>
    <row r="513" spans="1:15" x14ac:dyDescent="0.25">
      <c r="A513" s="28">
        <v>46033</v>
      </c>
      <c r="B513" s="1" t="s">
        <v>337</v>
      </c>
      <c r="C513" s="1"/>
      <c r="D513" s="28">
        <f t="shared" si="188"/>
        <v>46056</v>
      </c>
      <c r="E513" s="28">
        <f t="shared" si="189"/>
        <v>46040</v>
      </c>
      <c r="F513" s="28">
        <f t="shared" si="190"/>
        <v>46047</v>
      </c>
      <c r="G513" s="28">
        <f t="shared" si="191"/>
        <v>46053</v>
      </c>
      <c r="H513" s="28">
        <f t="shared" si="192"/>
        <v>46041</v>
      </c>
      <c r="I513" s="28">
        <f t="shared" si="193"/>
        <v>46048</v>
      </c>
      <c r="J513" s="28">
        <v>46061</v>
      </c>
      <c r="K513" s="29">
        <f t="shared" si="194"/>
        <v>28</v>
      </c>
      <c r="L513" s="1">
        <v>10.09</v>
      </c>
      <c r="M513" s="1">
        <v>8.4700000000000006</v>
      </c>
      <c r="N513" s="1">
        <f t="shared" si="196"/>
        <v>1.6199999999999992</v>
      </c>
      <c r="O513" s="1" t="s">
        <v>379</v>
      </c>
    </row>
    <row r="514" spans="1:15" x14ac:dyDescent="0.25">
      <c r="A514" s="28">
        <v>46033</v>
      </c>
      <c r="B514" s="1" t="s">
        <v>338</v>
      </c>
      <c r="C514" s="1"/>
      <c r="D514" s="28">
        <f t="shared" si="188"/>
        <v>46056</v>
      </c>
      <c r="E514" s="28">
        <f t="shared" si="189"/>
        <v>46040</v>
      </c>
      <c r="F514" s="28">
        <f t="shared" si="190"/>
        <v>46047</v>
      </c>
      <c r="G514" s="28">
        <f t="shared" si="191"/>
        <v>46053</v>
      </c>
      <c r="H514" s="28">
        <f t="shared" si="192"/>
        <v>46041</v>
      </c>
      <c r="I514" s="28">
        <f t="shared" si="193"/>
        <v>46048</v>
      </c>
      <c r="J514" s="28">
        <v>46062</v>
      </c>
      <c r="K514" s="29">
        <f t="shared" si="194"/>
        <v>29</v>
      </c>
      <c r="L514" s="1">
        <v>11.84</v>
      </c>
      <c r="M514" s="1">
        <v>10.3</v>
      </c>
      <c r="N514" s="1">
        <f t="shared" si="196"/>
        <v>1.5399999999999991</v>
      </c>
      <c r="O514" s="1" t="s">
        <v>379</v>
      </c>
    </row>
    <row r="515" spans="1:15" x14ac:dyDescent="0.25">
      <c r="A515" s="28">
        <v>46034</v>
      </c>
      <c r="B515" s="1" t="s">
        <v>325</v>
      </c>
      <c r="C515" s="1"/>
      <c r="D515" s="28">
        <f t="shared" ref="D515:D521" si="197">A515+23</f>
        <v>46057</v>
      </c>
      <c r="E515" s="28">
        <f t="shared" ref="E515:E521" si="198">A515+7</f>
        <v>46041</v>
      </c>
      <c r="F515" s="28">
        <f t="shared" ref="F515:F521" si="199">A515+14</f>
        <v>46048</v>
      </c>
      <c r="G515" s="28">
        <f t="shared" ref="G515:G521" si="200">A515+20</f>
        <v>46054</v>
      </c>
      <c r="H515" s="28">
        <f t="shared" ref="H515:H521" si="201">A515+8</f>
        <v>46042</v>
      </c>
      <c r="I515" s="28">
        <f t="shared" ref="I515:I521" si="202">A515+15</f>
        <v>46049</v>
      </c>
      <c r="J515" s="28">
        <v>46064</v>
      </c>
      <c r="K515" s="29">
        <f t="shared" si="194"/>
        <v>30</v>
      </c>
      <c r="L515" s="1">
        <v>12.9</v>
      </c>
      <c r="M515" s="1">
        <v>12.01</v>
      </c>
      <c r="N515" s="1">
        <f t="shared" si="196"/>
        <v>0.89000000000000057</v>
      </c>
      <c r="O515" s="1" t="s">
        <v>379</v>
      </c>
    </row>
    <row r="516" spans="1:15" x14ac:dyDescent="0.25">
      <c r="A516" s="28">
        <v>46034</v>
      </c>
      <c r="B516" s="1" t="s">
        <v>326</v>
      </c>
      <c r="C516" s="1"/>
      <c r="D516" s="28">
        <f t="shared" si="197"/>
        <v>46057</v>
      </c>
      <c r="E516" s="28">
        <f t="shared" si="198"/>
        <v>46041</v>
      </c>
      <c r="F516" s="28">
        <f t="shared" si="199"/>
        <v>46048</v>
      </c>
      <c r="G516" s="28">
        <f t="shared" si="200"/>
        <v>46054</v>
      </c>
      <c r="H516" s="28">
        <f t="shared" si="201"/>
        <v>46042</v>
      </c>
      <c r="I516" s="28">
        <f t="shared" si="202"/>
        <v>46049</v>
      </c>
      <c r="J516" s="28">
        <v>46064</v>
      </c>
      <c r="K516" s="29">
        <f t="shared" ref="K516:K523" si="203">J516-A516</f>
        <v>30</v>
      </c>
      <c r="L516" s="1">
        <v>12.06</v>
      </c>
      <c r="M516" s="1">
        <v>10.74</v>
      </c>
      <c r="N516" s="1">
        <f t="shared" si="196"/>
        <v>1.3200000000000003</v>
      </c>
      <c r="O516" s="1" t="s">
        <v>379</v>
      </c>
    </row>
    <row r="517" spans="1:15" x14ac:dyDescent="0.25">
      <c r="A517" s="28">
        <v>46034</v>
      </c>
      <c r="B517" s="1" t="s">
        <v>327</v>
      </c>
      <c r="C517" s="1"/>
      <c r="D517" s="28">
        <f t="shared" si="197"/>
        <v>46057</v>
      </c>
      <c r="E517" s="28">
        <f t="shared" si="198"/>
        <v>46041</v>
      </c>
      <c r="F517" s="28">
        <f t="shared" si="199"/>
        <v>46048</v>
      </c>
      <c r="G517" s="28">
        <f t="shared" si="200"/>
        <v>46054</v>
      </c>
      <c r="H517" s="28">
        <f t="shared" si="201"/>
        <v>46042</v>
      </c>
      <c r="I517" s="28">
        <f t="shared" si="202"/>
        <v>46049</v>
      </c>
      <c r="J517" s="28">
        <v>46064</v>
      </c>
      <c r="K517" s="29">
        <f t="shared" si="203"/>
        <v>30</v>
      </c>
      <c r="L517" s="1">
        <v>12.71</v>
      </c>
      <c r="M517" s="1">
        <v>11.15</v>
      </c>
      <c r="N517" s="1">
        <f t="shared" si="196"/>
        <v>1.5600000000000005</v>
      </c>
      <c r="O517" s="1" t="s">
        <v>379</v>
      </c>
    </row>
    <row r="518" spans="1:15" x14ac:dyDescent="0.25">
      <c r="A518" s="28">
        <v>46034</v>
      </c>
      <c r="B518" s="1" t="s">
        <v>328</v>
      </c>
      <c r="C518" s="1"/>
      <c r="D518" s="28">
        <f t="shared" si="197"/>
        <v>46057</v>
      </c>
      <c r="E518" s="28">
        <f t="shared" si="198"/>
        <v>46041</v>
      </c>
      <c r="F518" s="28">
        <f t="shared" si="199"/>
        <v>46048</v>
      </c>
      <c r="G518" s="28">
        <f t="shared" si="200"/>
        <v>46054</v>
      </c>
      <c r="H518" s="28">
        <f t="shared" si="201"/>
        <v>46042</v>
      </c>
      <c r="I518" s="28">
        <f t="shared" si="202"/>
        <v>46049</v>
      </c>
      <c r="J518" s="28">
        <v>46064</v>
      </c>
      <c r="K518" s="29">
        <f t="shared" si="203"/>
        <v>30</v>
      </c>
      <c r="L518" s="1">
        <v>13.38</v>
      </c>
      <c r="M518" s="1">
        <v>12.71</v>
      </c>
      <c r="N518" s="1">
        <f t="shared" si="196"/>
        <v>0.66999999999999993</v>
      </c>
      <c r="O518" s="1" t="s">
        <v>379</v>
      </c>
    </row>
    <row r="519" spans="1:15" x14ac:dyDescent="0.25">
      <c r="A519" s="28">
        <v>46034</v>
      </c>
      <c r="B519" s="1" t="s">
        <v>329</v>
      </c>
      <c r="C519" s="1"/>
      <c r="D519" s="28">
        <f t="shared" si="197"/>
        <v>46057</v>
      </c>
      <c r="E519" s="28">
        <f t="shared" si="198"/>
        <v>46041</v>
      </c>
      <c r="F519" s="28">
        <f t="shared" si="199"/>
        <v>46048</v>
      </c>
      <c r="G519" s="28">
        <f t="shared" si="200"/>
        <v>46054</v>
      </c>
      <c r="H519" s="28">
        <f t="shared" si="201"/>
        <v>46042</v>
      </c>
      <c r="I519" s="28">
        <f t="shared" si="202"/>
        <v>46049</v>
      </c>
      <c r="J519" s="28">
        <v>46064</v>
      </c>
      <c r="K519" s="29">
        <f t="shared" si="203"/>
        <v>30</v>
      </c>
      <c r="L519" s="1">
        <v>11.96</v>
      </c>
      <c r="M519" s="1">
        <v>10.54</v>
      </c>
      <c r="N519" s="1">
        <f t="shared" si="196"/>
        <v>1.4200000000000017</v>
      </c>
      <c r="O519" s="1" t="s">
        <v>379</v>
      </c>
    </row>
    <row r="520" spans="1:15" x14ac:dyDescent="0.25">
      <c r="A520" s="28">
        <v>46034</v>
      </c>
      <c r="B520" s="1" t="s">
        <v>330</v>
      </c>
      <c r="C520" s="1"/>
      <c r="D520" s="28">
        <f t="shared" si="197"/>
        <v>46057</v>
      </c>
      <c r="E520" s="28">
        <f t="shared" si="198"/>
        <v>46041</v>
      </c>
      <c r="F520" s="28">
        <f t="shared" si="199"/>
        <v>46048</v>
      </c>
      <c r="G520" s="28">
        <f t="shared" si="200"/>
        <v>46054</v>
      </c>
      <c r="H520" s="28">
        <f t="shared" si="201"/>
        <v>46042</v>
      </c>
      <c r="I520" s="28">
        <f t="shared" si="202"/>
        <v>46049</v>
      </c>
      <c r="J520" s="28">
        <v>46064</v>
      </c>
      <c r="K520" s="29">
        <f t="shared" si="203"/>
        <v>30</v>
      </c>
      <c r="L520" s="1">
        <v>11.73</v>
      </c>
      <c r="M520" s="1">
        <v>10.119999999999999</v>
      </c>
      <c r="N520" s="1">
        <f t="shared" si="196"/>
        <v>1.6100000000000012</v>
      </c>
      <c r="O520" s="1" t="s">
        <v>379</v>
      </c>
    </row>
    <row r="521" spans="1:15" x14ac:dyDescent="0.25">
      <c r="A521" s="28">
        <v>46034</v>
      </c>
      <c r="B521" s="1" t="s">
        <v>331</v>
      </c>
      <c r="C521" s="1"/>
      <c r="D521" s="28">
        <f t="shared" si="197"/>
        <v>46057</v>
      </c>
      <c r="E521" s="28">
        <f t="shared" si="198"/>
        <v>46041</v>
      </c>
      <c r="F521" s="28">
        <f t="shared" si="199"/>
        <v>46048</v>
      </c>
      <c r="G521" s="28">
        <f t="shared" si="200"/>
        <v>46054</v>
      </c>
      <c r="H521" s="28">
        <f t="shared" si="201"/>
        <v>46042</v>
      </c>
      <c r="I521" s="28">
        <f t="shared" si="202"/>
        <v>46049</v>
      </c>
      <c r="J521" s="28">
        <v>46064</v>
      </c>
      <c r="K521" s="29">
        <f t="shared" si="203"/>
        <v>30</v>
      </c>
      <c r="L521" s="1">
        <v>13.45</v>
      </c>
      <c r="M521" s="1">
        <v>12.17</v>
      </c>
      <c r="N521" s="1">
        <f t="shared" si="196"/>
        <v>1.2799999999999994</v>
      </c>
      <c r="O521" s="1" t="s">
        <v>379</v>
      </c>
    </row>
    <row r="522" spans="1:15" x14ac:dyDescent="0.25">
      <c r="A522" s="28">
        <v>46035</v>
      </c>
      <c r="B522" s="1" t="s">
        <v>324</v>
      </c>
      <c r="C522" s="1"/>
      <c r="D522" s="28">
        <f t="shared" ref="D522:D529" si="204">A522+23</f>
        <v>46058</v>
      </c>
      <c r="E522" s="28">
        <f t="shared" ref="E522:E529" si="205">A522+7</f>
        <v>46042</v>
      </c>
      <c r="F522" s="28">
        <f t="shared" ref="F522:F529" si="206">A522+14</f>
        <v>46049</v>
      </c>
      <c r="G522" s="28">
        <f t="shared" ref="G522:G529" si="207">A522+20</f>
        <v>46055</v>
      </c>
      <c r="H522" s="28">
        <f t="shared" ref="H522:H529" si="208">A522+8</f>
        <v>46043</v>
      </c>
      <c r="I522" s="28">
        <f t="shared" ref="I522:I529" si="209">A522+15</f>
        <v>46050</v>
      </c>
      <c r="J522" s="28">
        <v>46064</v>
      </c>
      <c r="K522" s="29">
        <f t="shared" si="203"/>
        <v>29</v>
      </c>
      <c r="L522" s="1">
        <v>12.65</v>
      </c>
      <c r="M522" s="1">
        <v>11.38</v>
      </c>
      <c r="N522" s="1">
        <f t="shared" si="196"/>
        <v>1.2699999999999996</v>
      </c>
      <c r="O522" s="1" t="s">
        <v>379</v>
      </c>
    </row>
    <row r="523" spans="1:15" x14ac:dyDescent="0.25">
      <c r="A523" s="28">
        <v>46035</v>
      </c>
      <c r="B523" s="1" t="s">
        <v>303</v>
      </c>
      <c r="C523" s="1"/>
      <c r="D523" s="28">
        <f t="shared" si="204"/>
        <v>46058</v>
      </c>
      <c r="E523" s="28">
        <f t="shared" si="205"/>
        <v>46042</v>
      </c>
      <c r="F523" s="28">
        <f t="shared" si="206"/>
        <v>46049</v>
      </c>
      <c r="G523" s="28">
        <f t="shared" si="207"/>
        <v>46055</v>
      </c>
      <c r="H523" s="28">
        <f t="shared" si="208"/>
        <v>46043</v>
      </c>
      <c r="I523" s="28">
        <f t="shared" si="209"/>
        <v>46050</v>
      </c>
      <c r="J523" s="28">
        <v>46065</v>
      </c>
      <c r="K523" s="29">
        <f t="shared" si="203"/>
        <v>30</v>
      </c>
      <c r="L523" s="34">
        <v>13.65</v>
      </c>
      <c r="M523" s="32">
        <v>12.36</v>
      </c>
      <c r="N523" s="1">
        <f t="shared" ref="N523:N529" si="210">L523-M523</f>
        <v>1.2900000000000009</v>
      </c>
      <c r="O523" s="1" t="s">
        <v>379</v>
      </c>
    </row>
    <row r="524" spans="1:15" x14ac:dyDescent="0.25">
      <c r="A524" s="28">
        <v>46035</v>
      </c>
      <c r="B524" s="1" t="s">
        <v>304</v>
      </c>
      <c r="C524" s="1"/>
      <c r="D524" s="28">
        <f t="shared" si="204"/>
        <v>46058</v>
      </c>
      <c r="E524" s="28">
        <f t="shared" si="205"/>
        <v>46042</v>
      </c>
      <c r="F524" s="28">
        <f t="shared" si="206"/>
        <v>46049</v>
      </c>
      <c r="G524" s="28">
        <f t="shared" si="207"/>
        <v>46055</v>
      </c>
      <c r="H524" s="28">
        <f t="shared" si="208"/>
        <v>46043</v>
      </c>
      <c r="I524" s="28">
        <f t="shared" si="209"/>
        <v>46050</v>
      </c>
      <c r="J524" s="28">
        <v>46065</v>
      </c>
      <c r="K524" s="29">
        <f t="shared" ref="K524:K530" si="211">J524-A524</f>
        <v>30</v>
      </c>
      <c r="L524" s="34">
        <v>12.74</v>
      </c>
      <c r="M524" s="32">
        <v>11.58</v>
      </c>
      <c r="N524" s="1">
        <f t="shared" si="210"/>
        <v>1.1600000000000001</v>
      </c>
      <c r="O524" s="1" t="s">
        <v>379</v>
      </c>
    </row>
    <row r="525" spans="1:15" x14ac:dyDescent="0.25">
      <c r="A525" s="28">
        <v>46035</v>
      </c>
      <c r="B525" s="1" t="s">
        <v>305</v>
      </c>
      <c r="C525" s="1"/>
      <c r="D525" s="28">
        <f t="shared" si="204"/>
        <v>46058</v>
      </c>
      <c r="E525" s="28">
        <f t="shared" si="205"/>
        <v>46042</v>
      </c>
      <c r="F525" s="28">
        <f t="shared" si="206"/>
        <v>46049</v>
      </c>
      <c r="G525" s="28">
        <f t="shared" si="207"/>
        <v>46055</v>
      </c>
      <c r="H525" s="28">
        <f t="shared" si="208"/>
        <v>46043</v>
      </c>
      <c r="I525" s="28">
        <f t="shared" si="209"/>
        <v>46050</v>
      </c>
      <c r="J525" s="28">
        <v>46065</v>
      </c>
      <c r="K525" s="29">
        <f t="shared" si="211"/>
        <v>30</v>
      </c>
      <c r="L525" s="34">
        <v>13.04</v>
      </c>
      <c r="M525" s="32">
        <v>11.82</v>
      </c>
      <c r="N525" s="1">
        <f t="shared" si="210"/>
        <v>1.2199999999999989</v>
      </c>
      <c r="O525" s="1" t="s">
        <v>379</v>
      </c>
    </row>
    <row r="526" spans="1:15" x14ac:dyDescent="0.25">
      <c r="A526" s="28">
        <v>46035</v>
      </c>
      <c r="B526" s="1" t="s">
        <v>306</v>
      </c>
      <c r="C526" s="1"/>
      <c r="D526" s="28">
        <f t="shared" si="204"/>
        <v>46058</v>
      </c>
      <c r="E526" s="28">
        <f t="shared" si="205"/>
        <v>46042</v>
      </c>
      <c r="F526" s="28">
        <f t="shared" si="206"/>
        <v>46049</v>
      </c>
      <c r="G526" s="28">
        <f t="shared" si="207"/>
        <v>46055</v>
      </c>
      <c r="H526" s="28">
        <f t="shared" si="208"/>
        <v>46043</v>
      </c>
      <c r="I526" s="28">
        <f t="shared" si="209"/>
        <v>46050</v>
      </c>
      <c r="J526" s="28">
        <v>46065</v>
      </c>
      <c r="K526" s="29">
        <f t="shared" si="211"/>
        <v>30</v>
      </c>
      <c r="L526" s="34">
        <v>13.93</v>
      </c>
      <c r="M526" s="32">
        <v>13.1</v>
      </c>
      <c r="N526" s="1">
        <f t="shared" si="210"/>
        <v>0.83000000000000007</v>
      </c>
      <c r="O526" s="1" t="s">
        <v>379</v>
      </c>
    </row>
    <row r="527" spans="1:15" x14ac:dyDescent="0.25">
      <c r="A527" s="28">
        <v>46035</v>
      </c>
      <c r="B527" s="1" t="s">
        <v>307</v>
      </c>
      <c r="C527" s="1"/>
      <c r="D527" s="28">
        <f t="shared" si="204"/>
        <v>46058</v>
      </c>
      <c r="E527" s="28">
        <f t="shared" si="205"/>
        <v>46042</v>
      </c>
      <c r="F527" s="28">
        <f t="shared" si="206"/>
        <v>46049</v>
      </c>
      <c r="G527" s="28">
        <f t="shared" si="207"/>
        <v>46055</v>
      </c>
      <c r="H527" s="28">
        <f t="shared" si="208"/>
        <v>46043</v>
      </c>
      <c r="I527" s="28">
        <f t="shared" si="209"/>
        <v>46050</v>
      </c>
      <c r="J527" s="28">
        <v>46065</v>
      </c>
      <c r="K527" s="29">
        <f t="shared" si="211"/>
        <v>30</v>
      </c>
      <c r="L527" s="34">
        <v>12.87</v>
      </c>
      <c r="M527" s="32">
        <v>12.18</v>
      </c>
      <c r="N527" s="1">
        <f t="shared" si="210"/>
        <v>0.6899999999999995</v>
      </c>
      <c r="O527" s="1" t="s">
        <v>379</v>
      </c>
    </row>
    <row r="528" spans="1:15" x14ac:dyDescent="0.25">
      <c r="A528" s="28">
        <v>46035</v>
      </c>
      <c r="B528" s="1" t="s">
        <v>308</v>
      </c>
      <c r="C528" s="1"/>
      <c r="D528" s="28">
        <f t="shared" si="204"/>
        <v>46058</v>
      </c>
      <c r="E528" s="28">
        <f t="shared" si="205"/>
        <v>46042</v>
      </c>
      <c r="F528" s="28">
        <f t="shared" si="206"/>
        <v>46049</v>
      </c>
      <c r="G528" s="28">
        <f t="shared" si="207"/>
        <v>46055</v>
      </c>
      <c r="H528" s="28">
        <f t="shared" si="208"/>
        <v>46043</v>
      </c>
      <c r="I528" s="28">
        <f t="shared" si="209"/>
        <v>46050</v>
      </c>
      <c r="J528" s="28">
        <v>46065</v>
      </c>
      <c r="K528" s="29">
        <f t="shared" si="211"/>
        <v>30</v>
      </c>
      <c r="L528" s="34">
        <v>13.61</v>
      </c>
      <c r="M528" s="32">
        <v>12.67</v>
      </c>
      <c r="N528" s="1">
        <f t="shared" si="210"/>
        <v>0.9399999999999995</v>
      </c>
      <c r="O528" s="1" t="s">
        <v>379</v>
      </c>
    </row>
    <row r="529" spans="1:15" x14ac:dyDescent="0.25">
      <c r="A529" s="28">
        <v>46035</v>
      </c>
      <c r="B529" s="1" t="s">
        <v>309</v>
      </c>
      <c r="C529" s="1"/>
      <c r="D529" s="28">
        <f t="shared" si="204"/>
        <v>46058</v>
      </c>
      <c r="E529" s="28">
        <f t="shared" si="205"/>
        <v>46042</v>
      </c>
      <c r="F529" s="28">
        <f t="shared" si="206"/>
        <v>46049</v>
      </c>
      <c r="G529" s="28">
        <f t="shared" si="207"/>
        <v>46055</v>
      </c>
      <c r="H529" s="28">
        <f t="shared" si="208"/>
        <v>46043</v>
      </c>
      <c r="I529" s="28">
        <f t="shared" si="209"/>
        <v>46050</v>
      </c>
      <c r="J529" s="28">
        <v>46065</v>
      </c>
      <c r="K529" s="29">
        <f t="shared" si="211"/>
        <v>30</v>
      </c>
      <c r="L529" s="34">
        <v>14.18</v>
      </c>
      <c r="M529" s="32">
        <v>13.25</v>
      </c>
      <c r="N529" s="1">
        <f t="shared" si="210"/>
        <v>0.92999999999999972</v>
      </c>
      <c r="O529" s="1" t="s">
        <v>379</v>
      </c>
    </row>
    <row r="530" spans="1:15" x14ac:dyDescent="0.25">
      <c r="A530" s="28">
        <v>46036</v>
      </c>
      <c r="B530" s="1" t="s">
        <v>310</v>
      </c>
      <c r="C530" s="1"/>
      <c r="D530" s="28">
        <f>A530+23</f>
        <v>46059</v>
      </c>
      <c r="E530" s="28">
        <f>A530+7</f>
        <v>46043</v>
      </c>
      <c r="F530" s="28">
        <f>A530+14</f>
        <v>46050</v>
      </c>
      <c r="G530" s="28">
        <f>A530+20</f>
        <v>46056</v>
      </c>
      <c r="H530" s="28">
        <f>A530+8</f>
        <v>46044</v>
      </c>
      <c r="I530" s="28">
        <f>A530+15</f>
        <v>46051</v>
      </c>
      <c r="J530" s="28">
        <v>46066</v>
      </c>
      <c r="K530" s="29">
        <f t="shared" si="211"/>
        <v>30</v>
      </c>
      <c r="L530" s="34">
        <v>12.41</v>
      </c>
      <c r="M530" s="32">
        <v>11.73</v>
      </c>
      <c r="N530" s="1">
        <f t="shared" ref="N530:N538" si="212">L530-M530</f>
        <v>0.67999999999999972</v>
      </c>
      <c r="O530" s="1" t="s">
        <v>379</v>
      </c>
    </row>
    <row r="531" spans="1:15" x14ac:dyDescent="0.25">
      <c r="A531" s="28">
        <v>46036</v>
      </c>
      <c r="B531" s="1" t="s">
        <v>311</v>
      </c>
      <c r="C531" s="1"/>
      <c r="D531" s="28">
        <f t="shared" ref="D531:D537" si="213">A531+23</f>
        <v>46059</v>
      </c>
      <c r="E531" s="28">
        <f t="shared" ref="E531:E537" si="214">A531+7</f>
        <v>46043</v>
      </c>
      <c r="F531" s="28">
        <f t="shared" ref="F531:F537" si="215">A531+14</f>
        <v>46050</v>
      </c>
      <c r="G531" s="28">
        <f t="shared" ref="G531:G537" si="216">A531+20</f>
        <v>46056</v>
      </c>
      <c r="H531" s="28">
        <f t="shared" ref="H531:H537" si="217">A531+8</f>
        <v>46044</v>
      </c>
      <c r="I531" s="28">
        <f t="shared" ref="I531:I537" si="218">A531+15</f>
        <v>46051</v>
      </c>
      <c r="J531" s="28">
        <v>46066</v>
      </c>
      <c r="K531" s="29">
        <f t="shared" ref="K531:K539" si="219">J531-A531</f>
        <v>30</v>
      </c>
      <c r="L531" s="34">
        <v>11.75</v>
      </c>
      <c r="M531" s="32">
        <v>10.58</v>
      </c>
      <c r="N531" s="1">
        <f t="shared" si="212"/>
        <v>1.17</v>
      </c>
      <c r="O531" s="1" t="s">
        <v>379</v>
      </c>
    </row>
    <row r="532" spans="1:15" x14ac:dyDescent="0.25">
      <c r="A532" s="28">
        <v>46036</v>
      </c>
      <c r="B532" s="1" t="s">
        <v>312</v>
      </c>
      <c r="C532" s="1"/>
      <c r="D532" s="28">
        <f t="shared" si="213"/>
        <v>46059</v>
      </c>
      <c r="E532" s="28">
        <f t="shared" si="214"/>
        <v>46043</v>
      </c>
      <c r="F532" s="28">
        <f t="shared" si="215"/>
        <v>46050</v>
      </c>
      <c r="G532" s="28">
        <f t="shared" si="216"/>
        <v>46056</v>
      </c>
      <c r="H532" s="28">
        <f t="shared" si="217"/>
        <v>46044</v>
      </c>
      <c r="I532" s="28">
        <f t="shared" si="218"/>
        <v>46051</v>
      </c>
      <c r="J532" s="28">
        <v>46066</v>
      </c>
      <c r="K532" s="29">
        <f t="shared" si="219"/>
        <v>30</v>
      </c>
      <c r="L532" s="34">
        <v>13.84</v>
      </c>
      <c r="M532" s="32">
        <v>12.24</v>
      </c>
      <c r="N532" s="1">
        <f t="shared" si="212"/>
        <v>1.5999999999999996</v>
      </c>
      <c r="O532" s="1" t="s">
        <v>379</v>
      </c>
    </row>
    <row r="533" spans="1:15" x14ac:dyDescent="0.25">
      <c r="A533" s="28">
        <v>46036</v>
      </c>
      <c r="B533" s="1" t="s">
        <v>313</v>
      </c>
      <c r="C533" s="1"/>
      <c r="D533" s="28">
        <f t="shared" si="213"/>
        <v>46059</v>
      </c>
      <c r="E533" s="28">
        <f t="shared" si="214"/>
        <v>46043</v>
      </c>
      <c r="F533" s="28">
        <f t="shared" si="215"/>
        <v>46050</v>
      </c>
      <c r="G533" s="28">
        <f t="shared" si="216"/>
        <v>46056</v>
      </c>
      <c r="H533" s="28">
        <f t="shared" si="217"/>
        <v>46044</v>
      </c>
      <c r="I533" s="28">
        <f t="shared" si="218"/>
        <v>46051</v>
      </c>
      <c r="J533" s="28">
        <v>46066</v>
      </c>
      <c r="K533" s="29">
        <f t="shared" si="219"/>
        <v>30</v>
      </c>
      <c r="L533" s="34">
        <v>13.97</v>
      </c>
      <c r="M533" s="32">
        <v>12.52</v>
      </c>
      <c r="N533" s="1">
        <f t="shared" si="212"/>
        <v>1.4500000000000011</v>
      </c>
      <c r="O533" s="1" t="s">
        <v>379</v>
      </c>
    </row>
    <row r="534" spans="1:15" x14ac:dyDescent="0.25">
      <c r="A534" s="28">
        <v>46036</v>
      </c>
      <c r="B534" s="1" t="s">
        <v>314</v>
      </c>
      <c r="C534" s="1"/>
      <c r="D534" s="28">
        <f t="shared" si="213"/>
        <v>46059</v>
      </c>
      <c r="E534" s="28">
        <f t="shared" si="214"/>
        <v>46043</v>
      </c>
      <c r="F534" s="28">
        <f t="shared" si="215"/>
        <v>46050</v>
      </c>
      <c r="G534" s="28">
        <f t="shared" si="216"/>
        <v>46056</v>
      </c>
      <c r="H534" s="28">
        <f t="shared" si="217"/>
        <v>46044</v>
      </c>
      <c r="I534" s="28">
        <f t="shared" si="218"/>
        <v>46051</v>
      </c>
      <c r="J534" s="28">
        <v>46066</v>
      </c>
      <c r="K534" s="29">
        <f t="shared" si="219"/>
        <v>30</v>
      </c>
      <c r="L534" s="34">
        <v>12.33</v>
      </c>
      <c r="M534" s="32">
        <v>11.47</v>
      </c>
      <c r="N534" s="1">
        <f t="shared" si="212"/>
        <v>0.85999999999999943</v>
      </c>
      <c r="O534" s="1" t="s">
        <v>379</v>
      </c>
    </row>
    <row r="535" spans="1:15" x14ac:dyDescent="0.25">
      <c r="A535" s="28">
        <v>46036</v>
      </c>
      <c r="B535" s="1" t="s">
        <v>315</v>
      </c>
      <c r="C535" s="1"/>
      <c r="D535" s="28">
        <f t="shared" si="213"/>
        <v>46059</v>
      </c>
      <c r="E535" s="28">
        <f t="shared" si="214"/>
        <v>46043</v>
      </c>
      <c r="F535" s="28">
        <f t="shared" si="215"/>
        <v>46050</v>
      </c>
      <c r="G535" s="28">
        <f t="shared" si="216"/>
        <v>46056</v>
      </c>
      <c r="H535" s="28">
        <f t="shared" si="217"/>
        <v>46044</v>
      </c>
      <c r="I535" s="28">
        <f t="shared" si="218"/>
        <v>46051</v>
      </c>
      <c r="J535" s="28">
        <v>46066</v>
      </c>
      <c r="K535" s="29">
        <f t="shared" si="219"/>
        <v>30</v>
      </c>
      <c r="L535" s="34">
        <v>10.11</v>
      </c>
      <c r="M535" s="32">
        <v>8.6300000000000008</v>
      </c>
      <c r="N535" s="1">
        <f t="shared" si="212"/>
        <v>1.4799999999999986</v>
      </c>
      <c r="O535" s="1" t="s">
        <v>379</v>
      </c>
    </row>
    <row r="536" spans="1:15" x14ac:dyDescent="0.25">
      <c r="A536" s="28">
        <v>46036</v>
      </c>
      <c r="B536" s="1" t="s">
        <v>316</v>
      </c>
      <c r="C536" s="1"/>
      <c r="D536" s="28">
        <f t="shared" si="213"/>
        <v>46059</v>
      </c>
      <c r="E536" s="28">
        <f t="shared" si="214"/>
        <v>46043</v>
      </c>
      <c r="F536" s="28">
        <f t="shared" si="215"/>
        <v>46050</v>
      </c>
      <c r="G536" s="28">
        <f t="shared" si="216"/>
        <v>46056</v>
      </c>
      <c r="H536" s="28">
        <f t="shared" si="217"/>
        <v>46044</v>
      </c>
      <c r="I536" s="28">
        <f t="shared" si="218"/>
        <v>46051</v>
      </c>
      <c r="J536" s="28">
        <v>46066</v>
      </c>
      <c r="K536" s="29">
        <f t="shared" si="219"/>
        <v>30</v>
      </c>
      <c r="L536" s="34">
        <v>10.72</v>
      </c>
      <c r="M536" s="32">
        <v>9.35</v>
      </c>
      <c r="N536" s="1">
        <f t="shared" si="212"/>
        <v>1.370000000000001</v>
      </c>
      <c r="O536" s="1" t="s">
        <v>379</v>
      </c>
    </row>
    <row r="537" spans="1:15" x14ac:dyDescent="0.25">
      <c r="A537" s="28">
        <v>46037</v>
      </c>
      <c r="B537" s="1" t="s">
        <v>317</v>
      </c>
      <c r="C537" s="1"/>
      <c r="D537" s="28">
        <f t="shared" si="213"/>
        <v>46060</v>
      </c>
      <c r="E537" s="28">
        <f t="shared" si="214"/>
        <v>46044</v>
      </c>
      <c r="F537" s="28">
        <f t="shared" si="215"/>
        <v>46051</v>
      </c>
      <c r="G537" s="28">
        <f t="shared" si="216"/>
        <v>46057</v>
      </c>
      <c r="H537" s="28">
        <f t="shared" si="217"/>
        <v>46045</v>
      </c>
      <c r="I537" s="28">
        <f t="shared" si="218"/>
        <v>46052</v>
      </c>
      <c r="J537" s="28">
        <v>46066</v>
      </c>
      <c r="K537" s="29">
        <f t="shared" si="219"/>
        <v>29</v>
      </c>
      <c r="L537" s="34">
        <v>10.66</v>
      </c>
      <c r="M537" s="32">
        <v>9.2100000000000009</v>
      </c>
      <c r="N537" s="1">
        <f t="shared" si="212"/>
        <v>1.4499999999999993</v>
      </c>
      <c r="O537" s="1" t="s">
        <v>379</v>
      </c>
    </row>
    <row r="538" spans="1:15" x14ac:dyDescent="0.25">
      <c r="A538" s="28">
        <v>46037</v>
      </c>
      <c r="B538" s="1" t="s">
        <v>318</v>
      </c>
      <c r="C538" s="1"/>
      <c r="D538" s="28">
        <f t="shared" ref="D538:D545" si="220">A538+23</f>
        <v>46060</v>
      </c>
      <c r="E538" s="28">
        <f t="shared" ref="E538:E545" si="221">A538+7</f>
        <v>46044</v>
      </c>
      <c r="F538" s="28">
        <f t="shared" ref="F538:F545" si="222">A538+14</f>
        <v>46051</v>
      </c>
      <c r="G538" s="28">
        <f t="shared" ref="G538:G545" si="223">A538+20</f>
        <v>46057</v>
      </c>
      <c r="H538" s="28">
        <f t="shared" ref="H538:H545" si="224">A538+8</f>
        <v>46045</v>
      </c>
      <c r="I538" s="28">
        <f t="shared" ref="I538:I545" si="225">A538+15</f>
        <v>46052</v>
      </c>
      <c r="J538" s="28">
        <v>46066</v>
      </c>
      <c r="K538" s="29">
        <f t="shared" si="219"/>
        <v>29</v>
      </c>
      <c r="L538" s="34">
        <v>13.19</v>
      </c>
      <c r="M538" s="32">
        <v>11.68</v>
      </c>
      <c r="N538" s="1">
        <f t="shared" si="212"/>
        <v>1.5099999999999998</v>
      </c>
      <c r="O538" s="1" t="s">
        <v>379</v>
      </c>
    </row>
    <row r="539" spans="1:15" x14ac:dyDescent="0.25">
      <c r="A539" s="28">
        <v>46037</v>
      </c>
      <c r="B539" s="1" t="s">
        <v>319</v>
      </c>
      <c r="C539" s="1"/>
      <c r="D539" s="28">
        <f t="shared" si="220"/>
        <v>46060</v>
      </c>
      <c r="E539" s="28">
        <f t="shared" si="221"/>
        <v>46044</v>
      </c>
      <c r="F539" s="28">
        <f t="shared" si="222"/>
        <v>46051</v>
      </c>
      <c r="G539" s="28">
        <f t="shared" si="223"/>
        <v>46057</v>
      </c>
      <c r="H539" s="28">
        <f t="shared" si="224"/>
        <v>46045</v>
      </c>
      <c r="I539" s="28">
        <f t="shared" si="225"/>
        <v>46052</v>
      </c>
      <c r="J539" s="28">
        <v>46067</v>
      </c>
      <c r="K539" s="29">
        <f t="shared" si="219"/>
        <v>30</v>
      </c>
      <c r="L539" s="34">
        <v>10.18</v>
      </c>
      <c r="M539" s="32">
        <v>8.24</v>
      </c>
      <c r="N539" s="1">
        <f t="shared" ref="N539:N549" si="226">L539-M539</f>
        <v>1.9399999999999995</v>
      </c>
      <c r="O539" s="1" t="s">
        <v>379</v>
      </c>
    </row>
    <row r="540" spans="1:15" x14ac:dyDescent="0.25">
      <c r="A540" s="28">
        <v>46037</v>
      </c>
      <c r="B540" s="1" t="s">
        <v>320</v>
      </c>
      <c r="C540" s="1"/>
      <c r="D540" s="28">
        <f t="shared" si="220"/>
        <v>46060</v>
      </c>
      <c r="E540" s="28">
        <f t="shared" si="221"/>
        <v>46044</v>
      </c>
      <c r="F540" s="28">
        <f t="shared" si="222"/>
        <v>46051</v>
      </c>
      <c r="G540" s="28">
        <f t="shared" si="223"/>
        <v>46057</v>
      </c>
      <c r="H540" s="28">
        <f t="shared" si="224"/>
        <v>46045</v>
      </c>
      <c r="I540" s="28">
        <f t="shared" si="225"/>
        <v>46052</v>
      </c>
      <c r="J540" s="28">
        <v>46067</v>
      </c>
      <c r="K540" s="29">
        <f t="shared" ref="K540:K550" si="227">J540-A540</f>
        <v>30</v>
      </c>
      <c r="L540" s="34">
        <v>10.36</v>
      </c>
      <c r="M540" s="32">
        <v>8.73</v>
      </c>
      <c r="N540" s="1">
        <f t="shared" si="226"/>
        <v>1.629999999999999</v>
      </c>
      <c r="O540" s="1" t="s">
        <v>379</v>
      </c>
    </row>
    <row r="541" spans="1:15" x14ac:dyDescent="0.25">
      <c r="A541" s="28">
        <v>46037</v>
      </c>
      <c r="B541" s="1" t="s">
        <v>321</v>
      </c>
      <c r="C541" s="1"/>
      <c r="D541" s="28">
        <f t="shared" si="220"/>
        <v>46060</v>
      </c>
      <c r="E541" s="28">
        <f t="shared" si="221"/>
        <v>46044</v>
      </c>
      <c r="F541" s="28">
        <f t="shared" si="222"/>
        <v>46051</v>
      </c>
      <c r="G541" s="28">
        <f t="shared" si="223"/>
        <v>46057</v>
      </c>
      <c r="H541" s="28">
        <f t="shared" si="224"/>
        <v>46045</v>
      </c>
      <c r="I541" s="28">
        <f t="shared" si="225"/>
        <v>46052</v>
      </c>
      <c r="J541" s="28">
        <v>46067</v>
      </c>
      <c r="K541" s="29">
        <f t="shared" si="227"/>
        <v>30</v>
      </c>
      <c r="L541" s="34">
        <v>11.83</v>
      </c>
      <c r="M541" s="32">
        <v>10.29</v>
      </c>
      <c r="N541" s="1">
        <f t="shared" si="226"/>
        <v>1.5400000000000009</v>
      </c>
      <c r="O541" s="1" t="s">
        <v>379</v>
      </c>
    </row>
    <row r="542" spans="1:15" x14ac:dyDescent="0.25">
      <c r="A542" s="28">
        <v>46037</v>
      </c>
      <c r="B542" s="1" t="s">
        <v>322</v>
      </c>
      <c r="C542" s="1"/>
      <c r="D542" s="28">
        <f t="shared" si="220"/>
        <v>46060</v>
      </c>
      <c r="E542" s="28">
        <f t="shared" si="221"/>
        <v>46044</v>
      </c>
      <c r="F542" s="28">
        <f t="shared" si="222"/>
        <v>46051</v>
      </c>
      <c r="G542" s="28">
        <f t="shared" si="223"/>
        <v>46057</v>
      </c>
      <c r="H542" s="28">
        <f t="shared" si="224"/>
        <v>46045</v>
      </c>
      <c r="I542" s="28">
        <f t="shared" si="225"/>
        <v>46052</v>
      </c>
      <c r="J542" s="28">
        <v>46067</v>
      </c>
      <c r="K542" s="29">
        <f t="shared" si="227"/>
        <v>30</v>
      </c>
      <c r="L542" s="34">
        <v>11.57</v>
      </c>
      <c r="M542" s="32">
        <v>10.119999999999999</v>
      </c>
      <c r="N542" s="1">
        <f t="shared" si="226"/>
        <v>1.4500000000000011</v>
      </c>
      <c r="O542" s="1" t="s">
        <v>379</v>
      </c>
    </row>
    <row r="543" spans="1:15" x14ac:dyDescent="0.25">
      <c r="A543" s="28">
        <v>46037</v>
      </c>
      <c r="B543" s="1" t="s">
        <v>323</v>
      </c>
      <c r="C543" s="1"/>
      <c r="D543" s="28">
        <f t="shared" si="220"/>
        <v>46060</v>
      </c>
      <c r="E543" s="28">
        <f t="shared" si="221"/>
        <v>46044</v>
      </c>
      <c r="F543" s="28">
        <f t="shared" si="222"/>
        <v>46051</v>
      </c>
      <c r="G543" s="28">
        <f t="shared" si="223"/>
        <v>46057</v>
      </c>
      <c r="H543" s="28">
        <f t="shared" si="224"/>
        <v>46045</v>
      </c>
      <c r="I543" s="28">
        <f t="shared" si="225"/>
        <v>46052</v>
      </c>
      <c r="J543" s="28">
        <v>46067</v>
      </c>
      <c r="K543" s="29">
        <f t="shared" si="227"/>
        <v>30</v>
      </c>
      <c r="L543" s="34">
        <v>10.68</v>
      </c>
      <c r="M543" s="32">
        <v>9.33</v>
      </c>
      <c r="N543" s="1">
        <f t="shared" si="226"/>
        <v>1.3499999999999996</v>
      </c>
      <c r="O543" s="1" t="s">
        <v>379</v>
      </c>
    </row>
    <row r="544" spans="1:15" x14ac:dyDescent="0.25">
      <c r="A544" s="28">
        <v>46038</v>
      </c>
      <c r="B544" s="1" t="s">
        <v>153</v>
      </c>
      <c r="C544" s="1"/>
      <c r="D544" s="28">
        <f t="shared" si="220"/>
        <v>46061</v>
      </c>
      <c r="E544" s="28">
        <f t="shared" si="221"/>
        <v>46045</v>
      </c>
      <c r="F544" s="28">
        <f t="shared" si="222"/>
        <v>46052</v>
      </c>
      <c r="G544" s="28">
        <f t="shared" si="223"/>
        <v>46058</v>
      </c>
      <c r="H544" s="28">
        <f t="shared" si="224"/>
        <v>46046</v>
      </c>
      <c r="I544" s="28">
        <f t="shared" si="225"/>
        <v>46053</v>
      </c>
      <c r="J544" s="28">
        <v>46067</v>
      </c>
      <c r="K544" s="29">
        <f t="shared" si="227"/>
        <v>29</v>
      </c>
      <c r="L544" s="34">
        <v>12.02</v>
      </c>
      <c r="M544" s="32">
        <v>10.73</v>
      </c>
      <c r="N544" s="1">
        <f t="shared" si="226"/>
        <v>1.2899999999999991</v>
      </c>
      <c r="O544" s="1" t="s">
        <v>379</v>
      </c>
    </row>
    <row r="545" spans="1:15" x14ac:dyDescent="0.25">
      <c r="A545" s="28">
        <v>46038</v>
      </c>
      <c r="B545" s="1" t="s">
        <v>154</v>
      </c>
      <c r="C545" s="1"/>
      <c r="D545" s="28">
        <f t="shared" si="220"/>
        <v>46061</v>
      </c>
      <c r="E545" s="28">
        <f t="shared" si="221"/>
        <v>46045</v>
      </c>
      <c r="F545" s="28">
        <f t="shared" si="222"/>
        <v>46052</v>
      </c>
      <c r="G545" s="28">
        <f t="shared" si="223"/>
        <v>46058</v>
      </c>
      <c r="H545" s="28">
        <f t="shared" si="224"/>
        <v>46046</v>
      </c>
      <c r="I545" s="28">
        <f t="shared" si="225"/>
        <v>46053</v>
      </c>
      <c r="J545" s="28">
        <v>46067</v>
      </c>
      <c r="K545" s="29">
        <f t="shared" si="227"/>
        <v>29</v>
      </c>
      <c r="L545" s="34">
        <v>12.43</v>
      </c>
      <c r="M545" s="32">
        <v>11.15</v>
      </c>
      <c r="N545" s="1">
        <f t="shared" si="226"/>
        <v>1.2799999999999994</v>
      </c>
      <c r="O545" s="1" t="s">
        <v>379</v>
      </c>
    </row>
    <row r="546" spans="1:15" x14ac:dyDescent="0.25">
      <c r="A546" s="28">
        <v>46038</v>
      </c>
      <c r="B546" s="1" t="s">
        <v>155</v>
      </c>
      <c r="C546" s="1"/>
      <c r="D546" s="28">
        <f t="shared" ref="D546:D553" si="228">A546+23</f>
        <v>46061</v>
      </c>
      <c r="E546" s="28">
        <f t="shared" ref="E546:E553" si="229">A546+7</f>
        <v>46045</v>
      </c>
      <c r="F546" s="28">
        <f t="shared" ref="F546:F553" si="230">A546+14</f>
        <v>46052</v>
      </c>
      <c r="G546" s="28">
        <f t="shared" ref="G546:G553" si="231">A546+20</f>
        <v>46058</v>
      </c>
      <c r="H546" s="28">
        <f t="shared" ref="H546:H553" si="232">A546+8</f>
        <v>46046</v>
      </c>
      <c r="I546" s="28">
        <f t="shared" ref="I546:I553" si="233">A546+15</f>
        <v>46053</v>
      </c>
      <c r="J546" s="28">
        <v>46067</v>
      </c>
      <c r="K546" s="29">
        <f t="shared" si="227"/>
        <v>29</v>
      </c>
      <c r="L546" s="34">
        <v>12.91</v>
      </c>
      <c r="M546" s="32">
        <v>11.51</v>
      </c>
      <c r="N546" s="1">
        <f t="shared" si="226"/>
        <v>1.4000000000000004</v>
      </c>
      <c r="O546" s="1" t="s">
        <v>379</v>
      </c>
    </row>
    <row r="547" spans="1:15" x14ac:dyDescent="0.25">
      <c r="A547" s="28">
        <v>46038</v>
      </c>
      <c r="B547" s="1" t="s">
        <v>156</v>
      </c>
      <c r="C547" s="1"/>
      <c r="D547" s="28">
        <f t="shared" si="228"/>
        <v>46061</v>
      </c>
      <c r="E547" s="28">
        <f t="shared" si="229"/>
        <v>46045</v>
      </c>
      <c r="F547" s="28">
        <f t="shared" si="230"/>
        <v>46052</v>
      </c>
      <c r="G547" s="28">
        <f t="shared" si="231"/>
        <v>46058</v>
      </c>
      <c r="H547" s="28">
        <f t="shared" si="232"/>
        <v>46046</v>
      </c>
      <c r="I547" s="28">
        <f t="shared" si="233"/>
        <v>46053</v>
      </c>
      <c r="J547" s="28">
        <v>46067</v>
      </c>
      <c r="K547" s="29">
        <f t="shared" si="227"/>
        <v>29</v>
      </c>
      <c r="L547" s="34">
        <v>11.85</v>
      </c>
      <c r="M547" s="32">
        <v>10.82</v>
      </c>
      <c r="N547" s="1">
        <f t="shared" si="226"/>
        <v>1.0299999999999994</v>
      </c>
      <c r="O547" s="1" t="s">
        <v>379</v>
      </c>
    </row>
    <row r="548" spans="1:15" x14ac:dyDescent="0.25">
      <c r="A548" s="28">
        <v>46038</v>
      </c>
      <c r="B548" s="1" t="s">
        <v>157</v>
      </c>
      <c r="C548" s="1"/>
      <c r="D548" s="28">
        <f t="shared" si="228"/>
        <v>46061</v>
      </c>
      <c r="E548" s="28">
        <f t="shared" si="229"/>
        <v>46045</v>
      </c>
      <c r="F548" s="28">
        <f t="shared" si="230"/>
        <v>46052</v>
      </c>
      <c r="G548" s="28">
        <f t="shared" si="231"/>
        <v>46058</v>
      </c>
      <c r="H548" s="28">
        <f t="shared" si="232"/>
        <v>46046</v>
      </c>
      <c r="I548" s="28">
        <f t="shared" si="233"/>
        <v>46053</v>
      </c>
      <c r="J548" s="28">
        <v>46067</v>
      </c>
      <c r="K548" s="29">
        <f t="shared" si="227"/>
        <v>29</v>
      </c>
      <c r="L548" s="34">
        <v>11.57</v>
      </c>
      <c r="M548" s="32">
        <v>10.34</v>
      </c>
      <c r="N548" s="1">
        <f t="shared" si="226"/>
        <v>1.2300000000000004</v>
      </c>
      <c r="O548" s="1" t="s">
        <v>379</v>
      </c>
    </row>
    <row r="549" spans="1:15" x14ac:dyDescent="0.25">
      <c r="A549" s="28">
        <v>46038</v>
      </c>
      <c r="B549" s="1" t="s">
        <v>158</v>
      </c>
      <c r="C549" s="1"/>
      <c r="D549" s="28">
        <f t="shared" si="228"/>
        <v>46061</v>
      </c>
      <c r="E549" s="28">
        <f t="shared" si="229"/>
        <v>46045</v>
      </c>
      <c r="F549" s="28">
        <f t="shared" si="230"/>
        <v>46052</v>
      </c>
      <c r="G549" s="28">
        <f t="shared" si="231"/>
        <v>46058</v>
      </c>
      <c r="H549" s="28">
        <f t="shared" si="232"/>
        <v>46046</v>
      </c>
      <c r="I549" s="28">
        <f t="shared" si="233"/>
        <v>46053</v>
      </c>
      <c r="J549" s="28">
        <v>46067</v>
      </c>
      <c r="K549" s="29">
        <f t="shared" si="227"/>
        <v>29</v>
      </c>
      <c r="L549" s="34">
        <v>12.49</v>
      </c>
      <c r="M549" s="32">
        <v>11.22</v>
      </c>
      <c r="N549" s="1">
        <f t="shared" si="226"/>
        <v>1.2699999999999996</v>
      </c>
      <c r="O549" s="1" t="s">
        <v>379</v>
      </c>
    </row>
    <row r="550" spans="1:15" x14ac:dyDescent="0.25">
      <c r="A550" s="28">
        <v>46038</v>
      </c>
      <c r="B550" s="1" t="s">
        <v>159</v>
      </c>
      <c r="C550" s="1"/>
      <c r="D550" s="28">
        <f t="shared" si="228"/>
        <v>46061</v>
      </c>
      <c r="E550" s="28">
        <f t="shared" si="229"/>
        <v>46045</v>
      </c>
      <c r="F550" s="28">
        <f t="shared" si="230"/>
        <v>46052</v>
      </c>
      <c r="G550" s="28">
        <f t="shared" si="231"/>
        <v>46058</v>
      </c>
      <c r="H550" s="28">
        <f t="shared" si="232"/>
        <v>46046</v>
      </c>
      <c r="I550" s="28">
        <f t="shared" si="233"/>
        <v>46053</v>
      </c>
      <c r="J550" s="28">
        <v>46068</v>
      </c>
      <c r="K550" s="29">
        <f t="shared" si="227"/>
        <v>30</v>
      </c>
      <c r="L550" s="34">
        <v>15.87</v>
      </c>
      <c r="M550" s="32">
        <v>14.43</v>
      </c>
      <c r="N550" s="1">
        <f t="shared" ref="N550:N557" si="234">L550-M550</f>
        <v>1.4399999999999995</v>
      </c>
      <c r="O550" s="1" t="s">
        <v>379</v>
      </c>
    </row>
    <row r="551" spans="1:15" x14ac:dyDescent="0.25">
      <c r="A551" s="28">
        <v>46039</v>
      </c>
      <c r="B551" s="1" t="s">
        <v>173</v>
      </c>
      <c r="C551" s="1"/>
      <c r="D551" s="28">
        <f t="shared" si="228"/>
        <v>46062</v>
      </c>
      <c r="E551" s="28">
        <f t="shared" si="229"/>
        <v>46046</v>
      </c>
      <c r="F551" s="28">
        <f t="shared" si="230"/>
        <v>46053</v>
      </c>
      <c r="G551" s="28">
        <f t="shared" si="231"/>
        <v>46059</v>
      </c>
      <c r="H551" s="28">
        <f t="shared" si="232"/>
        <v>46047</v>
      </c>
      <c r="I551" s="28">
        <f t="shared" si="233"/>
        <v>46054</v>
      </c>
      <c r="J551" s="28">
        <v>46068</v>
      </c>
      <c r="K551" s="29">
        <f t="shared" ref="K551:K558" si="235">J551-A551</f>
        <v>29</v>
      </c>
      <c r="L551" s="34">
        <v>15.49</v>
      </c>
      <c r="M551" s="32">
        <v>14.92</v>
      </c>
      <c r="N551" s="1">
        <f t="shared" si="234"/>
        <v>0.57000000000000028</v>
      </c>
      <c r="O551" s="1" t="s">
        <v>379</v>
      </c>
    </row>
    <row r="552" spans="1:15" x14ac:dyDescent="0.25">
      <c r="A552" s="28">
        <v>46039</v>
      </c>
      <c r="B552" s="1" t="s">
        <v>174</v>
      </c>
      <c r="C552" s="1"/>
      <c r="D552" s="28">
        <f t="shared" si="228"/>
        <v>46062</v>
      </c>
      <c r="E552" s="28">
        <f t="shared" si="229"/>
        <v>46046</v>
      </c>
      <c r="F552" s="28">
        <f t="shared" si="230"/>
        <v>46053</v>
      </c>
      <c r="G552" s="28">
        <f t="shared" si="231"/>
        <v>46059</v>
      </c>
      <c r="H552" s="28">
        <f t="shared" si="232"/>
        <v>46047</v>
      </c>
      <c r="I552" s="28">
        <f t="shared" si="233"/>
        <v>46054</v>
      </c>
      <c r="J552" s="28">
        <v>46068</v>
      </c>
      <c r="K552" s="29">
        <f t="shared" si="235"/>
        <v>29</v>
      </c>
      <c r="L552" s="34">
        <v>16.36</v>
      </c>
      <c r="M552" s="32">
        <v>15.23</v>
      </c>
      <c r="N552" s="1">
        <f t="shared" si="234"/>
        <v>1.129999999999999</v>
      </c>
      <c r="O552" s="1" t="s">
        <v>379</v>
      </c>
    </row>
    <row r="553" spans="1:15" x14ac:dyDescent="0.25">
      <c r="A553" s="28">
        <v>46039</v>
      </c>
      <c r="B553" s="1" t="s">
        <v>175</v>
      </c>
      <c r="C553" s="1"/>
      <c r="D553" s="28">
        <f t="shared" si="228"/>
        <v>46062</v>
      </c>
      <c r="E553" s="28">
        <f t="shared" si="229"/>
        <v>46046</v>
      </c>
      <c r="F553" s="28">
        <f t="shared" si="230"/>
        <v>46053</v>
      </c>
      <c r="G553" s="28">
        <f t="shared" si="231"/>
        <v>46059</v>
      </c>
      <c r="H553" s="28">
        <f t="shared" si="232"/>
        <v>46047</v>
      </c>
      <c r="I553" s="28">
        <f t="shared" si="233"/>
        <v>46054</v>
      </c>
      <c r="J553" s="28">
        <v>46068</v>
      </c>
      <c r="K553" s="29">
        <f t="shared" si="235"/>
        <v>29</v>
      </c>
      <c r="L553" s="34">
        <v>15.31</v>
      </c>
      <c r="M553" s="32">
        <v>14.73</v>
      </c>
      <c r="N553" s="1">
        <f t="shared" si="234"/>
        <v>0.58000000000000007</v>
      </c>
      <c r="O553" s="1" t="s">
        <v>379</v>
      </c>
    </row>
    <row r="554" spans="1:15" x14ac:dyDescent="0.25">
      <c r="A554" s="28">
        <v>46039</v>
      </c>
      <c r="B554" s="1" t="s">
        <v>176</v>
      </c>
      <c r="C554" s="1"/>
      <c r="D554" s="28">
        <f>A554+23</f>
        <v>46062</v>
      </c>
      <c r="E554" s="28">
        <f>A554+7</f>
        <v>46046</v>
      </c>
      <c r="F554" s="28">
        <f>A554+14</f>
        <v>46053</v>
      </c>
      <c r="G554" s="28">
        <f>A554+20</f>
        <v>46059</v>
      </c>
      <c r="H554" s="28">
        <f>A554+8</f>
        <v>46047</v>
      </c>
      <c r="I554" s="28">
        <f>A554+15</f>
        <v>46054</v>
      </c>
      <c r="J554" s="28">
        <v>46068</v>
      </c>
      <c r="K554" s="29">
        <f t="shared" si="235"/>
        <v>29</v>
      </c>
      <c r="L554" s="34">
        <v>15.1</v>
      </c>
      <c r="M554" s="32">
        <v>14.1</v>
      </c>
      <c r="N554" s="1">
        <f t="shared" si="234"/>
        <v>1</v>
      </c>
      <c r="O554" s="1" t="s">
        <v>379</v>
      </c>
    </row>
    <row r="555" spans="1:15" x14ac:dyDescent="0.25">
      <c r="A555" s="28">
        <v>46039</v>
      </c>
      <c r="B555" s="1" t="s">
        <v>177</v>
      </c>
      <c r="C555" s="1"/>
      <c r="D555" s="28">
        <f>A555+23</f>
        <v>46062</v>
      </c>
      <c r="E555" s="28">
        <f>A555+7</f>
        <v>46046</v>
      </c>
      <c r="F555" s="28">
        <f>A555+14</f>
        <v>46053</v>
      </c>
      <c r="G555" s="28">
        <f>A555+20</f>
        <v>46059</v>
      </c>
      <c r="H555" s="28">
        <f>A555+8</f>
        <v>46047</v>
      </c>
      <c r="I555" s="28">
        <f>A555+15</f>
        <v>46054</v>
      </c>
      <c r="J555" s="28">
        <v>46068</v>
      </c>
      <c r="K555" s="29">
        <f t="shared" si="235"/>
        <v>29</v>
      </c>
      <c r="L555" s="34">
        <v>16.87</v>
      </c>
      <c r="M555" s="32">
        <v>15.74</v>
      </c>
      <c r="N555" s="1">
        <f t="shared" si="234"/>
        <v>1.1300000000000008</v>
      </c>
      <c r="O555" s="1" t="s">
        <v>379</v>
      </c>
    </row>
    <row r="556" spans="1:15" x14ac:dyDescent="0.25">
      <c r="A556" s="28">
        <v>46039</v>
      </c>
      <c r="B556" s="1" t="s">
        <v>178</v>
      </c>
      <c r="C556" s="1"/>
      <c r="D556" s="28">
        <f>A556+23</f>
        <v>46062</v>
      </c>
      <c r="E556" s="28">
        <f>A556+7</f>
        <v>46046</v>
      </c>
      <c r="F556" s="28">
        <f>A556+14</f>
        <v>46053</v>
      </c>
      <c r="G556" s="28">
        <f>A556+20</f>
        <v>46059</v>
      </c>
      <c r="H556" s="28">
        <f>A556+8</f>
        <v>46047</v>
      </c>
      <c r="I556" s="28">
        <f>A556+15</f>
        <v>46054</v>
      </c>
      <c r="J556" s="28">
        <v>46068</v>
      </c>
      <c r="K556" s="29">
        <f t="shared" si="235"/>
        <v>29</v>
      </c>
      <c r="L556" s="34">
        <v>15.35</v>
      </c>
      <c r="M556" s="32">
        <v>14.81</v>
      </c>
      <c r="N556" s="1">
        <f t="shared" si="234"/>
        <v>0.53999999999999915</v>
      </c>
      <c r="O556" s="1" t="s">
        <v>379</v>
      </c>
    </row>
    <row r="557" spans="1:15" x14ac:dyDescent="0.25">
      <c r="A557" s="28">
        <v>46039</v>
      </c>
      <c r="B557" s="1" t="s">
        <v>179</v>
      </c>
      <c r="C557" s="1"/>
      <c r="D557" s="28">
        <f>A557+23</f>
        <v>46062</v>
      </c>
      <c r="E557" s="28">
        <f>A557+7</f>
        <v>46046</v>
      </c>
      <c r="F557" s="28">
        <f>A557+14</f>
        <v>46053</v>
      </c>
      <c r="G557" s="28">
        <f>A557+20</f>
        <v>46059</v>
      </c>
      <c r="H557" s="28">
        <f>A557+8</f>
        <v>46047</v>
      </c>
      <c r="I557" s="28">
        <f>A557+15</f>
        <v>46054</v>
      </c>
      <c r="J557" s="28">
        <v>46068</v>
      </c>
      <c r="K557" s="29">
        <f t="shared" si="235"/>
        <v>29</v>
      </c>
      <c r="L557" s="34">
        <v>16.98</v>
      </c>
      <c r="M557" s="32">
        <v>15.93</v>
      </c>
      <c r="N557" s="1">
        <f t="shared" si="234"/>
        <v>1.0500000000000007</v>
      </c>
      <c r="O557" s="1" t="s">
        <v>379</v>
      </c>
    </row>
    <row r="558" spans="1:15" x14ac:dyDescent="0.25">
      <c r="A558" s="28">
        <v>46040</v>
      </c>
      <c r="B558" s="1" t="s">
        <v>160</v>
      </c>
      <c r="C558" s="1"/>
      <c r="D558" s="28">
        <f>A558+23</f>
        <v>46063</v>
      </c>
      <c r="E558" s="28">
        <f>A558+7</f>
        <v>46047</v>
      </c>
      <c r="F558" s="28">
        <f>A558+14</f>
        <v>46054</v>
      </c>
      <c r="G558" s="28">
        <f>A558+20</f>
        <v>46060</v>
      </c>
      <c r="H558" s="28">
        <f>A558+8</f>
        <v>46048</v>
      </c>
      <c r="I558" s="28">
        <f>A558+15</f>
        <v>46055</v>
      </c>
      <c r="J558" s="28">
        <v>46069</v>
      </c>
      <c r="K558" s="29">
        <f t="shared" si="235"/>
        <v>29</v>
      </c>
      <c r="L558" s="34">
        <v>11.84</v>
      </c>
      <c r="M558" s="32">
        <v>10.73</v>
      </c>
      <c r="N558" s="1">
        <f t="shared" ref="N558:N571" si="236">L558-M558</f>
        <v>1.1099999999999994</v>
      </c>
      <c r="O558" s="1" t="s">
        <v>379</v>
      </c>
    </row>
    <row r="559" spans="1:15" x14ac:dyDescent="0.25">
      <c r="A559" s="28">
        <v>46040</v>
      </c>
      <c r="B559" s="1" t="s">
        <v>161</v>
      </c>
      <c r="C559" s="1"/>
      <c r="D559" s="28">
        <f t="shared" ref="D559:D566" si="237">A559+23</f>
        <v>46063</v>
      </c>
      <c r="E559" s="28">
        <f t="shared" ref="E559:E566" si="238">A559+7</f>
        <v>46047</v>
      </c>
      <c r="F559" s="28">
        <f t="shared" ref="F559:F566" si="239">A559+14</f>
        <v>46054</v>
      </c>
      <c r="G559" s="28">
        <f t="shared" ref="G559:G566" si="240">A559+20</f>
        <v>46060</v>
      </c>
      <c r="H559" s="28">
        <f t="shared" ref="H559:H566" si="241">A559+8</f>
        <v>46048</v>
      </c>
      <c r="I559" s="28">
        <f t="shared" ref="I559:I566" si="242">A559+15</f>
        <v>46055</v>
      </c>
      <c r="J559" s="28">
        <v>46069</v>
      </c>
      <c r="K559" s="29">
        <f t="shared" ref="K559:K616" si="243">J559-A559</f>
        <v>29</v>
      </c>
      <c r="L559" s="34">
        <v>12.51</v>
      </c>
      <c r="M559" s="32">
        <v>11.28</v>
      </c>
      <c r="N559" s="1">
        <f t="shared" si="236"/>
        <v>1.2300000000000004</v>
      </c>
      <c r="O559" s="1" t="s">
        <v>379</v>
      </c>
    </row>
    <row r="560" spans="1:15" x14ac:dyDescent="0.25">
      <c r="A560" s="28">
        <v>46040</v>
      </c>
      <c r="B560" s="1" t="s">
        <v>162</v>
      </c>
      <c r="C560" s="1"/>
      <c r="D560" s="28">
        <f t="shared" si="237"/>
        <v>46063</v>
      </c>
      <c r="E560" s="28">
        <f t="shared" si="238"/>
        <v>46047</v>
      </c>
      <c r="F560" s="28">
        <f t="shared" si="239"/>
        <v>46054</v>
      </c>
      <c r="G560" s="28">
        <f t="shared" si="240"/>
        <v>46060</v>
      </c>
      <c r="H560" s="28">
        <f t="shared" si="241"/>
        <v>46048</v>
      </c>
      <c r="I560" s="28">
        <f t="shared" si="242"/>
        <v>46055</v>
      </c>
      <c r="J560" s="28">
        <v>46069</v>
      </c>
      <c r="K560" s="29">
        <f t="shared" si="243"/>
        <v>29</v>
      </c>
      <c r="L560" s="34">
        <v>12.73</v>
      </c>
      <c r="M560" s="32">
        <v>11.54</v>
      </c>
      <c r="N560" s="1">
        <f t="shared" si="236"/>
        <v>1.1900000000000013</v>
      </c>
      <c r="O560" s="1" t="s">
        <v>379</v>
      </c>
    </row>
    <row r="561" spans="1:15" x14ac:dyDescent="0.25">
      <c r="A561" s="28">
        <v>46040</v>
      </c>
      <c r="B561" s="1" t="s">
        <v>163</v>
      </c>
      <c r="C561" s="1"/>
      <c r="D561" s="28">
        <f t="shared" si="237"/>
        <v>46063</v>
      </c>
      <c r="E561" s="28">
        <f t="shared" si="238"/>
        <v>46047</v>
      </c>
      <c r="F561" s="28">
        <f t="shared" si="239"/>
        <v>46054</v>
      </c>
      <c r="G561" s="28">
        <f t="shared" si="240"/>
        <v>46060</v>
      </c>
      <c r="H561" s="28">
        <f t="shared" si="241"/>
        <v>46048</v>
      </c>
      <c r="I561" s="28">
        <f t="shared" si="242"/>
        <v>46055</v>
      </c>
      <c r="J561" s="28">
        <v>46069</v>
      </c>
      <c r="K561" s="29">
        <f t="shared" si="243"/>
        <v>29</v>
      </c>
      <c r="L561" s="34">
        <v>11.68</v>
      </c>
      <c r="M561" s="32">
        <v>10.7</v>
      </c>
      <c r="N561" s="1">
        <f t="shared" si="236"/>
        <v>0.98000000000000043</v>
      </c>
      <c r="O561" s="1" t="s">
        <v>379</v>
      </c>
    </row>
    <row r="562" spans="1:15" x14ac:dyDescent="0.25">
      <c r="A562" s="28">
        <v>46040</v>
      </c>
      <c r="B562" s="1" t="s">
        <v>164</v>
      </c>
      <c r="C562" s="1"/>
      <c r="D562" s="28">
        <f t="shared" si="237"/>
        <v>46063</v>
      </c>
      <c r="E562" s="28">
        <f t="shared" si="238"/>
        <v>46047</v>
      </c>
      <c r="F562" s="28">
        <f t="shared" si="239"/>
        <v>46054</v>
      </c>
      <c r="G562" s="28">
        <f t="shared" si="240"/>
        <v>46060</v>
      </c>
      <c r="H562" s="28">
        <f t="shared" si="241"/>
        <v>46048</v>
      </c>
      <c r="I562" s="28">
        <f t="shared" si="242"/>
        <v>46055</v>
      </c>
      <c r="J562" s="28">
        <v>46069</v>
      </c>
      <c r="K562" s="29">
        <f t="shared" si="243"/>
        <v>29</v>
      </c>
      <c r="L562" s="34">
        <v>13.39</v>
      </c>
      <c r="M562" s="32">
        <v>12.1</v>
      </c>
      <c r="N562" s="1">
        <f t="shared" si="236"/>
        <v>1.2900000000000009</v>
      </c>
      <c r="O562" s="1" t="s">
        <v>379</v>
      </c>
    </row>
    <row r="563" spans="1:15" x14ac:dyDescent="0.25">
      <c r="A563" s="28">
        <v>46040</v>
      </c>
      <c r="B563" s="1" t="s">
        <v>165</v>
      </c>
      <c r="C563" s="1"/>
      <c r="D563" s="28">
        <f t="shared" si="237"/>
        <v>46063</v>
      </c>
      <c r="E563" s="28">
        <f t="shared" si="238"/>
        <v>46047</v>
      </c>
      <c r="F563" s="28">
        <f t="shared" si="239"/>
        <v>46054</v>
      </c>
      <c r="G563" s="28">
        <f t="shared" si="240"/>
        <v>46060</v>
      </c>
      <c r="H563" s="28">
        <f t="shared" si="241"/>
        <v>46048</v>
      </c>
      <c r="I563" s="28">
        <f t="shared" si="242"/>
        <v>46055</v>
      </c>
      <c r="J563" s="28">
        <v>46069</v>
      </c>
      <c r="K563" s="29">
        <f t="shared" si="243"/>
        <v>29</v>
      </c>
      <c r="L563" s="34">
        <v>13.46</v>
      </c>
      <c r="M563" s="32">
        <v>12.15</v>
      </c>
      <c r="N563" s="1">
        <f t="shared" si="236"/>
        <v>1.3100000000000005</v>
      </c>
      <c r="O563" s="1" t="s">
        <v>379</v>
      </c>
    </row>
    <row r="564" spans="1:15" x14ac:dyDescent="0.25">
      <c r="A564" s="28">
        <v>46040</v>
      </c>
      <c r="B564" s="1" t="s">
        <v>166</v>
      </c>
      <c r="C564" s="1"/>
      <c r="D564" s="28">
        <f t="shared" si="237"/>
        <v>46063</v>
      </c>
      <c r="E564" s="28">
        <f t="shared" si="238"/>
        <v>46047</v>
      </c>
      <c r="F564" s="28">
        <f t="shared" si="239"/>
        <v>46054</v>
      </c>
      <c r="G564" s="28">
        <f t="shared" si="240"/>
        <v>46060</v>
      </c>
      <c r="H564" s="28">
        <f t="shared" si="241"/>
        <v>46048</v>
      </c>
      <c r="I564" s="28">
        <f t="shared" si="242"/>
        <v>46055</v>
      </c>
      <c r="J564" s="28">
        <v>46069</v>
      </c>
      <c r="K564" s="29">
        <f t="shared" si="243"/>
        <v>29</v>
      </c>
      <c r="L564" s="34">
        <v>11.53</v>
      </c>
      <c r="M564" s="32">
        <v>10.84</v>
      </c>
      <c r="N564" s="1">
        <f t="shared" si="236"/>
        <v>0.6899999999999995</v>
      </c>
      <c r="O564" s="1" t="s">
        <v>379</v>
      </c>
    </row>
    <row r="565" spans="1:15" x14ac:dyDescent="0.25">
      <c r="A565" s="28">
        <v>46041</v>
      </c>
      <c r="B565" s="1" t="s">
        <v>180</v>
      </c>
      <c r="C565" s="1"/>
      <c r="D565" s="28">
        <f t="shared" si="237"/>
        <v>46064</v>
      </c>
      <c r="E565" s="28">
        <f t="shared" si="238"/>
        <v>46048</v>
      </c>
      <c r="F565" s="28">
        <f t="shared" si="239"/>
        <v>46055</v>
      </c>
      <c r="G565" s="28">
        <f t="shared" si="240"/>
        <v>46061</v>
      </c>
      <c r="H565" s="28">
        <f t="shared" si="241"/>
        <v>46049</v>
      </c>
      <c r="I565" s="28">
        <f t="shared" si="242"/>
        <v>46056</v>
      </c>
      <c r="J565" s="28">
        <v>46070</v>
      </c>
      <c r="K565" s="29">
        <f t="shared" si="243"/>
        <v>29</v>
      </c>
      <c r="L565" s="34">
        <v>15.87</v>
      </c>
      <c r="M565" s="32">
        <v>14.56</v>
      </c>
      <c r="N565" s="1">
        <f t="shared" si="236"/>
        <v>1.3099999999999987</v>
      </c>
      <c r="O565" s="1" t="s">
        <v>379</v>
      </c>
    </row>
    <row r="566" spans="1:15" x14ac:dyDescent="0.25">
      <c r="A566" s="28">
        <v>46041</v>
      </c>
      <c r="B566" s="1" t="s">
        <v>181</v>
      </c>
      <c r="C566" s="1"/>
      <c r="D566" s="28">
        <f t="shared" si="237"/>
        <v>46064</v>
      </c>
      <c r="E566" s="28">
        <f t="shared" si="238"/>
        <v>46048</v>
      </c>
      <c r="F566" s="28">
        <f t="shared" si="239"/>
        <v>46055</v>
      </c>
      <c r="G566" s="28">
        <f t="shared" si="240"/>
        <v>46061</v>
      </c>
      <c r="H566" s="28">
        <f t="shared" si="241"/>
        <v>46049</v>
      </c>
      <c r="I566" s="28">
        <f t="shared" si="242"/>
        <v>46056</v>
      </c>
      <c r="J566" s="28">
        <v>46070</v>
      </c>
      <c r="K566" s="29">
        <f t="shared" si="243"/>
        <v>29</v>
      </c>
      <c r="L566" s="34">
        <v>14.31</v>
      </c>
      <c r="M566" s="32">
        <v>13.28</v>
      </c>
      <c r="N566" s="1">
        <f t="shared" si="236"/>
        <v>1.0300000000000011</v>
      </c>
      <c r="O566" s="1" t="s">
        <v>379</v>
      </c>
    </row>
    <row r="567" spans="1:15" x14ac:dyDescent="0.25">
      <c r="A567" s="28">
        <v>46041</v>
      </c>
      <c r="B567" s="1" t="s">
        <v>182</v>
      </c>
      <c r="C567" s="1"/>
      <c r="D567" s="28">
        <f t="shared" ref="D567:D574" si="244">A567+23</f>
        <v>46064</v>
      </c>
      <c r="E567" s="28">
        <f t="shared" ref="E567:E574" si="245">A567+7</f>
        <v>46048</v>
      </c>
      <c r="F567" s="28">
        <f t="shared" ref="F567:F574" si="246">A567+14</f>
        <v>46055</v>
      </c>
      <c r="G567" s="28">
        <f t="shared" ref="G567:G574" si="247">A567+20</f>
        <v>46061</v>
      </c>
      <c r="H567" s="28">
        <f t="shared" ref="H567:H574" si="248">A567+8</f>
        <v>46049</v>
      </c>
      <c r="I567" s="28">
        <f t="shared" ref="I567:I574" si="249">A567+15</f>
        <v>46056</v>
      </c>
      <c r="J567" s="28">
        <v>46070</v>
      </c>
      <c r="K567" s="29">
        <f t="shared" si="243"/>
        <v>29</v>
      </c>
      <c r="L567" s="34">
        <v>15.29</v>
      </c>
      <c r="M567" s="32">
        <v>14.1</v>
      </c>
      <c r="N567" s="1">
        <f t="shared" si="236"/>
        <v>1.1899999999999995</v>
      </c>
      <c r="O567" s="1" t="s">
        <v>379</v>
      </c>
    </row>
    <row r="568" spans="1:15" x14ac:dyDescent="0.25">
      <c r="A568" s="28">
        <v>46041</v>
      </c>
      <c r="B568" s="1" t="s">
        <v>183</v>
      </c>
      <c r="C568" s="1"/>
      <c r="D568" s="28">
        <f t="shared" si="244"/>
        <v>46064</v>
      </c>
      <c r="E568" s="28">
        <f t="shared" si="245"/>
        <v>46048</v>
      </c>
      <c r="F568" s="28">
        <f t="shared" si="246"/>
        <v>46055</v>
      </c>
      <c r="G568" s="28">
        <f t="shared" si="247"/>
        <v>46061</v>
      </c>
      <c r="H568" s="28">
        <f t="shared" si="248"/>
        <v>46049</v>
      </c>
      <c r="I568" s="28">
        <f t="shared" si="249"/>
        <v>46056</v>
      </c>
      <c r="J568" s="28">
        <v>46070</v>
      </c>
      <c r="K568" s="29">
        <f t="shared" si="243"/>
        <v>29</v>
      </c>
      <c r="L568" s="34">
        <v>14.73</v>
      </c>
      <c r="M568" s="32">
        <v>13.66</v>
      </c>
      <c r="N568" s="1">
        <f t="shared" si="236"/>
        <v>1.0700000000000003</v>
      </c>
      <c r="O568" s="1" t="s">
        <v>379</v>
      </c>
    </row>
    <row r="569" spans="1:15" x14ac:dyDescent="0.25">
      <c r="A569" s="28">
        <v>46041</v>
      </c>
      <c r="B569" s="1" t="s">
        <v>184</v>
      </c>
      <c r="C569" s="1"/>
      <c r="D569" s="28">
        <f t="shared" si="244"/>
        <v>46064</v>
      </c>
      <c r="E569" s="28">
        <f t="shared" si="245"/>
        <v>46048</v>
      </c>
      <c r="F569" s="28">
        <f t="shared" si="246"/>
        <v>46055</v>
      </c>
      <c r="G569" s="28">
        <f t="shared" si="247"/>
        <v>46061</v>
      </c>
      <c r="H569" s="28">
        <f t="shared" si="248"/>
        <v>46049</v>
      </c>
      <c r="I569" s="28">
        <f t="shared" si="249"/>
        <v>46056</v>
      </c>
      <c r="J569" s="28">
        <v>46070</v>
      </c>
      <c r="K569" s="29">
        <f t="shared" si="243"/>
        <v>29</v>
      </c>
      <c r="L569" s="34">
        <v>14.95</v>
      </c>
      <c r="M569" s="32">
        <v>13.78</v>
      </c>
      <c r="N569" s="1">
        <f t="shared" si="236"/>
        <v>1.17</v>
      </c>
      <c r="O569" s="1" t="s">
        <v>379</v>
      </c>
    </row>
    <row r="570" spans="1:15" x14ac:dyDescent="0.25">
      <c r="A570" s="28">
        <v>46041</v>
      </c>
      <c r="B570" s="1" t="s">
        <v>185</v>
      </c>
      <c r="C570" s="1"/>
      <c r="D570" s="28">
        <f t="shared" si="244"/>
        <v>46064</v>
      </c>
      <c r="E570" s="28">
        <f t="shared" si="245"/>
        <v>46048</v>
      </c>
      <c r="F570" s="28">
        <f t="shared" si="246"/>
        <v>46055</v>
      </c>
      <c r="G570" s="28">
        <f t="shared" si="247"/>
        <v>46061</v>
      </c>
      <c r="H570" s="28">
        <f t="shared" si="248"/>
        <v>46049</v>
      </c>
      <c r="I570" s="28">
        <f t="shared" si="249"/>
        <v>46056</v>
      </c>
      <c r="J570" s="28">
        <v>46070</v>
      </c>
      <c r="K570" s="29">
        <f t="shared" si="243"/>
        <v>29</v>
      </c>
      <c r="L570" s="34">
        <v>16.559999999999999</v>
      </c>
      <c r="M570" s="32">
        <v>15.22</v>
      </c>
      <c r="N570" s="1">
        <f t="shared" si="236"/>
        <v>1.3399999999999981</v>
      </c>
      <c r="O570" s="1" t="s">
        <v>379</v>
      </c>
    </row>
    <row r="571" spans="1:15" x14ac:dyDescent="0.25">
      <c r="A571" s="28">
        <v>46041</v>
      </c>
      <c r="B571" s="1" t="s">
        <v>186</v>
      </c>
      <c r="C571" s="1"/>
      <c r="D571" s="28">
        <f t="shared" si="244"/>
        <v>46064</v>
      </c>
      <c r="E571" s="28">
        <f t="shared" si="245"/>
        <v>46048</v>
      </c>
      <c r="F571" s="28">
        <f t="shared" si="246"/>
        <v>46055</v>
      </c>
      <c r="G571" s="28">
        <f t="shared" si="247"/>
        <v>46061</v>
      </c>
      <c r="H571" s="28">
        <f t="shared" si="248"/>
        <v>46049</v>
      </c>
      <c r="I571" s="28">
        <f t="shared" si="249"/>
        <v>46056</v>
      </c>
      <c r="J571" s="28">
        <v>46069</v>
      </c>
      <c r="K571" s="29">
        <f t="shared" si="243"/>
        <v>28</v>
      </c>
      <c r="L571" s="34">
        <v>13.77</v>
      </c>
      <c r="M571" s="32">
        <v>12.37</v>
      </c>
      <c r="N571" s="1">
        <f t="shared" si="236"/>
        <v>1.4000000000000004</v>
      </c>
      <c r="O571" s="1" t="s">
        <v>379</v>
      </c>
    </row>
    <row r="572" spans="1:15" x14ac:dyDescent="0.25">
      <c r="A572" s="28">
        <v>46042</v>
      </c>
      <c r="B572" s="1" t="s">
        <v>167</v>
      </c>
      <c r="C572" s="1"/>
      <c r="D572" s="28">
        <f t="shared" si="244"/>
        <v>46065</v>
      </c>
      <c r="E572" s="28">
        <f t="shared" si="245"/>
        <v>46049</v>
      </c>
      <c r="F572" s="28">
        <f t="shared" si="246"/>
        <v>46056</v>
      </c>
      <c r="G572" s="28">
        <f t="shared" si="247"/>
        <v>46062</v>
      </c>
      <c r="H572" s="28">
        <f t="shared" si="248"/>
        <v>46050</v>
      </c>
      <c r="I572" s="28">
        <f t="shared" si="249"/>
        <v>46057</v>
      </c>
      <c r="J572" s="28">
        <v>46071</v>
      </c>
      <c r="K572" s="29">
        <f t="shared" si="243"/>
        <v>29</v>
      </c>
      <c r="L572" s="34">
        <v>16.28</v>
      </c>
      <c r="M572" s="32">
        <v>14.81</v>
      </c>
      <c r="N572" s="1">
        <f t="shared" ref="N572:N616" si="250">L572-M572</f>
        <v>1.4700000000000006</v>
      </c>
      <c r="O572" s="1" t="s">
        <v>379</v>
      </c>
    </row>
    <row r="573" spans="1:15" x14ac:dyDescent="0.25">
      <c r="A573" s="28">
        <v>46042</v>
      </c>
      <c r="B573" s="1" t="s">
        <v>168</v>
      </c>
      <c r="C573" s="1"/>
      <c r="D573" s="28">
        <f t="shared" si="244"/>
        <v>46065</v>
      </c>
      <c r="E573" s="28">
        <f t="shared" si="245"/>
        <v>46049</v>
      </c>
      <c r="F573" s="28">
        <f t="shared" si="246"/>
        <v>46056</v>
      </c>
      <c r="G573" s="28">
        <f t="shared" si="247"/>
        <v>46062</v>
      </c>
      <c r="H573" s="28">
        <f t="shared" si="248"/>
        <v>46050</v>
      </c>
      <c r="I573" s="28">
        <f t="shared" si="249"/>
        <v>46057</v>
      </c>
      <c r="J573" s="28">
        <v>46071</v>
      </c>
      <c r="K573" s="29">
        <f t="shared" si="243"/>
        <v>29</v>
      </c>
      <c r="L573" s="34">
        <v>16.100000000000001</v>
      </c>
      <c r="M573" s="32">
        <v>15.24</v>
      </c>
      <c r="N573" s="1">
        <f t="shared" si="250"/>
        <v>0.86000000000000121</v>
      </c>
      <c r="O573" s="1" t="s">
        <v>379</v>
      </c>
    </row>
    <row r="574" spans="1:15" x14ac:dyDescent="0.25">
      <c r="A574" s="28">
        <v>46042</v>
      </c>
      <c r="B574" s="1" t="s">
        <v>169</v>
      </c>
      <c r="C574" s="1"/>
      <c r="D574" s="28">
        <f t="shared" si="244"/>
        <v>46065</v>
      </c>
      <c r="E574" s="28">
        <f t="shared" si="245"/>
        <v>46049</v>
      </c>
      <c r="F574" s="28">
        <f t="shared" si="246"/>
        <v>46056</v>
      </c>
      <c r="G574" s="28">
        <f t="shared" si="247"/>
        <v>46062</v>
      </c>
      <c r="H574" s="28">
        <f t="shared" si="248"/>
        <v>46050</v>
      </c>
      <c r="I574" s="28">
        <f t="shared" si="249"/>
        <v>46057</v>
      </c>
      <c r="J574" s="28">
        <v>46071</v>
      </c>
      <c r="K574" s="29">
        <f t="shared" si="243"/>
        <v>29</v>
      </c>
      <c r="L574" s="34">
        <v>17.25</v>
      </c>
      <c r="M574" s="32">
        <v>15.63</v>
      </c>
      <c r="N574" s="1">
        <f t="shared" si="250"/>
        <v>1.6199999999999992</v>
      </c>
      <c r="O574" s="1" t="s">
        <v>379</v>
      </c>
    </row>
    <row r="575" spans="1:15" x14ac:dyDescent="0.25">
      <c r="A575" s="28">
        <v>46042</v>
      </c>
      <c r="B575" s="1" t="s">
        <v>170</v>
      </c>
      <c r="C575" s="1"/>
      <c r="D575" s="28">
        <f t="shared" ref="D575:D627" si="251">A575+23</f>
        <v>46065</v>
      </c>
      <c r="E575" s="28">
        <f t="shared" ref="E575:E627" si="252">A575+7</f>
        <v>46049</v>
      </c>
      <c r="F575" s="28">
        <f t="shared" ref="F575:F627" si="253">A575+14</f>
        <v>46056</v>
      </c>
      <c r="G575" s="28">
        <f t="shared" ref="G575:G627" si="254">A575+20</f>
        <v>46062</v>
      </c>
      <c r="H575" s="28">
        <f t="shared" ref="H575:H627" si="255">A575+8</f>
        <v>46050</v>
      </c>
      <c r="I575" s="28">
        <f t="shared" ref="I575:I627" si="256">A575+15</f>
        <v>46057</v>
      </c>
      <c r="J575" s="28">
        <v>46071</v>
      </c>
      <c r="K575" s="29">
        <f t="shared" si="243"/>
        <v>29</v>
      </c>
      <c r="L575" s="34">
        <v>15.93</v>
      </c>
      <c r="M575" s="32">
        <v>14.28</v>
      </c>
      <c r="N575" s="1">
        <f t="shared" si="250"/>
        <v>1.6500000000000004</v>
      </c>
      <c r="O575" s="1" t="s">
        <v>379</v>
      </c>
    </row>
    <row r="576" spans="1:15" x14ac:dyDescent="0.25">
      <c r="A576" s="28">
        <v>46042</v>
      </c>
      <c r="B576" s="1" t="s">
        <v>171</v>
      </c>
      <c r="C576" s="1"/>
      <c r="D576" s="28">
        <f t="shared" si="251"/>
        <v>46065</v>
      </c>
      <c r="E576" s="28">
        <f t="shared" si="252"/>
        <v>46049</v>
      </c>
      <c r="F576" s="28">
        <f t="shared" si="253"/>
        <v>46056</v>
      </c>
      <c r="G576" s="28">
        <f t="shared" si="254"/>
        <v>46062</v>
      </c>
      <c r="H576" s="28">
        <f t="shared" si="255"/>
        <v>46050</v>
      </c>
      <c r="I576" s="28">
        <f t="shared" si="256"/>
        <v>46057</v>
      </c>
      <c r="J576" s="28">
        <v>46071</v>
      </c>
      <c r="K576" s="29">
        <f t="shared" si="243"/>
        <v>29</v>
      </c>
      <c r="L576" s="34">
        <v>16.079999999999998</v>
      </c>
      <c r="M576" s="32">
        <v>14.71</v>
      </c>
      <c r="N576" s="1">
        <f t="shared" si="250"/>
        <v>1.3699999999999974</v>
      </c>
      <c r="O576" s="1" t="s">
        <v>379</v>
      </c>
    </row>
    <row r="577" spans="1:15" x14ac:dyDescent="0.25">
      <c r="A577" s="28">
        <v>46042</v>
      </c>
      <c r="B577" s="1" t="s">
        <v>187</v>
      </c>
      <c r="C577" s="1"/>
      <c r="D577" s="28">
        <f t="shared" si="251"/>
        <v>46065</v>
      </c>
      <c r="E577" s="28">
        <f t="shared" si="252"/>
        <v>46049</v>
      </c>
      <c r="F577" s="28">
        <f t="shared" si="253"/>
        <v>46056</v>
      </c>
      <c r="G577" s="28">
        <f t="shared" si="254"/>
        <v>46062</v>
      </c>
      <c r="H577" s="28">
        <f t="shared" si="255"/>
        <v>46050</v>
      </c>
      <c r="I577" s="28">
        <f t="shared" si="256"/>
        <v>46057</v>
      </c>
      <c r="J577" s="28">
        <v>46071</v>
      </c>
      <c r="K577" s="29">
        <f t="shared" si="243"/>
        <v>29</v>
      </c>
      <c r="L577" s="34">
        <v>16.32</v>
      </c>
      <c r="M577" s="32">
        <v>15.12</v>
      </c>
      <c r="N577" s="1">
        <f t="shared" si="250"/>
        <v>1.2000000000000011</v>
      </c>
      <c r="O577" s="1" t="s">
        <v>379</v>
      </c>
    </row>
    <row r="578" spans="1:15" x14ac:dyDescent="0.25">
      <c r="A578" s="28">
        <v>46042</v>
      </c>
      <c r="B578" s="1" t="s">
        <v>188</v>
      </c>
      <c r="C578" s="1"/>
      <c r="D578" s="28">
        <f t="shared" si="251"/>
        <v>46065</v>
      </c>
      <c r="E578" s="28">
        <f t="shared" si="252"/>
        <v>46049</v>
      </c>
      <c r="F578" s="28">
        <f t="shared" si="253"/>
        <v>46056</v>
      </c>
      <c r="G578" s="28">
        <f t="shared" si="254"/>
        <v>46062</v>
      </c>
      <c r="H578" s="28">
        <f t="shared" si="255"/>
        <v>46050</v>
      </c>
      <c r="I578" s="28">
        <f t="shared" si="256"/>
        <v>46057</v>
      </c>
      <c r="J578" s="28">
        <v>46071</v>
      </c>
      <c r="K578" s="29">
        <f t="shared" si="243"/>
        <v>29</v>
      </c>
      <c r="L578" s="34">
        <v>16.57</v>
      </c>
      <c r="M578" s="32">
        <v>15.22</v>
      </c>
      <c r="N578" s="1">
        <f t="shared" si="250"/>
        <v>1.3499999999999996</v>
      </c>
      <c r="O578" s="1" t="s">
        <v>379</v>
      </c>
    </row>
    <row r="579" spans="1:15" x14ac:dyDescent="0.25">
      <c r="A579" s="28">
        <v>46043</v>
      </c>
      <c r="B579" s="1" t="s">
        <v>189</v>
      </c>
      <c r="C579" s="1"/>
      <c r="D579" s="28">
        <f t="shared" si="251"/>
        <v>46066</v>
      </c>
      <c r="E579" s="28">
        <f t="shared" si="252"/>
        <v>46050</v>
      </c>
      <c r="F579" s="28">
        <f t="shared" si="253"/>
        <v>46057</v>
      </c>
      <c r="G579" s="28">
        <f t="shared" si="254"/>
        <v>46063</v>
      </c>
      <c r="H579" s="28">
        <f t="shared" si="255"/>
        <v>46051</v>
      </c>
      <c r="I579" s="28">
        <f t="shared" si="256"/>
        <v>46058</v>
      </c>
      <c r="J579" s="28">
        <v>46072</v>
      </c>
      <c r="K579" s="33">
        <f t="shared" si="243"/>
        <v>29</v>
      </c>
      <c r="L579" s="31">
        <v>14.51</v>
      </c>
      <c r="M579" s="32">
        <v>13.07</v>
      </c>
      <c r="N579" s="1">
        <f t="shared" si="250"/>
        <v>1.4399999999999995</v>
      </c>
      <c r="O579" s="1" t="s">
        <v>379</v>
      </c>
    </row>
    <row r="580" spans="1:15" x14ac:dyDescent="0.25">
      <c r="A580" s="28">
        <v>46043</v>
      </c>
      <c r="B580" s="1" t="s">
        <v>190</v>
      </c>
      <c r="C580" s="1"/>
      <c r="D580" s="28">
        <f t="shared" si="251"/>
        <v>46066</v>
      </c>
      <c r="E580" s="28">
        <f t="shared" si="252"/>
        <v>46050</v>
      </c>
      <c r="F580" s="28">
        <f t="shared" si="253"/>
        <v>46057</v>
      </c>
      <c r="G580" s="28">
        <f t="shared" si="254"/>
        <v>46063</v>
      </c>
      <c r="H580" s="28">
        <f t="shared" si="255"/>
        <v>46051</v>
      </c>
      <c r="I580" s="28">
        <f t="shared" si="256"/>
        <v>46058</v>
      </c>
      <c r="J580" s="28">
        <v>46072</v>
      </c>
      <c r="K580" s="33">
        <f t="shared" si="243"/>
        <v>29</v>
      </c>
      <c r="L580" s="31">
        <v>13.3</v>
      </c>
      <c r="M580" s="32">
        <v>12.1</v>
      </c>
      <c r="N580" s="1">
        <f t="shared" si="250"/>
        <v>1.2000000000000011</v>
      </c>
      <c r="O580" s="1" t="s">
        <v>379</v>
      </c>
    </row>
    <row r="581" spans="1:15" x14ac:dyDescent="0.25">
      <c r="A581" s="28">
        <v>46043</v>
      </c>
      <c r="B581" s="1" t="s">
        <v>191</v>
      </c>
      <c r="C581" s="1"/>
      <c r="D581" s="28">
        <f t="shared" si="251"/>
        <v>46066</v>
      </c>
      <c r="E581" s="28">
        <f t="shared" si="252"/>
        <v>46050</v>
      </c>
      <c r="F581" s="28">
        <f t="shared" si="253"/>
        <v>46057</v>
      </c>
      <c r="G581" s="28">
        <f t="shared" si="254"/>
        <v>46063</v>
      </c>
      <c r="H581" s="28">
        <f t="shared" si="255"/>
        <v>46051</v>
      </c>
      <c r="I581" s="28">
        <f t="shared" si="256"/>
        <v>46058</v>
      </c>
      <c r="J581" s="28">
        <v>46072</v>
      </c>
      <c r="K581" s="33">
        <f t="shared" si="243"/>
        <v>29</v>
      </c>
      <c r="L581" s="31">
        <v>13.54</v>
      </c>
      <c r="M581" s="32">
        <v>12.35</v>
      </c>
      <c r="N581" s="1">
        <f t="shared" si="250"/>
        <v>1.1899999999999995</v>
      </c>
      <c r="O581" s="1" t="s">
        <v>379</v>
      </c>
    </row>
    <row r="582" spans="1:15" x14ac:dyDescent="0.25">
      <c r="A582" s="28">
        <v>46043</v>
      </c>
      <c r="B582" s="1" t="s">
        <v>200</v>
      </c>
      <c r="C582" s="1"/>
      <c r="D582" s="28">
        <f t="shared" si="251"/>
        <v>46066</v>
      </c>
      <c r="E582" s="28">
        <f t="shared" si="252"/>
        <v>46050</v>
      </c>
      <c r="F582" s="28">
        <f t="shared" si="253"/>
        <v>46057</v>
      </c>
      <c r="G582" s="28">
        <f t="shared" si="254"/>
        <v>46063</v>
      </c>
      <c r="H582" s="28">
        <f t="shared" si="255"/>
        <v>46051</v>
      </c>
      <c r="I582" s="28">
        <f t="shared" si="256"/>
        <v>46058</v>
      </c>
      <c r="J582" s="28">
        <v>46073</v>
      </c>
      <c r="K582" s="33">
        <f t="shared" si="243"/>
        <v>30</v>
      </c>
      <c r="L582" s="1">
        <v>15.11</v>
      </c>
      <c r="M582" s="1">
        <v>14.15</v>
      </c>
      <c r="N582" s="1">
        <f t="shared" si="250"/>
        <v>0.95999999999999908</v>
      </c>
      <c r="O582" s="1" t="s">
        <v>379</v>
      </c>
    </row>
    <row r="583" spans="1:15" x14ac:dyDescent="0.25">
      <c r="A583" s="28">
        <v>46043</v>
      </c>
      <c r="B583" s="1" t="s">
        <v>201</v>
      </c>
      <c r="C583" s="1"/>
      <c r="D583" s="28">
        <f t="shared" si="251"/>
        <v>46066</v>
      </c>
      <c r="E583" s="28">
        <f t="shared" si="252"/>
        <v>46050</v>
      </c>
      <c r="F583" s="28">
        <f t="shared" si="253"/>
        <v>46057</v>
      </c>
      <c r="G583" s="28">
        <f t="shared" si="254"/>
        <v>46063</v>
      </c>
      <c r="H583" s="28">
        <f t="shared" si="255"/>
        <v>46051</v>
      </c>
      <c r="I583" s="28">
        <f t="shared" si="256"/>
        <v>46058</v>
      </c>
      <c r="J583" s="28">
        <v>46073</v>
      </c>
      <c r="K583" s="33">
        <f t="shared" si="243"/>
        <v>30</v>
      </c>
      <c r="L583" s="1">
        <v>14.35</v>
      </c>
      <c r="M583" s="1">
        <v>13.87</v>
      </c>
      <c r="N583" s="1">
        <f t="shared" si="250"/>
        <v>0.48000000000000043</v>
      </c>
      <c r="O583" s="1" t="s">
        <v>379</v>
      </c>
    </row>
    <row r="584" spans="1:15" x14ac:dyDescent="0.25">
      <c r="A584" s="28">
        <v>46043</v>
      </c>
      <c r="B584" s="1" t="s">
        <v>202</v>
      </c>
      <c r="C584" s="1"/>
      <c r="D584" s="28">
        <f t="shared" si="251"/>
        <v>46066</v>
      </c>
      <c r="E584" s="28">
        <f t="shared" si="252"/>
        <v>46050</v>
      </c>
      <c r="F584" s="28">
        <f t="shared" si="253"/>
        <v>46057</v>
      </c>
      <c r="G584" s="28">
        <f t="shared" si="254"/>
        <v>46063</v>
      </c>
      <c r="H584" s="28">
        <f t="shared" si="255"/>
        <v>46051</v>
      </c>
      <c r="I584" s="28">
        <f t="shared" si="256"/>
        <v>46058</v>
      </c>
      <c r="J584" s="28">
        <v>46073</v>
      </c>
      <c r="K584" s="33">
        <f t="shared" si="243"/>
        <v>30</v>
      </c>
      <c r="L584" s="1">
        <v>15.64</v>
      </c>
      <c r="M584" s="1">
        <v>14.51</v>
      </c>
      <c r="N584" s="1">
        <f t="shared" si="250"/>
        <v>1.1300000000000008</v>
      </c>
      <c r="O584" s="1" t="s">
        <v>379</v>
      </c>
    </row>
    <row r="585" spans="1:15" x14ac:dyDescent="0.25">
      <c r="A585" s="28">
        <v>46044</v>
      </c>
      <c r="B585" s="1" t="s">
        <v>193</v>
      </c>
      <c r="C585" s="1"/>
      <c r="D585" s="28">
        <f t="shared" si="251"/>
        <v>46067</v>
      </c>
      <c r="E585" s="28">
        <f t="shared" si="252"/>
        <v>46051</v>
      </c>
      <c r="F585" s="28">
        <f t="shared" si="253"/>
        <v>46058</v>
      </c>
      <c r="G585" s="28">
        <f t="shared" si="254"/>
        <v>46064</v>
      </c>
      <c r="H585" s="28">
        <f t="shared" si="255"/>
        <v>46052</v>
      </c>
      <c r="I585" s="28">
        <f t="shared" si="256"/>
        <v>46059</v>
      </c>
      <c r="J585" s="28">
        <v>46074</v>
      </c>
      <c r="K585" s="33">
        <f t="shared" si="243"/>
        <v>30</v>
      </c>
      <c r="L585" s="31">
        <v>14.58</v>
      </c>
      <c r="M585" s="32">
        <v>13.12</v>
      </c>
      <c r="N585" s="1">
        <f t="shared" si="250"/>
        <v>1.4600000000000009</v>
      </c>
      <c r="O585" s="1" t="s">
        <v>379</v>
      </c>
    </row>
    <row r="586" spans="1:15" x14ac:dyDescent="0.25">
      <c r="A586" s="28">
        <v>46044</v>
      </c>
      <c r="B586" s="1" t="s">
        <v>194</v>
      </c>
      <c r="C586" s="1"/>
      <c r="D586" s="28">
        <f t="shared" si="251"/>
        <v>46067</v>
      </c>
      <c r="E586" s="28">
        <f t="shared" si="252"/>
        <v>46051</v>
      </c>
      <c r="F586" s="28">
        <f t="shared" si="253"/>
        <v>46058</v>
      </c>
      <c r="G586" s="28">
        <f t="shared" si="254"/>
        <v>46064</v>
      </c>
      <c r="H586" s="28">
        <f t="shared" si="255"/>
        <v>46052</v>
      </c>
      <c r="I586" s="28">
        <f t="shared" si="256"/>
        <v>46059</v>
      </c>
      <c r="J586" s="28">
        <v>46074</v>
      </c>
      <c r="K586" s="33">
        <f t="shared" si="243"/>
        <v>30</v>
      </c>
      <c r="L586" s="31">
        <v>13.41</v>
      </c>
      <c r="M586" s="32">
        <v>12.1</v>
      </c>
      <c r="N586" s="1">
        <f t="shared" si="250"/>
        <v>1.3100000000000005</v>
      </c>
      <c r="O586" s="1" t="s">
        <v>379</v>
      </c>
    </row>
    <row r="587" spans="1:15" x14ac:dyDescent="0.25">
      <c r="A587" s="28">
        <v>46044</v>
      </c>
      <c r="B587" s="1" t="s">
        <v>195</v>
      </c>
      <c r="C587" s="1"/>
      <c r="D587" s="28">
        <f t="shared" si="251"/>
        <v>46067</v>
      </c>
      <c r="E587" s="28">
        <f t="shared" si="252"/>
        <v>46051</v>
      </c>
      <c r="F587" s="28">
        <f t="shared" si="253"/>
        <v>46058</v>
      </c>
      <c r="G587" s="28">
        <f t="shared" si="254"/>
        <v>46064</v>
      </c>
      <c r="H587" s="28">
        <f t="shared" si="255"/>
        <v>46052</v>
      </c>
      <c r="I587" s="28">
        <f t="shared" si="256"/>
        <v>46059</v>
      </c>
      <c r="J587" s="28">
        <v>46074</v>
      </c>
      <c r="K587" s="33">
        <f t="shared" si="243"/>
        <v>30</v>
      </c>
      <c r="L587" s="31">
        <v>12.95</v>
      </c>
      <c r="M587" s="32">
        <v>11.54</v>
      </c>
      <c r="N587" s="1">
        <f t="shared" si="250"/>
        <v>1.4100000000000001</v>
      </c>
      <c r="O587" s="1" t="s">
        <v>379</v>
      </c>
    </row>
    <row r="588" spans="1:15" x14ac:dyDescent="0.25">
      <c r="A588" s="28">
        <v>46044</v>
      </c>
      <c r="B588" s="1" t="s">
        <v>196</v>
      </c>
      <c r="C588" s="1"/>
      <c r="D588" s="28">
        <f t="shared" si="251"/>
        <v>46067</v>
      </c>
      <c r="E588" s="28">
        <f t="shared" si="252"/>
        <v>46051</v>
      </c>
      <c r="F588" s="28">
        <f t="shared" si="253"/>
        <v>46058</v>
      </c>
      <c r="G588" s="28">
        <f t="shared" si="254"/>
        <v>46064</v>
      </c>
      <c r="H588" s="28">
        <f t="shared" si="255"/>
        <v>46052</v>
      </c>
      <c r="I588" s="28">
        <f t="shared" si="256"/>
        <v>46059</v>
      </c>
      <c r="J588" s="28">
        <v>46073</v>
      </c>
      <c r="K588" s="33">
        <f t="shared" si="243"/>
        <v>29</v>
      </c>
      <c r="L588" s="31">
        <v>13.63</v>
      </c>
      <c r="M588" s="32">
        <v>12.52</v>
      </c>
      <c r="N588" s="1">
        <f t="shared" si="250"/>
        <v>1.1100000000000012</v>
      </c>
      <c r="O588" s="1" t="s">
        <v>379</v>
      </c>
    </row>
    <row r="589" spans="1:15" x14ac:dyDescent="0.25">
      <c r="A589" s="28">
        <v>46044</v>
      </c>
      <c r="B589" s="1" t="s">
        <v>197</v>
      </c>
      <c r="C589" s="1"/>
      <c r="D589" s="28">
        <f t="shared" si="251"/>
        <v>46067</v>
      </c>
      <c r="E589" s="28">
        <f t="shared" si="252"/>
        <v>46051</v>
      </c>
      <c r="F589" s="28">
        <f t="shared" si="253"/>
        <v>46058</v>
      </c>
      <c r="G589" s="28">
        <f t="shared" si="254"/>
        <v>46064</v>
      </c>
      <c r="H589" s="28">
        <f t="shared" si="255"/>
        <v>46052</v>
      </c>
      <c r="I589" s="28">
        <f t="shared" si="256"/>
        <v>46059</v>
      </c>
      <c r="J589" s="28">
        <v>46073</v>
      </c>
      <c r="K589" s="33">
        <f t="shared" si="243"/>
        <v>29</v>
      </c>
      <c r="L589" s="31">
        <v>14.21</v>
      </c>
      <c r="M589" s="32">
        <v>13.16</v>
      </c>
      <c r="N589" s="1">
        <f t="shared" si="250"/>
        <v>1.0500000000000007</v>
      </c>
      <c r="O589" s="1" t="s">
        <v>379</v>
      </c>
    </row>
    <row r="590" spans="1:15" x14ac:dyDescent="0.25">
      <c r="A590" s="28">
        <v>46044</v>
      </c>
      <c r="B590" s="1" t="s">
        <v>198</v>
      </c>
      <c r="C590" s="1"/>
      <c r="D590" s="28">
        <f t="shared" si="251"/>
        <v>46067</v>
      </c>
      <c r="E590" s="28">
        <f t="shared" si="252"/>
        <v>46051</v>
      </c>
      <c r="F590" s="28">
        <f t="shared" si="253"/>
        <v>46058</v>
      </c>
      <c r="G590" s="28">
        <f t="shared" si="254"/>
        <v>46064</v>
      </c>
      <c r="H590" s="28">
        <f t="shared" si="255"/>
        <v>46052</v>
      </c>
      <c r="I590" s="28">
        <f t="shared" si="256"/>
        <v>46059</v>
      </c>
      <c r="J590" s="28">
        <v>46073</v>
      </c>
      <c r="K590" s="33">
        <f t="shared" si="243"/>
        <v>29</v>
      </c>
      <c r="L590" s="31">
        <v>15.08</v>
      </c>
      <c r="M590" s="32">
        <v>14.12</v>
      </c>
      <c r="N590" s="1">
        <f t="shared" si="250"/>
        <v>0.96000000000000085</v>
      </c>
      <c r="O590" s="1" t="s">
        <v>379</v>
      </c>
    </row>
    <row r="591" spans="1:15" x14ac:dyDescent="0.25">
      <c r="A591" s="28">
        <v>46044</v>
      </c>
      <c r="B591" s="1" t="s">
        <v>199</v>
      </c>
      <c r="C591" s="1"/>
      <c r="D591" s="28">
        <f t="shared" si="251"/>
        <v>46067</v>
      </c>
      <c r="E591" s="28">
        <f t="shared" si="252"/>
        <v>46051</v>
      </c>
      <c r="F591" s="28">
        <f t="shared" si="253"/>
        <v>46058</v>
      </c>
      <c r="G591" s="28">
        <f t="shared" si="254"/>
        <v>46064</v>
      </c>
      <c r="H591" s="28">
        <f t="shared" si="255"/>
        <v>46052</v>
      </c>
      <c r="I591" s="28">
        <f t="shared" si="256"/>
        <v>46059</v>
      </c>
      <c r="J591" s="28">
        <v>46073</v>
      </c>
      <c r="K591" s="33">
        <f t="shared" si="243"/>
        <v>29</v>
      </c>
      <c r="L591" s="31">
        <v>14.58</v>
      </c>
      <c r="M591" s="32">
        <v>13.22</v>
      </c>
      <c r="N591" s="1">
        <f t="shared" si="250"/>
        <v>1.3599999999999994</v>
      </c>
      <c r="O591" s="1" t="s">
        <v>379</v>
      </c>
    </row>
    <row r="592" spans="1:15" x14ac:dyDescent="0.25">
      <c r="A592" s="28">
        <v>46044</v>
      </c>
      <c r="B592" s="1" t="s">
        <v>200</v>
      </c>
      <c r="C592" s="1"/>
      <c r="D592" s="28">
        <f t="shared" si="251"/>
        <v>46067</v>
      </c>
      <c r="E592" s="28">
        <f t="shared" si="252"/>
        <v>46051</v>
      </c>
      <c r="F592" s="28">
        <f t="shared" si="253"/>
        <v>46058</v>
      </c>
      <c r="G592" s="28">
        <f t="shared" si="254"/>
        <v>46064</v>
      </c>
      <c r="H592" s="28">
        <f t="shared" si="255"/>
        <v>46052</v>
      </c>
      <c r="I592" s="28">
        <f t="shared" si="256"/>
        <v>46059</v>
      </c>
      <c r="J592" s="28">
        <v>46073</v>
      </c>
      <c r="K592" s="33">
        <f t="shared" si="243"/>
        <v>29</v>
      </c>
      <c r="L592" s="31">
        <v>15.11</v>
      </c>
      <c r="M592" s="32">
        <v>14.15</v>
      </c>
      <c r="N592" s="1">
        <f t="shared" si="250"/>
        <v>0.95999999999999908</v>
      </c>
      <c r="O592" s="1" t="s">
        <v>379</v>
      </c>
    </row>
    <row r="593" spans="1:15" x14ac:dyDescent="0.25">
      <c r="A593" s="28">
        <v>46044</v>
      </c>
      <c r="B593" s="1" t="s">
        <v>201</v>
      </c>
      <c r="C593" s="1"/>
      <c r="D593" s="28">
        <f t="shared" si="251"/>
        <v>46067</v>
      </c>
      <c r="E593" s="28">
        <f t="shared" si="252"/>
        <v>46051</v>
      </c>
      <c r="F593" s="28">
        <f t="shared" si="253"/>
        <v>46058</v>
      </c>
      <c r="G593" s="28">
        <f t="shared" si="254"/>
        <v>46064</v>
      </c>
      <c r="H593" s="28">
        <f t="shared" si="255"/>
        <v>46052</v>
      </c>
      <c r="I593" s="28">
        <f t="shared" si="256"/>
        <v>46059</v>
      </c>
      <c r="J593" s="28">
        <v>46073</v>
      </c>
      <c r="K593" s="33">
        <f t="shared" si="243"/>
        <v>29</v>
      </c>
      <c r="L593" s="31">
        <v>14.35</v>
      </c>
      <c r="M593" s="32">
        <v>13.87</v>
      </c>
      <c r="N593" s="1">
        <f t="shared" si="250"/>
        <v>0.48000000000000043</v>
      </c>
      <c r="O593" s="1" t="s">
        <v>379</v>
      </c>
    </row>
    <row r="594" spans="1:15" x14ac:dyDescent="0.25">
      <c r="A594" s="28">
        <v>46044</v>
      </c>
      <c r="B594" s="1" t="s">
        <v>202</v>
      </c>
      <c r="C594" s="1"/>
      <c r="D594" s="28">
        <f t="shared" si="251"/>
        <v>46067</v>
      </c>
      <c r="E594" s="28">
        <f t="shared" si="252"/>
        <v>46051</v>
      </c>
      <c r="F594" s="28">
        <f t="shared" si="253"/>
        <v>46058</v>
      </c>
      <c r="G594" s="28">
        <f t="shared" si="254"/>
        <v>46064</v>
      </c>
      <c r="H594" s="28">
        <f t="shared" si="255"/>
        <v>46052</v>
      </c>
      <c r="I594" s="28">
        <f t="shared" si="256"/>
        <v>46059</v>
      </c>
      <c r="J594" s="28">
        <v>46073</v>
      </c>
      <c r="K594" s="33">
        <f t="shared" si="243"/>
        <v>29</v>
      </c>
      <c r="L594" s="31">
        <v>15.64</v>
      </c>
      <c r="M594" s="32">
        <v>14.51</v>
      </c>
      <c r="N594" s="1">
        <f t="shared" si="250"/>
        <v>1.1300000000000008</v>
      </c>
      <c r="O594" s="1" t="s">
        <v>379</v>
      </c>
    </row>
    <row r="595" spans="1:15" x14ac:dyDescent="0.25">
      <c r="A595" s="28">
        <v>46044</v>
      </c>
      <c r="B595" s="1" t="s">
        <v>203</v>
      </c>
      <c r="C595" s="1"/>
      <c r="D595" s="28">
        <f t="shared" si="251"/>
        <v>46067</v>
      </c>
      <c r="E595" s="28">
        <f t="shared" si="252"/>
        <v>46051</v>
      </c>
      <c r="F595" s="28">
        <f t="shared" si="253"/>
        <v>46058</v>
      </c>
      <c r="G595" s="28">
        <f t="shared" si="254"/>
        <v>46064</v>
      </c>
      <c r="H595" s="28">
        <f t="shared" si="255"/>
        <v>46052</v>
      </c>
      <c r="I595" s="28">
        <f t="shared" si="256"/>
        <v>46059</v>
      </c>
      <c r="J595" s="28">
        <v>46073</v>
      </c>
      <c r="K595" s="33">
        <f t="shared" si="243"/>
        <v>29</v>
      </c>
      <c r="L595" s="31">
        <v>15.81</v>
      </c>
      <c r="M595" s="32">
        <v>14.73</v>
      </c>
      <c r="N595" s="1">
        <f t="shared" si="250"/>
        <v>1.08</v>
      </c>
      <c r="O595" s="1" t="s">
        <v>379</v>
      </c>
    </row>
    <row r="596" spans="1:15" x14ac:dyDescent="0.25">
      <c r="A596" s="28">
        <v>46045</v>
      </c>
      <c r="B596" s="1" t="s">
        <v>227</v>
      </c>
      <c r="C596" s="1"/>
      <c r="D596" s="28">
        <f t="shared" si="251"/>
        <v>46068</v>
      </c>
      <c r="E596" s="28">
        <f t="shared" si="252"/>
        <v>46052</v>
      </c>
      <c r="F596" s="28">
        <f t="shared" si="253"/>
        <v>46059</v>
      </c>
      <c r="G596" s="28">
        <f t="shared" si="254"/>
        <v>46065</v>
      </c>
      <c r="H596" s="28">
        <f t="shared" si="255"/>
        <v>46053</v>
      </c>
      <c r="I596" s="28">
        <f t="shared" si="256"/>
        <v>46060</v>
      </c>
      <c r="J596" s="28">
        <v>46075</v>
      </c>
      <c r="K596" s="33">
        <f t="shared" si="243"/>
        <v>30</v>
      </c>
      <c r="L596" s="31">
        <v>14.05</v>
      </c>
      <c r="M596" s="32">
        <v>12.74</v>
      </c>
      <c r="N596" s="1">
        <f t="shared" si="250"/>
        <v>1.3100000000000005</v>
      </c>
      <c r="O596" s="1" t="s">
        <v>379</v>
      </c>
    </row>
    <row r="597" spans="1:15" x14ac:dyDescent="0.25">
      <c r="A597" s="28">
        <v>46045</v>
      </c>
      <c r="B597" s="1" t="s">
        <v>228</v>
      </c>
      <c r="C597" s="1"/>
      <c r="D597" s="28">
        <f t="shared" si="251"/>
        <v>46068</v>
      </c>
      <c r="E597" s="28">
        <f t="shared" si="252"/>
        <v>46052</v>
      </c>
      <c r="F597" s="28">
        <f t="shared" si="253"/>
        <v>46059</v>
      </c>
      <c r="G597" s="28">
        <f t="shared" si="254"/>
        <v>46065</v>
      </c>
      <c r="H597" s="28">
        <f t="shared" si="255"/>
        <v>46053</v>
      </c>
      <c r="I597" s="28">
        <f t="shared" si="256"/>
        <v>46060</v>
      </c>
      <c r="J597" s="28">
        <v>46075</v>
      </c>
      <c r="K597" s="33">
        <f t="shared" si="243"/>
        <v>30</v>
      </c>
      <c r="L597" s="31">
        <v>14.73</v>
      </c>
      <c r="M597" s="32">
        <v>13.51</v>
      </c>
      <c r="N597" s="1">
        <f t="shared" si="250"/>
        <v>1.2200000000000006</v>
      </c>
      <c r="O597" s="1" t="s">
        <v>379</v>
      </c>
    </row>
    <row r="598" spans="1:15" x14ac:dyDescent="0.25">
      <c r="A598" s="28">
        <v>46045</v>
      </c>
      <c r="B598" s="1" t="s">
        <v>229</v>
      </c>
      <c r="C598" s="1"/>
      <c r="D598" s="28">
        <f t="shared" si="251"/>
        <v>46068</v>
      </c>
      <c r="E598" s="28">
        <f t="shared" si="252"/>
        <v>46052</v>
      </c>
      <c r="F598" s="28">
        <f t="shared" si="253"/>
        <v>46059</v>
      </c>
      <c r="G598" s="28">
        <f t="shared" si="254"/>
        <v>46065</v>
      </c>
      <c r="H598" s="28">
        <f t="shared" si="255"/>
        <v>46053</v>
      </c>
      <c r="I598" s="28">
        <f t="shared" si="256"/>
        <v>46060</v>
      </c>
      <c r="J598" s="28">
        <v>46075</v>
      </c>
      <c r="K598" s="33">
        <f t="shared" si="243"/>
        <v>30</v>
      </c>
      <c r="L598" s="31">
        <v>15.81</v>
      </c>
      <c r="M598" s="32">
        <v>14.32</v>
      </c>
      <c r="N598" s="1">
        <f t="shared" si="250"/>
        <v>1.4900000000000002</v>
      </c>
      <c r="O598" s="1" t="s">
        <v>379</v>
      </c>
    </row>
    <row r="599" spans="1:15" x14ac:dyDescent="0.25">
      <c r="A599" s="28">
        <v>46045</v>
      </c>
      <c r="B599" s="1" t="s">
        <v>230</v>
      </c>
      <c r="C599" s="1"/>
      <c r="D599" s="28">
        <f t="shared" si="251"/>
        <v>46068</v>
      </c>
      <c r="E599" s="28">
        <f t="shared" si="252"/>
        <v>46052</v>
      </c>
      <c r="F599" s="28">
        <f t="shared" si="253"/>
        <v>46059</v>
      </c>
      <c r="G599" s="28">
        <f t="shared" si="254"/>
        <v>46065</v>
      </c>
      <c r="H599" s="28">
        <f t="shared" si="255"/>
        <v>46053</v>
      </c>
      <c r="I599" s="28">
        <f t="shared" si="256"/>
        <v>46060</v>
      </c>
      <c r="J599" s="28">
        <v>46074</v>
      </c>
      <c r="K599" s="33">
        <f t="shared" si="243"/>
        <v>29</v>
      </c>
      <c r="L599" s="31">
        <v>12.19</v>
      </c>
      <c r="M599" s="32">
        <v>11.53</v>
      </c>
      <c r="N599" s="1">
        <f t="shared" si="250"/>
        <v>0.66000000000000014</v>
      </c>
      <c r="O599" s="1" t="s">
        <v>379</v>
      </c>
    </row>
    <row r="600" spans="1:15" x14ac:dyDescent="0.25">
      <c r="A600" s="28">
        <v>46045</v>
      </c>
      <c r="B600" s="1" t="s">
        <v>231</v>
      </c>
      <c r="C600" s="1"/>
      <c r="D600" s="28">
        <f t="shared" si="251"/>
        <v>46068</v>
      </c>
      <c r="E600" s="28">
        <f t="shared" si="252"/>
        <v>46052</v>
      </c>
      <c r="F600" s="28">
        <f t="shared" si="253"/>
        <v>46059</v>
      </c>
      <c r="G600" s="28">
        <f t="shared" si="254"/>
        <v>46065</v>
      </c>
      <c r="H600" s="28">
        <f t="shared" si="255"/>
        <v>46053</v>
      </c>
      <c r="I600" s="28">
        <f t="shared" si="256"/>
        <v>46060</v>
      </c>
      <c r="J600" s="28">
        <v>46074</v>
      </c>
      <c r="K600" s="33">
        <f t="shared" si="243"/>
        <v>29</v>
      </c>
      <c r="L600" s="31">
        <v>13.87</v>
      </c>
      <c r="M600" s="32">
        <v>12.74</v>
      </c>
      <c r="N600" s="1">
        <f t="shared" si="250"/>
        <v>1.129999999999999</v>
      </c>
      <c r="O600" s="1" t="s">
        <v>379</v>
      </c>
    </row>
    <row r="601" spans="1:15" x14ac:dyDescent="0.25">
      <c r="A601" s="28">
        <v>46045</v>
      </c>
      <c r="B601" s="1" t="s">
        <v>232</v>
      </c>
      <c r="C601" s="1"/>
      <c r="D601" s="28">
        <f t="shared" si="251"/>
        <v>46068</v>
      </c>
      <c r="E601" s="28">
        <f t="shared" si="252"/>
        <v>46052</v>
      </c>
      <c r="F601" s="28">
        <f t="shared" si="253"/>
        <v>46059</v>
      </c>
      <c r="G601" s="28">
        <f t="shared" si="254"/>
        <v>46065</v>
      </c>
      <c r="H601" s="28">
        <f t="shared" si="255"/>
        <v>46053</v>
      </c>
      <c r="I601" s="28">
        <f t="shared" si="256"/>
        <v>46060</v>
      </c>
      <c r="J601" s="28">
        <v>46074</v>
      </c>
      <c r="K601" s="33">
        <f t="shared" si="243"/>
        <v>29</v>
      </c>
      <c r="L601" s="31">
        <v>13.52</v>
      </c>
      <c r="M601" s="32">
        <v>12.35</v>
      </c>
      <c r="N601" s="1">
        <f t="shared" si="250"/>
        <v>1.17</v>
      </c>
      <c r="O601" s="1" t="s">
        <v>379</v>
      </c>
    </row>
    <row r="602" spans="1:15" x14ac:dyDescent="0.25">
      <c r="A602" s="28">
        <v>46045</v>
      </c>
      <c r="B602" s="1" t="s">
        <v>233</v>
      </c>
      <c r="C602" s="1"/>
      <c r="D602" s="28">
        <f t="shared" si="251"/>
        <v>46068</v>
      </c>
      <c r="E602" s="28">
        <f t="shared" si="252"/>
        <v>46052</v>
      </c>
      <c r="F602" s="28">
        <f t="shared" si="253"/>
        <v>46059</v>
      </c>
      <c r="G602" s="28">
        <f t="shared" si="254"/>
        <v>46065</v>
      </c>
      <c r="H602" s="28">
        <f t="shared" si="255"/>
        <v>46053</v>
      </c>
      <c r="I602" s="28">
        <f t="shared" si="256"/>
        <v>46060</v>
      </c>
      <c r="J602" s="28">
        <v>46073</v>
      </c>
      <c r="K602" s="33">
        <f t="shared" si="243"/>
        <v>28</v>
      </c>
      <c r="L602" s="38">
        <v>12.7</v>
      </c>
      <c r="M602" s="37">
        <v>11.42</v>
      </c>
      <c r="N602" s="1">
        <f t="shared" si="250"/>
        <v>1.2799999999999994</v>
      </c>
      <c r="O602" s="1" t="s">
        <v>379</v>
      </c>
    </row>
    <row r="603" spans="1:15" x14ac:dyDescent="0.25">
      <c r="A603" s="28">
        <v>46046</v>
      </c>
      <c r="B603" s="1" t="s">
        <v>220</v>
      </c>
      <c r="C603" s="1"/>
      <c r="D603" s="28">
        <f t="shared" si="251"/>
        <v>46069</v>
      </c>
      <c r="E603" s="28">
        <f t="shared" si="252"/>
        <v>46053</v>
      </c>
      <c r="F603" s="28">
        <f t="shared" si="253"/>
        <v>46060</v>
      </c>
      <c r="G603" s="28">
        <f t="shared" si="254"/>
        <v>46066</v>
      </c>
      <c r="H603" s="28">
        <f t="shared" si="255"/>
        <v>46054</v>
      </c>
      <c r="I603" s="28">
        <f t="shared" si="256"/>
        <v>46061</v>
      </c>
      <c r="J603" s="28">
        <v>46076</v>
      </c>
      <c r="K603" s="33">
        <f t="shared" si="243"/>
        <v>30</v>
      </c>
      <c r="L603" s="31">
        <v>13.92</v>
      </c>
      <c r="M603" s="31">
        <v>12.78</v>
      </c>
      <c r="N603" s="1">
        <f t="shared" si="250"/>
        <v>1.1400000000000006</v>
      </c>
      <c r="O603" s="1" t="s">
        <v>379</v>
      </c>
    </row>
    <row r="604" spans="1:15" x14ac:dyDescent="0.25">
      <c r="A604" s="28">
        <v>46046</v>
      </c>
      <c r="B604" s="1" t="s">
        <v>221</v>
      </c>
      <c r="C604" s="1"/>
      <c r="D604" s="28">
        <f t="shared" si="251"/>
        <v>46069</v>
      </c>
      <c r="E604" s="28">
        <f t="shared" si="252"/>
        <v>46053</v>
      </c>
      <c r="F604" s="28">
        <f t="shared" si="253"/>
        <v>46060</v>
      </c>
      <c r="G604" s="28">
        <f t="shared" si="254"/>
        <v>46066</v>
      </c>
      <c r="H604" s="28">
        <f t="shared" si="255"/>
        <v>46054</v>
      </c>
      <c r="I604" s="28">
        <f t="shared" si="256"/>
        <v>46061</v>
      </c>
      <c r="J604" s="28">
        <v>46076</v>
      </c>
      <c r="K604" s="33">
        <f t="shared" si="243"/>
        <v>30</v>
      </c>
      <c r="L604" s="31">
        <v>13.41</v>
      </c>
      <c r="M604" s="31">
        <v>12.54</v>
      </c>
      <c r="N604" s="1">
        <f t="shared" si="250"/>
        <v>0.87000000000000099</v>
      </c>
      <c r="O604" s="1" t="s">
        <v>379</v>
      </c>
    </row>
    <row r="605" spans="1:15" x14ac:dyDescent="0.25">
      <c r="A605" s="28">
        <v>46046</v>
      </c>
      <c r="B605" s="1" t="s">
        <v>222</v>
      </c>
      <c r="C605" s="1"/>
      <c r="D605" s="28">
        <f t="shared" si="251"/>
        <v>46069</v>
      </c>
      <c r="E605" s="28">
        <f t="shared" si="252"/>
        <v>46053</v>
      </c>
      <c r="F605" s="28">
        <f t="shared" si="253"/>
        <v>46060</v>
      </c>
      <c r="G605" s="28">
        <f t="shared" si="254"/>
        <v>46066</v>
      </c>
      <c r="H605" s="28">
        <f t="shared" si="255"/>
        <v>46054</v>
      </c>
      <c r="I605" s="28">
        <f t="shared" si="256"/>
        <v>46061</v>
      </c>
      <c r="J605" s="28">
        <v>46076</v>
      </c>
      <c r="K605" s="33">
        <f t="shared" si="243"/>
        <v>30</v>
      </c>
      <c r="L605" s="31">
        <v>13.05</v>
      </c>
      <c r="M605" s="31">
        <v>11.73</v>
      </c>
      <c r="N605" s="1">
        <f t="shared" si="250"/>
        <v>1.3200000000000003</v>
      </c>
      <c r="O605" s="1" t="s">
        <v>379</v>
      </c>
    </row>
    <row r="606" spans="1:15" x14ac:dyDescent="0.25">
      <c r="A606" s="28">
        <v>46046</v>
      </c>
      <c r="B606" s="1" t="s">
        <v>223</v>
      </c>
      <c r="C606" s="1"/>
      <c r="D606" s="28">
        <f t="shared" si="251"/>
        <v>46069</v>
      </c>
      <c r="E606" s="28">
        <f t="shared" si="252"/>
        <v>46053</v>
      </c>
      <c r="F606" s="28">
        <f t="shared" si="253"/>
        <v>46060</v>
      </c>
      <c r="G606" s="28">
        <f t="shared" si="254"/>
        <v>46066</v>
      </c>
      <c r="H606" s="28">
        <f t="shared" si="255"/>
        <v>46054</v>
      </c>
      <c r="I606" s="28">
        <f t="shared" si="256"/>
        <v>46061</v>
      </c>
      <c r="J606" s="28">
        <v>46076</v>
      </c>
      <c r="K606" s="33">
        <f t="shared" si="243"/>
        <v>30</v>
      </c>
      <c r="L606" s="31">
        <v>12.36</v>
      </c>
      <c r="M606" s="31">
        <v>11.54</v>
      </c>
      <c r="N606" s="1">
        <f t="shared" si="250"/>
        <v>0.82000000000000028</v>
      </c>
      <c r="O606" s="1" t="s">
        <v>379</v>
      </c>
    </row>
    <row r="607" spans="1:15" x14ac:dyDescent="0.25">
      <c r="A607" s="28">
        <v>46046</v>
      </c>
      <c r="B607" s="1" t="s">
        <v>224</v>
      </c>
      <c r="C607" s="1"/>
      <c r="D607" s="28">
        <f t="shared" si="251"/>
        <v>46069</v>
      </c>
      <c r="E607" s="28">
        <f t="shared" si="252"/>
        <v>46053</v>
      </c>
      <c r="F607" s="28">
        <f t="shared" si="253"/>
        <v>46060</v>
      </c>
      <c r="G607" s="28">
        <f t="shared" si="254"/>
        <v>46066</v>
      </c>
      <c r="H607" s="28">
        <f t="shared" si="255"/>
        <v>46054</v>
      </c>
      <c r="I607" s="28">
        <f t="shared" si="256"/>
        <v>46061</v>
      </c>
      <c r="J607" s="28">
        <v>46075</v>
      </c>
      <c r="K607" s="33">
        <f t="shared" si="243"/>
        <v>29</v>
      </c>
      <c r="L607" s="31">
        <v>14.39</v>
      </c>
      <c r="M607" s="31">
        <v>13.24</v>
      </c>
      <c r="N607" s="1">
        <f t="shared" si="250"/>
        <v>1.1500000000000004</v>
      </c>
      <c r="O607" s="1" t="s">
        <v>379</v>
      </c>
    </row>
    <row r="608" spans="1:15" x14ac:dyDescent="0.25">
      <c r="A608" s="28">
        <v>46046</v>
      </c>
      <c r="B608" s="1" t="s">
        <v>225</v>
      </c>
      <c r="C608" s="1"/>
      <c r="D608" s="28">
        <f t="shared" si="251"/>
        <v>46069</v>
      </c>
      <c r="E608" s="28">
        <f t="shared" si="252"/>
        <v>46053</v>
      </c>
      <c r="F608" s="28">
        <f t="shared" si="253"/>
        <v>46060</v>
      </c>
      <c r="G608" s="28">
        <f t="shared" si="254"/>
        <v>46066</v>
      </c>
      <c r="H608" s="28">
        <f t="shared" si="255"/>
        <v>46054</v>
      </c>
      <c r="I608" s="28">
        <f t="shared" si="256"/>
        <v>46061</v>
      </c>
      <c r="J608" s="28">
        <v>46075</v>
      </c>
      <c r="K608" s="33">
        <f t="shared" si="243"/>
        <v>29</v>
      </c>
      <c r="L608" s="31">
        <v>14.28</v>
      </c>
      <c r="M608" s="31">
        <v>13.97</v>
      </c>
      <c r="N608" s="1">
        <f t="shared" si="250"/>
        <v>0.30999999999999872</v>
      </c>
      <c r="O608" s="1" t="s">
        <v>379</v>
      </c>
    </row>
    <row r="609" spans="1:15" x14ac:dyDescent="0.25">
      <c r="A609" s="28">
        <v>46046</v>
      </c>
      <c r="B609" s="1" t="s">
        <v>226</v>
      </c>
      <c r="C609" s="1"/>
      <c r="D609" s="28">
        <f t="shared" si="251"/>
        <v>46069</v>
      </c>
      <c r="E609" s="28">
        <f t="shared" si="252"/>
        <v>46053</v>
      </c>
      <c r="F609" s="28">
        <f t="shared" si="253"/>
        <v>46060</v>
      </c>
      <c r="G609" s="28">
        <f t="shared" si="254"/>
        <v>46066</v>
      </c>
      <c r="H609" s="28">
        <f t="shared" si="255"/>
        <v>46054</v>
      </c>
      <c r="I609" s="28">
        <f t="shared" si="256"/>
        <v>46061</v>
      </c>
      <c r="J609" s="28">
        <v>46075</v>
      </c>
      <c r="K609" s="33">
        <f t="shared" si="243"/>
        <v>29</v>
      </c>
      <c r="L609" s="31">
        <v>13.9</v>
      </c>
      <c r="M609" s="31">
        <v>12.38</v>
      </c>
      <c r="N609" s="1">
        <f t="shared" si="250"/>
        <v>1.5199999999999996</v>
      </c>
      <c r="O609" s="1" t="s">
        <v>379</v>
      </c>
    </row>
    <row r="610" spans="1:15" x14ac:dyDescent="0.25">
      <c r="A610" s="28">
        <v>46047</v>
      </c>
      <c r="B610" s="1" t="s">
        <v>257</v>
      </c>
      <c r="C610" s="1"/>
      <c r="D610" s="28">
        <f t="shared" si="251"/>
        <v>46070</v>
      </c>
      <c r="E610" s="28">
        <f t="shared" si="252"/>
        <v>46054</v>
      </c>
      <c r="F610" s="28">
        <f t="shared" si="253"/>
        <v>46061</v>
      </c>
      <c r="G610" s="28">
        <f t="shared" si="254"/>
        <v>46067</v>
      </c>
      <c r="H610" s="28">
        <f t="shared" si="255"/>
        <v>46055</v>
      </c>
      <c r="I610" s="28">
        <f t="shared" si="256"/>
        <v>46062</v>
      </c>
      <c r="J610" s="28">
        <v>46078</v>
      </c>
      <c r="K610" s="33">
        <f t="shared" si="243"/>
        <v>31</v>
      </c>
      <c r="L610" s="31">
        <v>12.59</v>
      </c>
      <c r="M610" s="31">
        <v>11.36</v>
      </c>
      <c r="N610" s="1">
        <f t="shared" si="250"/>
        <v>1.2300000000000004</v>
      </c>
      <c r="O610" s="1" t="s">
        <v>379</v>
      </c>
    </row>
    <row r="611" spans="1:15" x14ac:dyDescent="0.25">
      <c r="A611" s="28">
        <v>46047</v>
      </c>
      <c r="B611" s="1" t="s">
        <v>258</v>
      </c>
      <c r="C611" s="1"/>
      <c r="D611" s="28">
        <f t="shared" si="251"/>
        <v>46070</v>
      </c>
      <c r="E611" s="28">
        <f t="shared" si="252"/>
        <v>46054</v>
      </c>
      <c r="F611" s="28">
        <f t="shared" si="253"/>
        <v>46061</v>
      </c>
      <c r="G611" s="28">
        <f t="shared" si="254"/>
        <v>46067</v>
      </c>
      <c r="H611" s="28">
        <f t="shared" si="255"/>
        <v>46055</v>
      </c>
      <c r="I611" s="28">
        <f t="shared" si="256"/>
        <v>46062</v>
      </c>
      <c r="J611" s="28">
        <v>46078</v>
      </c>
      <c r="K611" s="33">
        <f t="shared" si="243"/>
        <v>31</v>
      </c>
      <c r="L611" s="31">
        <v>11.78</v>
      </c>
      <c r="M611" s="31">
        <v>10.65</v>
      </c>
      <c r="N611" s="1">
        <f t="shared" si="250"/>
        <v>1.129999999999999</v>
      </c>
      <c r="O611" s="1" t="s">
        <v>379</v>
      </c>
    </row>
    <row r="612" spans="1:15" x14ac:dyDescent="0.25">
      <c r="A612" s="28">
        <v>46047</v>
      </c>
      <c r="B612" s="1" t="s">
        <v>259</v>
      </c>
      <c r="C612" s="1"/>
      <c r="D612" s="28">
        <f t="shared" si="251"/>
        <v>46070</v>
      </c>
      <c r="E612" s="28">
        <f t="shared" si="252"/>
        <v>46054</v>
      </c>
      <c r="F612" s="28">
        <f t="shared" si="253"/>
        <v>46061</v>
      </c>
      <c r="G612" s="28">
        <f t="shared" si="254"/>
        <v>46067</v>
      </c>
      <c r="H612" s="28">
        <f t="shared" si="255"/>
        <v>46055</v>
      </c>
      <c r="I612" s="28">
        <f t="shared" si="256"/>
        <v>46062</v>
      </c>
      <c r="J612" s="28">
        <v>46078</v>
      </c>
      <c r="K612" s="33">
        <f t="shared" si="243"/>
        <v>31</v>
      </c>
      <c r="L612" s="31">
        <v>12.63</v>
      </c>
      <c r="M612" s="31">
        <v>11.48</v>
      </c>
      <c r="N612" s="1">
        <f t="shared" si="250"/>
        <v>1.1500000000000004</v>
      </c>
      <c r="O612" s="1" t="s">
        <v>379</v>
      </c>
    </row>
    <row r="613" spans="1:15" x14ac:dyDescent="0.25">
      <c r="A613" s="28">
        <v>46047</v>
      </c>
      <c r="B613" s="1" t="s">
        <v>260</v>
      </c>
      <c r="C613" s="1"/>
      <c r="D613" s="28">
        <f t="shared" si="251"/>
        <v>46070</v>
      </c>
      <c r="E613" s="28">
        <f t="shared" si="252"/>
        <v>46054</v>
      </c>
      <c r="F613" s="28">
        <f t="shared" si="253"/>
        <v>46061</v>
      </c>
      <c r="G613" s="28">
        <f t="shared" si="254"/>
        <v>46067</v>
      </c>
      <c r="H613" s="28">
        <f t="shared" si="255"/>
        <v>46055</v>
      </c>
      <c r="I613" s="28">
        <f t="shared" si="256"/>
        <v>46062</v>
      </c>
      <c r="J613" s="28">
        <v>46078</v>
      </c>
      <c r="K613" s="33">
        <f t="shared" si="243"/>
        <v>31</v>
      </c>
      <c r="L613" s="31">
        <v>11.48</v>
      </c>
      <c r="M613" s="31">
        <v>10.81</v>
      </c>
      <c r="N613" s="1">
        <f t="shared" si="250"/>
        <v>0.66999999999999993</v>
      </c>
      <c r="O613" s="1" t="s">
        <v>379</v>
      </c>
    </row>
    <row r="614" spans="1:15" x14ac:dyDescent="0.25">
      <c r="A614" s="28">
        <v>46047</v>
      </c>
      <c r="B614" s="1" t="s">
        <v>261</v>
      </c>
      <c r="C614" s="1"/>
      <c r="D614" s="28">
        <f t="shared" si="251"/>
        <v>46070</v>
      </c>
      <c r="E614" s="28">
        <f t="shared" si="252"/>
        <v>46054</v>
      </c>
      <c r="F614" s="28">
        <f t="shared" si="253"/>
        <v>46061</v>
      </c>
      <c r="G614" s="28">
        <f t="shared" si="254"/>
        <v>46067</v>
      </c>
      <c r="H614" s="28">
        <f t="shared" si="255"/>
        <v>46055</v>
      </c>
      <c r="I614" s="28">
        <f t="shared" si="256"/>
        <v>46062</v>
      </c>
      <c r="J614" s="28">
        <v>46079</v>
      </c>
      <c r="K614" s="33">
        <f t="shared" si="243"/>
        <v>32</v>
      </c>
      <c r="L614" s="39">
        <v>11.73</v>
      </c>
      <c r="M614" s="39">
        <v>10.58</v>
      </c>
      <c r="N614" s="40">
        <f t="shared" si="250"/>
        <v>1.1500000000000004</v>
      </c>
      <c r="O614" s="32" t="s">
        <v>379</v>
      </c>
    </row>
    <row r="615" spans="1:15" x14ac:dyDescent="0.25">
      <c r="A615" s="28">
        <v>46047</v>
      </c>
      <c r="B615" s="1" t="s">
        <v>262</v>
      </c>
      <c r="C615" s="1"/>
      <c r="D615" s="28">
        <f t="shared" si="251"/>
        <v>46070</v>
      </c>
      <c r="E615" s="28">
        <f t="shared" si="252"/>
        <v>46054</v>
      </c>
      <c r="F615" s="28">
        <f t="shared" si="253"/>
        <v>46061</v>
      </c>
      <c r="G615" s="28">
        <f t="shared" si="254"/>
        <v>46067</v>
      </c>
      <c r="H615" s="28">
        <f t="shared" si="255"/>
        <v>46055</v>
      </c>
      <c r="I615" s="28">
        <f t="shared" si="256"/>
        <v>46062</v>
      </c>
      <c r="J615" s="28">
        <v>46079</v>
      </c>
      <c r="K615" s="33">
        <f t="shared" si="243"/>
        <v>32</v>
      </c>
      <c r="L615" s="39">
        <v>12.38</v>
      </c>
      <c r="M615" s="39">
        <v>11.21</v>
      </c>
      <c r="N615" s="40">
        <f t="shared" si="250"/>
        <v>1.17</v>
      </c>
      <c r="O615" s="32" t="s">
        <v>379</v>
      </c>
    </row>
    <row r="616" spans="1:15" x14ac:dyDescent="0.25">
      <c r="A616" s="28">
        <v>46047</v>
      </c>
      <c r="B616" s="1" t="s">
        <v>263</v>
      </c>
      <c r="C616" s="1"/>
      <c r="D616" s="28">
        <f t="shared" si="251"/>
        <v>46070</v>
      </c>
      <c r="E616" s="28">
        <f t="shared" si="252"/>
        <v>46054</v>
      </c>
      <c r="F616" s="28">
        <f t="shared" si="253"/>
        <v>46061</v>
      </c>
      <c r="G616" s="28">
        <f t="shared" si="254"/>
        <v>46067</v>
      </c>
      <c r="H616" s="28">
        <f t="shared" si="255"/>
        <v>46055</v>
      </c>
      <c r="I616" s="28">
        <f t="shared" si="256"/>
        <v>46062</v>
      </c>
      <c r="J616" s="28">
        <v>46079</v>
      </c>
      <c r="K616" s="33">
        <f t="shared" si="243"/>
        <v>32</v>
      </c>
      <c r="L616" s="39">
        <v>11.84</v>
      </c>
      <c r="M616" s="39">
        <v>10.63</v>
      </c>
      <c r="N616" s="40">
        <f t="shared" si="250"/>
        <v>1.2099999999999991</v>
      </c>
      <c r="O616" s="32" t="s">
        <v>379</v>
      </c>
    </row>
    <row r="617" spans="1:15" x14ac:dyDescent="0.25">
      <c r="A617" s="28">
        <v>46048</v>
      </c>
      <c r="B617" s="1" t="s">
        <v>346</v>
      </c>
      <c r="C617" s="1"/>
      <c r="D617" s="28">
        <f t="shared" si="251"/>
        <v>46071</v>
      </c>
      <c r="E617" s="28">
        <f t="shared" si="252"/>
        <v>46055</v>
      </c>
      <c r="F617" s="28">
        <f t="shared" si="253"/>
        <v>46062</v>
      </c>
      <c r="G617" s="28">
        <f t="shared" si="254"/>
        <v>46068</v>
      </c>
      <c r="H617" s="28">
        <f t="shared" si="255"/>
        <v>46056</v>
      </c>
      <c r="I617" s="28">
        <f t="shared" si="256"/>
        <v>46063</v>
      </c>
      <c r="J617" s="28">
        <v>46079</v>
      </c>
      <c r="K617" s="33">
        <f>J617-A617</f>
        <v>31</v>
      </c>
      <c r="L617" s="39">
        <v>13.51</v>
      </c>
      <c r="M617" s="39">
        <v>12.36</v>
      </c>
      <c r="N617" s="40">
        <f>L617-M617</f>
        <v>1.1500000000000004</v>
      </c>
      <c r="O617" s="32" t="s">
        <v>379</v>
      </c>
    </row>
    <row r="618" spans="1:15" x14ac:dyDescent="0.25">
      <c r="A618" s="28">
        <v>46048</v>
      </c>
      <c r="B618" s="1" t="s">
        <v>347</v>
      </c>
      <c r="C618" s="1"/>
      <c r="D618" s="28">
        <f t="shared" si="251"/>
        <v>46071</v>
      </c>
      <c r="E618" s="28">
        <f t="shared" si="252"/>
        <v>46055</v>
      </c>
      <c r="F618" s="28">
        <f t="shared" si="253"/>
        <v>46062</v>
      </c>
      <c r="G618" s="28">
        <f t="shared" si="254"/>
        <v>46068</v>
      </c>
      <c r="H618" s="28">
        <f t="shared" si="255"/>
        <v>46056</v>
      </c>
      <c r="I618" s="28">
        <f t="shared" si="256"/>
        <v>46063</v>
      </c>
      <c r="J618" s="28">
        <v>46080</v>
      </c>
      <c r="K618" s="33">
        <f>J618-A618</f>
        <v>32</v>
      </c>
      <c r="L618" s="31">
        <v>12.41</v>
      </c>
      <c r="M618" s="31">
        <v>11.73</v>
      </c>
      <c r="N618" s="1">
        <v>0.67999999999999972</v>
      </c>
      <c r="O618" s="1" t="s">
        <v>379</v>
      </c>
    </row>
    <row r="619" spans="1:15" x14ac:dyDescent="0.25">
      <c r="A619" s="28">
        <v>46048</v>
      </c>
      <c r="B619" s="1" t="s">
        <v>348</v>
      </c>
      <c r="C619" s="1"/>
      <c r="D619" s="28">
        <f t="shared" si="251"/>
        <v>46071</v>
      </c>
      <c r="E619" s="28">
        <f t="shared" si="252"/>
        <v>46055</v>
      </c>
      <c r="F619" s="28">
        <f t="shared" si="253"/>
        <v>46062</v>
      </c>
      <c r="G619" s="28">
        <f t="shared" si="254"/>
        <v>46068</v>
      </c>
      <c r="H619" s="28">
        <f t="shared" si="255"/>
        <v>46056</v>
      </c>
      <c r="I619" s="28">
        <f t="shared" si="256"/>
        <v>46063</v>
      </c>
      <c r="J619" s="28">
        <v>46080</v>
      </c>
      <c r="K619" s="33">
        <f t="shared" ref="K619:K627" si="257">J619-A619</f>
        <v>32</v>
      </c>
      <c r="L619" s="31">
        <v>11.58</v>
      </c>
      <c r="M619" s="31">
        <v>10.24</v>
      </c>
      <c r="N619" s="1">
        <v>1.3399999999999999</v>
      </c>
      <c r="O619" s="1" t="s">
        <v>379</v>
      </c>
    </row>
    <row r="620" spans="1:15" x14ac:dyDescent="0.25">
      <c r="A620" s="28">
        <v>46048</v>
      </c>
      <c r="B620" s="1" t="s">
        <v>349</v>
      </c>
      <c r="C620" s="1"/>
      <c r="D620" s="28">
        <f t="shared" si="251"/>
        <v>46071</v>
      </c>
      <c r="E620" s="28">
        <f t="shared" si="252"/>
        <v>46055</v>
      </c>
      <c r="F620" s="28">
        <f t="shared" si="253"/>
        <v>46062</v>
      </c>
      <c r="G620" s="28">
        <f t="shared" si="254"/>
        <v>46068</v>
      </c>
      <c r="H620" s="28">
        <f t="shared" si="255"/>
        <v>46056</v>
      </c>
      <c r="I620" s="28">
        <f t="shared" si="256"/>
        <v>46063</v>
      </c>
      <c r="J620" s="28">
        <v>46080</v>
      </c>
      <c r="K620" s="33">
        <f t="shared" si="257"/>
        <v>32</v>
      </c>
      <c r="L620" s="31">
        <v>10.73</v>
      </c>
      <c r="M620" s="31">
        <v>9.31</v>
      </c>
      <c r="N620" s="1">
        <v>1.42</v>
      </c>
      <c r="O620" s="1" t="s">
        <v>379</v>
      </c>
    </row>
    <row r="621" spans="1:15" x14ac:dyDescent="0.25">
      <c r="A621" s="28">
        <v>46048</v>
      </c>
      <c r="B621" s="1" t="s">
        <v>350</v>
      </c>
      <c r="C621" s="1"/>
      <c r="D621" s="28">
        <f t="shared" si="251"/>
        <v>46071</v>
      </c>
      <c r="E621" s="28">
        <f t="shared" si="252"/>
        <v>46055</v>
      </c>
      <c r="F621" s="28">
        <f t="shared" si="253"/>
        <v>46062</v>
      </c>
      <c r="G621" s="28">
        <f t="shared" si="254"/>
        <v>46068</v>
      </c>
      <c r="H621" s="28">
        <f t="shared" si="255"/>
        <v>46056</v>
      </c>
      <c r="I621" s="28">
        <f t="shared" si="256"/>
        <v>46063</v>
      </c>
      <c r="J621" s="28">
        <v>46080</v>
      </c>
      <c r="K621" s="33">
        <f t="shared" si="257"/>
        <v>32</v>
      </c>
      <c r="L621" s="31">
        <v>9.58</v>
      </c>
      <c r="M621" s="31">
        <v>8.1999999999999993</v>
      </c>
      <c r="N621" s="1">
        <v>1.3800000000000008</v>
      </c>
      <c r="O621" s="1" t="s">
        <v>379</v>
      </c>
    </row>
    <row r="622" spans="1:15" x14ac:dyDescent="0.25">
      <c r="A622" s="28">
        <v>46048</v>
      </c>
      <c r="B622" s="1" t="s">
        <v>351</v>
      </c>
      <c r="C622" s="1"/>
      <c r="D622" s="28">
        <f t="shared" si="251"/>
        <v>46071</v>
      </c>
      <c r="E622" s="28">
        <f t="shared" si="252"/>
        <v>46055</v>
      </c>
      <c r="F622" s="28">
        <f t="shared" si="253"/>
        <v>46062</v>
      </c>
      <c r="G622" s="28">
        <f t="shared" si="254"/>
        <v>46068</v>
      </c>
      <c r="H622" s="28">
        <f t="shared" si="255"/>
        <v>46056</v>
      </c>
      <c r="I622" s="28">
        <f t="shared" si="256"/>
        <v>46063</v>
      </c>
      <c r="J622" s="28">
        <v>46080</v>
      </c>
      <c r="K622" s="33">
        <f t="shared" si="257"/>
        <v>32</v>
      </c>
      <c r="L622" s="31">
        <v>10.71</v>
      </c>
      <c r="M622" s="31">
        <v>9.11</v>
      </c>
      <c r="N622" s="1">
        <v>1.6000000000000014</v>
      </c>
      <c r="O622" s="1" t="s">
        <v>379</v>
      </c>
    </row>
    <row r="623" spans="1:15" x14ac:dyDescent="0.25">
      <c r="A623" s="28">
        <v>46048</v>
      </c>
      <c r="B623" s="1" t="s">
        <v>352</v>
      </c>
      <c r="C623" s="1"/>
      <c r="D623" s="28">
        <f t="shared" si="251"/>
        <v>46071</v>
      </c>
      <c r="E623" s="28">
        <f t="shared" si="252"/>
        <v>46055</v>
      </c>
      <c r="F623" s="28">
        <f t="shared" si="253"/>
        <v>46062</v>
      </c>
      <c r="G623" s="28">
        <f t="shared" si="254"/>
        <v>46068</v>
      </c>
      <c r="H623" s="28">
        <f t="shared" si="255"/>
        <v>46056</v>
      </c>
      <c r="I623" s="28">
        <f t="shared" si="256"/>
        <v>46063</v>
      </c>
      <c r="J623" s="28">
        <v>46080</v>
      </c>
      <c r="K623" s="33">
        <f t="shared" si="257"/>
        <v>32</v>
      </c>
      <c r="L623" s="31">
        <v>11.35</v>
      </c>
      <c r="M623" s="31">
        <v>10.56</v>
      </c>
      <c r="N623" s="1">
        <v>0.78999999999999915</v>
      </c>
      <c r="O623" s="1" t="s">
        <v>379</v>
      </c>
    </row>
    <row r="624" spans="1:15" x14ac:dyDescent="0.25">
      <c r="A624" s="28">
        <v>46049</v>
      </c>
      <c r="B624" s="1" t="s">
        <v>353</v>
      </c>
      <c r="C624" s="1"/>
      <c r="D624" s="28">
        <f t="shared" si="251"/>
        <v>46072</v>
      </c>
      <c r="E624" s="28">
        <f t="shared" si="252"/>
        <v>46056</v>
      </c>
      <c r="F624" s="28">
        <f t="shared" si="253"/>
        <v>46063</v>
      </c>
      <c r="G624" s="28">
        <f t="shared" si="254"/>
        <v>46069</v>
      </c>
      <c r="H624" s="28">
        <f t="shared" si="255"/>
        <v>46057</v>
      </c>
      <c r="I624" s="28">
        <f t="shared" si="256"/>
        <v>46064</v>
      </c>
      <c r="J624" s="28">
        <v>46080</v>
      </c>
      <c r="K624" s="33">
        <f t="shared" si="257"/>
        <v>31</v>
      </c>
      <c r="L624" s="31">
        <v>12.49</v>
      </c>
      <c r="M624" s="31">
        <v>11.81</v>
      </c>
      <c r="N624" s="1">
        <v>0.67999999999999972</v>
      </c>
      <c r="O624" s="1" t="s">
        <v>379</v>
      </c>
    </row>
    <row r="625" spans="1:15" x14ac:dyDescent="0.25">
      <c r="A625" s="28">
        <v>46049</v>
      </c>
      <c r="B625" s="1" t="s">
        <v>354</v>
      </c>
      <c r="C625" s="1"/>
      <c r="D625" s="28">
        <f t="shared" si="251"/>
        <v>46072</v>
      </c>
      <c r="E625" s="28">
        <f t="shared" si="252"/>
        <v>46056</v>
      </c>
      <c r="F625" s="28">
        <f t="shared" si="253"/>
        <v>46063</v>
      </c>
      <c r="G625" s="28">
        <f t="shared" si="254"/>
        <v>46069</v>
      </c>
      <c r="H625" s="28">
        <f t="shared" si="255"/>
        <v>46057</v>
      </c>
      <c r="I625" s="28">
        <f t="shared" si="256"/>
        <v>46064</v>
      </c>
      <c r="J625" s="28">
        <v>46080</v>
      </c>
      <c r="K625" s="33">
        <f t="shared" si="257"/>
        <v>31</v>
      </c>
      <c r="L625" s="31">
        <v>13.62</v>
      </c>
      <c r="M625" s="31">
        <v>12.24</v>
      </c>
      <c r="N625" s="1">
        <v>1.379999999999999</v>
      </c>
      <c r="O625" s="1" t="s">
        <v>379</v>
      </c>
    </row>
    <row r="626" spans="1:15" x14ac:dyDescent="0.25">
      <c r="A626" s="28">
        <v>46049</v>
      </c>
      <c r="B626" s="1" t="s">
        <v>355</v>
      </c>
      <c r="C626" s="1"/>
      <c r="D626" s="28">
        <f t="shared" si="251"/>
        <v>46072</v>
      </c>
      <c r="E626" s="28">
        <f t="shared" si="252"/>
        <v>46056</v>
      </c>
      <c r="F626" s="28">
        <f t="shared" si="253"/>
        <v>46063</v>
      </c>
      <c r="G626" s="28">
        <f t="shared" si="254"/>
        <v>46069</v>
      </c>
      <c r="H626" s="28">
        <f t="shared" si="255"/>
        <v>46057</v>
      </c>
      <c r="I626" s="28">
        <f t="shared" si="256"/>
        <v>46064</v>
      </c>
      <c r="J626" s="28">
        <v>46080</v>
      </c>
      <c r="K626" s="33">
        <f t="shared" si="257"/>
        <v>31</v>
      </c>
      <c r="L626" s="31">
        <v>13.87</v>
      </c>
      <c r="M626" s="31">
        <v>12.56</v>
      </c>
      <c r="N626" s="1">
        <v>1.3099999999999987</v>
      </c>
      <c r="O626" s="1" t="s">
        <v>379</v>
      </c>
    </row>
    <row r="627" spans="1:15" x14ac:dyDescent="0.25">
      <c r="A627" s="28">
        <v>46049</v>
      </c>
      <c r="B627" s="1" t="s">
        <v>356</v>
      </c>
      <c r="C627" s="1"/>
      <c r="D627" s="28">
        <f t="shared" si="251"/>
        <v>46072</v>
      </c>
      <c r="E627" s="28">
        <f t="shared" si="252"/>
        <v>46056</v>
      </c>
      <c r="F627" s="28">
        <f t="shared" si="253"/>
        <v>46063</v>
      </c>
      <c r="G627" s="28">
        <f t="shared" si="254"/>
        <v>46069</v>
      </c>
      <c r="H627" s="28">
        <f t="shared" si="255"/>
        <v>46057</v>
      </c>
      <c r="I627" s="28">
        <f t="shared" si="256"/>
        <v>46064</v>
      </c>
      <c r="J627" s="28">
        <v>46080</v>
      </c>
      <c r="K627" s="33">
        <f t="shared" si="257"/>
        <v>31</v>
      </c>
      <c r="L627" s="31">
        <v>14.26</v>
      </c>
      <c r="M627" s="31">
        <v>13.38</v>
      </c>
      <c r="N627" s="1">
        <v>0.87999999999999901</v>
      </c>
      <c r="O627" s="1" t="s">
        <v>379</v>
      </c>
    </row>
    <row r="628" spans="1:15" x14ac:dyDescent="0.25">
      <c r="A628" s="28">
        <v>46049</v>
      </c>
      <c r="B628" s="1" t="s">
        <v>357</v>
      </c>
      <c r="C628" s="1" t="s">
        <v>399</v>
      </c>
      <c r="D628" s="28">
        <v>46072</v>
      </c>
      <c r="E628" s="28">
        <v>46056</v>
      </c>
      <c r="F628" s="28">
        <v>46063</v>
      </c>
      <c r="G628" s="28">
        <v>46069</v>
      </c>
      <c r="H628" s="28">
        <v>46057</v>
      </c>
      <c r="I628" s="28">
        <v>46064</v>
      </c>
      <c r="J628" s="28">
        <v>46080</v>
      </c>
      <c r="K628" s="33">
        <v>31</v>
      </c>
      <c r="L628" s="31">
        <v>14.19</v>
      </c>
      <c r="M628" s="31">
        <v>13.1</v>
      </c>
      <c r="N628" s="1">
        <v>1.0899999999999999</v>
      </c>
      <c r="O628" s="1" t="s">
        <v>379</v>
      </c>
    </row>
    <row r="629" spans="1:15" x14ac:dyDescent="0.25">
      <c r="A629" s="28">
        <v>46049</v>
      </c>
      <c r="B629" s="1" t="s">
        <v>358</v>
      </c>
      <c r="C629" s="1" t="s">
        <v>400</v>
      </c>
      <c r="D629" s="28">
        <v>46072</v>
      </c>
      <c r="E629" s="28">
        <v>46056</v>
      </c>
      <c r="F629" s="28">
        <v>46063</v>
      </c>
      <c r="G629" s="28">
        <v>46069</v>
      </c>
      <c r="H629" s="28">
        <v>46057</v>
      </c>
      <c r="I629" s="28">
        <v>46064</v>
      </c>
      <c r="J629" s="28">
        <v>46081</v>
      </c>
      <c r="K629" s="1">
        <v>32</v>
      </c>
      <c r="L629" s="31">
        <v>12.67</v>
      </c>
      <c r="M629" s="31">
        <v>11.35</v>
      </c>
      <c r="N629" s="1">
        <v>1.3200000000000003</v>
      </c>
      <c r="O629" s="1" t="s">
        <v>379</v>
      </c>
    </row>
    <row r="630" spans="1:15" x14ac:dyDescent="0.25">
      <c r="A630" s="28">
        <v>46049</v>
      </c>
      <c r="B630" s="1" t="s">
        <v>359</v>
      </c>
      <c r="C630" s="1" t="s">
        <v>401</v>
      </c>
      <c r="D630" s="28">
        <v>46072</v>
      </c>
      <c r="E630" s="28">
        <v>46056</v>
      </c>
      <c r="F630" s="28">
        <v>46063</v>
      </c>
      <c r="G630" s="28">
        <v>46069</v>
      </c>
      <c r="H630" s="28">
        <v>46057</v>
      </c>
      <c r="I630" s="28">
        <v>46064</v>
      </c>
      <c r="J630" s="28">
        <v>46081</v>
      </c>
      <c r="K630" s="1">
        <v>32</v>
      </c>
      <c r="L630" s="31">
        <v>13.06</v>
      </c>
      <c r="M630" s="31">
        <v>11.73</v>
      </c>
      <c r="N630" s="1">
        <v>1.33</v>
      </c>
      <c r="O630" s="1" t="s">
        <v>379</v>
      </c>
    </row>
    <row r="631" spans="1:15" x14ac:dyDescent="0.25">
      <c r="A631" s="28">
        <v>46050</v>
      </c>
      <c r="B631" s="1" t="s">
        <v>360</v>
      </c>
      <c r="C631" s="1" t="s">
        <v>402</v>
      </c>
      <c r="D631" s="28">
        <v>46073</v>
      </c>
      <c r="E631" s="28">
        <v>46057</v>
      </c>
      <c r="F631" s="28">
        <v>46064</v>
      </c>
      <c r="G631" s="28">
        <v>46070</v>
      </c>
      <c r="H631" s="28">
        <v>46058</v>
      </c>
      <c r="I631" s="28">
        <v>46065</v>
      </c>
      <c r="J631" s="28">
        <v>46081</v>
      </c>
      <c r="K631" s="1">
        <v>31</v>
      </c>
      <c r="L631" s="31">
        <v>11.52</v>
      </c>
      <c r="M631" s="31">
        <v>10.28</v>
      </c>
      <c r="N631" s="1">
        <v>1.2400000000000002</v>
      </c>
      <c r="O631" s="1" t="s">
        <v>379</v>
      </c>
    </row>
    <row r="632" spans="1:15" x14ac:dyDescent="0.25">
      <c r="A632" s="28">
        <v>46050</v>
      </c>
      <c r="B632" s="1" t="s">
        <v>361</v>
      </c>
      <c r="C632" s="1" t="s">
        <v>403</v>
      </c>
      <c r="D632" s="28">
        <v>46073</v>
      </c>
      <c r="E632" s="28">
        <v>46057</v>
      </c>
      <c r="F632" s="28">
        <v>46064</v>
      </c>
      <c r="G632" s="28">
        <v>46070</v>
      </c>
      <c r="H632" s="28">
        <v>46058</v>
      </c>
      <c r="I632" s="28">
        <v>46065</v>
      </c>
      <c r="J632" s="28">
        <v>46081</v>
      </c>
      <c r="K632" s="1">
        <v>31</v>
      </c>
      <c r="L632" s="31">
        <v>11.43</v>
      </c>
      <c r="M632" s="31">
        <v>10.15</v>
      </c>
      <c r="N632" s="1">
        <v>1.2799999999999994</v>
      </c>
      <c r="O632" s="1" t="s">
        <v>379</v>
      </c>
    </row>
    <row r="633" spans="1:15" x14ac:dyDescent="0.25">
      <c r="A633" s="28">
        <v>46050</v>
      </c>
      <c r="B633" s="1" t="s">
        <v>362</v>
      </c>
      <c r="C633" s="1" t="s">
        <v>404</v>
      </c>
      <c r="D633" s="28">
        <v>46073</v>
      </c>
      <c r="E633" s="28">
        <v>46057</v>
      </c>
      <c r="F633" s="28">
        <v>46064</v>
      </c>
      <c r="G633" s="28">
        <v>46070</v>
      </c>
      <c r="H633" s="28">
        <v>46058</v>
      </c>
      <c r="I633" s="28">
        <v>46065</v>
      </c>
      <c r="J633" s="28">
        <v>46081</v>
      </c>
      <c r="K633" s="1">
        <v>31</v>
      </c>
      <c r="L633" s="31">
        <v>12.58</v>
      </c>
      <c r="M633" s="31">
        <v>11.21</v>
      </c>
      <c r="N633" s="1">
        <v>1.3699999999999992</v>
      </c>
      <c r="O633" s="1" t="s">
        <v>379</v>
      </c>
    </row>
    <row r="634" spans="1:15" x14ac:dyDescent="0.25">
      <c r="A634" s="28">
        <v>46050</v>
      </c>
      <c r="B634" s="1" t="s">
        <v>363</v>
      </c>
      <c r="C634" s="1" t="s">
        <v>405</v>
      </c>
      <c r="D634" s="28">
        <v>46073</v>
      </c>
      <c r="E634" s="28">
        <v>46057</v>
      </c>
      <c r="F634" s="28">
        <v>46064</v>
      </c>
      <c r="G634" s="28">
        <v>46070</v>
      </c>
      <c r="H634" s="28">
        <v>46058</v>
      </c>
      <c r="I634" s="28">
        <v>46065</v>
      </c>
      <c r="J634" s="28">
        <v>46081</v>
      </c>
      <c r="K634" s="1">
        <v>31</v>
      </c>
      <c r="L634" s="31">
        <v>10.17</v>
      </c>
      <c r="M634" s="31">
        <v>9.9700000000000006</v>
      </c>
      <c r="N634" s="1">
        <v>0.19999999999999929</v>
      </c>
      <c r="O634" s="1" t="s">
        <v>379</v>
      </c>
    </row>
    <row r="635" spans="1:15" x14ac:dyDescent="0.25">
      <c r="A635" s="28">
        <v>46050</v>
      </c>
      <c r="B635" s="1" t="s">
        <v>364</v>
      </c>
      <c r="C635" s="1" t="s">
        <v>406</v>
      </c>
      <c r="D635" s="28">
        <v>46073</v>
      </c>
      <c r="E635" s="28">
        <v>46057</v>
      </c>
      <c r="F635" s="28">
        <v>46064</v>
      </c>
      <c r="G635" s="28">
        <v>46070</v>
      </c>
      <c r="H635" s="28">
        <v>46058</v>
      </c>
      <c r="I635" s="28">
        <v>46065</v>
      </c>
      <c r="J635" s="28">
        <v>46081</v>
      </c>
      <c r="K635" s="1">
        <v>31</v>
      </c>
      <c r="L635" s="31">
        <v>10.86</v>
      </c>
      <c r="M635" s="31">
        <v>9.2799999999999994</v>
      </c>
      <c r="N635" s="1">
        <v>1.58</v>
      </c>
      <c r="O635" s="1" t="s">
        <v>379</v>
      </c>
    </row>
    <row r="636" spans="1:15" x14ac:dyDescent="0.25">
      <c r="A636" s="28">
        <v>46050</v>
      </c>
      <c r="B636" s="1" t="s">
        <v>365</v>
      </c>
      <c r="C636" s="1" t="s">
        <v>407</v>
      </c>
      <c r="D636" s="28">
        <v>46073</v>
      </c>
      <c r="E636" s="28">
        <v>46057</v>
      </c>
      <c r="F636" s="28">
        <v>46064</v>
      </c>
      <c r="G636" s="28">
        <v>46070</v>
      </c>
      <c r="H636" s="28">
        <v>46058</v>
      </c>
      <c r="I636" s="28">
        <v>46065</v>
      </c>
      <c r="J636" s="28">
        <v>46081</v>
      </c>
      <c r="K636" s="33">
        <v>31</v>
      </c>
      <c r="L636" s="39">
        <v>11.73</v>
      </c>
      <c r="M636" s="39">
        <v>11.15</v>
      </c>
      <c r="N636" s="40">
        <v>0.58000000000000007</v>
      </c>
      <c r="O636" s="32" t="s">
        <v>379</v>
      </c>
    </row>
    <row r="637" spans="1:15" x14ac:dyDescent="0.25">
      <c r="A637" s="28">
        <v>46050</v>
      </c>
      <c r="B637" s="1" t="s">
        <v>390</v>
      </c>
      <c r="C637" s="1" t="s">
        <v>408</v>
      </c>
      <c r="D637" s="28">
        <v>46073</v>
      </c>
      <c r="E637" s="28">
        <v>46057</v>
      </c>
      <c r="F637" s="28">
        <v>46064</v>
      </c>
      <c r="G637" s="28">
        <v>46070</v>
      </c>
      <c r="H637" s="28">
        <v>46058</v>
      </c>
      <c r="I637" s="28">
        <v>46065</v>
      </c>
      <c r="J637" s="28">
        <v>46079</v>
      </c>
      <c r="K637" s="33">
        <v>29</v>
      </c>
      <c r="L637" s="39">
        <v>12.39</v>
      </c>
      <c r="M637" s="39">
        <v>11.1</v>
      </c>
      <c r="N637" s="40">
        <v>1.2900000000000009</v>
      </c>
      <c r="O637" s="32" t="s">
        <v>379</v>
      </c>
    </row>
    <row r="638" spans="1:15" x14ac:dyDescent="0.25">
      <c r="A638" s="28">
        <v>46051</v>
      </c>
      <c r="B638" s="1" t="s">
        <v>250</v>
      </c>
      <c r="C638" s="1" t="s">
        <v>409</v>
      </c>
      <c r="D638" s="28">
        <v>46074</v>
      </c>
      <c r="E638" s="28">
        <v>46058</v>
      </c>
      <c r="F638" s="28">
        <v>46065</v>
      </c>
      <c r="G638" s="28">
        <v>46071</v>
      </c>
      <c r="H638" s="28">
        <v>46059</v>
      </c>
      <c r="I638" s="28">
        <v>46066</v>
      </c>
      <c r="J638" s="28">
        <v>46076</v>
      </c>
      <c r="K638" s="33">
        <v>25</v>
      </c>
      <c r="L638" s="31">
        <v>14.27</v>
      </c>
      <c r="M638" s="31">
        <v>13.11</v>
      </c>
      <c r="N638" s="1">
        <v>1.1600000000000001</v>
      </c>
      <c r="O638" s="1" t="s">
        <v>379</v>
      </c>
    </row>
    <row r="639" spans="1:15" x14ac:dyDescent="0.25">
      <c r="A639" s="28">
        <v>46051</v>
      </c>
      <c r="B639" s="1" t="s">
        <v>251</v>
      </c>
      <c r="C639" s="1" t="s">
        <v>410</v>
      </c>
      <c r="D639" s="28">
        <v>46074</v>
      </c>
      <c r="E639" s="28">
        <v>46058</v>
      </c>
      <c r="F639" s="28">
        <v>46065</v>
      </c>
      <c r="G639" s="28">
        <v>46071</v>
      </c>
      <c r="H639" s="28">
        <v>46059</v>
      </c>
      <c r="I639" s="28">
        <v>46066</v>
      </c>
      <c r="J639" s="28">
        <v>46076</v>
      </c>
      <c r="K639" s="33">
        <v>25</v>
      </c>
      <c r="L639" s="31">
        <v>15.31</v>
      </c>
      <c r="M639" s="31">
        <v>14.19</v>
      </c>
      <c r="N639" s="1">
        <v>1.120000000000001</v>
      </c>
      <c r="O639" s="1" t="s">
        <v>379</v>
      </c>
    </row>
    <row r="640" spans="1:15" x14ac:dyDescent="0.25">
      <c r="A640" s="28">
        <v>46051</v>
      </c>
      <c r="B640" s="1" t="s">
        <v>252</v>
      </c>
      <c r="C640" s="1" t="s">
        <v>411</v>
      </c>
      <c r="D640" s="28">
        <v>46074</v>
      </c>
      <c r="E640" s="28">
        <v>46058</v>
      </c>
      <c r="F640" s="28">
        <v>46065</v>
      </c>
      <c r="G640" s="28">
        <v>46071</v>
      </c>
      <c r="H640" s="28">
        <v>46059</v>
      </c>
      <c r="I640" s="28">
        <v>46066</v>
      </c>
      <c r="J640" s="28">
        <v>46077</v>
      </c>
      <c r="K640" s="33">
        <v>26</v>
      </c>
      <c r="L640" s="31">
        <v>14.51</v>
      </c>
      <c r="M640" s="31">
        <v>13.54</v>
      </c>
      <c r="N640" s="1">
        <v>0.97000000000000064</v>
      </c>
      <c r="O640" s="1" t="s">
        <v>379</v>
      </c>
    </row>
    <row r="641" spans="1:15" x14ac:dyDescent="0.25">
      <c r="A641" s="28">
        <v>46051</v>
      </c>
      <c r="B641" s="1" t="s">
        <v>253</v>
      </c>
      <c r="C641" s="1" t="s">
        <v>412</v>
      </c>
      <c r="D641" s="28">
        <v>46074</v>
      </c>
      <c r="E641" s="28">
        <v>46058</v>
      </c>
      <c r="F641" s="28">
        <v>46065</v>
      </c>
      <c r="G641" s="28">
        <v>46071</v>
      </c>
      <c r="H641" s="28">
        <v>46059</v>
      </c>
      <c r="I641" s="28">
        <v>46066</v>
      </c>
      <c r="J641" s="28">
        <v>46077</v>
      </c>
      <c r="K641" s="33">
        <v>26</v>
      </c>
      <c r="L641" s="31">
        <v>13.64</v>
      </c>
      <c r="M641" s="31">
        <v>12.72</v>
      </c>
      <c r="N641" s="1">
        <v>0.91999999999999993</v>
      </c>
      <c r="O641" s="1" t="s">
        <v>379</v>
      </c>
    </row>
    <row r="642" spans="1:15" x14ac:dyDescent="0.25">
      <c r="A642" s="28">
        <v>46051</v>
      </c>
      <c r="B642" s="1" t="s">
        <v>254</v>
      </c>
      <c r="C642" s="1" t="s">
        <v>413</v>
      </c>
      <c r="D642" s="28">
        <v>46074</v>
      </c>
      <c r="E642" s="28">
        <v>46058</v>
      </c>
      <c r="F642" s="28">
        <v>46065</v>
      </c>
      <c r="G642" s="28">
        <v>46071</v>
      </c>
      <c r="H642" s="28">
        <v>46059</v>
      </c>
      <c r="I642" s="28">
        <v>46066</v>
      </c>
      <c r="J642" s="28">
        <v>46077</v>
      </c>
      <c r="K642" s="33">
        <v>26</v>
      </c>
      <c r="L642" s="31">
        <v>15.37</v>
      </c>
      <c r="M642" s="31">
        <v>14.26</v>
      </c>
      <c r="N642" s="1">
        <v>1.1099999999999994</v>
      </c>
      <c r="O642" s="1" t="s">
        <v>379</v>
      </c>
    </row>
    <row r="643" spans="1:15" x14ac:dyDescent="0.25">
      <c r="A643" s="28">
        <v>46051</v>
      </c>
      <c r="B643" s="1" t="s">
        <v>255</v>
      </c>
      <c r="C643" s="1" t="s">
        <v>414</v>
      </c>
      <c r="D643" s="28">
        <v>46074</v>
      </c>
      <c r="E643" s="28">
        <v>46058</v>
      </c>
      <c r="F643" s="28">
        <v>46065</v>
      </c>
      <c r="G643" s="28">
        <v>46071</v>
      </c>
      <c r="H643" s="28">
        <v>46059</v>
      </c>
      <c r="I643" s="28">
        <v>46066</v>
      </c>
      <c r="J643" s="28">
        <v>46078</v>
      </c>
      <c r="K643" s="1">
        <v>27</v>
      </c>
      <c r="L643" s="31">
        <v>13.48</v>
      </c>
      <c r="M643" s="31">
        <v>12.73</v>
      </c>
      <c r="N643" s="1">
        <v>0.75</v>
      </c>
      <c r="O643" s="1" t="s">
        <v>379</v>
      </c>
    </row>
    <row r="644" spans="1:15" x14ac:dyDescent="0.25">
      <c r="A644" s="28">
        <v>46051</v>
      </c>
      <c r="B644" s="1" t="s">
        <v>256</v>
      </c>
      <c r="C644" s="1" t="s">
        <v>415</v>
      </c>
      <c r="D644" s="28">
        <v>46074</v>
      </c>
      <c r="E644" s="28">
        <v>46058</v>
      </c>
      <c r="F644" s="28">
        <v>46065</v>
      </c>
      <c r="G644" s="28">
        <v>46071</v>
      </c>
      <c r="H644" s="28">
        <v>46059</v>
      </c>
      <c r="I644" s="28">
        <v>46066</v>
      </c>
      <c r="J644" s="28">
        <v>46078</v>
      </c>
      <c r="K644" s="1">
        <v>27</v>
      </c>
      <c r="L644" s="31">
        <v>13.16</v>
      </c>
      <c r="M644" s="31">
        <v>12.26</v>
      </c>
      <c r="N644" s="1">
        <v>0.90000000000000036</v>
      </c>
      <c r="O644" s="1" t="s">
        <v>379</v>
      </c>
    </row>
    <row r="645" spans="1:15" x14ac:dyDescent="0.25">
      <c r="A645" s="28">
        <v>46052</v>
      </c>
      <c r="B645" s="1" t="s">
        <v>213</v>
      </c>
      <c r="C645" s="1" t="s">
        <v>416</v>
      </c>
      <c r="D645" s="28">
        <v>46075</v>
      </c>
      <c r="E645" s="28">
        <v>46059</v>
      </c>
      <c r="F645" s="28">
        <v>46066</v>
      </c>
      <c r="G645" s="28">
        <v>46072</v>
      </c>
      <c r="H645" s="28">
        <v>46060</v>
      </c>
      <c r="I645" s="28">
        <v>46067</v>
      </c>
      <c r="J645" s="28">
        <v>46082</v>
      </c>
      <c r="K645" s="1">
        <v>30</v>
      </c>
      <c r="L645" s="31">
        <v>13.58</v>
      </c>
      <c r="M645" s="31">
        <v>12.35</v>
      </c>
      <c r="N645" s="1">
        <v>1.2300000000000004</v>
      </c>
      <c r="O645" s="1" t="s">
        <v>379</v>
      </c>
    </row>
    <row r="646" spans="1:15" x14ac:dyDescent="0.25">
      <c r="A646" s="28">
        <v>46052</v>
      </c>
      <c r="B646" s="1" t="s">
        <v>214</v>
      </c>
      <c r="C646" s="1" t="s">
        <v>417</v>
      </c>
      <c r="D646" s="28">
        <v>46075</v>
      </c>
      <c r="E646" s="28">
        <v>46059</v>
      </c>
      <c r="F646" s="28">
        <v>46066</v>
      </c>
      <c r="G646" s="28">
        <v>46072</v>
      </c>
      <c r="H646" s="28">
        <v>46060</v>
      </c>
      <c r="I646" s="28">
        <v>46067</v>
      </c>
      <c r="J646" s="28">
        <v>46082</v>
      </c>
      <c r="K646" s="1">
        <v>30</v>
      </c>
      <c r="L646" s="31">
        <v>13.92</v>
      </c>
      <c r="M646" s="31">
        <v>12.73</v>
      </c>
      <c r="N646" s="1">
        <v>1.1899999999999995</v>
      </c>
      <c r="O646" s="1" t="s">
        <v>379</v>
      </c>
    </row>
    <row r="647" spans="1:15" x14ac:dyDescent="0.25">
      <c r="A647" s="28">
        <v>46052</v>
      </c>
      <c r="B647" s="1" t="s">
        <v>215</v>
      </c>
      <c r="C647" s="1" t="s">
        <v>418</v>
      </c>
      <c r="D647" s="28">
        <v>46075</v>
      </c>
      <c r="E647" s="28">
        <v>46059</v>
      </c>
      <c r="F647" s="28">
        <v>46066</v>
      </c>
      <c r="G647" s="28">
        <v>46072</v>
      </c>
      <c r="H647" s="28">
        <v>46060</v>
      </c>
      <c r="I647" s="28">
        <v>46067</v>
      </c>
      <c r="J647" s="28">
        <v>46082</v>
      </c>
      <c r="K647" s="1">
        <v>30</v>
      </c>
      <c r="L647" s="31">
        <v>14.41</v>
      </c>
      <c r="M647" s="31">
        <v>13.1</v>
      </c>
      <c r="N647" s="1">
        <v>1.3100000000000005</v>
      </c>
      <c r="O647" s="1" t="s">
        <v>379</v>
      </c>
    </row>
    <row r="648" spans="1:15" x14ac:dyDescent="0.25">
      <c r="A648" s="28">
        <v>46052</v>
      </c>
      <c r="B648" s="1" t="s">
        <v>216</v>
      </c>
      <c r="C648" s="1" t="s">
        <v>419</v>
      </c>
      <c r="D648" s="28">
        <v>46075</v>
      </c>
      <c r="E648" s="28">
        <v>46059</v>
      </c>
      <c r="F648" s="28">
        <v>46066</v>
      </c>
      <c r="G648" s="28">
        <v>46072</v>
      </c>
      <c r="H648" s="28">
        <v>46060</v>
      </c>
      <c r="I648" s="28">
        <v>46067</v>
      </c>
      <c r="J648" s="28">
        <v>46082</v>
      </c>
      <c r="K648" s="1">
        <v>30</v>
      </c>
      <c r="L648" s="31">
        <v>13.83</v>
      </c>
      <c r="M648" s="31">
        <v>12.54</v>
      </c>
      <c r="N648" s="1">
        <v>1.2900000000000009</v>
      </c>
      <c r="O648" s="1" t="s">
        <v>379</v>
      </c>
    </row>
    <row r="649" spans="1:15" x14ac:dyDescent="0.25">
      <c r="A649" s="28">
        <v>46052</v>
      </c>
      <c r="B649" s="1" t="s">
        <v>217</v>
      </c>
      <c r="C649" s="1" t="s">
        <v>420</v>
      </c>
      <c r="D649" s="28">
        <v>46075</v>
      </c>
      <c r="E649" s="28">
        <v>46059</v>
      </c>
      <c r="F649" s="28">
        <v>46066</v>
      </c>
      <c r="G649" s="28">
        <v>46072</v>
      </c>
      <c r="H649" s="28">
        <v>46060</v>
      </c>
      <c r="I649" s="28">
        <v>46067</v>
      </c>
      <c r="J649" s="28">
        <v>46082</v>
      </c>
      <c r="K649" s="1">
        <v>30</v>
      </c>
      <c r="L649" s="31">
        <v>13.67</v>
      </c>
      <c r="M649" s="31">
        <v>12.19</v>
      </c>
      <c r="N649" s="1">
        <v>1.4800000000000004</v>
      </c>
      <c r="O649" s="1" t="s">
        <v>379</v>
      </c>
    </row>
    <row r="650" spans="1:15" x14ac:dyDescent="0.25">
      <c r="A650" s="28">
        <v>46052</v>
      </c>
      <c r="B650" s="1" t="s">
        <v>218</v>
      </c>
      <c r="C650" s="1" t="s">
        <v>421</v>
      </c>
      <c r="D650" s="28">
        <v>46075</v>
      </c>
      <c r="E650" s="28">
        <v>46059</v>
      </c>
      <c r="F650" s="28">
        <v>46066</v>
      </c>
      <c r="G650" s="28">
        <v>46072</v>
      </c>
      <c r="H650" s="28">
        <v>46060</v>
      </c>
      <c r="I650" s="28">
        <v>46067</v>
      </c>
      <c r="J650" s="28">
        <v>46081</v>
      </c>
      <c r="K650" s="1">
        <v>29</v>
      </c>
      <c r="L650" s="31">
        <v>13.89</v>
      </c>
      <c r="M650" s="31">
        <v>12.26</v>
      </c>
      <c r="N650" s="1">
        <v>1.6300000000000008</v>
      </c>
      <c r="O650" s="1" t="s">
        <v>379</v>
      </c>
    </row>
    <row r="651" spans="1:15" x14ac:dyDescent="0.25">
      <c r="A651" s="28">
        <v>46052</v>
      </c>
      <c r="B651" s="1" t="s">
        <v>219</v>
      </c>
      <c r="C651" s="1" t="s">
        <v>422</v>
      </c>
      <c r="D651" s="28">
        <v>46075</v>
      </c>
      <c r="E651" s="28">
        <v>46059</v>
      </c>
      <c r="F651" s="28">
        <v>46066</v>
      </c>
      <c r="G651" s="28">
        <v>46072</v>
      </c>
      <c r="H651" s="28">
        <v>46060</v>
      </c>
      <c r="I651" s="28">
        <v>46067</v>
      </c>
      <c r="J651" s="28">
        <v>46081</v>
      </c>
      <c r="K651" s="1">
        <v>29</v>
      </c>
      <c r="L651" s="31">
        <v>13.42</v>
      </c>
      <c r="M651" s="31">
        <v>12.51</v>
      </c>
      <c r="N651" s="1">
        <v>0.91000000000000014</v>
      </c>
      <c r="O651" s="1" t="s">
        <v>379</v>
      </c>
    </row>
    <row r="652" spans="1:15" x14ac:dyDescent="0.25">
      <c r="A652" s="28">
        <v>46053</v>
      </c>
      <c r="B652" s="1" t="s">
        <v>243</v>
      </c>
      <c r="C652" s="1" t="s">
        <v>423</v>
      </c>
      <c r="D652" s="28">
        <v>46076</v>
      </c>
      <c r="E652" s="28">
        <v>46060</v>
      </c>
      <c r="F652" s="28">
        <v>46067</v>
      </c>
      <c r="G652" s="28">
        <v>46073</v>
      </c>
      <c r="H652" s="28">
        <v>46061</v>
      </c>
      <c r="I652" s="28">
        <v>46068</v>
      </c>
      <c r="J652" s="28">
        <v>46083</v>
      </c>
      <c r="K652" s="1">
        <v>30</v>
      </c>
      <c r="L652" s="31">
        <v>13.39</v>
      </c>
      <c r="M652" s="31">
        <v>12.71</v>
      </c>
      <c r="N652" s="1">
        <v>0.67999999999999972</v>
      </c>
      <c r="O652" s="1" t="s">
        <v>379</v>
      </c>
    </row>
    <row r="653" spans="1:15" x14ac:dyDescent="0.25">
      <c r="A653" s="28">
        <v>46053</v>
      </c>
      <c r="B653" s="1" t="s">
        <v>244</v>
      </c>
      <c r="C653" s="1" t="s">
        <v>424</v>
      </c>
      <c r="D653" s="28">
        <v>46076</v>
      </c>
      <c r="E653" s="28">
        <v>46060</v>
      </c>
      <c r="F653" s="28">
        <v>46067</v>
      </c>
      <c r="G653" s="28">
        <v>46073</v>
      </c>
      <c r="H653" s="28">
        <v>46061</v>
      </c>
      <c r="I653" s="28">
        <v>46068</v>
      </c>
      <c r="J653" s="28">
        <v>46083</v>
      </c>
      <c r="K653" s="1">
        <v>30</v>
      </c>
      <c r="L653" s="31">
        <v>13.65</v>
      </c>
      <c r="M653" s="31">
        <v>12.54</v>
      </c>
      <c r="N653" s="1">
        <v>1.1100000000000012</v>
      </c>
      <c r="O653" s="1" t="s">
        <v>379</v>
      </c>
    </row>
    <row r="654" spans="1:15" x14ac:dyDescent="0.25">
      <c r="A654" s="28">
        <v>46053</v>
      </c>
      <c r="B654" s="1" t="s">
        <v>245</v>
      </c>
      <c r="C654" s="1" t="s">
        <v>425</v>
      </c>
      <c r="D654" s="28">
        <v>46076</v>
      </c>
      <c r="E654" s="28">
        <v>46060</v>
      </c>
      <c r="F654" s="28">
        <v>46067</v>
      </c>
      <c r="G654" s="28">
        <v>46073</v>
      </c>
      <c r="H654" s="28">
        <v>46061</v>
      </c>
      <c r="I654" s="28">
        <v>46068</v>
      </c>
      <c r="J654" s="28">
        <v>46083</v>
      </c>
      <c r="K654" s="1">
        <v>30</v>
      </c>
      <c r="L654" s="31">
        <v>12.43</v>
      </c>
      <c r="M654" s="31">
        <v>11.28</v>
      </c>
      <c r="N654" s="1">
        <v>1.1500000000000004</v>
      </c>
      <c r="O654" s="1" t="s">
        <v>379</v>
      </c>
    </row>
    <row r="655" spans="1:15" x14ac:dyDescent="0.25">
      <c r="A655" s="28">
        <v>46053</v>
      </c>
      <c r="B655" s="1" t="s">
        <v>246</v>
      </c>
      <c r="C655" s="1" t="s">
        <v>426</v>
      </c>
      <c r="D655" s="28">
        <v>46076</v>
      </c>
      <c r="E655" s="28">
        <v>46060</v>
      </c>
      <c r="F655" s="28">
        <v>46067</v>
      </c>
      <c r="G655" s="28">
        <v>46073</v>
      </c>
      <c r="H655" s="28">
        <v>46061</v>
      </c>
      <c r="I655" s="28">
        <v>46068</v>
      </c>
      <c r="J655" s="28">
        <v>46083</v>
      </c>
      <c r="K655" s="1">
        <v>30</v>
      </c>
      <c r="L655" s="31">
        <v>13.86</v>
      </c>
      <c r="M655" s="31">
        <v>12.41</v>
      </c>
      <c r="N655" s="1">
        <v>1.4499999999999993</v>
      </c>
      <c r="O655" s="1" t="s">
        <v>379</v>
      </c>
    </row>
    <row r="656" spans="1:15" x14ac:dyDescent="0.25">
      <c r="A656" s="28">
        <v>46053</v>
      </c>
      <c r="B656" s="1" t="s">
        <v>247</v>
      </c>
      <c r="C656" s="1" t="s">
        <v>427</v>
      </c>
      <c r="D656" s="28">
        <v>46076</v>
      </c>
      <c r="E656" s="28">
        <v>46060</v>
      </c>
      <c r="F656" s="28">
        <v>46067</v>
      </c>
      <c r="G656" s="28">
        <v>46073</v>
      </c>
      <c r="H656" s="28">
        <v>46061</v>
      </c>
      <c r="I656" s="28">
        <v>46068</v>
      </c>
      <c r="J656" s="28">
        <v>46083</v>
      </c>
      <c r="K656" s="1">
        <v>30</v>
      </c>
      <c r="L656" s="31">
        <v>13.71</v>
      </c>
      <c r="M656" s="31">
        <v>12.34</v>
      </c>
      <c r="N656" s="1">
        <v>1.370000000000001</v>
      </c>
      <c r="O656" s="1" t="s">
        <v>379</v>
      </c>
    </row>
    <row r="657" spans="1:15" x14ac:dyDescent="0.25">
      <c r="A657" s="28">
        <v>46053</v>
      </c>
      <c r="B657" s="1" t="s">
        <v>248</v>
      </c>
      <c r="C657" s="1" t="s">
        <v>428</v>
      </c>
      <c r="D657" s="28">
        <v>46076</v>
      </c>
      <c r="E657" s="28">
        <v>46060</v>
      </c>
      <c r="F657" s="28">
        <v>46067</v>
      </c>
      <c r="G657" s="28">
        <v>46073</v>
      </c>
      <c r="H657" s="28">
        <v>46061</v>
      </c>
      <c r="I657" s="28">
        <v>46068</v>
      </c>
      <c r="J657" s="28">
        <v>46082</v>
      </c>
      <c r="K657" s="1">
        <v>29</v>
      </c>
      <c r="L657" s="31">
        <v>13.54</v>
      </c>
      <c r="M657" s="31">
        <v>12.68</v>
      </c>
      <c r="N657" s="1">
        <v>0.85999999999999943</v>
      </c>
      <c r="O657" s="1" t="s">
        <v>379</v>
      </c>
    </row>
    <row r="658" spans="1:15" x14ac:dyDescent="0.25">
      <c r="A658" s="28">
        <v>46053</v>
      </c>
      <c r="B658" s="1" t="s">
        <v>249</v>
      </c>
      <c r="C658" s="1" t="s">
        <v>429</v>
      </c>
      <c r="D658" s="28">
        <v>46076</v>
      </c>
      <c r="E658" s="28">
        <v>46060</v>
      </c>
      <c r="F658" s="28">
        <v>46067</v>
      </c>
      <c r="G658" s="28">
        <v>46073</v>
      </c>
      <c r="H658" s="28">
        <v>46061</v>
      </c>
      <c r="I658" s="28">
        <v>46068</v>
      </c>
      <c r="J658" s="28">
        <v>46082</v>
      </c>
      <c r="K658" s="1">
        <v>29</v>
      </c>
      <c r="L658" s="31">
        <v>14.72</v>
      </c>
      <c r="M658" s="31">
        <v>13.24</v>
      </c>
      <c r="N658" s="1">
        <v>1.4800000000000004</v>
      </c>
      <c r="O658" s="1" t="s">
        <v>379</v>
      </c>
    </row>
    <row r="659" spans="1:15" x14ac:dyDescent="0.25">
      <c r="A659" s="28">
        <v>46054</v>
      </c>
      <c r="B659" s="1" t="s">
        <v>206</v>
      </c>
      <c r="C659" s="1" t="s">
        <v>430</v>
      </c>
      <c r="D659" s="28">
        <v>46077</v>
      </c>
      <c r="E659" s="28">
        <v>46061</v>
      </c>
      <c r="F659" s="28">
        <v>46068</v>
      </c>
      <c r="G659" s="28">
        <v>46074</v>
      </c>
      <c r="H659" s="28">
        <v>46062</v>
      </c>
      <c r="I659" s="28">
        <v>46069</v>
      </c>
      <c r="J659" s="28">
        <v>46084</v>
      </c>
      <c r="K659" s="1">
        <v>30</v>
      </c>
      <c r="L659" s="31">
        <v>12.67</v>
      </c>
      <c r="M659" s="31">
        <v>11.54</v>
      </c>
      <c r="N659" s="1">
        <v>1.1300000000000008</v>
      </c>
      <c r="O659" s="1" t="s">
        <v>379</v>
      </c>
    </row>
    <row r="660" spans="1:15" x14ac:dyDescent="0.25">
      <c r="A660" s="28">
        <v>46054</v>
      </c>
      <c r="B660" s="1" t="s">
        <v>207</v>
      </c>
      <c r="C660" s="1" t="s">
        <v>431</v>
      </c>
      <c r="D660" s="28">
        <v>46077</v>
      </c>
      <c r="E660" s="28">
        <v>46061</v>
      </c>
      <c r="F660" s="28">
        <v>46068</v>
      </c>
      <c r="G660" s="28">
        <v>46074</v>
      </c>
      <c r="H660" s="28">
        <v>46062</v>
      </c>
      <c r="I660" s="28">
        <v>46069</v>
      </c>
      <c r="J660" s="28">
        <v>46084</v>
      </c>
      <c r="K660" s="1">
        <v>30</v>
      </c>
      <c r="L660" s="31">
        <v>13.46</v>
      </c>
      <c r="M660" s="31">
        <v>12.72</v>
      </c>
      <c r="N660" s="1">
        <v>0.74000000000000021</v>
      </c>
      <c r="O660" s="1" t="s">
        <v>379</v>
      </c>
    </row>
    <row r="661" spans="1:15" x14ac:dyDescent="0.25">
      <c r="A661" s="28">
        <v>46054</v>
      </c>
      <c r="B661" s="1" t="s">
        <v>208</v>
      </c>
      <c r="C661" s="1" t="s">
        <v>432</v>
      </c>
      <c r="D661" s="28">
        <v>46077</v>
      </c>
      <c r="E661" s="28">
        <v>46061</v>
      </c>
      <c r="F661" s="28">
        <v>46068</v>
      </c>
      <c r="G661" s="28">
        <v>46074</v>
      </c>
      <c r="H661" s="28">
        <v>46062</v>
      </c>
      <c r="I661" s="28">
        <v>46069</v>
      </c>
      <c r="J661" s="28">
        <v>46084</v>
      </c>
      <c r="K661" s="1">
        <v>30</v>
      </c>
      <c r="L661" s="31">
        <v>13.58</v>
      </c>
      <c r="M661" s="31">
        <v>12.16</v>
      </c>
      <c r="N661" s="1">
        <v>1.42</v>
      </c>
      <c r="O661" s="1" t="s">
        <v>379</v>
      </c>
    </row>
    <row r="662" spans="1:15" x14ac:dyDescent="0.25">
      <c r="A662" s="28">
        <v>46054</v>
      </c>
      <c r="B662" s="1" t="s">
        <v>209</v>
      </c>
      <c r="C662" s="1" t="s">
        <v>433</v>
      </c>
      <c r="D662" s="28">
        <v>46077</v>
      </c>
      <c r="E662" s="28">
        <v>46061</v>
      </c>
      <c r="F662" s="28">
        <v>46068</v>
      </c>
      <c r="G662" s="28">
        <v>46074</v>
      </c>
      <c r="H662" s="28">
        <v>46062</v>
      </c>
      <c r="I662" s="28">
        <v>46069</v>
      </c>
      <c r="J662" s="28">
        <v>46083</v>
      </c>
      <c r="K662" s="1">
        <v>29</v>
      </c>
      <c r="L662" s="31">
        <v>13.72</v>
      </c>
      <c r="M662" s="31">
        <v>12.63</v>
      </c>
      <c r="N662" s="1">
        <v>1.0899999999999999</v>
      </c>
      <c r="O662" s="1" t="s">
        <v>379</v>
      </c>
    </row>
    <row r="663" spans="1:15" x14ac:dyDescent="0.25">
      <c r="A663" s="28">
        <v>46054</v>
      </c>
      <c r="B663" s="1" t="s">
        <v>210</v>
      </c>
      <c r="C663" s="1" t="s">
        <v>434</v>
      </c>
      <c r="D663" s="28">
        <v>46077</v>
      </c>
      <c r="E663" s="28">
        <v>46061</v>
      </c>
      <c r="F663" s="28">
        <v>46068</v>
      </c>
      <c r="G663" s="28">
        <v>46074</v>
      </c>
      <c r="H663" s="28">
        <v>46062</v>
      </c>
      <c r="I663" s="28">
        <v>46069</v>
      </c>
      <c r="J663" s="28">
        <v>46083</v>
      </c>
      <c r="K663" s="1">
        <v>29</v>
      </c>
      <c r="L663" s="31">
        <v>14.19</v>
      </c>
      <c r="M663" s="31">
        <v>13.16</v>
      </c>
      <c r="N663" s="1">
        <v>1.0299999999999994</v>
      </c>
      <c r="O663" s="1" t="s">
        <v>379</v>
      </c>
    </row>
    <row r="664" spans="1:15" x14ac:dyDescent="0.25">
      <c r="A664" s="28">
        <v>46054</v>
      </c>
      <c r="B664" s="1" t="s">
        <v>211</v>
      </c>
      <c r="C664" s="1" t="s">
        <v>435</v>
      </c>
      <c r="D664" s="28">
        <v>46077</v>
      </c>
      <c r="E664" s="28">
        <v>46061</v>
      </c>
      <c r="F664" s="28">
        <v>46068</v>
      </c>
      <c r="G664" s="28">
        <v>46074</v>
      </c>
      <c r="H664" s="28">
        <v>46062</v>
      </c>
      <c r="I664" s="28">
        <v>46069</v>
      </c>
      <c r="J664" s="28">
        <v>46084</v>
      </c>
      <c r="K664" s="1">
        <v>30</v>
      </c>
      <c r="L664" s="31">
        <v>12.81</v>
      </c>
      <c r="M664" s="31">
        <v>11.27</v>
      </c>
      <c r="N664" s="1">
        <v>1.5400000000000009</v>
      </c>
      <c r="O664" s="1" t="s">
        <v>379</v>
      </c>
    </row>
    <row r="665" spans="1:15" x14ac:dyDescent="0.25">
      <c r="A665" s="28">
        <v>46054</v>
      </c>
      <c r="B665" s="1" t="s">
        <v>212</v>
      </c>
      <c r="C665" s="1" t="s">
        <v>436</v>
      </c>
      <c r="D665" s="28">
        <v>46077</v>
      </c>
      <c r="E665" s="28">
        <v>46061</v>
      </c>
      <c r="F665" s="28">
        <v>46068</v>
      </c>
      <c r="G665" s="28">
        <v>46074</v>
      </c>
      <c r="H665" s="28">
        <v>46062</v>
      </c>
      <c r="I665" s="28">
        <v>46069</v>
      </c>
      <c r="J665" s="28">
        <v>46083</v>
      </c>
      <c r="K665" s="1">
        <v>29</v>
      </c>
      <c r="L665" s="31">
        <v>12.58</v>
      </c>
      <c r="M665" s="31">
        <v>11.83</v>
      </c>
      <c r="N665" s="1">
        <v>0.75</v>
      </c>
      <c r="O665" s="1" t="s">
        <v>379</v>
      </c>
    </row>
    <row r="666" spans="1:15" x14ac:dyDescent="0.25">
      <c r="A666" s="28">
        <v>46055</v>
      </c>
      <c r="B666" s="1" t="s">
        <v>236</v>
      </c>
      <c r="C666" s="1" t="s">
        <v>446</v>
      </c>
      <c r="D666" s="28">
        <f t="shared" ref="D666:D713" si="258">A666+23</f>
        <v>46078</v>
      </c>
      <c r="E666" s="28">
        <f t="shared" ref="E666:E713" si="259">A666+7</f>
        <v>46062</v>
      </c>
      <c r="F666" s="28">
        <f t="shared" ref="F666:F713" si="260">A666+14</f>
        <v>46069</v>
      </c>
      <c r="G666" s="28">
        <f t="shared" ref="G666:G713" si="261">A666+20</f>
        <v>46075</v>
      </c>
      <c r="H666" s="28">
        <f t="shared" ref="H666:H713" si="262">A666+8</f>
        <v>46063</v>
      </c>
      <c r="I666" s="28">
        <f t="shared" ref="I666:I713" si="263">A666+15</f>
        <v>46070</v>
      </c>
      <c r="J666" s="28">
        <v>46085</v>
      </c>
      <c r="K666" s="1">
        <f t="shared" ref="K666:K673" si="264">J666-A666</f>
        <v>30</v>
      </c>
      <c r="L666" s="31">
        <v>13.82</v>
      </c>
      <c r="M666" s="31">
        <v>12.93</v>
      </c>
      <c r="N666" s="1">
        <f t="shared" ref="N666:N678" si="265">L666-M666</f>
        <v>0.89000000000000057</v>
      </c>
      <c r="O666" s="1" t="s">
        <v>379</v>
      </c>
    </row>
    <row r="667" spans="1:15" x14ac:dyDescent="0.25">
      <c r="A667" s="28">
        <v>46055</v>
      </c>
      <c r="B667" s="1" t="s">
        <v>237</v>
      </c>
      <c r="C667" s="1" t="s">
        <v>447</v>
      </c>
      <c r="D667" s="28">
        <f t="shared" si="258"/>
        <v>46078</v>
      </c>
      <c r="E667" s="28">
        <f t="shared" si="259"/>
        <v>46062</v>
      </c>
      <c r="F667" s="28">
        <f t="shared" si="260"/>
        <v>46069</v>
      </c>
      <c r="G667" s="28">
        <f t="shared" si="261"/>
        <v>46075</v>
      </c>
      <c r="H667" s="28">
        <f t="shared" si="262"/>
        <v>46063</v>
      </c>
      <c r="I667" s="28">
        <f t="shared" si="263"/>
        <v>46070</v>
      </c>
      <c r="J667" s="28">
        <v>46085</v>
      </c>
      <c r="K667" s="1">
        <f t="shared" si="264"/>
        <v>30</v>
      </c>
      <c r="L667" s="31">
        <v>14.55</v>
      </c>
      <c r="M667" s="31">
        <v>13.78</v>
      </c>
      <c r="N667" s="1">
        <f t="shared" si="265"/>
        <v>0.77000000000000135</v>
      </c>
      <c r="O667" s="1" t="s">
        <v>379</v>
      </c>
    </row>
    <row r="668" spans="1:15" x14ac:dyDescent="0.25">
      <c r="A668" s="28">
        <v>46055</v>
      </c>
      <c r="B668" s="1" t="s">
        <v>238</v>
      </c>
      <c r="C668" s="1" t="s">
        <v>448</v>
      </c>
      <c r="D668" s="28">
        <f t="shared" si="258"/>
        <v>46078</v>
      </c>
      <c r="E668" s="28">
        <f t="shared" si="259"/>
        <v>46062</v>
      </c>
      <c r="F668" s="28">
        <f t="shared" si="260"/>
        <v>46069</v>
      </c>
      <c r="G668" s="28">
        <f t="shared" si="261"/>
        <v>46075</v>
      </c>
      <c r="H668" s="28">
        <f t="shared" si="262"/>
        <v>46063</v>
      </c>
      <c r="I668" s="28">
        <f t="shared" si="263"/>
        <v>46070</v>
      </c>
      <c r="J668" s="28">
        <v>46085</v>
      </c>
      <c r="K668" s="1">
        <f t="shared" si="264"/>
        <v>30</v>
      </c>
      <c r="L668" s="31">
        <v>14.1</v>
      </c>
      <c r="M668" s="31">
        <v>13.23</v>
      </c>
      <c r="N668" s="1">
        <f t="shared" si="265"/>
        <v>0.86999999999999922</v>
      </c>
      <c r="O668" s="1" t="s">
        <v>379</v>
      </c>
    </row>
    <row r="669" spans="1:15" x14ac:dyDescent="0.25">
      <c r="A669" s="28">
        <v>46055</v>
      </c>
      <c r="B669" s="1" t="s">
        <v>239</v>
      </c>
      <c r="C669" s="1" t="s">
        <v>449</v>
      </c>
      <c r="D669" s="28">
        <f t="shared" si="258"/>
        <v>46078</v>
      </c>
      <c r="E669" s="28">
        <f t="shared" si="259"/>
        <v>46062</v>
      </c>
      <c r="F669" s="28">
        <f t="shared" si="260"/>
        <v>46069</v>
      </c>
      <c r="G669" s="28">
        <f t="shared" si="261"/>
        <v>46075</v>
      </c>
      <c r="H669" s="28">
        <f t="shared" si="262"/>
        <v>46063</v>
      </c>
      <c r="I669" s="28">
        <f t="shared" si="263"/>
        <v>46070</v>
      </c>
      <c r="J669" s="28">
        <v>46085</v>
      </c>
      <c r="K669" s="1">
        <f t="shared" si="264"/>
        <v>30</v>
      </c>
      <c r="L669" s="31">
        <v>14.23</v>
      </c>
      <c r="M669" s="31">
        <v>13.58</v>
      </c>
      <c r="N669" s="1">
        <f t="shared" si="265"/>
        <v>0.65000000000000036</v>
      </c>
      <c r="O669" s="1" t="s">
        <v>379</v>
      </c>
    </row>
    <row r="670" spans="1:15" x14ac:dyDescent="0.25">
      <c r="A670" s="28">
        <v>46055</v>
      </c>
      <c r="B670" s="1" t="s">
        <v>240</v>
      </c>
      <c r="C670" s="1" t="s">
        <v>450</v>
      </c>
      <c r="D670" s="28">
        <f t="shared" si="258"/>
        <v>46078</v>
      </c>
      <c r="E670" s="28">
        <f t="shared" si="259"/>
        <v>46062</v>
      </c>
      <c r="F670" s="28">
        <f t="shared" si="260"/>
        <v>46069</v>
      </c>
      <c r="G670" s="28">
        <f t="shared" si="261"/>
        <v>46075</v>
      </c>
      <c r="H670" s="28">
        <f t="shared" si="262"/>
        <v>46063</v>
      </c>
      <c r="I670" s="28">
        <f t="shared" si="263"/>
        <v>46070</v>
      </c>
      <c r="J670" s="28">
        <v>46085</v>
      </c>
      <c r="K670" s="1">
        <f t="shared" si="264"/>
        <v>30</v>
      </c>
      <c r="L670" s="31">
        <v>15.32</v>
      </c>
      <c r="M670" s="31">
        <v>14.1</v>
      </c>
      <c r="N670" s="1">
        <f t="shared" si="265"/>
        <v>1.2200000000000006</v>
      </c>
      <c r="O670" s="1" t="s">
        <v>379</v>
      </c>
    </row>
    <row r="671" spans="1:15" x14ac:dyDescent="0.25">
      <c r="A671" s="28">
        <v>46055</v>
      </c>
      <c r="B671" s="1" t="s">
        <v>241</v>
      </c>
      <c r="C671" s="1" t="s">
        <v>451</v>
      </c>
      <c r="D671" s="28">
        <f t="shared" si="258"/>
        <v>46078</v>
      </c>
      <c r="E671" s="28">
        <f t="shared" si="259"/>
        <v>46062</v>
      </c>
      <c r="F671" s="28">
        <f t="shared" si="260"/>
        <v>46069</v>
      </c>
      <c r="G671" s="28">
        <f t="shared" si="261"/>
        <v>46075</v>
      </c>
      <c r="H671" s="28">
        <f t="shared" si="262"/>
        <v>46063</v>
      </c>
      <c r="I671" s="28">
        <f t="shared" si="263"/>
        <v>46070</v>
      </c>
      <c r="J671" s="28">
        <v>46085</v>
      </c>
      <c r="K671" s="1">
        <f t="shared" si="264"/>
        <v>30</v>
      </c>
      <c r="L671" s="31">
        <v>13.26</v>
      </c>
      <c r="M671" s="31">
        <v>12.54</v>
      </c>
      <c r="N671" s="1">
        <f t="shared" si="265"/>
        <v>0.72000000000000064</v>
      </c>
      <c r="O671" s="1" t="s">
        <v>379</v>
      </c>
    </row>
    <row r="672" spans="1:15" x14ac:dyDescent="0.25">
      <c r="A672" s="28">
        <v>46055</v>
      </c>
      <c r="B672" s="1" t="s">
        <v>242</v>
      </c>
      <c r="C672" s="1" t="s">
        <v>452</v>
      </c>
      <c r="D672" s="28">
        <f t="shared" si="258"/>
        <v>46078</v>
      </c>
      <c r="E672" s="28">
        <f t="shared" si="259"/>
        <v>46062</v>
      </c>
      <c r="F672" s="28">
        <f t="shared" si="260"/>
        <v>46069</v>
      </c>
      <c r="G672" s="28">
        <f t="shared" si="261"/>
        <v>46075</v>
      </c>
      <c r="H672" s="28">
        <f t="shared" si="262"/>
        <v>46063</v>
      </c>
      <c r="I672" s="28">
        <f t="shared" si="263"/>
        <v>46070</v>
      </c>
      <c r="J672" s="28">
        <v>46085</v>
      </c>
      <c r="K672" s="1">
        <f t="shared" si="264"/>
        <v>30</v>
      </c>
      <c r="L672" s="31">
        <v>15.41</v>
      </c>
      <c r="M672" s="31">
        <v>14.76</v>
      </c>
      <c r="N672" s="1">
        <f t="shared" si="265"/>
        <v>0.65000000000000036</v>
      </c>
      <c r="O672" s="1" t="s">
        <v>379</v>
      </c>
    </row>
    <row r="673" spans="1:15" x14ac:dyDescent="0.25">
      <c r="A673" s="28">
        <v>46056</v>
      </c>
      <c r="B673" s="1" t="s">
        <v>204</v>
      </c>
      <c r="C673" s="1" t="s">
        <v>453</v>
      </c>
      <c r="D673" s="28">
        <f t="shared" si="258"/>
        <v>46079</v>
      </c>
      <c r="E673" s="28">
        <f t="shared" si="259"/>
        <v>46063</v>
      </c>
      <c r="F673" s="28">
        <f t="shared" si="260"/>
        <v>46070</v>
      </c>
      <c r="G673" s="28">
        <f t="shared" si="261"/>
        <v>46076</v>
      </c>
      <c r="H673" s="28">
        <f t="shared" si="262"/>
        <v>46064</v>
      </c>
      <c r="I673" s="28">
        <f t="shared" si="263"/>
        <v>46071</v>
      </c>
      <c r="J673" s="28">
        <v>46086</v>
      </c>
      <c r="K673" s="1">
        <f t="shared" si="264"/>
        <v>30</v>
      </c>
      <c r="L673" s="31">
        <v>14.52</v>
      </c>
      <c r="M673" s="31">
        <v>13.67</v>
      </c>
      <c r="N673" s="1">
        <f t="shared" si="265"/>
        <v>0.84999999999999964</v>
      </c>
      <c r="O673" s="1" t="s">
        <v>379</v>
      </c>
    </row>
    <row r="674" spans="1:15" x14ac:dyDescent="0.25">
      <c r="A674" s="28">
        <v>46056</v>
      </c>
      <c r="B674" s="1" t="s">
        <v>205</v>
      </c>
      <c r="C674" s="1" t="s">
        <v>454</v>
      </c>
      <c r="D674" s="28">
        <f t="shared" si="258"/>
        <v>46079</v>
      </c>
      <c r="E674" s="28">
        <f t="shared" si="259"/>
        <v>46063</v>
      </c>
      <c r="F674" s="28">
        <f t="shared" si="260"/>
        <v>46070</v>
      </c>
      <c r="G674" s="28">
        <f t="shared" si="261"/>
        <v>46076</v>
      </c>
      <c r="H674" s="28">
        <f t="shared" si="262"/>
        <v>46064</v>
      </c>
      <c r="I674" s="28">
        <f t="shared" si="263"/>
        <v>46071</v>
      </c>
      <c r="J674" s="28">
        <v>46086</v>
      </c>
      <c r="K674" s="1">
        <f>J674-A674</f>
        <v>30</v>
      </c>
      <c r="L674" s="31">
        <v>15.31</v>
      </c>
      <c r="M674" s="31">
        <v>14.28</v>
      </c>
      <c r="N674" s="1">
        <f t="shared" si="265"/>
        <v>1.0300000000000011</v>
      </c>
      <c r="O674" s="1" t="s">
        <v>379</v>
      </c>
    </row>
    <row r="675" spans="1:15" x14ac:dyDescent="0.25">
      <c r="A675" s="28">
        <v>46056</v>
      </c>
      <c r="B675" s="1" t="s">
        <v>234</v>
      </c>
      <c r="C675" s="1" t="s">
        <v>455</v>
      </c>
      <c r="D675" s="28">
        <f t="shared" si="258"/>
        <v>46079</v>
      </c>
      <c r="E675" s="28">
        <f t="shared" si="259"/>
        <v>46063</v>
      </c>
      <c r="F675" s="28">
        <f t="shared" si="260"/>
        <v>46070</v>
      </c>
      <c r="G675" s="28">
        <f t="shared" si="261"/>
        <v>46076</v>
      </c>
      <c r="H675" s="28">
        <f t="shared" si="262"/>
        <v>46064</v>
      </c>
      <c r="I675" s="28">
        <f t="shared" si="263"/>
        <v>46071</v>
      </c>
      <c r="J675" s="28">
        <v>46086</v>
      </c>
      <c r="K675" s="1">
        <f>J675-A675</f>
        <v>30</v>
      </c>
      <c r="L675" s="31">
        <v>15.63</v>
      </c>
      <c r="M675" s="31">
        <v>14.21</v>
      </c>
      <c r="N675" s="1">
        <f t="shared" si="265"/>
        <v>1.42</v>
      </c>
      <c r="O675" s="1" t="s">
        <v>379</v>
      </c>
    </row>
    <row r="676" spans="1:15" x14ac:dyDescent="0.25">
      <c r="A676" s="28">
        <v>46056</v>
      </c>
      <c r="B676" s="1" t="s">
        <v>235</v>
      </c>
      <c r="C676" s="1" t="s">
        <v>456</v>
      </c>
      <c r="D676" s="28">
        <f t="shared" si="258"/>
        <v>46079</v>
      </c>
      <c r="E676" s="28">
        <f t="shared" si="259"/>
        <v>46063</v>
      </c>
      <c r="F676" s="28">
        <f t="shared" si="260"/>
        <v>46070</v>
      </c>
      <c r="G676" s="28">
        <f t="shared" si="261"/>
        <v>46076</v>
      </c>
      <c r="H676" s="28">
        <f t="shared" si="262"/>
        <v>46064</v>
      </c>
      <c r="I676" s="28">
        <f t="shared" si="263"/>
        <v>46071</v>
      </c>
      <c r="J676" s="28">
        <v>46086</v>
      </c>
      <c r="K676" s="1">
        <f>J676-A676</f>
        <v>30</v>
      </c>
      <c r="L676" s="31">
        <v>14.87</v>
      </c>
      <c r="M676" s="31">
        <v>13.98</v>
      </c>
      <c r="N676" s="1">
        <f t="shared" si="265"/>
        <v>0.88999999999999879</v>
      </c>
      <c r="O676" s="1" t="s">
        <v>379</v>
      </c>
    </row>
    <row r="677" spans="1:15" x14ac:dyDescent="0.25">
      <c r="A677" s="28">
        <v>46056</v>
      </c>
      <c r="B677" s="1" t="s">
        <v>391</v>
      </c>
      <c r="C677" s="1" t="s">
        <v>457</v>
      </c>
      <c r="D677" s="28">
        <f t="shared" si="258"/>
        <v>46079</v>
      </c>
      <c r="E677" s="28">
        <f t="shared" si="259"/>
        <v>46063</v>
      </c>
      <c r="F677" s="28">
        <f t="shared" si="260"/>
        <v>46070</v>
      </c>
      <c r="G677" s="28">
        <f t="shared" si="261"/>
        <v>46076</v>
      </c>
      <c r="H677" s="28">
        <f t="shared" si="262"/>
        <v>46064</v>
      </c>
      <c r="I677" s="28">
        <f t="shared" si="263"/>
        <v>46071</v>
      </c>
      <c r="J677" s="28">
        <v>46086</v>
      </c>
      <c r="K677" s="1">
        <f>J677-A677</f>
        <v>30</v>
      </c>
      <c r="L677" s="31">
        <v>15.74</v>
      </c>
      <c r="M677" s="31">
        <v>14.91</v>
      </c>
      <c r="N677" s="1">
        <f t="shared" si="265"/>
        <v>0.83000000000000007</v>
      </c>
      <c r="O677" s="1" t="s">
        <v>379</v>
      </c>
    </row>
    <row r="678" spans="1:15" x14ac:dyDescent="0.25">
      <c r="A678" s="28">
        <v>46056</v>
      </c>
      <c r="B678" s="1" t="s">
        <v>392</v>
      </c>
      <c r="C678" s="1" t="s">
        <v>458</v>
      </c>
      <c r="D678" s="28">
        <f t="shared" si="258"/>
        <v>46079</v>
      </c>
      <c r="E678" s="28">
        <f t="shared" si="259"/>
        <v>46063</v>
      </c>
      <c r="F678" s="28">
        <f t="shared" si="260"/>
        <v>46070</v>
      </c>
      <c r="G678" s="28">
        <f t="shared" si="261"/>
        <v>46076</v>
      </c>
      <c r="H678" s="28">
        <f t="shared" si="262"/>
        <v>46064</v>
      </c>
      <c r="I678" s="28">
        <f t="shared" si="263"/>
        <v>46071</v>
      </c>
      <c r="J678" s="28">
        <v>46086</v>
      </c>
      <c r="K678" s="1">
        <f>J678-A678</f>
        <v>30</v>
      </c>
      <c r="L678" s="31">
        <v>14.29</v>
      </c>
      <c r="M678" s="31">
        <v>13.34</v>
      </c>
      <c r="N678" s="1">
        <f t="shared" si="265"/>
        <v>0.94999999999999929</v>
      </c>
      <c r="O678" s="1" t="s">
        <v>379</v>
      </c>
    </row>
    <row r="679" spans="1:15" x14ac:dyDescent="0.25">
      <c r="A679" s="28">
        <v>46056</v>
      </c>
      <c r="B679" s="1" t="s">
        <v>266</v>
      </c>
      <c r="C679" s="1" t="s">
        <v>459</v>
      </c>
      <c r="D679" s="28">
        <f t="shared" si="258"/>
        <v>46079</v>
      </c>
      <c r="E679" s="28">
        <f t="shared" si="259"/>
        <v>46063</v>
      </c>
      <c r="F679" s="28">
        <f t="shared" si="260"/>
        <v>46070</v>
      </c>
      <c r="G679" s="28">
        <f t="shared" si="261"/>
        <v>46076</v>
      </c>
      <c r="H679" s="28">
        <f t="shared" si="262"/>
        <v>46064</v>
      </c>
      <c r="I679" s="28">
        <f t="shared" si="263"/>
        <v>46071</v>
      </c>
      <c r="J679" s="28">
        <v>46085</v>
      </c>
      <c r="K679" s="1">
        <f t="shared" ref="K679:K686" si="266">J679-A679</f>
        <v>29</v>
      </c>
      <c r="L679" s="31">
        <v>15.29</v>
      </c>
      <c r="M679" s="31">
        <v>14.51</v>
      </c>
      <c r="N679" s="1">
        <f t="shared" ref="N679:N686" si="267">L679-M679</f>
        <v>0.77999999999999936</v>
      </c>
      <c r="O679" s="1" t="s">
        <v>379</v>
      </c>
    </row>
    <row r="680" spans="1:15" x14ac:dyDescent="0.25">
      <c r="A680" s="28">
        <v>46056</v>
      </c>
      <c r="B680" s="1" t="s">
        <v>267</v>
      </c>
      <c r="C680" s="1" t="s">
        <v>460</v>
      </c>
      <c r="D680" s="28">
        <f t="shared" si="258"/>
        <v>46079</v>
      </c>
      <c r="E680" s="28">
        <f t="shared" si="259"/>
        <v>46063</v>
      </c>
      <c r="F680" s="28">
        <f t="shared" si="260"/>
        <v>46070</v>
      </c>
      <c r="G680" s="28">
        <f t="shared" si="261"/>
        <v>46076</v>
      </c>
      <c r="H680" s="28">
        <f t="shared" si="262"/>
        <v>46064</v>
      </c>
      <c r="I680" s="28">
        <f t="shared" si="263"/>
        <v>46071</v>
      </c>
      <c r="J680" s="28">
        <v>46085</v>
      </c>
      <c r="K680" s="1">
        <f t="shared" si="266"/>
        <v>29</v>
      </c>
      <c r="L680" s="31">
        <v>14.64</v>
      </c>
      <c r="M680" s="31">
        <v>13.81</v>
      </c>
      <c r="N680" s="1">
        <f t="shared" si="267"/>
        <v>0.83000000000000007</v>
      </c>
      <c r="O680" s="1" t="s">
        <v>379</v>
      </c>
    </row>
    <row r="681" spans="1:15" x14ac:dyDescent="0.25">
      <c r="A681" s="28">
        <v>46057</v>
      </c>
      <c r="B681" s="1" t="s">
        <v>268</v>
      </c>
      <c r="C681" s="1" t="s">
        <v>461</v>
      </c>
      <c r="D681" s="28">
        <f t="shared" si="258"/>
        <v>46080</v>
      </c>
      <c r="E681" s="28">
        <f t="shared" si="259"/>
        <v>46064</v>
      </c>
      <c r="F681" s="28">
        <f t="shared" si="260"/>
        <v>46071</v>
      </c>
      <c r="G681" s="28">
        <f t="shared" si="261"/>
        <v>46077</v>
      </c>
      <c r="H681" s="28">
        <f t="shared" si="262"/>
        <v>46065</v>
      </c>
      <c r="I681" s="28">
        <f t="shared" si="263"/>
        <v>46072</v>
      </c>
      <c r="J681" s="28">
        <v>46087</v>
      </c>
      <c r="K681" s="1">
        <f t="shared" si="266"/>
        <v>30</v>
      </c>
      <c r="L681" s="31">
        <v>16.62</v>
      </c>
      <c r="M681" s="31">
        <v>15.51</v>
      </c>
      <c r="N681" s="1">
        <f t="shared" si="267"/>
        <v>1.1100000000000012</v>
      </c>
      <c r="O681" s="1" t="s">
        <v>379</v>
      </c>
    </row>
    <row r="682" spans="1:15" x14ac:dyDescent="0.25">
      <c r="A682" s="28">
        <v>46057</v>
      </c>
      <c r="B682" s="1" t="s">
        <v>269</v>
      </c>
      <c r="C682" s="1" t="s">
        <v>462</v>
      </c>
      <c r="D682" s="28">
        <f t="shared" si="258"/>
        <v>46080</v>
      </c>
      <c r="E682" s="28">
        <f t="shared" si="259"/>
        <v>46064</v>
      </c>
      <c r="F682" s="28">
        <f t="shared" si="260"/>
        <v>46071</v>
      </c>
      <c r="G682" s="28">
        <f t="shared" si="261"/>
        <v>46077</v>
      </c>
      <c r="H682" s="28">
        <f t="shared" si="262"/>
        <v>46065</v>
      </c>
      <c r="I682" s="28">
        <f t="shared" si="263"/>
        <v>46072</v>
      </c>
      <c r="J682" s="28">
        <v>46087</v>
      </c>
      <c r="K682" s="1">
        <f t="shared" si="266"/>
        <v>30</v>
      </c>
      <c r="L682" s="31">
        <v>15.87</v>
      </c>
      <c r="M682" s="31">
        <v>14.73</v>
      </c>
      <c r="N682" s="1">
        <f t="shared" si="267"/>
        <v>1.1399999999999988</v>
      </c>
      <c r="O682" s="1" t="s">
        <v>379</v>
      </c>
    </row>
    <row r="683" spans="1:15" x14ac:dyDescent="0.25">
      <c r="A683" s="28">
        <v>46057</v>
      </c>
      <c r="B683" s="1" t="s">
        <v>270</v>
      </c>
      <c r="C683" s="1" t="s">
        <v>463</v>
      </c>
      <c r="D683" s="28">
        <f t="shared" si="258"/>
        <v>46080</v>
      </c>
      <c r="E683" s="28">
        <f t="shared" si="259"/>
        <v>46064</v>
      </c>
      <c r="F683" s="28">
        <f t="shared" si="260"/>
        <v>46071</v>
      </c>
      <c r="G683" s="28">
        <f t="shared" si="261"/>
        <v>46077</v>
      </c>
      <c r="H683" s="28">
        <f t="shared" si="262"/>
        <v>46065</v>
      </c>
      <c r="I683" s="28">
        <f t="shared" si="263"/>
        <v>46072</v>
      </c>
      <c r="J683" s="28">
        <v>46087</v>
      </c>
      <c r="K683" s="1">
        <f t="shared" si="266"/>
        <v>30</v>
      </c>
      <c r="L683" s="31">
        <v>14.66</v>
      </c>
      <c r="M683" s="31">
        <v>13.58</v>
      </c>
      <c r="N683" s="1">
        <f t="shared" si="267"/>
        <v>1.08</v>
      </c>
      <c r="O683" s="1" t="s">
        <v>379</v>
      </c>
    </row>
    <row r="684" spans="1:15" x14ac:dyDescent="0.25">
      <c r="A684" s="28">
        <v>46057</v>
      </c>
      <c r="B684" s="1" t="s">
        <v>271</v>
      </c>
      <c r="C684" s="1" t="s">
        <v>464</v>
      </c>
      <c r="D684" s="28">
        <f t="shared" si="258"/>
        <v>46080</v>
      </c>
      <c r="E684" s="28">
        <f t="shared" si="259"/>
        <v>46064</v>
      </c>
      <c r="F684" s="28">
        <f t="shared" si="260"/>
        <v>46071</v>
      </c>
      <c r="G684" s="28">
        <f t="shared" si="261"/>
        <v>46077</v>
      </c>
      <c r="H684" s="28">
        <f t="shared" si="262"/>
        <v>46065</v>
      </c>
      <c r="I684" s="28">
        <f t="shared" si="263"/>
        <v>46072</v>
      </c>
      <c r="J684" s="28">
        <v>46087</v>
      </c>
      <c r="K684" s="1">
        <f t="shared" si="266"/>
        <v>30</v>
      </c>
      <c r="L684" s="31">
        <v>15.9</v>
      </c>
      <c r="M684" s="31">
        <v>14.71</v>
      </c>
      <c r="N684" s="1">
        <f t="shared" si="267"/>
        <v>1.1899999999999995</v>
      </c>
      <c r="O684" s="1" t="s">
        <v>379</v>
      </c>
    </row>
    <row r="685" spans="1:15" x14ac:dyDescent="0.25">
      <c r="A685" s="28">
        <v>46057</v>
      </c>
      <c r="B685" s="1" t="s">
        <v>272</v>
      </c>
      <c r="C685" s="1" t="s">
        <v>465</v>
      </c>
      <c r="D685" s="28">
        <f t="shared" si="258"/>
        <v>46080</v>
      </c>
      <c r="E685" s="28">
        <f t="shared" si="259"/>
        <v>46064</v>
      </c>
      <c r="F685" s="28">
        <f t="shared" si="260"/>
        <v>46071</v>
      </c>
      <c r="G685" s="28">
        <f t="shared" si="261"/>
        <v>46077</v>
      </c>
      <c r="H685" s="28">
        <f t="shared" si="262"/>
        <v>46065</v>
      </c>
      <c r="I685" s="28">
        <f t="shared" si="263"/>
        <v>46072</v>
      </c>
      <c r="J685" s="28">
        <v>46087</v>
      </c>
      <c r="K685" s="1">
        <f t="shared" si="266"/>
        <v>30</v>
      </c>
      <c r="L685" s="31">
        <v>14.78</v>
      </c>
      <c r="M685" s="31">
        <v>13.63</v>
      </c>
      <c r="N685" s="1">
        <f t="shared" si="267"/>
        <v>1.1499999999999986</v>
      </c>
      <c r="O685" s="1" t="s">
        <v>379</v>
      </c>
    </row>
    <row r="686" spans="1:15" x14ac:dyDescent="0.25">
      <c r="A686" s="28">
        <v>46057</v>
      </c>
      <c r="B686" s="1" t="s">
        <v>273</v>
      </c>
      <c r="C686" s="1" t="s">
        <v>466</v>
      </c>
      <c r="D686" s="28">
        <f t="shared" si="258"/>
        <v>46080</v>
      </c>
      <c r="E686" s="28">
        <f t="shared" si="259"/>
        <v>46064</v>
      </c>
      <c r="F686" s="28">
        <f t="shared" si="260"/>
        <v>46071</v>
      </c>
      <c r="G686" s="28">
        <f t="shared" si="261"/>
        <v>46077</v>
      </c>
      <c r="H686" s="28">
        <f t="shared" si="262"/>
        <v>46065</v>
      </c>
      <c r="I686" s="28">
        <f t="shared" si="263"/>
        <v>46072</v>
      </c>
      <c r="J686" s="28">
        <v>46087</v>
      </c>
      <c r="K686" s="1">
        <f t="shared" si="266"/>
        <v>30</v>
      </c>
      <c r="L686" s="31">
        <v>15.1</v>
      </c>
      <c r="M686" s="31">
        <v>14.19</v>
      </c>
      <c r="N686" s="1">
        <f t="shared" si="267"/>
        <v>0.91000000000000014</v>
      </c>
      <c r="O686" s="1" t="s">
        <v>379</v>
      </c>
    </row>
    <row r="687" spans="1:15" x14ac:dyDescent="0.25">
      <c r="A687" s="28">
        <v>46057</v>
      </c>
      <c r="B687" s="1" t="s">
        <v>274</v>
      </c>
      <c r="C687" s="1" t="s">
        <v>467</v>
      </c>
      <c r="D687" s="28">
        <f t="shared" si="258"/>
        <v>46080</v>
      </c>
      <c r="E687" s="28">
        <f t="shared" si="259"/>
        <v>46064</v>
      </c>
      <c r="F687" s="28">
        <f t="shared" si="260"/>
        <v>46071</v>
      </c>
      <c r="G687" s="28">
        <f t="shared" si="261"/>
        <v>46077</v>
      </c>
      <c r="H687" s="28">
        <f t="shared" si="262"/>
        <v>46065</v>
      </c>
      <c r="I687" s="28">
        <f t="shared" si="263"/>
        <v>46072</v>
      </c>
      <c r="J687" s="28">
        <v>46086</v>
      </c>
      <c r="K687" s="1">
        <f t="shared" ref="K687:K713" si="268">J687-A687</f>
        <v>29</v>
      </c>
      <c r="L687" s="31">
        <v>15.16</v>
      </c>
      <c r="M687" s="31">
        <v>14.12</v>
      </c>
      <c r="N687" s="1">
        <f t="shared" ref="N687:N713" si="269">L687-M687</f>
        <v>1.0400000000000009</v>
      </c>
      <c r="O687" s="1" t="s">
        <v>379</v>
      </c>
    </row>
    <row r="688" spans="1:15" x14ac:dyDescent="0.25">
      <c r="A688" s="28">
        <v>46058</v>
      </c>
      <c r="B688" s="1" t="s">
        <v>275</v>
      </c>
      <c r="C688" s="1" t="s">
        <v>468</v>
      </c>
      <c r="D688" s="28">
        <f t="shared" si="258"/>
        <v>46081</v>
      </c>
      <c r="E688" s="28">
        <f t="shared" si="259"/>
        <v>46065</v>
      </c>
      <c r="F688" s="28">
        <f t="shared" si="260"/>
        <v>46072</v>
      </c>
      <c r="G688" s="28">
        <f t="shared" si="261"/>
        <v>46078</v>
      </c>
      <c r="H688" s="28">
        <f t="shared" si="262"/>
        <v>46066</v>
      </c>
      <c r="I688" s="28">
        <f t="shared" si="263"/>
        <v>46073</v>
      </c>
      <c r="J688" s="28">
        <v>46087</v>
      </c>
      <c r="K688" s="1">
        <f t="shared" si="268"/>
        <v>29</v>
      </c>
      <c r="L688" s="31">
        <v>14.36</v>
      </c>
      <c r="M688" s="31">
        <v>13.24</v>
      </c>
      <c r="N688" s="1">
        <f t="shared" si="269"/>
        <v>1.1199999999999992</v>
      </c>
      <c r="O688" s="1" t="s">
        <v>379</v>
      </c>
    </row>
    <row r="689" spans="1:15" x14ac:dyDescent="0.25">
      <c r="A689" s="28">
        <v>46058</v>
      </c>
      <c r="B689" s="1" t="s">
        <v>276</v>
      </c>
      <c r="C689" s="1" t="s">
        <v>469</v>
      </c>
      <c r="D689" s="28">
        <f t="shared" si="258"/>
        <v>46081</v>
      </c>
      <c r="E689" s="28">
        <f t="shared" si="259"/>
        <v>46065</v>
      </c>
      <c r="F689" s="28">
        <f t="shared" si="260"/>
        <v>46072</v>
      </c>
      <c r="G689" s="28">
        <f t="shared" si="261"/>
        <v>46078</v>
      </c>
      <c r="H689" s="28">
        <f t="shared" si="262"/>
        <v>46066</v>
      </c>
      <c r="I689" s="28">
        <f t="shared" si="263"/>
        <v>46073</v>
      </c>
      <c r="J689" s="28">
        <v>46087</v>
      </c>
      <c r="K689" s="1">
        <f t="shared" si="268"/>
        <v>29</v>
      </c>
      <c r="L689" s="31">
        <v>15.08</v>
      </c>
      <c r="M689" s="31">
        <v>14.1</v>
      </c>
      <c r="N689" s="1">
        <f t="shared" si="269"/>
        <v>0.98000000000000043</v>
      </c>
      <c r="O689" s="1" t="s">
        <v>379</v>
      </c>
    </row>
    <row r="690" spans="1:15" x14ac:dyDescent="0.25">
      <c r="A690" s="28">
        <v>46058</v>
      </c>
      <c r="B690" s="1" t="s">
        <v>277</v>
      </c>
      <c r="C690" s="1" t="s">
        <v>470</v>
      </c>
      <c r="D690" s="28">
        <f t="shared" si="258"/>
        <v>46081</v>
      </c>
      <c r="E690" s="28">
        <f t="shared" si="259"/>
        <v>46065</v>
      </c>
      <c r="F690" s="28">
        <f t="shared" si="260"/>
        <v>46072</v>
      </c>
      <c r="G690" s="28">
        <f t="shared" si="261"/>
        <v>46078</v>
      </c>
      <c r="H690" s="28">
        <f t="shared" si="262"/>
        <v>46066</v>
      </c>
      <c r="I690" s="28">
        <f t="shared" si="263"/>
        <v>46073</v>
      </c>
      <c r="J690" s="28">
        <v>46087</v>
      </c>
      <c r="K690" s="1">
        <f t="shared" si="268"/>
        <v>29</v>
      </c>
      <c r="L690" s="31">
        <v>14.59</v>
      </c>
      <c r="M690" s="31">
        <v>13.24</v>
      </c>
      <c r="N690" s="1">
        <f t="shared" si="269"/>
        <v>1.3499999999999996</v>
      </c>
      <c r="O690" s="1" t="s">
        <v>379</v>
      </c>
    </row>
    <row r="691" spans="1:15" x14ac:dyDescent="0.25">
      <c r="A691" s="28">
        <v>46058</v>
      </c>
      <c r="B691" s="1" t="s">
        <v>278</v>
      </c>
      <c r="C691" s="1" t="s">
        <v>471</v>
      </c>
      <c r="D691" s="28">
        <f t="shared" si="258"/>
        <v>46081</v>
      </c>
      <c r="E691" s="28">
        <f t="shared" si="259"/>
        <v>46065</v>
      </c>
      <c r="F691" s="28">
        <f t="shared" si="260"/>
        <v>46072</v>
      </c>
      <c r="G691" s="28">
        <f t="shared" si="261"/>
        <v>46078</v>
      </c>
      <c r="H691" s="28">
        <f t="shared" si="262"/>
        <v>46066</v>
      </c>
      <c r="I691" s="28">
        <f t="shared" si="263"/>
        <v>46073</v>
      </c>
      <c r="J691" s="28">
        <v>46088</v>
      </c>
      <c r="K691" s="1">
        <f t="shared" si="268"/>
        <v>30</v>
      </c>
      <c r="L691" s="31">
        <v>15.83</v>
      </c>
      <c r="M691" s="31">
        <v>14.26</v>
      </c>
      <c r="N691" s="1">
        <f t="shared" si="269"/>
        <v>1.5700000000000003</v>
      </c>
      <c r="O691" s="1" t="s">
        <v>379</v>
      </c>
    </row>
    <row r="692" spans="1:15" x14ac:dyDescent="0.25">
      <c r="A692" s="28">
        <v>46058</v>
      </c>
      <c r="B692" s="1" t="s">
        <v>279</v>
      </c>
      <c r="C692" s="1" t="s">
        <v>472</v>
      </c>
      <c r="D692" s="28">
        <f t="shared" si="258"/>
        <v>46081</v>
      </c>
      <c r="E692" s="28">
        <f t="shared" si="259"/>
        <v>46065</v>
      </c>
      <c r="F692" s="28">
        <f t="shared" si="260"/>
        <v>46072</v>
      </c>
      <c r="G692" s="28">
        <f t="shared" si="261"/>
        <v>46078</v>
      </c>
      <c r="H692" s="28">
        <f t="shared" si="262"/>
        <v>46066</v>
      </c>
      <c r="I692" s="28">
        <f t="shared" si="263"/>
        <v>46073</v>
      </c>
      <c r="J692" s="28">
        <v>46088</v>
      </c>
      <c r="K692" s="1">
        <f t="shared" si="268"/>
        <v>30</v>
      </c>
      <c r="L692" s="31">
        <v>15.64</v>
      </c>
      <c r="M692" s="31">
        <v>14.91</v>
      </c>
      <c r="N692" s="1">
        <f t="shared" si="269"/>
        <v>0.73000000000000043</v>
      </c>
      <c r="O692" s="1" t="s">
        <v>379</v>
      </c>
    </row>
    <row r="693" spans="1:15" x14ac:dyDescent="0.25">
      <c r="A693" s="28">
        <v>46058</v>
      </c>
      <c r="B693" s="1" t="s">
        <v>280</v>
      </c>
      <c r="C693" s="1" t="s">
        <v>473</v>
      </c>
      <c r="D693" s="28">
        <f t="shared" si="258"/>
        <v>46081</v>
      </c>
      <c r="E693" s="28">
        <f t="shared" si="259"/>
        <v>46065</v>
      </c>
      <c r="F693" s="28">
        <f t="shared" si="260"/>
        <v>46072</v>
      </c>
      <c r="G693" s="28">
        <f t="shared" si="261"/>
        <v>46078</v>
      </c>
      <c r="H693" s="28">
        <f t="shared" si="262"/>
        <v>46066</v>
      </c>
      <c r="I693" s="28">
        <f t="shared" si="263"/>
        <v>46073</v>
      </c>
      <c r="J693" s="28">
        <v>46088</v>
      </c>
      <c r="K693" s="1">
        <f t="shared" si="268"/>
        <v>30</v>
      </c>
      <c r="L693" s="31">
        <v>16.82</v>
      </c>
      <c r="M693" s="31">
        <v>15.74</v>
      </c>
      <c r="N693" s="1">
        <f t="shared" si="269"/>
        <v>1.08</v>
      </c>
      <c r="O693" s="1" t="s">
        <v>379</v>
      </c>
    </row>
    <row r="694" spans="1:15" x14ac:dyDescent="0.25">
      <c r="A694" s="28">
        <v>46058</v>
      </c>
      <c r="B694" s="1" t="s">
        <v>281</v>
      </c>
      <c r="C694" s="1" t="s">
        <v>474</v>
      </c>
      <c r="D694" s="28">
        <f t="shared" si="258"/>
        <v>46081</v>
      </c>
      <c r="E694" s="28">
        <f t="shared" si="259"/>
        <v>46065</v>
      </c>
      <c r="F694" s="28">
        <f t="shared" si="260"/>
        <v>46072</v>
      </c>
      <c r="G694" s="28">
        <f t="shared" si="261"/>
        <v>46078</v>
      </c>
      <c r="H694" s="28">
        <f t="shared" si="262"/>
        <v>46066</v>
      </c>
      <c r="I694" s="28">
        <f t="shared" si="263"/>
        <v>46073</v>
      </c>
      <c r="J694" s="28">
        <v>46088</v>
      </c>
      <c r="K694" s="1">
        <f t="shared" si="268"/>
        <v>30</v>
      </c>
      <c r="L694" s="31">
        <v>16.989999999999998</v>
      </c>
      <c r="M694" s="31">
        <v>15.21</v>
      </c>
      <c r="N694" s="1">
        <f t="shared" si="269"/>
        <v>1.7799999999999976</v>
      </c>
      <c r="O694" s="1" t="s">
        <v>379</v>
      </c>
    </row>
    <row r="695" spans="1:15" x14ac:dyDescent="0.25">
      <c r="A695" s="28">
        <v>46059</v>
      </c>
      <c r="B695" s="1" t="s">
        <v>380</v>
      </c>
      <c r="C695" s="1" t="s">
        <v>475</v>
      </c>
      <c r="D695" s="28">
        <f t="shared" si="258"/>
        <v>46082</v>
      </c>
      <c r="E695" s="28">
        <f t="shared" si="259"/>
        <v>46066</v>
      </c>
      <c r="F695" s="28">
        <f t="shared" si="260"/>
        <v>46073</v>
      </c>
      <c r="G695" s="28">
        <f t="shared" si="261"/>
        <v>46079</v>
      </c>
      <c r="H695" s="28">
        <f t="shared" si="262"/>
        <v>46067</v>
      </c>
      <c r="I695" s="28">
        <f t="shared" si="263"/>
        <v>46074</v>
      </c>
      <c r="J695" s="28">
        <v>46090</v>
      </c>
      <c r="K695" s="1">
        <f t="shared" si="268"/>
        <v>31</v>
      </c>
      <c r="L695" s="31">
        <v>15.26</v>
      </c>
      <c r="M695" s="31">
        <v>14.31</v>
      </c>
      <c r="N695" s="1">
        <f t="shared" si="269"/>
        <v>0.94999999999999929</v>
      </c>
      <c r="O695" s="1" t="s">
        <v>379</v>
      </c>
    </row>
    <row r="696" spans="1:15" x14ac:dyDescent="0.25">
      <c r="A696" s="28">
        <v>46059</v>
      </c>
      <c r="B696" s="1" t="s">
        <v>381</v>
      </c>
      <c r="C696" s="1" t="s">
        <v>476</v>
      </c>
      <c r="D696" s="28">
        <f t="shared" si="258"/>
        <v>46082</v>
      </c>
      <c r="E696" s="28">
        <f t="shared" si="259"/>
        <v>46066</v>
      </c>
      <c r="F696" s="28">
        <f t="shared" si="260"/>
        <v>46073</v>
      </c>
      <c r="G696" s="28">
        <f t="shared" si="261"/>
        <v>46079</v>
      </c>
      <c r="H696" s="28">
        <f t="shared" si="262"/>
        <v>46067</v>
      </c>
      <c r="I696" s="28">
        <f t="shared" si="263"/>
        <v>46074</v>
      </c>
      <c r="J696" s="28">
        <v>46089</v>
      </c>
      <c r="K696" s="1">
        <f t="shared" si="268"/>
        <v>30</v>
      </c>
      <c r="L696" s="31">
        <v>15.91</v>
      </c>
      <c r="M696" s="31">
        <v>14.77</v>
      </c>
      <c r="N696" s="1">
        <f t="shared" si="269"/>
        <v>1.1400000000000006</v>
      </c>
      <c r="O696" s="1" t="s">
        <v>379</v>
      </c>
    </row>
    <row r="697" spans="1:15" x14ac:dyDescent="0.25">
      <c r="A697" s="28">
        <v>46059</v>
      </c>
      <c r="B697" s="1" t="s">
        <v>382</v>
      </c>
      <c r="C697" s="1" t="s">
        <v>477</v>
      </c>
      <c r="D697" s="28">
        <f t="shared" si="258"/>
        <v>46082</v>
      </c>
      <c r="E697" s="28">
        <f t="shared" si="259"/>
        <v>46066</v>
      </c>
      <c r="F697" s="28">
        <f t="shared" si="260"/>
        <v>46073</v>
      </c>
      <c r="G697" s="28">
        <f t="shared" si="261"/>
        <v>46079</v>
      </c>
      <c r="H697" s="28">
        <f t="shared" si="262"/>
        <v>46067</v>
      </c>
      <c r="I697" s="28">
        <f t="shared" si="263"/>
        <v>46074</v>
      </c>
      <c r="J697" s="28">
        <v>46089</v>
      </c>
      <c r="K697" s="1">
        <f t="shared" si="268"/>
        <v>30</v>
      </c>
      <c r="L697" s="31">
        <v>16.38</v>
      </c>
      <c r="M697" s="31">
        <v>15.11</v>
      </c>
      <c r="N697" s="1">
        <f t="shared" si="269"/>
        <v>1.2699999999999996</v>
      </c>
      <c r="O697" s="1" t="s">
        <v>379</v>
      </c>
    </row>
    <row r="698" spans="1:15" x14ac:dyDescent="0.25">
      <c r="A698" s="28">
        <v>46059</v>
      </c>
      <c r="B698" s="1" t="s">
        <v>383</v>
      </c>
      <c r="C698" s="1" t="s">
        <v>478</v>
      </c>
      <c r="D698" s="28">
        <f t="shared" si="258"/>
        <v>46082</v>
      </c>
      <c r="E698" s="28">
        <f t="shared" si="259"/>
        <v>46066</v>
      </c>
      <c r="F698" s="28">
        <f t="shared" si="260"/>
        <v>46073</v>
      </c>
      <c r="G698" s="28">
        <f t="shared" si="261"/>
        <v>46079</v>
      </c>
      <c r="H698" s="28">
        <f t="shared" si="262"/>
        <v>46067</v>
      </c>
      <c r="I698" s="28">
        <f t="shared" si="263"/>
        <v>46074</v>
      </c>
      <c r="J698" s="28">
        <v>46089</v>
      </c>
      <c r="K698" s="1">
        <f t="shared" si="268"/>
        <v>30</v>
      </c>
      <c r="L698" s="31">
        <v>16.16</v>
      </c>
      <c r="M698" s="31">
        <v>15.96</v>
      </c>
      <c r="N698" s="1">
        <f t="shared" si="269"/>
        <v>0.19999999999999929</v>
      </c>
      <c r="O698" s="1" t="s">
        <v>379</v>
      </c>
    </row>
    <row r="699" spans="1:15" x14ac:dyDescent="0.25">
      <c r="A699" s="28">
        <v>46059</v>
      </c>
      <c r="B699" s="1" t="s">
        <v>384</v>
      </c>
      <c r="C699" s="1" t="s">
        <v>479</v>
      </c>
      <c r="D699" s="28">
        <f t="shared" si="258"/>
        <v>46082</v>
      </c>
      <c r="E699" s="28">
        <f t="shared" si="259"/>
        <v>46066</v>
      </c>
      <c r="F699" s="28">
        <f t="shared" si="260"/>
        <v>46073</v>
      </c>
      <c r="G699" s="28">
        <f t="shared" si="261"/>
        <v>46079</v>
      </c>
      <c r="H699" s="28">
        <f t="shared" si="262"/>
        <v>46067</v>
      </c>
      <c r="I699" s="28">
        <f t="shared" si="263"/>
        <v>46074</v>
      </c>
      <c r="J699" s="28">
        <v>46089</v>
      </c>
      <c r="K699" s="1">
        <f t="shared" si="268"/>
        <v>30</v>
      </c>
      <c r="L699" s="31">
        <v>15.31</v>
      </c>
      <c r="M699" s="31">
        <v>14.11</v>
      </c>
      <c r="N699" s="1">
        <f t="shared" si="269"/>
        <v>1.2000000000000011</v>
      </c>
      <c r="O699" s="1" t="s">
        <v>379</v>
      </c>
    </row>
    <row r="700" spans="1:15" x14ac:dyDescent="0.25">
      <c r="A700" s="28">
        <v>46059</v>
      </c>
      <c r="B700" s="1" t="s">
        <v>385</v>
      </c>
      <c r="C700" s="1" t="s">
        <v>480</v>
      </c>
      <c r="D700" s="28">
        <f t="shared" si="258"/>
        <v>46082</v>
      </c>
      <c r="E700" s="28">
        <f t="shared" si="259"/>
        <v>46066</v>
      </c>
      <c r="F700" s="28">
        <f t="shared" si="260"/>
        <v>46073</v>
      </c>
      <c r="G700" s="28">
        <f t="shared" si="261"/>
        <v>46079</v>
      </c>
      <c r="H700" s="28">
        <f t="shared" si="262"/>
        <v>46067</v>
      </c>
      <c r="I700" s="28">
        <f t="shared" si="263"/>
        <v>46074</v>
      </c>
      <c r="J700" s="28">
        <v>46089</v>
      </c>
      <c r="K700" s="1">
        <f t="shared" si="268"/>
        <v>30</v>
      </c>
      <c r="L700" s="31">
        <v>16.100000000000001</v>
      </c>
      <c r="M700" s="31">
        <v>15.28</v>
      </c>
      <c r="N700" s="1">
        <f t="shared" si="269"/>
        <v>0.82000000000000206</v>
      </c>
      <c r="O700" s="1" t="s">
        <v>379</v>
      </c>
    </row>
    <row r="701" spans="1:15" x14ac:dyDescent="0.25">
      <c r="A701" s="28">
        <v>46059</v>
      </c>
      <c r="B701" s="1" t="s">
        <v>386</v>
      </c>
      <c r="C701" s="1" t="s">
        <v>481</v>
      </c>
      <c r="D701" s="28">
        <f t="shared" si="258"/>
        <v>46082</v>
      </c>
      <c r="E701" s="28">
        <f t="shared" si="259"/>
        <v>46066</v>
      </c>
      <c r="F701" s="28">
        <f t="shared" si="260"/>
        <v>46073</v>
      </c>
      <c r="G701" s="28">
        <f t="shared" si="261"/>
        <v>46079</v>
      </c>
      <c r="H701" s="28">
        <f t="shared" si="262"/>
        <v>46067</v>
      </c>
      <c r="I701" s="28">
        <f t="shared" si="263"/>
        <v>46074</v>
      </c>
      <c r="J701" s="28">
        <v>46089</v>
      </c>
      <c r="K701" s="1">
        <f t="shared" si="268"/>
        <v>30</v>
      </c>
      <c r="L701" s="31">
        <v>15.24</v>
      </c>
      <c r="M701" s="31">
        <v>14.53</v>
      </c>
      <c r="N701" s="1">
        <f t="shared" si="269"/>
        <v>0.71000000000000085</v>
      </c>
      <c r="O701" s="1" t="s">
        <v>379</v>
      </c>
    </row>
    <row r="702" spans="1:15" x14ac:dyDescent="0.25">
      <c r="A702" s="28">
        <v>46060</v>
      </c>
      <c r="B702" s="1" t="s">
        <v>387</v>
      </c>
      <c r="C702" s="1" t="s">
        <v>482</v>
      </c>
      <c r="D702" s="28">
        <f t="shared" si="258"/>
        <v>46083</v>
      </c>
      <c r="E702" s="28">
        <f t="shared" si="259"/>
        <v>46067</v>
      </c>
      <c r="F702" s="28">
        <f t="shared" si="260"/>
        <v>46074</v>
      </c>
      <c r="G702" s="28">
        <f t="shared" si="261"/>
        <v>46080</v>
      </c>
      <c r="H702" s="28">
        <f t="shared" si="262"/>
        <v>46068</v>
      </c>
      <c r="I702" s="28">
        <f t="shared" si="263"/>
        <v>46075</v>
      </c>
      <c r="J702" s="28">
        <v>46088</v>
      </c>
      <c r="K702" s="1">
        <f t="shared" si="268"/>
        <v>28</v>
      </c>
      <c r="L702" s="31">
        <v>17.14</v>
      </c>
      <c r="M702" s="31">
        <v>16.75</v>
      </c>
      <c r="N702" s="1">
        <f t="shared" si="269"/>
        <v>0.39000000000000057</v>
      </c>
      <c r="O702" s="1" t="s">
        <v>379</v>
      </c>
    </row>
    <row r="703" spans="1:15" x14ac:dyDescent="0.25">
      <c r="A703" s="28">
        <v>46060</v>
      </c>
      <c r="B703" s="1" t="s">
        <v>388</v>
      </c>
      <c r="C703" s="1" t="s">
        <v>483</v>
      </c>
      <c r="D703" s="28">
        <f t="shared" si="258"/>
        <v>46083</v>
      </c>
      <c r="E703" s="28">
        <f t="shared" si="259"/>
        <v>46067</v>
      </c>
      <c r="F703" s="28">
        <f t="shared" si="260"/>
        <v>46074</v>
      </c>
      <c r="G703" s="28">
        <f t="shared" si="261"/>
        <v>46080</v>
      </c>
      <c r="H703" s="28">
        <f t="shared" si="262"/>
        <v>46068</v>
      </c>
      <c r="I703" s="28">
        <f t="shared" si="263"/>
        <v>46075</v>
      </c>
      <c r="J703" s="28">
        <v>46088</v>
      </c>
      <c r="K703" s="1">
        <f t="shared" si="268"/>
        <v>28</v>
      </c>
      <c r="L703" s="31">
        <v>16.190000000000001</v>
      </c>
      <c r="M703" s="31">
        <v>15.83</v>
      </c>
      <c r="N703" s="1">
        <f t="shared" si="269"/>
        <v>0.36000000000000121</v>
      </c>
      <c r="O703" s="1" t="s">
        <v>379</v>
      </c>
    </row>
    <row r="704" spans="1:15" x14ac:dyDescent="0.25">
      <c r="A704" s="28">
        <v>46060</v>
      </c>
      <c r="B704" s="1" t="s">
        <v>389</v>
      </c>
      <c r="C704" s="1" t="s">
        <v>484</v>
      </c>
      <c r="D704" s="28">
        <f t="shared" si="258"/>
        <v>46083</v>
      </c>
      <c r="E704" s="28">
        <f t="shared" si="259"/>
        <v>46067</v>
      </c>
      <c r="F704" s="28">
        <f t="shared" si="260"/>
        <v>46074</v>
      </c>
      <c r="G704" s="28">
        <f t="shared" si="261"/>
        <v>46080</v>
      </c>
      <c r="H704" s="28">
        <f t="shared" si="262"/>
        <v>46068</v>
      </c>
      <c r="I704" s="28">
        <f t="shared" si="263"/>
        <v>46075</v>
      </c>
      <c r="J704" s="28">
        <v>46088</v>
      </c>
      <c r="K704" s="1">
        <f t="shared" si="268"/>
        <v>28</v>
      </c>
      <c r="L704" s="31">
        <v>17.61</v>
      </c>
      <c r="M704" s="31">
        <v>16.96</v>
      </c>
      <c r="N704" s="1">
        <f t="shared" si="269"/>
        <v>0.64999999999999858</v>
      </c>
      <c r="O704" s="1" t="s">
        <v>379</v>
      </c>
    </row>
    <row r="705" spans="1:15" x14ac:dyDescent="0.25">
      <c r="A705" s="28">
        <v>46060</v>
      </c>
      <c r="B705" s="1" t="s">
        <v>393</v>
      </c>
      <c r="C705" s="1" t="s">
        <v>485</v>
      </c>
      <c r="D705" s="28">
        <f t="shared" si="258"/>
        <v>46083</v>
      </c>
      <c r="E705" s="28">
        <f t="shared" si="259"/>
        <v>46067</v>
      </c>
      <c r="F705" s="28">
        <f t="shared" si="260"/>
        <v>46074</v>
      </c>
      <c r="G705" s="28">
        <f t="shared" si="261"/>
        <v>46080</v>
      </c>
      <c r="H705" s="28">
        <f t="shared" si="262"/>
        <v>46068</v>
      </c>
      <c r="I705" s="28">
        <f t="shared" si="263"/>
        <v>46075</v>
      </c>
      <c r="J705" s="28">
        <v>46090</v>
      </c>
      <c r="K705" s="1">
        <f t="shared" si="268"/>
        <v>30</v>
      </c>
      <c r="L705" s="31">
        <v>15.42</v>
      </c>
      <c r="M705" s="31">
        <v>14.74</v>
      </c>
      <c r="N705" s="1">
        <f t="shared" si="269"/>
        <v>0.67999999999999972</v>
      </c>
      <c r="O705" s="1" t="s">
        <v>379</v>
      </c>
    </row>
    <row r="706" spans="1:15" x14ac:dyDescent="0.25">
      <c r="A706" s="28">
        <v>46060</v>
      </c>
      <c r="B706" s="1" t="s">
        <v>394</v>
      </c>
      <c r="C706" s="1" t="s">
        <v>486</v>
      </c>
      <c r="D706" s="28">
        <f t="shared" si="258"/>
        <v>46083</v>
      </c>
      <c r="E706" s="28">
        <f t="shared" si="259"/>
        <v>46067</v>
      </c>
      <c r="F706" s="28">
        <f t="shared" si="260"/>
        <v>46074</v>
      </c>
      <c r="G706" s="28">
        <f t="shared" si="261"/>
        <v>46080</v>
      </c>
      <c r="H706" s="28">
        <f t="shared" si="262"/>
        <v>46068</v>
      </c>
      <c r="I706" s="28">
        <f t="shared" si="263"/>
        <v>46075</v>
      </c>
      <c r="J706" s="28">
        <v>46090</v>
      </c>
      <c r="K706" s="1">
        <f t="shared" si="268"/>
        <v>30</v>
      </c>
      <c r="L706" s="31">
        <v>14.74</v>
      </c>
      <c r="M706" s="31">
        <v>13.28</v>
      </c>
      <c r="N706" s="1">
        <f t="shared" si="269"/>
        <v>1.4600000000000009</v>
      </c>
      <c r="O706" s="1" t="s">
        <v>379</v>
      </c>
    </row>
    <row r="707" spans="1:15" x14ac:dyDescent="0.25">
      <c r="A707" s="28">
        <v>46060</v>
      </c>
      <c r="B707" s="1" t="s">
        <v>395</v>
      </c>
      <c r="C707" s="1" t="s">
        <v>487</v>
      </c>
      <c r="D707" s="28">
        <f t="shared" si="258"/>
        <v>46083</v>
      </c>
      <c r="E707" s="28">
        <f t="shared" si="259"/>
        <v>46067</v>
      </c>
      <c r="F707" s="28">
        <f t="shared" si="260"/>
        <v>46074</v>
      </c>
      <c r="G707" s="28">
        <f t="shared" si="261"/>
        <v>46080</v>
      </c>
      <c r="H707" s="28">
        <f t="shared" si="262"/>
        <v>46068</v>
      </c>
      <c r="I707" s="28">
        <f t="shared" si="263"/>
        <v>46075</v>
      </c>
      <c r="J707" s="28">
        <v>46090</v>
      </c>
      <c r="K707" s="1">
        <f t="shared" si="268"/>
        <v>30</v>
      </c>
      <c r="L707" s="31">
        <v>13.56</v>
      </c>
      <c r="M707" s="31">
        <v>12.93</v>
      </c>
      <c r="N707" s="1">
        <f t="shared" si="269"/>
        <v>0.63000000000000078</v>
      </c>
      <c r="O707" s="1" t="s">
        <v>379</v>
      </c>
    </row>
    <row r="708" spans="1:15" x14ac:dyDescent="0.25">
      <c r="A708" s="28">
        <v>46060</v>
      </c>
      <c r="B708" s="1" t="s">
        <v>396</v>
      </c>
      <c r="C708" s="1" t="s">
        <v>488</v>
      </c>
      <c r="D708" s="28">
        <f t="shared" si="258"/>
        <v>46083</v>
      </c>
      <c r="E708" s="28">
        <f t="shared" si="259"/>
        <v>46067</v>
      </c>
      <c r="F708" s="28">
        <f t="shared" si="260"/>
        <v>46074</v>
      </c>
      <c r="G708" s="28">
        <f t="shared" si="261"/>
        <v>46080</v>
      </c>
      <c r="H708" s="28">
        <f t="shared" si="262"/>
        <v>46068</v>
      </c>
      <c r="I708" s="28">
        <f t="shared" si="263"/>
        <v>46075</v>
      </c>
      <c r="J708" s="28">
        <v>46090</v>
      </c>
      <c r="K708" s="1">
        <f t="shared" si="268"/>
        <v>30</v>
      </c>
      <c r="L708" s="31">
        <v>14.37</v>
      </c>
      <c r="M708" s="31">
        <v>13.54</v>
      </c>
      <c r="N708" s="1">
        <f t="shared" si="269"/>
        <v>0.83000000000000007</v>
      </c>
      <c r="O708" s="1" t="s">
        <v>379</v>
      </c>
    </row>
    <row r="709" spans="1:15" x14ac:dyDescent="0.25">
      <c r="A709" s="28">
        <v>46061</v>
      </c>
      <c r="B709" s="1" t="s">
        <v>397</v>
      </c>
      <c r="C709" s="1" t="s">
        <v>489</v>
      </c>
      <c r="D709" s="28">
        <f t="shared" si="258"/>
        <v>46084</v>
      </c>
      <c r="E709" s="28">
        <f t="shared" si="259"/>
        <v>46068</v>
      </c>
      <c r="F709" s="28">
        <f t="shared" si="260"/>
        <v>46075</v>
      </c>
      <c r="G709" s="28">
        <f t="shared" si="261"/>
        <v>46081</v>
      </c>
      <c r="H709" s="28">
        <f t="shared" si="262"/>
        <v>46069</v>
      </c>
      <c r="I709" s="28">
        <f t="shared" si="263"/>
        <v>46076</v>
      </c>
      <c r="J709" s="28">
        <v>46090</v>
      </c>
      <c r="K709" s="1">
        <f t="shared" si="268"/>
        <v>29</v>
      </c>
      <c r="L709" s="31">
        <v>15.81</v>
      </c>
      <c r="M709" s="31">
        <v>14.21</v>
      </c>
      <c r="N709" s="1">
        <f t="shared" si="269"/>
        <v>1.5999999999999996</v>
      </c>
      <c r="O709" s="1" t="s">
        <v>379</v>
      </c>
    </row>
    <row r="710" spans="1:15" x14ac:dyDescent="0.25">
      <c r="A710" s="28">
        <v>46061</v>
      </c>
      <c r="B710" s="1" t="s">
        <v>398</v>
      </c>
      <c r="C710" s="1" t="s">
        <v>490</v>
      </c>
      <c r="D710" s="28">
        <f t="shared" si="258"/>
        <v>46084</v>
      </c>
      <c r="E710" s="28">
        <f t="shared" si="259"/>
        <v>46068</v>
      </c>
      <c r="F710" s="28">
        <f t="shared" si="260"/>
        <v>46075</v>
      </c>
      <c r="G710" s="28">
        <f t="shared" si="261"/>
        <v>46081</v>
      </c>
      <c r="H710" s="28">
        <f t="shared" si="262"/>
        <v>46069</v>
      </c>
      <c r="I710" s="28">
        <f t="shared" si="263"/>
        <v>46076</v>
      </c>
      <c r="J710" s="28">
        <v>46090</v>
      </c>
      <c r="K710" s="1">
        <f t="shared" si="268"/>
        <v>29</v>
      </c>
      <c r="L710" s="31">
        <v>14.73</v>
      </c>
      <c r="M710" s="31">
        <v>13.56</v>
      </c>
      <c r="N710" s="1">
        <f t="shared" si="269"/>
        <v>1.17</v>
      </c>
      <c r="O710" s="1" t="s">
        <v>379</v>
      </c>
    </row>
    <row r="711" spans="1:15" x14ac:dyDescent="0.25">
      <c r="A711" s="28">
        <v>46061</v>
      </c>
      <c r="B711" s="1" t="s">
        <v>282</v>
      </c>
      <c r="C711" s="1" t="s">
        <v>491</v>
      </c>
      <c r="D711" s="28">
        <f t="shared" si="258"/>
        <v>46084</v>
      </c>
      <c r="E711" s="28">
        <f t="shared" si="259"/>
        <v>46068</v>
      </c>
      <c r="F711" s="28">
        <f t="shared" si="260"/>
        <v>46075</v>
      </c>
      <c r="G711" s="28">
        <f t="shared" si="261"/>
        <v>46081</v>
      </c>
      <c r="H711" s="28">
        <f t="shared" si="262"/>
        <v>46069</v>
      </c>
      <c r="I711" s="28">
        <f t="shared" si="263"/>
        <v>46076</v>
      </c>
      <c r="J711" s="28">
        <v>46091</v>
      </c>
      <c r="K711" s="1">
        <f t="shared" si="268"/>
        <v>30</v>
      </c>
      <c r="L711" s="31">
        <v>14.71</v>
      </c>
      <c r="M711" s="31">
        <v>13.58</v>
      </c>
      <c r="N711" s="1">
        <f t="shared" si="269"/>
        <v>1.1300000000000008</v>
      </c>
      <c r="O711" s="1" t="s">
        <v>379</v>
      </c>
    </row>
    <row r="712" spans="1:15" x14ac:dyDescent="0.25">
      <c r="A712" s="28">
        <v>46061</v>
      </c>
      <c r="B712" s="1" t="s">
        <v>283</v>
      </c>
      <c r="C712" s="1" t="s">
        <v>492</v>
      </c>
      <c r="D712" s="28">
        <f t="shared" si="258"/>
        <v>46084</v>
      </c>
      <c r="E712" s="28">
        <f t="shared" si="259"/>
        <v>46068</v>
      </c>
      <c r="F712" s="28">
        <f t="shared" si="260"/>
        <v>46075</v>
      </c>
      <c r="G712" s="28">
        <f t="shared" si="261"/>
        <v>46081</v>
      </c>
      <c r="H712" s="28">
        <f t="shared" si="262"/>
        <v>46069</v>
      </c>
      <c r="I712" s="28">
        <f t="shared" si="263"/>
        <v>46076</v>
      </c>
      <c r="J712" s="28">
        <v>46091</v>
      </c>
      <c r="K712" s="1">
        <f t="shared" si="268"/>
        <v>30</v>
      </c>
      <c r="L712" s="31">
        <v>15.36</v>
      </c>
      <c r="M712" s="31">
        <v>14.12</v>
      </c>
      <c r="N712" s="1">
        <f t="shared" si="269"/>
        <v>1.2400000000000002</v>
      </c>
      <c r="O712" s="1" t="s">
        <v>379</v>
      </c>
    </row>
    <row r="713" spans="1:15" x14ac:dyDescent="0.25">
      <c r="A713" s="28">
        <v>46061</v>
      </c>
      <c r="B713" s="1" t="s">
        <v>284</v>
      </c>
      <c r="C713" s="1" t="s">
        <v>493</v>
      </c>
      <c r="D713" s="28">
        <f t="shared" si="258"/>
        <v>46084</v>
      </c>
      <c r="E713" s="28">
        <f t="shared" si="259"/>
        <v>46068</v>
      </c>
      <c r="F713" s="28">
        <f t="shared" si="260"/>
        <v>46075</v>
      </c>
      <c r="G713" s="28">
        <f t="shared" si="261"/>
        <v>46081</v>
      </c>
      <c r="H713" s="28">
        <f t="shared" si="262"/>
        <v>46069</v>
      </c>
      <c r="I713" s="28">
        <f t="shared" si="263"/>
        <v>46076</v>
      </c>
      <c r="J713" s="28">
        <v>46091</v>
      </c>
      <c r="K713" s="1">
        <f t="shared" si="268"/>
        <v>30</v>
      </c>
      <c r="L713" s="31">
        <v>15.69</v>
      </c>
      <c r="M713" s="31">
        <v>14.73</v>
      </c>
      <c r="N713" s="1">
        <f t="shared" si="269"/>
        <v>0.95999999999999908</v>
      </c>
      <c r="O713" s="1" t="s">
        <v>379</v>
      </c>
    </row>
    <row r="714" spans="1:15" x14ac:dyDescent="0.25">
      <c r="A714" s="28">
        <v>46061</v>
      </c>
      <c r="B714" s="1" t="s">
        <v>285</v>
      </c>
      <c r="C714" s="1" t="s">
        <v>437</v>
      </c>
      <c r="D714" s="28">
        <v>46084</v>
      </c>
      <c r="E714" s="28">
        <v>46068</v>
      </c>
      <c r="F714" s="28">
        <v>46075</v>
      </c>
      <c r="G714" s="28">
        <v>46081</v>
      </c>
      <c r="H714" s="28">
        <v>46069</v>
      </c>
      <c r="I714" s="28">
        <v>46076</v>
      </c>
      <c r="J714" s="28">
        <v>46092</v>
      </c>
      <c r="K714" s="1">
        <v>31</v>
      </c>
      <c r="L714" s="31">
        <v>16.350000000000001</v>
      </c>
      <c r="M714" s="31">
        <v>15.24</v>
      </c>
      <c r="N714" s="1">
        <v>1.1100000000000012</v>
      </c>
      <c r="O714" s="1" t="s">
        <v>379</v>
      </c>
    </row>
    <row r="715" spans="1:15" x14ac:dyDescent="0.25">
      <c r="A715" s="28">
        <v>46061</v>
      </c>
      <c r="B715" s="1" t="s">
        <v>286</v>
      </c>
      <c r="C715" s="1" t="s">
        <v>438</v>
      </c>
      <c r="D715" s="28">
        <v>46084</v>
      </c>
      <c r="E715" s="28">
        <v>46068</v>
      </c>
      <c r="F715" s="28">
        <v>46075</v>
      </c>
      <c r="G715" s="28">
        <v>46081</v>
      </c>
      <c r="H715" s="28">
        <v>46069</v>
      </c>
      <c r="I715" s="28">
        <v>46076</v>
      </c>
      <c r="J715" s="28">
        <v>46092</v>
      </c>
      <c r="K715" s="1">
        <v>31</v>
      </c>
      <c r="L715" s="31">
        <v>16.97</v>
      </c>
      <c r="M715" s="31">
        <v>16.100000000000001</v>
      </c>
      <c r="N715" s="1">
        <v>0.86999999999999744</v>
      </c>
      <c r="O715" s="1" t="s">
        <v>379</v>
      </c>
    </row>
    <row r="716" spans="1:15" x14ac:dyDescent="0.25">
      <c r="A716" s="28">
        <v>46062</v>
      </c>
      <c r="B716" s="1" t="s">
        <v>339</v>
      </c>
      <c r="C716" s="1" t="s">
        <v>439</v>
      </c>
      <c r="D716" s="28">
        <v>46085</v>
      </c>
      <c r="E716" s="28">
        <v>46069</v>
      </c>
      <c r="F716" s="28">
        <v>46076</v>
      </c>
      <c r="G716" s="28">
        <v>46082</v>
      </c>
      <c r="H716" s="28">
        <v>46070</v>
      </c>
      <c r="I716" s="28">
        <v>46077</v>
      </c>
      <c r="J716" s="28">
        <v>46092</v>
      </c>
      <c r="K716" s="1">
        <v>30</v>
      </c>
      <c r="L716" s="31">
        <v>15.17</v>
      </c>
      <c r="M716" s="31">
        <v>14.36</v>
      </c>
      <c r="N716" s="1">
        <v>0.8100000000000005</v>
      </c>
      <c r="O716" s="1" t="s">
        <v>379</v>
      </c>
    </row>
    <row r="717" spans="1:15" x14ac:dyDescent="0.25">
      <c r="A717" s="28">
        <v>46062</v>
      </c>
      <c r="B717" s="1" t="s">
        <v>340</v>
      </c>
      <c r="C717" s="1" t="s">
        <v>440</v>
      </c>
      <c r="D717" s="28">
        <v>46085</v>
      </c>
      <c r="E717" s="28">
        <v>46069</v>
      </c>
      <c r="F717" s="28">
        <v>46076</v>
      </c>
      <c r="G717" s="28">
        <v>46082</v>
      </c>
      <c r="H717" s="28">
        <v>46070</v>
      </c>
      <c r="I717" s="28">
        <v>46077</v>
      </c>
      <c r="J717" s="28">
        <v>46092</v>
      </c>
      <c r="K717" s="1">
        <v>30</v>
      </c>
      <c r="L717" s="31">
        <v>15.06</v>
      </c>
      <c r="M717" s="31">
        <v>14.19</v>
      </c>
      <c r="N717" s="1">
        <v>0.87000000000000099</v>
      </c>
      <c r="O717" s="1" t="s">
        <v>379</v>
      </c>
    </row>
    <row r="718" spans="1:15" x14ac:dyDescent="0.25">
      <c r="A718" s="28">
        <v>46062</v>
      </c>
      <c r="B718" s="1" t="s">
        <v>341</v>
      </c>
      <c r="C718" s="1" t="s">
        <v>441</v>
      </c>
      <c r="D718" s="28">
        <v>46085</v>
      </c>
      <c r="E718" s="28">
        <v>46069</v>
      </c>
      <c r="F718" s="28">
        <v>46076</v>
      </c>
      <c r="G718" s="28">
        <v>46082</v>
      </c>
      <c r="H718" s="28">
        <v>46070</v>
      </c>
      <c r="I718" s="28">
        <v>46077</v>
      </c>
      <c r="J718" s="28">
        <v>46092</v>
      </c>
      <c r="K718" s="1">
        <v>30</v>
      </c>
      <c r="L718" s="31">
        <v>16.45</v>
      </c>
      <c r="M718" s="31">
        <v>15.73</v>
      </c>
      <c r="N718" s="31">
        <v>0.71999999999999886</v>
      </c>
      <c r="O718" s="31" t="s">
        <v>379</v>
      </c>
    </row>
    <row r="719" spans="1:15" x14ac:dyDescent="0.25">
      <c r="A719" s="28">
        <v>46062</v>
      </c>
      <c r="B719" s="1" t="s">
        <v>342</v>
      </c>
      <c r="C719" s="1" t="s">
        <v>442</v>
      </c>
      <c r="D719" s="28">
        <v>46085</v>
      </c>
      <c r="E719" s="28">
        <v>46069</v>
      </c>
      <c r="F719" s="28">
        <v>46076</v>
      </c>
      <c r="G719" s="28">
        <v>46082</v>
      </c>
      <c r="H719" s="28">
        <v>46070</v>
      </c>
      <c r="I719" s="28">
        <v>46077</v>
      </c>
      <c r="J719" s="28">
        <v>46092</v>
      </c>
      <c r="K719" s="1">
        <v>30</v>
      </c>
      <c r="L719" s="31">
        <v>14.96</v>
      </c>
      <c r="M719" s="31">
        <v>14.12</v>
      </c>
      <c r="N719" s="31">
        <v>0.84000000000000163</v>
      </c>
      <c r="O719" s="31" t="s">
        <v>379</v>
      </c>
    </row>
    <row r="720" spans="1:15" x14ac:dyDescent="0.25">
      <c r="A720" s="28">
        <v>46062</v>
      </c>
      <c r="B720" s="1" t="s">
        <v>343</v>
      </c>
      <c r="C720" s="1" t="s">
        <v>443</v>
      </c>
      <c r="D720" s="28">
        <v>46085</v>
      </c>
      <c r="E720" s="28">
        <v>46069</v>
      </c>
      <c r="F720" s="28">
        <v>46076</v>
      </c>
      <c r="G720" s="28">
        <v>46082</v>
      </c>
      <c r="H720" s="28">
        <v>46070</v>
      </c>
      <c r="I720" s="28">
        <v>46077</v>
      </c>
      <c r="J720" s="28">
        <v>46092</v>
      </c>
      <c r="K720" s="1">
        <v>30</v>
      </c>
      <c r="L720" s="31">
        <v>16.309999999999999</v>
      </c>
      <c r="M720" s="31">
        <v>15.58</v>
      </c>
      <c r="N720" s="1">
        <v>0.72999999999999865</v>
      </c>
      <c r="O720" s="1" t="s">
        <v>379</v>
      </c>
    </row>
    <row r="721" spans="1:15" x14ac:dyDescent="0.25">
      <c r="A721" s="28">
        <v>46062</v>
      </c>
      <c r="B721" s="1" t="s">
        <v>344</v>
      </c>
      <c r="C721" s="1" t="s">
        <v>444</v>
      </c>
      <c r="D721" s="28">
        <v>46085</v>
      </c>
      <c r="E721" s="28">
        <v>46069</v>
      </c>
      <c r="F721" s="28">
        <v>46076</v>
      </c>
      <c r="G721" s="28">
        <v>46082</v>
      </c>
      <c r="H721" s="28">
        <v>46070</v>
      </c>
      <c r="I721" s="28">
        <v>46077</v>
      </c>
      <c r="J721" s="28">
        <v>46092</v>
      </c>
      <c r="K721" s="1">
        <v>30</v>
      </c>
      <c r="L721" s="31">
        <v>15.08</v>
      </c>
      <c r="M721" s="31">
        <v>14.15</v>
      </c>
      <c r="N721" s="1">
        <v>0.92999999999999972</v>
      </c>
      <c r="O721" s="1" t="s">
        <v>379</v>
      </c>
    </row>
    <row r="722" spans="1:15" x14ac:dyDescent="0.25">
      <c r="A722" s="28">
        <v>46062</v>
      </c>
      <c r="B722" s="1" t="s">
        <v>345</v>
      </c>
      <c r="C722" s="1" t="s">
        <v>445</v>
      </c>
      <c r="D722" s="28">
        <v>46085</v>
      </c>
      <c r="E722" s="28">
        <v>46069</v>
      </c>
      <c r="F722" s="28">
        <v>46076</v>
      </c>
      <c r="G722" s="28">
        <v>46082</v>
      </c>
      <c r="H722" s="28">
        <v>46070</v>
      </c>
      <c r="I722" s="28">
        <v>46077</v>
      </c>
      <c r="J722" s="28">
        <v>46092</v>
      </c>
      <c r="K722" s="1">
        <v>30</v>
      </c>
      <c r="L722" s="31">
        <v>15.24</v>
      </c>
      <c r="M722" s="31">
        <v>14.75</v>
      </c>
      <c r="N722" s="1">
        <v>0.49000000000000021</v>
      </c>
      <c r="O722" s="1" t="s">
        <v>379</v>
      </c>
    </row>
    <row r="723" spans="1:15" x14ac:dyDescent="0.25">
      <c r="A723" s="28">
        <v>46063</v>
      </c>
      <c r="B723" s="1" t="s">
        <v>332</v>
      </c>
      <c r="C723" s="1" t="s">
        <v>494</v>
      </c>
      <c r="D723" s="28">
        <f t="shared" ref="D723:D786" si="270">A723+23</f>
        <v>46086</v>
      </c>
      <c r="E723" s="28">
        <f t="shared" ref="E723:E786" si="271">A723+7</f>
        <v>46070</v>
      </c>
      <c r="F723" s="28">
        <f t="shared" ref="F723:F786" si="272">A723+14</f>
        <v>46077</v>
      </c>
      <c r="G723" s="28">
        <f t="shared" ref="G723:G786" si="273">A723+20</f>
        <v>46083</v>
      </c>
      <c r="H723" s="28">
        <f t="shared" ref="H723:H786" si="274">A723+8</f>
        <v>46071</v>
      </c>
      <c r="I723" s="28">
        <f t="shared" ref="I723:I786" si="275">A723+15</f>
        <v>46078</v>
      </c>
      <c r="J723" s="28">
        <v>46093</v>
      </c>
      <c r="K723" s="1">
        <f t="shared" ref="K723:K786" si="276">J723-A723</f>
        <v>30</v>
      </c>
      <c r="L723" s="31">
        <v>17.25</v>
      </c>
      <c r="M723" s="31">
        <v>16.32</v>
      </c>
      <c r="N723" s="1">
        <f t="shared" ref="N723:N786" si="277">L723-M723</f>
        <v>0.92999999999999972</v>
      </c>
      <c r="O723" s="1" t="s">
        <v>379</v>
      </c>
    </row>
    <row r="724" spans="1:15" x14ac:dyDescent="0.25">
      <c r="A724" s="28">
        <v>46063</v>
      </c>
      <c r="B724" s="1" t="s">
        <v>333</v>
      </c>
      <c r="C724" s="1" t="s">
        <v>495</v>
      </c>
      <c r="D724" s="28">
        <f t="shared" si="270"/>
        <v>46086</v>
      </c>
      <c r="E724" s="28">
        <f t="shared" si="271"/>
        <v>46070</v>
      </c>
      <c r="F724" s="28">
        <f t="shared" si="272"/>
        <v>46077</v>
      </c>
      <c r="G724" s="28">
        <f t="shared" si="273"/>
        <v>46083</v>
      </c>
      <c r="H724" s="28">
        <f t="shared" si="274"/>
        <v>46071</v>
      </c>
      <c r="I724" s="28">
        <f t="shared" si="275"/>
        <v>46078</v>
      </c>
      <c r="J724" s="28">
        <v>46093</v>
      </c>
      <c r="K724" s="1">
        <f t="shared" si="276"/>
        <v>30</v>
      </c>
      <c r="L724" s="31">
        <v>17.11</v>
      </c>
      <c r="M724" s="31">
        <v>16.149999999999999</v>
      </c>
      <c r="N724" s="1">
        <f t="shared" si="277"/>
        <v>0.96000000000000085</v>
      </c>
      <c r="O724" s="1" t="s">
        <v>379</v>
      </c>
    </row>
    <row r="725" spans="1:15" x14ac:dyDescent="0.25">
      <c r="A725" s="28">
        <v>46063</v>
      </c>
      <c r="B725" s="1" t="s">
        <v>334</v>
      </c>
      <c r="C725" s="1" t="s">
        <v>496</v>
      </c>
      <c r="D725" s="28">
        <f t="shared" si="270"/>
        <v>46086</v>
      </c>
      <c r="E725" s="28">
        <f t="shared" si="271"/>
        <v>46070</v>
      </c>
      <c r="F725" s="28">
        <f t="shared" si="272"/>
        <v>46077</v>
      </c>
      <c r="G725" s="28">
        <f t="shared" si="273"/>
        <v>46083</v>
      </c>
      <c r="H725" s="28">
        <f t="shared" si="274"/>
        <v>46071</v>
      </c>
      <c r="I725" s="28">
        <f t="shared" si="275"/>
        <v>46078</v>
      </c>
      <c r="J725" s="28">
        <v>46093</v>
      </c>
      <c r="K725" s="1">
        <f t="shared" si="276"/>
        <v>30</v>
      </c>
      <c r="L725" s="31">
        <v>15.21</v>
      </c>
      <c r="M725" s="31">
        <v>14.25</v>
      </c>
      <c r="N725" s="1">
        <f t="shared" si="277"/>
        <v>0.96000000000000085</v>
      </c>
      <c r="O725" s="1" t="s">
        <v>379</v>
      </c>
    </row>
    <row r="726" spans="1:15" x14ac:dyDescent="0.25">
      <c r="A726" s="28">
        <v>46063</v>
      </c>
      <c r="B726" s="1" t="s">
        <v>335</v>
      </c>
      <c r="C726" s="1" t="s">
        <v>497</v>
      </c>
      <c r="D726" s="28">
        <f t="shared" si="270"/>
        <v>46086</v>
      </c>
      <c r="E726" s="28">
        <f t="shared" si="271"/>
        <v>46070</v>
      </c>
      <c r="F726" s="28">
        <f t="shared" si="272"/>
        <v>46077</v>
      </c>
      <c r="G726" s="28">
        <f t="shared" si="273"/>
        <v>46083</v>
      </c>
      <c r="H726" s="28">
        <f t="shared" si="274"/>
        <v>46071</v>
      </c>
      <c r="I726" s="28">
        <f t="shared" si="275"/>
        <v>46078</v>
      </c>
      <c r="J726" s="28">
        <v>46093</v>
      </c>
      <c r="K726" s="1">
        <f t="shared" si="276"/>
        <v>30</v>
      </c>
      <c r="L726" s="31">
        <v>15.73</v>
      </c>
      <c r="M726" s="31">
        <v>14.66</v>
      </c>
      <c r="N726" s="1">
        <f t="shared" si="277"/>
        <v>1.0700000000000003</v>
      </c>
      <c r="O726" s="1" t="s">
        <v>379</v>
      </c>
    </row>
    <row r="727" spans="1:15" x14ac:dyDescent="0.25">
      <c r="A727" s="28">
        <v>46063</v>
      </c>
      <c r="B727" s="1" t="s">
        <v>336</v>
      </c>
      <c r="C727" s="1" t="s">
        <v>498</v>
      </c>
      <c r="D727" s="28">
        <f t="shared" si="270"/>
        <v>46086</v>
      </c>
      <c r="E727" s="28">
        <f t="shared" si="271"/>
        <v>46070</v>
      </c>
      <c r="F727" s="28">
        <f t="shared" si="272"/>
        <v>46077</v>
      </c>
      <c r="G727" s="28">
        <f t="shared" si="273"/>
        <v>46083</v>
      </c>
      <c r="H727" s="28">
        <f t="shared" si="274"/>
        <v>46071</v>
      </c>
      <c r="I727" s="28">
        <f t="shared" si="275"/>
        <v>46078</v>
      </c>
      <c r="J727" s="28">
        <v>46093</v>
      </c>
      <c r="K727" s="1">
        <f t="shared" si="276"/>
        <v>30</v>
      </c>
      <c r="L727" s="31">
        <v>16.48</v>
      </c>
      <c r="M727" s="31">
        <v>15.74</v>
      </c>
      <c r="N727" s="1">
        <f t="shared" si="277"/>
        <v>0.74000000000000021</v>
      </c>
      <c r="O727" s="1" t="s">
        <v>379</v>
      </c>
    </row>
    <row r="728" spans="1:15" x14ac:dyDescent="0.25">
      <c r="A728" s="28">
        <v>46063</v>
      </c>
      <c r="B728" s="1" t="s">
        <v>337</v>
      </c>
      <c r="C728" s="1" t="s">
        <v>499</v>
      </c>
      <c r="D728" s="28">
        <f t="shared" si="270"/>
        <v>46086</v>
      </c>
      <c r="E728" s="28">
        <f t="shared" si="271"/>
        <v>46070</v>
      </c>
      <c r="F728" s="28">
        <f t="shared" si="272"/>
        <v>46077</v>
      </c>
      <c r="G728" s="28">
        <f t="shared" si="273"/>
        <v>46083</v>
      </c>
      <c r="H728" s="28">
        <f t="shared" si="274"/>
        <v>46071</v>
      </c>
      <c r="I728" s="28">
        <f t="shared" si="275"/>
        <v>46078</v>
      </c>
      <c r="J728" s="28">
        <v>46093</v>
      </c>
      <c r="K728" s="1">
        <f t="shared" si="276"/>
        <v>30</v>
      </c>
      <c r="L728" s="31">
        <v>16.100000000000001</v>
      </c>
      <c r="M728" s="31">
        <v>15.21</v>
      </c>
      <c r="N728" s="1">
        <f t="shared" si="277"/>
        <v>0.89000000000000057</v>
      </c>
      <c r="O728" s="1" t="s">
        <v>379</v>
      </c>
    </row>
    <row r="729" spans="1:15" x14ac:dyDescent="0.25">
      <c r="A729" s="28">
        <v>46063</v>
      </c>
      <c r="B729" s="1" t="s">
        <v>338</v>
      </c>
      <c r="C729" s="1" t="s">
        <v>500</v>
      </c>
      <c r="D729" s="28">
        <f t="shared" si="270"/>
        <v>46086</v>
      </c>
      <c r="E729" s="28">
        <f t="shared" si="271"/>
        <v>46070</v>
      </c>
      <c r="F729" s="28">
        <f t="shared" si="272"/>
        <v>46077</v>
      </c>
      <c r="G729" s="28">
        <f t="shared" si="273"/>
        <v>46083</v>
      </c>
      <c r="H729" s="28">
        <f t="shared" si="274"/>
        <v>46071</v>
      </c>
      <c r="I729" s="28">
        <f t="shared" si="275"/>
        <v>46078</v>
      </c>
      <c r="J729" s="28">
        <v>46093</v>
      </c>
      <c r="K729" s="1">
        <f t="shared" si="276"/>
        <v>30</v>
      </c>
      <c r="L729" s="31">
        <v>15.12</v>
      </c>
      <c r="M729" s="31">
        <v>14.26</v>
      </c>
      <c r="N729" s="1">
        <f t="shared" si="277"/>
        <v>0.85999999999999943</v>
      </c>
      <c r="O729" s="1" t="s">
        <v>379</v>
      </c>
    </row>
    <row r="730" spans="1:15" x14ac:dyDescent="0.25">
      <c r="A730" s="28">
        <v>46064</v>
      </c>
      <c r="B730" s="1" t="s">
        <v>324</v>
      </c>
      <c r="C730" s="1" t="s">
        <v>501</v>
      </c>
      <c r="D730" s="28">
        <f t="shared" si="270"/>
        <v>46087</v>
      </c>
      <c r="E730" s="28">
        <f t="shared" si="271"/>
        <v>46071</v>
      </c>
      <c r="F730" s="28">
        <f t="shared" si="272"/>
        <v>46078</v>
      </c>
      <c r="G730" s="28">
        <f t="shared" si="273"/>
        <v>46084</v>
      </c>
      <c r="H730" s="28">
        <f t="shared" si="274"/>
        <v>46072</v>
      </c>
      <c r="I730" s="28">
        <f t="shared" si="275"/>
        <v>46079</v>
      </c>
      <c r="J730" s="28">
        <v>46094</v>
      </c>
      <c r="K730" s="1">
        <f t="shared" si="276"/>
        <v>30</v>
      </c>
      <c r="L730" s="31">
        <v>17.34</v>
      </c>
      <c r="M730" s="31">
        <v>16.28</v>
      </c>
      <c r="N730" s="1">
        <f t="shared" si="277"/>
        <v>1.0599999999999987</v>
      </c>
      <c r="O730" s="1" t="s">
        <v>379</v>
      </c>
    </row>
    <row r="731" spans="1:15" x14ac:dyDescent="0.25">
      <c r="A731" s="28">
        <v>46064</v>
      </c>
      <c r="B731" s="1" t="s">
        <v>325</v>
      </c>
      <c r="C731" s="1" t="s">
        <v>502</v>
      </c>
      <c r="D731" s="28">
        <f t="shared" si="270"/>
        <v>46087</v>
      </c>
      <c r="E731" s="28">
        <f t="shared" si="271"/>
        <v>46071</v>
      </c>
      <c r="F731" s="28">
        <f t="shared" si="272"/>
        <v>46078</v>
      </c>
      <c r="G731" s="28">
        <f t="shared" si="273"/>
        <v>46084</v>
      </c>
      <c r="H731" s="28">
        <f t="shared" si="274"/>
        <v>46072</v>
      </c>
      <c r="I731" s="28">
        <f t="shared" si="275"/>
        <v>46079</v>
      </c>
      <c r="J731" s="28">
        <v>46094</v>
      </c>
      <c r="K731" s="1">
        <f t="shared" si="276"/>
        <v>30</v>
      </c>
      <c r="L731" s="31">
        <v>16.190000000000001</v>
      </c>
      <c r="M731" s="31">
        <v>15.73</v>
      </c>
      <c r="N731" s="1">
        <f t="shared" si="277"/>
        <v>0.46000000000000085</v>
      </c>
      <c r="O731" s="1" t="s">
        <v>379</v>
      </c>
    </row>
    <row r="732" spans="1:15" x14ac:dyDescent="0.25">
      <c r="A732" s="28">
        <v>46064</v>
      </c>
      <c r="B732" s="1" t="s">
        <v>326</v>
      </c>
      <c r="C732" s="1" t="s">
        <v>503</v>
      </c>
      <c r="D732" s="28">
        <f t="shared" si="270"/>
        <v>46087</v>
      </c>
      <c r="E732" s="28">
        <f t="shared" si="271"/>
        <v>46071</v>
      </c>
      <c r="F732" s="28">
        <f t="shared" si="272"/>
        <v>46078</v>
      </c>
      <c r="G732" s="28">
        <f t="shared" si="273"/>
        <v>46084</v>
      </c>
      <c r="H732" s="28">
        <f t="shared" si="274"/>
        <v>46072</v>
      </c>
      <c r="I732" s="28">
        <f t="shared" si="275"/>
        <v>46079</v>
      </c>
      <c r="J732" s="28">
        <v>46094</v>
      </c>
      <c r="K732" s="1">
        <f t="shared" si="276"/>
        <v>30</v>
      </c>
      <c r="L732" s="31">
        <v>15.63</v>
      </c>
      <c r="M732" s="31">
        <v>14.54</v>
      </c>
      <c r="N732" s="1">
        <f t="shared" si="277"/>
        <v>1.0900000000000016</v>
      </c>
      <c r="O732" s="1" t="s">
        <v>379</v>
      </c>
    </row>
    <row r="733" spans="1:15" x14ac:dyDescent="0.25">
      <c r="A733" s="28">
        <v>46064</v>
      </c>
      <c r="B733" s="1" t="s">
        <v>327</v>
      </c>
      <c r="C733" s="1" t="s">
        <v>504</v>
      </c>
      <c r="D733" s="28">
        <f t="shared" si="270"/>
        <v>46087</v>
      </c>
      <c r="E733" s="28">
        <f t="shared" si="271"/>
        <v>46071</v>
      </c>
      <c r="F733" s="28">
        <f t="shared" si="272"/>
        <v>46078</v>
      </c>
      <c r="G733" s="28">
        <f t="shared" si="273"/>
        <v>46084</v>
      </c>
      <c r="H733" s="28">
        <f t="shared" si="274"/>
        <v>46072</v>
      </c>
      <c r="I733" s="28">
        <f t="shared" si="275"/>
        <v>46079</v>
      </c>
      <c r="J733" s="28">
        <v>46094</v>
      </c>
      <c r="K733" s="1">
        <f t="shared" si="276"/>
        <v>30</v>
      </c>
      <c r="L733" s="1">
        <v>15.58</v>
      </c>
      <c r="M733" s="1">
        <v>14.37</v>
      </c>
      <c r="N733" s="1">
        <f t="shared" si="277"/>
        <v>1.2100000000000009</v>
      </c>
      <c r="O733" s="1" t="s">
        <v>379</v>
      </c>
    </row>
    <row r="734" spans="1:15" x14ac:dyDescent="0.25">
      <c r="A734" s="28">
        <v>46064</v>
      </c>
      <c r="B734" s="1" t="s">
        <v>328</v>
      </c>
      <c r="C734" s="1" t="s">
        <v>505</v>
      </c>
      <c r="D734" s="28">
        <f t="shared" si="270"/>
        <v>46087</v>
      </c>
      <c r="E734" s="28">
        <f t="shared" si="271"/>
        <v>46071</v>
      </c>
      <c r="F734" s="28">
        <f t="shared" si="272"/>
        <v>46078</v>
      </c>
      <c r="G734" s="28">
        <f t="shared" si="273"/>
        <v>46084</v>
      </c>
      <c r="H734" s="28">
        <f t="shared" si="274"/>
        <v>46072</v>
      </c>
      <c r="I734" s="28">
        <f t="shared" si="275"/>
        <v>46079</v>
      </c>
      <c r="J734" s="28">
        <v>46094</v>
      </c>
      <c r="K734" s="1">
        <f t="shared" si="276"/>
        <v>30</v>
      </c>
      <c r="L734" s="1">
        <v>16.03</v>
      </c>
      <c r="M734" s="1">
        <v>15.1</v>
      </c>
      <c r="N734" s="1">
        <f t="shared" si="277"/>
        <v>0.93000000000000149</v>
      </c>
      <c r="O734" s="1" t="s">
        <v>379</v>
      </c>
    </row>
    <row r="735" spans="1:15" x14ac:dyDescent="0.25">
      <c r="A735" s="28">
        <v>46064</v>
      </c>
      <c r="B735" s="1" t="s">
        <v>329</v>
      </c>
      <c r="C735" s="1" t="s">
        <v>506</v>
      </c>
      <c r="D735" s="28">
        <f t="shared" si="270"/>
        <v>46087</v>
      </c>
      <c r="E735" s="28">
        <f t="shared" si="271"/>
        <v>46071</v>
      </c>
      <c r="F735" s="28">
        <f t="shared" si="272"/>
        <v>46078</v>
      </c>
      <c r="G735" s="28">
        <f t="shared" si="273"/>
        <v>46084</v>
      </c>
      <c r="H735" s="28">
        <f t="shared" si="274"/>
        <v>46072</v>
      </c>
      <c r="I735" s="28">
        <f t="shared" si="275"/>
        <v>46079</v>
      </c>
      <c r="J735" s="28">
        <v>46094</v>
      </c>
      <c r="K735" s="1">
        <f t="shared" si="276"/>
        <v>30</v>
      </c>
      <c r="L735" s="1">
        <v>15.47</v>
      </c>
      <c r="M735" s="1">
        <v>14.26</v>
      </c>
      <c r="N735" s="1">
        <f t="shared" si="277"/>
        <v>1.2100000000000009</v>
      </c>
      <c r="O735" s="1" t="s">
        <v>379</v>
      </c>
    </row>
    <row r="736" spans="1:15" x14ac:dyDescent="0.25">
      <c r="A736" s="28">
        <v>46064</v>
      </c>
      <c r="B736" s="1" t="s">
        <v>330</v>
      </c>
      <c r="C736" s="1" t="s">
        <v>507</v>
      </c>
      <c r="D736" s="28">
        <f t="shared" si="270"/>
        <v>46087</v>
      </c>
      <c r="E736" s="28">
        <f t="shared" si="271"/>
        <v>46071</v>
      </c>
      <c r="F736" s="28">
        <f t="shared" si="272"/>
        <v>46078</v>
      </c>
      <c r="G736" s="28">
        <f t="shared" si="273"/>
        <v>46084</v>
      </c>
      <c r="H736" s="28">
        <f t="shared" si="274"/>
        <v>46072</v>
      </c>
      <c r="I736" s="28">
        <f t="shared" si="275"/>
        <v>46079</v>
      </c>
      <c r="J736" s="28">
        <v>46094</v>
      </c>
      <c r="K736" s="1">
        <f t="shared" si="276"/>
        <v>30</v>
      </c>
      <c r="L736" s="1">
        <v>16.21</v>
      </c>
      <c r="M736" s="1">
        <v>15.17</v>
      </c>
      <c r="N736" s="1">
        <f t="shared" si="277"/>
        <v>1.0400000000000009</v>
      </c>
      <c r="O736" s="1" t="s">
        <v>379</v>
      </c>
    </row>
    <row r="737" spans="1:15" x14ac:dyDescent="0.25">
      <c r="A737" s="28">
        <v>46064</v>
      </c>
      <c r="B737" s="1" t="s">
        <v>331</v>
      </c>
      <c r="C737" s="1" t="s">
        <v>508</v>
      </c>
      <c r="D737" s="28">
        <f t="shared" si="270"/>
        <v>46087</v>
      </c>
      <c r="E737" s="28">
        <f t="shared" si="271"/>
        <v>46071</v>
      </c>
      <c r="F737" s="28">
        <f t="shared" si="272"/>
        <v>46078</v>
      </c>
      <c r="G737" s="28">
        <f t="shared" si="273"/>
        <v>46084</v>
      </c>
      <c r="H737" s="28">
        <f t="shared" si="274"/>
        <v>46072</v>
      </c>
      <c r="I737" s="28">
        <f t="shared" si="275"/>
        <v>46079</v>
      </c>
      <c r="J737" s="28">
        <v>46094</v>
      </c>
      <c r="K737" s="1">
        <f t="shared" si="276"/>
        <v>30</v>
      </c>
      <c r="L737" s="1">
        <v>17.350000000000001</v>
      </c>
      <c r="M737" s="1">
        <v>16.21</v>
      </c>
      <c r="N737" s="1">
        <f t="shared" si="277"/>
        <v>1.1400000000000006</v>
      </c>
      <c r="O737" s="1" t="s">
        <v>379</v>
      </c>
    </row>
    <row r="738" spans="1:15" x14ac:dyDescent="0.25">
      <c r="A738" s="28">
        <v>46065</v>
      </c>
      <c r="B738" s="1" t="s">
        <v>303</v>
      </c>
      <c r="C738" s="1" t="s">
        <v>509</v>
      </c>
      <c r="D738" s="28">
        <f t="shared" si="270"/>
        <v>46088</v>
      </c>
      <c r="E738" s="28">
        <f t="shared" si="271"/>
        <v>46072</v>
      </c>
      <c r="F738" s="28">
        <f t="shared" si="272"/>
        <v>46079</v>
      </c>
      <c r="G738" s="28">
        <f t="shared" si="273"/>
        <v>46085</v>
      </c>
      <c r="H738" s="28">
        <f t="shared" si="274"/>
        <v>46073</v>
      </c>
      <c r="I738" s="28">
        <f t="shared" si="275"/>
        <v>46080</v>
      </c>
      <c r="J738" s="28">
        <v>46094</v>
      </c>
      <c r="K738" s="1">
        <f t="shared" si="276"/>
        <v>29</v>
      </c>
      <c r="L738" s="1">
        <v>16.2</v>
      </c>
      <c r="M738" s="1">
        <v>15.16</v>
      </c>
      <c r="N738" s="1">
        <f t="shared" si="277"/>
        <v>1.0399999999999991</v>
      </c>
      <c r="O738" s="1" t="s">
        <v>379</v>
      </c>
    </row>
    <row r="739" spans="1:15" x14ac:dyDescent="0.25">
      <c r="A739" s="28">
        <v>46065</v>
      </c>
      <c r="B739" s="1" t="s">
        <v>304</v>
      </c>
      <c r="C739" s="1" t="s">
        <v>510</v>
      </c>
      <c r="D739" s="28">
        <f t="shared" si="270"/>
        <v>46088</v>
      </c>
      <c r="E739" s="28">
        <f t="shared" si="271"/>
        <v>46072</v>
      </c>
      <c r="F739" s="28">
        <f t="shared" si="272"/>
        <v>46079</v>
      </c>
      <c r="G739" s="28">
        <f t="shared" si="273"/>
        <v>46085</v>
      </c>
      <c r="H739" s="28">
        <f t="shared" si="274"/>
        <v>46073</v>
      </c>
      <c r="I739" s="28">
        <f t="shared" si="275"/>
        <v>46080</v>
      </c>
      <c r="J739" s="28">
        <v>46095</v>
      </c>
      <c r="K739" s="1">
        <f t="shared" si="276"/>
        <v>30</v>
      </c>
      <c r="L739" s="1">
        <v>14.38</v>
      </c>
      <c r="M739" s="1">
        <v>12.25</v>
      </c>
      <c r="N739" s="1">
        <f t="shared" si="277"/>
        <v>2.1300000000000008</v>
      </c>
      <c r="O739" s="1" t="s">
        <v>379</v>
      </c>
    </row>
    <row r="740" spans="1:15" x14ac:dyDescent="0.25">
      <c r="A740" s="28">
        <v>46065</v>
      </c>
      <c r="B740" s="1" t="s">
        <v>305</v>
      </c>
      <c r="C740" s="1" t="s">
        <v>511</v>
      </c>
      <c r="D740" s="28">
        <f t="shared" si="270"/>
        <v>46088</v>
      </c>
      <c r="E740" s="28">
        <f t="shared" si="271"/>
        <v>46072</v>
      </c>
      <c r="F740" s="28">
        <f t="shared" si="272"/>
        <v>46079</v>
      </c>
      <c r="G740" s="28">
        <f t="shared" si="273"/>
        <v>46085</v>
      </c>
      <c r="H740" s="28">
        <f t="shared" si="274"/>
        <v>46073</v>
      </c>
      <c r="I740" s="28">
        <f t="shared" si="275"/>
        <v>46080</v>
      </c>
      <c r="J740" s="28">
        <v>46095</v>
      </c>
      <c r="K740" s="1">
        <f t="shared" si="276"/>
        <v>30</v>
      </c>
      <c r="L740" s="1">
        <v>14.21</v>
      </c>
      <c r="M740" s="1">
        <v>12.37</v>
      </c>
      <c r="N740" s="1">
        <f t="shared" si="277"/>
        <v>1.8400000000000016</v>
      </c>
      <c r="O740" s="1" t="s">
        <v>379</v>
      </c>
    </row>
    <row r="741" spans="1:15" x14ac:dyDescent="0.25">
      <c r="A741" s="28">
        <v>46065</v>
      </c>
      <c r="B741" s="1" t="s">
        <v>306</v>
      </c>
      <c r="C741" s="1" t="s">
        <v>512</v>
      </c>
      <c r="D741" s="28">
        <f t="shared" si="270"/>
        <v>46088</v>
      </c>
      <c r="E741" s="28">
        <f t="shared" si="271"/>
        <v>46072</v>
      </c>
      <c r="F741" s="28">
        <f t="shared" si="272"/>
        <v>46079</v>
      </c>
      <c r="G741" s="28">
        <f t="shared" si="273"/>
        <v>46085</v>
      </c>
      <c r="H741" s="28">
        <f t="shared" si="274"/>
        <v>46073</v>
      </c>
      <c r="I741" s="28">
        <f t="shared" si="275"/>
        <v>46080</v>
      </c>
      <c r="J741" s="28">
        <v>46095</v>
      </c>
      <c r="K741" s="1">
        <f t="shared" si="276"/>
        <v>30</v>
      </c>
      <c r="L741" s="1">
        <v>14.73</v>
      </c>
      <c r="M741" s="1">
        <v>12.54</v>
      </c>
      <c r="N741" s="1">
        <f t="shared" si="277"/>
        <v>2.1900000000000013</v>
      </c>
      <c r="O741" s="1" t="s">
        <v>379</v>
      </c>
    </row>
    <row r="742" spans="1:15" x14ac:dyDescent="0.25">
      <c r="A742" s="28">
        <v>46065</v>
      </c>
      <c r="B742" s="1" t="s">
        <v>307</v>
      </c>
      <c r="C742" s="1" t="s">
        <v>513</v>
      </c>
      <c r="D742" s="28">
        <f t="shared" si="270"/>
        <v>46088</v>
      </c>
      <c r="E742" s="28">
        <f t="shared" si="271"/>
        <v>46072</v>
      </c>
      <c r="F742" s="28">
        <f t="shared" si="272"/>
        <v>46079</v>
      </c>
      <c r="G742" s="28">
        <f t="shared" si="273"/>
        <v>46085</v>
      </c>
      <c r="H742" s="28">
        <f t="shared" si="274"/>
        <v>46073</v>
      </c>
      <c r="I742" s="28">
        <f t="shared" si="275"/>
        <v>46080</v>
      </c>
      <c r="J742" s="28">
        <v>46095</v>
      </c>
      <c r="K742" s="1">
        <f t="shared" si="276"/>
        <v>30</v>
      </c>
      <c r="L742" s="1">
        <v>12.91</v>
      </c>
      <c r="M742" s="1">
        <v>11.24</v>
      </c>
      <c r="N742" s="1">
        <f t="shared" si="277"/>
        <v>1.67</v>
      </c>
      <c r="O742" s="1" t="s">
        <v>379</v>
      </c>
    </row>
    <row r="743" spans="1:15" x14ac:dyDescent="0.25">
      <c r="A743" s="28">
        <v>46065</v>
      </c>
      <c r="B743" s="1" t="s">
        <v>308</v>
      </c>
      <c r="C743" s="1" t="s">
        <v>514</v>
      </c>
      <c r="D743" s="28">
        <f t="shared" si="270"/>
        <v>46088</v>
      </c>
      <c r="E743" s="28">
        <f t="shared" si="271"/>
        <v>46072</v>
      </c>
      <c r="F743" s="28">
        <f t="shared" si="272"/>
        <v>46079</v>
      </c>
      <c r="G743" s="28">
        <f t="shared" si="273"/>
        <v>46085</v>
      </c>
      <c r="H743" s="28">
        <f t="shared" si="274"/>
        <v>46073</v>
      </c>
      <c r="I743" s="28">
        <f t="shared" si="275"/>
        <v>46080</v>
      </c>
      <c r="J743" s="28">
        <v>46095</v>
      </c>
      <c r="K743" s="1">
        <f t="shared" si="276"/>
        <v>30</v>
      </c>
      <c r="L743" s="1">
        <v>13.54</v>
      </c>
      <c r="M743" s="1">
        <v>11.58</v>
      </c>
      <c r="N743" s="1">
        <f t="shared" si="277"/>
        <v>1.9599999999999991</v>
      </c>
      <c r="O743" s="1" t="s">
        <v>379</v>
      </c>
    </row>
    <row r="744" spans="1:15" x14ac:dyDescent="0.25">
      <c r="A744" s="28">
        <v>46065</v>
      </c>
      <c r="B744" s="1" t="s">
        <v>309</v>
      </c>
      <c r="C744" s="1" t="s">
        <v>515</v>
      </c>
      <c r="D744" s="28">
        <f t="shared" si="270"/>
        <v>46088</v>
      </c>
      <c r="E744" s="28">
        <f t="shared" si="271"/>
        <v>46072</v>
      </c>
      <c r="F744" s="28">
        <f t="shared" si="272"/>
        <v>46079</v>
      </c>
      <c r="G744" s="28">
        <f t="shared" si="273"/>
        <v>46085</v>
      </c>
      <c r="H744" s="28">
        <f t="shared" si="274"/>
        <v>46073</v>
      </c>
      <c r="I744" s="28">
        <f t="shared" si="275"/>
        <v>46080</v>
      </c>
      <c r="J744" s="28">
        <v>46095</v>
      </c>
      <c r="K744" s="1">
        <f t="shared" si="276"/>
        <v>30</v>
      </c>
      <c r="L744" s="1">
        <v>14.56</v>
      </c>
      <c r="M744" s="1">
        <v>12.41</v>
      </c>
      <c r="N744" s="1">
        <f t="shared" si="277"/>
        <v>2.1500000000000004</v>
      </c>
      <c r="O744" s="1" t="s">
        <v>379</v>
      </c>
    </row>
    <row r="745" spans="1:15" x14ac:dyDescent="0.25">
      <c r="A745" s="28">
        <v>46066</v>
      </c>
      <c r="B745" s="1" t="s">
        <v>310</v>
      </c>
      <c r="C745" s="1" t="s">
        <v>516</v>
      </c>
      <c r="D745" s="28">
        <f t="shared" si="270"/>
        <v>46089</v>
      </c>
      <c r="E745" s="28">
        <f t="shared" si="271"/>
        <v>46073</v>
      </c>
      <c r="F745" s="28">
        <f t="shared" si="272"/>
        <v>46080</v>
      </c>
      <c r="G745" s="28">
        <f t="shared" si="273"/>
        <v>46086</v>
      </c>
      <c r="H745" s="28">
        <f t="shared" si="274"/>
        <v>46074</v>
      </c>
      <c r="I745" s="28">
        <f t="shared" si="275"/>
        <v>46081</v>
      </c>
      <c r="J745" s="28">
        <v>46095</v>
      </c>
      <c r="K745" s="1">
        <f t="shared" si="276"/>
        <v>29</v>
      </c>
      <c r="L745" s="1">
        <v>13.1</v>
      </c>
      <c r="M745" s="1">
        <v>10.32</v>
      </c>
      <c r="N745" s="1">
        <f t="shared" si="277"/>
        <v>2.7799999999999994</v>
      </c>
      <c r="O745" s="1" t="s">
        <v>379</v>
      </c>
    </row>
    <row r="746" spans="1:15" x14ac:dyDescent="0.25">
      <c r="A746" s="28">
        <v>46066</v>
      </c>
      <c r="B746" s="1" t="s">
        <v>311</v>
      </c>
      <c r="C746" s="1" t="s">
        <v>517</v>
      </c>
      <c r="D746" s="28">
        <f t="shared" si="270"/>
        <v>46089</v>
      </c>
      <c r="E746" s="28">
        <f t="shared" si="271"/>
        <v>46073</v>
      </c>
      <c r="F746" s="28">
        <f t="shared" si="272"/>
        <v>46080</v>
      </c>
      <c r="G746" s="28">
        <f t="shared" si="273"/>
        <v>46086</v>
      </c>
      <c r="H746" s="28">
        <f t="shared" si="274"/>
        <v>46074</v>
      </c>
      <c r="I746" s="28">
        <f t="shared" si="275"/>
        <v>46081</v>
      </c>
      <c r="J746" s="28">
        <v>46095</v>
      </c>
      <c r="K746" s="1">
        <f t="shared" si="276"/>
        <v>29</v>
      </c>
      <c r="L746" s="1">
        <v>13.86</v>
      </c>
      <c r="M746" s="1">
        <v>11.73</v>
      </c>
      <c r="N746" s="1">
        <f t="shared" si="277"/>
        <v>2.129999999999999</v>
      </c>
      <c r="O746" s="1" t="s">
        <v>379</v>
      </c>
    </row>
    <row r="747" spans="1:15" x14ac:dyDescent="0.25">
      <c r="A747" s="28">
        <v>46066</v>
      </c>
      <c r="B747" s="1" t="s">
        <v>312</v>
      </c>
      <c r="C747" s="1" t="s">
        <v>518</v>
      </c>
      <c r="D747" s="28">
        <f t="shared" si="270"/>
        <v>46089</v>
      </c>
      <c r="E747" s="28">
        <f t="shared" si="271"/>
        <v>46073</v>
      </c>
      <c r="F747" s="28">
        <f t="shared" si="272"/>
        <v>46080</v>
      </c>
      <c r="G747" s="28">
        <f t="shared" si="273"/>
        <v>46086</v>
      </c>
      <c r="H747" s="28">
        <f t="shared" si="274"/>
        <v>46074</v>
      </c>
      <c r="I747" s="28">
        <f t="shared" si="275"/>
        <v>46081</v>
      </c>
      <c r="J747" s="28">
        <v>46095</v>
      </c>
      <c r="K747" s="1">
        <f t="shared" si="276"/>
        <v>29</v>
      </c>
      <c r="L747" s="1">
        <v>14.8</v>
      </c>
      <c r="M747" s="1">
        <v>12.64</v>
      </c>
      <c r="N747" s="1">
        <f t="shared" si="277"/>
        <v>2.16</v>
      </c>
      <c r="O747" s="1" t="s">
        <v>379</v>
      </c>
    </row>
    <row r="748" spans="1:15" x14ac:dyDescent="0.25">
      <c r="A748" s="28">
        <v>46066</v>
      </c>
      <c r="B748" s="1" t="s">
        <v>313</v>
      </c>
      <c r="C748" s="1" t="s">
        <v>519</v>
      </c>
      <c r="D748" s="28">
        <f t="shared" si="270"/>
        <v>46089</v>
      </c>
      <c r="E748" s="28">
        <f t="shared" si="271"/>
        <v>46073</v>
      </c>
      <c r="F748" s="28">
        <f t="shared" si="272"/>
        <v>46080</v>
      </c>
      <c r="G748" s="28">
        <f t="shared" si="273"/>
        <v>46086</v>
      </c>
      <c r="H748" s="28">
        <f t="shared" si="274"/>
        <v>46074</v>
      </c>
      <c r="I748" s="28">
        <f t="shared" si="275"/>
        <v>46081</v>
      </c>
      <c r="J748" s="28">
        <v>46095</v>
      </c>
      <c r="K748" s="1">
        <f t="shared" si="276"/>
        <v>29</v>
      </c>
      <c r="L748" s="1">
        <v>14.74</v>
      </c>
      <c r="M748" s="1">
        <v>12.58</v>
      </c>
      <c r="N748" s="1">
        <f t="shared" si="277"/>
        <v>2.16</v>
      </c>
      <c r="O748" s="1" t="s">
        <v>379</v>
      </c>
    </row>
    <row r="749" spans="1:15" x14ac:dyDescent="0.25">
      <c r="A749" s="28">
        <v>46066</v>
      </c>
      <c r="B749" s="1" t="s">
        <v>314</v>
      </c>
      <c r="C749" s="1" t="s">
        <v>520</v>
      </c>
      <c r="D749" s="28">
        <f t="shared" si="270"/>
        <v>46089</v>
      </c>
      <c r="E749" s="28">
        <f t="shared" si="271"/>
        <v>46073</v>
      </c>
      <c r="F749" s="28">
        <f t="shared" si="272"/>
        <v>46080</v>
      </c>
      <c r="G749" s="28">
        <f t="shared" si="273"/>
        <v>46086</v>
      </c>
      <c r="H749" s="28">
        <f t="shared" si="274"/>
        <v>46074</v>
      </c>
      <c r="I749" s="28">
        <f t="shared" si="275"/>
        <v>46081</v>
      </c>
      <c r="J749" s="28">
        <v>46096</v>
      </c>
      <c r="K749" s="1">
        <f t="shared" si="276"/>
        <v>30</v>
      </c>
      <c r="L749" s="1">
        <v>10.81</v>
      </c>
      <c r="M749" s="1">
        <v>8.5299999999999994</v>
      </c>
      <c r="N749" s="1">
        <f t="shared" si="277"/>
        <v>2.2800000000000011</v>
      </c>
      <c r="O749" s="1" t="s">
        <v>379</v>
      </c>
    </row>
    <row r="750" spans="1:15" x14ac:dyDescent="0.25">
      <c r="A750" s="28">
        <v>46066</v>
      </c>
      <c r="B750" s="1" t="s">
        <v>315</v>
      </c>
      <c r="C750" s="1" t="s">
        <v>521</v>
      </c>
      <c r="D750" s="28">
        <f t="shared" si="270"/>
        <v>46089</v>
      </c>
      <c r="E750" s="28">
        <f t="shared" si="271"/>
        <v>46073</v>
      </c>
      <c r="F750" s="28">
        <f t="shared" si="272"/>
        <v>46080</v>
      </c>
      <c r="G750" s="28">
        <f t="shared" si="273"/>
        <v>46086</v>
      </c>
      <c r="H750" s="28">
        <f t="shared" si="274"/>
        <v>46074</v>
      </c>
      <c r="I750" s="28">
        <f t="shared" si="275"/>
        <v>46081</v>
      </c>
      <c r="J750" s="28">
        <v>46096</v>
      </c>
      <c r="K750" s="1">
        <f t="shared" si="276"/>
        <v>30</v>
      </c>
      <c r="L750" s="1">
        <v>11.28</v>
      </c>
      <c r="M750" s="1">
        <v>9.34</v>
      </c>
      <c r="N750" s="1">
        <f t="shared" si="277"/>
        <v>1.9399999999999995</v>
      </c>
      <c r="O750" s="1" t="s">
        <v>379</v>
      </c>
    </row>
    <row r="751" spans="1:15" x14ac:dyDescent="0.25">
      <c r="A751" s="28">
        <v>46066</v>
      </c>
      <c r="B751" s="1" t="s">
        <v>316</v>
      </c>
      <c r="C751" s="1" t="s">
        <v>522</v>
      </c>
      <c r="D751" s="28">
        <f t="shared" si="270"/>
        <v>46089</v>
      </c>
      <c r="E751" s="28">
        <f t="shared" si="271"/>
        <v>46073</v>
      </c>
      <c r="F751" s="28">
        <f t="shared" si="272"/>
        <v>46080</v>
      </c>
      <c r="G751" s="28">
        <f t="shared" si="273"/>
        <v>46086</v>
      </c>
      <c r="H751" s="28">
        <f t="shared" si="274"/>
        <v>46074</v>
      </c>
      <c r="I751" s="28">
        <f t="shared" si="275"/>
        <v>46081</v>
      </c>
      <c r="J751" s="28">
        <v>46096</v>
      </c>
      <c r="K751" s="1">
        <f t="shared" si="276"/>
        <v>30</v>
      </c>
      <c r="L751" s="1">
        <v>10.36</v>
      </c>
      <c r="M751" s="1">
        <v>8.76</v>
      </c>
      <c r="N751" s="1">
        <f t="shared" si="277"/>
        <v>1.5999999999999996</v>
      </c>
      <c r="O751" s="1" t="s">
        <v>379</v>
      </c>
    </row>
    <row r="752" spans="1:15" x14ac:dyDescent="0.25">
      <c r="A752" s="28">
        <v>46067</v>
      </c>
      <c r="B752" s="1" t="s">
        <v>317</v>
      </c>
      <c r="C752" s="1" t="s">
        <v>523</v>
      </c>
      <c r="D752" s="28">
        <f t="shared" si="270"/>
        <v>46090</v>
      </c>
      <c r="E752" s="28">
        <f t="shared" si="271"/>
        <v>46074</v>
      </c>
      <c r="F752" s="28">
        <f t="shared" si="272"/>
        <v>46081</v>
      </c>
      <c r="G752" s="28">
        <f t="shared" si="273"/>
        <v>46087</v>
      </c>
      <c r="H752" s="28">
        <f t="shared" si="274"/>
        <v>46075</v>
      </c>
      <c r="I752" s="28">
        <f t="shared" si="275"/>
        <v>46082</v>
      </c>
      <c r="J752" s="28">
        <v>46096</v>
      </c>
      <c r="K752" s="1">
        <f t="shared" si="276"/>
        <v>29</v>
      </c>
      <c r="L752" s="1">
        <v>12.17</v>
      </c>
      <c r="M752" s="1">
        <v>10.11</v>
      </c>
      <c r="N752" s="1">
        <f t="shared" si="277"/>
        <v>2.0600000000000005</v>
      </c>
      <c r="O752" s="1" t="s">
        <v>379</v>
      </c>
    </row>
    <row r="753" spans="1:15" x14ac:dyDescent="0.25">
      <c r="A753" s="28">
        <v>46067</v>
      </c>
      <c r="B753" s="1" t="s">
        <v>318</v>
      </c>
      <c r="C753" s="1" t="s">
        <v>524</v>
      </c>
      <c r="D753" s="28">
        <f t="shared" si="270"/>
        <v>46090</v>
      </c>
      <c r="E753" s="28">
        <f t="shared" si="271"/>
        <v>46074</v>
      </c>
      <c r="F753" s="28">
        <f t="shared" si="272"/>
        <v>46081</v>
      </c>
      <c r="G753" s="28">
        <f t="shared" si="273"/>
        <v>46087</v>
      </c>
      <c r="H753" s="28">
        <f t="shared" si="274"/>
        <v>46075</v>
      </c>
      <c r="I753" s="28">
        <f t="shared" si="275"/>
        <v>46082</v>
      </c>
      <c r="J753" s="28">
        <v>46096</v>
      </c>
      <c r="K753" s="1">
        <f t="shared" si="276"/>
        <v>29</v>
      </c>
      <c r="L753" s="1">
        <v>12.54</v>
      </c>
      <c r="M753" s="1">
        <v>10.25</v>
      </c>
      <c r="N753" s="1">
        <f t="shared" si="277"/>
        <v>2.2899999999999991</v>
      </c>
      <c r="O753" s="1" t="s">
        <v>379</v>
      </c>
    </row>
    <row r="754" spans="1:15" x14ac:dyDescent="0.25">
      <c r="A754" s="28">
        <v>46067</v>
      </c>
      <c r="B754" s="1" t="s">
        <v>319</v>
      </c>
      <c r="C754" s="1" t="s">
        <v>525</v>
      </c>
      <c r="D754" s="28">
        <f t="shared" si="270"/>
        <v>46090</v>
      </c>
      <c r="E754" s="28">
        <f t="shared" si="271"/>
        <v>46074</v>
      </c>
      <c r="F754" s="28">
        <f t="shared" si="272"/>
        <v>46081</v>
      </c>
      <c r="G754" s="28">
        <f t="shared" si="273"/>
        <v>46087</v>
      </c>
      <c r="H754" s="28">
        <f t="shared" si="274"/>
        <v>46075</v>
      </c>
      <c r="I754" s="28">
        <f t="shared" si="275"/>
        <v>46082</v>
      </c>
      <c r="J754" s="28">
        <v>46096</v>
      </c>
      <c r="K754" s="1">
        <f t="shared" si="276"/>
        <v>29</v>
      </c>
      <c r="L754" s="1">
        <v>11.86</v>
      </c>
      <c r="M754" s="1">
        <v>9.73</v>
      </c>
      <c r="N754" s="1">
        <f t="shared" si="277"/>
        <v>2.129999999999999</v>
      </c>
      <c r="O754" s="1" t="s">
        <v>379</v>
      </c>
    </row>
    <row r="755" spans="1:15" x14ac:dyDescent="0.25">
      <c r="A755" s="28">
        <v>46067</v>
      </c>
      <c r="B755" s="1" t="s">
        <v>320</v>
      </c>
      <c r="C755" s="1" t="s">
        <v>526</v>
      </c>
      <c r="D755" s="28">
        <f t="shared" si="270"/>
        <v>46090</v>
      </c>
      <c r="E755" s="28">
        <f t="shared" si="271"/>
        <v>46074</v>
      </c>
      <c r="F755" s="28">
        <f t="shared" si="272"/>
        <v>46081</v>
      </c>
      <c r="G755" s="28">
        <f t="shared" si="273"/>
        <v>46087</v>
      </c>
      <c r="H755" s="28">
        <f t="shared" si="274"/>
        <v>46075</v>
      </c>
      <c r="I755" s="28">
        <f t="shared" si="275"/>
        <v>46082</v>
      </c>
      <c r="J755" s="28">
        <v>46096</v>
      </c>
      <c r="K755" s="1">
        <f t="shared" si="276"/>
        <v>29</v>
      </c>
      <c r="L755" s="1">
        <v>10.25</v>
      </c>
      <c r="M755" s="1">
        <v>8.1199999999999992</v>
      </c>
      <c r="N755" s="1">
        <f t="shared" si="277"/>
        <v>2.1300000000000008</v>
      </c>
      <c r="O755" s="1" t="s">
        <v>379</v>
      </c>
    </row>
    <row r="756" spans="1:15" x14ac:dyDescent="0.25">
      <c r="A756" s="28">
        <v>46067</v>
      </c>
      <c r="B756" s="1" t="s">
        <v>321</v>
      </c>
      <c r="C756" s="1" t="s">
        <v>527</v>
      </c>
      <c r="D756" s="28">
        <f t="shared" si="270"/>
        <v>46090</v>
      </c>
      <c r="E756" s="28">
        <f t="shared" si="271"/>
        <v>46074</v>
      </c>
      <c r="F756" s="28">
        <f t="shared" si="272"/>
        <v>46081</v>
      </c>
      <c r="G756" s="28">
        <f t="shared" si="273"/>
        <v>46087</v>
      </c>
      <c r="H756" s="28">
        <f t="shared" si="274"/>
        <v>46075</v>
      </c>
      <c r="I756" s="28">
        <f t="shared" si="275"/>
        <v>46082</v>
      </c>
      <c r="J756" s="28">
        <v>46096</v>
      </c>
      <c r="K756" s="1">
        <f t="shared" si="276"/>
        <v>29</v>
      </c>
      <c r="L756" s="1">
        <v>10.17</v>
      </c>
      <c r="M756" s="1">
        <v>8.36</v>
      </c>
      <c r="N756" s="1">
        <f t="shared" si="277"/>
        <v>1.8100000000000005</v>
      </c>
      <c r="O756" s="1" t="s">
        <v>379</v>
      </c>
    </row>
    <row r="757" spans="1:15" x14ac:dyDescent="0.25">
      <c r="A757" s="28">
        <v>46067</v>
      </c>
      <c r="B757" s="1" t="s">
        <v>322</v>
      </c>
      <c r="C757" s="1" t="s">
        <v>528</v>
      </c>
      <c r="D757" s="28">
        <f t="shared" si="270"/>
        <v>46090</v>
      </c>
      <c r="E757" s="28">
        <f t="shared" si="271"/>
        <v>46074</v>
      </c>
      <c r="F757" s="28">
        <f t="shared" si="272"/>
        <v>46081</v>
      </c>
      <c r="G757" s="28">
        <f t="shared" si="273"/>
        <v>46087</v>
      </c>
      <c r="H757" s="28">
        <f t="shared" si="274"/>
        <v>46075</v>
      </c>
      <c r="I757" s="28">
        <f t="shared" si="275"/>
        <v>46082</v>
      </c>
      <c r="J757" s="28">
        <v>46096</v>
      </c>
      <c r="K757" s="1">
        <f t="shared" si="276"/>
        <v>29</v>
      </c>
      <c r="L757" s="1">
        <v>11.54</v>
      </c>
      <c r="M757" s="1">
        <v>9.1999999999999993</v>
      </c>
      <c r="N757" s="1">
        <f t="shared" si="277"/>
        <v>2.34</v>
      </c>
      <c r="O757" s="1" t="s">
        <v>379</v>
      </c>
    </row>
    <row r="758" spans="1:15" x14ac:dyDescent="0.25">
      <c r="A758" s="28">
        <v>46067</v>
      </c>
      <c r="B758" s="1" t="s">
        <v>323</v>
      </c>
      <c r="C758" s="1" t="s">
        <v>529</v>
      </c>
      <c r="D758" s="28">
        <f t="shared" si="270"/>
        <v>46090</v>
      </c>
      <c r="E758" s="28">
        <f t="shared" si="271"/>
        <v>46074</v>
      </c>
      <c r="F758" s="28">
        <f t="shared" si="272"/>
        <v>46081</v>
      </c>
      <c r="G758" s="28">
        <f t="shared" si="273"/>
        <v>46087</v>
      </c>
      <c r="H758" s="28">
        <f t="shared" si="274"/>
        <v>46075</v>
      </c>
      <c r="I758" s="28">
        <f t="shared" si="275"/>
        <v>46082</v>
      </c>
      <c r="J758" s="28">
        <v>46096</v>
      </c>
      <c r="K758" s="1">
        <f t="shared" si="276"/>
        <v>29</v>
      </c>
      <c r="L758" s="1">
        <v>10.68</v>
      </c>
      <c r="M758" s="1">
        <v>8.73</v>
      </c>
      <c r="N758" s="1">
        <f t="shared" si="277"/>
        <v>1.9499999999999993</v>
      </c>
      <c r="O758" s="1" t="s">
        <v>379</v>
      </c>
    </row>
    <row r="759" spans="1:15" x14ac:dyDescent="0.25">
      <c r="A759" s="28">
        <v>46068</v>
      </c>
      <c r="B759" s="1" t="s">
        <v>153</v>
      </c>
      <c r="C759" s="1" t="s">
        <v>530</v>
      </c>
      <c r="D759" s="28">
        <f t="shared" si="270"/>
        <v>46091</v>
      </c>
      <c r="E759" s="28">
        <f t="shared" si="271"/>
        <v>46075</v>
      </c>
      <c r="F759" s="28">
        <f t="shared" si="272"/>
        <v>46082</v>
      </c>
      <c r="G759" s="28">
        <f t="shared" si="273"/>
        <v>46088</v>
      </c>
      <c r="H759" s="28">
        <f t="shared" si="274"/>
        <v>46076</v>
      </c>
      <c r="I759" s="28">
        <f t="shared" si="275"/>
        <v>46083</v>
      </c>
      <c r="J759" s="28">
        <v>46096</v>
      </c>
      <c r="K759" s="1">
        <f t="shared" si="276"/>
        <v>28</v>
      </c>
      <c r="L759" s="1">
        <v>12.54</v>
      </c>
      <c r="M759" s="1">
        <v>10.58</v>
      </c>
      <c r="N759" s="1">
        <f t="shared" si="277"/>
        <v>1.9599999999999991</v>
      </c>
      <c r="O759" s="1" t="s">
        <v>379</v>
      </c>
    </row>
    <row r="760" spans="1:15" x14ac:dyDescent="0.25">
      <c r="A760" s="28">
        <v>46068</v>
      </c>
      <c r="B760" s="1" t="s">
        <v>154</v>
      </c>
      <c r="C760" s="1" t="s">
        <v>531</v>
      </c>
      <c r="D760" s="28">
        <f t="shared" si="270"/>
        <v>46091</v>
      </c>
      <c r="E760" s="28">
        <f t="shared" si="271"/>
        <v>46075</v>
      </c>
      <c r="F760" s="28">
        <f t="shared" si="272"/>
        <v>46082</v>
      </c>
      <c r="G760" s="28">
        <f t="shared" si="273"/>
        <v>46088</v>
      </c>
      <c r="H760" s="28">
        <f t="shared" si="274"/>
        <v>46076</v>
      </c>
      <c r="I760" s="28">
        <f t="shared" si="275"/>
        <v>46083</v>
      </c>
      <c r="J760" s="28">
        <v>46096</v>
      </c>
      <c r="K760" s="1">
        <f t="shared" si="276"/>
        <v>28</v>
      </c>
      <c r="L760" s="1">
        <v>13.1</v>
      </c>
      <c r="M760" s="1">
        <v>11.51</v>
      </c>
      <c r="N760" s="1">
        <f t="shared" si="277"/>
        <v>1.5899999999999999</v>
      </c>
      <c r="O760" s="1" t="s">
        <v>379</v>
      </c>
    </row>
    <row r="761" spans="1:15" x14ac:dyDescent="0.25">
      <c r="A761" s="28">
        <v>46068</v>
      </c>
      <c r="B761" s="1" t="s">
        <v>155</v>
      </c>
      <c r="C761" s="1" t="s">
        <v>532</v>
      </c>
      <c r="D761" s="28">
        <f t="shared" si="270"/>
        <v>46091</v>
      </c>
      <c r="E761" s="28">
        <f t="shared" si="271"/>
        <v>46075</v>
      </c>
      <c r="F761" s="28">
        <f t="shared" si="272"/>
        <v>46082</v>
      </c>
      <c r="G761" s="28">
        <f t="shared" si="273"/>
        <v>46088</v>
      </c>
      <c r="H761" s="28">
        <f t="shared" si="274"/>
        <v>46076</v>
      </c>
      <c r="I761" s="28">
        <f t="shared" si="275"/>
        <v>46083</v>
      </c>
      <c r="J761" s="28">
        <v>46096</v>
      </c>
      <c r="K761" s="1">
        <f t="shared" si="276"/>
        <v>28</v>
      </c>
      <c r="L761" s="1">
        <v>11.51</v>
      </c>
      <c r="M761" s="1">
        <v>10.130000000000001</v>
      </c>
      <c r="N761" s="1">
        <f t="shared" si="277"/>
        <v>1.379999999999999</v>
      </c>
      <c r="O761" s="1" t="s">
        <v>379</v>
      </c>
    </row>
    <row r="762" spans="1:15" x14ac:dyDescent="0.25">
      <c r="A762" s="28">
        <v>46068</v>
      </c>
      <c r="B762" s="1" t="s">
        <v>156</v>
      </c>
      <c r="C762" s="1" t="s">
        <v>533</v>
      </c>
      <c r="D762" s="28">
        <f t="shared" si="270"/>
        <v>46091</v>
      </c>
      <c r="E762" s="28">
        <f t="shared" si="271"/>
        <v>46075</v>
      </c>
      <c r="F762" s="28">
        <f t="shared" si="272"/>
        <v>46082</v>
      </c>
      <c r="G762" s="28">
        <f t="shared" si="273"/>
        <v>46088</v>
      </c>
      <c r="H762" s="28">
        <f t="shared" si="274"/>
        <v>46076</v>
      </c>
      <c r="I762" s="28">
        <f t="shared" si="275"/>
        <v>46083</v>
      </c>
      <c r="J762" s="28">
        <v>46096</v>
      </c>
      <c r="K762" s="1">
        <f t="shared" si="276"/>
        <v>28</v>
      </c>
      <c r="L762" s="1">
        <v>13.14</v>
      </c>
      <c r="M762" s="1">
        <v>11.47</v>
      </c>
      <c r="N762" s="1">
        <f t="shared" si="277"/>
        <v>1.67</v>
      </c>
      <c r="O762" s="1" t="s">
        <v>379</v>
      </c>
    </row>
    <row r="763" spans="1:15" x14ac:dyDescent="0.25">
      <c r="A763" s="28">
        <v>46068</v>
      </c>
      <c r="B763" s="1" t="s">
        <v>157</v>
      </c>
      <c r="C763" s="1" t="s">
        <v>534</v>
      </c>
      <c r="D763" s="28">
        <f t="shared" si="270"/>
        <v>46091</v>
      </c>
      <c r="E763" s="28">
        <f t="shared" si="271"/>
        <v>46075</v>
      </c>
      <c r="F763" s="28">
        <f t="shared" si="272"/>
        <v>46082</v>
      </c>
      <c r="G763" s="28">
        <f t="shared" si="273"/>
        <v>46088</v>
      </c>
      <c r="H763" s="28">
        <f t="shared" si="274"/>
        <v>46076</v>
      </c>
      <c r="I763" s="28">
        <f t="shared" si="275"/>
        <v>46083</v>
      </c>
      <c r="J763" s="28">
        <v>46097</v>
      </c>
      <c r="K763" s="1">
        <f t="shared" si="276"/>
        <v>29</v>
      </c>
      <c r="L763" s="1">
        <v>13.07</v>
      </c>
      <c r="M763" s="1">
        <v>11.73</v>
      </c>
      <c r="N763" s="1">
        <f t="shared" si="277"/>
        <v>1.3399999999999999</v>
      </c>
      <c r="O763" s="1" t="s">
        <v>379</v>
      </c>
    </row>
    <row r="764" spans="1:15" x14ac:dyDescent="0.25">
      <c r="A764" s="28">
        <v>46068</v>
      </c>
      <c r="B764" s="1" t="s">
        <v>158</v>
      </c>
      <c r="C764" s="1" t="s">
        <v>535</v>
      </c>
      <c r="D764" s="28">
        <f t="shared" si="270"/>
        <v>46091</v>
      </c>
      <c r="E764" s="28">
        <f t="shared" si="271"/>
        <v>46075</v>
      </c>
      <c r="F764" s="28">
        <f t="shared" si="272"/>
        <v>46082</v>
      </c>
      <c r="G764" s="28">
        <f t="shared" si="273"/>
        <v>46088</v>
      </c>
      <c r="H764" s="28">
        <f t="shared" si="274"/>
        <v>46076</v>
      </c>
      <c r="I764" s="28">
        <f t="shared" si="275"/>
        <v>46083</v>
      </c>
      <c r="J764" s="28">
        <v>46097</v>
      </c>
      <c r="K764" s="1">
        <f t="shared" si="276"/>
        <v>29</v>
      </c>
      <c r="L764" s="1">
        <v>12.16</v>
      </c>
      <c r="M764" s="1">
        <v>10.15</v>
      </c>
      <c r="N764" s="1">
        <f t="shared" si="277"/>
        <v>2.0099999999999998</v>
      </c>
      <c r="O764" s="1" t="s">
        <v>379</v>
      </c>
    </row>
    <row r="765" spans="1:15" x14ac:dyDescent="0.25">
      <c r="A765" s="28">
        <v>46068</v>
      </c>
      <c r="B765" s="1" t="s">
        <v>159</v>
      </c>
      <c r="C765" s="1" t="s">
        <v>536</v>
      </c>
      <c r="D765" s="28">
        <f t="shared" si="270"/>
        <v>46091</v>
      </c>
      <c r="E765" s="28">
        <f t="shared" si="271"/>
        <v>46075</v>
      </c>
      <c r="F765" s="28">
        <f t="shared" si="272"/>
        <v>46082</v>
      </c>
      <c r="G765" s="28">
        <f t="shared" si="273"/>
        <v>46088</v>
      </c>
      <c r="H765" s="28">
        <f t="shared" si="274"/>
        <v>46076</v>
      </c>
      <c r="I765" s="28">
        <f t="shared" si="275"/>
        <v>46083</v>
      </c>
      <c r="J765" s="28">
        <v>46097</v>
      </c>
      <c r="K765" s="1">
        <f t="shared" si="276"/>
        <v>29</v>
      </c>
      <c r="L765" s="1">
        <v>12.33</v>
      </c>
      <c r="M765" s="1">
        <v>10.58</v>
      </c>
      <c r="N765" s="1">
        <f t="shared" si="277"/>
        <v>1.75</v>
      </c>
      <c r="O765" s="1" t="s">
        <v>379</v>
      </c>
    </row>
    <row r="766" spans="1:15" x14ac:dyDescent="0.25">
      <c r="A766" s="28">
        <v>46069</v>
      </c>
      <c r="B766" s="1" t="s">
        <v>173</v>
      </c>
      <c r="C766" s="1" t="s">
        <v>537</v>
      </c>
      <c r="D766" s="28">
        <f t="shared" si="270"/>
        <v>46092</v>
      </c>
      <c r="E766" s="28">
        <f t="shared" si="271"/>
        <v>46076</v>
      </c>
      <c r="F766" s="28">
        <f t="shared" si="272"/>
        <v>46083</v>
      </c>
      <c r="G766" s="28">
        <f t="shared" si="273"/>
        <v>46089</v>
      </c>
      <c r="H766" s="28">
        <f t="shared" si="274"/>
        <v>46077</v>
      </c>
      <c r="I766" s="28">
        <f t="shared" si="275"/>
        <v>46084</v>
      </c>
      <c r="J766" s="28">
        <v>46097</v>
      </c>
      <c r="K766" s="1">
        <f t="shared" si="276"/>
        <v>28</v>
      </c>
      <c r="L766" s="1">
        <v>13.1</v>
      </c>
      <c r="M766" s="1">
        <v>11.31</v>
      </c>
      <c r="N766" s="1">
        <f t="shared" si="277"/>
        <v>1.7899999999999991</v>
      </c>
      <c r="O766" s="1" t="s">
        <v>379</v>
      </c>
    </row>
    <row r="767" spans="1:15" x14ac:dyDescent="0.25">
      <c r="A767" s="28">
        <v>46069</v>
      </c>
      <c r="B767" s="1" t="s">
        <v>174</v>
      </c>
      <c r="C767" s="1" t="s">
        <v>538</v>
      </c>
      <c r="D767" s="28">
        <f t="shared" si="270"/>
        <v>46092</v>
      </c>
      <c r="E767" s="28">
        <f t="shared" si="271"/>
        <v>46076</v>
      </c>
      <c r="F767" s="28">
        <f t="shared" si="272"/>
        <v>46083</v>
      </c>
      <c r="G767" s="28">
        <f t="shared" si="273"/>
        <v>46089</v>
      </c>
      <c r="H767" s="28">
        <f t="shared" si="274"/>
        <v>46077</v>
      </c>
      <c r="I767" s="28">
        <f t="shared" si="275"/>
        <v>46084</v>
      </c>
      <c r="J767" s="28">
        <v>46097</v>
      </c>
      <c r="K767" s="1">
        <f t="shared" si="276"/>
        <v>28</v>
      </c>
      <c r="L767" s="1">
        <v>12.93</v>
      </c>
      <c r="M767" s="1">
        <v>11.74</v>
      </c>
      <c r="N767" s="1">
        <f t="shared" si="277"/>
        <v>1.1899999999999995</v>
      </c>
      <c r="O767" s="1" t="s">
        <v>379</v>
      </c>
    </row>
    <row r="768" spans="1:15" x14ac:dyDescent="0.25">
      <c r="A768" s="28">
        <v>46069</v>
      </c>
      <c r="B768" s="1" t="s">
        <v>175</v>
      </c>
      <c r="C768" s="1" t="s">
        <v>539</v>
      </c>
      <c r="D768" s="28">
        <f t="shared" si="270"/>
        <v>46092</v>
      </c>
      <c r="E768" s="28">
        <f t="shared" si="271"/>
        <v>46076</v>
      </c>
      <c r="F768" s="28">
        <f t="shared" si="272"/>
        <v>46083</v>
      </c>
      <c r="G768" s="28">
        <f t="shared" si="273"/>
        <v>46089</v>
      </c>
      <c r="H768" s="28">
        <f t="shared" si="274"/>
        <v>46077</v>
      </c>
      <c r="I768" s="28">
        <f t="shared" si="275"/>
        <v>46084</v>
      </c>
      <c r="J768" s="28">
        <v>46097</v>
      </c>
      <c r="K768" s="1">
        <f t="shared" si="276"/>
        <v>28</v>
      </c>
      <c r="L768" s="1">
        <v>14.11</v>
      </c>
      <c r="M768" s="1">
        <v>12.31</v>
      </c>
      <c r="N768" s="1">
        <f t="shared" si="277"/>
        <v>1.7999999999999989</v>
      </c>
      <c r="O768" s="1" t="s">
        <v>379</v>
      </c>
    </row>
    <row r="769" spans="1:15" x14ac:dyDescent="0.25">
      <c r="A769" s="28">
        <v>46069</v>
      </c>
      <c r="B769" s="1" t="s">
        <v>176</v>
      </c>
      <c r="C769" s="1" t="s">
        <v>540</v>
      </c>
      <c r="D769" s="28">
        <f t="shared" si="270"/>
        <v>46092</v>
      </c>
      <c r="E769" s="28">
        <f t="shared" si="271"/>
        <v>46076</v>
      </c>
      <c r="F769" s="28">
        <f t="shared" si="272"/>
        <v>46083</v>
      </c>
      <c r="G769" s="28">
        <f t="shared" si="273"/>
        <v>46089</v>
      </c>
      <c r="H769" s="28">
        <f t="shared" si="274"/>
        <v>46077</v>
      </c>
      <c r="I769" s="28">
        <f t="shared" si="275"/>
        <v>46084</v>
      </c>
      <c r="J769" s="28">
        <v>46098</v>
      </c>
      <c r="K769" s="1">
        <f t="shared" si="276"/>
        <v>29</v>
      </c>
      <c r="L769" s="1">
        <v>13.52</v>
      </c>
      <c r="M769" s="1">
        <v>11.23</v>
      </c>
      <c r="N769" s="1">
        <f t="shared" si="277"/>
        <v>2.2899999999999991</v>
      </c>
      <c r="O769" s="1" t="s">
        <v>379</v>
      </c>
    </row>
    <row r="770" spans="1:15" x14ac:dyDescent="0.25">
      <c r="A770" s="28">
        <v>46069</v>
      </c>
      <c r="B770" s="1" t="s">
        <v>177</v>
      </c>
      <c r="C770" s="1" t="s">
        <v>541</v>
      </c>
      <c r="D770" s="28">
        <f t="shared" si="270"/>
        <v>46092</v>
      </c>
      <c r="E770" s="28">
        <f t="shared" si="271"/>
        <v>46076</v>
      </c>
      <c r="F770" s="28">
        <f t="shared" si="272"/>
        <v>46083</v>
      </c>
      <c r="G770" s="28">
        <f t="shared" si="273"/>
        <v>46089</v>
      </c>
      <c r="H770" s="28">
        <f t="shared" si="274"/>
        <v>46077</v>
      </c>
      <c r="I770" s="28">
        <f t="shared" si="275"/>
        <v>46084</v>
      </c>
      <c r="J770" s="28">
        <v>46098</v>
      </c>
      <c r="K770" s="1">
        <f t="shared" si="276"/>
        <v>29</v>
      </c>
      <c r="L770" s="1">
        <v>14.17</v>
      </c>
      <c r="M770" s="1">
        <v>12.16</v>
      </c>
      <c r="N770" s="1">
        <f t="shared" si="277"/>
        <v>2.0099999999999998</v>
      </c>
      <c r="O770" s="1" t="s">
        <v>379</v>
      </c>
    </row>
    <row r="771" spans="1:15" x14ac:dyDescent="0.25">
      <c r="A771" s="28">
        <v>46069</v>
      </c>
      <c r="B771" s="1" t="s">
        <v>178</v>
      </c>
      <c r="C771" s="1" t="s">
        <v>542</v>
      </c>
      <c r="D771" s="28">
        <f t="shared" si="270"/>
        <v>46092</v>
      </c>
      <c r="E771" s="28">
        <f t="shared" si="271"/>
        <v>46076</v>
      </c>
      <c r="F771" s="28">
        <f t="shared" si="272"/>
        <v>46083</v>
      </c>
      <c r="G771" s="28">
        <f t="shared" si="273"/>
        <v>46089</v>
      </c>
      <c r="H771" s="28">
        <f t="shared" si="274"/>
        <v>46077</v>
      </c>
      <c r="I771" s="28">
        <f t="shared" si="275"/>
        <v>46084</v>
      </c>
      <c r="J771" s="28">
        <v>46098</v>
      </c>
      <c r="K771" s="1">
        <f t="shared" si="276"/>
        <v>29</v>
      </c>
      <c r="L771" s="1">
        <v>14.26</v>
      </c>
      <c r="M771" s="1">
        <v>12.33</v>
      </c>
      <c r="N771" s="1">
        <f t="shared" si="277"/>
        <v>1.9299999999999997</v>
      </c>
      <c r="O771" s="1" t="s">
        <v>379</v>
      </c>
    </row>
    <row r="772" spans="1:15" x14ac:dyDescent="0.25">
      <c r="A772" s="28">
        <v>46069</v>
      </c>
      <c r="B772" s="1" t="s">
        <v>179</v>
      </c>
      <c r="C772" s="1" t="s">
        <v>543</v>
      </c>
      <c r="D772" s="28">
        <f t="shared" si="270"/>
        <v>46092</v>
      </c>
      <c r="E772" s="28">
        <f t="shared" si="271"/>
        <v>46076</v>
      </c>
      <c r="F772" s="28">
        <f t="shared" si="272"/>
        <v>46083</v>
      </c>
      <c r="G772" s="28">
        <f t="shared" si="273"/>
        <v>46089</v>
      </c>
      <c r="H772" s="28">
        <f t="shared" si="274"/>
        <v>46077</v>
      </c>
      <c r="I772" s="28">
        <f t="shared" si="275"/>
        <v>46084</v>
      </c>
      <c r="J772" s="28">
        <v>46098</v>
      </c>
      <c r="K772" s="1">
        <f t="shared" si="276"/>
        <v>29</v>
      </c>
      <c r="L772" s="1">
        <v>12.97</v>
      </c>
      <c r="M772" s="1">
        <v>11.58</v>
      </c>
      <c r="N772" s="1">
        <f t="shared" si="277"/>
        <v>1.3900000000000006</v>
      </c>
      <c r="O772" s="1" t="s">
        <v>379</v>
      </c>
    </row>
    <row r="773" spans="1:15" x14ac:dyDescent="0.25">
      <c r="A773" s="28">
        <v>46070</v>
      </c>
      <c r="B773" s="1" t="s">
        <v>160</v>
      </c>
      <c r="C773" s="1" t="s">
        <v>544</v>
      </c>
      <c r="D773" s="28">
        <f t="shared" si="270"/>
        <v>46093</v>
      </c>
      <c r="E773" s="28">
        <f t="shared" si="271"/>
        <v>46077</v>
      </c>
      <c r="F773" s="28">
        <f t="shared" si="272"/>
        <v>46084</v>
      </c>
      <c r="G773" s="28">
        <f t="shared" si="273"/>
        <v>46090</v>
      </c>
      <c r="H773" s="28">
        <f t="shared" si="274"/>
        <v>46078</v>
      </c>
      <c r="I773" s="28">
        <f t="shared" si="275"/>
        <v>46085</v>
      </c>
      <c r="J773" s="28">
        <v>46098</v>
      </c>
      <c r="K773" s="1">
        <f t="shared" si="276"/>
        <v>28</v>
      </c>
      <c r="L773" s="1">
        <v>14.1</v>
      </c>
      <c r="M773" s="1">
        <v>12.93</v>
      </c>
      <c r="N773" s="1">
        <f t="shared" si="277"/>
        <v>1.17</v>
      </c>
      <c r="O773" s="1" t="s">
        <v>379</v>
      </c>
    </row>
    <row r="774" spans="1:15" x14ac:dyDescent="0.25">
      <c r="A774" s="28">
        <v>46070</v>
      </c>
      <c r="B774" s="1" t="s">
        <v>161</v>
      </c>
      <c r="C774" s="1" t="s">
        <v>545</v>
      </c>
      <c r="D774" s="28">
        <f t="shared" si="270"/>
        <v>46093</v>
      </c>
      <c r="E774" s="28">
        <f t="shared" si="271"/>
        <v>46077</v>
      </c>
      <c r="F774" s="28">
        <f t="shared" si="272"/>
        <v>46084</v>
      </c>
      <c r="G774" s="28">
        <f t="shared" si="273"/>
        <v>46090</v>
      </c>
      <c r="H774" s="28">
        <f t="shared" si="274"/>
        <v>46078</v>
      </c>
      <c r="I774" s="28">
        <f t="shared" si="275"/>
        <v>46085</v>
      </c>
      <c r="J774" s="28">
        <v>46098</v>
      </c>
      <c r="K774" s="1">
        <f t="shared" si="276"/>
        <v>28</v>
      </c>
      <c r="L774" s="1">
        <v>13.88</v>
      </c>
      <c r="M774" s="1">
        <v>12.11</v>
      </c>
      <c r="N774" s="1">
        <f t="shared" si="277"/>
        <v>1.7700000000000014</v>
      </c>
      <c r="O774" s="1" t="s">
        <v>379</v>
      </c>
    </row>
    <row r="775" spans="1:15" x14ac:dyDescent="0.25">
      <c r="A775" s="28">
        <v>46070</v>
      </c>
      <c r="B775" s="1" t="s">
        <v>162</v>
      </c>
      <c r="C775" s="1" t="s">
        <v>546</v>
      </c>
      <c r="D775" s="28">
        <f t="shared" si="270"/>
        <v>46093</v>
      </c>
      <c r="E775" s="28">
        <f t="shared" si="271"/>
        <v>46077</v>
      </c>
      <c r="F775" s="28">
        <f t="shared" si="272"/>
        <v>46084</v>
      </c>
      <c r="G775" s="28">
        <f t="shared" si="273"/>
        <v>46090</v>
      </c>
      <c r="H775" s="28">
        <f t="shared" si="274"/>
        <v>46078</v>
      </c>
      <c r="I775" s="28">
        <f t="shared" si="275"/>
        <v>46085</v>
      </c>
      <c r="J775" s="28">
        <v>46099</v>
      </c>
      <c r="K775" s="1">
        <f t="shared" si="276"/>
        <v>29</v>
      </c>
      <c r="L775" s="1">
        <v>13.26</v>
      </c>
      <c r="M775" s="1">
        <v>11.53</v>
      </c>
      <c r="N775" s="1">
        <f t="shared" si="277"/>
        <v>1.7300000000000004</v>
      </c>
      <c r="O775" s="1" t="s">
        <v>379</v>
      </c>
    </row>
    <row r="776" spans="1:15" x14ac:dyDescent="0.25">
      <c r="A776" s="28">
        <v>46070</v>
      </c>
      <c r="B776" s="1" t="s">
        <v>163</v>
      </c>
      <c r="C776" s="1" t="s">
        <v>547</v>
      </c>
      <c r="D776" s="28">
        <f t="shared" si="270"/>
        <v>46093</v>
      </c>
      <c r="E776" s="28">
        <f t="shared" si="271"/>
        <v>46077</v>
      </c>
      <c r="F776" s="28">
        <f t="shared" si="272"/>
        <v>46084</v>
      </c>
      <c r="G776" s="28">
        <f t="shared" si="273"/>
        <v>46090</v>
      </c>
      <c r="H776" s="28">
        <f t="shared" si="274"/>
        <v>46078</v>
      </c>
      <c r="I776" s="28">
        <f t="shared" si="275"/>
        <v>46085</v>
      </c>
      <c r="J776" s="28">
        <v>46099</v>
      </c>
      <c r="K776" s="1">
        <f t="shared" si="276"/>
        <v>29</v>
      </c>
      <c r="L776" s="1">
        <v>11.73</v>
      </c>
      <c r="M776" s="1">
        <v>10.15</v>
      </c>
      <c r="N776" s="1">
        <f t="shared" si="277"/>
        <v>1.58</v>
      </c>
      <c r="O776" s="1" t="s">
        <v>379</v>
      </c>
    </row>
    <row r="777" spans="1:15" x14ac:dyDescent="0.25">
      <c r="A777" s="28">
        <v>46070</v>
      </c>
      <c r="B777" s="1" t="s">
        <v>164</v>
      </c>
      <c r="C777" s="1" t="s">
        <v>548</v>
      </c>
      <c r="D777" s="28">
        <f t="shared" si="270"/>
        <v>46093</v>
      </c>
      <c r="E777" s="28">
        <f t="shared" si="271"/>
        <v>46077</v>
      </c>
      <c r="F777" s="28">
        <f t="shared" si="272"/>
        <v>46084</v>
      </c>
      <c r="G777" s="28">
        <f t="shared" si="273"/>
        <v>46090</v>
      </c>
      <c r="H777" s="28">
        <f t="shared" si="274"/>
        <v>46078</v>
      </c>
      <c r="I777" s="28">
        <f t="shared" si="275"/>
        <v>46085</v>
      </c>
      <c r="J777" s="28">
        <v>46099</v>
      </c>
      <c r="K777" s="1">
        <f t="shared" si="276"/>
        <v>29</v>
      </c>
      <c r="L777" s="1">
        <v>11.89</v>
      </c>
      <c r="M777" s="1">
        <v>10.34</v>
      </c>
      <c r="N777" s="1">
        <f t="shared" si="277"/>
        <v>1.5500000000000007</v>
      </c>
      <c r="O777" s="1" t="s">
        <v>379</v>
      </c>
    </row>
    <row r="778" spans="1:15" x14ac:dyDescent="0.25">
      <c r="A778" s="28">
        <v>46070</v>
      </c>
      <c r="B778" s="1" t="s">
        <v>165</v>
      </c>
      <c r="C778" s="1" t="s">
        <v>549</v>
      </c>
      <c r="D778" s="28">
        <f t="shared" si="270"/>
        <v>46093</v>
      </c>
      <c r="E778" s="28">
        <f t="shared" si="271"/>
        <v>46077</v>
      </c>
      <c r="F778" s="28">
        <f t="shared" si="272"/>
        <v>46084</v>
      </c>
      <c r="G778" s="28">
        <f t="shared" si="273"/>
        <v>46090</v>
      </c>
      <c r="H778" s="28">
        <f t="shared" si="274"/>
        <v>46078</v>
      </c>
      <c r="I778" s="28">
        <f t="shared" si="275"/>
        <v>46085</v>
      </c>
      <c r="J778" s="28">
        <v>46099</v>
      </c>
      <c r="K778" s="1">
        <f t="shared" si="276"/>
        <v>29</v>
      </c>
      <c r="L778" s="1">
        <v>13.34</v>
      </c>
      <c r="M778" s="1">
        <v>11.73</v>
      </c>
      <c r="N778" s="1">
        <f t="shared" si="277"/>
        <v>1.6099999999999994</v>
      </c>
      <c r="O778" s="1" t="s">
        <v>379</v>
      </c>
    </row>
    <row r="779" spans="1:15" x14ac:dyDescent="0.25">
      <c r="A779" s="28">
        <v>46070</v>
      </c>
      <c r="B779" s="1" t="s">
        <v>166</v>
      </c>
      <c r="C779" s="1" t="s">
        <v>550</v>
      </c>
      <c r="D779" s="28">
        <f t="shared" si="270"/>
        <v>46093</v>
      </c>
      <c r="E779" s="28">
        <f t="shared" si="271"/>
        <v>46077</v>
      </c>
      <c r="F779" s="28">
        <f t="shared" si="272"/>
        <v>46084</v>
      </c>
      <c r="G779" s="28">
        <f t="shared" si="273"/>
        <v>46090</v>
      </c>
      <c r="H779" s="28">
        <f t="shared" si="274"/>
        <v>46078</v>
      </c>
      <c r="I779" s="28">
        <f t="shared" si="275"/>
        <v>46085</v>
      </c>
      <c r="J779" s="28">
        <v>46099</v>
      </c>
      <c r="K779" s="1">
        <f t="shared" si="276"/>
        <v>29</v>
      </c>
      <c r="L779" s="1">
        <v>12.1</v>
      </c>
      <c r="M779" s="1">
        <v>10.58</v>
      </c>
      <c r="N779" s="1">
        <f t="shared" si="277"/>
        <v>1.5199999999999996</v>
      </c>
      <c r="O779" s="1" t="s">
        <v>379</v>
      </c>
    </row>
    <row r="780" spans="1:15" x14ac:dyDescent="0.25">
      <c r="A780" s="28">
        <v>46071</v>
      </c>
      <c r="B780" s="1" t="s">
        <v>180</v>
      </c>
      <c r="C780" s="1" t="s">
        <v>551</v>
      </c>
      <c r="D780" s="28">
        <f t="shared" si="270"/>
        <v>46094</v>
      </c>
      <c r="E780" s="28">
        <f t="shared" si="271"/>
        <v>46078</v>
      </c>
      <c r="F780" s="28">
        <f t="shared" si="272"/>
        <v>46085</v>
      </c>
      <c r="G780" s="28">
        <f t="shared" si="273"/>
        <v>46091</v>
      </c>
      <c r="H780" s="28">
        <f t="shared" si="274"/>
        <v>46079</v>
      </c>
      <c r="I780" s="28">
        <f t="shared" si="275"/>
        <v>46086</v>
      </c>
      <c r="J780" s="28">
        <v>46099</v>
      </c>
      <c r="K780" s="1">
        <f t="shared" si="276"/>
        <v>28</v>
      </c>
      <c r="L780" s="1">
        <v>11.81</v>
      </c>
      <c r="M780" s="1">
        <v>10.210000000000001</v>
      </c>
      <c r="N780" s="1">
        <f t="shared" si="277"/>
        <v>1.5999999999999996</v>
      </c>
      <c r="O780" s="1" t="s">
        <v>379</v>
      </c>
    </row>
    <row r="781" spans="1:15" x14ac:dyDescent="0.25">
      <c r="A781" s="28">
        <v>46071</v>
      </c>
      <c r="B781" s="1" t="s">
        <v>181</v>
      </c>
      <c r="C781" s="1" t="s">
        <v>552</v>
      </c>
      <c r="D781" s="28">
        <f t="shared" si="270"/>
        <v>46094</v>
      </c>
      <c r="E781" s="28">
        <f t="shared" si="271"/>
        <v>46078</v>
      </c>
      <c r="F781" s="28">
        <f t="shared" si="272"/>
        <v>46085</v>
      </c>
      <c r="G781" s="28">
        <f t="shared" si="273"/>
        <v>46091</v>
      </c>
      <c r="H781" s="28">
        <f t="shared" si="274"/>
        <v>46079</v>
      </c>
      <c r="I781" s="28">
        <f t="shared" si="275"/>
        <v>46086</v>
      </c>
      <c r="J781" s="28">
        <v>46099</v>
      </c>
      <c r="K781" s="1">
        <f t="shared" si="276"/>
        <v>28</v>
      </c>
      <c r="L781" s="1">
        <v>13.45</v>
      </c>
      <c r="M781" s="1">
        <v>11.56</v>
      </c>
      <c r="N781" s="1">
        <f t="shared" si="277"/>
        <v>1.8899999999999988</v>
      </c>
      <c r="O781" s="1" t="s">
        <v>379</v>
      </c>
    </row>
    <row r="782" spans="1:15" x14ac:dyDescent="0.25">
      <c r="A782" s="28">
        <v>46071</v>
      </c>
      <c r="B782" s="1" t="s">
        <v>182</v>
      </c>
      <c r="C782" s="1" t="s">
        <v>553</v>
      </c>
      <c r="D782" s="28">
        <f t="shared" si="270"/>
        <v>46094</v>
      </c>
      <c r="E782" s="28">
        <f t="shared" si="271"/>
        <v>46078</v>
      </c>
      <c r="F782" s="28">
        <f t="shared" si="272"/>
        <v>46085</v>
      </c>
      <c r="G782" s="28">
        <f t="shared" si="273"/>
        <v>46091</v>
      </c>
      <c r="H782" s="28">
        <f t="shared" si="274"/>
        <v>46079</v>
      </c>
      <c r="I782" s="28">
        <f t="shared" si="275"/>
        <v>46086</v>
      </c>
      <c r="J782" s="28">
        <v>46099</v>
      </c>
      <c r="K782" s="1">
        <f t="shared" si="276"/>
        <v>28</v>
      </c>
      <c r="L782" s="1">
        <v>12.26</v>
      </c>
      <c r="M782" s="1">
        <v>10.74</v>
      </c>
      <c r="N782" s="1">
        <f t="shared" si="277"/>
        <v>1.5199999999999996</v>
      </c>
      <c r="O782" s="1" t="s">
        <v>379</v>
      </c>
    </row>
    <row r="783" spans="1:15" x14ac:dyDescent="0.25">
      <c r="A783" s="28">
        <v>46071</v>
      </c>
      <c r="B783" s="1" t="s">
        <v>183</v>
      </c>
      <c r="C783" s="1" t="s">
        <v>554</v>
      </c>
      <c r="D783" s="28">
        <f t="shared" si="270"/>
        <v>46094</v>
      </c>
      <c r="E783" s="28">
        <f t="shared" si="271"/>
        <v>46078</v>
      </c>
      <c r="F783" s="28">
        <f t="shared" si="272"/>
        <v>46085</v>
      </c>
      <c r="G783" s="28">
        <f t="shared" si="273"/>
        <v>46091</v>
      </c>
      <c r="H783" s="28">
        <f t="shared" si="274"/>
        <v>46079</v>
      </c>
      <c r="I783" s="28">
        <f t="shared" si="275"/>
        <v>46086</v>
      </c>
      <c r="J783" s="28">
        <v>46099</v>
      </c>
      <c r="K783" s="1">
        <f t="shared" si="276"/>
        <v>28</v>
      </c>
      <c r="L783" s="1">
        <v>11.91</v>
      </c>
      <c r="M783" s="1">
        <v>10.58</v>
      </c>
      <c r="N783" s="1">
        <f t="shared" si="277"/>
        <v>1.33</v>
      </c>
      <c r="O783" s="1" t="s">
        <v>379</v>
      </c>
    </row>
    <row r="784" spans="1:15" x14ac:dyDescent="0.25">
      <c r="A784" s="28">
        <v>46071</v>
      </c>
      <c r="B784" s="1" t="s">
        <v>184</v>
      </c>
      <c r="C784" s="1" t="s">
        <v>555</v>
      </c>
      <c r="D784" s="28">
        <f t="shared" si="270"/>
        <v>46094</v>
      </c>
      <c r="E784" s="28">
        <f t="shared" si="271"/>
        <v>46078</v>
      </c>
      <c r="F784" s="28">
        <f t="shared" si="272"/>
        <v>46085</v>
      </c>
      <c r="G784" s="28">
        <f t="shared" si="273"/>
        <v>46091</v>
      </c>
      <c r="H784" s="28">
        <f t="shared" si="274"/>
        <v>46079</v>
      </c>
      <c r="I784" s="28">
        <f t="shared" si="275"/>
        <v>46086</v>
      </c>
      <c r="J784" s="28">
        <v>46099</v>
      </c>
      <c r="K784" s="1">
        <f t="shared" si="276"/>
        <v>28</v>
      </c>
      <c r="L784" s="1">
        <v>13.16</v>
      </c>
      <c r="M784" s="1">
        <v>11.31</v>
      </c>
      <c r="N784" s="1">
        <f t="shared" si="277"/>
        <v>1.8499999999999996</v>
      </c>
      <c r="O784" s="1" t="s">
        <v>379</v>
      </c>
    </row>
    <row r="785" spans="1:15" x14ac:dyDescent="0.25">
      <c r="A785" s="28">
        <v>46071</v>
      </c>
      <c r="B785" s="1" t="s">
        <v>185</v>
      </c>
      <c r="C785" s="1" t="s">
        <v>556</v>
      </c>
      <c r="D785" s="28">
        <f t="shared" si="270"/>
        <v>46094</v>
      </c>
      <c r="E785" s="28">
        <f t="shared" si="271"/>
        <v>46078</v>
      </c>
      <c r="F785" s="28">
        <f t="shared" si="272"/>
        <v>46085</v>
      </c>
      <c r="G785" s="28">
        <f t="shared" si="273"/>
        <v>46091</v>
      </c>
      <c r="H785" s="28">
        <f t="shared" si="274"/>
        <v>46079</v>
      </c>
      <c r="I785" s="28">
        <f t="shared" si="275"/>
        <v>46086</v>
      </c>
      <c r="J785" s="28">
        <v>46099</v>
      </c>
      <c r="K785" s="1">
        <f t="shared" si="276"/>
        <v>28</v>
      </c>
      <c r="L785" s="1">
        <v>14.08</v>
      </c>
      <c r="M785" s="1">
        <v>12.17</v>
      </c>
      <c r="N785" s="1">
        <f t="shared" si="277"/>
        <v>1.9100000000000001</v>
      </c>
      <c r="O785" s="1" t="s">
        <v>379</v>
      </c>
    </row>
    <row r="786" spans="1:15" x14ac:dyDescent="0.25">
      <c r="A786" s="28">
        <v>46071</v>
      </c>
      <c r="B786" s="1" t="s">
        <v>186</v>
      </c>
      <c r="C786" s="1" t="s">
        <v>557</v>
      </c>
      <c r="D786" s="28">
        <f t="shared" si="270"/>
        <v>46094</v>
      </c>
      <c r="E786" s="28">
        <f t="shared" si="271"/>
        <v>46078</v>
      </c>
      <c r="F786" s="28">
        <f t="shared" si="272"/>
        <v>46085</v>
      </c>
      <c r="G786" s="28">
        <f t="shared" si="273"/>
        <v>46091</v>
      </c>
      <c r="H786" s="28">
        <f t="shared" si="274"/>
        <v>46079</v>
      </c>
      <c r="I786" s="28">
        <f t="shared" si="275"/>
        <v>46086</v>
      </c>
      <c r="J786" s="28">
        <v>46100</v>
      </c>
      <c r="K786" s="1">
        <f t="shared" si="276"/>
        <v>29</v>
      </c>
      <c r="L786" s="1">
        <v>14.74</v>
      </c>
      <c r="M786" s="1">
        <v>13.21</v>
      </c>
      <c r="N786" s="1">
        <f t="shared" si="277"/>
        <v>1.5299999999999994</v>
      </c>
      <c r="O786" s="1" t="s">
        <v>379</v>
      </c>
    </row>
    <row r="787" spans="1:15" x14ac:dyDescent="0.25">
      <c r="A787" s="28">
        <v>46072</v>
      </c>
      <c r="B787" s="1" t="s">
        <v>167</v>
      </c>
      <c r="C787" s="1" t="s">
        <v>558</v>
      </c>
      <c r="D787" s="28">
        <f t="shared" ref="D787:D850" si="278">A787+23</f>
        <v>46095</v>
      </c>
      <c r="E787" s="28">
        <f t="shared" ref="E787:E850" si="279">A787+7</f>
        <v>46079</v>
      </c>
      <c r="F787" s="28">
        <f t="shared" ref="F787:F850" si="280">A787+14</f>
        <v>46086</v>
      </c>
      <c r="G787" s="28">
        <f t="shared" ref="G787:G850" si="281">A787+20</f>
        <v>46092</v>
      </c>
      <c r="H787" s="28">
        <f t="shared" ref="H787:H850" si="282">A787+8</f>
        <v>46080</v>
      </c>
      <c r="I787" s="28">
        <f t="shared" ref="I787:I850" si="283">A787+15</f>
        <v>46087</v>
      </c>
      <c r="J787" s="28">
        <v>46100</v>
      </c>
      <c r="K787" s="1">
        <f t="shared" ref="K787:K850" si="284">J787-A787</f>
        <v>28</v>
      </c>
      <c r="L787" s="1">
        <v>13.16</v>
      </c>
      <c r="M787" s="1">
        <v>11.13</v>
      </c>
      <c r="N787" s="1">
        <f t="shared" ref="N787:N850" si="285">L787-M787</f>
        <v>2.0299999999999994</v>
      </c>
      <c r="O787" s="1" t="s">
        <v>379</v>
      </c>
    </row>
    <row r="788" spans="1:15" x14ac:dyDescent="0.25">
      <c r="A788" s="28">
        <v>46072</v>
      </c>
      <c r="B788" s="1" t="s">
        <v>168</v>
      </c>
      <c r="C788" s="1" t="s">
        <v>559</v>
      </c>
      <c r="D788" s="28">
        <f t="shared" si="278"/>
        <v>46095</v>
      </c>
      <c r="E788" s="28">
        <f t="shared" si="279"/>
        <v>46079</v>
      </c>
      <c r="F788" s="28">
        <f t="shared" si="280"/>
        <v>46086</v>
      </c>
      <c r="G788" s="28">
        <f t="shared" si="281"/>
        <v>46092</v>
      </c>
      <c r="H788" s="28">
        <f t="shared" si="282"/>
        <v>46080</v>
      </c>
      <c r="I788" s="28">
        <f t="shared" si="283"/>
        <v>46087</v>
      </c>
      <c r="J788" s="28">
        <v>46100</v>
      </c>
      <c r="K788" s="1">
        <f t="shared" si="284"/>
        <v>28</v>
      </c>
      <c r="L788" s="1">
        <v>13.47</v>
      </c>
      <c r="M788" s="1">
        <v>11.76</v>
      </c>
      <c r="N788" s="1">
        <f t="shared" si="285"/>
        <v>1.7100000000000009</v>
      </c>
      <c r="O788" s="1" t="s">
        <v>379</v>
      </c>
    </row>
    <row r="789" spans="1:15" x14ac:dyDescent="0.25">
      <c r="A789" s="28">
        <v>46072</v>
      </c>
      <c r="B789" s="1" t="s">
        <v>169</v>
      </c>
      <c r="C789" s="1" t="s">
        <v>560</v>
      </c>
      <c r="D789" s="28">
        <f t="shared" si="278"/>
        <v>46095</v>
      </c>
      <c r="E789" s="28">
        <f t="shared" si="279"/>
        <v>46079</v>
      </c>
      <c r="F789" s="28">
        <f t="shared" si="280"/>
        <v>46086</v>
      </c>
      <c r="G789" s="28">
        <f t="shared" si="281"/>
        <v>46092</v>
      </c>
      <c r="H789" s="28">
        <f t="shared" si="282"/>
        <v>46080</v>
      </c>
      <c r="I789" s="28">
        <f t="shared" si="283"/>
        <v>46087</v>
      </c>
      <c r="J789" s="28">
        <v>46100</v>
      </c>
      <c r="K789" s="1">
        <f t="shared" si="284"/>
        <v>28</v>
      </c>
      <c r="L789" s="1">
        <v>14.87</v>
      </c>
      <c r="M789" s="1">
        <v>13.11</v>
      </c>
      <c r="N789" s="1">
        <f t="shared" si="285"/>
        <v>1.7599999999999998</v>
      </c>
      <c r="O789" s="1" t="s">
        <v>379</v>
      </c>
    </row>
    <row r="790" spans="1:15" x14ac:dyDescent="0.25">
      <c r="A790" s="28">
        <v>46072</v>
      </c>
      <c r="B790" s="1" t="s">
        <v>170</v>
      </c>
      <c r="C790" s="1" t="s">
        <v>561</v>
      </c>
      <c r="D790" s="28">
        <f t="shared" si="278"/>
        <v>46095</v>
      </c>
      <c r="E790" s="28">
        <f t="shared" si="279"/>
        <v>46079</v>
      </c>
      <c r="F790" s="28">
        <f t="shared" si="280"/>
        <v>46086</v>
      </c>
      <c r="G790" s="28">
        <f t="shared" si="281"/>
        <v>46092</v>
      </c>
      <c r="H790" s="28">
        <f t="shared" si="282"/>
        <v>46080</v>
      </c>
      <c r="I790" s="28">
        <f t="shared" si="283"/>
        <v>46087</v>
      </c>
      <c r="J790" s="28">
        <v>46100</v>
      </c>
      <c r="K790" s="1">
        <f t="shared" si="284"/>
        <v>28</v>
      </c>
      <c r="L790" s="1">
        <v>13.17</v>
      </c>
      <c r="M790" s="1">
        <v>11.62</v>
      </c>
      <c r="N790" s="1">
        <f t="shared" si="285"/>
        <v>1.5500000000000007</v>
      </c>
      <c r="O790" s="1" t="s">
        <v>379</v>
      </c>
    </row>
    <row r="791" spans="1:15" x14ac:dyDescent="0.25">
      <c r="A791" s="28">
        <v>46072</v>
      </c>
      <c r="B791" s="1" t="s">
        <v>171</v>
      </c>
      <c r="C791" s="1" t="s">
        <v>562</v>
      </c>
      <c r="D791" s="28">
        <f t="shared" si="278"/>
        <v>46095</v>
      </c>
      <c r="E791" s="28">
        <f t="shared" si="279"/>
        <v>46079</v>
      </c>
      <c r="F791" s="28">
        <f t="shared" si="280"/>
        <v>46086</v>
      </c>
      <c r="G791" s="28">
        <f t="shared" si="281"/>
        <v>46092</v>
      </c>
      <c r="H791" s="28">
        <f t="shared" si="282"/>
        <v>46080</v>
      </c>
      <c r="I791" s="28">
        <f t="shared" si="283"/>
        <v>46087</v>
      </c>
      <c r="J791" s="28">
        <v>46100</v>
      </c>
      <c r="K791" s="1">
        <f t="shared" si="284"/>
        <v>28</v>
      </c>
      <c r="L791" s="1">
        <v>14.67</v>
      </c>
      <c r="M791" s="1">
        <v>13.92</v>
      </c>
      <c r="N791" s="1">
        <f t="shared" si="285"/>
        <v>0.75</v>
      </c>
      <c r="O791" s="1" t="s">
        <v>379</v>
      </c>
    </row>
    <row r="792" spans="1:15" x14ac:dyDescent="0.25">
      <c r="A792" s="28">
        <v>46072</v>
      </c>
      <c r="B792" s="1" t="s">
        <v>187</v>
      </c>
      <c r="C792" s="1" t="s">
        <v>563</v>
      </c>
      <c r="D792" s="28">
        <f t="shared" si="278"/>
        <v>46095</v>
      </c>
      <c r="E792" s="28">
        <f t="shared" si="279"/>
        <v>46079</v>
      </c>
      <c r="F792" s="28">
        <f t="shared" si="280"/>
        <v>46086</v>
      </c>
      <c r="G792" s="28">
        <f t="shared" si="281"/>
        <v>46092</v>
      </c>
      <c r="H792" s="28">
        <f t="shared" si="282"/>
        <v>46080</v>
      </c>
      <c r="I792" s="28">
        <f t="shared" si="283"/>
        <v>46087</v>
      </c>
      <c r="J792" s="28">
        <v>46100</v>
      </c>
      <c r="K792" s="1">
        <f t="shared" si="284"/>
        <v>28</v>
      </c>
      <c r="L792" s="1">
        <v>15.74</v>
      </c>
      <c r="M792" s="1">
        <v>14.62</v>
      </c>
      <c r="N792" s="1">
        <f t="shared" si="285"/>
        <v>1.120000000000001</v>
      </c>
      <c r="O792" s="1" t="s">
        <v>379</v>
      </c>
    </row>
    <row r="793" spans="1:15" x14ac:dyDescent="0.25">
      <c r="A793" s="28">
        <v>46072</v>
      </c>
      <c r="B793" s="1" t="s">
        <v>188</v>
      </c>
      <c r="C793" s="1" t="s">
        <v>564</v>
      </c>
      <c r="D793" s="28">
        <f t="shared" si="278"/>
        <v>46095</v>
      </c>
      <c r="E793" s="28">
        <f t="shared" si="279"/>
        <v>46079</v>
      </c>
      <c r="F793" s="28">
        <f t="shared" si="280"/>
        <v>46086</v>
      </c>
      <c r="G793" s="28">
        <f t="shared" si="281"/>
        <v>46092</v>
      </c>
      <c r="H793" s="28">
        <f t="shared" si="282"/>
        <v>46080</v>
      </c>
      <c r="I793" s="28">
        <f t="shared" si="283"/>
        <v>46087</v>
      </c>
      <c r="J793" s="28">
        <v>46100</v>
      </c>
      <c r="K793" s="1">
        <f t="shared" si="284"/>
        <v>28</v>
      </c>
      <c r="L793" s="1">
        <v>15.24</v>
      </c>
      <c r="M793" s="1">
        <v>14.25</v>
      </c>
      <c r="N793" s="1">
        <f t="shared" si="285"/>
        <v>0.99000000000000021</v>
      </c>
      <c r="O793" s="1" t="s">
        <v>379</v>
      </c>
    </row>
    <row r="794" spans="1:15" x14ac:dyDescent="0.25">
      <c r="A794" s="28">
        <v>46073</v>
      </c>
      <c r="B794" s="1" t="s">
        <v>196</v>
      </c>
      <c r="C794" s="1" t="s">
        <v>565</v>
      </c>
      <c r="D794" s="28">
        <f t="shared" si="278"/>
        <v>46096</v>
      </c>
      <c r="E794" s="28">
        <f t="shared" si="279"/>
        <v>46080</v>
      </c>
      <c r="F794" s="28">
        <f t="shared" si="280"/>
        <v>46087</v>
      </c>
      <c r="G794" s="28">
        <f t="shared" si="281"/>
        <v>46093</v>
      </c>
      <c r="H794" s="28">
        <f t="shared" si="282"/>
        <v>46081</v>
      </c>
      <c r="I794" s="28">
        <f t="shared" si="283"/>
        <v>46088</v>
      </c>
      <c r="J794" s="28">
        <v>46101</v>
      </c>
      <c r="K794" s="1">
        <f t="shared" si="284"/>
        <v>28</v>
      </c>
      <c r="L794" s="1">
        <v>13.21</v>
      </c>
      <c r="M794" s="1">
        <v>10.24</v>
      </c>
      <c r="N794" s="1">
        <f t="shared" si="285"/>
        <v>2.9700000000000006</v>
      </c>
      <c r="O794" s="1" t="s">
        <v>379</v>
      </c>
    </row>
    <row r="795" spans="1:15" x14ac:dyDescent="0.25">
      <c r="A795" s="28">
        <v>46073</v>
      </c>
      <c r="B795" s="1" t="s">
        <v>197</v>
      </c>
      <c r="C795" s="1" t="s">
        <v>566</v>
      </c>
      <c r="D795" s="28">
        <f t="shared" si="278"/>
        <v>46096</v>
      </c>
      <c r="E795" s="28">
        <f t="shared" si="279"/>
        <v>46080</v>
      </c>
      <c r="F795" s="28">
        <f t="shared" si="280"/>
        <v>46087</v>
      </c>
      <c r="G795" s="28">
        <f t="shared" si="281"/>
        <v>46093</v>
      </c>
      <c r="H795" s="28">
        <f t="shared" si="282"/>
        <v>46081</v>
      </c>
      <c r="I795" s="28">
        <f t="shared" si="283"/>
        <v>46088</v>
      </c>
      <c r="J795" s="28">
        <v>46101</v>
      </c>
      <c r="K795" s="1">
        <f t="shared" si="284"/>
        <v>28</v>
      </c>
      <c r="L795" s="1">
        <v>12.47</v>
      </c>
      <c r="M795" s="1">
        <v>9.68</v>
      </c>
      <c r="N795" s="1">
        <f t="shared" si="285"/>
        <v>2.7900000000000009</v>
      </c>
      <c r="O795" s="1" t="s">
        <v>379</v>
      </c>
    </row>
    <row r="796" spans="1:15" x14ac:dyDescent="0.25">
      <c r="A796" s="28">
        <v>46073</v>
      </c>
      <c r="B796" s="1" t="s">
        <v>198</v>
      </c>
      <c r="C796" s="1" t="s">
        <v>567</v>
      </c>
      <c r="D796" s="28">
        <f t="shared" si="278"/>
        <v>46096</v>
      </c>
      <c r="E796" s="28">
        <f t="shared" si="279"/>
        <v>46080</v>
      </c>
      <c r="F796" s="28">
        <f t="shared" si="280"/>
        <v>46087</v>
      </c>
      <c r="G796" s="28">
        <f t="shared" si="281"/>
        <v>46093</v>
      </c>
      <c r="H796" s="28">
        <f t="shared" si="282"/>
        <v>46081</v>
      </c>
      <c r="I796" s="28">
        <f t="shared" si="283"/>
        <v>46088</v>
      </c>
      <c r="J796" s="28">
        <v>46101</v>
      </c>
      <c r="K796" s="1">
        <f t="shared" si="284"/>
        <v>28</v>
      </c>
      <c r="L796" s="1">
        <v>11.38</v>
      </c>
      <c r="M796" s="1">
        <v>9.2100000000000009</v>
      </c>
      <c r="N796" s="1">
        <f t="shared" si="285"/>
        <v>2.17</v>
      </c>
      <c r="O796" s="1" t="s">
        <v>379</v>
      </c>
    </row>
    <row r="797" spans="1:15" x14ac:dyDescent="0.25">
      <c r="A797" s="28">
        <v>46073</v>
      </c>
      <c r="B797" s="1" t="s">
        <v>199</v>
      </c>
      <c r="C797" s="1" t="s">
        <v>568</v>
      </c>
      <c r="D797" s="28">
        <f t="shared" si="278"/>
        <v>46096</v>
      </c>
      <c r="E797" s="28">
        <f t="shared" si="279"/>
        <v>46080</v>
      </c>
      <c r="F797" s="28">
        <f t="shared" si="280"/>
        <v>46087</v>
      </c>
      <c r="G797" s="28">
        <f t="shared" si="281"/>
        <v>46093</v>
      </c>
      <c r="H797" s="28">
        <f t="shared" si="282"/>
        <v>46081</v>
      </c>
      <c r="I797" s="28">
        <f t="shared" si="283"/>
        <v>46088</v>
      </c>
      <c r="J797" s="28">
        <v>46103</v>
      </c>
      <c r="K797" s="1">
        <f t="shared" si="284"/>
        <v>30</v>
      </c>
      <c r="L797" s="1">
        <v>12.54</v>
      </c>
      <c r="M797" s="1">
        <v>11.23</v>
      </c>
      <c r="N797" s="1">
        <f t="shared" si="285"/>
        <v>1.3099999999999987</v>
      </c>
      <c r="O797" s="1" t="s">
        <v>379</v>
      </c>
    </row>
    <row r="798" spans="1:15" x14ac:dyDescent="0.25">
      <c r="A798" s="28">
        <v>46073</v>
      </c>
      <c r="B798" s="1" t="s">
        <v>200</v>
      </c>
      <c r="C798" s="1" t="s">
        <v>569</v>
      </c>
      <c r="D798" s="28">
        <f t="shared" si="278"/>
        <v>46096</v>
      </c>
      <c r="E798" s="28">
        <f t="shared" si="279"/>
        <v>46080</v>
      </c>
      <c r="F798" s="28">
        <f t="shared" si="280"/>
        <v>46087</v>
      </c>
      <c r="G798" s="28">
        <f t="shared" si="281"/>
        <v>46093</v>
      </c>
      <c r="H798" s="28">
        <f t="shared" si="282"/>
        <v>46081</v>
      </c>
      <c r="I798" s="28">
        <f t="shared" si="283"/>
        <v>46088</v>
      </c>
      <c r="J798" s="28">
        <v>46103</v>
      </c>
      <c r="K798" s="1">
        <f t="shared" si="284"/>
        <v>30</v>
      </c>
      <c r="L798" s="1">
        <v>12.01</v>
      </c>
      <c r="M798" s="1">
        <v>10.57</v>
      </c>
      <c r="N798" s="1">
        <f t="shared" si="285"/>
        <v>1.4399999999999995</v>
      </c>
      <c r="O798" s="1" t="s">
        <v>379</v>
      </c>
    </row>
    <row r="799" spans="1:15" x14ac:dyDescent="0.25">
      <c r="A799" s="28">
        <v>46073</v>
      </c>
      <c r="B799" s="1" t="s">
        <v>201</v>
      </c>
      <c r="C799" s="1" t="s">
        <v>570</v>
      </c>
      <c r="D799" s="28">
        <f t="shared" si="278"/>
        <v>46096</v>
      </c>
      <c r="E799" s="28">
        <f t="shared" si="279"/>
        <v>46080</v>
      </c>
      <c r="F799" s="28">
        <f t="shared" si="280"/>
        <v>46087</v>
      </c>
      <c r="G799" s="28">
        <f t="shared" si="281"/>
        <v>46093</v>
      </c>
      <c r="H799" s="28">
        <f t="shared" si="282"/>
        <v>46081</v>
      </c>
      <c r="I799" s="28">
        <f t="shared" si="283"/>
        <v>46088</v>
      </c>
      <c r="J799" s="28">
        <v>46103</v>
      </c>
      <c r="K799" s="1">
        <f t="shared" si="284"/>
        <v>30</v>
      </c>
      <c r="L799" s="1">
        <v>13.11</v>
      </c>
      <c r="M799" s="1">
        <v>11.31</v>
      </c>
      <c r="N799" s="1">
        <f t="shared" si="285"/>
        <v>1.7999999999999989</v>
      </c>
      <c r="O799" s="1" t="s">
        <v>379</v>
      </c>
    </row>
    <row r="800" spans="1:15" x14ac:dyDescent="0.25">
      <c r="A800" s="28">
        <v>46073</v>
      </c>
      <c r="B800" s="1" t="s">
        <v>202</v>
      </c>
      <c r="C800" s="1" t="s">
        <v>571</v>
      </c>
      <c r="D800" s="28">
        <f t="shared" si="278"/>
        <v>46096</v>
      </c>
      <c r="E800" s="28">
        <f t="shared" si="279"/>
        <v>46080</v>
      </c>
      <c r="F800" s="28">
        <f t="shared" si="280"/>
        <v>46087</v>
      </c>
      <c r="G800" s="28">
        <f t="shared" si="281"/>
        <v>46093</v>
      </c>
      <c r="H800" s="28">
        <f t="shared" si="282"/>
        <v>46081</v>
      </c>
      <c r="I800" s="28">
        <f t="shared" si="283"/>
        <v>46088</v>
      </c>
      <c r="J800" s="28">
        <v>46103</v>
      </c>
      <c r="K800" s="1">
        <f t="shared" si="284"/>
        <v>30</v>
      </c>
      <c r="L800" s="1">
        <v>13.17</v>
      </c>
      <c r="M800" s="1">
        <v>11.33</v>
      </c>
      <c r="N800" s="1">
        <f t="shared" si="285"/>
        <v>1.8399999999999999</v>
      </c>
      <c r="O800" s="1" t="s">
        <v>379</v>
      </c>
    </row>
    <row r="801" spans="1:15" x14ac:dyDescent="0.25">
      <c r="A801" s="28">
        <v>46073</v>
      </c>
      <c r="B801" s="1" t="s">
        <v>203</v>
      </c>
      <c r="C801" s="1" t="s">
        <v>572</v>
      </c>
      <c r="D801" s="28">
        <f t="shared" si="278"/>
        <v>46096</v>
      </c>
      <c r="E801" s="28">
        <f t="shared" si="279"/>
        <v>46080</v>
      </c>
      <c r="F801" s="28">
        <f t="shared" si="280"/>
        <v>46087</v>
      </c>
      <c r="G801" s="28">
        <f t="shared" si="281"/>
        <v>46093</v>
      </c>
      <c r="H801" s="28">
        <f t="shared" si="282"/>
        <v>46081</v>
      </c>
      <c r="I801" s="28">
        <f t="shared" si="283"/>
        <v>46088</v>
      </c>
      <c r="J801" s="28">
        <v>46103</v>
      </c>
      <c r="K801" s="1">
        <f t="shared" si="284"/>
        <v>30</v>
      </c>
      <c r="L801" s="1">
        <v>12.46</v>
      </c>
      <c r="M801" s="1">
        <v>10.81</v>
      </c>
      <c r="N801" s="1">
        <f t="shared" si="285"/>
        <v>1.6500000000000004</v>
      </c>
      <c r="O801" s="1" t="s">
        <v>379</v>
      </c>
    </row>
    <row r="802" spans="1:15" x14ac:dyDescent="0.25">
      <c r="A802" s="28">
        <v>46074</v>
      </c>
      <c r="B802" s="1" t="s">
        <v>189</v>
      </c>
      <c r="C802" s="1" t="s">
        <v>573</v>
      </c>
      <c r="D802" s="28">
        <f t="shared" si="278"/>
        <v>46097</v>
      </c>
      <c r="E802" s="28">
        <f t="shared" si="279"/>
        <v>46081</v>
      </c>
      <c r="F802" s="28">
        <f t="shared" si="280"/>
        <v>46088</v>
      </c>
      <c r="G802" s="28">
        <f t="shared" si="281"/>
        <v>46094</v>
      </c>
      <c r="H802" s="28">
        <f t="shared" si="282"/>
        <v>46082</v>
      </c>
      <c r="I802" s="28">
        <f t="shared" si="283"/>
        <v>46089</v>
      </c>
      <c r="J802" s="28">
        <v>46100</v>
      </c>
      <c r="K802" s="1">
        <f t="shared" si="284"/>
        <v>26</v>
      </c>
      <c r="L802" s="1">
        <v>14.56</v>
      </c>
      <c r="M802" s="1">
        <v>12.78</v>
      </c>
      <c r="N802" s="1">
        <f t="shared" si="285"/>
        <v>1.7800000000000011</v>
      </c>
      <c r="O802" s="1" t="s">
        <v>379</v>
      </c>
    </row>
    <row r="803" spans="1:15" x14ac:dyDescent="0.25">
      <c r="A803" s="28">
        <v>46074</v>
      </c>
      <c r="B803" s="1" t="s">
        <v>190</v>
      </c>
      <c r="C803" s="1" t="s">
        <v>574</v>
      </c>
      <c r="D803" s="28">
        <f t="shared" si="278"/>
        <v>46097</v>
      </c>
      <c r="E803" s="28">
        <f t="shared" si="279"/>
        <v>46081</v>
      </c>
      <c r="F803" s="28">
        <f t="shared" si="280"/>
        <v>46088</v>
      </c>
      <c r="G803" s="28">
        <f t="shared" si="281"/>
        <v>46094</v>
      </c>
      <c r="H803" s="28">
        <f t="shared" si="282"/>
        <v>46082</v>
      </c>
      <c r="I803" s="28">
        <f t="shared" si="283"/>
        <v>46089</v>
      </c>
      <c r="J803" s="28">
        <v>46100</v>
      </c>
      <c r="K803" s="1">
        <f t="shared" si="284"/>
        <v>26</v>
      </c>
      <c r="L803" s="1">
        <v>13.06</v>
      </c>
      <c r="M803" s="1">
        <v>11.87</v>
      </c>
      <c r="N803" s="1">
        <f t="shared" si="285"/>
        <v>1.1900000000000013</v>
      </c>
      <c r="O803" s="1" t="s">
        <v>379</v>
      </c>
    </row>
    <row r="804" spans="1:15" x14ac:dyDescent="0.25">
      <c r="A804" s="28">
        <v>46074</v>
      </c>
      <c r="B804" s="1" t="s">
        <v>191</v>
      </c>
      <c r="C804" s="1" t="s">
        <v>575</v>
      </c>
      <c r="D804" s="28">
        <f t="shared" si="278"/>
        <v>46097</v>
      </c>
      <c r="E804" s="28">
        <f t="shared" si="279"/>
        <v>46081</v>
      </c>
      <c r="F804" s="28">
        <f t="shared" si="280"/>
        <v>46088</v>
      </c>
      <c r="G804" s="28">
        <f t="shared" si="281"/>
        <v>46094</v>
      </c>
      <c r="H804" s="28">
        <f t="shared" si="282"/>
        <v>46082</v>
      </c>
      <c r="I804" s="28">
        <f t="shared" si="283"/>
        <v>46089</v>
      </c>
      <c r="J804" s="28">
        <v>46100</v>
      </c>
      <c r="K804" s="1">
        <f t="shared" si="284"/>
        <v>26</v>
      </c>
      <c r="L804" s="1">
        <v>12.66</v>
      </c>
      <c r="M804" s="1">
        <v>10.31</v>
      </c>
      <c r="N804" s="1">
        <f t="shared" si="285"/>
        <v>2.3499999999999996</v>
      </c>
      <c r="O804" s="1" t="s">
        <v>379</v>
      </c>
    </row>
    <row r="805" spans="1:15" x14ac:dyDescent="0.25">
      <c r="A805" s="28">
        <v>46074</v>
      </c>
      <c r="B805" s="1" t="s">
        <v>193</v>
      </c>
      <c r="C805" s="1" t="s">
        <v>576</v>
      </c>
      <c r="D805" s="28">
        <f t="shared" si="278"/>
        <v>46097</v>
      </c>
      <c r="E805" s="28">
        <f t="shared" si="279"/>
        <v>46081</v>
      </c>
      <c r="F805" s="28">
        <f t="shared" si="280"/>
        <v>46088</v>
      </c>
      <c r="G805" s="28">
        <f t="shared" si="281"/>
        <v>46094</v>
      </c>
      <c r="H805" s="28">
        <f t="shared" si="282"/>
        <v>46082</v>
      </c>
      <c r="I805" s="28">
        <f t="shared" si="283"/>
        <v>46089</v>
      </c>
      <c r="J805" s="28">
        <v>46103</v>
      </c>
      <c r="K805" s="1">
        <f t="shared" si="284"/>
        <v>29</v>
      </c>
      <c r="L805" s="1">
        <v>9.24</v>
      </c>
      <c r="M805" s="1">
        <v>7.61</v>
      </c>
      <c r="N805" s="1">
        <f t="shared" si="285"/>
        <v>1.63</v>
      </c>
      <c r="O805" s="1" t="s">
        <v>379</v>
      </c>
    </row>
    <row r="806" spans="1:15" x14ac:dyDescent="0.25">
      <c r="A806" s="28">
        <v>46074</v>
      </c>
      <c r="B806" s="1" t="s">
        <v>194</v>
      </c>
      <c r="C806" s="1" t="s">
        <v>577</v>
      </c>
      <c r="D806" s="28">
        <f t="shared" si="278"/>
        <v>46097</v>
      </c>
      <c r="E806" s="28">
        <f t="shared" si="279"/>
        <v>46081</v>
      </c>
      <c r="F806" s="28">
        <f t="shared" si="280"/>
        <v>46088</v>
      </c>
      <c r="G806" s="28">
        <f t="shared" si="281"/>
        <v>46094</v>
      </c>
      <c r="H806" s="28">
        <f t="shared" si="282"/>
        <v>46082</v>
      </c>
      <c r="I806" s="28">
        <f t="shared" si="283"/>
        <v>46089</v>
      </c>
      <c r="J806" s="28">
        <v>46103</v>
      </c>
      <c r="K806" s="1">
        <f t="shared" si="284"/>
        <v>29</v>
      </c>
      <c r="L806" s="1">
        <v>10.51</v>
      </c>
      <c r="M806" s="1">
        <v>8.24</v>
      </c>
      <c r="N806" s="1">
        <f t="shared" si="285"/>
        <v>2.2699999999999996</v>
      </c>
      <c r="O806" s="1" t="s">
        <v>379</v>
      </c>
    </row>
    <row r="807" spans="1:15" x14ac:dyDescent="0.25">
      <c r="A807" s="28">
        <v>46074</v>
      </c>
      <c r="B807" s="1" t="s">
        <v>195</v>
      </c>
      <c r="C807" s="1" t="s">
        <v>578</v>
      </c>
      <c r="D807" s="28">
        <f t="shared" si="278"/>
        <v>46097</v>
      </c>
      <c r="E807" s="28">
        <f t="shared" si="279"/>
        <v>46081</v>
      </c>
      <c r="F807" s="28">
        <f t="shared" si="280"/>
        <v>46088</v>
      </c>
      <c r="G807" s="28">
        <f t="shared" si="281"/>
        <v>46094</v>
      </c>
      <c r="H807" s="28">
        <f t="shared" si="282"/>
        <v>46082</v>
      </c>
      <c r="I807" s="28">
        <f t="shared" si="283"/>
        <v>46089</v>
      </c>
      <c r="J807" s="28">
        <v>46103</v>
      </c>
      <c r="K807" s="1">
        <f t="shared" si="284"/>
        <v>29</v>
      </c>
      <c r="L807" s="1">
        <v>9.16</v>
      </c>
      <c r="M807" s="1">
        <v>7.59</v>
      </c>
      <c r="N807" s="1">
        <f t="shared" si="285"/>
        <v>1.5700000000000003</v>
      </c>
      <c r="O807" s="1" t="s">
        <v>379</v>
      </c>
    </row>
    <row r="808" spans="1:15" x14ac:dyDescent="0.25">
      <c r="A808" s="28">
        <v>46075</v>
      </c>
      <c r="B808" s="1" t="s">
        <v>227</v>
      </c>
      <c r="C808" s="1" t="s">
        <v>579</v>
      </c>
      <c r="D808" s="28">
        <f t="shared" si="278"/>
        <v>46098</v>
      </c>
      <c r="E808" s="28">
        <f t="shared" si="279"/>
        <v>46082</v>
      </c>
      <c r="F808" s="28">
        <f t="shared" si="280"/>
        <v>46089</v>
      </c>
      <c r="G808" s="28">
        <f t="shared" si="281"/>
        <v>46095</v>
      </c>
      <c r="H808" s="28">
        <f t="shared" si="282"/>
        <v>46083</v>
      </c>
      <c r="I808" s="28">
        <f t="shared" si="283"/>
        <v>46090</v>
      </c>
      <c r="J808" s="28">
        <v>46103</v>
      </c>
      <c r="K808" s="1">
        <f t="shared" si="284"/>
        <v>28</v>
      </c>
      <c r="L808" s="1">
        <v>14.25</v>
      </c>
      <c r="M808" s="1">
        <v>12.94</v>
      </c>
      <c r="N808" s="1">
        <f t="shared" si="285"/>
        <v>1.3100000000000005</v>
      </c>
      <c r="O808" s="1" t="s">
        <v>379</v>
      </c>
    </row>
    <row r="809" spans="1:15" x14ac:dyDescent="0.25">
      <c r="A809" s="28">
        <v>46075</v>
      </c>
      <c r="B809" s="1" t="s">
        <v>228</v>
      </c>
      <c r="C809" s="1" t="s">
        <v>580</v>
      </c>
      <c r="D809" s="28">
        <f t="shared" si="278"/>
        <v>46098</v>
      </c>
      <c r="E809" s="28">
        <f t="shared" si="279"/>
        <v>46082</v>
      </c>
      <c r="F809" s="28">
        <f t="shared" si="280"/>
        <v>46089</v>
      </c>
      <c r="G809" s="28">
        <f t="shared" si="281"/>
        <v>46095</v>
      </c>
      <c r="H809" s="28">
        <f t="shared" si="282"/>
        <v>46083</v>
      </c>
      <c r="I809" s="28">
        <f t="shared" si="283"/>
        <v>46090</v>
      </c>
      <c r="J809" s="28">
        <v>46103</v>
      </c>
      <c r="K809" s="1">
        <f t="shared" si="284"/>
        <v>28</v>
      </c>
      <c r="L809" s="1">
        <v>13.78</v>
      </c>
      <c r="M809" s="1">
        <v>11.73</v>
      </c>
      <c r="N809" s="1">
        <f t="shared" si="285"/>
        <v>2.0499999999999989</v>
      </c>
      <c r="O809" s="1" t="s">
        <v>379</v>
      </c>
    </row>
    <row r="810" spans="1:15" x14ac:dyDescent="0.25">
      <c r="A810" s="28">
        <v>46075</v>
      </c>
      <c r="B810" s="1" t="s">
        <v>229</v>
      </c>
      <c r="C810" s="1" t="s">
        <v>581</v>
      </c>
      <c r="D810" s="28">
        <f t="shared" si="278"/>
        <v>46098</v>
      </c>
      <c r="E810" s="28">
        <f t="shared" si="279"/>
        <v>46082</v>
      </c>
      <c r="F810" s="28">
        <f t="shared" si="280"/>
        <v>46089</v>
      </c>
      <c r="G810" s="28">
        <f t="shared" si="281"/>
        <v>46095</v>
      </c>
      <c r="H810" s="28">
        <f t="shared" si="282"/>
        <v>46083</v>
      </c>
      <c r="I810" s="28">
        <f t="shared" si="283"/>
        <v>46090</v>
      </c>
      <c r="J810" s="28">
        <v>46103</v>
      </c>
      <c r="K810" s="1">
        <f t="shared" si="284"/>
        <v>28</v>
      </c>
      <c r="L810" s="1">
        <v>12.92</v>
      </c>
      <c r="M810" s="1">
        <v>12.01</v>
      </c>
      <c r="N810" s="1">
        <f t="shared" si="285"/>
        <v>0.91000000000000014</v>
      </c>
      <c r="O810" s="1" t="s">
        <v>379</v>
      </c>
    </row>
    <row r="811" spans="1:15" x14ac:dyDescent="0.25">
      <c r="A811" s="28">
        <v>46075</v>
      </c>
      <c r="B811" s="1" t="s">
        <v>230</v>
      </c>
      <c r="C811" s="1" t="s">
        <v>582</v>
      </c>
      <c r="D811" s="28">
        <f t="shared" si="278"/>
        <v>46098</v>
      </c>
      <c r="E811" s="28">
        <f t="shared" si="279"/>
        <v>46082</v>
      </c>
      <c r="F811" s="28">
        <f t="shared" si="280"/>
        <v>46089</v>
      </c>
      <c r="G811" s="28">
        <f t="shared" si="281"/>
        <v>46095</v>
      </c>
      <c r="H811" s="28">
        <f t="shared" si="282"/>
        <v>46083</v>
      </c>
      <c r="I811" s="28">
        <f t="shared" si="283"/>
        <v>46090</v>
      </c>
      <c r="J811" s="28">
        <v>46103</v>
      </c>
      <c r="K811" s="1">
        <f t="shared" si="284"/>
        <v>28</v>
      </c>
      <c r="L811" s="1">
        <v>13.42</v>
      </c>
      <c r="M811" s="1">
        <v>9.2100000000000009</v>
      </c>
      <c r="N811" s="1">
        <f t="shared" si="285"/>
        <v>4.2099999999999991</v>
      </c>
      <c r="O811" s="1" t="s">
        <v>379</v>
      </c>
    </row>
    <row r="812" spans="1:15" x14ac:dyDescent="0.25">
      <c r="A812" s="28">
        <v>46075</v>
      </c>
      <c r="B812" s="1" t="s">
        <v>231</v>
      </c>
      <c r="C812" s="1" t="s">
        <v>583</v>
      </c>
      <c r="D812" s="28">
        <f t="shared" si="278"/>
        <v>46098</v>
      </c>
      <c r="E812" s="28">
        <f t="shared" si="279"/>
        <v>46082</v>
      </c>
      <c r="F812" s="28">
        <f t="shared" si="280"/>
        <v>46089</v>
      </c>
      <c r="G812" s="28">
        <f t="shared" si="281"/>
        <v>46095</v>
      </c>
      <c r="H812" s="28">
        <f t="shared" si="282"/>
        <v>46083</v>
      </c>
      <c r="I812" s="28">
        <f t="shared" si="283"/>
        <v>46090</v>
      </c>
      <c r="J812" s="28">
        <v>46103</v>
      </c>
      <c r="K812" s="1">
        <f t="shared" si="284"/>
        <v>28</v>
      </c>
      <c r="L812" s="1">
        <v>15.72</v>
      </c>
      <c r="M812" s="1">
        <v>13.66</v>
      </c>
      <c r="N812" s="1">
        <f t="shared" si="285"/>
        <v>2.0600000000000005</v>
      </c>
      <c r="O812" s="1" t="s">
        <v>379</v>
      </c>
    </row>
    <row r="813" spans="1:15" x14ac:dyDescent="0.25">
      <c r="A813" s="28">
        <v>46075</v>
      </c>
      <c r="B813" s="1" t="s">
        <v>232</v>
      </c>
      <c r="C813" s="1" t="s">
        <v>584</v>
      </c>
      <c r="D813" s="28">
        <f t="shared" si="278"/>
        <v>46098</v>
      </c>
      <c r="E813" s="28">
        <f t="shared" si="279"/>
        <v>46082</v>
      </c>
      <c r="F813" s="28">
        <f t="shared" si="280"/>
        <v>46089</v>
      </c>
      <c r="G813" s="28">
        <f t="shared" si="281"/>
        <v>46095</v>
      </c>
      <c r="H813" s="28">
        <f t="shared" si="282"/>
        <v>46083</v>
      </c>
      <c r="I813" s="28">
        <f t="shared" si="283"/>
        <v>46090</v>
      </c>
      <c r="J813" s="28">
        <v>46103</v>
      </c>
      <c r="K813" s="1">
        <f t="shared" si="284"/>
        <v>28</v>
      </c>
      <c r="L813" s="1">
        <v>14.23</v>
      </c>
      <c r="M813" s="1">
        <v>12.73</v>
      </c>
      <c r="N813" s="1">
        <f t="shared" si="285"/>
        <v>1.5</v>
      </c>
      <c r="O813" s="1" t="s">
        <v>379</v>
      </c>
    </row>
    <row r="814" spans="1:15" x14ac:dyDescent="0.25">
      <c r="A814" s="28">
        <v>46075</v>
      </c>
      <c r="B814" s="1" t="s">
        <v>233</v>
      </c>
      <c r="C814" s="1" t="s">
        <v>585</v>
      </c>
      <c r="D814" s="28">
        <f t="shared" si="278"/>
        <v>46098</v>
      </c>
      <c r="E814" s="28">
        <f t="shared" si="279"/>
        <v>46082</v>
      </c>
      <c r="F814" s="28">
        <f t="shared" si="280"/>
        <v>46089</v>
      </c>
      <c r="G814" s="28">
        <f t="shared" si="281"/>
        <v>46095</v>
      </c>
      <c r="H814" s="28">
        <f t="shared" si="282"/>
        <v>46083</v>
      </c>
      <c r="I814" s="28">
        <f t="shared" si="283"/>
        <v>46090</v>
      </c>
      <c r="J814" s="28">
        <v>46104</v>
      </c>
      <c r="K814" s="1">
        <f t="shared" si="284"/>
        <v>29</v>
      </c>
      <c r="L814" s="1">
        <v>12.42</v>
      </c>
      <c r="M814" s="1">
        <v>11.32</v>
      </c>
      <c r="N814" s="1">
        <f t="shared" si="285"/>
        <v>1.0999999999999996</v>
      </c>
      <c r="O814" s="1" t="s">
        <v>379</v>
      </c>
    </row>
    <row r="815" spans="1:15" x14ac:dyDescent="0.25">
      <c r="A815" s="28">
        <v>46076</v>
      </c>
      <c r="B815" s="1" t="s">
        <v>220</v>
      </c>
      <c r="C815" s="1" t="s">
        <v>586</v>
      </c>
      <c r="D815" s="28">
        <f t="shared" si="278"/>
        <v>46099</v>
      </c>
      <c r="E815" s="28">
        <f t="shared" si="279"/>
        <v>46083</v>
      </c>
      <c r="F815" s="28">
        <f t="shared" si="280"/>
        <v>46090</v>
      </c>
      <c r="G815" s="28">
        <f t="shared" si="281"/>
        <v>46096</v>
      </c>
      <c r="H815" s="28">
        <f t="shared" si="282"/>
        <v>46084</v>
      </c>
      <c r="I815" s="28">
        <f t="shared" si="283"/>
        <v>46091</v>
      </c>
      <c r="J815" s="28">
        <v>46104</v>
      </c>
      <c r="K815" s="1">
        <f t="shared" si="284"/>
        <v>28</v>
      </c>
      <c r="L815" s="1">
        <v>11.85</v>
      </c>
      <c r="M815" s="1">
        <v>10.31</v>
      </c>
      <c r="N815" s="1">
        <f t="shared" si="285"/>
        <v>1.5399999999999991</v>
      </c>
      <c r="O815" s="1" t="s">
        <v>379</v>
      </c>
    </row>
    <row r="816" spans="1:15" x14ac:dyDescent="0.25">
      <c r="A816" s="28">
        <v>46076</v>
      </c>
      <c r="B816" s="1" t="s">
        <v>221</v>
      </c>
      <c r="C816" s="1" t="s">
        <v>587</v>
      </c>
      <c r="D816" s="28">
        <f t="shared" si="278"/>
        <v>46099</v>
      </c>
      <c r="E816" s="28">
        <f t="shared" si="279"/>
        <v>46083</v>
      </c>
      <c r="F816" s="28">
        <f t="shared" si="280"/>
        <v>46090</v>
      </c>
      <c r="G816" s="28">
        <f t="shared" si="281"/>
        <v>46096</v>
      </c>
      <c r="H816" s="28">
        <f t="shared" si="282"/>
        <v>46084</v>
      </c>
      <c r="I816" s="28">
        <f t="shared" si="283"/>
        <v>46091</v>
      </c>
      <c r="J816" s="28">
        <v>46104</v>
      </c>
      <c r="K816" s="1">
        <f t="shared" si="284"/>
        <v>28</v>
      </c>
      <c r="L816" s="1">
        <v>11.57</v>
      </c>
      <c r="M816" s="1">
        <v>10.210000000000001</v>
      </c>
      <c r="N816" s="1">
        <f t="shared" si="285"/>
        <v>1.3599999999999994</v>
      </c>
      <c r="O816" s="1" t="s">
        <v>379</v>
      </c>
    </row>
    <row r="817" spans="1:15" x14ac:dyDescent="0.25">
      <c r="A817" s="28">
        <v>46076</v>
      </c>
      <c r="B817" s="1" t="s">
        <v>222</v>
      </c>
      <c r="C817" s="1" t="s">
        <v>588</v>
      </c>
      <c r="D817" s="28">
        <f t="shared" si="278"/>
        <v>46099</v>
      </c>
      <c r="E817" s="28">
        <f t="shared" si="279"/>
        <v>46083</v>
      </c>
      <c r="F817" s="28">
        <f t="shared" si="280"/>
        <v>46090</v>
      </c>
      <c r="G817" s="28">
        <f t="shared" si="281"/>
        <v>46096</v>
      </c>
      <c r="H817" s="28">
        <f t="shared" si="282"/>
        <v>46084</v>
      </c>
      <c r="I817" s="28">
        <f t="shared" si="283"/>
        <v>46091</v>
      </c>
      <c r="J817" s="28">
        <v>46104</v>
      </c>
      <c r="K817" s="1">
        <f t="shared" si="284"/>
        <v>28</v>
      </c>
      <c r="L817" s="1">
        <v>12.45</v>
      </c>
      <c r="M817" s="1">
        <v>11.78</v>
      </c>
      <c r="N817" s="1">
        <f t="shared" si="285"/>
        <v>0.66999999999999993</v>
      </c>
      <c r="O817" s="1" t="s">
        <v>379</v>
      </c>
    </row>
    <row r="818" spans="1:15" x14ac:dyDescent="0.25">
      <c r="A818" s="28">
        <v>46076</v>
      </c>
      <c r="B818" s="1" t="s">
        <v>223</v>
      </c>
      <c r="C818" s="1" t="s">
        <v>589</v>
      </c>
      <c r="D818" s="28">
        <f t="shared" si="278"/>
        <v>46099</v>
      </c>
      <c r="E818" s="28">
        <f t="shared" si="279"/>
        <v>46083</v>
      </c>
      <c r="F818" s="28">
        <f t="shared" si="280"/>
        <v>46090</v>
      </c>
      <c r="G818" s="28">
        <f t="shared" si="281"/>
        <v>46096</v>
      </c>
      <c r="H818" s="28">
        <f t="shared" si="282"/>
        <v>46084</v>
      </c>
      <c r="I818" s="28">
        <f t="shared" si="283"/>
        <v>46091</v>
      </c>
      <c r="J818" s="28">
        <v>46104</v>
      </c>
      <c r="K818" s="1">
        <f t="shared" si="284"/>
        <v>28</v>
      </c>
      <c r="L818" s="1">
        <v>14.58</v>
      </c>
      <c r="M818" s="1">
        <v>13.23</v>
      </c>
      <c r="N818" s="1">
        <f t="shared" si="285"/>
        <v>1.3499999999999996</v>
      </c>
      <c r="O818" s="1" t="s">
        <v>379</v>
      </c>
    </row>
    <row r="819" spans="1:15" x14ac:dyDescent="0.25">
      <c r="A819" s="28">
        <v>46076</v>
      </c>
      <c r="B819" s="1" t="s">
        <v>224</v>
      </c>
      <c r="C819" s="1" t="s">
        <v>590</v>
      </c>
      <c r="D819" s="28">
        <f t="shared" si="278"/>
        <v>46099</v>
      </c>
      <c r="E819" s="28">
        <f t="shared" si="279"/>
        <v>46083</v>
      </c>
      <c r="F819" s="28">
        <f t="shared" si="280"/>
        <v>46090</v>
      </c>
      <c r="G819" s="28">
        <f t="shared" si="281"/>
        <v>46096</v>
      </c>
      <c r="H819" s="28">
        <f t="shared" si="282"/>
        <v>46084</v>
      </c>
      <c r="I819" s="28">
        <f t="shared" si="283"/>
        <v>46091</v>
      </c>
      <c r="J819" s="28">
        <v>46104</v>
      </c>
      <c r="K819" s="1">
        <f t="shared" si="284"/>
        <v>28</v>
      </c>
      <c r="L819" s="1">
        <v>13.19</v>
      </c>
      <c r="M819" s="1">
        <v>12.32</v>
      </c>
      <c r="N819" s="1">
        <f t="shared" si="285"/>
        <v>0.86999999999999922</v>
      </c>
      <c r="O819" s="1" t="s">
        <v>379</v>
      </c>
    </row>
    <row r="820" spans="1:15" x14ac:dyDescent="0.25">
      <c r="A820" s="28">
        <v>46076</v>
      </c>
      <c r="B820" s="1" t="s">
        <v>225</v>
      </c>
      <c r="C820" s="1" t="s">
        <v>591</v>
      </c>
      <c r="D820" s="28">
        <f t="shared" si="278"/>
        <v>46099</v>
      </c>
      <c r="E820" s="28">
        <f t="shared" si="279"/>
        <v>46083</v>
      </c>
      <c r="F820" s="28">
        <f t="shared" si="280"/>
        <v>46090</v>
      </c>
      <c r="G820" s="28">
        <f t="shared" si="281"/>
        <v>46096</v>
      </c>
      <c r="H820" s="28">
        <f t="shared" si="282"/>
        <v>46084</v>
      </c>
      <c r="I820" s="28">
        <f t="shared" si="283"/>
        <v>46091</v>
      </c>
      <c r="J820" s="28">
        <v>46104</v>
      </c>
      <c r="K820" s="1">
        <f t="shared" si="284"/>
        <v>28</v>
      </c>
      <c r="L820" s="1">
        <v>11.77</v>
      </c>
      <c r="M820" s="1">
        <v>10.56</v>
      </c>
      <c r="N820" s="1">
        <f t="shared" si="285"/>
        <v>1.2099999999999991</v>
      </c>
      <c r="O820" s="1" t="s">
        <v>379</v>
      </c>
    </row>
    <row r="821" spans="1:15" x14ac:dyDescent="0.25">
      <c r="A821" s="28">
        <v>46076</v>
      </c>
      <c r="B821" s="1" t="s">
        <v>226</v>
      </c>
      <c r="C821" s="1" t="s">
        <v>592</v>
      </c>
      <c r="D821" s="28">
        <f t="shared" si="278"/>
        <v>46099</v>
      </c>
      <c r="E821" s="28">
        <f t="shared" si="279"/>
        <v>46083</v>
      </c>
      <c r="F821" s="28">
        <f t="shared" si="280"/>
        <v>46090</v>
      </c>
      <c r="G821" s="28">
        <f t="shared" si="281"/>
        <v>46096</v>
      </c>
      <c r="H821" s="28">
        <f t="shared" si="282"/>
        <v>46084</v>
      </c>
      <c r="I821" s="28">
        <f t="shared" si="283"/>
        <v>46091</v>
      </c>
      <c r="J821" s="28">
        <v>46104</v>
      </c>
      <c r="K821" s="1">
        <f t="shared" si="284"/>
        <v>28</v>
      </c>
      <c r="L821" s="1">
        <v>14.32</v>
      </c>
      <c r="M821" s="1">
        <v>12.21</v>
      </c>
      <c r="N821" s="1">
        <f t="shared" si="285"/>
        <v>2.1099999999999994</v>
      </c>
      <c r="O821" s="1" t="s">
        <v>379</v>
      </c>
    </row>
    <row r="822" spans="1:15" x14ac:dyDescent="0.25">
      <c r="A822" s="28">
        <v>46077</v>
      </c>
      <c r="B822" s="1" t="s">
        <v>287</v>
      </c>
      <c r="C822" s="1" t="s">
        <v>593</v>
      </c>
      <c r="D822" s="28">
        <f t="shared" si="278"/>
        <v>46100</v>
      </c>
      <c r="E822" s="28">
        <f t="shared" si="279"/>
        <v>46084</v>
      </c>
      <c r="F822" s="28">
        <f t="shared" si="280"/>
        <v>46091</v>
      </c>
      <c r="G822" s="28">
        <f t="shared" si="281"/>
        <v>46097</v>
      </c>
      <c r="H822" s="28">
        <f t="shared" si="282"/>
        <v>46085</v>
      </c>
      <c r="I822" s="28">
        <f t="shared" si="283"/>
        <v>46092</v>
      </c>
      <c r="J822" s="28">
        <v>46104</v>
      </c>
      <c r="K822" s="1">
        <f t="shared" si="284"/>
        <v>27</v>
      </c>
      <c r="L822" s="1">
        <v>9.33</v>
      </c>
      <c r="M822" s="1">
        <v>7.83</v>
      </c>
      <c r="N822" s="1">
        <f t="shared" si="285"/>
        <v>1.5</v>
      </c>
      <c r="O822" s="1" t="s">
        <v>379</v>
      </c>
    </row>
    <row r="823" spans="1:15" x14ac:dyDescent="0.25">
      <c r="A823" s="28">
        <v>46077</v>
      </c>
      <c r="B823" s="1" t="s">
        <v>288</v>
      </c>
      <c r="C823" s="1" t="s">
        <v>594</v>
      </c>
      <c r="D823" s="28">
        <f t="shared" si="278"/>
        <v>46100</v>
      </c>
      <c r="E823" s="28">
        <f t="shared" si="279"/>
        <v>46084</v>
      </c>
      <c r="F823" s="28">
        <f t="shared" si="280"/>
        <v>46091</v>
      </c>
      <c r="G823" s="28">
        <f t="shared" si="281"/>
        <v>46097</v>
      </c>
      <c r="H823" s="28">
        <f t="shared" si="282"/>
        <v>46085</v>
      </c>
      <c r="I823" s="28">
        <f t="shared" si="283"/>
        <v>46092</v>
      </c>
      <c r="J823" s="28">
        <v>46104</v>
      </c>
      <c r="K823" s="1">
        <f t="shared" si="284"/>
        <v>27</v>
      </c>
      <c r="L823" s="1">
        <v>10.87</v>
      </c>
      <c r="M823" s="1">
        <v>8.52</v>
      </c>
      <c r="N823" s="1">
        <f t="shared" si="285"/>
        <v>2.3499999999999996</v>
      </c>
      <c r="O823" s="1" t="s">
        <v>379</v>
      </c>
    </row>
    <row r="824" spans="1:15" x14ac:dyDescent="0.25">
      <c r="A824" s="28">
        <v>46077</v>
      </c>
      <c r="B824" s="1" t="s">
        <v>289</v>
      </c>
      <c r="C824" s="1" t="s">
        <v>595</v>
      </c>
      <c r="D824" s="28">
        <f t="shared" si="278"/>
        <v>46100</v>
      </c>
      <c r="E824" s="28">
        <f t="shared" si="279"/>
        <v>46084</v>
      </c>
      <c r="F824" s="28">
        <f t="shared" si="280"/>
        <v>46091</v>
      </c>
      <c r="G824" s="28">
        <f t="shared" si="281"/>
        <v>46097</v>
      </c>
      <c r="H824" s="28">
        <f t="shared" si="282"/>
        <v>46085</v>
      </c>
      <c r="I824" s="28">
        <f t="shared" si="283"/>
        <v>46092</v>
      </c>
      <c r="J824" s="28">
        <v>46104</v>
      </c>
      <c r="K824" s="1">
        <f t="shared" si="284"/>
        <v>27</v>
      </c>
      <c r="L824" s="1">
        <v>8.17</v>
      </c>
      <c r="M824" s="1">
        <v>6.32</v>
      </c>
      <c r="N824" s="1">
        <f t="shared" si="285"/>
        <v>1.8499999999999996</v>
      </c>
      <c r="O824" s="1" t="s">
        <v>379</v>
      </c>
    </row>
    <row r="825" spans="1:15" x14ac:dyDescent="0.25">
      <c r="A825" s="28">
        <v>46077</v>
      </c>
      <c r="B825" s="1" t="s">
        <v>290</v>
      </c>
      <c r="C825" s="1" t="s">
        <v>596</v>
      </c>
      <c r="D825" s="28">
        <f t="shared" si="278"/>
        <v>46100</v>
      </c>
      <c r="E825" s="28">
        <f t="shared" si="279"/>
        <v>46084</v>
      </c>
      <c r="F825" s="28">
        <f t="shared" si="280"/>
        <v>46091</v>
      </c>
      <c r="G825" s="28">
        <f t="shared" si="281"/>
        <v>46097</v>
      </c>
      <c r="H825" s="28">
        <f t="shared" si="282"/>
        <v>46085</v>
      </c>
      <c r="I825" s="28">
        <f t="shared" si="283"/>
        <v>46092</v>
      </c>
      <c r="J825" s="28">
        <v>46104</v>
      </c>
      <c r="K825" s="1">
        <f t="shared" si="284"/>
        <v>27</v>
      </c>
      <c r="L825" s="1">
        <v>9.56</v>
      </c>
      <c r="M825" s="1">
        <v>7.24</v>
      </c>
      <c r="N825" s="1">
        <f t="shared" si="285"/>
        <v>2.3200000000000003</v>
      </c>
      <c r="O825" s="1" t="s">
        <v>379</v>
      </c>
    </row>
    <row r="826" spans="1:15" x14ac:dyDescent="0.25">
      <c r="A826" s="28">
        <v>46077</v>
      </c>
      <c r="B826" s="1" t="s">
        <v>291</v>
      </c>
      <c r="C826" s="1" t="s">
        <v>597</v>
      </c>
      <c r="D826" s="28">
        <f t="shared" si="278"/>
        <v>46100</v>
      </c>
      <c r="E826" s="28">
        <f t="shared" si="279"/>
        <v>46084</v>
      </c>
      <c r="F826" s="28">
        <f t="shared" si="280"/>
        <v>46091</v>
      </c>
      <c r="G826" s="28">
        <f t="shared" si="281"/>
        <v>46097</v>
      </c>
      <c r="H826" s="28">
        <f t="shared" si="282"/>
        <v>46085</v>
      </c>
      <c r="I826" s="28">
        <f t="shared" si="283"/>
        <v>46092</v>
      </c>
      <c r="J826" s="28">
        <v>46104</v>
      </c>
      <c r="K826" s="1">
        <f t="shared" si="284"/>
        <v>27</v>
      </c>
      <c r="L826" s="1">
        <v>8.36</v>
      </c>
      <c r="M826" s="1">
        <v>6.79</v>
      </c>
      <c r="N826" s="1">
        <f t="shared" si="285"/>
        <v>1.5699999999999994</v>
      </c>
      <c r="O826" s="1" t="s">
        <v>379</v>
      </c>
    </row>
    <row r="827" spans="1:15" x14ac:dyDescent="0.25">
      <c r="A827" s="28">
        <v>46077</v>
      </c>
      <c r="B827" s="1" t="s">
        <v>292</v>
      </c>
      <c r="C827" s="1" t="s">
        <v>598</v>
      </c>
      <c r="D827" s="28">
        <f t="shared" si="278"/>
        <v>46100</v>
      </c>
      <c r="E827" s="28">
        <f t="shared" si="279"/>
        <v>46084</v>
      </c>
      <c r="F827" s="28">
        <f t="shared" si="280"/>
        <v>46091</v>
      </c>
      <c r="G827" s="28">
        <f t="shared" si="281"/>
        <v>46097</v>
      </c>
      <c r="H827" s="28">
        <f t="shared" si="282"/>
        <v>46085</v>
      </c>
      <c r="I827" s="28">
        <f t="shared" si="283"/>
        <v>46092</v>
      </c>
      <c r="J827" s="28">
        <v>46104</v>
      </c>
      <c r="K827" s="1">
        <f t="shared" si="284"/>
        <v>27</v>
      </c>
      <c r="L827" s="1">
        <v>8.09</v>
      </c>
      <c r="M827" s="1">
        <v>7.24</v>
      </c>
      <c r="N827" s="1">
        <f t="shared" si="285"/>
        <v>0.84999999999999964</v>
      </c>
      <c r="O827" s="1" t="s">
        <v>379</v>
      </c>
    </row>
    <row r="828" spans="1:15" x14ac:dyDescent="0.25">
      <c r="A828" s="28">
        <v>46077</v>
      </c>
      <c r="B828" s="1" t="s">
        <v>293</v>
      </c>
      <c r="C828" s="1" t="s">
        <v>599</v>
      </c>
      <c r="D828" s="28">
        <f t="shared" si="278"/>
        <v>46100</v>
      </c>
      <c r="E828" s="28">
        <f t="shared" si="279"/>
        <v>46084</v>
      </c>
      <c r="F828" s="28">
        <f t="shared" si="280"/>
        <v>46091</v>
      </c>
      <c r="G828" s="28">
        <f t="shared" si="281"/>
        <v>46097</v>
      </c>
      <c r="H828" s="28">
        <f t="shared" si="282"/>
        <v>46085</v>
      </c>
      <c r="I828" s="28">
        <f t="shared" si="283"/>
        <v>46092</v>
      </c>
      <c r="J828" s="28">
        <v>46104</v>
      </c>
      <c r="K828" s="1">
        <f t="shared" si="284"/>
        <v>27</v>
      </c>
      <c r="L828" s="1">
        <v>7.43</v>
      </c>
      <c r="M828" s="1">
        <v>6.93</v>
      </c>
      <c r="N828" s="1">
        <f t="shared" si="285"/>
        <v>0.5</v>
      </c>
      <c r="O828" s="1" t="s">
        <v>379</v>
      </c>
    </row>
    <row r="829" spans="1:15" x14ac:dyDescent="0.25">
      <c r="A829" s="28">
        <v>46078</v>
      </c>
      <c r="B829" s="1" t="s">
        <v>250</v>
      </c>
      <c r="C829" s="1" t="s">
        <v>409</v>
      </c>
      <c r="D829" s="28">
        <f t="shared" si="278"/>
        <v>46101</v>
      </c>
      <c r="E829" s="28">
        <f t="shared" si="279"/>
        <v>46085</v>
      </c>
      <c r="F829" s="28">
        <f t="shared" si="280"/>
        <v>46092</v>
      </c>
      <c r="G829" s="28">
        <f t="shared" si="281"/>
        <v>46098</v>
      </c>
      <c r="H829" s="28">
        <f t="shared" si="282"/>
        <v>46086</v>
      </c>
      <c r="I829" s="28">
        <f t="shared" si="283"/>
        <v>46093</v>
      </c>
      <c r="J829" s="28">
        <v>46105</v>
      </c>
      <c r="K829" s="1">
        <f t="shared" si="284"/>
        <v>27</v>
      </c>
      <c r="L829" s="1">
        <v>12.45</v>
      </c>
      <c r="M829" s="1">
        <v>11.43</v>
      </c>
      <c r="N829" s="1">
        <f t="shared" si="285"/>
        <v>1.0199999999999996</v>
      </c>
      <c r="O829" s="1" t="s">
        <v>379</v>
      </c>
    </row>
    <row r="830" spans="1:15" x14ac:dyDescent="0.25">
      <c r="A830" s="28">
        <v>46078</v>
      </c>
      <c r="B830" s="1" t="s">
        <v>251</v>
      </c>
      <c r="C830" s="1" t="s">
        <v>410</v>
      </c>
      <c r="D830" s="28">
        <f t="shared" si="278"/>
        <v>46101</v>
      </c>
      <c r="E830" s="28">
        <f t="shared" si="279"/>
        <v>46085</v>
      </c>
      <c r="F830" s="28">
        <f t="shared" si="280"/>
        <v>46092</v>
      </c>
      <c r="G830" s="28">
        <f t="shared" si="281"/>
        <v>46098</v>
      </c>
      <c r="H830" s="28">
        <f t="shared" si="282"/>
        <v>46086</v>
      </c>
      <c r="I830" s="28">
        <f t="shared" si="283"/>
        <v>46093</v>
      </c>
      <c r="J830" s="28">
        <v>46105</v>
      </c>
      <c r="K830" s="1">
        <f t="shared" si="284"/>
        <v>27</v>
      </c>
      <c r="L830" s="1">
        <v>11.98</v>
      </c>
      <c r="M830" s="1">
        <v>10.92</v>
      </c>
      <c r="N830" s="1">
        <f t="shared" si="285"/>
        <v>1.0600000000000005</v>
      </c>
      <c r="O830" s="1" t="s">
        <v>379</v>
      </c>
    </row>
    <row r="831" spans="1:15" x14ac:dyDescent="0.25">
      <c r="A831" s="28">
        <v>46078</v>
      </c>
      <c r="B831" s="1" t="s">
        <v>252</v>
      </c>
      <c r="C831" s="1" t="s">
        <v>411</v>
      </c>
      <c r="D831" s="28">
        <f t="shared" si="278"/>
        <v>46101</v>
      </c>
      <c r="E831" s="28">
        <f t="shared" si="279"/>
        <v>46085</v>
      </c>
      <c r="F831" s="28">
        <f t="shared" si="280"/>
        <v>46092</v>
      </c>
      <c r="G831" s="28">
        <f t="shared" si="281"/>
        <v>46098</v>
      </c>
      <c r="H831" s="28">
        <f t="shared" si="282"/>
        <v>46086</v>
      </c>
      <c r="I831" s="28">
        <f t="shared" si="283"/>
        <v>46093</v>
      </c>
      <c r="J831" s="28">
        <v>46105</v>
      </c>
      <c r="K831" s="1">
        <f t="shared" si="284"/>
        <v>27</v>
      </c>
      <c r="L831" s="1">
        <v>12.42</v>
      </c>
      <c r="M831" s="1">
        <v>10.73</v>
      </c>
      <c r="N831" s="1">
        <f t="shared" si="285"/>
        <v>1.6899999999999995</v>
      </c>
      <c r="O831" s="1" t="s">
        <v>379</v>
      </c>
    </row>
    <row r="832" spans="1:15" x14ac:dyDescent="0.25">
      <c r="A832" s="28">
        <v>46078</v>
      </c>
      <c r="B832" s="1" t="s">
        <v>253</v>
      </c>
      <c r="C832" s="1" t="s">
        <v>412</v>
      </c>
      <c r="D832" s="28">
        <f t="shared" si="278"/>
        <v>46101</v>
      </c>
      <c r="E832" s="28">
        <f t="shared" si="279"/>
        <v>46085</v>
      </c>
      <c r="F832" s="28">
        <f t="shared" si="280"/>
        <v>46092</v>
      </c>
      <c r="G832" s="28">
        <f t="shared" si="281"/>
        <v>46098</v>
      </c>
      <c r="H832" s="28">
        <f t="shared" si="282"/>
        <v>46086</v>
      </c>
      <c r="I832" s="28">
        <f t="shared" si="283"/>
        <v>46093</v>
      </c>
      <c r="J832" s="28">
        <v>46105</v>
      </c>
      <c r="K832" s="1">
        <f t="shared" si="284"/>
        <v>27</v>
      </c>
      <c r="L832" s="1">
        <v>14.78</v>
      </c>
      <c r="M832" s="1">
        <v>11.34</v>
      </c>
      <c r="N832" s="1">
        <f t="shared" si="285"/>
        <v>3.4399999999999995</v>
      </c>
      <c r="O832" s="1" t="s">
        <v>379</v>
      </c>
    </row>
    <row r="833" spans="1:15" x14ac:dyDescent="0.25">
      <c r="A833" s="28">
        <v>46078</v>
      </c>
      <c r="B833" s="1" t="s">
        <v>254</v>
      </c>
      <c r="C833" s="1" t="s">
        <v>413</v>
      </c>
      <c r="D833" s="28">
        <f t="shared" si="278"/>
        <v>46101</v>
      </c>
      <c r="E833" s="28">
        <f t="shared" si="279"/>
        <v>46085</v>
      </c>
      <c r="F833" s="28">
        <f t="shared" si="280"/>
        <v>46092</v>
      </c>
      <c r="G833" s="28">
        <f t="shared" si="281"/>
        <v>46098</v>
      </c>
      <c r="H833" s="28">
        <f t="shared" si="282"/>
        <v>46086</v>
      </c>
      <c r="I833" s="28">
        <f t="shared" si="283"/>
        <v>46093</v>
      </c>
      <c r="J833" s="28">
        <v>46105</v>
      </c>
      <c r="K833" s="1">
        <f t="shared" si="284"/>
        <v>27</v>
      </c>
      <c r="L833" s="1">
        <v>14.19</v>
      </c>
      <c r="M833" s="1">
        <v>13.27</v>
      </c>
      <c r="N833" s="1">
        <f t="shared" si="285"/>
        <v>0.91999999999999993</v>
      </c>
      <c r="O833" s="1" t="s">
        <v>379</v>
      </c>
    </row>
    <row r="834" spans="1:15" x14ac:dyDescent="0.25">
      <c r="A834" s="28">
        <v>46078</v>
      </c>
      <c r="B834" s="1" t="s">
        <v>255</v>
      </c>
      <c r="C834" s="1" t="s">
        <v>414</v>
      </c>
      <c r="D834" s="28">
        <f t="shared" si="278"/>
        <v>46101</v>
      </c>
      <c r="E834" s="28">
        <f t="shared" si="279"/>
        <v>46085</v>
      </c>
      <c r="F834" s="28">
        <f t="shared" si="280"/>
        <v>46092</v>
      </c>
      <c r="G834" s="28">
        <f t="shared" si="281"/>
        <v>46098</v>
      </c>
      <c r="H834" s="28">
        <f t="shared" si="282"/>
        <v>46086</v>
      </c>
      <c r="I834" s="28">
        <f t="shared" si="283"/>
        <v>46093</v>
      </c>
      <c r="J834" s="28">
        <v>46105</v>
      </c>
      <c r="K834" s="1">
        <f t="shared" si="284"/>
        <v>27</v>
      </c>
      <c r="L834" s="1">
        <v>14.98</v>
      </c>
      <c r="M834" s="1">
        <v>13.11</v>
      </c>
      <c r="N834" s="1">
        <f t="shared" si="285"/>
        <v>1.870000000000001</v>
      </c>
      <c r="O834" s="1" t="s">
        <v>379</v>
      </c>
    </row>
    <row r="835" spans="1:15" x14ac:dyDescent="0.25">
      <c r="A835" s="28">
        <v>46078</v>
      </c>
      <c r="B835" s="1" t="s">
        <v>256</v>
      </c>
      <c r="C835" s="1" t="s">
        <v>415</v>
      </c>
      <c r="D835" s="28">
        <f t="shared" si="278"/>
        <v>46101</v>
      </c>
      <c r="E835" s="28">
        <f t="shared" si="279"/>
        <v>46085</v>
      </c>
      <c r="F835" s="28">
        <f t="shared" si="280"/>
        <v>46092</v>
      </c>
      <c r="G835" s="28">
        <f t="shared" si="281"/>
        <v>46098</v>
      </c>
      <c r="H835" s="28">
        <f t="shared" si="282"/>
        <v>46086</v>
      </c>
      <c r="I835" s="28">
        <f t="shared" si="283"/>
        <v>46093</v>
      </c>
      <c r="J835" s="28">
        <v>46105</v>
      </c>
      <c r="K835" s="1">
        <f t="shared" si="284"/>
        <v>27</v>
      </c>
      <c r="L835" s="1">
        <v>13.21</v>
      </c>
      <c r="M835" s="1">
        <v>11.31</v>
      </c>
      <c r="N835" s="1">
        <f t="shared" si="285"/>
        <v>1.9000000000000004</v>
      </c>
      <c r="O835" s="1" t="s">
        <v>379</v>
      </c>
    </row>
    <row r="836" spans="1:15" x14ac:dyDescent="0.25">
      <c r="A836" s="28">
        <v>46079</v>
      </c>
      <c r="B836" s="1" t="s">
        <v>294</v>
      </c>
      <c r="C836" s="1" t="s">
        <v>600</v>
      </c>
      <c r="D836" s="28">
        <f t="shared" si="278"/>
        <v>46102</v>
      </c>
      <c r="E836" s="28">
        <f t="shared" si="279"/>
        <v>46086</v>
      </c>
      <c r="F836" s="28">
        <f t="shared" si="280"/>
        <v>46093</v>
      </c>
      <c r="G836" s="28">
        <f t="shared" si="281"/>
        <v>46099</v>
      </c>
      <c r="H836" s="28">
        <f t="shared" si="282"/>
        <v>46087</v>
      </c>
      <c r="I836" s="28">
        <f t="shared" si="283"/>
        <v>46094</v>
      </c>
      <c r="J836" s="28">
        <v>46105</v>
      </c>
      <c r="K836" s="1">
        <f t="shared" si="284"/>
        <v>26</v>
      </c>
      <c r="L836" s="1">
        <v>9.73</v>
      </c>
      <c r="M836" s="1">
        <v>6.94</v>
      </c>
      <c r="N836" s="1">
        <f t="shared" si="285"/>
        <v>2.79</v>
      </c>
      <c r="O836" s="1" t="s">
        <v>379</v>
      </c>
    </row>
    <row r="837" spans="1:15" x14ac:dyDescent="0.25">
      <c r="A837" s="28">
        <v>46079</v>
      </c>
      <c r="B837" s="1" t="s">
        <v>295</v>
      </c>
      <c r="C837" s="1" t="s">
        <v>601</v>
      </c>
      <c r="D837" s="28">
        <f t="shared" si="278"/>
        <v>46102</v>
      </c>
      <c r="E837" s="28">
        <f t="shared" si="279"/>
        <v>46086</v>
      </c>
      <c r="F837" s="28">
        <f t="shared" si="280"/>
        <v>46093</v>
      </c>
      <c r="G837" s="28">
        <f t="shared" si="281"/>
        <v>46099</v>
      </c>
      <c r="H837" s="28">
        <f t="shared" si="282"/>
        <v>46087</v>
      </c>
      <c r="I837" s="28">
        <f t="shared" si="283"/>
        <v>46094</v>
      </c>
      <c r="J837" s="28">
        <v>46105</v>
      </c>
      <c r="K837" s="1">
        <f t="shared" si="284"/>
        <v>26</v>
      </c>
      <c r="L837" s="1">
        <v>9.8699999999999992</v>
      </c>
      <c r="M837" s="1">
        <v>5.43</v>
      </c>
      <c r="N837" s="1">
        <f t="shared" si="285"/>
        <v>4.4399999999999995</v>
      </c>
      <c r="O837" s="1" t="s">
        <v>379</v>
      </c>
    </row>
    <row r="838" spans="1:15" x14ac:dyDescent="0.25">
      <c r="A838" s="28">
        <v>46079</v>
      </c>
      <c r="B838" s="1" t="s">
        <v>296</v>
      </c>
      <c r="C838" s="1" t="s">
        <v>602</v>
      </c>
      <c r="D838" s="28">
        <f t="shared" si="278"/>
        <v>46102</v>
      </c>
      <c r="E838" s="28">
        <f t="shared" si="279"/>
        <v>46086</v>
      </c>
      <c r="F838" s="28">
        <f t="shared" si="280"/>
        <v>46093</v>
      </c>
      <c r="G838" s="28">
        <f t="shared" si="281"/>
        <v>46099</v>
      </c>
      <c r="H838" s="28">
        <f t="shared" si="282"/>
        <v>46087</v>
      </c>
      <c r="I838" s="28">
        <f t="shared" si="283"/>
        <v>46094</v>
      </c>
      <c r="J838" s="28">
        <v>46105</v>
      </c>
      <c r="K838" s="1">
        <f t="shared" si="284"/>
        <v>26</v>
      </c>
      <c r="L838" s="1">
        <v>10.210000000000001</v>
      </c>
      <c r="M838" s="1">
        <v>6.83</v>
      </c>
      <c r="N838" s="1">
        <f t="shared" si="285"/>
        <v>3.3800000000000008</v>
      </c>
      <c r="O838" s="1" t="s">
        <v>379</v>
      </c>
    </row>
    <row r="839" spans="1:15" x14ac:dyDescent="0.25">
      <c r="A839" s="28">
        <v>46079</v>
      </c>
      <c r="B839" s="1" t="s">
        <v>297</v>
      </c>
      <c r="C839" s="1" t="s">
        <v>603</v>
      </c>
      <c r="D839" s="28">
        <f t="shared" si="278"/>
        <v>46102</v>
      </c>
      <c r="E839" s="28">
        <f t="shared" si="279"/>
        <v>46086</v>
      </c>
      <c r="F839" s="28">
        <f t="shared" si="280"/>
        <v>46093</v>
      </c>
      <c r="G839" s="28">
        <f t="shared" si="281"/>
        <v>46099</v>
      </c>
      <c r="H839" s="28">
        <f t="shared" si="282"/>
        <v>46087</v>
      </c>
      <c r="I839" s="28">
        <f t="shared" si="283"/>
        <v>46094</v>
      </c>
      <c r="J839" s="28">
        <v>46105</v>
      </c>
      <c r="K839" s="1">
        <f t="shared" si="284"/>
        <v>26</v>
      </c>
      <c r="L839" s="1">
        <v>8.52</v>
      </c>
      <c r="M839" s="1">
        <v>7.43</v>
      </c>
      <c r="N839" s="1">
        <f t="shared" si="285"/>
        <v>1.0899999999999999</v>
      </c>
      <c r="O839" s="1" t="s">
        <v>379</v>
      </c>
    </row>
    <row r="840" spans="1:15" x14ac:dyDescent="0.25">
      <c r="A840" s="28">
        <v>46079</v>
      </c>
      <c r="B840" s="1" t="s">
        <v>298</v>
      </c>
      <c r="C840" s="1" t="s">
        <v>604</v>
      </c>
      <c r="D840" s="28">
        <f t="shared" si="278"/>
        <v>46102</v>
      </c>
      <c r="E840" s="28">
        <f t="shared" si="279"/>
        <v>46086</v>
      </c>
      <c r="F840" s="28">
        <f t="shared" si="280"/>
        <v>46093</v>
      </c>
      <c r="G840" s="28">
        <f t="shared" si="281"/>
        <v>46099</v>
      </c>
      <c r="H840" s="28">
        <f t="shared" si="282"/>
        <v>46087</v>
      </c>
      <c r="I840" s="28">
        <f t="shared" si="283"/>
        <v>46094</v>
      </c>
      <c r="J840" s="28">
        <v>46105</v>
      </c>
      <c r="K840" s="1">
        <f t="shared" si="284"/>
        <v>26</v>
      </c>
      <c r="L840" s="1">
        <v>10.78</v>
      </c>
      <c r="M840" s="1">
        <v>6.26</v>
      </c>
      <c r="N840" s="1">
        <f t="shared" si="285"/>
        <v>4.5199999999999996</v>
      </c>
      <c r="O840" s="1" t="s">
        <v>379</v>
      </c>
    </row>
    <row r="841" spans="1:15" x14ac:dyDescent="0.25">
      <c r="A841" s="28">
        <v>46079</v>
      </c>
      <c r="B841" s="1" t="s">
        <v>299</v>
      </c>
      <c r="C841" s="1" t="s">
        <v>605</v>
      </c>
      <c r="D841" s="28">
        <f t="shared" si="278"/>
        <v>46102</v>
      </c>
      <c r="E841" s="28">
        <f t="shared" si="279"/>
        <v>46086</v>
      </c>
      <c r="F841" s="28">
        <f t="shared" si="280"/>
        <v>46093</v>
      </c>
      <c r="G841" s="28">
        <f t="shared" si="281"/>
        <v>46099</v>
      </c>
      <c r="H841" s="28">
        <f t="shared" si="282"/>
        <v>46087</v>
      </c>
      <c r="I841" s="28">
        <f t="shared" si="283"/>
        <v>46094</v>
      </c>
      <c r="J841" s="28">
        <v>46105</v>
      </c>
      <c r="K841" s="1">
        <f t="shared" si="284"/>
        <v>26</v>
      </c>
      <c r="L841" s="1">
        <v>9.89</v>
      </c>
      <c r="M841" s="1">
        <v>6.18</v>
      </c>
      <c r="N841" s="1">
        <f t="shared" si="285"/>
        <v>3.7100000000000009</v>
      </c>
      <c r="O841" s="1" t="s">
        <v>379</v>
      </c>
    </row>
    <row r="842" spans="1:15" x14ac:dyDescent="0.25">
      <c r="A842" s="28">
        <v>46079</v>
      </c>
      <c r="B842" s="1" t="s">
        <v>300</v>
      </c>
      <c r="C842" s="1" t="s">
        <v>606</v>
      </c>
      <c r="D842" s="28">
        <f t="shared" si="278"/>
        <v>46102</v>
      </c>
      <c r="E842" s="28">
        <f t="shared" si="279"/>
        <v>46086</v>
      </c>
      <c r="F842" s="28">
        <f t="shared" si="280"/>
        <v>46093</v>
      </c>
      <c r="G842" s="28">
        <f t="shared" si="281"/>
        <v>46099</v>
      </c>
      <c r="H842" s="28">
        <f t="shared" si="282"/>
        <v>46087</v>
      </c>
      <c r="I842" s="28">
        <f t="shared" si="283"/>
        <v>46094</v>
      </c>
      <c r="J842" s="28">
        <v>46105</v>
      </c>
      <c r="K842" s="1">
        <f t="shared" si="284"/>
        <v>26</v>
      </c>
      <c r="L842" s="1">
        <v>9.4700000000000006</v>
      </c>
      <c r="M842" s="1">
        <v>6.14</v>
      </c>
      <c r="N842" s="1">
        <f t="shared" si="285"/>
        <v>3.330000000000001</v>
      </c>
      <c r="O842" s="1" t="s">
        <v>379</v>
      </c>
    </row>
    <row r="843" spans="1:15" x14ac:dyDescent="0.25">
      <c r="A843" s="28">
        <v>46080</v>
      </c>
      <c r="B843" s="1" t="s">
        <v>257</v>
      </c>
      <c r="C843" s="1" t="s">
        <v>607</v>
      </c>
      <c r="D843" s="28">
        <f t="shared" si="278"/>
        <v>46103</v>
      </c>
      <c r="E843" s="28">
        <f t="shared" si="279"/>
        <v>46087</v>
      </c>
      <c r="F843" s="28">
        <f t="shared" si="280"/>
        <v>46094</v>
      </c>
      <c r="G843" s="28">
        <f t="shared" si="281"/>
        <v>46100</v>
      </c>
      <c r="H843" s="28">
        <f t="shared" si="282"/>
        <v>46088</v>
      </c>
      <c r="I843" s="28">
        <f t="shared" si="283"/>
        <v>46095</v>
      </c>
      <c r="J843" s="28">
        <v>46105</v>
      </c>
      <c r="K843" s="1">
        <f t="shared" si="284"/>
        <v>25</v>
      </c>
      <c r="L843" s="1">
        <v>12.57</v>
      </c>
      <c r="M843" s="1">
        <v>10.75</v>
      </c>
      <c r="N843" s="1">
        <f t="shared" si="285"/>
        <v>1.8200000000000003</v>
      </c>
      <c r="O843" s="1" t="s">
        <v>379</v>
      </c>
    </row>
    <row r="844" spans="1:15" x14ac:dyDescent="0.25">
      <c r="A844" s="28">
        <v>46080</v>
      </c>
      <c r="B844" s="1" t="s">
        <v>258</v>
      </c>
      <c r="C844" s="1" t="s">
        <v>608</v>
      </c>
      <c r="D844" s="28">
        <f t="shared" si="278"/>
        <v>46103</v>
      </c>
      <c r="E844" s="28">
        <f t="shared" si="279"/>
        <v>46087</v>
      </c>
      <c r="F844" s="28">
        <f t="shared" si="280"/>
        <v>46094</v>
      </c>
      <c r="G844" s="28">
        <f t="shared" si="281"/>
        <v>46100</v>
      </c>
      <c r="H844" s="28">
        <f t="shared" si="282"/>
        <v>46088</v>
      </c>
      <c r="I844" s="28">
        <f t="shared" si="283"/>
        <v>46095</v>
      </c>
      <c r="J844" s="28">
        <v>46105</v>
      </c>
      <c r="K844" s="1">
        <f t="shared" si="284"/>
        <v>25</v>
      </c>
      <c r="L844" s="1">
        <v>11.99</v>
      </c>
      <c r="M844" s="1">
        <v>10.32</v>
      </c>
      <c r="N844" s="1">
        <f t="shared" si="285"/>
        <v>1.67</v>
      </c>
      <c r="O844" s="1" t="s">
        <v>379</v>
      </c>
    </row>
    <row r="845" spans="1:15" x14ac:dyDescent="0.25">
      <c r="A845" s="28">
        <v>46080</v>
      </c>
      <c r="B845" s="1" t="s">
        <v>259</v>
      </c>
      <c r="C845" s="1" t="s">
        <v>609</v>
      </c>
      <c r="D845" s="28">
        <f t="shared" si="278"/>
        <v>46103</v>
      </c>
      <c r="E845" s="28">
        <f t="shared" si="279"/>
        <v>46087</v>
      </c>
      <c r="F845" s="28">
        <f t="shared" si="280"/>
        <v>46094</v>
      </c>
      <c r="G845" s="28">
        <f t="shared" si="281"/>
        <v>46100</v>
      </c>
      <c r="H845" s="28">
        <f t="shared" si="282"/>
        <v>46088</v>
      </c>
      <c r="I845" s="28">
        <f t="shared" si="283"/>
        <v>46095</v>
      </c>
      <c r="J845" s="28">
        <v>46106</v>
      </c>
      <c r="K845" s="1">
        <f t="shared" si="284"/>
        <v>26</v>
      </c>
      <c r="L845" s="1">
        <v>7.31</v>
      </c>
      <c r="M845" s="1">
        <v>5.8</v>
      </c>
      <c r="N845" s="1">
        <f t="shared" si="285"/>
        <v>1.5099999999999998</v>
      </c>
      <c r="O845" s="1" t="s">
        <v>379</v>
      </c>
    </row>
    <row r="846" spans="1:15" x14ac:dyDescent="0.25">
      <c r="A846" s="28">
        <v>46080</v>
      </c>
      <c r="B846" s="1" t="s">
        <v>260</v>
      </c>
      <c r="C846" s="1" t="s">
        <v>610</v>
      </c>
      <c r="D846" s="28">
        <f t="shared" si="278"/>
        <v>46103</v>
      </c>
      <c r="E846" s="28">
        <f t="shared" si="279"/>
        <v>46087</v>
      </c>
      <c r="F846" s="28">
        <f t="shared" si="280"/>
        <v>46094</v>
      </c>
      <c r="G846" s="28">
        <f t="shared" si="281"/>
        <v>46100</v>
      </c>
      <c r="H846" s="28">
        <f t="shared" si="282"/>
        <v>46088</v>
      </c>
      <c r="I846" s="28">
        <f t="shared" si="283"/>
        <v>46095</v>
      </c>
      <c r="J846" s="28">
        <v>46106</v>
      </c>
      <c r="K846" s="1">
        <f t="shared" si="284"/>
        <v>26</v>
      </c>
      <c r="L846" s="1">
        <v>7.58</v>
      </c>
      <c r="M846" s="1">
        <v>5.9</v>
      </c>
      <c r="N846" s="1">
        <f t="shared" si="285"/>
        <v>1.6799999999999997</v>
      </c>
      <c r="O846" s="1" t="s">
        <v>379</v>
      </c>
    </row>
    <row r="847" spans="1:15" x14ac:dyDescent="0.25">
      <c r="A847" s="28">
        <v>46080</v>
      </c>
      <c r="B847" s="1" t="s">
        <v>261</v>
      </c>
      <c r="C847" s="1" t="s">
        <v>611</v>
      </c>
      <c r="D847" s="28">
        <f t="shared" si="278"/>
        <v>46103</v>
      </c>
      <c r="E847" s="28">
        <f t="shared" si="279"/>
        <v>46087</v>
      </c>
      <c r="F847" s="28">
        <f t="shared" si="280"/>
        <v>46094</v>
      </c>
      <c r="G847" s="28">
        <f t="shared" si="281"/>
        <v>46100</v>
      </c>
      <c r="H847" s="28">
        <f t="shared" si="282"/>
        <v>46088</v>
      </c>
      <c r="I847" s="28">
        <f t="shared" si="283"/>
        <v>46095</v>
      </c>
      <c r="J847" s="28">
        <v>46106</v>
      </c>
      <c r="K847" s="1">
        <f t="shared" si="284"/>
        <v>26</v>
      </c>
      <c r="L847" s="1">
        <v>6.71</v>
      </c>
      <c r="M847" s="1">
        <v>4.1900000000000004</v>
      </c>
      <c r="N847" s="1">
        <f t="shared" si="285"/>
        <v>2.5199999999999996</v>
      </c>
      <c r="O847" s="1" t="s">
        <v>379</v>
      </c>
    </row>
    <row r="848" spans="1:15" x14ac:dyDescent="0.25">
      <c r="A848" s="28">
        <v>46080</v>
      </c>
      <c r="B848" s="1" t="s">
        <v>262</v>
      </c>
      <c r="C848" s="1" t="s">
        <v>612</v>
      </c>
      <c r="D848" s="28">
        <f t="shared" si="278"/>
        <v>46103</v>
      </c>
      <c r="E848" s="28">
        <f t="shared" si="279"/>
        <v>46087</v>
      </c>
      <c r="F848" s="28">
        <f t="shared" si="280"/>
        <v>46094</v>
      </c>
      <c r="G848" s="28">
        <f t="shared" si="281"/>
        <v>46100</v>
      </c>
      <c r="H848" s="28">
        <f t="shared" si="282"/>
        <v>46088</v>
      </c>
      <c r="I848" s="28">
        <f t="shared" si="283"/>
        <v>46095</v>
      </c>
      <c r="J848" s="28">
        <v>46106</v>
      </c>
      <c r="K848" s="1">
        <f t="shared" si="284"/>
        <v>26</v>
      </c>
      <c r="L848" s="1">
        <v>8.6300000000000008</v>
      </c>
      <c r="M848" s="1">
        <v>6.28</v>
      </c>
      <c r="N848" s="1">
        <f t="shared" si="285"/>
        <v>2.3500000000000005</v>
      </c>
      <c r="O848" s="1" t="s">
        <v>379</v>
      </c>
    </row>
    <row r="849" spans="1:15" x14ac:dyDescent="0.25">
      <c r="A849" s="28">
        <v>46080</v>
      </c>
      <c r="B849" s="1" t="s">
        <v>263</v>
      </c>
      <c r="C849" s="1" t="s">
        <v>613</v>
      </c>
      <c r="D849" s="28">
        <f t="shared" si="278"/>
        <v>46103</v>
      </c>
      <c r="E849" s="28">
        <f t="shared" si="279"/>
        <v>46087</v>
      </c>
      <c r="F849" s="28">
        <f t="shared" si="280"/>
        <v>46094</v>
      </c>
      <c r="G849" s="28">
        <f t="shared" si="281"/>
        <v>46100</v>
      </c>
      <c r="H849" s="28">
        <f t="shared" si="282"/>
        <v>46088</v>
      </c>
      <c r="I849" s="28">
        <f t="shared" si="283"/>
        <v>46095</v>
      </c>
      <c r="J849" s="28">
        <v>46106</v>
      </c>
      <c r="K849" s="1">
        <f t="shared" si="284"/>
        <v>26</v>
      </c>
      <c r="L849" s="1">
        <v>8.77</v>
      </c>
      <c r="M849" s="1">
        <v>6.42</v>
      </c>
      <c r="N849" s="1">
        <f t="shared" si="285"/>
        <v>2.3499999999999996</v>
      </c>
      <c r="O849" s="1" t="s">
        <v>379</v>
      </c>
    </row>
    <row r="850" spans="1:15" x14ac:dyDescent="0.25">
      <c r="A850" s="28">
        <v>46081</v>
      </c>
      <c r="B850" s="1" t="s">
        <v>346</v>
      </c>
      <c r="C850" s="1" t="s">
        <v>614</v>
      </c>
      <c r="D850" s="28">
        <f t="shared" si="278"/>
        <v>46104</v>
      </c>
      <c r="E850" s="28">
        <f t="shared" si="279"/>
        <v>46088</v>
      </c>
      <c r="F850" s="28">
        <f t="shared" si="280"/>
        <v>46095</v>
      </c>
      <c r="G850" s="28">
        <f t="shared" si="281"/>
        <v>46101</v>
      </c>
      <c r="H850" s="28">
        <f t="shared" si="282"/>
        <v>46089</v>
      </c>
      <c r="I850" s="28">
        <f t="shared" si="283"/>
        <v>46096</v>
      </c>
      <c r="J850" s="28">
        <v>46106</v>
      </c>
      <c r="K850" s="1">
        <f t="shared" si="284"/>
        <v>25</v>
      </c>
      <c r="L850" s="1">
        <v>9.16</v>
      </c>
      <c r="M850" s="1">
        <v>7.19</v>
      </c>
      <c r="N850" s="1">
        <f t="shared" si="285"/>
        <v>1.9699999999999998</v>
      </c>
      <c r="O850" s="1" t="s">
        <v>379</v>
      </c>
    </row>
    <row r="851" spans="1:15" x14ac:dyDescent="0.25">
      <c r="A851" s="28">
        <v>46081</v>
      </c>
      <c r="B851" s="1" t="s">
        <v>347</v>
      </c>
      <c r="C851" s="1" t="s">
        <v>615</v>
      </c>
      <c r="D851" s="28">
        <f t="shared" ref="D851:D914" si="286">A851+23</f>
        <v>46104</v>
      </c>
      <c r="E851" s="28">
        <f t="shared" ref="E851:E914" si="287">A851+7</f>
        <v>46088</v>
      </c>
      <c r="F851" s="28">
        <f t="shared" ref="F851:F914" si="288">A851+14</f>
        <v>46095</v>
      </c>
      <c r="G851" s="28">
        <f t="shared" ref="G851:G914" si="289">A851+20</f>
        <v>46101</v>
      </c>
      <c r="H851" s="28">
        <f t="shared" ref="H851:H914" si="290">A851+8</f>
        <v>46089</v>
      </c>
      <c r="I851" s="28">
        <f t="shared" ref="I851:I914" si="291">A851+15</f>
        <v>46096</v>
      </c>
      <c r="J851" s="28">
        <v>46106</v>
      </c>
      <c r="K851" s="1">
        <f t="shared" ref="K851:K914" si="292">J851-A851</f>
        <v>25</v>
      </c>
      <c r="L851" s="1">
        <v>9.4499999999999993</v>
      </c>
      <c r="M851" s="1">
        <v>7.52</v>
      </c>
      <c r="N851" s="1">
        <f t="shared" ref="N851:N914" si="293">L851-M851</f>
        <v>1.9299999999999997</v>
      </c>
      <c r="O851" s="1" t="s">
        <v>379</v>
      </c>
    </row>
    <row r="852" spans="1:15" x14ac:dyDescent="0.25">
      <c r="A852" s="28">
        <v>46081</v>
      </c>
      <c r="B852" s="1" t="s">
        <v>348</v>
      </c>
      <c r="C852" s="1" t="s">
        <v>616</v>
      </c>
      <c r="D852" s="28">
        <f t="shared" si="286"/>
        <v>46104</v>
      </c>
      <c r="E852" s="28">
        <f t="shared" si="287"/>
        <v>46088</v>
      </c>
      <c r="F852" s="28">
        <f t="shared" si="288"/>
        <v>46095</v>
      </c>
      <c r="G852" s="28">
        <f t="shared" si="289"/>
        <v>46101</v>
      </c>
      <c r="H852" s="28">
        <f t="shared" si="290"/>
        <v>46089</v>
      </c>
      <c r="I852" s="28">
        <f t="shared" si="291"/>
        <v>46096</v>
      </c>
      <c r="J852" s="28">
        <v>46106</v>
      </c>
      <c r="K852" s="1">
        <f t="shared" si="292"/>
        <v>25</v>
      </c>
      <c r="L852" s="1">
        <v>10.210000000000001</v>
      </c>
      <c r="M852" s="1">
        <v>8.19</v>
      </c>
      <c r="N852" s="1">
        <f t="shared" si="293"/>
        <v>2.0200000000000014</v>
      </c>
      <c r="O852" s="1" t="s">
        <v>379</v>
      </c>
    </row>
    <row r="853" spans="1:15" x14ac:dyDescent="0.25">
      <c r="A853" s="28">
        <v>46081</v>
      </c>
      <c r="B853" s="1" t="s">
        <v>349</v>
      </c>
      <c r="C853" s="1" t="s">
        <v>617</v>
      </c>
      <c r="D853" s="28">
        <f t="shared" si="286"/>
        <v>46104</v>
      </c>
      <c r="E853" s="28">
        <f t="shared" si="287"/>
        <v>46088</v>
      </c>
      <c r="F853" s="28">
        <f t="shared" si="288"/>
        <v>46095</v>
      </c>
      <c r="G853" s="28">
        <f t="shared" si="289"/>
        <v>46101</v>
      </c>
      <c r="H853" s="28">
        <f t="shared" si="290"/>
        <v>46089</v>
      </c>
      <c r="I853" s="28">
        <f t="shared" si="291"/>
        <v>46096</v>
      </c>
      <c r="J853" s="28">
        <v>46106</v>
      </c>
      <c r="K853" s="1">
        <f t="shared" si="292"/>
        <v>25</v>
      </c>
      <c r="L853" s="1">
        <v>9.58</v>
      </c>
      <c r="M853" s="1">
        <v>7.23</v>
      </c>
      <c r="N853" s="1">
        <f t="shared" si="293"/>
        <v>2.3499999999999996</v>
      </c>
      <c r="O853" s="1" t="s">
        <v>379</v>
      </c>
    </row>
    <row r="854" spans="1:15" x14ac:dyDescent="0.25">
      <c r="A854" s="28">
        <v>46081</v>
      </c>
      <c r="B854" s="1" t="s">
        <v>350</v>
      </c>
      <c r="C854" s="1" t="s">
        <v>618</v>
      </c>
      <c r="D854" s="28">
        <f t="shared" si="286"/>
        <v>46104</v>
      </c>
      <c r="E854" s="28">
        <f t="shared" si="287"/>
        <v>46088</v>
      </c>
      <c r="F854" s="28">
        <f t="shared" si="288"/>
        <v>46095</v>
      </c>
      <c r="G854" s="28">
        <f t="shared" si="289"/>
        <v>46101</v>
      </c>
      <c r="H854" s="28">
        <f t="shared" si="290"/>
        <v>46089</v>
      </c>
      <c r="I854" s="28">
        <f t="shared" si="291"/>
        <v>46096</v>
      </c>
      <c r="J854" s="28">
        <v>46106</v>
      </c>
      <c r="K854" s="1">
        <f t="shared" si="292"/>
        <v>25</v>
      </c>
      <c r="L854" s="1">
        <v>8.64</v>
      </c>
      <c r="M854" s="1">
        <v>6.49</v>
      </c>
      <c r="N854" s="1">
        <f t="shared" si="293"/>
        <v>2.1500000000000004</v>
      </c>
      <c r="O854" s="1" t="s">
        <v>379</v>
      </c>
    </row>
    <row r="855" spans="1:15" x14ac:dyDescent="0.25">
      <c r="A855" s="28">
        <v>46081</v>
      </c>
      <c r="B855" s="1" t="s">
        <v>351</v>
      </c>
      <c r="C855" s="1" t="s">
        <v>619</v>
      </c>
      <c r="D855" s="28">
        <f t="shared" si="286"/>
        <v>46104</v>
      </c>
      <c r="E855" s="28">
        <f t="shared" si="287"/>
        <v>46088</v>
      </c>
      <c r="F855" s="28">
        <f t="shared" si="288"/>
        <v>46095</v>
      </c>
      <c r="G855" s="28">
        <f t="shared" si="289"/>
        <v>46101</v>
      </c>
      <c r="H855" s="28">
        <f t="shared" si="290"/>
        <v>46089</v>
      </c>
      <c r="I855" s="28">
        <f t="shared" si="291"/>
        <v>46096</v>
      </c>
      <c r="J855" s="28">
        <v>46112</v>
      </c>
      <c r="K855" s="1">
        <f t="shared" si="292"/>
        <v>31</v>
      </c>
      <c r="L855" s="1">
        <v>9.41</v>
      </c>
      <c r="M855" s="1">
        <v>7.25</v>
      </c>
      <c r="N855" s="1">
        <f t="shared" si="293"/>
        <v>2.16</v>
      </c>
      <c r="O855" s="1" t="s">
        <v>379</v>
      </c>
    </row>
    <row r="856" spans="1:15" x14ac:dyDescent="0.25">
      <c r="A856" s="28">
        <v>46081</v>
      </c>
      <c r="B856" s="1" t="s">
        <v>352</v>
      </c>
      <c r="C856" s="1" t="s">
        <v>620</v>
      </c>
      <c r="D856" s="28">
        <f t="shared" si="286"/>
        <v>46104</v>
      </c>
      <c r="E856" s="28">
        <f t="shared" si="287"/>
        <v>46088</v>
      </c>
      <c r="F856" s="28">
        <f t="shared" si="288"/>
        <v>46095</v>
      </c>
      <c r="G856" s="28">
        <f t="shared" si="289"/>
        <v>46101</v>
      </c>
      <c r="H856" s="28">
        <f t="shared" si="290"/>
        <v>46089</v>
      </c>
      <c r="I856" s="28">
        <f t="shared" si="291"/>
        <v>46096</v>
      </c>
      <c r="J856" s="28">
        <v>46112</v>
      </c>
      <c r="K856" s="1">
        <f t="shared" si="292"/>
        <v>31</v>
      </c>
      <c r="L856" s="1">
        <v>8.36</v>
      </c>
      <c r="M856" s="1">
        <v>6.94</v>
      </c>
      <c r="N856" s="1">
        <f t="shared" si="293"/>
        <v>1.419999999999999</v>
      </c>
      <c r="O856" s="1" t="s">
        <v>379</v>
      </c>
    </row>
    <row r="857" spans="1:15" x14ac:dyDescent="0.25">
      <c r="A857" s="28">
        <v>46082</v>
      </c>
      <c r="B857" s="1" t="s">
        <v>353</v>
      </c>
      <c r="C857" s="1" t="s">
        <v>621</v>
      </c>
      <c r="D857" s="28">
        <f t="shared" si="286"/>
        <v>46105</v>
      </c>
      <c r="E857" s="28">
        <f t="shared" si="287"/>
        <v>46089</v>
      </c>
      <c r="F857" s="28">
        <f t="shared" si="288"/>
        <v>46096</v>
      </c>
      <c r="G857" s="28">
        <f t="shared" si="289"/>
        <v>46102</v>
      </c>
      <c r="H857" s="28">
        <f t="shared" si="290"/>
        <v>46090</v>
      </c>
      <c r="I857" s="28">
        <f t="shared" si="291"/>
        <v>46097</v>
      </c>
      <c r="J857" s="28">
        <v>46112</v>
      </c>
      <c r="K857" s="1">
        <f t="shared" si="292"/>
        <v>30</v>
      </c>
      <c r="L857" s="1">
        <v>10.57</v>
      </c>
      <c r="M857" s="1">
        <v>8.1199999999999992</v>
      </c>
      <c r="N857" s="1">
        <f t="shared" si="293"/>
        <v>2.4500000000000011</v>
      </c>
      <c r="O857" s="1" t="s">
        <v>379</v>
      </c>
    </row>
    <row r="858" spans="1:15" x14ac:dyDescent="0.25">
      <c r="A858" s="28">
        <v>46082</v>
      </c>
      <c r="B858" s="1" t="s">
        <v>354</v>
      </c>
      <c r="C858" s="1" t="s">
        <v>622</v>
      </c>
      <c r="D858" s="28">
        <f t="shared" si="286"/>
        <v>46105</v>
      </c>
      <c r="E858" s="28">
        <f t="shared" si="287"/>
        <v>46089</v>
      </c>
      <c r="F858" s="28">
        <f t="shared" si="288"/>
        <v>46096</v>
      </c>
      <c r="G858" s="28">
        <f t="shared" si="289"/>
        <v>46102</v>
      </c>
      <c r="H858" s="28">
        <f t="shared" si="290"/>
        <v>46090</v>
      </c>
      <c r="I858" s="28">
        <f t="shared" si="291"/>
        <v>46097</v>
      </c>
      <c r="J858" s="28">
        <v>46112</v>
      </c>
      <c r="K858" s="1">
        <f t="shared" si="292"/>
        <v>30</v>
      </c>
      <c r="L858" s="1">
        <v>10.63</v>
      </c>
      <c r="M858" s="1">
        <v>8.17</v>
      </c>
      <c r="N858" s="1">
        <f t="shared" si="293"/>
        <v>2.4600000000000009</v>
      </c>
      <c r="O858" s="1" t="s">
        <v>379</v>
      </c>
    </row>
    <row r="859" spans="1:15" x14ac:dyDescent="0.25">
      <c r="A859" s="28">
        <v>46082</v>
      </c>
      <c r="B859" s="1" t="s">
        <v>355</v>
      </c>
      <c r="C859" s="1" t="s">
        <v>623</v>
      </c>
      <c r="D859" s="28">
        <f t="shared" si="286"/>
        <v>46105</v>
      </c>
      <c r="E859" s="28">
        <f t="shared" si="287"/>
        <v>46089</v>
      </c>
      <c r="F859" s="28">
        <f t="shared" si="288"/>
        <v>46096</v>
      </c>
      <c r="G859" s="28">
        <f t="shared" si="289"/>
        <v>46102</v>
      </c>
      <c r="H859" s="28">
        <f t="shared" si="290"/>
        <v>46090</v>
      </c>
      <c r="I859" s="28">
        <f t="shared" si="291"/>
        <v>46097</v>
      </c>
      <c r="J859" s="28">
        <v>46112</v>
      </c>
      <c r="K859" s="1">
        <f t="shared" si="292"/>
        <v>30</v>
      </c>
      <c r="L859" s="1">
        <v>8.4499999999999993</v>
      </c>
      <c r="M859" s="1">
        <v>6.54</v>
      </c>
      <c r="N859" s="1">
        <f t="shared" si="293"/>
        <v>1.9099999999999993</v>
      </c>
      <c r="O859" s="1" t="s">
        <v>379</v>
      </c>
    </row>
    <row r="860" spans="1:15" x14ac:dyDescent="0.25">
      <c r="A860" s="28">
        <v>46082</v>
      </c>
      <c r="B860" s="1" t="s">
        <v>356</v>
      </c>
      <c r="C860" s="1" t="s">
        <v>624</v>
      </c>
      <c r="D860" s="28">
        <f t="shared" si="286"/>
        <v>46105</v>
      </c>
      <c r="E860" s="28">
        <f t="shared" si="287"/>
        <v>46089</v>
      </c>
      <c r="F860" s="28">
        <f t="shared" si="288"/>
        <v>46096</v>
      </c>
      <c r="G860" s="28">
        <f t="shared" si="289"/>
        <v>46102</v>
      </c>
      <c r="H860" s="28">
        <f t="shared" si="290"/>
        <v>46090</v>
      </c>
      <c r="I860" s="28">
        <f t="shared" si="291"/>
        <v>46097</v>
      </c>
      <c r="J860" s="28">
        <v>46113</v>
      </c>
      <c r="K860" s="1">
        <f t="shared" si="292"/>
        <v>31</v>
      </c>
      <c r="L860" s="1">
        <v>10.35</v>
      </c>
      <c r="M860" s="1">
        <v>8.11</v>
      </c>
      <c r="N860" s="1">
        <f t="shared" si="293"/>
        <v>2.2400000000000002</v>
      </c>
      <c r="O860" s="1" t="s">
        <v>379</v>
      </c>
    </row>
    <row r="861" spans="1:15" x14ac:dyDescent="0.25">
      <c r="A861" s="28">
        <v>46082</v>
      </c>
      <c r="B861" s="1" t="s">
        <v>357</v>
      </c>
      <c r="C861" s="1" t="s">
        <v>399</v>
      </c>
      <c r="D861" s="28">
        <f t="shared" si="286"/>
        <v>46105</v>
      </c>
      <c r="E861" s="28">
        <f t="shared" si="287"/>
        <v>46089</v>
      </c>
      <c r="F861" s="28">
        <f t="shared" si="288"/>
        <v>46096</v>
      </c>
      <c r="G861" s="28">
        <f t="shared" si="289"/>
        <v>46102</v>
      </c>
      <c r="H861" s="28">
        <f t="shared" si="290"/>
        <v>46090</v>
      </c>
      <c r="I861" s="28">
        <f t="shared" si="291"/>
        <v>46097</v>
      </c>
      <c r="J861" s="28">
        <v>46113</v>
      </c>
      <c r="K861" s="1">
        <f t="shared" si="292"/>
        <v>31</v>
      </c>
      <c r="L861" s="1">
        <v>10.59</v>
      </c>
      <c r="M861" s="1">
        <v>8.2799999999999994</v>
      </c>
      <c r="N861" s="1">
        <f t="shared" si="293"/>
        <v>2.3100000000000005</v>
      </c>
      <c r="O861" s="1" t="s">
        <v>379</v>
      </c>
    </row>
    <row r="862" spans="1:15" x14ac:dyDescent="0.25">
      <c r="A862" s="28">
        <v>46082</v>
      </c>
      <c r="B862" s="1" t="s">
        <v>358</v>
      </c>
      <c r="C862" s="1" t="s">
        <v>400</v>
      </c>
      <c r="D862" s="28">
        <f t="shared" si="286"/>
        <v>46105</v>
      </c>
      <c r="E862" s="28">
        <f t="shared" si="287"/>
        <v>46089</v>
      </c>
      <c r="F862" s="28">
        <f t="shared" si="288"/>
        <v>46096</v>
      </c>
      <c r="G862" s="28">
        <f t="shared" si="289"/>
        <v>46102</v>
      </c>
      <c r="H862" s="28">
        <f t="shared" si="290"/>
        <v>46090</v>
      </c>
      <c r="I862" s="28">
        <f t="shared" si="291"/>
        <v>46097</v>
      </c>
      <c r="J862" s="28">
        <v>46113</v>
      </c>
      <c r="K862" s="1">
        <f t="shared" si="292"/>
        <v>31</v>
      </c>
      <c r="L862" s="1">
        <v>9.41</v>
      </c>
      <c r="M862" s="1">
        <v>7.36</v>
      </c>
      <c r="N862" s="1">
        <f t="shared" si="293"/>
        <v>2.0499999999999998</v>
      </c>
      <c r="O862" s="1" t="s">
        <v>379</v>
      </c>
    </row>
    <row r="863" spans="1:15" x14ac:dyDescent="0.25">
      <c r="A863" s="28">
        <v>46082</v>
      </c>
      <c r="B863" s="1" t="s">
        <v>359</v>
      </c>
      <c r="C863" s="1" t="s">
        <v>401</v>
      </c>
      <c r="D863" s="28">
        <f t="shared" si="286"/>
        <v>46105</v>
      </c>
      <c r="E863" s="28">
        <f t="shared" si="287"/>
        <v>46089</v>
      </c>
      <c r="F863" s="28">
        <f t="shared" si="288"/>
        <v>46096</v>
      </c>
      <c r="G863" s="28">
        <f t="shared" si="289"/>
        <v>46102</v>
      </c>
      <c r="H863" s="28">
        <f t="shared" si="290"/>
        <v>46090</v>
      </c>
      <c r="I863" s="28">
        <f t="shared" si="291"/>
        <v>46097</v>
      </c>
      <c r="J863" s="28">
        <v>46113</v>
      </c>
      <c r="K863" s="1">
        <f t="shared" si="292"/>
        <v>31</v>
      </c>
      <c r="L863" s="1">
        <v>9.26</v>
      </c>
      <c r="M863" s="1">
        <v>7.12</v>
      </c>
      <c r="N863" s="1">
        <f t="shared" si="293"/>
        <v>2.1399999999999997</v>
      </c>
      <c r="O863" s="1" t="s">
        <v>379</v>
      </c>
    </row>
    <row r="864" spans="1:15" x14ac:dyDescent="0.25">
      <c r="A864" s="28">
        <v>46083</v>
      </c>
      <c r="B864" s="1" t="s">
        <v>360</v>
      </c>
      <c r="C864" s="1" t="s">
        <v>402</v>
      </c>
      <c r="D864" s="28">
        <f t="shared" si="286"/>
        <v>46106</v>
      </c>
      <c r="E864" s="28">
        <f t="shared" si="287"/>
        <v>46090</v>
      </c>
      <c r="F864" s="28">
        <f t="shared" si="288"/>
        <v>46097</v>
      </c>
      <c r="G864" s="28">
        <f t="shared" si="289"/>
        <v>46103</v>
      </c>
      <c r="H864" s="28">
        <f t="shared" si="290"/>
        <v>46091</v>
      </c>
      <c r="I864" s="28">
        <f t="shared" si="291"/>
        <v>46098</v>
      </c>
      <c r="J864" s="28">
        <v>46113</v>
      </c>
      <c r="K864" s="1">
        <f t="shared" si="292"/>
        <v>30</v>
      </c>
      <c r="L864" s="1">
        <v>10.19</v>
      </c>
      <c r="M864" s="1">
        <v>8.1</v>
      </c>
      <c r="N864" s="1">
        <f t="shared" si="293"/>
        <v>2.09</v>
      </c>
      <c r="O864" s="1" t="s">
        <v>379</v>
      </c>
    </row>
    <row r="865" spans="1:15" x14ac:dyDescent="0.25">
      <c r="A865" s="28">
        <v>46083</v>
      </c>
      <c r="B865" s="1" t="s">
        <v>361</v>
      </c>
      <c r="C865" s="1" t="s">
        <v>403</v>
      </c>
      <c r="D865" s="28">
        <f t="shared" si="286"/>
        <v>46106</v>
      </c>
      <c r="E865" s="28">
        <f t="shared" si="287"/>
        <v>46090</v>
      </c>
      <c r="F865" s="28">
        <f t="shared" si="288"/>
        <v>46097</v>
      </c>
      <c r="G865" s="28">
        <f t="shared" si="289"/>
        <v>46103</v>
      </c>
      <c r="H865" s="28">
        <f t="shared" si="290"/>
        <v>46091</v>
      </c>
      <c r="I865" s="28">
        <f t="shared" si="291"/>
        <v>46098</v>
      </c>
      <c r="J865" s="28">
        <v>46113</v>
      </c>
      <c r="K865" s="1">
        <f t="shared" si="292"/>
        <v>30</v>
      </c>
      <c r="L865" s="1">
        <v>9.7200000000000006</v>
      </c>
      <c r="M865" s="1">
        <v>7.56</v>
      </c>
      <c r="N865" s="1">
        <f t="shared" si="293"/>
        <v>2.160000000000001</v>
      </c>
      <c r="O865" s="1" t="s">
        <v>379</v>
      </c>
    </row>
    <row r="866" spans="1:15" x14ac:dyDescent="0.25">
      <c r="A866" s="28">
        <v>46083</v>
      </c>
      <c r="B866" s="1" t="s">
        <v>362</v>
      </c>
      <c r="C866" s="1" t="s">
        <v>404</v>
      </c>
      <c r="D866" s="28">
        <f t="shared" si="286"/>
        <v>46106</v>
      </c>
      <c r="E866" s="28">
        <f t="shared" si="287"/>
        <v>46090</v>
      </c>
      <c r="F866" s="28">
        <f t="shared" si="288"/>
        <v>46097</v>
      </c>
      <c r="G866" s="28">
        <f t="shared" si="289"/>
        <v>46103</v>
      </c>
      <c r="H866" s="28">
        <f t="shared" si="290"/>
        <v>46091</v>
      </c>
      <c r="I866" s="28">
        <f t="shared" si="291"/>
        <v>46098</v>
      </c>
      <c r="J866" s="28">
        <v>46113</v>
      </c>
      <c r="K866" s="1">
        <f t="shared" si="292"/>
        <v>30</v>
      </c>
      <c r="L866" s="1">
        <v>10.54</v>
      </c>
      <c r="M866" s="1">
        <v>8.2100000000000009</v>
      </c>
      <c r="N866" s="1">
        <f t="shared" si="293"/>
        <v>2.3299999999999983</v>
      </c>
      <c r="O866" s="1" t="s">
        <v>379</v>
      </c>
    </row>
    <row r="867" spans="1:15" x14ac:dyDescent="0.25">
      <c r="A867" s="28">
        <v>46083</v>
      </c>
      <c r="B867" s="1" t="s">
        <v>363</v>
      </c>
      <c r="C867" s="1" t="s">
        <v>405</v>
      </c>
      <c r="D867" s="28">
        <f t="shared" si="286"/>
        <v>46106</v>
      </c>
      <c r="E867" s="28">
        <f t="shared" si="287"/>
        <v>46090</v>
      </c>
      <c r="F867" s="28">
        <f t="shared" si="288"/>
        <v>46097</v>
      </c>
      <c r="G867" s="28">
        <f t="shared" si="289"/>
        <v>46103</v>
      </c>
      <c r="H867" s="28">
        <f t="shared" si="290"/>
        <v>46091</v>
      </c>
      <c r="I867" s="28">
        <f t="shared" si="291"/>
        <v>46098</v>
      </c>
      <c r="J867" s="28">
        <v>46113</v>
      </c>
      <c r="K867" s="1">
        <f t="shared" si="292"/>
        <v>30</v>
      </c>
      <c r="L867" s="1">
        <v>9.15</v>
      </c>
      <c r="M867" s="1">
        <v>7.54</v>
      </c>
      <c r="N867" s="1">
        <f t="shared" si="293"/>
        <v>1.6100000000000003</v>
      </c>
      <c r="O867" s="1" t="s">
        <v>379</v>
      </c>
    </row>
    <row r="868" spans="1:15" x14ac:dyDescent="0.25">
      <c r="A868" s="28">
        <v>46083</v>
      </c>
      <c r="B868" s="1" t="s">
        <v>364</v>
      </c>
      <c r="C868" s="1" t="s">
        <v>406</v>
      </c>
      <c r="D868" s="28">
        <f t="shared" si="286"/>
        <v>46106</v>
      </c>
      <c r="E868" s="28">
        <f t="shared" si="287"/>
        <v>46090</v>
      </c>
      <c r="F868" s="28">
        <f t="shared" si="288"/>
        <v>46097</v>
      </c>
      <c r="G868" s="28">
        <f t="shared" si="289"/>
        <v>46103</v>
      </c>
      <c r="H868" s="28">
        <f t="shared" si="290"/>
        <v>46091</v>
      </c>
      <c r="I868" s="28">
        <f t="shared" si="291"/>
        <v>46098</v>
      </c>
      <c r="J868" s="28">
        <v>46113</v>
      </c>
      <c r="K868" s="1">
        <f t="shared" si="292"/>
        <v>30</v>
      </c>
      <c r="L868" s="1">
        <v>9.07</v>
      </c>
      <c r="M868" s="1">
        <v>7.35</v>
      </c>
      <c r="N868" s="1">
        <f t="shared" si="293"/>
        <v>1.7200000000000006</v>
      </c>
      <c r="O868" s="1" t="s">
        <v>379</v>
      </c>
    </row>
    <row r="869" spans="1:15" x14ac:dyDescent="0.25">
      <c r="A869" s="28">
        <v>46083</v>
      </c>
      <c r="B869" s="1" t="s">
        <v>365</v>
      </c>
      <c r="C869" s="1" t="s">
        <v>407</v>
      </c>
      <c r="D869" s="28">
        <f t="shared" si="286"/>
        <v>46106</v>
      </c>
      <c r="E869" s="28">
        <f t="shared" si="287"/>
        <v>46090</v>
      </c>
      <c r="F869" s="28">
        <f t="shared" si="288"/>
        <v>46097</v>
      </c>
      <c r="G869" s="28">
        <f t="shared" si="289"/>
        <v>46103</v>
      </c>
      <c r="H869" s="28">
        <f t="shared" si="290"/>
        <v>46091</v>
      </c>
      <c r="I869" s="28">
        <f t="shared" si="291"/>
        <v>46098</v>
      </c>
      <c r="J869" s="28">
        <v>46113</v>
      </c>
      <c r="K869" s="1">
        <f t="shared" si="292"/>
        <v>30</v>
      </c>
      <c r="L869" s="1">
        <v>8.3699999999999992</v>
      </c>
      <c r="M869" s="1">
        <v>6.21</v>
      </c>
      <c r="N869" s="1">
        <f t="shared" si="293"/>
        <v>2.1599999999999993</v>
      </c>
      <c r="O869" s="1" t="s">
        <v>379</v>
      </c>
    </row>
    <row r="870" spans="1:15" x14ac:dyDescent="0.25">
      <c r="A870" s="28">
        <v>46083</v>
      </c>
      <c r="B870" s="1" t="s">
        <v>390</v>
      </c>
      <c r="C870" s="1" t="s">
        <v>408</v>
      </c>
      <c r="D870" s="28">
        <f t="shared" si="286"/>
        <v>46106</v>
      </c>
      <c r="E870" s="28">
        <f t="shared" si="287"/>
        <v>46090</v>
      </c>
      <c r="F870" s="28">
        <f t="shared" si="288"/>
        <v>46097</v>
      </c>
      <c r="G870" s="28">
        <f t="shared" si="289"/>
        <v>46103</v>
      </c>
      <c r="H870" s="28">
        <f t="shared" si="290"/>
        <v>46091</v>
      </c>
      <c r="I870" s="28">
        <f t="shared" si="291"/>
        <v>46098</v>
      </c>
      <c r="J870" s="28">
        <v>46113</v>
      </c>
      <c r="K870" s="1">
        <f t="shared" si="292"/>
        <v>30</v>
      </c>
      <c r="L870" s="1">
        <v>8.65</v>
      </c>
      <c r="M870" s="1">
        <v>6.55</v>
      </c>
      <c r="N870" s="1">
        <f t="shared" si="293"/>
        <v>2.1000000000000005</v>
      </c>
      <c r="O870" s="1" t="s">
        <v>379</v>
      </c>
    </row>
    <row r="871" spans="1:15" x14ac:dyDescent="0.25">
      <c r="A871" s="28">
        <v>46084</v>
      </c>
      <c r="B871" s="1" t="s">
        <v>213</v>
      </c>
      <c r="C871" s="1" t="s">
        <v>416</v>
      </c>
      <c r="D871" s="28">
        <f t="shared" si="286"/>
        <v>46107</v>
      </c>
      <c r="E871" s="28">
        <f t="shared" si="287"/>
        <v>46091</v>
      </c>
      <c r="F871" s="28">
        <f t="shared" si="288"/>
        <v>46098</v>
      </c>
      <c r="G871" s="28">
        <f t="shared" si="289"/>
        <v>46104</v>
      </c>
      <c r="H871" s="28">
        <f t="shared" si="290"/>
        <v>46092</v>
      </c>
      <c r="I871" s="28">
        <f t="shared" si="291"/>
        <v>46099</v>
      </c>
      <c r="J871" s="28">
        <v>46114</v>
      </c>
      <c r="K871" s="1">
        <f t="shared" si="292"/>
        <v>30</v>
      </c>
      <c r="L871" s="1">
        <v>12.73</v>
      </c>
      <c r="M871" s="1">
        <v>10.210000000000001</v>
      </c>
      <c r="N871" s="1">
        <f t="shared" si="293"/>
        <v>2.5199999999999996</v>
      </c>
      <c r="O871" s="1" t="s">
        <v>379</v>
      </c>
    </row>
    <row r="872" spans="1:15" x14ac:dyDescent="0.25">
      <c r="A872" s="28">
        <v>46084</v>
      </c>
      <c r="B872" s="1" t="s">
        <v>214</v>
      </c>
      <c r="C872" s="1" t="s">
        <v>417</v>
      </c>
      <c r="D872" s="28">
        <f t="shared" si="286"/>
        <v>46107</v>
      </c>
      <c r="E872" s="28">
        <f t="shared" si="287"/>
        <v>46091</v>
      </c>
      <c r="F872" s="28">
        <f t="shared" si="288"/>
        <v>46098</v>
      </c>
      <c r="G872" s="28">
        <f t="shared" si="289"/>
        <v>46104</v>
      </c>
      <c r="H872" s="28">
        <f t="shared" si="290"/>
        <v>46092</v>
      </c>
      <c r="I872" s="28">
        <f t="shared" si="291"/>
        <v>46099</v>
      </c>
      <c r="J872" s="28">
        <v>46114</v>
      </c>
      <c r="K872" s="1">
        <f t="shared" si="292"/>
        <v>30</v>
      </c>
      <c r="L872" s="1">
        <v>12.86</v>
      </c>
      <c r="M872" s="1">
        <v>10.67</v>
      </c>
      <c r="N872" s="1">
        <f t="shared" si="293"/>
        <v>2.1899999999999995</v>
      </c>
      <c r="O872" s="1" t="s">
        <v>379</v>
      </c>
    </row>
    <row r="873" spans="1:15" x14ac:dyDescent="0.25">
      <c r="A873" s="28">
        <v>46084</v>
      </c>
      <c r="B873" s="1" t="s">
        <v>215</v>
      </c>
      <c r="C873" s="1" t="s">
        <v>418</v>
      </c>
      <c r="D873" s="28">
        <f t="shared" si="286"/>
        <v>46107</v>
      </c>
      <c r="E873" s="28">
        <f t="shared" si="287"/>
        <v>46091</v>
      </c>
      <c r="F873" s="28">
        <f t="shared" si="288"/>
        <v>46098</v>
      </c>
      <c r="G873" s="28">
        <f t="shared" si="289"/>
        <v>46104</v>
      </c>
      <c r="H873" s="28">
        <f t="shared" si="290"/>
        <v>46092</v>
      </c>
      <c r="I873" s="28">
        <f t="shared" si="291"/>
        <v>46099</v>
      </c>
      <c r="J873" s="28">
        <v>46114</v>
      </c>
      <c r="K873" s="1">
        <f t="shared" si="292"/>
        <v>30</v>
      </c>
      <c r="L873" s="1">
        <v>14.25</v>
      </c>
      <c r="M873" s="1">
        <v>12.32</v>
      </c>
      <c r="N873" s="1">
        <f t="shared" si="293"/>
        <v>1.9299999999999997</v>
      </c>
      <c r="O873" s="1" t="s">
        <v>379</v>
      </c>
    </row>
    <row r="874" spans="1:15" x14ac:dyDescent="0.25">
      <c r="A874" s="28">
        <v>46084</v>
      </c>
      <c r="B874" s="1" t="s">
        <v>216</v>
      </c>
      <c r="C874" s="1" t="s">
        <v>419</v>
      </c>
      <c r="D874" s="28">
        <f t="shared" si="286"/>
        <v>46107</v>
      </c>
      <c r="E874" s="28">
        <f t="shared" si="287"/>
        <v>46091</v>
      </c>
      <c r="F874" s="28">
        <f t="shared" si="288"/>
        <v>46098</v>
      </c>
      <c r="G874" s="28">
        <f t="shared" si="289"/>
        <v>46104</v>
      </c>
      <c r="H874" s="28">
        <f t="shared" si="290"/>
        <v>46092</v>
      </c>
      <c r="I874" s="28">
        <f t="shared" si="291"/>
        <v>46099</v>
      </c>
      <c r="J874" s="28">
        <v>46114</v>
      </c>
      <c r="K874" s="1">
        <f t="shared" si="292"/>
        <v>30</v>
      </c>
      <c r="L874" s="1">
        <v>12.07</v>
      </c>
      <c r="M874" s="1">
        <v>10.18</v>
      </c>
      <c r="N874" s="1">
        <f t="shared" si="293"/>
        <v>1.8900000000000006</v>
      </c>
      <c r="O874" s="1" t="s">
        <v>379</v>
      </c>
    </row>
    <row r="875" spans="1:15" x14ac:dyDescent="0.25">
      <c r="A875" s="28">
        <v>46084</v>
      </c>
      <c r="B875" s="1" t="s">
        <v>217</v>
      </c>
      <c r="C875" s="1" t="s">
        <v>420</v>
      </c>
      <c r="D875" s="28">
        <f t="shared" si="286"/>
        <v>46107</v>
      </c>
      <c r="E875" s="28">
        <f t="shared" si="287"/>
        <v>46091</v>
      </c>
      <c r="F875" s="28">
        <f t="shared" si="288"/>
        <v>46098</v>
      </c>
      <c r="G875" s="28">
        <f t="shared" si="289"/>
        <v>46104</v>
      </c>
      <c r="H875" s="28">
        <f t="shared" si="290"/>
        <v>46092</v>
      </c>
      <c r="I875" s="28">
        <f t="shared" si="291"/>
        <v>46099</v>
      </c>
      <c r="J875" s="28">
        <v>46114</v>
      </c>
      <c r="K875" s="1">
        <f t="shared" si="292"/>
        <v>30</v>
      </c>
      <c r="L875" s="1">
        <v>13.1</v>
      </c>
      <c r="M875" s="1">
        <v>11.35</v>
      </c>
      <c r="N875" s="1">
        <f t="shared" si="293"/>
        <v>1.75</v>
      </c>
      <c r="O875" s="1" t="s">
        <v>379</v>
      </c>
    </row>
    <row r="876" spans="1:15" x14ac:dyDescent="0.25">
      <c r="A876" s="28">
        <v>46084</v>
      </c>
      <c r="B876" s="1" t="s">
        <v>218</v>
      </c>
      <c r="C876" s="1" t="s">
        <v>421</v>
      </c>
      <c r="D876" s="28">
        <f t="shared" si="286"/>
        <v>46107</v>
      </c>
      <c r="E876" s="28">
        <f t="shared" si="287"/>
        <v>46091</v>
      </c>
      <c r="F876" s="28">
        <f t="shared" si="288"/>
        <v>46098</v>
      </c>
      <c r="G876" s="28">
        <f t="shared" si="289"/>
        <v>46104</v>
      </c>
      <c r="H876" s="28">
        <f t="shared" si="290"/>
        <v>46092</v>
      </c>
      <c r="I876" s="28">
        <f t="shared" si="291"/>
        <v>46099</v>
      </c>
      <c r="J876" s="28">
        <v>46114</v>
      </c>
      <c r="K876" s="1">
        <f t="shared" si="292"/>
        <v>30</v>
      </c>
      <c r="L876" s="1">
        <v>13.39</v>
      </c>
      <c r="M876" s="1">
        <v>11.62</v>
      </c>
      <c r="N876" s="1">
        <f t="shared" si="293"/>
        <v>1.7700000000000014</v>
      </c>
      <c r="O876" s="1" t="s">
        <v>379</v>
      </c>
    </row>
    <row r="877" spans="1:15" x14ac:dyDescent="0.25">
      <c r="A877" s="28">
        <v>46084</v>
      </c>
      <c r="B877" s="1" t="s">
        <v>219</v>
      </c>
      <c r="C877" s="1" t="s">
        <v>422</v>
      </c>
      <c r="D877" s="28">
        <f t="shared" si="286"/>
        <v>46107</v>
      </c>
      <c r="E877" s="28">
        <f t="shared" si="287"/>
        <v>46091</v>
      </c>
      <c r="F877" s="28">
        <f t="shared" si="288"/>
        <v>46098</v>
      </c>
      <c r="G877" s="28">
        <f t="shared" si="289"/>
        <v>46104</v>
      </c>
      <c r="H877" s="28">
        <f t="shared" si="290"/>
        <v>46092</v>
      </c>
      <c r="I877" s="28">
        <f t="shared" si="291"/>
        <v>46099</v>
      </c>
      <c r="J877" s="28">
        <v>46114</v>
      </c>
      <c r="K877" s="1">
        <f t="shared" si="292"/>
        <v>30</v>
      </c>
      <c r="L877" s="1">
        <v>14.32</v>
      </c>
      <c r="M877" s="1">
        <v>12.41</v>
      </c>
      <c r="N877" s="1">
        <f t="shared" si="293"/>
        <v>1.9100000000000001</v>
      </c>
      <c r="O877" s="1" t="s">
        <v>379</v>
      </c>
    </row>
    <row r="878" spans="1:15" x14ac:dyDescent="0.25">
      <c r="A878" s="28">
        <v>46085</v>
      </c>
      <c r="B878" s="1" t="s">
        <v>243</v>
      </c>
      <c r="C878" s="1" t="s">
        <v>423</v>
      </c>
      <c r="D878" s="28">
        <f t="shared" si="286"/>
        <v>46108</v>
      </c>
      <c r="E878" s="28">
        <f t="shared" si="287"/>
        <v>46092</v>
      </c>
      <c r="F878" s="28">
        <f t="shared" si="288"/>
        <v>46099</v>
      </c>
      <c r="G878" s="28">
        <f t="shared" si="289"/>
        <v>46105</v>
      </c>
      <c r="H878" s="28">
        <f t="shared" si="290"/>
        <v>46093</v>
      </c>
      <c r="I878" s="28">
        <f t="shared" si="291"/>
        <v>46100</v>
      </c>
      <c r="J878" s="28">
        <v>46115</v>
      </c>
      <c r="K878" s="1">
        <f t="shared" si="292"/>
        <v>30</v>
      </c>
      <c r="L878" s="1">
        <v>12.35</v>
      </c>
      <c r="M878" s="1">
        <v>10.27</v>
      </c>
      <c r="N878" s="1">
        <f t="shared" si="293"/>
        <v>2.08</v>
      </c>
      <c r="O878" s="1" t="s">
        <v>379</v>
      </c>
    </row>
    <row r="879" spans="1:15" x14ac:dyDescent="0.25">
      <c r="A879" s="28">
        <v>46085</v>
      </c>
      <c r="B879" s="1" t="s">
        <v>244</v>
      </c>
      <c r="C879" s="1" t="s">
        <v>424</v>
      </c>
      <c r="D879" s="28">
        <f t="shared" si="286"/>
        <v>46108</v>
      </c>
      <c r="E879" s="28">
        <f t="shared" si="287"/>
        <v>46092</v>
      </c>
      <c r="F879" s="28">
        <f t="shared" si="288"/>
        <v>46099</v>
      </c>
      <c r="G879" s="28">
        <f t="shared" si="289"/>
        <v>46105</v>
      </c>
      <c r="H879" s="28">
        <f t="shared" si="290"/>
        <v>46093</v>
      </c>
      <c r="I879" s="28">
        <f t="shared" si="291"/>
        <v>46100</v>
      </c>
      <c r="J879" s="28">
        <v>46115</v>
      </c>
      <c r="K879" s="1">
        <f t="shared" si="292"/>
        <v>30</v>
      </c>
      <c r="L879" s="1">
        <v>14.11</v>
      </c>
      <c r="M879" s="1">
        <v>12.05</v>
      </c>
      <c r="N879" s="1">
        <f t="shared" si="293"/>
        <v>2.0599999999999987</v>
      </c>
      <c r="O879" s="1" t="s">
        <v>379</v>
      </c>
    </row>
    <row r="880" spans="1:15" x14ac:dyDescent="0.25">
      <c r="A880" s="28">
        <v>46085</v>
      </c>
      <c r="B880" s="1" t="s">
        <v>245</v>
      </c>
      <c r="C880" s="1" t="s">
        <v>425</v>
      </c>
      <c r="D880" s="28">
        <f t="shared" si="286"/>
        <v>46108</v>
      </c>
      <c r="E880" s="28">
        <f t="shared" si="287"/>
        <v>46092</v>
      </c>
      <c r="F880" s="28">
        <f t="shared" si="288"/>
        <v>46099</v>
      </c>
      <c r="G880" s="28">
        <f t="shared" si="289"/>
        <v>46105</v>
      </c>
      <c r="H880" s="28">
        <f t="shared" si="290"/>
        <v>46093</v>
      </c>
      <c r="I880" s="28">
        <f t="shared" si="291"/>
        <v>46100</v>
      </c>
      <c r="J880" s="28">
        <v>46115</v>
      </c>
      <c r="K880" s="1">
        <f t="shared" si="292"/>
        <v>30</v>
      </c>
      <c r="L880" s="1">
        <v>13.08</v>
      </c>
      <c r="M880" s="1">
        <v>11.15</v>
      </c>
      <c r="N880" s="1">
        <f t="shared" si="293"/>
        <v>1.9299999999999997</v>
      </c>
      <c r="O880" s="1" t="s">
        <v>379</v>
      </c>
    </row>
    <row r="881" spans="1:15" x14ac:dyDescent="0.25">
      <c r="A881" s="28">
        <v>46085</v>
      </c>
      <c r="B881" s="1" t="s">
        <v>246</v>
      </c>
      <c r="C881" s="1" t="s">
        <v>426</v>
      </c>
      <c r="D881" s="28">
        <f t="shared" si="286"/>
        <v>46108</v>
      </c>
      <c r="E881" s="28">
        <f t="shared" si="287"/>
        <v>46092</v>
      </c>
      <c r="F881" s="28">
        <f t="shared" si="288"/>
        <v>46099</v>
      </c>
      <c r="G881" s="28">
        <f t="shared" si="289"/>
        <v>46105</v>
      </c>
      <c r="H881" s="28">
        <f t="shared" si="290"/>
        <v>46093</v>
      </c>
      <c r="I881" s="28">
        <f t="shared" si="291"/>
        <v>46100</v>
      </c>
      <c r="J881" s="28">
        <v>46115</v>
      </c>
      <c r="K881" s="1">
        <f t="shared" si="292"/>
        <v>30</v>
      </c>
      <c r="L881" s="1">
        <v>14.1</v>
      </c>
      <c r="M881" s="1">
        <v>12.21</v>
      </c>
      <c r="N881" s="1">
        <f t="shared" si="293"/>
        <v>1.8899999999999988</v>
      </c>
      <c r="O881" s="1" t="s">
        <v>379</v>
      </c>
    </row>
    <row r="882" spans="1:15" x14ac:dyDescent="0.25">
      <c r="A882" s="28">
        <v>46085</v>
      </c>
      <c r="B882" s="1" t="s">
        <v>247</v>
      </c>
      <c r="C882" s="1" t="s">
        <v>427</v>
      </c>
      <c r="D882" s="28">
        <f t="shared" si="286"/>
        <v>46108</v>
      </c>
      <c r="E882" s="28">
        <f t="shared" si="287"/>
        <v>46092</v>
      </c>
      <c r="F882" s="28">
        <f t="shared" si="288"/>
        <v>46099</v>
      </c>
      <c r="G882" s="28">
        <f t="shared" si="289"/>
        <v>46105</v>
      </c>
      <c r="H882" s="28">
        <f t="shared" si="290"/>
        <v>46093</v>
      </c>
      <c r="I882" s="28">
        <f t="shared" si="291"/>
        <v>46100</v>
      </c>
      <c r="J882" s="28">
        <v>46115</v>
      </c>
      <c r="K882" s="1">
        <f t="shared" si="292"/>
        <v>30</v>
      </c>
      <c r="L882" s="1">
        <v>11.97</v>
      </c>
      <c r="M882" s="1">
        <v>10.58</v>
      </c>
      <c r="N882" s="1">
        <f t="shared" si="293"/>
        <v>1.3900000000000006</v>
      </c>
      <c r="O882" s="1" t="s">
        <v>379</v>
      </c>
    </row>
    <row r="883" spans="1:15" x14ac:dyDescent="0.25">
      <c r="A883" s="28">
        <v>46085</v>
      </c>
      <c r="B883" s="1" t="s">
        <v>248</v>
      </c>
      <c r="C883" s="1" t="s">
        <v>428</v>
      </c>
      <c r="D883" s="28">
        <f t="shared" si="286"/>
        <v>46108</v>
      </c>
      <c r="E883" s="28">
        <f t="shared" si="287"/>
        <v>46092</v>
      </c>
      <c r="F883" s="28">
        <f t="shared" si="288"/>
        <v>46099</v>
      </c>
      <c r="G883" s="28">
        <f t="shared" si="289"/>
        <v>46105</v>
      </c>
      <c r="H883" s="28">
        <f t="shared" si="290"/>
        <v>46093</v>
      </c>
      <c r="I883" s="28">
        <f t="shared" si="291"/>
        <v>46100</v>
      </c>
      <c r="J883" s="28">
        <v>46115</v>
      </c>
      <c r="K883" s="1">
        <f t="shared" si="292"/>
        <v>30</v>
      </c>
      <c r="L883" s="1">
        <v>13.15</v>
      </c>
      <c r="M883" s="1">
        <v>11.36</v>
      </c>
      <c r="N883" s="1">
        <f t="shared" si="293"/>
        <v>1.7900000000000009</v>
      </c>
      <c r="O883" s="1" t="s">
        <v>379</v>
      </c>
    </row>
    <row r="884" spans="1:15" x14ac:dyDescent="0.25">
      <c r="A884" s="28">
        <v>46085</v>
      </c>
      <c r="B884" s="1" t="s">
        <v>249</v>
      </c>
      <c r="C884" s="1" t="s">
        <v>429</v>
      </c>
      <c r="D884" s="28">
        <f t="shared" si="286"/>
        <v>46108</v>
      </c>
      <c r="E884" s="28">
        <f t="shared" si="287"/>
        <v>46092</v>
      </c>
      <c r="F884" s="28">
        <f t="shared" si="288"/>
        <v>46099</v>
      </c>
      <c r="G884" s="28">
        <f t="shared" si="289"/>
        <v>46105</v>
      </c>
      <c r="H884" s="28">
        <f t="shared" si="290"/>
        <v>46093</v>
      </c>
      <c r="I884" s="28">
        <f t="shared" si="291"/>
        <v>46100</v>
      </c>
      <c r="J884" s="28">
        <v>46115</v>
      </c>
      <c r="K884" s="1">
        <f t="shared" si="292"/>
        <v>30</v>
      </c>
      <c r="L884" s="1">
        <v>12.27</v>
      </c>
      <c r="M884" s="1">
        <v>10.17</v>
      </c>
      <c r="N884" s="1">
        <f t="shared" si="293"/>
        <v>2.0999999999999996</v>
      </c>
      <c r="O884" s="1" t="s">
        <v>379</v>
      </c>
    </row>
    <row r="885" spans="1:15" x14ac:dyDescent="0.25">
      <c r="A885" s="28">
        <v>46086</v>
      </c>
      <c r="B885" s="1" t="s">
        <v>206</v>
      </c>
      <c r="C885" s="1" t="s">
        <v>430</v>
      </c>
      <c r="D885" s="28">
        <f t="shared" si="286"/>
        <v>46109</v>
      </c>
      <c r="E885" s="28">
        <f t="shared" si="287"/>
        <v>46093</v>
      </c>
      <c r="F885" s="28">
        <f t="shared" si="288"/>
        <v>46100</v>
      </c>
      <c r="G885" s="28">
        <f t="shared" si="289"/>
        <v>46106</v>
      </c>
      <c r="H885" s="28">
        <f t="shared" si="290"/>
        <v>46094</v>
      </c>
      <c r="I885" s="28">
        <f t="shared" si="291"/>
        <v>46101</v>
      </c>
      <c r="J885" s="28">
        <v>46115</v>
      </c>
      <c r="K885" s="1">
        <f t="shared" si="292"/>
        <v>29</v>
      </c>
      <c r="L885" s="1">
        <v>13.81</v>
      </c>
      <c r="M885" s="1">
        <v>11.52</v>
      </c>
      <c r="N885" s="1">
        <f t="shared" si="293"/>
        <v>2.2900000000000009</v>
      </c>
      <c r="O885" s="1" t="s">
        <v>379</v>
      </c>
    </row>
    <row r="886" spans="1:15" x14ac:dyDescent="0.25">
      <c r="A886" s="28">
        <v>46086</v>
      </c>
      <c r="B886" s="1" t="s">
        <v>207</v>
      </c>
      <c r="C886" s="1" t="s">
        <v>431</v>
      </c>
      <c r="D886" s="28">
        <f t="shared" si="286"/>
        <v>46109</v>
      </c>
      <c r="E886" s="28">
        <f t="shared" si="287"/>
        <v>46093</v>
      </c>
      <c r="F886" s="28">
        <f t="shared" si="288"/>
        <v>46100</v>
      </c>
      <c r="G886" s="28">
        <f t="shared" si="289"/>
        <v>46106</v>
      </c>
      <c r="H886" s="28">
        <f t="shared" si="290"/>
        <v>46094</v>
      </c>
      <c r="I886" s="28">
        <f t="shared" si="291"/>
        <v>46101</v>
      </c>
      <c r="J886" s="28">
        <v>46115</v>
      </c>
      <c r="K886" s="1">
        <f t="shared" si="292"/>
        <v>29</v>
      </c>
      <c r="L886" s="1">
        <v>13.56</v>
      </c>
      <c r="M886" s="1">
        <v>11.29</v>
      </c>
      <c r="N886" s="1">
        <f t="shared" si="293"/>
        <v>2.2700000000000014</v>
      </c>
      <c r="O886" s="1" t="s">
        <v>379</v>
      </c>
    </row>
    <row r="887" spans="1:15" x14ac:dyDescent="0.25">
      <c r="A887" s="28">
        <v>46086</v>
      </c>
      <c r="B887" s="1" t="s">
        <v>208</v>
      </c>
      <c r="C887" s="1" t="s">
        <v>432</v>
      </c>
      <c r="D887" s="28">
        <f t="shared" si="286"/>
        <v>46109</v>
      </c>
      <c r="E887" s="28">
        <f t="shared" si="287"/>
        <v>46093</v>
      </c>
      <c r="F887" s="28">
        <f t="shared" si="288"/>
        <v>46100</v>
      </c>
      <c r="G887" s="28">
        <f t="shared" si="289"/>
        <v>46106</v>
      </c>
      <c r="H887" s="28">
        <f t="shared" si="290"/>
        <v>46094</v>
      </c>
      <c r="I887" s="28">
        <f t="shared" si="291"/>
        <v>46101</v>
      </c>
      <c r="J887" s="28">
        <v>46115</v>
      </c>
      <c r="K887" s="1">
        <f t="shared" si="292"/>
        <v>29</v>
      </c>
      <c r="L887" s="1">
        <v>12.43</v>
      </c>
      <c r="M887" s="1">
        <v>10.119999999999999</v>
      </c>
      <c r="N887" s="1">
        <f t="shared" si="293"/>
        <v>2.3100000000000005</v>
      </c>
      <c r="O887" s="1" t="s">
        <v>379</v>
      </c>
    </row>
    <row r="888" spans="1:15" x14ac:dyDescent="0.25">
      <c r="A888" s="28">
        <v>46086</v>
      </c>
      <c r="B888" s="1" t="s">
        <v>209</v>
      </c>
      <c r="C888" s="1" t="s">
        <v>433</v>
      </c>
      <c r="D888" s="28">
        <f t="shared" si="286"/>
        <v>46109</v>
      </c>
      <c r="E888" s="28">
        <f t="shared" si="287"/>
        <v>46093</v>
      </c>
      <c r="F888" s="28">
        <f t="shared" si="288"/>
        <v>46100</v>
      </c>
      <c r="G888" s="28">
        <f t="shared" si="289"/>
        <v>46106</v>
      </c>
      <c r="H888" s="28">
        <f t="shared" si="290"/>
        <v>46094</v>
      </c>
      <c r="I888" s="28">
        <f t="shared" si="291"/>
        <v>46101</v>
      </c>
      <c r="J888" s="28">
        <v>46115</v>
      </c>
      <c r="K888" s="1">
        <f t="shared" si="292"/>
        <v>29</v>
      </c>
      <c r="L888" s="1">
        <v>14.28</v>
      </c>
      <c r="M888" s="1">
        <v>12.54</v>
      </c>
      <c r="N888" s="1">
        <f t="shared" si="293"/>
        <v>1.7400000000000002</v>
      </c>
      <c r="O888" s="1" t="s">
        <v>379</v>
      </c>
    </row>
    <row r="889" spans="1:15" x14ac:dyDescent="0.25">
      <c r="A889" s="28">
        <v>46086</v>
      </c>
      <c r="B889" s="1" t="s">
        <v>210</v>
      </c>
      <c r="C889" s="1" t="s">
        <v>434</v>
      </c>
      <c r="D889" s="28">
        <f t="shared" si="286"/>
        <v>46109</v>
      </c>
      <c r="E889" s="28">
        <f t="shared" si="287"/>
        <v>46093</v>
      </c>
      <c r="F889" s="28">
        <f t="shared" si="288"/>
        <v>46100</v>
      </c>
      <c r="G889" s="28">
        <f t="shared" si="289"/>
        <v>46106</v>
      </c>
      <c r="H889" s="28">
        <f t="shared" si="290"/>
        <v>46094</v>
      </c>
      <c r="I889" s="28">
        <f t="shared" si="291"/>
        <v>46101</v>
      </c>
      <c r="J889" s="28">
        <v>46115</v>
      </c>
      <c r="K889" s="1">
        <f t="shared" si="292"/>
        <v>29</v>
      </c>
      <c r="L889" s="1">
        <v>13.58</v>
      </c>
      <c r="M889" s="1">
        <v>11.78</v>
      </c>
      <c r="N889" s="1">
        <f t="shared" si="293"/>
        <v>1.8000000000000007</v>
      </c>
      <c r="O889" s="1" t="s">
        <v>379</v>
      </c>
    </row>
    <row r="890" spans="1:15" x14ac:dyDescent="0.25">
      <c r="A890" s="28">
        <v>46086</v>
      </c>
      <c r="B890" s="1" t="s">
        <v>211</v>
      </c>
      <c r="C890" s="1" t="s">
        <v>435</v>
      </c>
      <c r="D890" s="28">
        <f t="shared" si="286"/>
        <v>46109</v>
      </c>
      <c r="E890" s="28">
        <f t="shared" si="287"/>
        <v>46093</v>
      </c>
      <c r="F890" s="28">
        <f t="shared" si="288"/>
        <v>46100</v>
      </c>
      <c r="G890" s="28">
        <f t="shared" si="289"/>
        <v>46106</v>
      </c>
      <c r="H890" s="28">
        <f t="shared" si="290"/>
        <v>46094</v>
      </c>
      <c r="I890" s="28">
        <f t="shared" si="291"/>
        <v>46101</v>
      </c>
      <c r="J890" s="28">
        <v>46116</v>
      </c>
      <c r="K890" s="1">
        <f t="shared" si="292"/>
        <v>30</v>
      </c>
      <c r="L890" s="1">
        <v>12.37</v>
      </c>
      <c r="M890" s="1">
        <v>10.56</v>
      </c>
      <c r="N890" s="1">
        <f t="shared" si="293"/>
        <v>1.8099999999999987</v>
      </c>
      <c r="O890" s="1" t="s">
        <v>379</v>
      </c>
    </row>
    <row r="891" spans="1:15" x14ac:dyDescent="0.25">
      <c r="A891" s="28">
        <v>46086</v>
      </c>
      <c r="B891" s="1" t="s">
        <v>212</v>
      </c>
      <c r="C891" s="1" t="s">
        <v>436</v>
      </c>
      <c r="D891" s="28">
        <f t="shared" si="286"/>
        <v>46109</v>
      </c>
      <c r="E891" s="28">
        <f t="shared" si="287"/>
        <v>46093</v>
      </c>
      <c r="F891" s="28">
        <f t="shared" si="288"/>
        <v>46100</v>
      </c>
      <c r="G891" s="28">
        <f t="shared" si="289"/>
        <v>46106</v>
      </c>
      <c r="H891" s="28">
        <f t="shared" si="290"/>
        <v>46094</v>
      </c>
      <c r="I891" s="28">
        <f t="shared" si="291"/>
        <v>46101</v>
      </c>
      <c r="J891" s="28">
        <v>46116</v>
      </c>
      <c r="K891" s="1">
        <f t="shared" si="292"/>
        <v>30</v>
      </c>
      <c r="L891" s="1">
        <v>12.19</v>
      </c>
      <c r="M891" s="1">
        <v>10.31</v>
      </c>
      <c r="N891" s="1">
        <f t="shared" si="293"/>
        <v>1.879999999999999</v>
      </c>
      <c r="O891" s="1" t="s">
        <v>379</v>
      </c>
    </row>
    <row r="892" spans="1:15" x14ac:dyDescent="0.25">
      <c r="A892" s="28">
        <v>46087</v>
      </c>
      <c r="B892" s="1" t="s">
        <v>236</v>
      </c>
      <c r="C892" s="1" t="s">
        <v>446</v>
      </c>
      <c r="D892" s="28">
        <f t="shared" si="286"/>
        <v>46110</v>
      </c>
      <c r="E892" s="28">
        <f t="shared" si="287"/>
        <v>46094</v>
      </c>
      <c r="F892" s="28">
        <f t="shared" si="288"/>
        <v>46101</v>
      </c>
      <c r="G892" s="28">
        <f t="shared" si="289"/>
        <v>46107</v>
      </c>
      <c r="H892" s="28">
        <f t="shared" si="290"/>
        <v>46095</v>
      </c>
      <c r="I892" s="28">
        <f t="shared" si="291"/>
        <v>46102</v>
      </c>
      <c r="J892" s="28">
        <v>46116</v>
      </c>
      <c r="K892" s="1">
        <f t="shared" si="292"/>
        <v>29</v>
      </c>
      <c r="L892" s="1">
        <v>14.35</v>
      </c>
      <c r="M892" s="1">
        <v>12.78</v>
      </c>
      <c r="N892" s="1">
        <f t="shared" si="293"/>
        <v>1.5700000000000003</v>
      </c>
      <c r="O892" s="1" t="s">
        <v>379</v>
      </c>
    </row>
    <row r="893" spans="1:15" x14ac:dyDescent="0.25">
      <c r="A893" s="28">
        <v>46087</v>
      </c>
      <c r="B893" s="1" t="s">
        <v>237</v>
      </c>
      <c r="C893" s="1" t="s">
        <v>447</v>
      </c>
      <c r="D893" s="28">
        <f t="shared" si="286"/>
        <v>46110</v>
      </c>
      <c r="E893" s="28">
        <f t="shared" si="287"/>
        <v>46094</v>
      </c>
      <c r="F893" s="28">
        <f t="shared" si="288"/>
        <v>46101</v>
      </c>
      <c r="G893" s="28">
        <f t="shared" si="289"/>
        <v>46107</v>
      </c>
      <c r="H893" s="28">
        <f t="shared" si="290"/>
        <v>46095</v>
      </c>
      <c r="I893" s="28">
        <f t="shared" si="291"/>
        <v>46102</v>
      </c>
      <c r="J893" s="28">
        <v>46116</v>
      </c>
      <c r="K893" s="1">
        <f t="shared" si="292"/>
        <v>29</v>
      </c>
      <c r="L893" s="1">
        <v>12.97</v>
      </c>
      <c r="M893" s="1">
        <v>11.1</v>
      </c>
      <c r="N893" s="1">
        <f t="shared" si="293"/>
        <v>1.870000000000001</v>
      </c>
      <c r="O893" s="1" t="s">
        <v>379</v>
      </c>
    </row>
    <row r="894" spans="1:15" x14ac:dyDescent="0.25">
      <c r="A894" s="28">
        <v>46087</v>
      </c>
      <c r="B894" s="1" t="s">
        <v>238</v>
      </c>
      <c r="C894" s="1" t="s">
        <v>448</v>
      </c>
      <c r="D894" s="28">
        <f t="shared" si="286"/>
        <v>46110</v>
      </c>
      <c r="E894" s="28">
        <f t="shared" si="287"/>
        <v>46094</v>
      </c>
      <c r="F894" s="28">
        <f t="shared" si="288"/>
        <v>46101</v>
      </c>
      <c r="G894" s="28">
        <f t="shared" si="289"/>
        <v>46107</v>
      </c>
      <c r="H894" s="28">
        <f t="shared" si="290"/>
        <v>46095</v>
      </c>
      <c r="I894" s="28">
        <f t="shared" si="291"/>
        <v>46102</v>
      </c>
      <c r="J894" s="28">
        <v>46116</v>
      </c>
      <c r="K894" s="1">
        <f t="shared" si="292"/>
        <v>29</v>
      </c>
      <c r="L894" s="1">
        <v>14.05</v>
      </c>
      <c r="M894" s="1">
        <v>12.08</v>
      </c>
      <c r="N894" s="1">
        <f t="shared" si="293"/>
        <v>1.9700000000000006</v>
      </c>
      <c r="O894" s="1" t="s">
        <v>379</v>
      </c>
    </row>
    <row r="895" spans="1:15" x14ac:dyDescent="0.25">
      <c r="A895" s="28">
        <v>46087</v>
      </c>
      <c r="B895" s="1" t="s">
        <v>239</v>
      </c>
      <c r="C895" s="1" t="s">
        <v>449</v>
      </c>
      <c r="D895" s="28">
        <f t="shared" si="286"/>
        <v>46110</v>
      </c>
      <c r="E895" s="28">
        <f t="shared" si="287"/>
        <v>46094</v>
      </c>
      <c r="F895" s="28">
        <f t="shared" si="288"/>
        <v>46101</v>
      </c>
      <c r="G895" s="28">
        <f t="shared" si="289"/>
        <v>46107</v>
      </c>
      <c r="H895" s="28">
        <f t="shared" si="290"/>
        <v>46095</v>
      </c>
      <c r="I895" s="28">
        <f t="shared" si="291"/>
        <v>46102</v>
      </c>
      <c r="J895" s="28">
        <v>46116</v>
      </c>
      <c r="K895" s="1">
        <f t="shared" si="292"/>
        <v>29</v>
      </c>
      <c r="L895" s="1">
        <v>13.06</v>
      </c>
      <c r="M895" s="1">
        <v>10.35</v>
      </c>
      <c r="N895" s="1">
        <f t="shared" si="293"/>
        <v>2.7100000000000009</v>
      </c>
      <c r="O895" s="1" t="s">
        <v>379</v>
      </c>
    </row>
    <row r="896" spans="1:15" x14ac:dyDescent="0.25">
      <c r="A896" s="28">
        <v>46087</v>
      </c>
      <c r="B896" s="1" t="s">
        <v>240</v>
      </c>
      <c r="C896" s="1" t="s">
        <v>450</v>
      </c>
      <c r="D896" s="28">
        <f t="shared" si="286"/>
        <v>46110</v>
      </c>
      <c r="E896" s="28">
        <f t="shared" si="287"/>
        <v>46094</v>
      </c>
      <c r="F896" s="28">
        <f t="shared" si="288"/>
        <v>46101</v>
      </c>
      <c r="G896" s="28">
        <f t="shared" si="289"/>
        <v>46107</v>
      </c>
      <c r="H896" s="28">
        <f t="shared" si="290"/>
        <v>46095</v>
      </c>
      <c r="I896" s="28">
        <f t="shared" si="291"/>
        <v>46102</v>
      </c>
      <c r="J896" s="28">
        <v>46116</v>
      </c>
      <c r="K896" s="1">
        <f t="shared" si="292"/>
        <v>29</v>
      </c>
      <c r="L896" s="1">
        <v>12.47</v>
      </c>
      <c r="M896" s="1">
        <v>10.84</v>
      </c>
      <c r="N896" s="1">
        <f t="shared" si="293"/>
        <v>1.6300000000000008</v>
      </c>
      <c r="O896" s="1" t="s">
        <v>379</v>
      </c>
    </row>
    <row r="897" spans="1:15" x14ac:dyDescent="0.25">
      <c r="A897" s="28">
        <v>46087</v>
      </c>
      <c r="B897" s="1" t="s">
        <v>241</v>
      </c>
      <c r="C897" s="1" t="s">
        <v>451</v>
      </c>
      <c r="D897" s="28">
        <f t="shared" si="286"/>
        <v>46110</v>
      </c>
      <c r="E897" s="28">
        <f t="shared" si="287"/>
        <v>46094</v>
      </c>
      <c r="F897" s="28">
        <f t="shared" si="288"/>
        <v>46101</v>
      </c>
      <c r="G897" s="28">
        <f t="shared" si="289"/>
        <v>46107</v>
      </c>
      <c r="H897" s="28">
        <f t="shared" si="290"/>
        <v>46095</v>
      </c>
      <c r="I897" s="28">
        <f t="shared" si="291"/>
        <v>46102</v>
      </c>
      <c r="J897" s="28">
        <v>46116</v>
      </c>
      <c r="K897" s="1">
        <f t="shared" si="292"/>
        <v>29</v>
      </c>
      <c r="L897" s="1">
        <v>13.64</v>
      </c>
      <c r="M897" s="1">
        <v>11.51</v>
      </c>
      <c r="N897" s="1">
        <f t="shared" si="293"/>
        <v>2.1300000000000008</v>
      </c>
      <c r="O897" s="1" t="s">
        <v>379</v>
      </c>
    </row>
    <row r="898" spans="1:15" x14ac:dyDescent="0.25">
      <c r="A898" s="28">
        <v>46087</v>
      </c>
      <c r="B898" s="1" t="s">
        <v>242</v>
      </c>
      <c r="C898" s="1" t="s">
        <v>452</v>
      </c>
      <c r="D898" s="28">
        <f t="shared" si="286"/>
        <v>46110</v>
      </c>
      <c r="E898" s="28">
        <f t="shared" si="287"/>
        <v>46094</v>
      </c>
      <c r="F898" s="28">
        <f t="shared" si="288"/>
        <v>46101</v>
      </c>
      <c r="G898" s="28">
        <f t="shared" si="289"/>
        <v>46107</v>
      </c>
      <c r="H898" s="28">
        <f t="shared" si="290"/>
        <v>46095</v>
      </c>
      <c r="I898" s="28">
        <f t="shared" si="291"/>
        <v>46102</v>
      </c>
      <c r="J898" s="28">
        <v>46116</v>
      </c>
      <c r="K898" s="1">
        <f t="shared" si="292"/>
        <v>29</v>
      </c>
      <c r="L898" s="1">
        <v>13.38</v>
      </c>
      <c r="M898" s="1">
        <v>11.43</v>
      </c>
      <c r="N898" s="1">
        <f t="shared" si="293"/>
        <v>1.9500000000000011</v>
      </c>
      <c r="O898" s="1" t="s">
        <v>379</v>
      </c>
    </row>
    <row r="899" spans="1:15" x14ac:dyDescent="0.25">
      <c r="A899" s="28">
        <v>46088</v>
      </c>
      <c r="B899" s="1" t="s">
        <v>204</v>
      </c>
      <c r="C899" s="1" t="s">
        <v>453</v>
      </c>
      <c r="D899" s="28">
        <f t="shared" si="286"/>
        <v>46111</v>
      </c>
      <c r="E899" s="28">
        <f t="shared" si="287"/>
        <v>46095</v>
      </c>
      <c r="F899" s="28">
        <f t="shared" si="288"/>
        <v>46102</v>
      </c>
      <c r="G899" s="28">
        <f t="shared" si="289"/>
        <v>46108</v>
      </c>
      <c r="H899" s="28">
        <f t="shared" si="290"/>
        <v>46096</v>
      </c>
      <c r="I899" s="28">
        <f t="shared" si="291"/>
        <v>46103</v>
      </c>
      <c r="J899" s="28">
        <v>46116</v>
      </c>
      <c r="K899" s="1">
        <f t="shared" si="292"/>
        <v>28</v>
      </c>
      <c r="L899" s="1">
        <v>13.71</v>
      </c>
      <c r="M899" s="1">
        <v>11.83</v>
      </c>
      <c r="N899" s="1">
        <f t="shared" si="293"/>
        <v>1.8800000000000008</v>
      </c>
      <c r="O899" s="1" t="s">
        <v>379</v>
      </c>
    </row>
    <row r="900" spans="1:15" x14ac:dyDescent="0.25">
      <c r="A900" s="28">
        <v>46088</v>
      </c>
      <c r="B900" s="1" t="s">
        <v>205</v>
      </c>
      <c r="C900" s="1" t="s">
        <v>454</v>
      </c>
      <c r="D900" s="28">
        <f t="shared" si="286"/>
        <v>46111</v>
      </c>
      <c r="E900" s="28">
        <f t="shared" si="287"/>
        <v>46095</v>
      </c>
      <c r="F900" s="28">
        <f t="shared" si="288"/>
        <v>46102</v>
      </c>
      <c r="G900" s="28">
        <f t="shared" si="289"/>
        <v>46108</v>
      </c>
      <c r="H900" s="28">
        <f t="shared" si="290"/>
        <v>46096</v>
      </c>
      <c r="I900" s="28">
        <f t="shared" si="291"/>
        <v>46103</v>
      </c>
      <c r="J900" s="28">
        <v>46117</v>
      </c>
      <c r="K900" s="1">
        <f t="shared" si="292"/>
        <v>29</v>
      </c>
      <c r="L900" s="1">
        <v>12.51</v>
      </c>
      <c r="M900" s="1">
        <v>10.73</v>
      </c>
      <c r="N900" s="1">
        <f t="shared" si="293"/>
        <v>1.7799999999999994</v>
      </c>
      <c r="O900" s="1" t="s">
        <v>379</v>
      </c>
    </row>
    <row r="901" spans="1:15" x14ac:dyDescent="0.25">
      <c r="A901" s="28">
        <v>46088</v>
      </c>
      <c r="B901" s="1" t="s">
        <v>234</v>
      </c>
      <c r="C901" s="1" t="s">
        <v>455</v>
      </c>
      <c r="D901" s="28">
        <f t="shared" si="286"/>
        <v>46111</v>
      </c>
      <c r="E901" s="28">
        <f t="shared" si="287"/>
        <v>46095</v>
      </c>
      <c r="F901" s="28">
        <f t="shared" si="288"/>
        <v>46102</v>
      </c>
      <c r="G901" s="28">
        <f t="shared" si="289"/>
        <v>46108</v>
      </c>
      <c r="H901" s="28">
        <f t="shared" si="290"/>
        <v>46096</v>
      </c>
      <c r="I901" s="28">
        <f t="shared" si="291"/>
        <v>46103</v>
      </c>
      <c r="J901" s="28">
        <v>46117</v>
      </c>
      <c r="K901" s="1">
        <f t="shared" si="292"/>
        <v>29</v>
      </c>
      <c r="L901" s="1">
        <v>13.37</v>
      </c>
      <c r="M901" s="1">
        <v>11.25</v>
      </c>
      <c r="N901" s="1">
        <f t="shared" si="293"/>
        <v>2.1199999999999992</v>
      </c>
      <c r="O901" s="1" t="s">
        <v>379</v>
      </c>
    </row>
    <row r="902" spans="1:15" x14ac:dyDescent="0.25">
      <c r="A902" s="28">
        <v>46088</v>
      </c>
      <c r="B902" s="1" t="s">
        <v>235</v>
      </c>
      <c r="C902" s="1" t="s">
        <v>456</v>
      </c>
      <c r="D902" s="28">
        <f t="shared" si="286"/>
        <v>46111</v>
      </c>
      <c r="E902" s="28">
        <f t="shared" si="287"/>
        <v>46095</v>
      </c>
      <c r="F902" s="28">
        <f t="shared" si="288"/>
        <v>46102</v>
      </c>
      <c r="G902" s="28">
        <f t="shared" si="289"/>
        <v>46108</v>
      </c>
      <c r="H902" s="28">
        <f t="shared" si="290"/>
        <v>46096</v>
      </c>
      <c r="I902" s="28">
        <f t="shared" si="291"/>
        <v>46103</v>
      </c>
      <c r="J902" s="28">
        <v>46117</v>
      </c>
      <c r="K902" s="1">
        <f t="shared" si="292"/>
        <v>29</v>
      </c>
      <c r="L902" s="1">
        <v>12.46</v>
      </c>
      <c r="M902" s="1">
        <v>10.54</v>
      </c>
      <c r="N902" s="1">
        <f t="shared" si="293"/>
        <v>1.9200000000000017</v>
      </c>
      <c r="O902" s="1" t="s">
        <v>379</v>
      </c>
    </row>
    <row r="903" spans="1:15" x14ac:dyDescent="0.25">
      <c r="A903" s="28">
        <v>46088</v>
      </c>
      <c r="B903" s="1" t="s">
        <v>264</v>
      </c>
      <c r="C903" s="1" t="s">
        <v>625</v>
      </c>
      <c r="D903" s="28">
        <f t="shared" si="286"/>
        <v>46111</v>
      </c>
      <c r="E903" s="28">
        <f t="shared" si="287"/>
        <v>46095</v>
      </c>
      <c r="F903" s="28">
        <f t="shared" si="288"/>
        <v>46102</v>
      </c>
      <c r="G903" s="28">
        <f t="shared" si="289"/>
        <v>46108</v>
      </c>
      <c r="H903" s="28">
        <f t="shared" si="290"/>
        <v>46096</v>
      </c>
      <c r="I903" s="28">
        <f t="shared" si="291"/>
        <v>46103</v>
      </c>
      <c r="J903" s="28">
        <v>46117</v>
      </c>
      <c r="K903" s="1">
        <f t="shared" si="292"/>
        <v>29</v>
      </c>
      <c r="L903" s="1">
        <v>12.63</v>
      </c>
      <c r="M903" s="1">
        <v>10.56</v>
      </c>
      <c r="N903" s="1">
        <f t="shared" si="293"/>
        <v>2.0700000000000003</v>
      </c>
      <c r="O903" s="1" t="s">
        <v>379</v>
      </c>
    </row>
    <row r="904" spans="1:15" x14ac:dyDescent="0.25">
      <c r="A904" s="28">
        <v>46088</v>
      </c>
      <c r="B904" s="1" t="s">
        <v>265</v>
      </c>
      <c r="C904" s="1" t="s">
        <v>626</v>
      </c>
      <c r="D904" s="28">
        <f t="shared" si="286"/>
        <v>46111</v>
      </c>
      <c r="E904" s="28">
        <f t="shared" si="287"/>
        <v>46095</v>
      </c>
      <c r="F904" s="28">
        <f t="shared" si="288"/>
        <v>46102</v>
      </c>
      <c r="G904" s="28">
        <f t="shared" si="289"/>
        <v>46108</v>
      </c>
      <c r="H904" s="28">
        <f t="shared" si="290"/>
        <v>46096</v>
      </c>
      <c r="I904" s="28">
        <f t="shared" si="291"/>
        <v>46103</v>
      </c>
      <c r="J904" s="28">
        <v>46117</v>
      </c>
      <c r="K904" s="1">
        <f t="shared" si="292"/>
        <v>29</v>
      </c>
      <c r="L904" s="1">
        <v>12.09</v>
      </c>
      <c r="M904" s="1">
        <v>10.119999999999999</v>
      </c>
      <c r="N904" s="1">
        <f t="shared" si="293"/>
        <v>1.9700000000000006</v>
      </c>
      <c r="O904" s="1" t="s">
        <v>379</v>
      </c>
    </row>
    <row r="905" spans="1:15" x14ac:dyDescent="0.25">
      <c r="A905" s="28">
        <v>46088</v>
      </c>
      <c r="B905" s="1" t="s">
        <v>266</v>
      </c>
      <c r="C905" s="1" t="s">
        <v>459</v>
      </c>
      <c r="D905" s="28">
        <f t="shared" si="286"/>
        <v>46111</v>
      </c>
      <c r="E905" s="28">
        <f t="shared" si="287"/>
        <v>46095</v>
      </c>
      <c r="F905" s="28">
        <f t="shared" si="288"/>
        <v>46102</v>
      </c>
      <c r="G905" s="28">
        <f t="shared" si="289"/>
        <v>46108</v>
      </c>
      <c r="H905" s="28">
        <f t="shared" si="290"/>
        <v>46096</v>
      </c>
      <c r="I905" s="28">
        <f t="shared" si="291"/>
        <v>46103</v>
      </c>
      <c r="J905" s="28">
        <v>46117</v>
      </c>
      <c r="K905" s="1">
        <f t="shared" si="292"/>
        <v>29</v>
      </c>
      <c r="L905" s="1">
        <v>13.58</v>
      </c>
      <c r="M905" s="1">
        <v>11.54</v>
      </c>
      <c r="N905" s="1">
        <f t="shared" si="293"/>
        <v>2.0400000000000009</v>
      </c>
      <c r="O905" s="1" t="s">
        <v>379</v>
      </c>
    </row>
    <row r="906" spans="1:15" x14ac:dyDescent="0.25">
      <c r="A906" s="28">
        <v>46088</v>
      </c>
      <c r="B906" s="1" t="s">
        <v>267</v>
      </c>
      <c r="C906" s="1" t="s">
        <v>460</v>
      </c>
      <c r="D906" s="28">
        <f t="shared" si="286"/>
        <v>46111</v>
      </c>
      <c r="E906" s="28">
        <f t="shared" si="287"/>
        <v>46095</v>
      </c>
      <c r="F906" s="28">
        <f t="shared" si="288"/>
        <v>46102</v>
      </c>
      <c r="G906" s="28">
        <f t="shared" si="289"/>
        <v>46108</v>
      </c>
      <c r="H906" s="28">
        <f t="shared" si="290"/>
        <v>46096</v>
      </c>
      <c r="I906" s="28">
        <f t="shared" si="291"/>
        <v>46103</v>
      </c>
      <c r="J906" s="28">
        <v>46117</v>
      </c>
      <c r="K906" s="1">
        <f t="shared" si="292"/>
        <v>29</v>
      </c>
      <c r="L906" s="1">
        <v>12.47</v>
      </c>
      <c r="M906" s="1">
        <v>10.73</v>
      </c>
      <c r="N906" s="1">
        <f t="shared" si="293"/>
        <v>1.7400000000000002</v>
      </c>
      <c r="O906" s="1" t="s">
        <v>379</v>
      </c>
    </row>
    <row r="907" spans="1:15" x14ac:dyDescent="0.25">
      <c r="A907" s="28">
        <v>46089</v>
      </c>
      <c r="B907" s="1" t="s">
        <v>268</v>
      </c>
      <c r="C907" s="1" t="s">
        <v>461</v>
      </c>
      <c r="D907" s="28">
        <f t="shared" si="286"/>
        <v>46112</v>
      </c>
      <c r="E907" s="28">
        <f t="shared" si="287"/>
        <v>46096</v>
      </c>
      <c r="F907" s="28">
        <f t="shared" si="288"/>
        <v>46103</v>
      </c>
      <c r="G907" s="28">
        <f t="shared" si="289"/>
        <v>46109</v>
      </c>
      <c r="H907" s="28">
        <f t="shared" si="290"/>
        <v>46097</v>
      </c>
      <c r="I907" s="28">
        <f t="shared" si="291"/>
        <v>46104</v>
      </c>
      <c r="J907" s="28">
        <v>46117</v>
      </c>
      <c r="K907" s="1">
        <f t="shared" si="292"/>
        <v>28</v>
      </c>
      <c r="L907" s="1">
        <v>12.31</v>
      </c>
      <c r="M907" s="1">
        <v>10.210000000000001</v>
      </c>
      <c r="N907" s="1">
        <f t="shared" si="293"/>
        <v>2.0999999999999996</v>
      </c>
      <c r="O907" s="1" t="s">
        <v>379</v>
      </c>
    </row>
    <row r="908" spans="1:15" x14ac:dyDescent="0.25">
      <c r="A908" s="28">
        <v>46089</v>
      </c>
      <c r="B908" s="1" t="s">
        <v>269</v>
      </c>
      <c r="C908" s="1" t="s">
        <v>462</v>
      </c>
      <c r="D908" s="28">
        <f t="shared" si="286"/>
        <v>46112</v>
      </c>
      <c r="E908" s="28">
        <f t="shared" si="287"/>
        <v>46096</v>
      </c>
      <c r="F908" s="28">
        <f t="shared" si="288"/>
        <v>46103</v>
      </c>
      <c r="G908" s="28">
        <f t="shared" si="289"/>
        <v>46109</v>
      </c>
      <c r="H908" s="28">
        <f t="shared" si="290"/>
        <v>46097</v>
      </c>
      <c r="I908" s="28">
        <f t="shared" si="291"/>
        <v>46104</v>
      </c>
      <c r="J908" s="28">
        <v>46117</v>
      </c>
      <c r="K908" s="1">
        <f t="shared" si="292"/>
        <v>28</v>
      </c>
      <c r="L908" s="1">
        <v>13.65</v>
      </c>
      <c r="M908" s="1">
        <v>11.26</v>
      </c>
      <c r="N908" s="1">
        <f t="shared" si="293"/>
        <v>2.3900000000000006</v>
      </c>
      <c r="O908" s="1" t="s">
        <v>379</v>
      </c>
    </row>
    <row r="909" spans="1:15" x14ac:dyDescent="0.25">
      <c r="A909" s="28">
        <v>46089</v>
      </c>
      <c r="B909" s="1" t="s">
        <v>270</v>
      </c>
      <c r="C909" s="1" t="s">
        <v>463</v>
      </c>
      <c r="D909" s="28">
        <f t="shared" si="286"/>
        <v>46112</v>
      </c>
      <c r="E909" s="28">
        <f t="shared" si="287"/>
        <v>46096</v>
      </c>
      <c r="F909" s="28">
        <f t="shared" si="288"/>
        <v>46103</v>
      </c>
      <c r="G909" s="28">
        <f t="shared" si="289"/>
        <v>46109</v>
      </c>
      <c r="H909" s="28">
        <f t="shared" si="290"/>
        <v>46097</v>
      </c>
      <c r="I909" s="28">
        <f t="shared" si="291"/>
        <v>46104</v>
      </c>
      <c r="J909" s="28">
        <v>46118</v>
      </c>
      <c r="K909" s="1">
        <f t="shared" si="292"/>
        <v>29</v>
      </c>
      <c r="L909" s="1">
        <v>12.55</v>
      </c>
      <c r="M909" s="1">
        <v>11.23</v>
      </c>
      <c r="N909" s="1">
        <f t="shared" si="293"/>
        <v>1.3200000000000003</v>
      </c>
      <c r="O909" s="1" t="s">
        <v>379</v>
      </c>
    </row>
    <row r="910" spans="1:15" x14ac:dyDescent="0.25">
      <c r="A910" s="28">
        <v>46089</v>
      </c>
      <c r="B910" s="1" t="s">
        <v>271</v>
      </c>
      <c r="C910" s="1" t="s">
        <v>464</v>
      </c>
      <c r="D910" s="28">
        <f t="shared" si="286"/>
        <v>46112</v>
      </c>
      <c r="E910" s="28">
        <f t="shared" si="287"/>
        <v>46096</v>
      </c>
      <c r="F910" s="28">
        <f t="shared" si="288"/>
        <v>46103</v>
      </c>
      <c r="G910" s="28">
        <f t="shared" si="289"/>
        <v>46109</v>
      </c>
      <c r="H910" s="28">
        <f t="shared" si="290"/>
        <v>46097</v>
      </c>
      <c r="I910" s="28">
        <f t="shared" si="291"/>
        <v>46104</v>
      </c>
      <c r="J910" s="28">
        <v>46118</v>
      </c>
      <c r="K910" s="1">
        <f t="shared" si="292"/>
        <v>29</v>
      </c>
      <c r="L910" s="1">
        <v>12.01</v>
      </c>
      <c r="M910" s="1">
        <v>10.72</v>
      </c>
      <c r="N910" s="1">
        <f t="shared" si="293"/>
        <v>1.2899999999999991</v>
      </c>
      <c r="O910" s="1" t="s">
        <v>379</v>
      </c>
    </row>
    <row r="911" spans="1:15" x14ac:dyDescent="0.25">
      <c r="A911" s="28">
        <v>46089</v>
      </c>
      <c r="B911" s="1" t="s">
        <v>272</v>
      </c>
      <c r="C911" s="1" t="s">
        <v>465</v>
      </c>
      <c r="D911" s="28">
        <f t="shared" si="286"/>
        <v>46112</v>
      </c>
      <c r="E911" s="28">
        <f t="shared" si="287"/>
        <v>46096</v>
      </c>
      <c r="F911" s="28">
        <f t="shared" si="288"/>
        <v>46103</v>
      </c>
      <c r="G911" s="28">
        <f t="shared" si="289"/>
        <v>46109</v>
      </c>
      <c r="H911" s="28">
        <f t="shared" si="290"/>
        <v>46097</v>
      </c>
      <c r="I911" s="28">
        <f t="shared" si="291"/>
        <v>46104</v>
      </c>
      <c r="J911" s="28">
        <v>46118</v>
      </c>
      <c r="K911" s="1">
        <f t="shared" si="292"/>
        <v>29</v>
      </c>
      <c r="L911" s="1">
        <v>11.97</v>
      </c>
      <c r="M911" s="1">
        <v>10.54</v>
      </c>
      <c r="N911" s="1">
        <f t="shared" si="293"/>
        <v>1.4300000000000015</v>
      </c>
      <c r="O911" s="1" t="s">
        <v>379</v>
      </c>
    </row>
    <row r="912" spans="1:15" x14ac:dyDescent="0.25">
      <c r="A912" s="28">
        <v>46089</v>
      </c>
      <c r="B912" s="1" t="s">
        <v>273</v>
      </c>
      <c r="C912" s="1" t="s">
        <v>466</v>
      </c>
      <c r="D912" s="28">
        <f t="shared" si="286"/>
        <v>46112</v>
      </c>
      <c r="E912" s="28">
        <f t="shared" si="287"/>
        <v>46096</v>
      </c>
      <c r="F912" s="28">
        <f t="shared" si="288"/>
        <v>46103</v>
      </c>
      <c r="G912" s="28">
        <f t="shared" si="289"/>
        <v>46109</v>
      </c>
      <c r="H912" s="28">
        <f t="shared" si="290"/>
        <v>46097</v>
      </c>
      <c r="I912" s="28">
        <f t="shared" si="291"/>
        <v>46104</v>
      </c>
      <c r="J912" s="28">
        <v>46118</v>
      </c>
      <c r="K912" s="1">
        <f t="shared" si="292"/>
        <v>29</v>
      </c>
      <c r="L912" s="1">
        <v>11.62</v>
      </c>
      <c r="M912" s="1">
        <v>9.8699999999999992</v>
      </c>
      <c r="N912" s="1">
        <f t="shared" si="293"/>
        <v>1.75</v>
      </c>
      <c r="O912" s="1" t="s">
        <v>379</v>
      </c>
    </row>
    <row r="913" spans="1:15" x14ac:dyDescent="0.25">
      <c r="A913" s="28">
        <v>46089</v>
      </c>
      <c r="B913" s="1" t="s">
        <v>274</v>
      </c>
      <c r="C913" s="1" t="s">
        <v>467</v>
      </c>
      <c r="D913" s="28">
        <f t="shared" si="286"/>
        <v>46112</v>
      </c>
      <c r="E913" s="28">
        <f t="shared" si="287"/>
        <v>46096</v>
      </c>
      <c r="F913" s="28">
        <f t="shared" si="288"/>
        <v>46103</v>
      </c>
      <c r="G913" s="28">
        <f t="shared" si="289"/>
        <v>46109</v>
      </c>
      <c r="H913" s="28">
        <f t="shared" si="290"/>
        <v>46097</v>
      </c>
      <c r="I913" s="28">
        <f t="shared" si="291"/>
        <v>46104</v>
      </c>
      <c r="J913" s="28">
        <v>46118</v>
      </c>
      <c r="K913" s="1">
        <f t="shared" si="292"/>
        <v>29</v>
      </c>
      <c r="L913" s="1">
        <v>12.98</v>
      </c>
      <c r="M913" s="1">
        <v>11.78</v>
      </c>
      <c r="N913" s="1">
        <f t="shared" si="293"/>
        <v>1.2000000000000011</v>
      </c>
      <c r="O913" s="1" t="s">
        <v>379</v>
      </c>
    </row>
    <row r="914" spans="1:15" x14ac:dyDescent="0.25">
      <c r="A914" s="28">
        <v>46090</v>
      </c>
      <c r="B914" s="1" t="s">
        <v>275</v>
      </c>
      <c r="C914" s="1" t="s">
        <v>468</v>
      </c>
      <c r="D914" s="28">
        <f t="shared" si="286"/>
        <v>46113</v>
      </c>
      <c r="E914" s="28">
        <f t="shared" si="287"/>
        <v>46097</v>
      </c>
      <c r="F914" s="28">
        <f t="shared" si="288"/>
        <v>46104</v>
      </c>
      <c r="G914" s="28">
        <f t="shared" si="289"/>
        <v>46110</v>
      </c>
      <c r="H914" s="28">
        <f t="shared" si="290"/>
        <v>46098</v>
      </c>
      <c r="I914" s="28">
        <f t="shared" si="291"/>
        <v>46105</v>
      </c>
      <c r="J914" s="28">
        <v>46118</v>
      </c>
      <c r="K914" s="1">
        <f t="shared" si="292"/>
        <v>28</v>
      </c>
      <c r="L914" s="1">
        <v>11.35</v>
      </c>
      <c r="M914" s="1">
        <v>10.51</v>
      </c>
      <c r="N914" s="1">
        <f t="shared" si="293"/>
        <v>0.83999999999999986</v>
      </c>
      <c r="O914" s="1" t="s">
        <v>379</v>
      </c>
    </row>
    <row r="915" spans="1:15" x14ac:dyDescent="0.25">
      <c r="A915" s="28">
        <v>46090</v>
      </c>
      <c r="B915" s="1" t="s">
        <v>276</v>
      </c>
      <c r="C915" s="1" t="s">
        <v>469</v>
      </c>
      <c r="D915" s="28">
        <f t="shared" ref="D915:D978" si="294">A915+23</f>
        <v>46113</v>
      </c>
      <c r="E915" s="28">
        <f t="shared" ref="E915:E978" si="295">A915+7</f>
        <v>46097</v>
      </c>
      <c r="F915" s="28">
        <f t="shared" ref="F915:F978" si="296">A915+14</f>
        <v>46104</v>
      </c>
      <c r="G915" s="28">
        <f t="shared" ref="G915:G978" si="297">A915+20</f>
        <v>46110</v>
      </c>
      <c r="H915" s="28">
        <f t="shared" ref="H915:H978" si="298">A915+8</f>
        <v>46098</v>
      </c>
      <c r="I915" s="28">
        <f t="shared" ref="I915:I978" si="299">A915+15</f>
        <v>46105</v>
      </c>
      <c r="J915" s="28">
        <v>46118</v>
      </c>
      <c r="K915" s="1">
        <f t="shared" ref="K915:K978" si="300">J915-A915</f>
        <v>28</v>
      </c>
      <c r="L915" s="1">
        <v>11.84</v>
      </c>
      <c r="M915" s="1">
        <v>9.1199999999999992</v>
      </c>
      <c r="N915" s="1">
        <f t="shared" ref="N915:N978" si="301">L915-M915</f>
        <v>2.7200000000000006</v>
      </c>
      <c r="O915" s="1" t="s">
        <v>379</v>
      </c>
    </row>
    <row r="916" spans="1:15" x14ac:dyDescent="0.25">
      <c r="A916" s="28">
        <v>46090</v>
      </c>
      <c r="B916" s="1" t="s">
        <v>277</v>
      </c>
      <c r="C916" s="1" t="s">
        <v>470</v>
      </c>
      <c r="D916" s="28">
        <f t="shared" si="294"/>
        <v>46113</v>
      </c>
      <c r="E916" s="28">
        <f t="shared" si="295"/>
        <v>46097</v>
      </c>
      <c r="F916" s="28">
        <f t="shared" si="296"/>
        <v>46104</v>
      </c>
      <c r="G916" s="28">
        <f t="shared" si="297"/>
        <v>46110</v>
      </c>
      <c r="H916" s="28">
        <f t="shared" si="298"/>
        <v>46098</v>
      </c>
      <c r="I916" s="28">
        <f t="shared" si="299"/>
        <v>46105</v>
      </c>
      <c r="J916" s="28">
        <v>46119</v>
      </c>
      <c r="K916" s="1">
        <f t="shared" si="300"/>
        <v>29</v>
      </c>
      <c r="L916" s="1">
        <v>12.35</v>
      </c>
      <c r="M916" s="1">
        <v>10.119999999999999</v>
      </c>
      <c r="N916" s="1">
        <f t="shared" si="301"/>
        <v>2.2300000000000004</v>
      </c>
      <c r="O916" s="1" t="s">
        <v>379</v>
      </c>
    </row>
    <row r="917" spans="1:15" x14ac:dyDescent="0.25">
      <c r="A917" s="28">
        <v>46090</v>
      </c>
      <c r="B917" s="1" t="s">
        <v>278</v>
      </c>
      <c r="C917" s="1" t="s">
        <v>471</v>
      </c>
      <c r="D917" s="28">
        <f t="shared" si="294"/>
        <v>46113</v>
      </c>
      <c r="E917" s="28">
        <f t="shared" si="295"/>
        <v>46097</v>
      </c>
      <c r="F917" s="28">
        <f t="shared" si="296"/>
        <v>46104</v>
      </c>
      <c r="G917" s="28">
        <f t="shared" si="297"/>
        <v>46110</v>
      </c>
      <c r="H917" s="28">
        <f t="shared" si="298"/>
        <v>46098</v>
      </c>
      <c r="I917" s="28">
        <f t="shared" si="299"/>
        <v>46105</v>
      </c>
      <c r="J917" s="28">
        <v>46119</v>
      </c>
      <c r="K917" s="1">
        <f t="shared" si="300"/>
        <v>29</v>
      </c>
      <c r="L917" s="1">
        <v>12.51</v>
      </c>
      <c r="M917" s="1">
        <v>10.34</v>
      </c>
      <c r="N917" s="1">
        <f t="shared" si="301"/>
        <v>2.17</v>
      </c>
      <c r="O917" s="1" t="s">
        <v>379</v>
      </c>
    </row>
    <row r="918" spans="1:15" x14ac:dyDescent="0.25">
      <c r="A918" s="28">
        <v>46090</v>
      </c>
      <c r="B918" s="1" t="s">
        <v>279</v>
      </c>
      <c r="C918" s="1" t="s">
        <v>472</v>
      </c>
      <c r="D918" s="28">
        <f t="shared" si="294"/>
        <v>46113</v>
      </c>
      <c r="E918" s="28">
        <f t="shared" si="295"/>
        <v>46097</v>
      </c>
      <c r="F918" s="28">
        <f t="shared" si="296"/>
        <v>46104</v>
      </c>
      <c r="G918" s="28">
        <f t="shared" si="297"/>
        <v>46110</v>
      </c>
      <c r="H918" s="28">
        <f t="shared" si="298"/>
        <v>46098</v>
      </c>
      <c r="I918" s="28">
        <f t="shared" si="299"/>
        <v>46105</v>
      </c>
      <c r="J918" s="28">
        <v>46119</v>
      </c>
      <c r="K918" s="1">
        <f t="shared" si="300"/>
        <v>29</v>
      </c>
      <c r="L918" s="1">
        <v>11.37</v>
      </c>
      <c r="M918" s="1">
        <v>9.25</v>
      </c>
      <c r="N918" s="1">
        <f t="shared" si="301"/>
        <v>2.1199999999999992</v>
      </c>
      <c r="O918" s="1" t="s">
        <v>379</v>
      </c>
    </row>
    <row r="919" spans="1:15" x14ac:dyDescent="0.25">
      <c r="A919" s="28">
        <v>46090</v>
      </c>
      <c r="B919" s="1" t="s">
        <v>280</v>
      </c>
      <c r="C919" s="1" t="s">
        <v>473</v>
      </c>
      <c r="D919" s="28">
        <f t="shared" si="294"/>
        <v>46113</v>
      </c>
      <c r="E919" s="28">
        <f t="shared" si="295"/>
        <v>46097</v>
      </c>
      <c r="F919" s="28">
        <f t="shared" si="296"/>
        <v>46104</v>
      </c>
      <c r="G919" s="28">
        <f t="shared" si="297"/>
        <v>46110</v>
      </c>
      <c r="H919" s="28">
        <f t="shared" si="298"/>
        <v>46098</v>
      </c>
      <c r="I919" s="28">
        <f t="shared" si="299"/>
        <v>46105</v>
      </c>
      <c r="J919" s="28">
        <v>46119</v>
      </c>
      <c r="K919" s="1">
        <f t="shared" si="300"/>
        <v>29</v>
      </c>
      <c r="L919" s="1">
        <v>13.42</v>
      </c>
      <c r="M919" s="1">
        <v>11.17</v>
      </c>
      <c r="N919" s="1">
        <f t="shared" si="301"/>
        <v>2.25</v>
      </c>
      <c r="O919" s="1" t="s">
        <v>379</v>
      </c>
    </row>
    <row r="920" spans="1:15" x14ac:dyDescent="0.25">
      <c r="A920" s="28">
        <v>46090</v>
      </c>
      <c r="B920" s="1" t="s">
        <v>281</v>
      </c>
      <c r="C920" s="1" t="s">
        <v>474</v>
      </c>
      <c r="D920" s="28">
        <f t="shared" si="294"/>
        <v>46113</v>
      </c>
      <c r="E920" s="28">
        <f t="shared" si="295"/>
        <v>46097</v>
      </c>
      <c r="F920" s="28">
        <f t="shared" si="296"/>
        <v>46104</v>
      </c>
      <c r="G920" s="28">
        <f t="shared" si="297"/>
        <v>46110</v>
      </c>
      <c r="H920" s="28">
        <f t="shared" si="298"/>
        <v>46098</v>
      </c>
      <c r="I920" s="28">
        <f t="shared" si="299"/>
        <v>46105</v>
      </c>
      <c r="J920" s="28">
        <v>46120</v>
      </c>
      <c r="K920" s="1">
        <f t="shared" si="300"/>
        <v>30</v>
      </c>
      <c r="L920" s="1">
        <v>13.61</v>
      </c>
      <c r="M920" s="1">
        <v>11.36</v>
      </c>
      <c r="N920" s="1">
        <f t="shared" si="301"/>
        <v>2.25</v>
      </c>
      <c r="O920" s="1" t="s">
        <v>379</v>
      </c>
    </row>
    <row r="921" spans="1:15" x14ac:dyDescent="0.25">
      <c r="A921" s="28">
        <v>46091</v>
      </c>
      <c r="B921" s="1" t="s">
        <v>383</v>
      </c>
      <c r="C921" s="1" t="s">
        <v>478</v>
      </c>
      <c r="D921" s="28">
        <f t="shared" si="294"/>
        <v>46114</v>
      </c>
      <c r="E921" s="28">
        <f t="shared" si="295"/>
        <v>46098</v>
      </c>
      <c r="F921" s="28">
        <f t="shared" si="296"/>
        <v>46105</v>
      </c>
      <c r="G921" s="28">
        <f t="shared" si="297"/>
        <v>46111</v>
      </c>
      <c r="H921" s="28">
        <f t="shared" si="298"/>
        <v>46099</v>
      </c>
      <c r="I921" s="28">
        <f t="shared" si="299"/>
        <v>46106</v>
      </c>
      <c r="J921" s="28">
        <v>46124</v>
      </c>
      <c r="K921" s="1">
        <f t="shared" si="300"/>
        <v>33</v>
      </c>
      <c r="L921" s="1">
        <v>11.42</v>
      </c>
      <c r="M921" s="1">
        <v>9.35</v>
      </c>
      <c r="N921" s="1">
        <f t="shared" si="301"/>
        <v>2.0700000000000003</v>
      </c>
      <c r="O921" s="1" t="s">
        <v>379</v>
      </c>
    </row>
    <row r="922" spans="1:15" x14ac:dyDescent="0.25">
      <c r="A922" s="28">
        <v>46091</v>
      </c>
      <c r="B922" s="1" t="s">
        <v>384</v>
      </c>
      <c r="C922" s="1" t="s">
        <v>479</v>
      </c>
      <c r="D922" s="28">
        <f t="shared" si="294"/>
        <v>46114</v>
      </c>
      <c r="E922" s="28">
        <f t="shared" si="295"/>
        <v>46098</v>
      </c>
      <c r="F922" s="28">
        <f t="shared" si="296"/>
        <v>46105</v>
      </c>
      <c r="G922" s="28">
        <f t="shared" si="297"/>
        <v>46111</v>
      </c>
      <c r="H922" s="28">
        <f t="shared" si="298"/>
        <v>46099</v>
      </c>
      <c r="I922" s="28">
        <f t="shared" si="299"/>
        <v>46106</v>
      </c>
      <c r="J922" s="28">
        <v>46124</v>
      </c>
      <c r="K922" s="1">
        <f t="shared" si="300"/>
        <v>33</v>
      </c>
      <c r="L922" s="1">
        <v>12.65</v>
      </c>
      <c r="M922" s="1">
        <v>10.58</v>
      </c>
      <c r="N922" s="1">
        <f t="shared" si="301"/>
        <v>2.0700000000000003</v>
      </c>
      <c r="O922" s="1" t="s">
        <v>379</v>
      </c>
    </row>
    <row r="923" spans="1:15" x14ac:dyDescent="0.25">
      <c r="A923" s="28">
        <v>46091</v>
      </c>
      <c r="B923" s="1" t="s">
        <v>385</v>
      </c>
      <c r="C923" s="1" t="s">
        <v>480</v>
      </c>
      <c r="D923" s="28">
        <f t="shared" si="294"/>
        <v>46114</v>
      </c>
      <c r="E923" s="28">
        <f t="shared" si="295"/>
        <v>46098</v>
      </c>
      <c r="F923" s="28">
        <f t="shared" si="296"/>
        <v>46105</v>
      </c>
      <c r="G923" s="28">
        <f t="shared" si="297"/>
        <v>46111</v>
      </c>
      <c r="H923" s="28">
        <f t="shared" si="298"/>
        <v>46099</v>
      </c>
      <c r="I923" s="28">
        <f t="shared" si="299"/>
        <v>46106</v>
      </c>
      <c r="J923" s="28">
        <v>46125</v>
      </c>
      <c r="K923" s="1">
        <f t="shared" si="300"/>
        <v>34</v>
      </c>
      <c r="L923" s="1">
        <v>11.63</v>
      </c>
      <c r="M923" s="1">
        <v>9.85</v>
      </c>
      <c r="N923" s="1">
        <f t="shared" si="301"/>
        <v>1.7800000000000011</v>
      </c>
      <c r="O923" s="1" t="s">
        <v>379</v>
      </c>
    </row>
    <row r="924" spans="1:15" x14ac:dyDescent="0.25">
      <c r="A924" s="28">
        <v>46091</v>
      </c>
      <c r="B924" s="1" t="s">
        <v>386</v>
      </c>
      <c r="C924" s="1" t="s">
        <v>481</v>
      </c>
      <c r="D924" s="28">
        <f t="shared" si="294"/>
        <v>46114</v>
      </c>
      <c r="E924" s="28">
        <f t="shared" si="295"/>
        <v>46098</v>
      </c>
      <c r="F924" s="28">
        <f t="shared" si="296"/>
        <v>46105</v>
      </c>
      <c r="G924" s="28">
        <f t="shared" si="297"/>
        <v>46111</v>
      </c>
      <c r="H924" s="28">
        <f t="shared" si="298"/>
        <v>46099</v>
      </c>
      <c r="I924" s="28">
        <f t="shared" si="299"/>
        <v>46106</v>
      </c>
      <c r="J924" s="28">
        <v>46125</v>
      </c>
      <c r="K924" s="1">
        <f t="shared" si="300"/>
        <v>34</v>
      </c>
      <c r="L924" s="1">
        <v>12.47</v>
      </c>
      <c r="M924" s="1">
        <v>10.31</v>
      </c>
      <c r="N924" s="1">
        <f t="shared" si="301"/>
        <v>2.16</v>
      </c>
      <c r="O924" s="1" t="s">
        <v>379</v>
      </c>
    </row>
    <row r="925" spans="1:15" x14ac:dyDescent="0.25">
      <c r="A925" s="28">
        <v>46091</v>
      </c>
      <c r="B925" s="1" t="s">
        <v>387</v>
      </c>
      <c r="C925" s="1" t="s">
        <v>482</v>
      </c>
      <c r="D925" s="28">
        <f t="shared" si="294"/>
        <v>46114</v>
      </c>
      <c r="E925" s="28">
        <f t="shared" si="295"/>
        <v>46098</v>
      </c>
      <c r="F925" s="28">
        <f t="shared" si="296"/>
        <v>46105</v>
      </c>
      <c r="G925" s="28">
        <f t="shared" si="297"/>
        <v>46111</v>
      </c>
      <c r="H925" s="28">
        <f t="shared" si="298"/>
        <v>46099</v>
      </c>
      <c r="I925" s="28">
        <f t="shared" si="299"/>
        <v>46106</v>
      </c>
      <c r="J925" s="28">
        <v>46125</v>
      </c>
      <c r="K925" s="1">
        <f t="shared" si="300"/>
        <v>34</v>
      </c>
      <c r="L925" s="1">
        <v>11.54</v>
      </c>
      <c r="M925" s="1">
        <v>9.73</v>
      </c>
      <c r="N925" s="1">
        <f t="shared" si="301"/>
        <v>1.8099999999999987</v>
      </c>
      <c r="O925" s="1" t="s">
        <v>379</v>
      </c>
    </row>
    <row r="926" spans="1:15" x14ac:dyDescent="0.25">
      <c r="A926" s="28">
        <v>46091</v>
      </c>
      <c r="B926" s="1" t="s">
        <v>388</v>
      </c>
      <c r="C926" s="1" t="s">
        <v>483</v>
      </c>
      <c r="D926" s="28">
        <f t="shared" si="294"/>
        <v>46114</v>
      </c>
      <c r="E926" s="28">
        <f t="shared" si="295"/>
        <v>46098</v>
      </c>
      <c r="F926" s="28">
        <f t="shared" si="296"/>
        <v>46105</v>
      </c>
      <c r="G926" s="28">
        <f t="shared" si="297"/>
        <v>46111</v>
      </c>
      <c r="H926" s="28">
        <f t="shared" si="298"/>
        <v>46099</v>
      </c>
      <c r="I926" s="28">
        <f t="shared" si="299"/>
        <v>46106</v>
      </c>
      <c r="J926" s="28">
        <v>46125</v>
      </c>
      <c r="K926" s="1">
        <f t="shared" si="300"/>
        <v>34</v>
      </c>
      <c r="L926" s="1">
        <v>11.31</v>
      </c>
      <c r="M926" s="1">
        <v>9.2799999999999994</v>
      </c>
      <c r="N926" s="1">
        <f t="shared" si="301"/>
        <v>2.0300000000000011</v>
      </c>
      <c r="O926" s="1" t="s">
        <v>379</v>
      </c>
    </row>
    <row r="927" spans="1:15" x14ac:dyDescent="0.25">
      <c r="A927" s="28">
        <v>46091</v>
      </c>
      <c r="B927" s="1" t="s">
        <v>389</v>
      </c>
      <c r="C927" s="1" t="s">
        <v>484</v>
      </c>
      <c r="D927" s="28">
        <f t="shared" si="294"/>
        <v>46114</v>
      </c>
      <c r="E927" s="28">
        <f t="shared" si="295"/>
        <v>46098</v>
      </c>
      <c r="F927" s="28">
        <f t="shared" si="296"/>
        <v>46105</v>
      </c>
      <c r="G927" s="28">
        <f t="shared" si="297"/>
        <v>46111</v>
      </c>
      <c r="H927" s="28">
        <f t="shared" si="298"/>
        <v>46099</v>
      </c>
      <c r="I927" s="28">
        <f t="shared" si="299"/>
        <v>46106</v>
      </c>
      <c r="J927" s="28">
        <v>46125</v>
      </c>
      <c r="K927" s="1">
        <f t="shared" si="300"/>
        <v>34</v>
      </c>
      <c r="L927" s="1">
        <v>13.48</v>
      </c>
      <c r="M927" s="1">
        <v>11.12</v>
      </c>
      <c r="N927" s="1">
        <f t="shared" si="301"/>
        <v>2.3600000000000012</v>
      </c>
      <c r="O927" s="1" t="s">
        <v>379</v>
      </c>
    </row>
    <row r="928" spans="1:15" x14ac:dyDescent="0.25">
      <c r="A928" s="28">
        <v>46092</v>
      </c>
      <c r="B928" s="1" t="s">
        <v>380</v>
      </c>
      <c r="C928" s="1" t="s">
        <v>475</v>
      </c>
      <c r="D928" s="28">
        <f t="shared" si="294"/>
        <v>46115</v>
      </c>
      <c r="E928" s="28">
        <f t="shared" si="295"/>
        <v>46099</v>
      </c>
      <c r="F928" s="28">
        <f t="shared" si="296"/>
        <v>46106</v>
      </c>
      <c r="G928" s="28">
        <f t="shared" si="297"/>
        <v>46112</v>
      </c>
      <c r="H928" s="28">
        <f t="shared" si="298"/>
        <v>46100</v>
      </c>
      <c r="I928" s="28">
        <f t="shared" si="299"/>
        <v>46107</v>
      </c>
      <c r="J928" s="28">
        <v>46124</v>
      </c>
      <c r="K928" s="1">
        <f t="shared" si="300"/>
        <v>32</v>
      </c>
      <c r="L928" s="1">
        <v>12.32</v>
      </c>
      <c r="M928" s="1">
        <v>10.210000000000001</v>
      </c>
      <c r="N928" s="1">
        <f t="shared" si="301"/>
        <v>2.1099999999999994</v>
      </c>
      <c r="O928" s="1" t="s">
        <v>379</v>
      </c>
    </row>
    <row r="929" spans="1:15" x14ac:dyDescent="0.25">
      <c r="A929" s="28">
        <v>46092</v>
      </c>
      <c r="B929" s="1" t="s">
        <v>381</v>
      </c>
      <c r="C929" s="1" t="s">
        <v>476</v>
      </c>
      <c r="D929" s="28">
        <f t="shared" si="294"/>
        <v>46115</v>
      </c>
      <c r="E929" s="28">
        <f t="shared" si="295"/>
        <v>46099</v>
      </c>
      <c r="F929" s="28">
        <f t="shared" si="296"/>
        <v>46106</v>
      </c>
      <c r="G929" s="28">
        <f t="shared" si="297"/>
        <v>46112</v>
      </c>
      <c r="H929" s="28">
        <f t="shared" si="298"/>
        <v>46100</v>
      </c>
      <c r="I929" s="28">
        <f t="shared" si="299"/>
        <v>46107</v>
      </c>
      <c r="J929" s="28">
        <v>46124</v>
      </c>
      <c r="K929" s="1">
        <f t="shared" si="300"/>
        <v>32</v>
      </c>
      <c r="L929" s="1">
        <v>12.28</v>
      </c>
      <c r="M929" s="1">
        <v>10.11</v>
      </c>
      <c r="N929" s="1">
        <f t="shared" si="301"/>
        <v>2.17</v>
      </c>
      <c r="O929" s="1" t="s">
        <v>379</v>
      </c>
    </row>
    <row r="930" spans="1:15" x14ac:dyDescent="0.25">
      <c r="A930" s="28">
        <v>46092</v>
      </c>
      <c r="B930" s="1" t="s">
        <v>382</v>
      </c>
      <c r="C930" s="1" t="s">
        <v>477</v>
      </c>
      <c r="D930" s="28">
        <f t="shared" si="294"/>
        <v>46115</v>
      </c>
      <c r="E930" s="28">
        <f t="shared" si="295"/>
        <v>46099</v>
      </c>
      <c r="F930" s="28">
        <f t="shared" si="296"/>
        <v>46106</v>
      </c>
      <c r="G930" s="28">
        <f t="shared" si="297"/>
        <v>46112</v>
      </c>
      <c r="H930" s="28">
        <f t="shared" si="298"/>
        <v>46100</v>
      </c>
      <c r="I930" s="28">
        <f t="shared" si="299"/>
        <v>46107</v>
      </c>
      <c r="J930" s="28">
        <v>46124</v>
      </c>
      <c r="K930" s="1">
        <f t="shared" si="300"/>
        <v>32</v>
      </c>
      <c r="L930" s="1">
        <v>10.51</v>
      </c>
      <c r="M930" s="1">
        <v>8.76</v>
      </c>
      <c r="N930" s="1">
        <f t="shared" si="301"/>
        <v>1.75</v>
      </c>
      <c r="O930" s="1" t="s">
        <v>379</v>
      </c>
    </row>
    <row r="931" spans="1:15" x14ac:dyDescent="0.25">
      <c r="A931" s="28">
        <v>46092</v>
      </c>
      <c r="B931" s="1" t="s">
        <v>282</v>
      </c>
      <c r="C931" s="1" t="s">
        <v>491</v>
      </c>
      <c r="D931" s="28">
        <f t="shared" si="294"/>
        <v>46115</v>
      </c>
      <c r="E931" s="28">
        <f t="shared" si="295"/>
        <v>46099</v>
      </c>
      <c r="F931" s="28">
        <f t="shared" si="296"/>
        <v>46106</v>
      </c>
      <c r="G931" s="28">
        <f t="shared" si="297"/>
        <v>46112</v>
      </c>
      <c r="H931" s="28">
        <f t="shared" si="298"/>
        <v>46100</v>
      </c>
      <c r="I931" s="28">
        <f t="shared" si="299"/>
        <v>46107</v>
      </c>
      <c r="J931" s="28">
        <v>46120</v>
      </c>
      <c r="K931" s="1">
        <f t="shared" si="300"/>
        <v>28</v>
      </c>
      <c r="L931" s="1">
        <v>14.27</v>
      </c>
      <c r="M931" s="1">
        <v>12.54</v>
      </c>
      <c r="N931" s="1">
        <f t="shared" si="301"/>
        <v>1.7300000000000004</v>
      </c>
      <c r="O931" s="1" t="s">
        <v>379</v>
      </c>
    </row>
    <row r="932" spans="1:15" x14ac:dyDescent="0.25">
      <c r="A932" s="28">
        <v>46092</v>
      </c>
      <c r="B932" s="1" t="s">
        <v>283</v>
      </c>
      <c r="C932" s="1" t="s">
        <v>492</v>
      </c>
      <c r="D932" s="28">
        <f t="shared" si="294"/>
        <v>46115</v>
      </c>
      <c r="E932" s="28">
        <f t="shared" si="295"/>
        <v>46099</v>
      </c>
      <c r="F932" s="28">
        <f t="shared" si="296"/>
        <v>46106</v>
      </c>
      <c r="G932" s="28">
        <f t="shared" si="297"/>
        <v>46112</v>
      </c>
      <c r="H932" s="28">
        <f t="shared" si="298"/>
        <v>46100</v>
      </c>
      <c r="I932" s="28">
        <f t="shared" si="299"/>
        <v>46107</v>
      </c>
      <c r="J932" s="28">
        <v>46120</v>
      </c>
      <c r="K932" s="1">
        <f t="shared" si="300"/>
        <v>28</v>
      </c>
      <c r="L932" s="1">
        <v>14.52</v>
      </c>
      <c r="M932" s="1">
        <v>12.73</v>
      </c>
      <c r="N932" s="1">
        <f t="shared" si="301"/>
        <v>1.7899999999999991</v>
      </c>
      <c r="O932" s="1" t="s">
        <v>379</v>
      </c>
    </row>
    <row r="933" spans="1:15" x14ac:dyDescent="0.25">
      <c r="A933" s="28">
        <v>46092</v>
      </c>
      <c r="B933" s="1" t="s">
        <v>284</v>
      </c>
      <c r="C933" s="1" t="s">
        <v>493</v>
      </c>
      <c r="D933" s="28">
        <f t="shared" si="294"/>
        <v>46115</v>
      </c>
      <c r="E933" s="28">
        <f t="shared" si="295"/>
        <v>46099</v>
      </c>
      <c r="F933" s="28">
        <f t="shared" si="296"/>
        <v>46106</v>
      </c>
      <c r="G933" s="28">
        <f t="shared" si="297"/>
        <v>46112</v>
      </c>
      <c r="H933" s="28">
        <f t="shared" si="298"/>
        <v>46100</v>
      </c>
      <c r="I933" s="28">
        <f t="shared" si="299"/>
        <v>46107</v>
      </c>
      <c r="J933" s="28">
        <v>46124</v>
      </c>
      <c r="K933" s="1">
        <f t="shared" si="300"/>
        <v>32</v>
      </c>
      <c r="L933" s="1">
        <v>11.26</v>
      </c>
      <c r="M933" s="1">
        <v>9.31</v>
      </c>
      <c r="N933" s="1">
        <f t="shared" si="301"/>
        <v>1.9499999999999993</v>
      </c>
      <c r="O933" s="1" t="s">
        <v>379</v>
      </c>
    </row>
    <row r="934" spans="1:15" x14ac:dyDescent="0.25">
      <c r="A934" s="28">
        <v>46092</v>
      </c>
      <c r="B934" s="1" t="s">
        <v>285</v>
      </c>
      <c r="C934" s="1" t="s">
        <v>437</v>
      </c>
      <c r="D934" s="28">
        <f t="shared" si="294"/>
        <v>46115</v>
      </c>
      <c r="E934" s="28">
        <f t="shared" si="295"/>
        <v>46099</v>
      </c>
      <c r="F934" s="28">
        <f t="shared" si="296"/>
        <v>46106</v>
      </c>
      <c r="G934" s="28">
        <f t="shared" si="297"/>
        <v>46112</v>
      </c>
      <c r="H934" s="28">
        <f t="shared" si="298"/>
        <v>46100</v>
      </c>
      <c r="I934" s="28">
        <f t="shared" si="299"/>
        <v>46107</v>
      </c>
      <c r="J934" s="28">
        <v>46124</v>
      </c>
      <c r="K934" s="1">
        <f t="shared" si="300"/>
        <v>32</v>
      </c>
      <c r="L934" s="1">
        <v>11.71</v>
      </c>
      <c r="M934" s="1">
        <v>9.84</v>
      </c>
      <c r="N934" s="1">
        <f t="shared" si="301"/>
        <v>1.870000000000001</v>
      </c>
      <c r="O934" s="1" t="s">
        <v>379</v>
      </c>
    </row>
    <row r="935" spans="1:15" x14ac:dyDescent="0.25">
      <c r="A935" s="28">
        <v>46092</v>
      </c>
      <c r="B935" s="1" t="s">
        <v>286</v>
      </c>
      <c r="C935" s="1" t="s">
        <v>438</v>
      </c>
      <c r="D935" s="28">
        <f t="shared" si="294"/>
        <v>46115</v>
      </c>
      <c r="E935" s="28">
        <f t="shared" si="295"/>
        <v>46099</v>
      </c>
      <c r="F935" s="28">
        <f t="shared" si="296"/>
        <v>46106</v>
      </c>
      <c r="G935" s="28">
        <f t="shared" si="297"/>
        <v>46112</v>
      </c>
      <c r="H935" s="28">
        <f t="shared" si="298"/>
        <v>46100</v>
      </c>
      <c r="I935" s="28">
        <f t="shared" si="299"/>
        <v>46107</v>
      </c>
      <c r="J935" s="28">
        <v>46124</v>
      </c>
      <c r="K935" s="1">
        <f t="shared" si="300"/>
        <v>32</v>
      </c>
      <c r="L935" s="1">
        <v>10.16</v>
      </c>
      <c r="M935" s="1">
        <v>8.06</v>
      </c>
      <c r="N935" s="1">
        <f t="shared" si="301"/>
        <v>2.0999999999999996</v>
      </c>
      <c r="O935" s="1" t="s">
        <v>379</v>
      </c>
    </row>
    <row r="936" spans="1:15" x14ac:dyDescent="0.25">
      <c r="A936" s="28">
        <v>46093</v>
      </c>
      <c r="B936" s="1" t="s">
        <v>339</v>
      </c>
      <c r="C936" s="1" t="s">
        <v>439</v>
      </c>
      <c r="D936" s="28">
        <f t="shared" si="294"/>
        <v>46116</v>
      </c>
      <c r="E936" s="28">
        <f t="shared" si="295"/>
        <v>46100</v>
      </c>
      <c r="F936" s="28">
        <f t="shared" si="296"/>
        <v>46107</v>
      </c>
      <c r="G936" s="28">
        <f t="shared" si="297"/>
        <v>46113</v>
      </c>
      <c r="H936" s="28">
        <f t="shared" si="298"/>
        <v>46101</v>
      </c>
      <c r="I936" s="28">
        <f t="shared" si="299"/>
        <v>46108</v>
      </c>
      <c r="J936" s="28">
        <v>46127</v>
      </c>
      <c r="K936" s="1">
        <f t="shared" si="300"/>
        <v>34</v>
      </c>
      <c r="L936" s="1">
        <v>13.52</v>
      </c>
      <c r="M936" s="1">
        <v>11.21</v>
      </c>
      <c r="N936" s="1">
        <f t="shared" si="301"/>
        <v>2.3099999999999987</v>
      </c>
      <c r="O936" s="1" t="s">
        <v>379</v>
      </c>
    </row>
    <row r="937" spans="1:15" x14ac:dyDescent="0.25">
      <c r="A937" s="28">
        <v>46093</v>
      </c>
      <c r="B937" s="1" t="s">
        <v>340</v>
      </c>
      <c r="C937" s="1" t="s">
        <v>440</v>
      </c>
      <c r="D937" s="28">
        <f t="shared" si="294"/>
        <v>46116</v>
      </c>
      <c r="E937" s="28">
        <f t="shared" si="295"/>
        <v>46100</v>
      </c>
      <c r="F937" s="28">
        <f t="shared" si="296"/>
        <v>46107</v>
      </c>
      <c r="G937" s="28">
        <f t="shared" si="297"/>
        <v>46113</v>
      </c>
      <c r="H937" s="28">
        <f t="shared" si="298"/>
        <v>46101</v>
      </c>
      <c r="I937" s="28">
        <f t="shared" si="299"/>
        <v>46108</v>
      </c>
      <c r="J937" s="28">
        <v>46127</v>
      </c>
      <c r="K937" s="1">
        <f t="shared" si="300"/>
        <v>34</v>
      </c>
      <c r="L937" s="1">
        <v>12.31</v>
      </c>
      <c r="M937" s="1">
        <v>10.54</v>
      </c>
      <c r="N937" s="1">
        <f t="shared" si="301"/>
        <v>1.7700000000000014</v>
      </c>
      <c r="O937" s="1" t="s">
        <v>379</v>
      </c>
    </row>
    <row r="938" spans="1:15" x14ac:dyDescent="0.25">
      <c r="A938" s="28">
        <v>46093</v>
      </c>
      <c r="B938" s="1" t="s">
        <v>341</v>
      </c>
      <c r="C938" s="1" t="s">
        <v>441</v>
      </c>
      <c r="D938" s="28">
        <f t="shared" si="294"/>
        <v>46116</v>
      </c>
      <c r="E938" s="28">
        <f t="shared" si="295"/>
        <v>46100</v>
      </c>
      <c r="F938" s="28">
        <f t="shared" si="296"/>
        <v>46107</v>
      </c>
      <c r="G938" s="28">
        <f t="shared" si="297"/>
        <v>46113</v>
      </c>
      <c r="H938" s="28">
        <f t="shared" si="298"/>
        <v>46101</v>
      </c>
      <c r="I938" s="28">
        <f t="shared" si="299"/>
        <v>46108</v>
      </c>
      <c r="J938" s="28">
        <v>46126</v>
      </c>
      <c r="K938" s="1">
        <f t="shared" si="300"/>
        <v>33</v>
      </c>
      <c r="L938" s="1">
        <v>12.21</v>
      </c>
      <c r="M938" s="1">
        <v>10.07</v>
      </c>
      <c r="N938" s="1">
        <f t="shared" si="301"/>
        <v>2.1400000000000006</v>
      </c>
      <c r="O938" s="1" t="s">
        <v>379</v>
      </c>
    </row>
    <row r="939" spans="1:15" x14ac:dyDescent="0.25">
      <c r="A939" s="28">
        <v>46093</v>
      </c>
      <c r="B939" s="1" t="s">
        <v>342</v>
      </c>
      <c r="C939" s="1" t="s">
        <v>442</v>
      </c>
      <c r="D939" s="28">
        <f t="shared" si="294"/>
        <v>46116</v>
      </c>
      <c r="E939" s="28">
        <f t="shared" si="295"/>
        <v>46100</v>
      </c>
      <c r="F939" s="28">
        <f t="shared" si="296"/>
        <v>46107</v>
      </c>
      <c r="G939" s="28">
        <f t="shared" si="297"/>
        <v>46113</v>
      </c>
      <c r="H939" s="28">
        <f t="shared" si="298"/>
        <v>46101</v>
      </c>
      <c r="I939" s="28">
        <f t="shared" si="299"/>
        <v>46108</v>
      </c>
      <c r="J939" s="28">
        <v>46126</v>
      </c>
      <c r="K939" s="1">
        <f t="shared" si="300"/>
        <v>33</v>
      </c>
      <c r="L939" s="1">
        <v>10.73</v>
      </c>
      <c r="M939" s="1">
        <v>9.35</v>
      </c>
      <c r="N939" s="1">
        <f t="shared" si="301"/>
        <v>1.3800000000000008</v>
      </c>
      <c r="O939" s="1" t="s">
        <v>379</v>
      </c>
    </row>
    <row r="940" spans="1:15" x14ac:dyDescent="0.25">
      <c r="A940" s="28">
        <v>46093</v>
      </c>
      <c r="B940" s="1" t="s">
        <v>343</v>
      </c>
      <c r="C940" s="1" t="s">
        <v>443</v>
      </c>
      <c r="D940" s="28">
        <f t="shared" si="294"/>
        <v>46116</v>
      </c>
      <c r="E940" s="28">
        <f t="shared" si="295"/>
        <v>46100</v>
      </c>
      <c r="F940" s="28">
        <f t="shared" si="296"/>
        <v>46107</v>
      </c>
      <c r="G940" s="28">
        <f t="shared" si="297"/>
        <v>46113</v>
      </c>
      <c r="H940" s="28">
        <f t="shared" si="298"/>
        <v>46101</v>
      </c>
      <c r="I940" s="28">
        <f t="shared" si="299"/>
        <v>46108</v>
      </c>
      <c r="J940" s="28">
        <v>46125</v>
      </c>
      <c r="K940" s="1">
        <f t="shared" si="300"/>
        <v>32</v>
      </c>
      <c r="L940" s="1">
        <v>10.19</v>
      </c>
      <c r="M940" s="1">
        <v>8.4700000000000006</v>
      </c>
      <c r="N940" s="1">
        <f t="shared" si="301"/>
        <v>1.7199999999999989</v>
      </c>
      <c r="O940" s="1" t="s">
        <v>379</v>
      </c>
    </row>
    <row r="941" spans="1:15" x14ac:dyDescent="0.25">
      <c r="A941" s="28">
        <v>46093</v>
      </c>
      <c r="B941" s="1" t="s">
        <v>344</v>
      </c>
      <c r="C941" s="1" t="s">
        <v>444</v>
      </c>
      <c r="D941" s="28">
        <f t="shared" si="294"/>
        <v>46116</v>
      </c>
      <c r="E941" s="28">
        <f t="shared" si="295"/>
        <v>46100</v>
      </c>
      <c r="F941" s="28">
        <f t="shared" si="296"/>
        <v>46107</v>
      </c>
      <c r="G941" s="28">
        <f t="shared" si="297"/>
        <v>46113</v>
      </c>
      <c r="H941" s="28">
        <f t="shared" si="298"/>
        <v>46101</v>
      </c>
      <c r="I941" s="28">
        <f t="shared" si="299"/>
        <v>46108</v>
      </c>
      <c r="J941" s="28">
        <v>46125</v>
      </c>
      <c r="K941" s="1">
        <f t="shared" si="300"/>
        <v>32</v>
      </c>
      <c r="L941" s="1">
        <v>10.65</v>
      </c>
      <c r="M941" s="1">
        <v>8.81</v>
      </c>
      <c r="N941" s="1">
        <f t="shared" si="301"/>
        <v>1.8399999999999999</v>
      </c>
      <c r="O941" s="1" t="s">
        <v>379</v>
      </c>
    </row>
    <row r="942" spans="1:15" x14ac:dyDescent="0.25">
      <c r="A942" s="28">
        <v>46093</v>
      </c>
      <c r="B942" s="1" t="s">
        <v>345</v>
      </c>
      <c r="C942" s="1" t="s">
        <v>445</v>
      </c>
      <c r="D942" s="28">
        <f t="shared" si="294"/>
        <v>46116</v>
      </c>
      <c r="E942" s="28">
        <f t="shared" si="295"/>
        <v>46100</v>
      </c>
      <c r="F942" s="28">
        <f t="shared" si="296"/>
        <v>46107</v>
      </c>
      <c r="G942" s="28">
        <f t="shared" si="297"/>
        <v>46113</v>
      </c>
      <c r="H942" s="28">
        <f t="shared" si="298"/>
        <v>46101</v>
      </c>
      <c r="I942" s="28">
        <f t="shared" si="299"/>
        <v>46108</v>
      </c>
      <c r="J942" s="28">
        <v>46125</v>
      </c>
      <c r="K942" s="1">
        <f t="shared" si="300"/>
        <v>32</v>
      </c>
      <c r="L942" s="1">
        <v>11.42</v>
      </c>
      <c r="M942" s="1">
        <v>9.1199999999999992</v>
      </c>
      <c r="N942" s="1">
        <f t="shared" si="301"/>
        <v>2.3000000000000007</v>
      </c>
      <c r="O942" s="1" t="s">
        <v>379</v>
      </c>
    </row>
    <row r="943" spans="1:15" x14ac:dyDescent="0.25">
      <c r="A943" s="28">
        <v>46094</v>
      </c>
      <c r="B943" s="1" t="s">
        <v>332</v>
      </c>
      <c r="C943" s="1" t="s">
        <v>494</v>
      </c>
      <c r="D943" s="28">
        <f t="shared" si="294"/>
        <v>46117</v>
      </c>
      <c r="E943" s="28">
        <f t="shared" si="295"/>
        <v>46101</v>
      </c>
      <c r="F943" s="28">
        <f t="shared" si="296"/>
        <v>46108</v>
      </c>
      <c r="G943" s="28">
        <f t="shared" si="297"/>
        <v>46114</v>
      </c>
      <c r="H943" s="28">
        <f t="shared" si="298"/>
        <v>46102</v>
      </c>
      <c r="I943" s="28">
        <f t="shared" si="299"/>
        <v>46109</v>
      </c>
      <c r="J943" s="28">
        <v>46128</v>
      </c>
      <c r="K943" s="1">
        <f t="shared" si="300"/>
        <v>34</v>
      </c>
      <c r="L943" s="1">
        <v>12.56</v>
      </c>
      <c r="M943" s="1">
        <v>10.31</v>
      </c>
      <c r="N943" s="1">
        <f t="shared" si="301"/>
        <v>2.25</v>
      </c>
      <c r="O943" s="1" t="s">
        <v>379</v>
      </c>
    </row>
    <row r="944" spans="1:15" x14ac:dyDescent="0.25">
      <c r="A944" s="28">
        <v>46094</v>
      </c>
      <c r="B944" s="1" t="s">
        <v>333</v>
      </c>
      <c r="C944" s="1" t="s">
        <v>495</v>
      </c>
      <c r="D944" s="28">
        <f t="shared" si="294"/>
        <v>46117</v>
      </c>
      <c r="E944" s="28">
        <f t="shared" si="295"/>
        <v>46101</v>
      </c>
      <c r="F944" s="28">
        <f t="shared" si="296"/>
        <v>46108</v>
      </c>
      <c r="G944" s="28">
        <f t="shared" si="297"/>
        <v>46114</v>
      </c>
      <c r="H944" s="28">
        <f t="shared" si="298"/>
        <v>46102</v>
      </c>
      <c r="I944" s="28">
        <f t="shared" si="299"/>
        <v>46109</v>
      </c>
      <c r="J944" s="28">
        <v>46127</v>
      </c>
      <c r="K944" s="1">
        <f t="shared" si="300"/>
        <v>33</v>
      </c>
      <c r="L944" s="1">
        <v>11.68</v>
      </c>
      <c r="M944" s="1">
        <v>9.5500000000000007</v>
      </c>
      <c r="N944" s="1">
        <f t="shared" si="301"/>
        <v>2.129999999999999</v>
      </c>
      <c r="O944" s="1" t="s">
        <v>379</v>
      </c>
    </row>
    <row r="945" spans="1:15" x14ac:dyDescent="0.25">
      <c r="A945" s="28">
        <v>46094</v>
      </c>
      <c r="B945" s="1" t="s">
        <v>334</v>
      </c>
      <c r="C945" s="1" t="s">
        <v>496</v>
      </c>
      <c r="D945" s="28">
        <f t="shared" si="294"/>
        <v>46117</v>
      </c>
      <c r="E945" s="28">
        <f t="shared" si="295"/>
        <v>46101</v>
      </c>
      <c r="F945" s="28">
        <f t="shared" si="296"/>
        <v>46108</v>
      </c>
      <c r="G945" s="28">
        <f t="shared" si="297"/>
        <v>46114</v>
      </c>
      <c r="H945" s="28">
        <f t="shared" si="298"/>
        <v>46102</v>
      </c>
      <c r="I945" s="28">
        <f t="shared" si="299"/>
        <v>46109</v>
      </c>
      <c r="J945" s="28">
        <v>46127</v>
      </c>
      <c r="K945" s="1">
        <f t="shared" si="300"/>
        <v>33</v>
      </c>
      <c r="L945" s="1">
        <v>12.45</v>
      </c>
      <c r="M945" s="1">
        <v>10.54</v>
      </c>
      <c r="N945" s="1">
        <f t="shared" si="301"/>
        <v>1.9100000000000001</v>
      </c>
      <c r="O945" s="1" t="s">
        <v>379</v>
      </c>
    </row>
    <row r="946" spans="1:15" x14ac:dyDescent="0.25">
      <c r="A946" s="28">
        <v>46094</v>
      </c>
      <c r="B946" s="1" t="s">
        <v>335</v>
      </c>
      <c r="C946" s="1" t="s">
        <v>497</v>
      </c>
      <c r="D946" s="28">
        <f t="shared" si="294"/>
        <v>46117</v>
      </c>
      <c r="E946" s="28">
        <f t="shared" si="295"/>
        <v>46101</v>
      </c>
      <c r="F946" s="28">
        <f t="shared" si="296"/>
        <v>46108</v>
      </c>
      <c r="G946" s="28">
        <f t="shared" si="297"/>
        <v>46114</v>
      </c>
      <c r="H946" s="28">
        <f t="shared" si="298"/>
        <v>46102</v>
      </c>
      <c r="I946" s="28">
        <f t="shared" si="299"/>
        <v>46109</v>
      </c>
      <c r="J946" s="28">
        <v>46127</v>
      </c>
      <c r="K946" s="1">
        <f t="shared" si="300"/>
        <v>33</v>
      </c>
      <c r="L946" s="1">
        <v>11.87</v>
      </c>
      <c r="M946" s="1">
        <v>9.7200000000000006</v>
      </c>
      <c r="N946" s="1">
        <f t="shared" si="301"/>
        <v>2.1499999999999986</v>
      </c>
      <c r="O946" s="1" t="s">
        <v>379</v>
      </c>
    </row>
    <row r="947" spans="1:15" x14ac:dyDescent="0.25">
      <c r="A947" s="28">
        <v>46094</v>
      </c>
      <c r="B947" s="1" t="s">
        <v>336</v>
      </c>
      <c r="C947" s="1" t="s">
        <v>498</v>
      </c>
      <c r="D947" s="28">
        <f t="shared" si="294"/>
        <v>46117</v>
      </c>
      <c r="E947" s="28">
        <f t="shared" si="295"/>
        <v>46101</v>
      </c>
      <c r="F947" s="28">
        <f t="shared" si="296"/>
        <v>46108</v>
      </c>
      <c r="G947" s="28">
        <f t="shared" si="297"/>
        <v>46114</v>
      </c>
      <c r="H947" s="28">
        <f t="shared" si="298"/>
        <v>46102</v>
      </c>
      <c r="I947" s="28">
        <f t="shared" si="299"/>
        <v>46109</v>
      </c>
      <c r="J947" s="28">
        <v>46127</v>
      </c>
      <c r="K947" s="1">
        <f t="shared" si="300"/>
        <v>33</v>
      </c>
      <c r="L947" s="1">
        <v>12.53</v>
      </c>
      <c r="M947" s="1">
        <v>10.43</v>
      </c>
      <c r="N947" s="1">
        <f t="shared" si="301"/>
        <v>2.0999999999999996</v>
      </c>
      <c r="O947" s="1" t="s">
        <v>379</v>
      </c>
    </row>
    <row r="948" spans="1:15" x14ac:dyDescent="0.25">
      <c r="A948" s="28">
        <v>46094</v>
      </c>
      <c r="B948" s="1" t="s">
        <v>337</v>
      </c>
      <c r="C948" s="1" t="s">
        <v>499</v>
      </c>
      <c r="D948" s="28">
        <f t="shared" si="294"/>
        <v>46117</v>
      </c>
      <c r="E948" s="28">
        <f t="shared" si="295"/>
        <v>46101</v>
      </c>
      <c r="F948" s="28">
        <f t="shared" si="296"/>
        <v>46108</v>
      </c>
      <c r="G948" s="28">
        <f t="shared" si="297"/>
        <v>46114</v>
      </c>
      <c r="H948" s="28">
        <f t="shared" si="298"/>
        <v>46102</v>
      </c>
      <c r="I948" s="28">
        <f t="shared" si="299"/>
        <v>46109</v>
      </c>
      <c r="J948" s="28">
        <v>46127</v>
      </c>
      <c r="K948" s="1">
        <f t="shared" si="300"/>
        <v>33</v>
      </c>
      <c r="L948" s="1">
        <v>11.83</v>
      </c>
      <c r="M948" s="1">
        <v>9.74</v>
      </c>
      <c r="N948" s="1">
        <f t="shared" si="301"/>
        <v>2.09</v>
      </c>
      <c r="O948" s="1" t="s">
        <v>379</v>
      </c>
    </row>
    <row r="949" spans="1:15" x14ac:dyDescent="0.25">
      <c r="A949" s="28">
        <v>46094</v>
      </c>
      <c r="B949" s="1" t="s">
        <v>338</v>
      </c>
      <c r="C949" s="1" t="s">
        <v>500</v>
      </c>
      <c r="D949" s="28">
        <f t="shared" si="294"/>
        <v>46117</v>
      </c>
      <c r="E949" s="28">
        <f t="shared" si="295"/>
        <v>46101</v>
      </c>
      <c r="F949" s="28">
        <f t="shared" si="296"/>
        <v>46108</v>
      </c>
      <c r="G949" s="28">
        <f t="shared" si="297"/>
        <v>46114</v>
      </c>
      <c r="H949" s="28">
        <f t="shared" si="298"/>
        <v>46102</v>
      </c>
      <c r="I949" s="28">
        <f t="shared" si="299"/>
        <v>46109</v>
      </c>
      <c r="J949" s="28">
        <v>46127</v>
      </c>
      <c r="K949" s="1">
        <f t="shared" si="300"/>
        <v>33</v>
      </c>
      <c r="L949" s="1">
        <v>11.16</v>
      </c>
      <c r="M949" s="1">
        <v>9.6300000000000008</v>
      </c>
      <c r="N949" s="1">
        <f t="shared" si="301"/>
        <v>1.5299999999999994</v>
      </c>
      <c r="O949" s="1" t="s">
        <v>379</v>
      </c>
    </row>
    <row r="950" spans="1:15" x14ac:dyDescent="0.25">
      <c r="A950" s="28">
        <v>46095</v>
      </c>
      <c r="B950" s="1" t="s">
        <v>324</v>
      </c>
      <c r="C950" s="1" t="s">
        <v>501</v>
      </c>
      <c r="D950" s="28">
        <f t="shared" si="294"/>
        <v>46118</v>
      </c>
      <c r="E950" s="28">
        <f t="shared" si="295"/>
        <v>46102</v>
      </c>
      <c r="F950" s="28">
        <f t="shared" si="296"/>
        <v>46109</v>
      </c>
      <c r="G950" s="28">
        <f t="shared" si="297"/>
        <v>46115</v>
      </c>
      <c r="H950" s="28">
        <f t="shared" si="298"/>
        <v>46103</v>
      </c>
      <c r="I950" s="28">
        <f t="shared" si="299"/>
        <v>46110</v>
      </c>
      <c r="J950" s="28">
        <v>46129</v>
      </c>
      <c r="K950" s="1">
        <f t="shared" si="300"/>
        <v>34</v>
      </c>
      <c r="L950" s="1">
        <v>12.27</v>
      </c>
      <c r="M950" s="1">
        <v>10.16</v>
      </c>
      <c r="N950" s="1">
        <f t="shared" si="301"/>
        <v>2.1099999999999994</v>
      </c>
      <c r="O950" s="1" t="s">
        <v>379</v>
      </c>
    </row>
    <row r="951" spans="1:15" x14ac:dyDescent="0.25">
      <c r="A951" s="28">
        <v>46095</v>
      </c>
      <c r="B951" s="1" t="s">
        <v>325</v>
      </c>
      <c r="C951" s="1" t="s">
        <v>502</v>
      </c>
      <c r="D951" s="28">
        <f t="shared" si="294"/>
        <v>46118</v>
      </c>
      <c r="E951" s="28">
        <f t="shared" si="295"/>
        <v>46102</v>
      </c>
      <c r="F951" s="28">
        <f t="shared" si="296"/>
        <v>46109</v>
      </c>
      <c r="G951" s="28">
        <f t="shared" si="297"/>
        <v>46115</v>
      </c>
      <c r="H951" s="28">
        <f t="shared" si="298"/>
        <v>46103</v>
      </c>
      <c r="I951" s="28">
        <f t="shared" si="299"/>
        <v>46110</v>
      </c>
      <c r="J951" s="28">
        <v>46128</v>
      </c>
      <c r="K951" s="1">
        <f t="shared" si="300"/>
        <v>33</v>
      </c>
      <c r="L951" s="1">
        <v>12.41</v>
      </c>
      <c r="M951" s="1">
        <v>10.52</v>
      </c>
      <c r="N951" s="1">
        <f t="shared" si="301"/>
        <v>1.8900000000000006</v>
      </c>
      <c r="O951" s="1" t="s">
        <v>379</v>
      </c>
    </row>
    <row r="952" spans="1:15" x14ac:dyDescent="0.25">
      <c r="A952" s="28">
        <v>46095</v>
      </c>
      <c r="B952" s="1" t="s">
        <v>326</v>
      </c>
      <c r="C952" s="1" t="s">
        <v>503</v>
      </c>
      <c r="D952" s="28">
        <f t="shared" si="294"/>
        <v>46118</v>
      </c>
      <c r="E952" s="28">
        <f t="shared" si="295"/>
        <v>46102</v>
      </c>
      <c r="F952" s="28">
        <f t="shared" si="296"/>
        <v>46109</v>
      </c>
      <c r="G952" s="28">
        <f t="shared" si="297"/>
        <v>46115</v>
      </c>
      <c r="H952" s="28">
        <f t="shared" si="298"/>
        <v>46103</v>
      </c>
      <c r="I952" s="28">
        <f t="shared" si="299"/>
        <v>46110</v>
      </c>
      <c r="J952" s="28">
        <v>46128</v>
      </c>
      <c r="K952" s="1">
        <f t="shared" si="300"/>
        <v>33</v>
      </c>
      <c r="L952" s="1">
        <v>11.63</v>
      </c>
      <c r="M952" s="1">
        <v>9.51</v>
      </c>
      <c r="N952" s="1">
        <f t="shared" si="301"/>
        <v>2.120000000000001</v>
      </c>
      <c r="O952" s="1" t="s">
        <v>379</v>
      </c>
    </row>
    <row r="953" spans="1:15" x14ac:dyDescent="0.25">
      <c r="A953" s="28">
        <v>46095</v>
      </c>
      <c r="B953" s="1" t="s">
        <v>327</v>
      </c>
      <c r="C953" s="1" t="s">
        <v>504</v>
      </c>
      <c r="D953" s="28">
        <f t="shared" si="294"/>
        <v>46118</v>
      </c>
      <c r="E953" s="28">
        <f t="shared" si="295"/>
        <v>46102</v>
      </c>
      <c r="F953" s="28">
        <f t="shared" si="296"/>
        <v>46109</v>
      </c>
      <c r="G953" s="28">
        <f t="shared" si="297"/>
        <v>46115</v>
      </c>
      <c r="H953" s="28">
        <f t="shared" si="298"/>
        <v>46103</v>
      </c>
      <c r="I953" s="28">
        <f t="shared" si="299"/>
        <v>46110</v>
      </c>
      <c r="J953" s="28">
        <v>46128</v>
      </c>
      <c r="K953" s="1">
        <f t="shared" si="300"/>
        <v>33</v>
      </c>
      <c r="L953" s="1">
        <v>12.98</v>
      </c>
      <c r="M953" s="1">
        <v>11.12</v>
      </c>
      <c r="N953" s="1">
        <f t="shared" si="301"/>
        <v>1.8600000000000012</v>
      </c>
      <c r="O953" s="1" t="s">
        <v>379</v>
      </c>
    </row>
    <row r="954" spans="1:15" x14ac:dyDescent="0.25">
      <c r="A954" s="28">
        <v>46095</v>
      </c>
      <c r="B954" s="1" t="s">
        <v>328</v>
      </c>
      <c r="C954" s="1" t="s">
        <v>505</v>
      </c>
      <c r="D954" s="28">
        <f t="shared" si="294"/>
        <v>46118</v>
      </c>
      <c r="E954" s="28">
        <f t="shared" si="295"/>
        <v>46102</v>
      </c>
      <c r="F954" s="28">
        <f t="shared" si="296"/>
        <v>46109</v>
      </c>
      <c r="G954" s="28">
        <f t="shared" si="297"/>
        <v>46115</v>
      </c>
      <c r="H954" s="28">
        <f t="shared" si="298"/>
        <v>46103</v>
      </c>
      <c r="I954" s="28">
        <f t="shared" si="299"/>
        <v>46110</v>
      </c>
      <c r="J954" s="28">
        <v>46128</v>
      </c>
      <c r="K954" s="1">
        <f t="shared" si="300"/>
        <v>33</v>
      </c>
      <c r="L954" s="1">
        <v>11.16</v>
      </c>
      <c r="M954" s="1">
        <v>9.3800000000000008</v>
      </c>
      <c r="N954" s="1">
        <f t="shared" si="301"/>
        <v>1.7799999999999994</v>
      </c>
      <c r="O954" s="1" t="s">
        <v>379</v>
      </c>
    </row>
    <row r="955" spans="1:15" x14ac:dyDescent="0.25">
      <c r="A955" s="28">
        <v>46095</v>
      </c>
      <c r="B955" s="1" t="s">
        <v>329</v>
      </c>
      <c r="C955" s="1" t="s">
        <v>506</v>
      </c>
      <c r="D955" s="28">
        <f t="shared" si="294"/>
        <v>46118</v>
      </c>
      <c r="E955" s="28">
        <f t="shared" si="295"/>
        <v>46102</v>
      </c>
      <c r="F955" s="28">
        <f t="shared" si="296"/>
        <v>46109</v>
      </c>
      <c r="G955" s="28">
        <f t="shared" si="297"/>
        <v>46115</v>
      </c>
      <c r="H955" s="28">
        <f t="shared" si="298"/>
        <v>46103</v>
      </c>
      <c r="I955" s="28">
        <f t="shared" si="299"/>
        <v>46110</v>
      </c>
      <c r="J955" s="28">
        <v>46128</v>
      </c>
      <c r="K955" s="1">
        <f t="shared" si="300"/>
        <v>33</v>
      </c>
      <c r="L955" s="1">
        <v>12.47</v>
      </c>
      <c r="M955" s="1">
        <v>10.14</v>
      </c>
      <c r="N955" s="1">
        <f t="shared" si="301"/>
        <v>2.33</v>
      </c>
      <c r="O955" s="1" t="s">
        <v>379</v>
      </c>
    </row>
    <row r="956" spans="1:15" x14ac:dyDescent="0.25">
      <c r="A956" s="28">
        <v>46095</v>
      </c>
      <c r="B956" s="1" t="s">
        <v>330</v>
      </c>
      <c r="C956" s="1" t="s">
        <v>507</v>
      </c>
      <c r="D956" s="28">
        <f t="shared" si="294"/>
        <v>46118</v>
      </c>
      <c r="E956" s="28">
        <f t="shared" si="295"/>
        <v>46102</v>
      </c>
      <c r="F956" s="28">
        <f t="shared" si="296"/>
        <v>46109</v>
      </c>
      <c r="G956" s="28">
        <f t="shared" si="297"/>
        <v>46115</v>
      </c>
      <c r="H956" s="28">
        <f t="shared" si="298"/>
        <v>46103</v>
      </c>
      <c r="I956" s="28">
        <f t="shared" si="299"/>
        <v>46110</v>
      </c>
      <c r="J956" s="28">
        <v>46128</v>
      </c>
      <c r="K956" s="1">
        <f t="shared" si="300"/>
        <v>33</v>
      </c>
      <c r="L956" s="1">
        <v>11.32</v>
      </c>
      <c r="M956" s="1">
        <v>9.57</v>
      </c>
      <c r="N956" s="1">
        <f t="shared" si="301"/>
        <v>1.75</v>
      </c>
      <c r="O956" s="1" t="s">
        <v>379</v>
      </c>
    </row>
    <row r="957" spans="1:15" x14ac:dyDescent="0.25">
      <c r="A957" s="28">
        <v>46095</v>
      </c>
      <c r="B957" s="1" t="s">
        <v>331</v>
      </c>
      <c r="C957" s="1" t="s">
        <v>508</v>
      </c>
      <c r="D957" s="28">
        <f t="shared" si="294"/>
        <v>46118</v>
      </c>
      <c r="E957" s="28">
        <f t="shared" si="295"/>
        <v>46102</v>
      </c>
      <c r="F957" s="28">
        <f t="shared" si="296"/>
        <v>46109</v>
      </c>
      <c r="G957" s="28">
        <f t="shared" si="297"/>
        <v>46115</v>
      </c>
      <c r="H957" s="28">
        <f t="shared" si="298"/>
        <v>46103</v>
      </c>
      <c r="I957" s="28">
        <f t="shared" si="299"/>
        <v>46110</v>
      </c>
      <c r="J957" s="28">
        <v>46128</v>
      </c>
      <c r="K957" s="1">
        <f t="shared" si="300"/>
        <v>33</v>
      </c>
      <c r="L957" s="1">
        <v>13.45</v>
      </c>
      <c r="M957" s="1">
        <v>11.24</v>
      </c>
      <c r="N957" s="1">
        <f t="shared" si="301"/>
        <v>2.2099999999999991</v>
      </c>
      <c r="O957" s="1" t="s">
        <v>379</v>
      </c>
    </row>
    <row r="958" spans="1:15" x14ac:dyDescent="0.25">
      <c r="A958" s="28">
        <v>46096</v>
      </c>
      <c r="B958" s="1" t="s">
        <v>303</v>
      </c>
      <c r="C958" s="1" t="s">
        <v>509</v>
      </c>
      <c r="D958" s="28">
        <f t="shared" si="294"/>
        <v>46119</v>
      </c>
      <c r="E958" s="28">
        <f t="shared" si="295"/>
        <v>46103</v>
      </c>
      <c r="F958" s="28">
        <f t="shared" si="296"/>
        <v>46110</v>
      </c>
      <c r="G958" s="28">
        <f t="shared" si="297"/>
        <v>46116</v>
      </c>
      <c r="H958" s="28">
        <f t="shared" si="298"/>
        <v>46104</v>
      </c>
      <c r="I958" s="28">
        <f t="shared" si="299"/>
        <v>46111</v>
      </c>
      <c r="J958" s="28">
        <v>46129</v>
      </c>
      <c r="K958" s="1">
        <f t="shared" si="300"/>
        <v>33</v>
      </c>
      <c r="L958" s="1">
        <v>12.43</v>
      </c>
      <c r="M958" s="1">
        <v>10.51</v>
      </c>
      <c r="N958" s="1">
        <f t="shared" si="301"/>
        <v>1.92</v>
      </c>
      <c r="O958" s="1" t="s">
        <v>379</v>
      </c>
    </row>
    <row r="959" spans="1:15" x14ac:dyDescent="0.25">
      <c r="A959" s="28">
        <v>46096</v>
      </c>
      <c r="B959" s="1" t="s">
        <v>304</v>
      </c>
      <c r="C959" s="1" t="s">
        <v>510</v>
      </c>
      <c r="D959" s="28">
        <f t="shared" si="294"/>
        <v>46119</v>
      </c>
      <c r="E959" s="28">
        <f t="shared" si="295"/>
        <v>46103</v>
      </c>
      <c r="F959" s="28">
        <f t="shared" si="296"/>
        <v>46110</v>
      </c>
      <c r="G959" s="28">
        <f t="shared" si="297"/>
        <v>46116</v>
      </c>
      <c r="H959" s="28">
        <f t="shared" si="298"/>
        <v>46104</v>
      </c>
      <c r="I959" s="28">
        <f t="shared" si="299"/>
        <v>46111</v>
      </c>
      <c r="J959" s="28">
        <v>46129</v>
      </c>
      <c r="K959" s="1">
        <f t="shared" si="300"/>
        <v>33</v>
      </c>
      <c r="L959" s="1">
        <v>13.19</v>
      </c>
      <c r="M959" s="1">
        <v>11.12</v>
      </c>
      <c r="N959" s="1">
        <f t="shared" si="301"/>
        <v>2.0700000000000003</v>
      </c>
      <c r="O959" s="1" t="s">
        <v>379</v>
      </c>
    </row>
    <row r="960" spans="1:15" x14ac:dyDescent="0.25">
      <c r="A960" s="28">
        <v>46096</v>
      </c>
      <c r="B960" s="1" t="s">
        <v>305</v>
      </c>
      <c r="C960" s="1" t="s">
        <v>511</v>
      </c>
      <c r="D960" s="28">
        <f t="shared" si="294"/>
        <v>46119</v>
      </c>
      <c r="E960" s="28">
        <f t="shared" si="295"/>
        <v>46103</v>
      </c>
      <c r="F960" s="28">
        <f t="shared" si="296"/>
        <v>46110</v>
      </c>
      <c r="G960" s="28">
        <f t="shared" si="297"/>
        <v>46116</v>
      </c>
      <c r="H960" s="28">
        <f t="shared" si="298"/>
        <v>46104</v>
      </c>
      <c r="I960" s="28">
        <f t="shared" si="299"/>
        <v>46111</v>
      </c>
      <c r="J960" s="28">
        <v>46129</v>
      </c>
      <c r="K960" s="1">
        <f t="shared" si="300"/>
        <v>33</v>
      </c>
      <c r="L960" s="1">
        <v>13.46</v>
      </c>
      <c r="M960" s="1">
        <v>11.38</v>
      </c>
      <c r="N960" s="1">
        <f t="shared" si="301"/>
        <v>2.08</v>
      </c>
      <c r="O960" s="1" t="s">
        <v>379</v>
      </c>
    </row>
    <row r="961" spans="1:15" x14ac:dyDescent="0.25">
      <c r="A961" s="28">
        <v>46096</v>
      </c>
      <c r="B961" s="1" t="s">
        <v>306</v>
      </c>
      <c r="C961" s="1" t="s">
        <v>512</v>
      </c>
      <c r="D961" s="28">
        <f t="shared" si="294"/>
        <v>46119</v>
      </c>
      <c r="E961" s="28">
        <f t="shared" si="295"/>
        <v>46103</v>
      </c>
      <c r="F961" s="28">
        <f t="shared" si="296"/>
        <v>46110</v>
      </c>
      <c r="G961" s="28">
        <f t="shared" si="297"/>
        <v>46116</v>
      </c>
      <c r="H961" s="28">
        <f t="shared" si="298"/>
        <v>46104</v>
      </c>
      <c r="I961" s="28">
        <f t="shared" si="299"/>
        <v>46111</v>
      </c>
      <c r="J961" s="28">
        <v>46129</v>
      </c>
      <c r="K961" s="1">
        <f t="shared" si="300"/>
        <v>33</v>
      </c>
      <c r="L961" s="1">
        <v>13.67</v>
      </c>
      <c r="M961" s="1">
        <v>11.54</v>
      </c>
      <c r="N961" s="1">
        <f t="shared" si="301"/>
        <v>2.1300000000000008</v>
      </c>
      <c r="O961" s="1" t="s">
        <v>379</v>
      </c>
    </row>
    <row r="962" spans="1:15" x14ac:dyDescent="0.25">
      <c r="A962" s="28">
        <v>46096</v>
      </c>
      <c r="B962" s="1" t="s">
        <v>307</v>
      </c>
      <c r="C962" s="1" t="s">
        <v>513</v>
      </c>
      <c r="D962" s="28">
        <f t="shared" si="294"/>
        <v>46119</v>
      </c>
      <c r="E962" s="28">
        <f t="shared" si="295"/>
        <v>46103</v>
      </c>
      <c r="F962" s="28">
        <f t="shared" si="296"/>
        <v>46110</v>
      </c>
      <c r="G962" s="28">
        <f t="shared" si="297"/>
        <v>46116</v>
      </c>
      <c r="H962" s="28">
        <f t="shared" si="298"/>
        <v>46104</v>
      </c>
      <c r="I962" s="28">
        <f t="shared" si="299"/>
        <v>46111</v>
      </c>
      <c r="J962" s="28">
        <v>46129</v>
      </c>
      <c r="K962" s="1">
        <f t="shared" si="300"/>
        <v>33</v>
      </c>
      <c r="L962" s="1">
        <v>12.31</v>
      </c>
      <c r="M962" s="1">
        <v>10.52</v>
      </c>
      <c r="N962" s="1">
        <f t="shared" si="301"/>
        <v>1.7900000000000009</v>
      </c>
      <c r="O962" s="1" t="s">
        <v>379</v>
      </c>
    </row>
    <row r="963" spans="1:15" x14ac:dyDescent="0.25">
      <c r="A963" s="28">
        <v>46096</v>
      </c>
      <c r="B963" s="1" t="s">
        <v>308</v>
      </c>
      <c r="C963" s="1" t="s">
        <v>514</v>
      </c>
      <c r="D963" s="28">
        <f t="shared" si="294"/>
        <v>46119</v>
      </c>
      <c r="E963" s="28">
        <f t="shared" si="295"/>
        <v>46103</v>
      </c>
      <c r="F963" s="28">
        <f t="shared" si="296"/>
        <v>46110</v>
      </c>
      <c r="G963" s="28">
        <f t="shared" si="297"/>
        <v>46116</v>
      </c>
      <c r="H963" s="28">
        <f t="shared" si="298"/>
        <v>46104</v>
      </c>
      <c r="I963" s="28">
        <f t="shared" si="299"/>
        <v>46111</v>
      </c>
      <c r="J963" s="28">
        <v>46129</v>
      </c>
      <c r="K963" s="1">
        <f t="shared" si="300"/>
        <v>33</v>
      </c>
      <c r="L963" s="1">
        <v>12.08</v>
      </c>
      <c r="M963" s="1">
        <v>10.34</v>
      </c>
      <c r="N963" s="1">
        <f t="shared" si="301"/>
        <v>1.7400000000000002</v>
      </c>
      <c r="O963" s="1" t="s">
        <v>379</v>
      </c>
    </row>
    <row r="964" spans="1:15" x14ac:dyDescent="0.25">
      <c r="A964" s="28">
        <v>46096</v>
      </c>
      <c r="B964" s="1" t="s">
        <v>309</v>
      </c>
      <c r="C964" s="1" t="s">
        <v>515</v>
      </c>
      <c r="D964" s="28">
        <f t="shared" si="294"/>
        <v>46119</v>
      </c>
      <c r="E964" s="28">
        <f t="shared" si="295"/>
        <v>46103</v>
      </c>
      <c r="F964" s="28">
        <f t="shared" si="296"/>
        <v>46110</v>
      </c>
      <c r="G964" s="28">
        <f t="shared" si="297"/>
        <v>46116</v>
      </c>
      <c r="H964" s="28">
        <f t="shared" si="298"/>
        <v>46104</v>
      </c>
      <c r="I964" s="28">
        <f t="shared" si="299"/>
        <v>46111</v>
      </c>
      <c r="J964" s="28">
        <v>46129</v>
      </c>
      <c r="K964" s="1">
        <f t="shared" si="300"/>
        <v>33</v>
      </c>
      <c r="L964" s="1">
        <v>14.11</v>
      </c>
      <c r="M964" s="1">
        <v>12.08</v>
      </c>
      <c r="N964" s="1">
        <f t="shared" si="301"/>
        <v>2.0299999999999994</v>
      </c>
      <c r="O964" s="1" t="s">
        <v>379</v>
      </c>
    </row>
    <row r="965" spans="1:15" x14ac:dyDescent="0.25">
      <c r="A965" s="28">
        <v>46097</v>
      </c>
      <c r="B965" s="1" t="s">
        <v>317</v>
      </c>
      <c r="C965" s="1" t="s">
        <v>523</v>
      </c>
      <c r="D965" s="28">
        <f t="shared" si="294"/>
        <v>46120</v>
      </c>
      <c r="E965" s="28">
        <f t="shared" si="295"/>
        <v>46104</v>
      </c>
      <c r="F965" s="28">
        <f t="shared" si="296"/>
        <v>46111</v>
      </c>
      <c r="G965" s="28">
        <f t="shared" si="297"/>
        <v>46117</v>
      </c>
      <c r="H965" s="28">
        <f t="shared" si="298"/>
        <v>46105</v>
      </c>
      <c r="I965" s="28">
        <f t="shared" si="299"/>
        <v>46112</v>
      </c>
      <c r="J965" s="28">
        <v>46130</v>
      </c>
      <c r="K965" s="1">
        <f t="shared" si="300"/>
        <v>33</v>
      </c>
      <c r="L965" s="1">
        <v>11.47</v>
      </c>
      <c r="M965" s="1">
        <v>9.52</v>
      </c>
      <c r="N965" s="1">
        <f t="shared" si="301"/>
        <v>1.9500000000000011</v>
      </c>
      <c r="O965" s="1" t="s">
        <v>379</v>
      </c>
    </row>
    <row r="966" spans="1:15" x14ac:dyDescent="0.25">
      <c r="A966" s="28">
        <v>46097</v>
      </c>
      <c r="B966" s="1" t="s">
        <v>318</v>
      </c>
      <c r="C966" s="1" t="s">
        <v>524</v>
      </c>
      <c r="D966" s="28">
        <f t="shared" si="294"/>
        <v>46120</v>
      </c>
      <c r="E966" s="28">
        <f t="shared" si="295"/>
        <v>46104</v>
      </c>
      <c r="F966" s="28">
        <f t="shared" si="296"/>
        <v>46111</v>
      </c>
      <c r="G966" s="28">
        <f t="shared" si="297"/>
        <v>46117</v>
      </c>
      <c r="H966" s="28">
        <f t="shared" si="298"/>
        <v>46105</v>
      </c>
      <c r="I966" s="28">
        <f t="shared" si="299"/>
        <v>46112</v>
      </c>
      <c r="J966" s="28">
        <v>46130</v>
      </c>
      <c r="K966" s="1">
        <f t="shared" si="300"/>
        <v>33</v>
      </c>
      <c r="L966" s="1">
        <v>11.51</v>
      </c>
      <c r="M966" s="1">
        <v>10.33</v>
      </c>
      <c r="N966" s="1">
        <f t="shared" si="301"/>
        <v>1.1799999999999997</v>
      </c>
      <c r="O966" s="1" t="s">
        <v>379</v>
      </c>
    </row>
    <row r="967" spans="1:15" x14ac:dyDescent="0.25">
      <c r="A967" s="28">
        <v>46097</v>
      </c>
      <c r="B967" s="1" t="s">
        <v>319</v>
      </c>
      <c r="C967" s="1" t="s">
        <v>525</v>
      </c>
      <c r="D967" s="28">
        <f t="shared" si="294"/>
        <v>46120</v>
      </c>
      <c r="E967" s="28">
        <f t="shared" si="295"/>
        <v>46104</v>
      </c>
      <c r="F967" s="28">
        <f t="shared" si="296"/>
        <v>46111</v>
      </c>
      <c r="G967" s="28">
        <f t="shared" si="297"/>
        <v>46117</v>
      </c>
      <c r="H967" s="28">
        <f t="shared" si="298"/>
        <v>46105</v>
      </c>
      <c r="I967" s="28">
        <f t="shared" si="299"/>
        <v>46112</v>
      </c>
      <c r="J967" s="28">
        <v>46130</v>
      </c>
      <c r="K967" s="1">
        <f t="shared" si="300"/>
        <v>33</v>
      </c>
      <c r="L967" s="1">
        <v>13.47</v>
      </c>
      <c r="M967" s="1">
        <v>11.28</v>
      </c>
      <c r="N967" s="1">
        <f t="shared" si="301"/>
        <v>2.1900000000000013</v>
      </c>
      <c r="O967" s="1" t="s">
        <v>379</v>
      </c>
    </row>
    <row r="968" spans="1:15" x14ac:dyDescent="0.25">
      <c r="A968" s="28">
        <v>46097</v>
      </c>
      <c r="B968" s="1" t="s">
        <v>320</v>
      </c>
      <c r="C968" s="1" t="s">
        <v>526</v>
      </c>
      <c r="D968" s="28">
        <f t="shared" si="294"/>
        <v>46120</v>
      </c>
      <c r="E968" s="28">
        <f t="shared" si="295"/>
        <v>46104</v>
      </c>
      <c r="F968" s="28">
        <f t="shared" si="296"/>
        <v>46111</v>
      </c>
      <c r="G968" s="28">
        <f t="shared" si="297"/>
        <v>46117</v>
      </c>
      <c r="H968" s="28">
        <f t="shared" si="298"/>
        <v>46105</v>
      </c>
      <c r="I968" s="28">
        <f t="shared" si="299"/>
        <v>46112</v>
      </c>
      <c r="J968" s="28">
        <v>46131</v>
      </c>
      <c r="K968" s="1">
        <f t="shared" si="300"/>
        <v>34</v>
      </c>
      <c r="L968" s="1">
        <v>12.31</v>
      </c>
      <c r="M968" s="1">
        <v>10.25</v>
      </c>
      <c r="N968" s="1">
        <f t="shared" si="301"/>
        <v>2.0600000000000005</v>
      </c>
      <c r="O968" s="1" t="s">
        <v>379</v>
      </c>
    </row>
    <row r="969" spans="1:15" x14ac:dyDescent="0.25">
      <c r="A969" s="28">
        <v>46097</v>
      </c>
      <c r="B969" s="1" t="s">
        <v>321</v>
      </c>
      <c r="C969" s="1" t="s">
        <v>527</v>
      </c>
      <c r="D969" s="28">
        <f t="shared" si="294"/>
        <v>46120</v>
      </c>
      <c r="E969" s="28">
        <f t="shared" si="295"/>
        <v>46104</v>
      </c>
      <c r="F969" s="28">
        <f t="shared" si="296"/>
        <v>46111</v>
      </c>
      <c r="G969" s="28">
        <f t="shared" si="297"/>
        <v>46117</v>
      </c>
      <c r="H969" s="28">
        <f t="shared" si="298"/>
        <v>46105</v>
      </c>
      <c r="I969" s="28">
        <f t="shared" si="299"/>
        <v>46112</v>
      </c>
      <c r="J969" s="28">
        <v>46131</v>
      </c>
      <c r="K969" s="1">
        <f t="shared" si="300"/>
        <v>34</v>
      </c>
      <c r="L969" s="1">
        <v>13.48</v>
      </c>
      <c r="M969" s="1">
        <v>11.53</v>
      </c>
      <c r="N969" s="1">
        <f t="shared" si="301"/>
        <v>1.9500000000000011</v>
      </c>
      <c r="O969" s="1" t="s">
        <v>379</v>
      </c>
    </row>
    <row r="970" spans="1:15" x14ac:dyDescent="0.25">
      <c r="A970" s="28">
        <v>46097</v>
      </c>
      <c r="B970" s="1" t="s">
        <v>322</v>
      </c>
      <c r="C970" s="1" t="s">
        <v>528</v>
      </c>
      <c r="D970" s="28">
        <f t="shared" si="294"/>
        <v>46120</v>
      </c>
      <c r="E970" s="28">
        <f t="shared" si="295"/>
        <v>46104</v>
      </c>
      <c r="F970" s="28">
        <f t="shared" si="296"/>
        <v>46111</v>
      </c>
      <c r="G970" s="28">
        <f t="shared" si="297"/>
        <v>46117</v>
      </c>
      <c r="H970" s="28">
        <f t="shared" si="298"/>
        <v>46105</v>
      </c>
      <c r="I970" s="28">
        <f t="shared" si="299"/>
        <v>46112</v>
      </c>
      <c r="J970" s="28">
        <v>46131</v>
      </c>
      <c r="K970" s="1">
        <f t="shared" si="300"/>
        <v>34</v>
      </c>
      <c r="L970" s="1">
        <v>12.11</v>
      </c>
      <c r="M970" s="1">
        <v>10.09</v>
      </c>
      <c r="N970" s="1">
        <f t="shared" si="301"/>
        <v>2.0199999999999996</v>
      </c>
      <c r="O970" s="1" t="s">
        <v>379</v>
      </c>
    </row>
    <row r="971" spans="1:15" x14ac:dyDescent="0.25">
      <c r="A971" s="28">
        <v>46097</v>
      </c>
      <c r="B971" s="1" t="s">
        <v>323</v>
      </c>
      <c r="C971" s="1" t="s">
        <v>529</v>
      </c>
      <c r="D971" s="28">
        <f t="shared" si="294"/>
        <v>46120</v>
      </c>
      <c r="E971" s="28">
        <f t="shared" si="295"/>
        <v>46104</v>
      </c>
      <c r="F971" s="28">
        <f t="shared" si="296"/>
        <v>46111</v>
      </c>
      <c r="G971" s="28">
        <f t="shared" si="297"/>
        <v>46117</v>
      </c>
      <c r="H971" s="28">
        <f t="shared" si="298"/>
        <v>46105</v>
      </c>
      <c r="I971" s="28">
        <f t="shared" si="299"/>
        <v>46112</v>
      </c>
      <c r="J971" s="28">
        <v>46131</v>
      </c>
      <c r="K971" s="1">
        <f t="shared" si="300"/>
        <v>34</v>
      </c>
      <c r="L971" s="1">
        <v>11.67</v>
      </c>
      <c r="M971" s="1">
        <v>9.57</v>
      </c>
      <c r="N971" s="1">
        <f t="shared" si="301"/>
        <v>2.0999999999999996</v>
      </c>
      <c r="O971" s="1" t="s">
        <v>379</v>
      </c>
    </row>
    <row r="972" spans="1:15" x14ac:dyDescent="0.25">
      <c r="A972" s="28">
        <v>46098</v>
      </c>
      <c r="B972" s="1" t="s">
        <v>310</v>
      </c>
      <c r="C972" s="1" t="s">
        <v>516</v>
      </c>
      <c r="D972" s="28">
        <f t="shared" si="294"/>
        <v>46121</v>
      </c>
      <c r="E972" s="28">
        <f t="shared" si="295"/>
        <v>46105</v>
      </c>
      <c r="F972" s="28">
        <f t="shared" si="296"/>
        <v>46112</v>
      </c>
      <c r="G972" s="28">
        <f t="shared" si="297"/>
        <v>46118</v>
      </c>
      <c r="H972" s="28">
        <f t="shared" si="298"/>
        <v>46106</v>
      </c>
      <c r="I972" s="28">
        <f t="shared" si="299"/>
        <v>46113</v>
      </c>
      <c r="J972" s="28">
        <v>46129</v>
      </c>
      <c r="K972" s="1">
        <f t="shared" si="300"/>
        <v>31</v>
      </c>
      <c r="L972" s="1">
        <v>13.16</v>
      </c>
      <c r="M972" s="1">
        <v>11.1</v>
      </c>
      <c r="N972" s="1">
        <f t="shared" si="301"/>
        <v>2.0600000000000005</v>
      </c>
      <c r="O972" s="1" t="s">
        <v>379</v>
      </c>
    </row>
    <row r="973" spans="1:15" x14ac:dyDescent="0.25">
      <c r="A973" s="28">
        <v>46098</v>
      </c>
      <c r="B973" s="1" t="s">
        <v>311</v>
      </c>
      <c r="C973" s="1" t="s">
        <v>517</v>
      </c>
      <c r="D973" s="28">
        <f t="shared" si="294"/>
        <v>46121</v>
      </c>
      <c r="E973" s="28">
        <f t="shared" si="295"/>
        <v>46105</v>
      </c>
      <c r="F973" s="28">
        <f t="shared" si="296"/>
        <v>46112</v>
      </c>
      <c r="G973" s="28">
        <f t="shared" si="297"/>
        <v>46118</v>
      </c>
      <c r="H973" s="28">
        <f t="shared" si="298"/>
        <v>46106</v>
      </c>
      <c r="I973" s="28">
        <f t="shared" si="299"/>
        <v>46113</v>
      </c>
      <c r="J973" s="28">
        <v>46129</v>
      </c>
      <c r="K973" s="1">
        <f t="shared" si="300"/>
        <v>31</v>
      </c>
      <c r="L973" s="1">
        <v>14.28</v>
      </c>
      <c r="M973" s="1">
        <v>12.19</v>
      </c>
      <c r="N973" s="1">
        <f t="shared" si="301"/>
        <v>2.09</v>
      </c>
      <c r="O973" s="1" t="s">
        <v>379</v>
      </c>
    </row>
    <row r="974" spans="1:15" x14ac:dyDescent="0.25">
      <c r="A974" s="28">
        <v>46098</v>
      </c>
      <c r="B974" s="1" t="s">
        <v>312</v>
      </c>
      <c r="C974" s="1" t="s">
        <v>518</v>
      </c>
      <c r="D974" s="28">
        <f t="shared" si="294"/>
        <v>46121</v>
      </c>
      <c r="E974" s="28">
        <f t="shared" si="295"/>
        <v>46105</v>
      </c>
      <c r="F974" s="28">
        <f t="shared" si="296"/>
        <v>46112</v>
      </c>
      <c r="G974" s="28">
        <f t="shared" si="297"/>
        <v>46118</v>
      </c>
      <c r="H974" s="28">
        <f t="shared" si="298"/>
        <v>46106</v>
      </c>
      <c r="I974" s="28">
        <f t="shared" si="299"/>
        <v>46113</v>
      </c>
      <c r="J974" s="28">
        <v>46130</v>
      </c>
      <c r="K974" s="1">
        <f t="shared" si="300"/>
        <v>32</v>
      </c>
      <c r="L974" s="1">
        <v>12.36</v>
      </c>
      <c r="M974" s="1">
        <v>10.54</v>
      </c>
      <c r="N974" s="1">
        <f t="shared" si="301"/>
        <v>1.8200000000000003</v>
      </c>
      <c r="O974" s="1" t="s">
        <v>379</v>
      </c>
    </row>
    <row r="975" spans="1:15" x14ac:dyDescent="0.25">
      <c r="A975" s="28">
        <v>46098</v>
      </c>
      <c r="B975" s="1" t="s">
        <v>313</v>
      </c>
      <c r="C975" s="1" t="s">
        <v>519</v>
      </c>
      <c r="D975" s="28">
        <f t="shared" si="294"/>
        <v>46121</v>
      </c>
      <c r="E975" s="28">
        <f t="shared" si="295"/>
        <v>46105</v>
      </c>
      <c r="F975" s="28">
        <f t="shared" si="296"/>
        <v>46112</v>
      </c>
      <c r="G975" s="28">
        <f t="shared" si="297"/>
        <v>46118</v>
      </c>
      <c r="H975" s="28">
        <f t="shared" si="298"/>
        <v>46106</v>
      </c>
      <c r="I975" s="28">
        <f t="shared" si="299"/>
        <v>46113</v>
      </c>
      <c r="J975" s="28">
        <v>46130</v>
      </c>
      <c r="K975" s="1">
        <f t="shared" si="300"/>
        <v>32</v>
      </c>
      <c r="L975" s="1">
        <v>12.19</v>
      </c>
      <c r="M975" s="1">
        <v>10.210000000000001</v>
      </c>
      <c r="N975" s="1">
        <f t="shared" si="301"/>
        <v>1.9799999999999986</v>
      </c>
      <c r="O975" s="1" t="s">
        <v>379</v>
      </c>
    </row>
    <row r="976" spans="1:15" x14ac:dyDescent="0.25">
      <c r="A976" s="28">
        <v>46098</v>
      </c>
      <c r="B976" s="1" t="s">
        <v>314</v>
      </c>
      <c r="C976" s="1" t="s">
        <v>520</v>
      </c>
      <c r="D976" s="28">
        <f t="shared" si="294"/>
        <v>46121</v>
      </c>
      <c r="E976" s="28">
        <f t="shared" si="295"/>
        <v>46105</v>
      </c>
      <c r="F976" s="28">
        <f t="shared" si="296"/>
        <v>46112</v>
      </c>
      <c r="G976" s="28">
        <f t="shared" si="297"/>
        <v>46118</v>
      </c>
      <c r="H976" s="28">
        <f t="shared" si="298"/>
        <v>46106</v>
      </c>
      <c r="I976" s="28">
        <f t="shared" si="299"/>
        <v>46113</v>
      </c>
      <c r="J976" s="28">
        <v>46130</v>
      </c>
      <c r="K976" s="1">
        <f t="shared" si="300"/>
        <v>32</v>
      </c>
      <c r="L976" s="1">
        <v>11.84</v>
      </c>
      <c r="M976" s="1">
        <v>9.73</v>
      </c>
      <c r="N976" s="1">
        <f t="shared" si="301"/>
        <v>2.1099999999999994</v>
      </c>
      <c r="O976" s="1" t="s">
        <v>379</v>
      </c>
    </row>
    <row r="977" spans="1:15" x14ac:dyDescent="0.25">
      <c r="A977" s="28">
        <v>46098</v>
      </c>
      <c r="B977" s="1" t="s">
        <v>315</v>
      </c>
      <c r="C977" s="1" t="s">
        <v>521</v>
      </c>
      <c r="D977" s="28">
        <f t="shared" si="294"/>
        <v>46121</v>
      </c>
      <c r="E977" s="28">
        <f t="shared" si="295"/>
        <v>46105</v>
      </c>
      <c r="F977" s="28">
        <f t="shared" si="296"/>
        <v>46112</v>
      </c>
      <c r="G977" s="28">
        <f t="shared" si="297"/>
        <v>46118</v>
      </c>
      <c r="H977" s="28">
        <f t="shared" si="298"/>
        <v>46106</v>
      </c>
      <c r="I977" s="28">
        <f t="shared" si="299"/>
        <v>46113</v>
      </c>
      <c r="J977" s="28">
        <v>46130</v>
      </c>
      <c r="K977" s="1">
        <f t="shared" si="300"/>
        <v>32</v>
      </c>
      <c r="L977" s="1">
        <v>12.35</v>
      </c>
      <c r="M977" s="1">
        <v>10.14</v>
      </c>
      <c r="N977" s="1">
        <f t="shared" si="301"/>
        <v>2.2099999999999991</v>
      </c>
      <c r="O977" s="1" t="s">
        <v>379</v>
      </c>
    </row>
    <row r="978" spans="1:15" x14ac:dyDescent="0.25">
      <c r="A978" s="28">
        <v>46098</v>
      </c>
      <c r="B978" s="1" t="s">
        <v>316</v>
      </c>
      <c r="C978" s="1" t="s">
        <v>522</v>
      </c>
      <c r="D978" s="28">
        <f t="shared" si="294"/>
        <v>46121</v>
      </c>
      <c r="E978" s="28">
        <f t="shared" si="295"/>
        <v>46105</v>
      </c>
      <c r="F978" s="28">
        <f t="shared" si="296"/>
        <v>46112</v>
      </c>
      <c r="G978" s="28">
        <f t="shared" si="297"/>
        <v>46118</v>
      </c>
      <c r="H978" s="28">
        <f t="shared" si="298"/>
        <v>46106</v>
      </c>
      <c r="I978" s="28">
        <f t="shared" si="299"/>
        <v>46113</v>
      </c>
      <c r="J978" s="28">
        <v>46130</v>
      </c>
      <c r="K978" s="1">
        <f t="shared" si="300"/>
        <v>32</v>
      </c>
      <c r="L978" s="1">
        <v>11.73</v>
      </c>
      <c r="M978" s="1">
        <v>9.86</v>
      </c>
      <c r="N978" s="1">
        <f t="shared" si="301"/>
        <v>1.870000000000001</v>
      </c>
      <c r="O978" s="1" t="s">
        <v>379</v>
      </c>
    </row>
    <row r="979" spans="1:15" x14ac:dyDescent="0.25">
      <c r="A979" s="28">
        <v>46099</v>
      </c>
      <c r="B979" s="1" t="s">
        <v>153</v>
      </c>
      <c r="C979" s="1" t="s">
        <v>530</v>
      </c>
      <c r="D979" s="28">
        <f t="shared" ref="D979:D1042" si="302">A979+23</f>
        <v>46122</v>
      </c>
      <c r="E979" s="28">
        <f t="shared" ref="E979:E1042" si="303">A979+7</f>
        <v>46106</v>
      </c>
      <c r="F979" s="28">
        <f t="shared" ref="F979:F1042" si="304">A979+14</f>
        <v>46113</v>
      </c>
      <c r="G979" s="28">
        <f t="shared" ref="G979:G1042" si="305">A979+20</f>
        <v>46119</v>
      </c>
      <c r="H979" s="28">
        <f t="shared" ref="H979:H1042" si="306">A979+8</f>
        <v>46107</v>
      </c>
      <c r="I979" s="28">
        <f t="shared" ref="I979:I1042" si="307">A979+15</f>
        <v>46114</v>
      </c>
      <c r="J979" s="28">
        <v>46131</v>
      </c>
      <c r="K979" s="1">
        <f t="shared" ref="K979:K997" si="308">J979-A979</f>
        <v>32</v>
      </c>
      <c r="L979" s="1">
        <v>14.36</v>
      </c>
      <c r="M979" s="1">
        <v>12.07</v>
      </c>
      <c r="N979" s="1">
        <f t="shared" ref="N979:N1010" si="309">L979-M979</f>
        <v>2.2899999999999991</v>
      </c>
      <c r="O979" s="1" t="s">
        <v>379</v>
      </c>
    </row>
    <row r="980" spans="1:15" x14ac:dyDescent="0.25">
      <c r="A980" s="28">
        <v>46099</v>
      </c>
      <c r="B980" s="1" t="s">
        <v>154</v>
      </c>
      <c r="C980" s="1" t="s">
        <v>531</v>
      </c>
      <c r="D980" s="28">
        <f t="shared" si="302"/>
        <v>46122</v>
      </c>
      <c r="E980" s="28">
        <f t="shared" si="303"/>
        <v>46106</v>
      </c>
      <c r="F980" s="28">
        <f t="shared" si="304"/>
        <v>46113</v>
      </c>
      <c r="G980" s="28">
        <f t="shared" si="305"/>
        <v>46119</v>
      </c>
      <c r="H980" s="28">
        <f t="shared" si="306"/>
        <v>46107</v>
      </c>
      <c r="I980" s="28">
        <f t="shared" si="307"/>
        <v>46114</v>
      </c>
      <c r="J980" s="28">
        <v>46131</v>
      </c>
      <c r="K980" s="1">
        <f t="shared" si="308"/>
        <v>32</v>
      </c>
      <c r="L980" s="1">
        <v>14.58</v>
      </c>
      <c r="M980" s="1">
        <v>12.33</v>
      </c>
      <c r="N980" s="1">
        <f t="shared" si="309"/>
        <v>2.25</v>
      </c>
      <c r="O980" s="1" t="s">
        <v>379</v>
      </c>
    </row>
    <row r="981" spans="1:15" x14ac:dyDescent="0.25">
      <c r="A981" s="28">
        <v>46099</v>
      </c>
      <c r="B981" s="1" t="s">
        <v>155</v>
      </c>
      <c r="C981" s="1" t="s">
        <v>532</v>
      </c>
      <c r="D981" s="28">
        <f t="shared" si="302"/>
        <v>46122</v>
      </c>
      <c r="E981" s="28">
        <f t="shared" si="303"/>
        <v>46106</v>
      </c>
      <c r="F981" s="28">
        <f t="shared" si="304"/>
        <v>46113</v>
      </c>
      <c r="G981" s="28">
        <f t="shared" si="305"/>
        <v>46119</v>
      </c>
      <c r="H981" s="28">
        <f t="shared" si="306"/>
        <v>46107</v>
      </c>
      <c r="I981" s="28">
        <f t="shared" si="307"/>
        <v>46114</v>
      </c>
      <c r="J981" s="28">
        <v>46131</v>
      </c>
      <c r="K981" s="1">
        <f t="shared" si="308"/>
        <v>32</v>
      </c>
      <c r="L981" s="1">
        <v>15.73</v>
      </c>
      <c r="M981" s="1">
        <v>13.54</v>
      </c>
      <c r="N981" s="1">
        <f t="shared" si="309"/>
        <v>2.1900000000000013</v>
      </c>
      <c r="O981" s="1" t="s">
        <v>379</v>
      </c>
    </row>
    <row r="982" spans="1:15" x14ac:dyDescent="0.25">
      <c r="A982" s="28">
        <v>46099</v>
      </c>
      <c r="B982" s="1" t="s">
        <v>156</v>
      </c>
      <c r="C982" s="1" t="s">
        <v>533</v>
      </c>
      <c r="D982" s="28">
        <f t="shared" si="302"/>
        <v>46122</v>
      </c>
      <c r="E982" s="28">
        <f t="shared" si="303"/>
        <v>46106</v>
      </c>
      <c r="F982" s="28">
        <f t="shared" si="304"/>
        <v>46113</v>
      </c>
      <c r="G982" s="28">
        <f t="shared" si="305"/>
        <v>46119</v>
      </c>
      <c r="H982" s="28">
        <f t="shared" si="306"/>
        <v>46107</v>
      </c>
      <c r="I982" s="28">
        <f t="shared" si="307"/>
        <v>46114</v>
      </c>
      <c r="J982" s="28">
        <v>46131</v>
      </c>
      <c r="K982" s="1">
        <f t="shared" si="308"/>
        <v>32</v>
      </c>
      <c r="L982" s="1">
        <v>14.68</v>
      </c>
      <c r="M982" s="1">
        <v>12.45</v>
      </c>
      <c r="N982" s="1">
        <f t="shared" si="309"/>
        <v>2.2300000000000004</v>
      </c>
      <c r="O982" s="1" t="s">
        <v>379</v>
      </c>
    </row>
    <row r="983" spans="1:15" x14ac:dyDescent="0.25">
      <c r="A983" s="28">
        <v>46099</v>
      </c>
      <c r="B983" s="1" t="s">
        <v>157</v>
      </c>
      <c r="C983" s="1" t="s">
        <v>534</v>
      </c>
      <c r="D983" s="28">
        <f t="shared" si="302"/>
        <v>46122</v>
      </c>
      <c r="E983" s="28">
        <f t="shared" si="303"/>
        <v>46106</v>
      </c>
      <c r="F983" s="28">
        <f t="shared" si="304"/>
        <v>46113</v>
      </c>
      <c r="G983" s="28">
        <f t="shared" si="305"/>
        <v>46119</v>
      </c>
      <c r="H983" s="28">
        <f t="shared" si="306"/>
        <v>46107</v>
      </c>
      <c r="I983" s="28">
        <f t="shared" si="307"/>
        <v>46114</v>
      </c>
      <c r="J983" s="28">
        <v>46132</v>
      </c>
      <c r="K983" s="1">
        <f t="shared" si="308"/>
        <v>33</v>
      </c>
      <c r="L983" s="1">
        <v>15.47</v>
      </c>
      <c r="M983" s="1">
        <v>13.52</v>
      </c>
      <c r="N983" s="1">
        <f t="shared" si="309"/>
        <v>1.9500000000000011</v>
      </c>
      <c r="O983" s="1" t="s">
        <v>379</v>
      </c>
    </row>
    <row r="984" spans="1:15" x14ac:dyDescent="0.25">
      <c r="A984" s="28">
        <v>46099</v>
      </c>
      <c r="B984" s="1" t="s">
        <v>158</v>
      </c>
      <c r="C984" s="1" t="s">
        <v>535</v>
      </c>
      <c r="D984" s="28">
        <f t="shared" si="302"/>
        <v>46122</v>
      </c>
      <c r="E984" s="28">
        <f t="shared" si="303"/>
        <v>46106</v>
      </c>
      <c r="F984" s="28">
        <f t="shared" si="304"/>
        <v>46113</v>
      </c>
      <c r="G984" s="28">
        <f t="shared" si="305"/>
        <v>46119</v>
      </c>
      <c r="H984" s="28">
        <f t="shared" si="306"/>
        <v>46107</v>
      </c>
      <c r="I984" s="28">
        <f t="shared" si="307"/>
        <v>46114</v>
      </c>
      <c r="J984" s="28">
        <v>46132</v>
      </c>
      <c r="K984" s="1">
        <f t="shared" si="308"/>
        <v>33</v>
      </c>
      <c r="L984" s="1">
        <v>14.51</v>
      </c>
      <c r="M984" s="1">
        <v>12.34</v>
      </c>
      <c r="N984" s="1">
        <f t="shared" si="309"/>
        <v>2.17</v>
      </c>
      <c r="O984" s="1" t="s">
        <v>379</v>
      </c>
    </row>
    <row r="985" spans="1:15" x14ac:dyDescent="0.25">
      <c r="A985" s="28">
        <v>46099</v>
      </c>
      <c r="B985" s="1" t="s">
        <v>159</v>
      </c>
      <c r="C985" s="1" t="s">
        <v>536</v>
      </c>
      <c r="D985" s="28">
        <f t="shared" si="302"/>
        <v>46122</v>
      </c>
      <c r="E985" s="28">
        <f t="shared" si="303"/>
        <v>46106</v>
      </c>
      <c r="F985" s="28">
        <f t="shared" si="304"/>
        <v>46113</v>
      </c>
      <c r="G985" s="28">
        <f t="shared" si="305"/>
        <v>46119</v>
      </c>
      <c r="H985" s="28">
        <f t="shared" si="306"/>
        <v>46107</v>
      </c>
      <c r="I985" s="28">
        <f t="shared" si="307"/>
        <v>46114</v>
      </c>
      <c r="J985" s="28">
        <v>46132</v>
      </c>
      <c r="K985" s="1">
        <f t="shared" si="308"/>
        <v>33</v>
      </c>
      <c r="L985" s="1">
        <v>14.42</v>
      </c>
      <c r="M985" s="1">
        <v>12.21</v>
      </c>
      <c r="N985" s="1">
        <f t="shared" si="309"/>
        <v>2.2099999999999991</v>
      </c>
      <c r="O985" s="1" t="s">
        <v>379</v>
      </c>
    </row>
    <row r="986" spans="1:15" x14ac:dyDescent="0.25">
      <c r="A986" s="28">
        <v>46100</v>
      </c>
      <c r="B986" s="1" t="s">
        <v>173</v>
      </c>
      <c r="C986" s="1" t="s">
        <v>537</v>
      </c>
      <c r="D986" s="28">
        <f t="shared" si="302"/>
        <v>46123</v>
      </c>
      <c r="E986" s="28">
        <f t="shared" si="303"/>
        <v>46107</v>
      </c>
      <c r="F986" s="28">
        <f t="shared" si="304"/>
        <v>46114</v>
      </c>
      <c r="G986" s="28">
        <f t="shared" si="305"/>
        <v>46120</v>
      </c>
      <c r="H986" s="28">
        <f t="shared" si="306"/>
        <v>46108</v>
      </c>
      <c r="I986" s="28">
        <f t="shared" si="307"/>
        <v>46115</v>
      </c>
      <c r="J986" s="28">
        <v>46132</v>
      </c>
      <c r="K986" s="1">
        <f t="shared" si="308"/>
        <v>32</v>
      </c>
      <c r="L986" s="1">
        <v>13.85</v>
      </c>
      <c r="M986" s="1">
        <v>11.68</v>
      </c>
      <c r="N986" s="1">
        <f t="shared" si="309"/>
        <v>2.17</v>
      </c>
      <c r="O986" s="1" t="s">
        <v>379</v>
      </c>
    </row>
    <row r="987" spans="1:15" x14ac:dyDescent="0.25">
      <c r="A987" s="28">
        <v>46100</v>
      </c>
      <c r="B987" s="1" t="s">
        <v>174</v>
      </c>
      <c r="C987" s="1" t="s">
        <v>538</v>
      </c>
      <c r="D987" s="28">
        <f t="shared" si="302"/>
        <v>46123</v>
      </c>
      <c r="E987" s="28">
        <f t="shared" si="303"/>
        <v>46107</v>
      </c>
      <c r="F987" s="28">
        <f t="shared" si="304"/>
        <v>46114</v>
      </c>
      <c r="G987" s="28">
        <f t="shared" si="305"/>
        <v>46120</v>
      </c>
      <c r="H987" s="28">
        <f t="shared" si="306"/>
        <v>46108</v>
      </c>
      <c r="I987" s="28">
        <f t="shared" si="307"/>
        <v>46115</v>
      </c>
      <c r="J987" s="28">
        <v>46132</v>
      </c>
      <c r="K987" s="1">
        <f t="shared" si="308"/>
        <v>32</v>
      </c>
      <c r="L987" s="1">
        <v>15.29</v>
      </c>
      <c r="M987" s="1">
        <v>13.48</v>
      </c>
      <c r="N987" s="1">
        <f t="shared" si="309"/>
        <v>1.8099999999999987</v>
      </c>
      <c r="O987" s="1" t="s">
        <v>379</v>
      </c>
    </row>
    <row r="988" spans="1:15" x14ac:dyDescent="0.25">
      <c r="A988" s="28">
        <v>46100</v>
      </c>
      <c r="B988" s="1" t="s">
        <v>175</v>
      </c>
      <c r="C988" s="1" t="s">
        <v>539</v>
      </c>
      <c r="D988" s="28">
        <f t="shared" si="302"/>
        <v>46123</v>
      </c>
      <c r="E988" s="28">
        <f t="shared" si="303"/>
        <v>46107</v>
      </c>
      <c r="F988" s="28">
        <f t="shared" si="304"/>
        <v>46114</v>
      </c>
      <c r="G988" s="28">
        <f t="shared" si="305"/>
        <v>46120</v>
      </c>
      <c r="H988" s="28">
        <f t="shared" si="306"/>
        <v>46108</v>
      </c>
      <c r="I988" s="28">
        <f t="shared" si="307"/>
        <v>46115</v>
      </c>
      <c r="J988" s="28">
        <v>46133</v>
      </c>
      <c r="K988" s="1">
        <f t="shared" si="308"/>
        <v>33</v>
      </c>
      <c r="L988" s="1">
        <v>13.47</v>
      </c>
      <c r="M988" s="1">
        <v>11.35</v>
      </c>
      <c r="N988" s="1">
        <f t="shared" si="309"/>
        <v>2.120000000000001</v>
      </c>
      <c r="O988" s="1" t="s">
        <v>379</v>
      </c>
    </row>
    <row r="989" spans="1:15" x14ac:dyDescent="0.25">
      <c r="A989" s="28">
        <v>46100</v>
      </c>
      <c r="B989" s="1" t="s">
        <v>176</v>
      </c>
      <c r="C989" s="1" t="s">
        <v>540</v>
      </c>
      <c r="D989" s="28">
        <f t="shared" si="302"/>
        <v>46123</v>
      </c>
      <c r="E989" s="28">
        <f t="shared" si="303"/>
        <v>46107</v>
      </c>
      <c r="F989" s="28">
        <f t="shared" si="304"/>
        <v>46114</v>
      </c>
      <c r="G989" s="28">
        <f t="shared" si="305"/>
        <v>46120</v>
      </c>
      <c r="H989" s="28">
        <f t="shared" si="306"/>
        <v>46108</v>
      </c>
      <c r="I989" s="28">
        <f t="shared" si="307"/>
        <v>46115</v>
      </c>
      <c r="J989" s="28">
        <v>46133</v>
      </c>
      <c r="K989" s="1">
        <f t="shared" si="308"/>
        <v>33</v>
      </c>
      <c r="L989" s="1">
        <v>14.26</v>
      </c>
      <c r="M989" s="1">
        <v>12.11</v>
      </c>
      <c r="N989" s="1">
        <f t="shared" si="309"/>
        <v>2.1500000000000004</v>
      </c>
      <c r="O989" s="1" t="s">
        <v>379</v>
      </c>
    </row>
    <row r="990" spans="1:15" x14ac:dyDescent="0.25">
      <c r="A990" s="28">
        <v>46100</v>
      </c>
      <c r="B990" s="1" t="s">
        <v>177</v>
      </c>
      <c r="C990" s="1" t="s">
        <v>541</v>
      </c>
      <c r="D990" s="28">
        <f t="shared" si="302"/>
        <v>46123</v>
      </c>
      <c r="E990" s="28">
        <f t="shared" si="303"/>
        <v>46107</v>
      </c>
      <c r="F990" s="28">
        <f t="shared" si="304"/>
        <v>46114</v>
      </c>
      <c r="G990" s="28">
        <f t="shared" si="305"/>
        <v>46120</v>
      </c>
      <c r="H990" s="28">
        <f t="shared" si="306"/>
        <v>46108</v>
      </c>
      <c r="I990" s="28">
        <f t="shared" si="307"/>
        <v>46115</v>
      </c>
      <c r="J990" s="28">
        <v>46133</v>
      </c>
      <c r="K990" s="1">
        <f t="shared" si="308"/>
        <v>33</v>
      </c>
      <c r="L990" s="1">
        <v>12.42</v>
      </c>
      <c r="M990" s="1">
        <v>10.33</v>
      </c>
      <c r="N990" s="1">
        <f t="shared" si="309"/>
        <v>2.09</v>
      </c>
      <c r="O990" s="1" t="s">
        <v>379</v>
      </c>
    </row>
    <row r="991" spans="1:15" x14ac:dyDescent="0.25">
      <c r="A991" s="28">
        <v>46100</v>
      </c>
      <c r="B991" s="1" t="s">
        <v>178</v>
      </c>
      <c r="C991" s="1" t="s">
        <v>542</v>
      </c>
      <c r="D991" s="28">
        <f t="shared" si="302"/>
        <v>46123</v>
      </c>
      <c r="E991" s="28">
        <f t="shared" si="303"/>
        <v>46107</v>
      </c>
      <c r="F991" s="28">
        <f t="shared" si="304"/>
        <v>46114</v>
      </c>
      <c r="G991" s="28">
        <f t="shared" si="305"/>
        <v>46120</v>
      </c>
      <c r="H991" s="28">
        <f t="shared" si="306"/>
        <v>46108</v>
      </c>
      <c r="I991" s="28">
        <f t="shared" si="307"/>
        <v>46115</v>
      </c>
      <c r="J991" s="28">
        <v>46134</v>
      </c>
      <c r="K991" s="1">
        <f t="shared" si="308"/>
        <v>34</v>
      </c>
      <c r="L991" s="1">
        <v>14.75</v>
      </c>
      <c r="M991" s="1">
        <v>12.31</v>
      </c>
      <c r="N991" s="1">
        <f t="shared" si="309"/>
        <v>2.4399999999999995</v>
      </c>
      <c r="O991" s="1" t="s">
        <v>379</v>
      </c>
    </row>
    <row r="992" spans="1:15" x14ac:dyDescent="0.25">
      <c r="A992" s="28">
        <v>46100</v>
      </c>
      <c r="B992" s="1" t="s">
        <v>179</v>
      </c>
      <c r="C992" s="1" t="s">
        <v>543</v>
      </c>
      <c r="D992" s="28">
        <f t="shared" si="302"/>
        <v>46123</v>
      </c>
      <c r="E992" s="28">
        <f t="shared" si="303"/>
        <v>46107</v>
      </c>
      <c r="F992" s="28">
        <f t="shared" si="304"/>
        <v>46114</v>
      </c>
      <c r="G992" s="28">
        <f t="shared" si="305"/>
        <v>46120</v>
      </c>
      <c r="H992" s="28">
        <f t="shared" si="306"/>
        <v>46108</v>
      </c>
      <c r="I992" s="28">
        <f t="shared" si="307"/>
        <v>46115</v>
      </c>
      <c r="J992" s="28">
        <v>46134</v>
      </c>
      <c r="K992" s="1">
        <f t="shared" si="308"/>
        <v>34</v>
      </c>
      <c r="L992" s="1">
        <v>14.51</v>
      </c>
      <c r="M992" s="1">
        <v>12.1</v>
      </c>
      <c r="N992" s="1">
        <f t="shared" si="309"/>
        <v>2.41</v>
      </c>
      <c r="O992" s="1" t="s">
        <v>379</v>
      </c>
    </row>
    <row r="993" spans="1:15" x14ac:dyDescent="0.25">
      <c r="A993" s="28">
        <v>46101</v>
      </c>
      <c r="B993" s="1" t="s">
        <v>160</v>
      </c>
      <c r="C993" s="1" t="s">
        <v>544</v>
      </c>
      <c r="D993" s="28">
        <f t="shared" si="302"/>
        <v>46124</v>
      </c>
      <c r="E993" s="28">
        <f t="shared" si="303"/>
        <v>46108</v>
      </c>
      <c r="F993" s="28">
        <f t="shared" si="304"/>
        <v>46115</v>
      </c>
      <c r="G993" s="28">
        <f t="shared" si="305"/>
        <v>46121</v>
      </c>
      <c r="H993" s="28">
        <f t="shared" si="306"/>
        <v>46109</v>
      </c>
      <c r="I993" s="28">
        <f t="shared" si="307"/>
        <v>46116</v>
      </c>
      <c r="J993" s="28">
        <v>46134</v>
      </c>
      <c r="K993" s="1">
        <f t="shared" si="308"/>
        <v>33</v>
      </c>
      <c r="L993" s="1">
        <v>12.37</v>
      </c>
      <c r="M993" s="1">
        <v>10.54</v>
      </c>
      <c r="N993" s="1">
        <f t="shared" si="309"/>
        <v>1.83</v>
      </c>
      <c r="O993" s="1" t="s">
        <v>379</v>
      </c>
    </row>
    <row r="994" spans="1:15" x14ac:dyDescent="0.25">
      <c r="A994" s="28">
        <v>46101</v>
      </c>
      <c r="B994" s="1" t="s">
        <v>161</v>
      </c>
      <c r="C994" s="1" t="s">
        <v>545</v>
      </c>
      <c r="D994" s="28">
        <f t="shared" si="302"/>
        <v>46124</v>
      </c>
      <c r="E994" s="28">
        <f t="shared" si="303"/>
        <v>46108</v>
      </c>
      <c r="F994" s="28">
        <f t="shared" si="304"/>
        <v>46115</v>
      </c>
      <c r="G994" s="28">
        <f t="shared" si="305"/>
        <v>46121</v>
      </c>
      <c r="H994" s="28">
        <f t="shared" si="306"/>
        <v>46109</v>
      </c>
      <c r="I994" s="28">
        <f t="shared" si="307"/>
        <v>46116</v>
      </c>
      <c r="J994" s="28">
        <v>46134</v>
      </c>
      <c r="K994" s="1">
        <f t="shared" si="308"/>
        <v>33</v>
      </c>
      <c r="L994" s="1">
        <v>13.1</v>
      </c>
      <c r="M994" s="1">
        <v>11.21</v>
      </c>
      <c r="N994" s="1">
        <f t="shared" si="309"/>
        <v>1.8899999999999988</v>
      </c>
      <c r="O994" s="1" t="s">
        <v>379</v>
      </c>
    </row>
    <row r="995" spans="1:15" x14ac:dyDescent="0.25">
      <c r="A995" s="28">
        <v>46101</v>
      </c>
      <c r="B995" s="1" t="s">
        <v>162</v>
      </c>
      <c r="C995" s="1" t="s">
        <v>546</v>
      </c>
      <c r="D995" s="28">
        <f t="shared" si="302"/>
        <v>46124</v>
      </c>
      <c r="E995" s="28">
        <f t="shared" si="303"/>
        <v>46108</v>
      </c>
      <c r="F995" s="28">
        <f t="shared" si="304"/>
        <v>46115</v>
      </c>
      <c r="G995" s="28">
        <f t="shared" si="305"/>
        <v>46121</v>
      </c>
      <c r="H995" s="28">
        <f t="shared" si="306"/>
        <v>46109</v>
      </c>
      <c r="I995" s="28">
        <f t="shared" si="307"/>
        <v>46116</v>
      </c>
      <c r="J995" s="28">
        <v>46134</v>
      </c>
      <c r="K995" s="1">
        <f t="shared" si="308"/>
        <v>33</v>
      </c>
      <c r="L995" s="1">
        <v>12.28</v>
      </c>
      <c r="M995" s="1">
        <v>10.33</v>
      </c>
      <c r="N995" s="1">
        <f t="shared" si="309"/>
        <v>1.9499999999999993</v>
      </c>
      <c r="O995" s="1" t="s">
        <v>379</v>
      </c>
    </row>
    <row r="996" spans="1:15" x14ac:dyDescent="0.25">
      <c r="A996" s="28">
        <v>46101</v>
      </c>
      <c r="B996" s="1" t="s">
        <v>163</v>
      </c>
      <c r="C996" s="1" t="s">
        <v>547</v>
      </c>
      <c r="D996" s="28">
        <f t="shared" si="302"/>
        <v>46124</v>
      </c>
      <c r="E996" s="28">
        <f t="shared" si="303"/>
        <v>46108</v>
      </c>
      <c r="F996" s="28">
        <f t="shared" si="304"/>
        <v>46115</v>
      </c>
      <c r="G996" s="28">
        <f t="shared" si="305"/>
        <v>46121</v>
      </c>
      <c r="H996" s="28">
        <f t="shared" si="306"/>
        <v>46109</v>
      </c>
      <c r="I996" s="28">
        <f t="shared" si="307"/>
        <v>46116</v>
      </c>
      <c r="J996" s="28">
        <v>46134</v>
      </c>
      <c r="K996" s="1">
        <f t="shared" si="308"/>
        <v>33</v>
      </c>
      <c r="L996" s="1">
        <v>12.35</v>
      </c>
      <c r="M996" s="1">
        <v>10.42</v>
      </c>
      <c r="N996" s="1">
        <f t="shared" si="309"/>
        <v>1.9299999999999997</v>
      </c>
      <c r="O996" s="1" t="s">
        <v>379</v>
      </c>
    </row>
    <row r="997" spans="1:15" x14ac:dyDescent="0.25">
      <c r="A997" s="28">
        <v>46101</v>
      </c>
      <c r="B997" s="1" t="s">
        <v>164</v>
      </c>
      <c r="C997" s="1" t="s">
        <v>548</v>
      </c>
      <c r="D997" s="28">
        <f t="shared" si="302"/>
        <v>46124</v>
      </c>
      <c r="E997" s="28">
        <f t="shared" si="303"/>
        <v>46108</v>
      </c>
      <c r="F997" s="28">
        <f t="shared" si="304"/>
        <v>46115</v>
      </c>
      <c r="G997" s="28">
        <f t="shared" si="305"/>
        <v>46121</v>
      </c>
      <c r="H997" s="28">
        <f t="shared" si="306"/>
        <v>46109</v>
      </c>
      <c r="I997" s="28">
        <f t="shared" si="307"/>
        <v>46116</v>
      </c>
      <c r="J997" s="28">
        <v>46135</v>
      </c>
      <c r="K997" s="1">
        <f t="shared" si="308"/>
        <v>34</v>
      </c>
      <c r="L997" s="1">
        <v>13.42</v>
      </c>
      <c r="M997" s="1">
        <v>12.24</v>
      </c>
      <c r="N997" s="1">
        <f t="shared" si="309"/>
        <v>1.1799999999999997</v>
      </c>
      <c r="O997" s="1" t="s">
        <v>379</v>
      </c>
    </row>
    <row r="998" spans="1:15" x14ac:dyDescent="0.25">
      <c r="A998" s="28">
        <v>46101</v>
      </c>
      <c r="B998" s="1" t="s">
        <v>165</v>
      </c>
      <c r="C998" s="1" t="s">
        <v>549</v>
      </c>
      <c r="D998" s="28">
        <f t="shared" si="302"/>
        <v>46124</v>
      </c>
      <c r="E998" s="28">
        <f t="shared" si="303"/>
        <v>46108</v>
      </c>
      <c r="F998" s="28">
        <f t="shared" si="304"/>
        <v>46115</v>
      </c>
      <c r="G998" s="28">
        <f t="shared" si="305"/>
        <v>46121</v>
      </c>
      <c r="H998" s="28">
        <f t="shared" si="306"/>
        <v>46109</v>
      </c>
      <c r="I998" s="28">
        <f t="shared" si="307"/>
        <v>46116</v>
      </c>
      <c r="J998" s="28">
        <v>46135</v>
      </c>
      <c r="K998" s="1">
        <f t="shared" ref="K998:K1002" si="310">J998-A998</f>
        <v>34</v>
      </c>
      <c r="L998" s="1">
        <v>14.56</v>
      </c>
      <c r="M998" s="1">
        <v>12.58</v>
      </c>
      <c r="N998" s="1">
        <f t="shared" si="309"/>
        <v>1.9800000000000004</v>
      </c>
      <c r="O998" s="1" t="s">
        <v>379</v>
      </c>
    </row>
    <row r="999" spans="1:15" x14ac:dyDescent="0.25">
      <c r="A999" s="28">
        <v>46101</v>
      </c>
      <c r="B999" s="1" t="s">
        <v>166</v>
      </c>
      <c r="C999" s="1" t="s">
        <v>550</v>
      </c>
      <c r="D999" s="28">
        <f t="shared" si="302"/>
        <v>46124</v>
      </c>
      <c r="E999" s="28">
        <f t="shared" si="303"/>
        <v>46108</v>
      </c>
      <c r="F999" s="28">
        <f t="shared" si="304"/>
        <v>46115</v>
      </c>
      <c r="G999" s="28">
        <f t="shared" si="305"/>
        <v>46121</v>
      </c>
      <c r="H999" s="28">
        <f t="shared" si="306"/>
        <v>46109</v>
      </c>
      <c r="I999" s="28">
        <f t="shared" si="307"/>
        <v>46116</v>
      </c>
      <c r="J999" s="28">
        <v>46135</v>
      </c>
      <c r="K999" s="1">
        <f t="shared" si="310"/>
        <v>34</v>
      </c>
      <c r="L999" s="1">
        <v>15.38</v>
      </c>
      <c r="M999" s="1">
        <v>13.21</v>
      </c>
      <c r="N999" s="1">
        <f t="shared" si="309"/>
        <v>2.17</v>
      </c>
      <c r="O999" s="1" t="s">
        <v>379</v>
      </c>
    </row>
    <row r="1000" spans="1:15" x14ac:dyDescent="0.25">
      <c r="A1000" s="28">
        <v>46102</v>
      </c>
      <c r="B1000" s="1" t="s">
        <v>180</v>
      </c>
      <c r="C1000" s="1" t="s">
        <v>551</v>
      </c>
      <c r="D1000" s="28">
        <f t="shared" si="302"/>
        <v>46125</v>
      </c>
      <c r="E1000" s="28">
        <f t="shared" si="303"/>
        <v>46109</v>
      </c>
      <c r="F1000" s="28">
        <f t="shared" si="304"/>
        <v>46116</v>
      </c>
      <c r="G1000" s="28">
        <f t="shared" si="305"/>
        <v>46122</v>
      </c>
      <c r="H1000" s="28">
        <f t="shared" si="306"/>
        <v>46110</v>
      </c>
      <c r="I1000" s="28">
        <f t="shared" si="307"/>
        <v>46117</v>
      </c>
      <c r="J1000" s="28">
        <v>46135</v>
      </c>
      <c r="K1000" s="1">
        <f t="shared" si="310"/>
        <v>33</v>
      </c>
      <c r="L1000" s="1">
        <v>14.51</v>
      </c>
      <c r="M1000" s="1">
        <v>12.47</v>
      </c>
      <c r="N1000" s="1">
        <f t="shared" si="309"/>
        <v>2.0399999999999991</v>
      </c>
      <c r="O1000" s="1" t="s">
        <v>379</v>
      </c>
    </row>
    <row r="1001" spans="1:15" x14ac:dyDescent="0.25">
      <c r="A1001" s="28">
        <v>46102</v>
      </c>
      <c r="B1001" s="1" t="s">
        <v>181</v>
      </c>
      <c r="C1001" s="1" t="s">
        <v>552</v>
      </c>
      <c r="D1001" s="28">
        <f t="shared" si="302"/>
        <v>46125</v>
      </c>
      <c r="E1001" s="28">
        <f t="shared" si="303"/>
        <v>46109</v>
      </c>
      <c r="F1001" s="28">
        <f t="shared" si="304"/>
        <v>46116</v>
      </c>
      <c r="G1001" s="28">
        <f t="shared" si="305"/>
        <v>46122</v>
      </c>
      <c r="H1001" s="28">
        <f t="shared" si="306"/>
        <v>46110</v>
      </c>
      <c r="I1001" s="28">
        <f t="shared" si="307"/>
        <v>46117</v>
      </c>
      <c r="J1001" s="28">
        <v>46135</v>
      </c>
      <c r="K1001" s="1">
        <f t="shared" si="310"/>
        <v>33</v>
      </c>
      <c r="L1001" s="1">
        <v>14.49</v>
      </c>
      <c r="M1001" s="1">
        <v>12.51</v>
      </c>
      <c r="N1001" s="1">
        <f t="shared" si="309"/>
        <v>1.9800000000000004</v>
      </c>
      <c r="O1001" s="1" t="s">
        <v>379</v>
      </c>
    </row>
    <row r="1002" spans="1:15" x14ac:dyDescent="0.25">
      <c r="A1002" s="28">
        <v>46102</v>
      </c>
      <c r="B1002" s="1" t="s">
        <v>182</v>
      </c>
      <c r="C1002" s="1" t="s">
        <v>553</v>
      </c>
      <c r="D1002" s="28">
        <f t="shared" si="302"/>
        <v>46125</v>
      </c>
      <c r="E1002" s="28">
        <f t="shared" si="303"/>
        <v>46109</v>
      </c>
      <c r="F1002" s="28">
        <f t="shared" si="304"/>
        <v>46116</v>
      </c>
      <c r="G1002" s="28">
        <f t="shared" si="305"/>
        <v>46122</v>
      </c>
      <c r="H1002" s="28">
        <f t="shared" si="306"/>
        <v>46110</v>
      </c>
      <c r="I1002" s="28">
        <f t="shared" si="307"/>
        <v>46117</v>
      </c>
      <c r="J1002" s="28">
        <v>46135</v>
      </c>
      <c r="K1002" s="1">
        <f t="shared" si="310"/>
        <v>33</v>
      </c>
      <c r="L1002" s="1">
        <v>15.26</v>
      </c>
      <c r="M1002" s="1">
        <v>13.71</v>
      </c>
      <c r="N1002" s="1">
        <f t="shared" si="309"/>
        <v>1.5499999999999989</v>
      </c>
      <c r="O1002" s="1" t="s">
        <v>379</v>
      </c>
    </row>
    <row r="1003" spans="1:15" x14ac:dyDescent="0.25">
      <c r="A1003" s="28">
        <v>46102</v>
      </c>
      <c r="B1003" s="1" t="s">
        <v>183</v>
      </c>
      <c r="C1003" s="1" t="s">
        <v>554</v>
      </c>
      <c r="D1003" s="28">
        <f t="shared" si="302"/>
        <v>46125</v>
      </c>
      <c r="E1003" s="28">
        <f t="shared" si="303"/>
        <v>46109</v>
      </c>
      <c r="F1003" s="28">
        <f t="shared" si="304"/>
        <v>46116</v>
      </c>
      <c r="G1003" s="28">
        <f t="shared" si="305"/>
        <v>46122</v>
      </c>
      <c r="H1003" s="28">
        <f t="shared" si="306"/>
        <v>46110</v>
      </c>
      <c r="I1003" s="28">
        <f t="shared" si="307"/>
        <v>46117</v>
      </c>
      <c r="J1003" s="28">
        <v>46136</v>
      </c>
      <c r="K1003" s="1">
        <f t="shared" ref="K1003" si="311">J1003-A1003</f>
        <v>34</v>
      </c>
      <c r="L1003" s="1">
        <v>13.16</v>
      </c>
      <c r="M1003" s="1">
        <v>11.47</v>
      </c>
      <c r="N1003" s="1">
        <f t="shared" si="309"/>
        <v>1.6899999999999995</v>
      </c>
      <c r="O1003" s="1" t="s">
        <v>379</v>
      </c>
    </row>
    <row r="1004" spans="1:15" x14ac:dyDescent="0.25">
      <c r="A1004" s="28">
        <v>46102</v>
      </c>
      <c r="B1004" s="1" t="s">
        <v>184</v>
      </c>
      <c r="C1004" s="1" t="s">
        <v>555</v>
      </c>
      <c r="D1004" s="28">
        <f t="shared" si="302"/>
        <v>46125</v>
      </c>
      <c r="E1004" s="28">
        <f t="shared" si="303"/>
        <v>46109</v>
      </c>
      <c r="F1004" s="28">
        <f t="shared" si="304"/>
        <v>46116</v>
      </c>
      <c r="G1004" s="28">
        <f t="shared" si="305"/>
        <v>46122</v>
      </c>
      <c r="H1004" s="28">
        <f t="shared" si="306"/>
        <v>46110</v>
      </c>
      <c r="I1004" s="28">
        <f t="shared" si="307"/>
        <v>46117</v>
      </c>
      <c r="J1004" s="28">
        <v>46136</v>
      </c>
      <c r="K1004" s="1">
        <f t="shared" ref="K1004:K1010" si="312">J1004-A1004</f>
        <v>34</v>
      </c>
      <c r="L1004" s="1">
        <v>12.41</v>
      </c>
      <c r="M1004" s="1">
        <v>10.58</v>
      </c>
      <c r="N1004" s="1">
        <f t="shared" si="309"/>
        <v>1.83</v>
      </c>
      <c r="O1004" s="1" t="s">
        <v>379</v>
      </c>
    </row>
    <row r="1005" spans="1:15" x14ac:dyDescent="0.25">
      <c r="A1005" s="28">
        <v>46102</v>
      </c>
      <c r="B1005" s="1" t="s">
        <v>185</v>
      </c>
      <c r="C1005" s="1" t="s">
        <v>556</v>
      </c>
      <c r="D1005" s="28">
        <f t="shared" si="302"/>
        <v>46125</v>
      </c>
      <c r="E1005" s="28">
        <f t="shared" si="303"/>
        <v>46109</v>
      </c>
      <c r="F1005" s="28">
        <f t="shared" si="304"/>
        <v>46116</v>
      </c>
      <c r="G1005" s="28">
        <f t="shared" si="305"/>
        <v>46122</v>
      </c>
      <c r="H1005" s="28">
        <f t="shared" si="306"/>
        <v>46110</v>
      </c>
      <c r="I1005" s="28">
        <f t="shared" si="307"/>
        <v>46117</v>
      </c>
      <c r="J1005" s="28">
        <v>46136</v>
      </c>
      <c r="K1005" s="1">
        <f t="shared" si="312"/>
        <v>34</v>
      </c>
      <c r="L1005" s="1">
        <v>12.78</v>
      </c>
      <c r="M1005" s="1">
        <v>11.22</v>
      </c>
      <c r="N1005" s="1">
        <f t="shared" si="309"/>
        <v>1.5599999999999987</v>
      </c>
      <c r="O1005" s="1" t="s">
        <v>379</v>
      </c>
    </row>
    <row r="1006" spans="1:15" x14ac:dyDescent="0.25">
      <c r="A1006" s="28">
        <v>46102</v>
      </c>
      <c r="B1006" s="1" t="s">
        <v>186</v>
      </c>
      <c r="C1006" s="1" t="s">
        <v>557</v>
      </c>
      <c r="D1006" s="28">
        <f t="shared" si="302"/>
        <v>46125</v>
      </c>
      <c r="E1006" s="28">
        <f t="shared" si="303"/>
        <v>46109</v>
      </c>
      <c r="F1006" s="28">
        <f t="shared" si="304"/>
        <v>46116</v>
      </c>
      <c r="G1006" s="28">
        <f t="shared" si="305"/>
        <v>46122</v>
      </c>
      <c r="H1006" s="28">
        <f t="shared" si="306"/>
        <v>46110</v>
      </c>
      <c r="I1006" s="28">
        <f t="shared" si="307"/>
        <v>46117</v>
      </c>
      <c r="J1006" s="28">
        <v>46136</v>
      </c>
      <c r="K1006" s="1">
        <f t="shared" si="312"/>
        <v>34</v>
      </c>
      <c r="L1006" s="1">
        <v>13.96</v>
      </c>
      <c r="M1006" s="1">
        <v>12.45</v>
      </c>
      <c r="N1006" s="1">
        <f t="shared" si="309"/>
        <v>1.5100000000000016</v>
      </c>
      <c r="O1006" s="1" t="s">
        <v>379</v>
      </c>
    </row>
    <row r="1007" spans="1:15" x14ac:dyDescent="0.25">
      <c r="A1007" s="28">
        <v>46103</v>
      </c>
      <c r="B1007" s="1" t="s">
        <v>167</v>
      </c>
      <c r="C1007" s="1" t="s">
        <v>558</v>
      </c>
      <c r="D1007" s="28">
        <f t="shared" si="302"/>
        <v>46126</v>
      </c>
      <c r="E1007" s="28">
        <f t="shared" si="303"/>
        <v>46110</v>
      </c>
      <c r="F1007" s="28">
        <f t="shared" si="304"/>
        <v>46117</v>
      </c>
      <c r="G1007" s="28">
        <f t="shared" si="305"/>
        <v>46123</v>
      </c>
      <c r="H1007" s="28">
        <f t="shared" si="306"/>
        <v>46111</v>
      </c>
      <c r="I1007" s="28">
        <f t="shared" si="307"/>
        <v>46118</v>
      </c>
      <c r="J1007" s="28">
        <v>46136</v>
      </c>
      <c r="K1007" s="1">
        <f t="shared" si="312"/>
        <v>33</v>
      </c>
      <c r="L1007" s="1">
        <v>12.18</v>
      </c>
      <c r="M1007" s="1">
        <v>10.58</v>
      </c>
      <c r="N1007" s="1">
        <f t="shared" si="309"/>
        <v>1.5999999999999996</v>
      </c>
      <c r="O1007" s="1" t="s">
        <v>379</v>
      </c>
    </row>
    <row r="1008" spans="1:15" x14ac:dyDescent="0.25">
      <c r="A1008" s="28">
        <v>46103</v>
      </c>
      <c r="B1008" s="1" t="s">
        <v>168</v>
      </c>
      <c r="C1008" s="1" t="s">
        <v>559</v>
      </c>
      <c r="D1008" s="28">
        <f t="shared" si="302"/>
        <v>46126</v>
      </c>
      <c r="E1008" s="28">
        <f t="shared" si="303"/>
        <v>46110</v>
      </c>
      <c r="F1008" s="28">
        <f t="shared" si="304"/>
        <v>46117</v>
      </c>
      <c r="G1008" s="28">
        <f t="shared" si="305"/>
        <v>46123</v>
      </c>
      <c r="H1008" s="28">
        <f t="shared" si="306"/>
        <v>46111</v>
      </c>
      <c r="I1008" s="28">
        <f t="shared" si="307"/>
        <v>46118</v>
      </c>
      <c r="J1008" s="28">
        <v>46136</v>
      </c>
      <c r="K1008" s="1">
        <f t="shared" si="312"/>
        <v>33</v>
      </c>
      <c r="L1008" s="1">
        <v>14.1</v>
      </c>
      <c r="M1008" s="1">
        <v>12.36</v>
      </c>
      <c r="N1008" s="1">
        <f t="shared" si="309"/>
        <v>1.7400000000000002</v>
      </c>
      <c r="O1008" s="1" t="s">
        <v>379</v>
      </c>
    </row>
    <row r="1009" spans="1:15" x14ac:dyDescent="0.25">
      <c r="A1009" s="28">
        <v>46103</v>
      </c>
      <c r="B1009" s="1" t="s">
        <v>169</v>
      </c>
      <c r="C1009" s="1" t="s">
        <v>560</v>
      </c>
      <c r="D1009" s="28">
        <f t="shared" si="302"/>
        <v>46126</v>
      </c>
      <c r="E1009" s="28">
        <f t="shared" si="303"/>
        <v>46110</v>
      </c>
      <c r="F1009" s="28">
        <f t="shared" si="304"/>
        <v>46117</v>
      </c>
      <c r="G1009" s="28">
        <f t="shared" si="305"/>
        <v>46123</v>
      </c>
      <c r="H1009" s="28">
        <f t="shared" si="306"/>
        <v>46111</v>
      </c>
      <c r="I1009" s="28">
        <f t="shared" si="307"/>
        <v>46118</v>
      </c>
      <c r="J1009" s="28">
        <v>46136</v>
      </c>
      <c r="K1009" s="1">
        <f t="shared" si="312"/>
        <v>33</v>
      </c>
      <c r="L1009" s="1">
        <v>13.27</v>
      </c>
      <c r="M1009" s="1">
        <v>11.54</v>
      </c>
      <c r="N1009" s="1">
        <f t="shared" si="309"/>
        <v>1.7300000000000004</v>
      </c>
      <c r="O1009" s="1" t="s">
        <v>379</v>
      </c>
    </row>
    <row r="1010" spans="1:15" x14ac:dyDescent="0.25">
      <c r="A1010" s="28">
        <v>46103</v>
      </c>
      <c r="B1010" s="1" t="s">
        <v>170</v>
      </c>
      <c r="C1010" s="1" t="s">
        <v>561</v>
      </c>
      <c r="D1010" s="28">
        <f t="shared" si="302"/>
        <v>46126</v>
      </c>
      <c r="E1010" s="28">
        <f t="shared" si="303"/>
        <v>46110</v>
      </c>
      <c r="F1010" s="28">
        <f t="shared" si="304"/>
        <v>46117</v>
      </c>
      <c r="G1010" s="28">
        <f t="shared" si="305"/>
        <v>46123</v>
      </c>
      <c r="H1010" s="28">
        <f t="shared" si="306"/>
        <v>46111</v>
      </c>
      <c r="I1010" s="28">
        <f t="shared" si="307"/>
        <v>46118</v>
      </c>
      <c r="J1010" s="28">
        <v>46136</v>
      </c>
      <c r="K1010" s="1">
        <f t="shared" si="312"/>
        <v>33</v>
      </c>
      <c r="L1010" s="1">
        <v>14.08</v>
      </c>
      <c r="M1010" s="1">
        <v>12.73</v>
      </c>
      <c r="N1010" s="1">
        <f t="shared" si="309"/>
        <v>1.3499999999999996</v>
      </c>
      <c r="O1010" s="1" t="s">
        <v>379</v>
      </c>
    </row>
    <row r="1011" spans="1:15" x14ac:dyDescent="0.25">
      <c r="A1011" s="28">
        <v>46103</v>
      </c>
      <c r="B1011" s="1" t="s">
        <v>171</v>
      </c>
      <c r="C1011" s="1" t="s">
        <v>562</v>
      </c>
      <c r="D1011" s="28">
        <f t="shared" si="302"/>
        <v>46126</v>
      </c>
      <c r="E1011" s="28">
        <f t="shared" si="303"/>
        <v>46110</v>
      </c>
      <c r="F1011" s="28">
        <f t="shared" si="304"/>
        <v>46117</v>
      </c>
      <c r="G1011" s="28">
        <f t="shared" si="305"/>
        <v>46123</v>
      </c>
      <c r="H1011" s="28">
        <f t="shared" si="306"/>
        <v>46111</v>
      </c>
      <c r="I1011" s="28">
        <f t="shared" si="307"/>
        <v>46118</v>
      </c>
      <c r="J1011" s="28">
        <v>46137</v>
      </c>
      <c r="K1011" s="1">
        <f t="shared" ref="K1011" si="313">J1011-A1011</f>
        <v>34</v>
      </c>
      <c r="L1011" s="1">
        <v>13.16</v>
      </c>
      <c r="M1011" s="1">
        <v>11.54</v>
      </c>
      <c r="N1011" s="1">
        <f t="shared" ref="N1011:N1019" si="314">L1011-M1011</f>
        <v>1.620000000000001</v>
      </c>
      <c r="O1011" s="1" t="s">
        <v>379</v>
      </c>
    </row>
    <row r="1012" spans="1:15" x14ac:dyDescent="0.25">
      <c r="A1012" s="28">
        <v>46103</v>
      </c>
      <c r="B1012" s="1" t="s">
        <v>187</v>
      </c>
      <c r="C1012" s="1" t="s">
        <v>563</v>
      </c>
      <c r="D1012" s="28">
        <f t="shared" si="302"/>
        <v>46126</v>
      </c>
      <c r="E1012" s="28">
        <f t="shared" si="303"/>
        <v>46110</v>
      </c>
      <c r="F1012" s="28">
        <f t="shared" si="304"/>
        <v>46117</v>
      </c>
      <c r="G1012" s="28">
        <f t="shared" si="305"/>
        <v>46123</v>
      </c>
      <c r="H1012" s="28">
        <f t="shared" si="306"/>
        <v>46111</v>
      </c>
      <c r="I1012" s="28">
        <f t="shared" si="307"/>
        <v>46118</v>
      </c>
      <c r="J1012" s="28">
        <v>46137</v>
      </c>
      <c r="K1012" s="1">
        <f t="shared" ref="K1012:K1019" si="315">J1012-A1012</f>
        <v>34</v>
      </c>
      <c r="L1012" s="1">
        <v>12.07</v>
      </c>
      <c r="M1012" s="1">
        <v>10.210000000000001</v>
      </c>
      <c r="N1012" s="1">
        <f t="shared" si="314"/>
        <v>1.8599999999999994</v>
      </c>
      <c r="O1012" s="1" t="s">
        <v>379</v>
      </c>
    </row>
    <row r="1013" spans="1:15" x14ac:dyDescent="0.25">
      <c r="A1013" s="28">
        <v>46103</v>
      </c>
      <c r="B1013" s="1" t="s">
        <v>188</v>
      </c>
      <c r="C1013" s="1" t="s">
        <v>564</v>
      </c>
      <c r="D1013" s="28">
        <f t="shared" si="302"/>
        <v>46126</v>
      </c>
      <c r="E1013" s="28">
        <f t="shared" si="303"/>
        <v>46110</v>
      </c>
      <c r="F1013" s="28">
        <f t="shared" si="304"/>
        <v>46117</v>
      </c>
      <c r="G1013" s="28">
        <f t="shared" si="305"/>
        <v>46123</v>
      </c>
      <c r="H1013" s="28">
        <f t="shared" si="306"/>
        <v>46111</v>
      </c>
      <c r="I1013" s="28">
        <f t="shared" si="307"/>
        <v>46118</v>
      </c>
      <c r="J1013" s="28">
        <v>46137</v>
      </c>
      <c r="K1013" s="1">
        <f t="shared" si="315"/>
        <v>34</v>
      </c>
      <c r="L1013" s="1">
        <v>13.24</v>
      </c>
      <c r="M1013" s="1">
        <v>11.57</v>
      </c>
      <c r="N1013" s="1">
        <f t="shared" si="314"/>
        <v>1.67</v>
      </c>
      <c r="O1013" s="1" t="s">
        <v>379</v>
      </c>
    </row>
    <row r="1014" spans="1:15" x14ac:dyDescent="0.25">
      <c r="A1014" s="28">
        <v>46104</v>
      </c>
      <c r="B1014" s="1" t="s">
        <v>189</v>
      </c>
      <c r="C1014" s="1" t="s">
        <v>573</v>
      </c>
      <c r="D1014" s="28">
        <f t="shared" si="302"/>
        <v>46127</v>
      </c>
      <c r="E1014" s="28">
        <f t="shared" si="303"/>
        <v>46111</v>
      </c>
      <c r="F1014" s="28">
        <f t="shared" si="304"/>
        <v>46118</v>
      </c>
      <c r="G1014" s="28">
        <f t="shared" si="305"/>
        <v>46124</v>
      </c>
      <c r="H1014" s="28">
        <f t="shared" si="306"/>
        <v>46112</v>
      </c>
      <c r="I1014" s="28">
        <f t="shared" si="307"/>
        <v>46119</v>
      </c>
      <c r="J1014" s="28">
        <v>46137</v>
      </c>
      <c r="K1014" s="1">
        <f t="shared" si="315"/>
        <v>33</v>
      </c>
      <c r="L1014" s="1">
        <v>13.2</v>
      </c>
      <c r="M1014" s="1">
        <v>11.51</v>
      </c>
      <c r="N1014" s="1">
        <f t="shared" si="314"/>
        <v>1.6899999999999995</v>
      </c>
      <c r="O1014" s="1" t="s">
        <v>379</v>
      </c>
    </row>
    <row r="1015" spans="1:15" x14ac:dyDescent="0.25">
      <c r="A1015" s="28">
        <v>46104</v>
      </c>
      <c r="B1015" s="1" t="s">
        <v>190</v>
      </c>
      <c r="C1015" s="1" t="s">
        <v>574</v>
      </c>
      <c r="D1015" s="28">
        <f t="shared" si="302"/>
        <v>46127</v>
      </c>
      <c r="E1015" s="28">
        <f t="shared" si="303"/>
        <v>46111</v>
      </c>
      <c r="F1015" s="28">
        <f t="shared" si="304"/>
        <v>46118</v>
      </c>
      <c r="G1015" s="28">
        <f t="shared" si="305"/>
        <v>46124</v>
      </c>
      <c r="H1015" s="28">
        <f t="shared" si="306"/>
        <v>46112</v>
      </c>
      <c r="I1015" s="28">
        <f t="shared" si="307"/>
        <v>46119</v>
      </c>
      <c r="J1015" s="28">
        <v>46137</v>
      </c>
      <c r="K1015" s="1">
        <f t="shared" si="315"/>
        <v>33</v>
      </c>
      <c r="L1015" s="1">
        <v>12.97</v>
      </c>
      <c r="M1015" s="1">
        <v>11.2</v>
      </c>
      <c r="N1015" s="1">
        <f t="shared" si="314"/>
        <v>1.7700000000000014</v>
      </c>
      <c r="O1015" s="1" t="s">
        <v>379</v>
      </c>
    </row>
    <row r="1016" spans="1:15" x14ac:dyDescent="0.25">
      <c r="A1016" s="28">
        <v>46104</v>
      </c>
      <c r="B1016" s="1" t="s">
        <v>191</v>
      </c>
      <c r="C1016" s="1" t="s">
        <v>575</v>
      </c>
      <c r="D1016" s="28">
        <f t="shared" si="302"/>
        <v>46127</v>
      </c>
      <c r="E1016" s="28">
        <f t="shared" si="303"/>
        <v>46111</v>
      </c>
      <c r="F1016" s="28">
        <f t="shared" si="304"/>
        <v>46118</v>
      </c>
      <c r="G1016" s="28">
        <f t="shared" si="305"/>
        <v>46124</v>
      </c>
      <c r="H1016" s="28">
        <f t="shared" si="306"/>
        <v>46112</v>
      </c>
      <c r="I1016" s="28">
        <f t="shared" si="307"/>
        <v>46119</v>
      </c>
      <c r="J1016" s="28">
        <v>46137</v>
      </c>
      <c r="K1016" s="1">
        <f t="shared" si="315"/>
        <v>33</v>
      </c>
      <c r="L1016" s="1">
        <v>14.26</v>
      </c>
      <c r="M1016" s="1">
        <v>12.38</v>
      </c>
      <c r="N1016" s="1">
        <f t="shared" si="314"/>
        <v>1.879999999999999</v>
      </c>
      <c r="O1016" s="1" t="s">
        <v>379</v>
      </c>
    </row>
    <row r="1017" spans="1:15" x14ac:dyDescent="0.25">
      <c r="A1017" s="28">
        <v>46104</v>
      </c>
      <c r="B1017" s="1" t="s">
        <v>200</v>
      </c>
      <c r="C1017" s="1" t="s">
        <v>569</v>
      </c>
      <c r="D1017" s="28">
        <f t="shared" si="302"/>
        <v>46127</v>
      </c>
      <c r="E1017" s="28">
        <f t="shared" si="303"/>
        <v>46111</v>
      </c>
      <c r="F1017" s="28">
        <f t="shared" si="304"/>
        <v>46118</v>
      </c>
      <c r="G1017" s="28">
        <f t="shared" si="305"/>
        <v>46124</v>
      </c>
      <c r="H1017" s="28">
        <f t="shared" si="306"/>
        <v>46112</v>
      </c>
      <c r="I1017" s="28">
        <f t="shared" si="307"/>
        <v>46119</v>
      </c>
      <c r="J1017" s="28">
        <v>46138</v>
      </c>
      <c r="K1017" s="1">
        <f t="shared" ref="K1017" si="316">J1017-A1017</f>
        <v>34</v>
      </c>
      <c r="L1017" s="1">
        <v>12.41</v>
      </c>
      <c r="M1017" s="1">
        <v>10.58</v>
      </c>
      <c r="N1017" s="1">
        <f t="shared" si="314"/>
        <v>1.83</v>
      </c>
      <c r="O1017" s="1" t="s">
        <v>379</v>
      </c>
    </row>
    <row r="1018" spans="1:15" x14ac:dyDescent="0.25">
      <c r="A1018" s="28">
        <v>46104</v>
      </c>
      <c r="B1018" s="1" t="s">
        <v>201</v>
      </c>
      <c r="C1018" s="1" t="s">
        <v>570</v>
      </c>
      <c r="D1018" s="28">
        <f t="shared" si="302"/>
        <v>46127</v>
      </c>
      <c r="E1018" s="28">
        <f t="shared" si="303"/>
        <v>46111</v>
      </c>
      <c r="F1018" s="28">
        <f t="shared" si="304"/>
        <v>46118</v>
      </c>
      <c r="G1018" s="28">
        <f t="shared" si="305"/>
        <v>46124</v>
      </c>
      <c r="H1018" s="28">
        <f t="shared" si="306"/>
        <v>46112</v>
      </c>
      <c r="I1018" s="28">
        <f t="shared" si="307"/>
        <v>46119</v>
      </c>
      <c r="J1018" s="28">
        <v>46138</v>
      </c>
      <c r="K1018" s="1">
        <f t="shared" ref="K1018" si="317">J1018-A1018</f>
        <v>34</v>
      </c>
      <c r="L1018" s="1">
        <v>13.68</v>
      </c>
      <c r="M1018" s="1">
        <v>11.32</v>
      </c>
      <c r="N1018" s="1">
        <f t="shared" si="314"/>
        <v>2.3599999999999994</v>
      </c>
      <c r="O1018" s="1" t="s">
        <v>379</v>
      </c>
    </row>
    <row r="1019" spans="1:15" x14ac:dyDescent="0.25">
      <c r="A1019" s="28">
        <v>46104</v>
      </c>
      <c r="B1019" s="1" t="s">
        <v>202</v>
      </c>
      <c r="C1019" s="1" t="s">
        <v>571</v>
      </c>
      <c r="D1019" s="28">
        <f t="shared" si="302"/>
        <v>46127</v>
      </c>
      <c r="E1019" s="28">
        <f t="shared" si="303"/>
        <v>46111</v>
      </c>
      <c r="F1019" s="28">
        <f t="shared" si="304"/>
        <v>46118</v>
      </c>
      <c r="G1019" s="28">
        <f t="shared" si="305"/>
        <v>46124</v>
      </c>
      <c r="H1019" s="28">
        <f t="shared" si="306"/>
        <v>46112</v>
      </c>
      <c r="I1019" s="28">
        <f t="shared" si="307"/>
        <v>46119</v>
      </c>
      <c r="J1019" s="28">
        <v>46137</v>
      </c>
      <c r="K1019" s="1">
        <f t="shared" si="315"/>
        <v>33</v>
      </c>
      <c r="L1019" s="1">
        <v>13.45</v>
      </c>
      <c r="M1019" s="1">
        <v>11.12</v>
      </c>
      <c r="N1019" s="1">
        <f t="shared" si="314"/>
        <v>2.33</v>
      </c>
      <c r="O1019" s="1" t="s">
        <v>379</v>
      </c>
    </row>
    <row r="1020" spans="1:15" x14ac:dyDescent="0.25">
      <c r="A1020" s="28">
        <v>46104</v>
      </c>
      <c r="B1020" s="1" t="s">
        <v>203</v>
      </c>
      <c r="C1020" s="1" t="s">
        <v>572</v>
      </c>
      <c r="D1020" s="28">
        <f t="shared" si="302"/>
        <v>46127</v>
      </c>
      <c r="E1020" s="28">
        <f t="shared" si="303"/>
        <v>46111</v>
      </c>
      <c r="F1020" s="28">
        <f t="shared" si="304"/>
        <v>46118</v>
      </c>
      <c r="G1020" s="28">
        <f t="shared" si="305"/>
        <v>46124</v>
      </c>
      <c r="H1020" s="28">
        <f t="shared" si="306"/>
        <v>46112</v>
      </c>
      <c r="I1020" s="28">
        <f t="shared" si="307"/>
        <v>46119</v>
      </c>
      <c r="J1020" s="28">
        <v>46137</v>
      </c>
      <c r="K1020" s="1">
        <f t="shared" ref="K1020:K1022" si="318">J1020-A1020</f>
        <v>33</v>
      </c>
      <c r="L1020" s="1">
        <v>12.09</v>
      </c>
      <c r="M1020" s="1">
        <v>10.33</v>
      </c>
      <c r="N1020" s="1">
        <f t="shared" ref="N1020:N1022" si="319">L1020-M1020</f>
        <v>1.7599999999999998</v>
      </c>
      <c r="O1020" s="1" t="s">
        <v>379</v>
      </c>
    </row>
    <row r="1021" spans="1:15" x14ac:dyDescent="0.25">
      <c r="A1021" s="28">
        <v>46105</v>
      </c>
      <c r="B1021" s="1" t="s">
        <v>193</v>
      </c>
      <c r="C1021" s="1" t="s">
        <v>576</v>
      </c>
      <c r="D1021" s="28">
        <f t="shared" si="302"/>
        <v>46128</v>
      </c>
      <c r="E1021" s="28">
        <f t="shared" si="303"/>
        <v>46112</v>
      </c>
      <c r="F1021" s="28">
        <f t="shared" si="304"/>
        <v>46119</v>
      </c>
      <c r="G1021" s="28">
        <f t="shared" si="305"/>
        <v>46125</v>
      </c>
      <c r="H1021" s="28">
        <f t="shared" si="306"/>
        <v>46113</v>
      </c>
      <c r="I1021" s="28">
        <f t="shared" si="307"/>
        <v>46120</v>
      </c>
      <c r="J1021" s="28">
        <v>46139</v>
      </c>
      <c r="K1021" s="1">
        <f t="shared" si="318"/>
        <v>34</v>
      </c>
      <c r="L1021" s="1">
        <v>12.58</v>
      </c>
      <c r="M1021" s="1">
        <v>10.58</v>
      </c>
      <c r="N1021" s="1">
        <f t="shared" si="319"/>
        <v>2</v>
      </c>
      <c r="O1021" s="1" t="s">
        <v>379</v>
      </c>
    </row>
    <row r="1022" spans="1:15" x14ac:dyDescent="0.25">
      <c r="A1022" s="28">
        <v>46105</v>
      </c>
      <c r="B1022" s="1" t="s">
        <v>194</v>
      </c>
      <c r="C1022" s="1" t="s">
        <v>577</v>
      </c>
      <c r="D1022" s="28">
        <f t="shared" si="302"/>
        <v>46128</v>
      </c>
      <c r="E1022" s="28">
        <f t="shared" si="303"/>
        <v>46112</v>
      </c>
      <c r="F1022" s="28">
        <f t="shared" si="304"/>
        <v>46119</v>
      </c>
      <c r="G1022" s="28">
        <f t="shared" si="305"/>
        <v>46125</v>
      </c>
      <c r="H1022" s="28">
        <f t="shared" si="306"/>
        <v>46113</v>
      </c>
      <c r="I1022" s="28">
        <f t="shared" si="307"/>
        <v>46120</v>
      </c>
      <c r="J1022" s="28">
        <v>46139</v>
      </c>
      <c r="K1022" s="1">
        <f t="shared" si="318"/>
        <v>34</v>
      </c>
      <c r="L1022" s="1">
        <v>12.36</v>
      </c>
      <c r="M1022" s="1">
        <v>10.210000000000001</v>
      </c>
      <c r="N1022" s="1">
        <f t="shared" si="319"/>
        <v>2.1499999999999986</v>
      </c>
      <c r="O1022" s="1" t="s">
        <v>379</v>
      </c>
    </row>
    <row r="1023" spans="1:15" x14ac:dyDescent="0.25">
      <c r="A1023" s="28">
        <v>46105</v>
      </c>
      <c r="B1023" s="1" t="s">
        <v>195</v>
      </c>
      <c r="C1023" s="1" t="s">
        <v>578</v>
      </c>
      <c r="D1023" s="28">
        <f t="shared" si="302"/>
        <v>46128</v>
      </c>
      <c r="E1023" s="28">
        <f t="shared" si="303"/>
        <v>46112</v>
      </c>
      <c r="F1023" s="28">
        <f t="shared" si="304"/>
        <v>46119</v>
      </c>
      <c r="G1023" s="28">
        <f t="shared" si="305"/>
        <v>46125</v>
      </c>
      <c r="H1023" s="28">
        <f t="shared" si="306"/>
        <v>46113</v>
      </c>
      <c r="I1023" s="28">
        <f t="shared" si="307"/>
        <v>46120</v>
      </c>
      <c r="J1023" s="28">
        <v>46138</v>
      </c>
      <c r="K1023" s="1">
        <f t="shared" ref="K1023:K1027" si="320">J1023-A1023</f>
        <v>33</v>
      </c>
      <c r="L1023" s="1">
        <v>14.28</v>
      </c>
      <c r="M1023" s="1">
        <v>12.64</v>
      </c>
      <c r="N1023" s="1">
        <f t="shared" ref="N1023:N1033" si="321">L1023-M1023</f>
        <v>1.6399999999999988</v>
      </c>
      <c r="O1023" s="1" t="s">
        <v>379</v>
      </c>
    </row>
    <row r="1024" spans="1:15" x14ac:dyDescent="0.25">
      <c r="A1024" s="28">
        <v>46105</v>
      </c>
      <c r="B1024" s="1" t="s">
        <v>196</v>
      </c>
      <c r="C1024" s="1" t="s">
        <v>565</v>
      </c>
      <c r="D1024" s="28">
        <f t="shared" si="302"/>
        <v>46128</v>
      </c>
      <c r="E1024" s="28">
        <f t="shared" si="303"/>
        <v>46112</v>
      </c>
      <c r="F1024" s="28">
        <f t="shared" si="304"/>
        <v>46119</v>
      </c>
      <c r="G1024" s="28">
        <f t="shared" si="305"/>
        <v>46125</v>
      </c>
      <c r="H1024" s="28">
        <f t="shared" si="306"/>
        <v>46113</v>
      </c>
      <c r="I1024" s="28">
        <f t="shared" si="307"/>
        <v>46120</v>
      </c>
      <c r="J1024" s="28">
        <v>46138</v>
      </c>
      <c r="K1024" s="1">
        <f t="shared" si="320"/>
        <v>33</v>
      </c>
      <c r="L1024" s="1">
        <v>13.57</v>
      </c>
      <c r="M1024" s="1">
        <v>11.72</v>
      </c>
      <c r="N1024" s="1">
        <f t="shared" si="321"/>
        <v>1.8499999999999996</v>
      </c>
      <c r="O1024" s="1" t="s">
        <v>379</v>
      </c>
    </row>
    <row r="1025" spans="1:15" x14ac:dyDescent="0.25">
      <c r="A1025" s="28">
        <v>46105</v>
      </c>
      <c r="B1025" s="1" t="s">
        <v>197</v>
      </c>
      <c r="C1025" s="1" t="s">
        <v>566</v>
      </c>
      <c r="D1025" s="28">
        <f t="shared" si="302"/>
        <v>46128</v>
      </c>
      <c r="E1025" s="28">
        <f t="shared" si="303"/>
        <v>46112</v>
      </c>
      <c r="F1025" s="28">
        <f t="shared" si="304"/>
        <v>46119</v>
      </c>
      <c r="G1025" s="28">
        <f t="shared" si="305"/>
        <v>46125</v>
      </c>
      <c r="H1025" s="28">
        <f t="shared" si="306"/>
        <v>46113</v>
      </c>
      <c r="I1025" s="28">
        <f t="shared" si="307"/>
        <v>46120</v>
      </c>
      <c r="J1025" s="28">
        <v>46138</v>
      </c>
      <c r="K1025" s="1">
        <f t="shared" si="320"/>
        <v>33</v>
      </c>
      <c r="L1025" s="1">
        <v>12.38</v>
      </c>
      <c r="M1025" s="1">
        <v>10.54</v>
      </c>
      <c r="N1025" s="1">
        <f t="shared" si="321"/>
        <v>1.8400000000000016</v>
      </c>
      <c r="O1025" s="1" t="s">
        <v>379</v>
      </c>
    </row>
    <row r="1026" spans="1:15" x14ac:dyDescent="0.25">
      <c r="A1026" s="28">
        <v>46105</v>
      </c>
      <c r="B1026" s="1" t="s">
        <v>198</v>
      </c>
      <c r="C1026" s="1" t="s">
        <v>567</v>
      </c>
      <c r="D1026" s="28">
        <f t="shared" si="302"/>
        <v>46128</v>
      </c>
      <c r="E1026" s="28">
        <f t="shared" si="303"/>
        <v>46112</v>
      </c>
      <c r="F1026" s="28">
        <f t="shared" si="304"/>
        <v>46119</v>
      </c>
      <c r="G1026" s="28">
        <f t="shared" si="305"/>
        <v>46125</v>
      </c>
      <c r="H1026" s="28">
        <f t="shared" si="306"/>
        <v>46113</v>
      </c>
      <c r="I1026" s="28">
        <f t="shared" si="307"/>
        <v>46120</v>
      </c>
      <c r="J1026" s="28">
        <v>46138</v>
      </c>
      <c r="K1026" s="1">
        <f t="shared" si="320"/>
        <v>33</v>
      </c>
      <c r="L1026" s="1">
        <v>14.21</v>
      </c>
      <c r="M1026" s="1">
        <v>12.33</v>
      </c>
      <c r="N1026" s="1">
        <f t="shared" si="321"/>
        <v>1.8800000000000008</v>
      </c>
      <c r="O1026" s="1" t="s">
        <v>379</v>
      </c>
    </row>
    <row r="1027" spans="1:15" x14ac:dyDescent="0.25">
      <c r="A1027" s="28">
        <v>46105</v>
      </c>
      <c r="B1027" s="1" t="s">
        <v>199</v>
      </c>
      <c r="C1027" s="1" t="s">
        <v>568</v>
      </c>
      <c r="D1027" s="28">
        <f t="shared" si="302"/>
        <v>46128</v>
      </c>
      <c r="E1027" s="28">
        <f t="shared" si="303"/>
        <v>46112</v>
      </c>
      <c r="F1027" s="28">
        <f t="shared" si="304"/>
        <v>46119</v>
      </c>
      <c r="G1027" s="28">
        <f t="shared" si="305"/>
        <v>46125</v>
      </c>
      <c r="H1027" s="28">
        <f t="shared" si="306"/>
        <v>46113</v>
      </c>
      <c r="I1027" s="28">
        <f t="shared" si="307"/>
        <v>46120</v>
      </c>
      <c r="J1027" s="28">
        <v>46138</v>
      </c>
      <c r="K1027" s="1">
        <f t="shared" si="320"/>
        <v>33</v>
      </c>
      <c r="L1027" s="1">
        <v>14.16</v>
      </c>
      <c r="M1027" s="1">
        <v>12.14</v>
      </c>
      <c r="N1027" s="1">
        <f t="shared" si="321"/>
        <v>2.0199999999999996</v>
      </c>
      <c r="O1027" s="1" t="s">
        <v>379</v>
      </c>
    </row>
    <row r="1028" spans="1:15" x14ac:dyDescent="0.25">
      <c r="A1028" s="28">
        <v>46106</v>
      </c>
      <c r="B1028" s="1" t="s">
        <v>220</v>
      </c>
      <c r="C1028" s="1" t="s">
        <v>586</v>
      </c>
      <c r="D1028" s="28">
        <f t="shared" si="302"/>
        <v>46129</v>
      </c>
      <c r="E1028" s="28">
        <f t="shared" si="303"/>
        <v>46113</v>
      </c>
      <c r="F1028" s="28">
        <f t="shared" si="304"/>
        <v>46120</v>
      </c>
      <c r="G1028" s="28">
        <f t="shared" si="305"/>
        <v>46126</v>
      </c>
      <c r="H1028" s="28">
        <f t="shared" si="306"/>
        <v>46114</v>
      </c>
      <c r="I1028" s="28">
        <f t="shared" si="307"/>
        <v>46121</v>
      </c>
      <c r="J1028" s="28">
        <v>46142</v>
      </c>
      <c r="K1028" s="1">
        <f t="shared" ref="K1028:K1032" si="322">J1028-A1035</f>
        <v>35</v>
      </c>
      <c r="L1028" s="1">
        <v>13.19</v>
      </c>
      <c r="M1028" s="1">
        <v>11.25</v>
      </c>
      <c r="N1028" s="1">
        <f t="shared" si="321"/>
        <v>1.9399999999999995</v>
      </c>
      <c r="O1028" s="1" t="s">
        <v>379</v>
      </c>
    </row>
    <row r="1029" spans="1:15" x14ac:dyDescent="0.25">
      <c r="A1029" s="28">
        <v>46106</v>
      </c>
      <c r="B1029" s="1" t="s">
        <v>221</v>
      </c>
      <c r="C1029" s="1" t="s">
        <v>587</v>
      </c>
      <c r="D1029" s="28">
        <f t="shared" si="302"/>
        <v>46129</v>
      </c>
      <c r="E1029" s="28">
        <f t="shared" si="303"/>
        <v>46113</v>
      </c>
      <c r="F1029" s="28">
        <f t="shared" si="304"/>
        <v>46120</v>
      </c>
      <c r="G1029" s="28">
        <f t="shared" si="305"/>
        <v>46126</v>
      </c>
      <c r="H1029" s="28">
        <f t="shared" si="306"/>
        <v>46114</v>
      </c>
      <c r="I1029" s="28">
        <f t="shared" si="307"/>
        <v>46121</v>
      </c>
      <c r="J1029" s="28">
        <v>46142</v>
      </c>
      <c r="K1029" s="1">
        <f t="shared" si="322"/>
        <v>35</v>
      </c>
      <c r="L1029" s="1">
        <v>13.25</v>
      </c>
      <c r="M1029" s="1">
        <v>11.36</v>
      </c>
      <c r="N1029" s="1">
        <f t="shared" si="321"/>
        <v>1.8900000000000006</v>
      </c>
      <c r="O1029" s="1" t="s">
        <v>379</v>
      </c>
    </row>
    <row r="1030" spans="1:15" x14ac:dyDescent="0.25">
      <c r="A1030" s="28">
        <v>46106</v>
      </c>
      <c r="B1030" s="1" t="s">
        <v>222</v>
      </c>
      <c r="C1030" s="1" t="s">
        <v>588</v>
      </c>
      <c r="D1030" s="28">
        <f t="shared" si="302"/>
        <v>46129</v>
      </c>
      <c r="E1030" s="28">
        <f t="shared" si="303"/>
        <v>46113</v>
      </c>
      <c r="F1030" s="28">
        <f t="shared" si="304"/>
        <v>46120</v>
      </c>
      <c r="G1030" s="28">
        <f t="shared" si="305"/>
        <v>46126</v>
      </c>
      <c r="H1030" s="28">
        <f t="shared" si="306"/>
        <v>46114</v>
      </c>
      <c r="I1030" s="28">
        <f t="shared" si="307"/>
        <v>46121</v>
      </c>
      <c r="J1030" s="28">
        <v>46142</v>
      </c>
      <c r="K1030" s="1">
        <f t="shared" si="322"/>
        <v>35</v>
      </c>
      <c r="L1030" s="1">
        <v>14.16</v>
      </c>
      <c r="M1030" s="1">
        <v>12.21</v>
      </c>
      <c r="N1030" s="1">
        <f t="shared" si="321"/>
        <v>1.9499999999999993</v>
      </c>
      <c r="O1030" s="1" t="s">
        <v>379</v>
      </c>
    </row>
    <row r="1031" spans="1:15" x14ac:dyDescent="0.25">
      <c r="A1031" s="28">
        <v>46106</v>
      </c>
      <c r="B1031" s="1" t="s">
        <v>223</v>
      </c>
      <c r="C1031" s="1" t="s">
        <v>589</v>
      </c>
      <c r="D1031" s="28">
        <f t="shared" si="302"/>
        <v>46129</v>
      </c>
      <c r="E1031" s="28">
        <f t="shared" si="303"/>
        <v>46113</v>
      </c>
      <c r="F1031" s="28">
        <f t="shared" si="304"/>
        <v>46120</v>
      </c>
      <c r="G1031" s="28">
        <f t="shared" si="305"/>
        <v>46126</v>
      </c>
      <c r="H1031" s="28">
        <f t="shared" si="306"/>
        <v>46114</v>
      </c>
      <c r="I1031" s="28">
        <f t="shared" si="307"/>
        <v>46121</v>
      </c>
      <c r="J1031" s="28">
        <v>46142</v>
      </c>
      <c r="K1031" s="1">
        <f t="shared" si="322"/>
        <v>35</v>
      </c>
      <c r="L1031" s="1">
        <v>13.41</v>
      </c>
      <c r="M1031" s="1">
        <v>11.24</v>
      </c>
      <c r="N1031" s="1">
        <f t="shared" si="321"/>
        <v>2.17</v>
      </c>
      <c r="O1031" s="1" t="s">
        <v>379</v>
      </c>
    </row>
    <row r="1032" spans="1:15" x14ac:dyDescent="0.25">
      <c r="A1032" s="28">
        <v>46106</v>
      </c>
      <c r="B1032" s="1" t="s">
        <v>224</v>
      </c>
      <c r="C1032" s="1" t="s">
        <v>590</v>
      </c>
      <c r="D1032" s="28">
        <f t="shared" si="302"/>
        <v>46129</v>
      </c>
      <c r="E1032" s="28">
        <f t="shared" si="303"/>
        <v>46113</v>
      </c>
      <c r="F1032" s="28">
        <f t="shared" si="304"/>
        <v>46120</v>
      </c>
      <c r="G1032" s="28">
        <f t="shared" si="305"/>
        <v>46126</v>
      </c>
      <c r="H1032" s="28">
        <f t="shared" si="306"/>
        <v>46114</v>
      </c>
      <c r="I1032" s="28">
        <f t="shared" si="307"/>
        <v>46121</v>
      </c>
      <c r="J1032" s="28">
        <v>46142</v>
      </c>
      <c r="K1032" s="1">
        <f t="shared" si="322"/>
        <v>35</v>
      </c>
      <c r="L1032" s="1">
        <v>13.67</v>
      </c>
      <c r="M1032" s="1">
        <v>11.58</v>
      </c>
      <c r="N1032" s="1">
        <f t="shared" si="321"/>
        <v>2.09</v>
      </c>
      <c r="O1032" s="1" t="s">
        <v>379</v>
      </c>
    </row>
    <row r="1033" spans="1:15" x14ac:dyDescent="0.25">
      <c r="A1033" s="28">
        <v>46106</v>
      </c>
      <c r="B1033" s="1" t="s">
        <v>225</v>
      </c>
      <c r="C1033" s="1" t="s">
        <v>591</v>
      </c>
      <c r="D1033" s="28">
        <f t="shared" si="302"/>
        <v>46129</v>
      </c>
      <c r="E1033" s="28">
        <f t="shared" si="303"/>
        <v>46113</v>
      </c>
      <c r="F1033" s="28">
        <f t="shared" si="304"/>
        <v>46120</v>
      </c>
      <c r="G1033" s="28">
        <f t="shared" si="305"/>
        <v>46126</v>
      </c>
      <c r="H1033" s="28">
        <f t="shared" si="306"/>
        <v>46114</v>
      </c>
      <c r="I1033" s="28">
        <f t="shared" si="307"/>
        <v>46121</v>
      </c>
      <c r="J1033" s="28">
        <v>46142</v>
      </c>
      <c r="K1033" s="1">
        <f>J1033-A1040</f>
        <v>35</v>
      </c>
      <c r="L1033" s="1">
        <v>14.28</v>
      </c>
      <c r="M1033" s="1">
        <v>12.53</v>
      </c>
      <c r="N1033" s="1">
        <f t="shared" si="321"/>
        <v>1.75</v>
      </c>
      <c r="O1033" s="1" t="s">
        <v>379</v>
      </c>
    </row>
    <row r="1034" spans="1:15" x14ac:dyDescent="0.25">
      <c r="A1034" s="28">
        <v>46106</v>
      </c>
      <c r="B1034" s="1" t="s">
        <v>226</v>
      </c>
      <c r="C1034" s="1" t="s">
        <v>592</v>
      </c>
      <c r="D1034" s="28">
        <f t="shared" si="302"/>
        <v>46129</v>
      </c>
      <c r="E1034" s="28">
        <f t="shared" si="303"/>
        <v>46113</v>
      </c>
      <c r="F1034" s="28">
        <f t="shared" si="304"/>
        <v>46120</v>
      </c>
      <c r="G1034" s="28">
        <f t="shared" si="305"/>
        <v>46126</v>
      </c>
      <c r="H1034" s="28">
        <f t="shared" si="306"/>
        <v>46114</v>
      </c>
      <c r="I1034" s="28">
        <f t="shared" si="307"/>
        <v>46121</v>
      </c>
      <c r="J1034" s="28">
        <v>46141</v>
      </c>
      <c r="K1034" s="1">
        <f>J1034-A1041</f>
        <v>34</v>
      </c>
      <c r="L1034" s="1">
        <v>12.11</v>
      </c>
      <c r="M1034" s="1">
        <v>10.29</v>
      </c>
      <c r="N1034" s="1">
        <f t="shared" ref="N1034:N1041" si="323">L1034-M1034</f>
        <v>1.8200000000000003</v>
      </c>
      <c r="O1034" s="1" t="s">
        <v>379</v>
      </c>
    </row>
    <row r="1035" spans="1:15" x14ac:dyDescent="0.25">
      <c r="A1035" s="28">
        <v>46107</v>
      </c>
      <c r="B1035" s="1" t="s">
        <v>227</v>
      </c>
      <c r="C1035" s="1" t="s">
        <v>579</v>
      </c>
      <c r="D1035" s="28">
        <f t="shared" si="302"/>
        <v>46130</v>
      </c>
      <c r="E1035" s="28">
        <f t="shared" si="303"/>
        <v>46114</v>
      </c>
      <c r="F1035" s="28">
        <f t="shared" si="304"/>
        <v>46121</v>
      </c>
      <c r="G1035" s="28">
        <f t="shared" si="305"/>
        <v>46127</v>
      </c>
      <c r="H1035" s="28">
        <f t="shared" si="306"/>
        <v>46115</v>
      </c>
      <c r="I1035" s="28">
        <f t="shared" si="307"/>
        <v>46122</v>
      </c>
      <c r="J1035" s="28">
        <v>46141</v>
      </c>
      <c r="K1035" s="1">
        <f t="shared" ref="K1035:K1041" si="324">J1035-A1042</f>
        <v>33</v>
      </c>
      <c r="L1035" s="1">
        <v>13.41</v>
      </c>
      <c r="M1035" s="1">
        <v>11.21</v>
      </c>
      <c r="N1035" s="1">
        <f t="shared" si="323"/>
        <v>2.1999999999999993</v>
      </c>
      <c r="O1035" s="1" t="s">
        <v>379</v>
      </c>
    </row>
    <row r="1036" spans="1:15" x14ac:dyDescent="0.25">
      <c r="A1036" s="28">
        <v>46107</v>
      </c>
      <c r="B1036" s="1" t="s">
        <v>228</v>
      </c>
      <c r="C1036" s="1" t="s">
        <v>580</v>
      </c>
      <c r="D1036" s="28">
        <f t="shared" si="302"/>
        <v>46130</v>
      </c>
      <c r="E1036" s="28">
        <f t="shared" si="303"/>
        <v>46114</v>
      </c>
      <c r="F1036" s="28">
        <f t="shared" si="304"/>
        <v>46121</v>
      </c>
      <c r="G1036" s="28">
        <f t="shared" si="305"/>
        <v>46127</v>
      </c>
      <c r="H1036" s="28">
        <f t="shared" si="306"/>
        <v>46115</v>
      </c>
      <c r="I1036" s="28">
        <f t="shared" si="307"/>
        <v>46122</v>
      </c>
      <c r="J1036" s="28">
        <v>46141</v>
      </c>
      <c r="K1036" s="1">
        <f t="shared" si="324"/>
        <v>33</v>
      </c>
      <c r="L1036" s="1">
        <v>14.2</v>
      </c>
      <c r="M1036" s="1">
        <v>12.36</v>
      </c>
      <c r="N1036" s="1">
        <f t="shared" si="323"/>
        <v>1.8399999999999999</v>
      </c>
      <c r="O1036" s="1" t="s">
        <v>379</v>
      </c>
    </row>
    <row r="1037" spans="1:15" x14ac:dyDescent="0.25">
      <c r="A1037" s="28">
        <v>46107</v>
      </c>
      <c r="B1037" s="1" t="s">
        <v>229</v>
      </c>
      <c r="C1037" s="1" t="s">
        <v>581</v>
      </c>
      <c r="D1037" s="28">
        <f t="shared" si="302"/>
        <v>46130</v>
      </c>
      <c r="E1037" s="28">
        <f t="shared" si="303"/>
        <v>46114</v>
      </c>
      <c r="F1037" s="28">
        <f t="shared" si="304"/>
        <v>46121</v>
      </c>
      <c r="G1037" s="28">
        <f t="shared" si="305"/>
        <v>46127</v>
      </c>
      <c r="H1037" s="28">
        <f t="shared" si="306"/>
        <v>46115</v>
      </c>
      <c r="I1037" s="28">
        <f t="shared" si="307"/>
        <v>46122</v>
      </c>
      <c r="J1037" s="28">
        <v>46141</v>
      </c>
      <c r="K1037" s="1">
        <f t="shared" si="324"/>
        <v>33</v>
      </c>
      <c r="L1037" s="1">
        <v>12.57</v>
      </c>
      <c r="M1037" s="1">
        <v>10.89</v>
      </c>
      <c r="N1037" s="1">
        <f t="shared" si="323"/>
        <v>1.6799999999999997</v>
      </c>
      <c r="O1037" s="1" t="s">
        <v>379</v>
      </c>
    </row>
    <row r="1038" spans="1:15" x14ac:dyDescent="0.25">
      <c r="A1038" s="28">
        <v>46107</v>
      </c>
      <c r="B1038" s="1" t="s">
        <v>230</v>
      </c>
      <c r="C1038" s="1" t="s">
        <v>582</v>
      </c>
      <c r="D1038" s="28">
        <f t="shared" si="302"/>
        <v>46130</v>
      </c>
      <c r="E1038" s="28">
        <f t="shared" si="303"/>
        <v>46114</v>
      </c>
      <c r="F1038" s="28">
        <f t="shared" si="304"/>
        <v>46121</v>
      </c>
      <c r="G1038" s="28">
        <f t="shared" si="305"/>
        <v>46127</v>
      </c>
      <c r="H1038" s="28">
        <f t="shared" si="306"/>
        <v>46115</v>
      </c>
      <c r="I1038" s="28">
        <f t="shared" si="307"/>
        <v>46122</v>
      </c>
      <c r="J1038" s="28">
        <v>46141</v>
      </c>
      <c r="K1038" s="1">
        <f t="shared" si="324"/>
        <v>33</v>
      </c>
      <c r="L1038" s="1">
        <v>13.36</v>
      </c>
      <c r="M1038" s="1">
        <v>11.2</v>
      </c>
      <c r="N1038" s="1">
        <f t="shared" si="323"/>
        <v>2.16</v>
      </c>
      <c r="O1038" s="1" t="s">
        <v>379</v>
      </c>
    </row>
    <row r="1039" spans="1:15" x14ac:dyDescent="0.25">
      <c r="A1039" s="28">
        <v>46107</v>
      </c>
      <c r="B1039" s="1" t="s">
        <v>231</v>
      </c>
      <c r="C1039" s="1" t="s">
        <v>583</v>
      </c>
      <c r="D1039" s="28">
        <f t="shared" si="302"/>
        <v>46130</v>
      </c>
      <c r="E1039" s="28">
        <f t="shared" si="303"/>
        <v>46114</v>
      </c>
      <c r="F1039" s="28">
        <f t="shared" si="304"/>
        <v>46121</v>
      </c>
      <c r="G1039" s="28">
        <f t="shared" si="305"/>
        <v>46127</v>
      </c>
      <c r="H1039" s="28">
        <f t="shared" si="306"/>
        <v>46115</v>
      </c>
      <c r="I1039" s="28">
        <f t="shared" si="307"/>
        <v>46122</v>
      </c>
      <c r="J1039" s="28">
        <v>46141</v>
      </c>
      <c r="K1039" s="1">
        <f t="shared" si="324"/>
        <v>33</v>
      </c>
      <c r="L1039" s="1">
        <v>12.45</v>
      </c>
      <c r="M1039" s="1">
        <v>10.58</v>
      </c>
      <c r="N1039" s="1">
        <f t="shared" si="323"/>
        <v>1.8699999999999992</v>
      </c>
      <c r="O1039" s="1" t="s">
        <v>379</v>
      </c>
    </row>
    <row r="1040" spans="1:15" x14ac:dyDescent="0.25">
      <c r="A1040" s="28">
        <v>46107</v>
      </c>
      <c r="B1040" s="1" t="s">
        <v>232</v>
      </c>
      <c r="C1040" s="1" t="s">
        <v>584</v>
      </c>
      <c r="D1040" s="28">
        <f t="shared" si="302"/>
        <v>46130</v>
      </c>
      <c r="E1040" s="28">
        <f t="shared" si="303"/>
        <v>46114</v>
      </c>
      <c r="F1040" s="28">
        <f t="shared" si="304"/>
        <v>46121</v>
      </c>
      <c r="G1040" s="28">
        <f t="shared" si="305"/>
        <v>46127</v>
      </c>
      <c r="H1040" s="28">
        <f t="shared" si="306"/>
        <v>46115</v>
      </c>
      <c r="I1040" s="28">
        <f t="shared" si="307"/>
        <v>46122</v>
      </c>
      <c r="J1040" s="28">
        <v>46141</v>
      </c>
      <c r="K1040" s="1">
        <f t="shared" si="324"/>
        <v>33</v>
      </c>
      <c r="L1040" s="1">
        <v>13.02</v>
      </c>
      <c r="M1040" s="1">
        <v>11.07</v>
      </c>
      <c r="N1040" s="1">
        <f t="shared" si="323"/>
        <v>1.9499999999999993</v>
      </c>
      <c r="O1040" s="1" t="s">
        <v>379</v>
      </c>
    </row>
    <row r="1041" spans="1:15" x14ac:dyDescent="0.25">
      <c r="A1041" s="28">
        <v>46107</v>
      </c>
      <c r="B1041" s="1" t="s">
        <v>233</v>
      </c>
      <c r="C1041" s="1" t="s">
        <v>585</v>
      </c>
      <c r="D1041" s="28">
        <f t="shared" si="302"/>
        <v>46130</v>
      </c>
      <c r="E1041" s="28">
        <f t="shared" si="303"/>
        <v>46114</v>
      </c>
      <c r="F1041" s="28">
        <f t="shared" si="304"/>
        <v>46121</v>
      </c>
      <c r="G1041" s="28">
        <f t="shared" si="305"/>
        <v>46127</v>
      </c>
      <c r="H1041" s="28">
        <f t="shared" si="306"/>
        <v>46115</v>
      </c>
      <c r="I1041" s="28">
        <f t="shared" si="307"/>
        <v>46122</v>
      </c>
      <c r="J1041" s="28">
        <v>46141</v>
      </c>
      <c r="K1041" s="1">
        <f t="shared" si="324"/>
        <v>33</v>
      </c>
      <c r="L1041" s="1">
        <v>14.31</v>
      </c>
      <c r="M1041" s="1">
        <v>12.25</v>
      </c>
      <c r="N1041" s="1">
        <f t="shared" si="323"/>
        <v>2.0600000000000005</v>
      </c>
      <c r="O1041" s="1" t="s">
        <v>379</v>
      </c>
    </row>
    <row r="1042" spans="1:15" x14ac:dyDescent="0.25">
      <c r="A1042" s="28">
        <v>46108</v>
      </c>
      <c r="B1042" s="1" t="s">
        <v>250</v>
      </c>
      <c r="C1042" s="1" t="s">
        <v>409</v>
      </c>
      <c r="D1042" s="28">
        <f t="shared" si="302"/>
        <v>46131</v>
      </c>
      <c r="E1042" s="28">
        <f t="shared" si="303"/>
        <v>46115</v>
      </c>
      <c r="F1042" s="28">
        <f t="shared" si="304"/>
        <v>46122</v>
      </c>
      <c r="G1042" s="28">
        <f t="shared" si="305"/>
        <v>46128</v>
      </c>
      <c r="H1042" s="28">
        <f t="shared" si="306"/>
        <v>46116</v>
      </c>
      <c r="I1042" s="28">
        <f t="shared" si="307"/>
        <v>46123</v>
      </c>
      <c r="J1042" s="28">
        <v>46139</v>
      </c>
      <c r="K1042" s="1">
        <f t="shared" ref="K1042" si="325">J1042-A1042</f>
        <v>31</v>
      </c>
      <c r="L1042" s="1">
        <v>13.09</v>
      </c>
      <c r="M1042" s="1">
        <v>11.15</v>
      </c>
      <c r="N1042" s="1">
        <f t="shared" ref="N1042:N1051" si="326">L1042-M1042</f>
        <v>1.9399999999999995</v>
      </c>
      <c r="O1042" s="1" t="s">
        <v>379</v>
      </c>
    </row>
    <row r="1043" spans="1:15" x14ac:dyDescent="0.25">
      <c r="A1043" s="28">
        <v>46108</v>
      </c>
      <c r="B1043" s="1" t="s">
        <v>251</v>
      </c>
      <c r="C1043" s="1" t="s">
        <v>410</v>
      </c>
      <c r="D1043" s="28">
        <f t="shared" ref="D1043:D1106" si="327">A1043+23</f>
        <v>46131</v>
      </c>
      <c r="E1043" s="28">
        <f t="shared" ref="E1043:E1106" si="328">A1043+7</f>
        <v>46115</v>
      </c>
      <c r="F1043" s="28">
        <f t="shared" ref="F1043:F1106" si="329">A1043+14</f>
        <v>46122</v>
      </c>
      <c r="G1043" s="28">
        <f t="shared" ref="G1043:G1106" si="330">A1043+20</f>
        <v>46128</v>
      </c>
      <c r="H1043" s="28">
        <f t="shared" ref="H1043:H1106" si="331">A1043+8</f>
        <v>46116</v>
      </c>
      <c r="I1043" s="28">
        <f t="shared" ref="I1043:I1106" si="332">A1043+15</f>
        <v>46123</v>
      </c>
      <c r="J1043" s="28">
        <v>46139</v>
      </c>
      <c r="K1043" s="1">
        <f t="shared" ref="K1043:K1045" si="333">J1043-A1043</f>
        <v>31</v>
      </c>
      <c r="L1043" s="1">
        <v>13.27</v>
      </c>
      <c r="M1043" s="1">
        <v>11.43</v>
      </c>
      <c r="N1043" s="1">
        <f t="shared" si="326"/>
        <v>1.8399999999999999</v>
      </c>
      <c r="O1043" s="1" t="s">
        <v>379</v>
      </c>
    </row>
    <row r="1044" spans="1:15" x14ac:dyDescent="0.25">
      <c r="A1044" s="28">
        <v>46108</v>
      </c>
      <c r="B1044" s="1" t="s">
        <v>252</v>
      </c>
      <c r="C1044" s="1" t="s">
        <v>411</v>
      </c>
      <c r="D1044" s="28">
        <f t="shared" si="327"/>
        <v>46131</v>
      </c>
      <c r="E1044" s="28">
        <f t="shared" si="328"/>
        <v>46115</v>
      </c>
      <c r="F1044" s="28">
        <f t="shared" si="329"/>
        <v>46122</v>
      </c>
      <c r="G1044" s="28">
        <f t="shared" si="330"/>
        <v>46128</v>
      </c>
      <c r="H1044" s="28">
        <f t="shared" si="331"/>
        <v>46116</v>
      </c>
      <c r="I1044" s="28">
        <f t="shared" si="332"/>
        <v>46123</v>
      </c>
      <c r="J1044" s="28">
        <v>46139</v>
      </c>
      <c r="K1044" s="1">
        <f t="shared" si="333"/>
        <v>31</v>
      </c>
      <c r="L1044" s="1">
        <v>12.42</v>
      </c>
      <c r="M1044" s="1">
        <v>10.71</v>
      </c>
      <c r="N1044" s="1">
        <f t="shared" si="326"/>
        <v>1.7099999999999991</v>
      </c>
      <c r="O1044" s="1" t="s">
        <v>379</v>
      </c>
    </row>
    <row r="1045" spans="1:15" x14ac:dyDescent="0.25">
      <c r="A1045" s="28">
        <v>46108</v>
      </c>
      <c r="B1045" s="1" t="s">
        <v>253</v>
      </c>
      <c r="C1045" s="1" t="s">
        <v>412</v>
      </c>
      <c r="D1045" s="28">
        <f t="shared" si="327"/>
        <v>46131</v>
      </c>
      <c r="E1045" s="28">
        <f t="shared" si="328"/>
        <v>46115</v>
      </c>
      <c r="F1045" s="28">
        <f t="shared" si="329"/>
        <v>46122</v>
      </c>
      <c r="G1045" s="28">
        <f t="shared" si="330"/>
        <v>46128</v>
      </c>
      <c r="H1045" s="28">
        <f t="shared" si="331"/>
        <v>46116</v>
      </c>
      <c r="I1045" s="28">
        <f t="shared" si="332"/>
        <v>46123</v>
      </c>
      <c r="J1045" s="28">
        <v>46139</v>
      </c>
      <c r="K1045" s="1">
        <f t="shared" si="333"/>
        <v>31</v>
      </c>
      <c r="L1045" s="1">
        <v>13.18</v>
      </c>
      <c r="M1045" s="1">
        <v>11.16</v>
      </c>
      <c r="N1045" s="1">
        <f t="shared" si="326"/>
        <v>2.0199999999999996</v>
      </c>
      <c r="O1045" s="1" t="s">
        <v>379</v>
      </c>
    </row>
    <row r="1046" spans="1:15" x14ac:dyDescent="0.25">
      <c r="A1046" s="28">
        <v>46108</v>
      </c>
      <c r="B1046" s="1" t="s">
        <v>254</v>
      </c>
      <c r="C1046" s="1" t="s">
        <v>413</v>
      </c>
      <c r="D1046" s="28">
        <f t="shared" si="327"/>
        <v>46131</v>
      </c>
      <c r="E1046" s="28">
        <f t="shared" si="328"/>
        <v>46115</v>
      </c>
      <c r="F1046" s="28">
        <f t="shared" si="329"/>
        <v>46122</v>
      </c>
      <c r="G1046" s="28">
        <f t="shared" si="330"/>
        <v>46128</v>
      </c>
      <c r="H1046" s="28">
        <f t="shared" si="331"/>
        <v>46116</v>
      </c>
      <c r="I1046" s="28">
        <f t="shared" si="332"/>
        <v>46123</v>
      </c>
      <c r="J1046" s="28">
        <v>46140</v>
      </c>
      <c r="K1046" s="1">
        <f t="shared" ref="K1046" si="334">J1046-A1046</f>
        <v>32</v>
      </c>
      <c r="L1046" s="1">
        <v>12.46</v>
      </c>
      <c r="M1046" s="1">
        <v>10.210000000000001</v>
      </c>
      <c r="N1046" s="1">
        <f t="shared" si="326"/>
        <v>2.25</v>
      </c>
      <c r="O1046" s="1" t="s">
        <v>379</v>
      </c>
    </row>
    <row r="1047" spans="1:15" x14ac:dyDescent="0.25">
      <c r="A1047" s="28">
        <v>46108</v>
      </c>
      <c r="B1047" s="1" t="s">
        <v>255</v>
      </c>
      <c r="C1047" s="1" t="s">
        <v>414</v>
      </c>
      <c r="D1047" s="28">
        <f t="shared" si="327"/>
        <v>46131</v>
      </c>
      <c r="E1047" s="28">
        <f t="shared" si="328"/>
        <v>46115</v>
      </c>
      <c r="F1047" s="28">
        <f t="shared" si="329"/>
        <v>46122</v>
      </c>
      <c r="G1047" s="28">
        <f t="shared" si="330"/>
        <v>46128</v>
      </c>
      <c r="H1047" s="28">
        <f t="shared" si="331"/>
        <v>46116</v>
      </c>
      <c r="I1047" s="28">
        <f t="shared" si="332"/>
        <v>46123</v>
      </c>
      <c r="J1047" s="28">
        <v>46140</v>
      </c>
      <c r="K1047" s="1">
        <f t="shared" ref="K1047:K1052" si="335">J1047-A1047</f>
        <v>32</v>
      </c>
      <c r="L1047" s="1">
        <v>13.28</v>
      </c>
      <c r="M1047" s="1">
        <v>11.15</v>
      </c>
      <c r="N1047" s="1">
        <f t="shared" si="326"/>
        <v>2.129999999999999</v>
      </c>
      <c r="O1047" s="1" t="s">
        <v>379</v>
      </c>
    </row>
    <row r="1048" spans="1:15" x14ac:dyDescent="0.25">
      <c r="A1048" s="28">
        <v>46108</v>
      </c>
      <c r="B1048" s="1" t="s">
        <v>256</v>
      </c>
      <c r="C1048" s="1" t="s">
        <v>415</v>
      </c>
      <c r="D1048" s="28">
        <f t="shared" si="327"/>
        <v>46131</v>
      </c>
      <c r="E1048" s="28">
        <f t="shared" si="328"/>
        <v>46115</v>
      </c>
      <c r="F1048" s="28">
        <f t="shared" si="329"/>
        <v>46122</v>
      </c>
      <c r="G1048" s="28">
        <f t="shared" si="330"/>
        <v>46128</v>
      </c>
      <c r="H1048" s="28">
        <f t="shared" si="331"/>
        <v>46116</v>
      </c>
      <c r="I1048" s="28">
        <f t="shared" si="332"/>
        <v>46123</v>
      </c>
      <c r="J1048" s="28">
        <v>46140</v>
      </c>
      <c r="K1048" s="1">
        <f t="shared" si="335"/>
        <v>32</v>
      </c>
      <c r="L1048" s="1">
        <v>12.51</v>
      </c>
      <c r="M1048" s="1">
        <v>10.28</v>
      </c>
      <c r="N1048" s="1">
        <f t="shared" si="326"/>
        <v>2.2300000000000004</v>
      </c>
      <c r="O1048" s="1" t="s">
        <v>379</v>
      </c>
    </row>
    <row r="1049" spans="1:15" x14ac:dyDescent="0.25">
      <c r="A1049" s="28">
        <v>46109</v>
      </c>
      <c r="B1049" s="1" t="s">
        <v>287</v>
      </c>
      <c r="C1049" s="1" t="s">
        <v>593</v>
      </c>
      <c r="D1049" s="28">
        <f t="shared" si="327"/>
        <v>46132</v>
      </c>
      <c r="E1049" s="28">
        <f t="shared" si="328"/>
        <v>46116</v>
      </c>
      <c r="F1049" s="28">
        <f t="shared" si="329"/>
        <v>46123</v>
      </c>
      <c r="G1049" s="28">
        <f t="shared" si="330"/>
        <v>46129</v>
      </c>
      <c r="H1049" s="28">
        <f t="shared" si="331"/>
        <v>46117</v>
      </c>
      <c r="I1049" s="28">
        <f t="shared" si="332"/>
        <v>46124</v>
      </c>
      <c r="J1049" s="28">
        <v>46140</v>
      </c>
      <c r="K1049" s="1">
        <f t="shared" si="335"/>
        <v>31</v>
      </c>
      <c r="L1049" s="1">
        <v>11.35</v>
      </c>
      <c r="M1049" s="1">
        <v>9.58</v>
      </c>
      <c r="N1049" s="1">
        <f t="shared" si="326"/>
        <v>1.7699999999999996</v>
      </c>
      <c r="O1049" s="1" t="s">
        <v>379</v>
      </c>
    </row>
    <row r="1050" spans="1:15" x14ac:dyDescent="0.25">
      <c r="A1050" s="28">
        <v>46109</v>
      </c>
      <c r="B1050" s="1" t="s">
        <v>288</v>
      </c>
      <c r="C1050" s="1" t="s">
        <v>594</v>
      </c>
      <c r="D1050" s="28">
        <f t="shared" si="327"/>
        <v>46132</v>
      </c>
      <c r="E1050" s="28">
        <f t="shared" si="328"/>
        <v>46116</v>
      </c>
      <c r="F1050" s="28">
        <f t="shared" si="329"/>
        <v>46123</v>
      </c>
      <c r="G1050" s="28">
        <f t="shared" si="330"/>
        <v>46129</v>
      </c>
      <c r="H1050" s="28">
        <f t="shared" si="331"/>
        <v>46117</v>
      </c>
      <c r="I1050" s="28">
        <f t="shared" si="332"/>
        <v>46124</v>
      </c>
      <c r="J1050" s="28">
        <v>46140</v>
      </c>
      <c r="K1050" s="1">
        <f t="shared" si="335"/>
        <v>31</v>
      </c>
      <c r="L1050" s="1">
        <v>12.54</v>
      </c>
      <c r="M1050" s="1">
        <v>10.24</v>
      </c>
      <c r="N1050" s="1">
        <f t="shared" si="326"/>
        <v>2.2999999999999989</v>
      </c>
      <c r="O1050" s="1" t="s">
        <v>379</v>
      </c>
    </row>
    <row r="1051" spans="1:15" x14ac:dyDescent="0.25">
      <c r="A1051" s="28">
        <v>46109</v>
      </c>
      <c r="B1051" s="1" t="s">
        <v>289</v>
      </c>
      <c r="C1051" s="1" t="s">
        <v>595</v>
      </c>
      <c r="D1051" s="28">
        <f t="shared" si="327"/>
        <v>46132</v>
      </c>
      <c r="E1051" s="28">
        <f t="shared" si="328"/>
        <v>46116</v>
      </c>
      <c r="F1051" s="28">
        <f t="shared" si="329"/>
        <v>46123</v>
      </c>
      <c r="G1051" s="28">
        <f t="shared" si="330"/>
        <v>46129</v>
      </c>
      <c r="H1051" s="28">
        <f t="shared" si="331"/>
        <v>46117</v>
      </c>
      <c r="I1051" s="28">
        <f t="shared" si="332"/>
        <v>46124</v>
      </c>
      <c r="J1051" s="28">
        <v>46140</v>
      </c>
      <c r="K1051" s="1">
        <f t="shared" si="335"/>
        <v>31</v>
      </c>
      <c r="L1051" s="1">
        <v>11.37</v>
      </c>
      <c r="M1051" s="1">
        <v>10.06</v>
      </c>
      <c r="N1051" s="1">
        <f t="shared" si="326"/>
        <v>1.3099999999999987</v>
      </c>
      <c r="O1051" s="1" t="s">
        <v>379</v>
      </c>
    </row>
    <row r="1052" spans="1:15" x14ac:dyDescent="0.25">
      <c r="A1052" s="28">
        <v>46109</v>
      </c>
      <c r="B1052" s="1" t="s">
        <v>290</v>
      </c>
      <c r="C1052" s="1" t="s">
        <v>596</v>
      </c>
      <c r="D1052" s="28">
        <f t="shared" si="327"/>
        <v>46132</v>
      </c>
      <c r="E1052" s="28">
        <f t="shared" si="328"/>
        <v>46116</v>
      </c>
      <c r="F1052" s="28">
        <f t="shared" si="329"/>
        <v>46123</v>
      </c>
      <c r="G1052" s="28">
        <f t="shared" si="330"/>
        <v>46129</v>
      </c>
      <c r="H1052" s="28">
        <f t="shared" si="331"/>
        <v>46117</v>
      </c>
      <c r="I1052" s="28">
        <f t="shared" si="332"/>
        <v>46124</v>
      </c>
      <c r="J1052" s="28">
        <v>46146</v>
      </c>
      <c r="K1052" s="1">
        <f t="shared" si="335"/>
        <v>37</v>
      </c>
      <c r="L1052" s="1">
        <v>15.47</v>
      </c>
      <c r="M1052" s="1">
        <v>11.63</v>
      </c>
      <c r="N1052" s="1">
        <f t="shared" ref="N1052:N1053" si="336">L1052-M1052</f>
        <v>3.84</v>
      </c>
      <c r="O1052" s="1" t="s">
        <v>379</v>
      </c>
    </row>
    <row r="1053" spans="1:15" x14ac:dyDescent="0.25">
      <c r="A1053" s="28">
        <v>46109</v>
      </c>
      <c r="B1053" s="1" t="s">
        <v>291</v>
      </c>
      <c r="C1053" s="1" t="s">
        <v>597</v>
      </c>
      <c r="D1053" s="28">
        <f t="shared" si="327"/>
        <v>46132</v>
      </c>
      <c r="E1053" s="28">
        <f t="shared" si="328"/>
        <v>46116</v>
      </c>
      <c r="F1053" s="28">
        <f t="shared" si="329"/>
        <v>46123</v>
      </c>
      <c r="G1053" s="28">
        <f t="shared" si="330"/>
        <v>46129</v>
      </c>
      <c r="H1053" s="28">
        <f t="shared" si="331"/>
        <v>46117</v>
      </c>
      <c r="I1053" s="28">
        <f t="shared" si="332"/>
        <v>46124</v>
      </c>
      <c r="J1053" s="28">
        <v>46146</v>
      </c>
      <c r="K1053" s="1">
        <f t="shared" ref="K1053" si="337">J1053-A1053</f>
        <v>37</v>
      </c>
      <c r="L1053" s="1">
        <v>12.51</v>
      </c>
      <c r="M1053" s="1">
        <v>10.58</v>
      </c>
      <c r="N1053" s="1">
        <f t="shared" si="336"/>
        <v>1.9299999999999997</v>
      </c>
      <c r="O1053" s="1" t="s">
        <v>379</v>
      </c>
    </row>
    <row r="1054" spans="1:15" x14ac:dyDescent="0.25">
      <c r="A1054" s="28">
        <v>46109</v>
      </c>
      <c r="B1054" s="1" t="s">
        <v>292</v>
      </c>
      <c r="C1054" s="1" t="s">
        <v>598</v>
      </c>
      <c r="D1054" s="28">
        <f t="shared" si="327"/>
        <v>46132</v>
      </c>
      <c r="E1054" s="28">
        <f t="shared" si="328"/>
        <v>46116</v>
      </c>
      <c r="F1054" s="28">
        <f t="shared" si="329"/>
        <v>46123</v>
      </c>
      <c r="G1054" s="28">
        <f t="shared" si="330"/>
        <v>46129</v>
      </c>
      <c r="H1054" s="28">
        <f t="shared" si="331"/>
        <v>46117</v>
      </c>
      <c r="I1054" s="28">
        <f t="shared" si="332"/>
        <v>46124</v>
      </c>
      <c r="J1054" s="28">
        <v>46146</v>
      </c>
      <c r="K1054" s="1">
        <f t="shared" ref="K1054:K1056" si="338">J1054-A1054</f>
        <v>37</v>
      </c>
      <c r="L1054" s="1">
        <v>14.08</v>
      </c>
      <c r="M1054" s="1">
        <v>12.1</v>
      </c>
      <c r="N1054" s="1">
        <f t="shared" ref="N1054:N1062" si="339">L1054-M1054</f>
        <v>1.9800000000000004</v>
      </c>
      <c r="O1054" s="1" t="s">
        <v>379</v>
      </c>
    </row>
    <row r="1055" spans="1:15" x14ac:dyDescent="0.25">
      <c r="A1055" s="28">
        <v>46109</v>
      </c>
      <c r="B1055" s="1" t="s">
        <v>293</v>
      </c>
      <c r="C1055" s="1" t="s">
        <v>599</v>
      </c>
      <c r="D1055" s="28">
        <f t="shared" si="327"/>
        <v>46132</v>
      </c>
      <c r="E1055" s="28">
        <f t="shared" si="328"/>
        <v>46116</v>
      </c>
      <c r="F1055" s="28">
        <f t="shared" si="329"/>
        <v>46123</v>
      </c>
      <c r="G1055" s="28">
        <f t="shared" si="330"/>
        <v>46129</v>
      </c>
      <c r="H1055" s="28">
        <f t="shared" si="331"/>
        <v>46117</v>
      </c>
      <c r="I1055" s="28">
        <f t="shared" si="332"/>
        <v>46124</v>
      </c>
      <c r="J1055" s="28">
        <v>46146</v>
      </c>
      <c r="K1055" s="1">
        <f t="shared" si="338"/>
        <v>37</v>
      </c>
      <c r="L1055" s="1">
        <v>13.29</v>
      </c>
      <c r="M1055" s="1">
        <v>11.54</v>
      </c>
      <c r="N1055" s="1">
        <f t="shared" si="339"/>
        <v>1.75</v>
      </c>
      <c r="O1055" s="1" t="s">
        <v>379</v>
      </c>
    </row>
    <row r="1056" spans="1:15" x14ac:dyDescent="0.25">
      <c r="A1056" s="28">
        <v>46110</v>
      </c>
      <c r="B1056" s="1" t="s">
        <v>294</v>
      </c>
      <c r="C1056" s="1" t="s">
        <v>600</v>
      </c>
      <c r="D1056" s="28">
        <f t="shared" si="327"/>
        <v>46133</v>
      </c>
      <c r="E1056" s="28">
        <f t="shared" si="328"/>
        <v>46117</v>
      </c>
      <c r="F1056" s="28">
        <f t="shared" si="329"/>
        <v>46124</v>
      </c>
      <c r="G1056" s="28">
        <f t="shared" si="330"/>
        <v>46130</v>
      </c>
      <c r="H1056" s="28">
        <f t="shared" si="331"/>
        <v>46118</v>
      </c>
      <c r="I1056" s="28">
        <f t="shared" si="332"/>
        <v>46125</v>
      </c>
      <c r="J1056" s="28">
        <v>46146</v>
      </c>
      <c r="K1056" s="1">
        <f t="shared" si="338"/>
        <v>36</v>
      </c>
      <c r="L1056" s="1">
        <v>14.71</v>
      </c>
      <c r="M1056" s="1">
        <v>12.33</v>
      </c>
      <c r="N1056" s="1">
        <f t="shared" si="339"/>
        <v>2.3800000000000008</v>
      </c>
      <c r="O1056" s="1" t="s">
        <v>379</v>
      </c>
    </row>
    <row r="1057" spans="1:15" x14ac:dyDescent="0.25">
      <c r="A1057" s="28">
        <v>46110</v>
      </c>
      <c r="B1057" s="1" t="s">
        <v>295</v>
      </c>
      <c r="C1057" s="1" t="s">
        <v>601</v>
      </c>
      <c r="D1057" s="28">
        <f t="shared" si="327"/>
        <v>46133</v>
      </c>
      <c r="E1057" s="28">
        <f t="shared" si="328"/>
        <v>46117</v>
      </c>
      <c r="F1057" s="28">
        <f t="shared" si="329"/>
        <v>46124</v>
      </c>
      <c r="G1057" s="28">
        <f t="shared" si="330"/>
        <v>46130</v>
      </c>
      <c r="H1057" s="28">
        <f t="shared" si="331"/>
        <v>46118</v>
      </c>
      <c r="I1057" s="28">
        <f t="shared" si="332"/>
        <v>46125</v>
      </c>
      <c r="J1057" s="28">
        <v>46147</v>
      </c>
      <c r="K1057" s="1">
        <f t="shared" ref="K1057" si="340">J1057-A1057</f>
        <v>37</v>
      </c>
      <c r="L1057" s="1">
        <v>12.96</v>
      </c>
      <c r="M1057" s="1">
        <v>10.15</v>
      </c>
      <c r="N1057" s="1">
        <f t="shared" si="339"/>
        <v>2.8100000000000005</v>
      </c>
      <c r="O1057" s="1" t="s">
        <v>379</v>
      </c>
    </row>
    <row r="1058" spans="1:15" x14ac:dyDescent="0.25">
      <c r="A1058" s="28">
        <v>46110</v>
      </c>
      <c r="B1058" s="1" t="s">
        <v>296</v>
      </c>
      <c r="C1058" s="1" t="s">
        <v>602</v>
      </c>
      <c r="D1058" s="28">
        <f t="shared" si="327"/>
        <v>46133</v>
      </c>
      <c r="E1058" s="28">
        <f t="shared" si="328"/>
        <v>46117</v>
      </c>
      <c r="F1058" s="28">
        <f t="shared" si="329"/>
        <v>46124</v>
      </c>
      <c r="G1058" s="28">
        <f t="shared" si="330"/>
        <v>46130</v>
      </c>
      <c r="H1058" s="28">
        <f t="shared" si="331"/>
        <v>46118</v>
      </c>
      <c r="I1058" s="28">
        <f t="shared" si="332"/>
        <v>46125</v>
      </c>
      <c r="J1058" s="28">
        <v>46147</v>
      </c>
      <c r="K1058" s="1">
        <f t="shared" ref="K1058:K1059" si="341">J1058-A1058</f>
        <v>37</v>
      </c>
      <c r="L1058" s="1">
        <v>13.11</v>
      </c>
      <c r="M1058" s="1">
        <v>11.32</v>
      </c>
      <c r="N1058" s="1">
        <f t="shared" si="339"/>
        <v>1.7899999999999991</v>
      </c>
      <c r="O1058" s="1" t="s">
        <v>379</v>
      </c>
    </row>
    <row r="1059" spans="1:15" x14ac:dyDescent="0.25">
      <c r="A1059" s="28">
        <v>46110</v>
      </c>
      <c r="B1059" s="1" t="s">
        <v>297</v>
      </c>
      <c r="C1059" s="1" t="s">
        <v>603</v>
      </c>
      <c r="D1059" s="28">
        <f t="shared" si="327"/>
        <v>46133</v>
      </c>
      <c r="E1059" s="28">
        <f t="shared" si="328"/>
        <v>46117</v>
      </c>
      <c r="F1059" s="28">
        <f t="shared" si="329"/>
        <v>46124</v>
      </c>
      <c r="G1059" s="28">
        <f t="shared" si="330"/>
        <v>46130</v>
      </c>
      <c r="H1059" s="28">
        <f t="shared" si="331"/>
        <v>46118</v>
      </c>
      <c r="I1059" s="28">
        <f t="shared" si="332"/>
        <v>46125</v>
      </c>
      <c r="J1059" s="28">
        <v>46147</v>
      </c>
      <c r="K1059" s="1">
        <f t="shared" si="341"/>
        <v>37</v>
      </c>
      <c r="L1059" s="1">
        <v>13.72</v>
      </c>
      <c r="M1059" s="1">
        <v>11.58</v>
      </c>
      <c r="N1059" s="1">
        <f t="shared" si="339"/>
        <v>2.1400000000000006</v>
      </c>
      <c r="O1059" s="1" t="s">
        <v>379</v>
      </c>
    </row>
    <row r="1060" spans="1:15" x14ac:dyDescent="0.25">
      <c r="A1060" s="28">
        <v>46110</v>
      </c>
      <c r="B1060" s="1" t="s">
        <v>298</v>
      </c>
      <c r="C1060" s="1" t="s">
        <v>604</v>
      </c>
      <c r="D1060" s="28">
        <f t="shared" si="327"/>
        <v>46133</v>
      </c>
      <c r="E1060" s="28">
        <f t="shared" si="328"/>
        <v>46117</v>
      </c>
      <c r="F1060" s="28">
        <f t="shared" si="329"/>
        <v>46124</v>
      </c>
      <c r="G1060" s="28">
        <f t="shared" si="330"/>
        <v>46130</v>
      </c>
      <c r="H1060" s="28">
        <f t="shared" si="331"/>
        <v>46118</v>
      </c>
      <c r="I1060" s="28">
        <f t="shared" si="332"/>
        <v>46125</v>
      </c>
      <c r="J1060" s="28">
        <v>46148</v>
      </c>
      <c r="K1060" s="1">
        <f t="shared" ref="K1060" si="342">J1060-A1060</f>
        <v>38</v>
      </c>
      <c r="L1060" s="1">
        <v>11.41</v>
      </c>
      <c r="M1060" s="1">
        <v>9.5299999999999994</v>
      </c>
      <c r="N1060" s="1">
        <f t="shared" si="339"/>
        <v>1.8800000000000008</v>
      </c>
      <c r="O1060" s="1" t="s">
        <v>379</v>
      </c>
    </row>
    <row r="1061" spans="1:15" x14ac:dyDescent="0.25">
      <c r="A1061" s="28">
        <v>46110</v>
      </c>
      <c r="B1061" s="1" t="s">
        <v>299</v>
      </c>
      <c r="C1061" s="1" t="s">
        <v>605</v>
      </c>
      <c r="D1061" s="28">
        <f t="shared" si="327"/>
        <v>46133</v>
      </c>
      <c r="E1061" s="28">
        <f t="shared" si="328"/>
        <v>46117</v>
      </c>
      <c r="F1061" s="28">
        <f t="shared" si="329"/>
        <v>46124</v>
      </c>
      <c r="G1061" s="28">
        <f t="shared" si="330"/>
        <v>46130</v>
      </c>
      <c r="H1061" s="28">
        <f t="shared" si="331"/>
        <v>46118</v>
      </c>
      <c r="I1061" s="28">
        <f t="shared" si="332"/>
        <v>46125</v>
      </c>
      <c r="J1061" s="28">
        <v>46148</v>
      </c>
      <c r="K1061" s="1">
        <f t="shared" ref="K1061:K1062" si="343">J1061-A1061</f>
        <v>38</v>
      </c>
      <c r="L1061" s="1">
        <v>12.33</v>
      </c>
      <c r="M1061" s="1">
        <v>10.27</v>
      </c>
      <c r="N1061" s="1">
        <f t="shared" si="339"/>
        <v>2.0600000000000005</v>
      </c>
      <c r="O1061" s="1" t="s">
        <v>379</v>
      </c>
    </row>
    <row r="1062" spans="1:15" x14ac:dyDescent="0.25">
      <c r="A1062" s="28">
        <v>46110</v>
      </c>
      <c r="B1062" s="1" t="s">
        <v>300</v>
      </c>
      <c r="C1062" s="1" t="s">
        <v>606</v>
      </c>
      <c r="D1062" s="28">
        <f t="shared" si="327"/>
        <v>46133</v>
      </c>
      <c r="E1062" s="28">
        <f t="shared" si="328"/>
        <v>46117</v>
      </c>
      <c r="F1062" s="28">
        <f t="shared" si="329"/>
        <v>46124</v>
      </c>
      <c r="G1062" s="28">
        <f t="shared" si="330"/>
        <v>46130</v>
      </c>
      <c r="H1062" s="28">
        <f t="shared" si="331"/>
        <v>46118</v>
      </c>
      <c r="I1062" s="28">
        <f t="shared" si="332"/>
        <v>46125</v>
      </c>
      <c r="J1062" s="28">
        <v>46148</v>
      </c>
      <c r="K1062" s="1">
        <f t="shared" si="343"/>
        <v>38</v>
      </c>
      <c r="L1062" s="1">
        <v>11.35</v>
      </c>
      <c r="M1062" s="1">
        <v>9.31</v>
      </c>
      <c r="N1062" s="1">
        <f t="shared" si="339"/>
        <v>2.0399999999999991</v>
      </c>
      <c r="O1062" s="1" t="s">
        <v>379</v>
      </c>
    </row>
    <row r="1063" spans="1:15" x14ac:dyDescent="0.25">
      <c r="A1063" s="28">
        <v>46111</v>
      </c>
      <c r="B1063" s="1" t="s">
        <v>257</v>
      </c>
      <c r="C1063" s="1" t="s">
        <v>607</v>
      </c>
      <c r="D1063" s="28">
        <f t="shared" si="327"/>
        <v>46134</v>
      </c>
      <c r="E1063" s="28">
        <f t="shared" si="328"/>
        <v>46118</v>
      </c>
      <c r="F1063" s="28">
        <f t="shared" si="329"/>
        <v>46125</v>
      </c>
      <c r="G1063" s="28">
        <f t="shared" si="330"/>
        <v>46131</v>
      </c>
      <c r="H1063" s="28">
        <f t="shared" si="331"/>
        <v>46119</v>
      </c>
      <c r="I1063" s="28">
        <f t="shared" si="332"/>
        <v>46126</v>
      </c>
      <c r="J1063" s="28">
        <v>46140</v>
      </c>
      <c r="K1063" s="41">
        <f t="shared" ref="K1063" si="344">J1063-A1063</f>
        <v>29</v>
      </c>
      <c r="L1063" s="41">
        <v>12.35</v>
      </c>
      <c r="M1063" s="41">
        <v>10.130000000000001</v>
      </c>
      <c r="N1063" s="41">
        <f t="shared" ref="N1063" si="345">L1063-M1063</f>
        <v>2.2199999999999989</v>
      </c>
      <c r="O1063" s="41" t="s">
        <v>379</v>
      </c>
    </row>
    <row r="1064" spans="1:15" x14ac:dyDescent="0.25">
      <c r="A1064" s="28">
        <v>46111</v>
      </c>
      <c r="B1064" s="1" t="s">
        <v>258</v>
      </c>
      <c r="C1064" s="1" t="s">
        <v>608</v>
      </c>
      <c r="D1064" s="28">
        <f t="shared" si="327"/>
        <v>46134</v>
      </c>
      <c r="E1064" s="28">
        <f t="shared" si="328"/>
        <v>46118</v>
      </c>
      <c r="F1064" s="28">
        <f t="shared" si="329"/>
        <v>46125</v>
      </c>
      <c r="G1064" s="28">
        <f t="shared" si="330"/>
        <v>46131</v>
      </c>
      <c r="H1064" s="28">
        <f t="shared" si="331"/>
        <v>46119</v>
      </c>
      <c r="I1064" s="28">
        <f t="shared" si="332"/>
        <v>46126</v>
      </c>
      <c r="J1064" s="28">
        <v>46142</v>
      </c>
      <c r="K1064" s="41">
        <f t="shared" ref="K1064:K1066" si="346">J1064-A1071</f>
        <v>30</v>
      </c>
      <c r="L1064" s="41">
        <v>12.1</v>
      </c>
      <c r="M1064" s="41">
        <v>10.210000000000001</v>
      </c>
      <c r="N1064" s="41">
        <f t="shared" ref="N1064:N1065" si="347">L1064-M1064</f>
        <v>1.8899999999999988</v>
      </c>
      <c r="O1064" s="41" t="s">
        <v>379</v>
      </c>
    </row>
    <row r="1065" spans="1:15" x14ac:dyDescent="0.25">
      <c r="A1065" s="28">
        <v>46111</v>
      </c>
      <c r="B1065" s="1" t="s">
        <v>259</v>
      </c>
      <c r="C1065" s="1" t="s">
        <v>609</v>
      </c>
      <c r="D1065" s="28">
        <f t="shared" si="327"/>
        <v>46134</v>
      </c>
      <c r="E1065" s="28">
        <f t="shared" si="328"/>
        <v>46118</v>
      </c>
      <c r="F1065" s="28">
        <f t="shared" si="329"/>
        <v>46125</v>
      </c>
      <c r="G1065" s="28">
        <f t="shared" si="330"/>
        <v>46131</v>
      </c>
      <c r="H1065" s="28">
        <f t="shared" si="331"/>
        <v>46119</v>
      </c>
      <c r="I1065" s="28">
        <f t="shared" si="332"/>
        <v>46126</v>
      </c>
      <c r="J1065" s="28">
        <v>46142</v>
      </c>
      <c r="K1065" s="1">
        <f t="shared" si="346"/>
        <v>30</v>
      </c>
      <c r="L1065" s="1">
        <v>12.08</v>
      </c>
      <c r="M1065" s="1">
        <v>10.15</v>
      </c>
      <c r="N1065" s="1">
        <f t="shared" si="347"/>
        <v>1.9299999999999997</v>
      </c>
      <c r="O1065" s="1" t="s">
        <v>379</v>
      </c>
    </row>
    <row r="1066" spans="1:15" x14ac:dyDescent="0.25">
      <c r="A1066" s="28">
        <v>46111</v>
      </c>
      <c r="B1066" s="1" t="s">
        <v>260</v>
      </c>
      <c r="C1066" s="1" t="s">
        <v>610</v>
      </c>
      <c r="D1066" s="28">
        <f t="shared" si="327"/>
        <v>46134</v>
      </c>
      <c r="E1066" s="28">
        <f t="shared" si="328"/>
        <v>46118</v>
      </c>
      <c r="F1066" s="28">
        <f t="shared" si="329"/>
        <v>46125</v>
      </c>
      <c r="G1066" s="28">
        <f t="shared" si="330"/>
        <v>46131</v>
      </c>
      <c r="H1066" s="28">
        <f t="shared" si="331"/>
        <v>46119</v>
      </c>
      <c r="I1066" s="28">
        <f t="shared" si="332"/>
        <v>46126</v>
      </c>
      <c r="J1066" s="28">
        <v>46144</v>
      </c>
      <c r="K1066" s="1">
        <f t="shared" si="346"/>
        <v>32</v>
      </c>
      <c r="L1066" s="1">
        <v>11.51</v>
      </c>
      <c r="M1066" s="1">
        <v>10.66</v>
      </c>
      <c r="N1066" s="1">
        <f t="shared" ref="N1066:N1069" si="348">L1066-M1066</f>
        <v>0.84999999999999964</v>
      </c>
      <c r="O1066" s="1" t="s">
        <v>379</v>
      </c>
    </row>
    <row r="1067" spans="1:15" x14ac:dyDescent="0.25">
      <c r="A1067" s="28">
        <v>46111</v>
      </c>
      <c r="B1067" s="1" t="s">
        <v>261</v>
      </c>
      <c r="C1067" s="1" t="s">
        <v>611</v>
      </c>
      <c r="D1067" s="28">
        <f t="shared" si="327"/>
        <v>46134</v>
      </c>
      <c r="E1067" s="28">
        <f t="shared" si="328"/>
        <v>46118</v>
      </c>
      <c r="F1067" s="28">
        <f t="shared" si="329"/>
        <v>46125</v>
      </c>
      <c r="G1067" s="28">
        <f t="shared" si="330"/>
        <v>46131</v>
      </c>
      <c r="H1067" s="28">
        <f t="shared" si="331"/>
        <v>46119</v>
      </c>
      <c r="I1067" s="28">
        <f t="shared" si="332"/>
        <v>46126</v>
      </c>
      <c r="J1067" s="28">
        <v>46145</v>
      </c>
      <c r="K1067" s="1">
        <f t="shared" ref="K1067" si="349">J1067-A1074</f>
        <v>33</v>
      </c>
      <c r="L1067" s="1">
        <v>13.35</v>
      </c>
      <c r="M1067" s="1">
        <v>11.54</v>
      </c>
      <c r="N1067" s="1">
        <f t="shared" si="348"/>
        <v>1.8100000000000005</v>
      </c>
      <c r="O1067" s="1" t="s">
        <v>379</v>
      </c>
    </row>
    <row r="1068" spans="1:15" x14ac:dyDescent="0.25">
      <c r="A1068" s="28">
        <v>46111</v>
      </c>
      <c r="B1068" s="1" t="s">
        <v>262</v>
      </c>
      <c r="C1068" s="1" t="s">
        <v>612</v>
      </c>
      <c r="D1068" s="28">
        <f t="shared" si="327"/>
        <v>46134</v>
      </c>
      <c r="E1068" s="28">
        <f t="shared" si="328"/>
        <v>46118</v>
      </c>
      <c r="F1068" s="28">
        <f t="shared" si="329"/>
        <v>46125</v>
      </c>
      <c r="G1068" s="28">
        <f t="shared" si="330"/>
        <v>46131</v>
      </c>
      <c r="H1068" s="28">
        <f t="shared" si="331"/>
        <v>46119</v>
      </c>
      <c r="I1068" s="28">
        <f t="shared" si="332"/>
        <v>46126</v>
      </c>
      <c r="J1068" s="28">
        <v>46145</v>
      </c>
      <c r="K1068" s="1">
        <f t="shared" ref="K1068:K1069" si="350">J1068-A1075</f>
        <v>33</v>
      </c>
      <c r="L1068" s="1">
        <v>14.17</v>
      </c>
      <c r="M1068" s="1">
        <v>12.11</v>
      </c>
      <c r="N1068" s="1">
        <f t="shared" si="348"/>
        <v>2.0600000000000005</v>
      </c>
      <c r="O1068" s="1" t="s">
        <v>379</v>
      </c>
    </row>
    <row r="1069" spans="1:15" x14ac:dyDescent="0.25">
      <c r="A1069" s="28">
        <v>46111</v>
      </c>
      <c r="B1069" s="1" t="s">
        <v>263</v>
      </c>
      <c r="C1069" s="1" t="s">
        <v>613</v>
      </c>
      <c r="D1069" s="28">
        <f t="shared" si="327"/>
        <v>46134</v>
      </c>
      <c r="E1069" s="28">
        <f t="shared" si="328"/>
        <v>46118</v>
      </c>
      <c r="F1069" s="28">
        <f t="shared" si="329"/>
        <v>46125</v>
      </c>
      <c r="G1069" s="28">
        <f t="shared" si="330"/>
        <v>46131</v>
      </c>
      <c r="H1069" s="28">
        <f t="shared" si="331"/>
        <v>46119</v>
      </c>
      <c r="I1069" s="28">
        <f t="shared" si="332"/>
        <v>46126</v>
      </c>
      <c r="J1069" s="28">
        <v>46145</v>
      </c>
      <c r="K1069" s="1">
        <f t="shared" si="350"/>
        <v>33</v>
      </c>
      <c r="L1069" s="1">
        <v>14.28</v>
      </c>
      <c r="M1069" s="1">
        <v>12.35</v>
      </c>
      <c r="N1069" s="1">
        <f t="shared" si="348"/>
        <v>1.9299999999999997</v>
      </c>
      <c r="O1069" s="1" t="s">
        <v>379</v>
      </c>
    </row>
    <row r="1070" spans="1:15" x14ac:dyDescent="0.25">
      <c r="A1070" s="28">
        <v>46112</v>
      </c>
      <c r="B1070" s="1" t="s">
        <v>346</v>
      </c>
      <c r="C1070" s="1" t="s">
        <v>614</v>
      </c>
      <c r="D1070" s="28">
        <f t="shared" si="327"/>
        <v>46135</v>
      </c>
      <c r="E1070" s="28">
        <f t="shared" si="328"/>
        <v>46119</v>
      </c>
      <c r="F1070" s="28">
        <f t="shared" si="329"/>
        <v>46126</v>
      </c>
      <c r="G1070" s="28">
        <f t="shared" si="330"/>
        <v>46132</v>
      </c>
      <c r="H1070" s="28">
        <f t="shared" si="331"/>
        <v>46120</v>
      </c>
      <c r="I1070" s="28">
        <f t="shared" si="332"/>
        <v>46127</v>
      </c>
      <c r="J1070" s="28">
        <v>46143</v>
      </c>
      <c r="K1070" s="1">
        <f t="shared" ref="K1070" si="351">J1070-A1077</f>
        <v>30</v>
      </c>
      <c r="L1070" s="1">
        <v>12.47</v>
      </c>
      <c r="M1070" s="1">
        <v>10.25</v>
      </c>
      <c r="N1070" s="1">
        <f t="shared" ref="N1070:N1089" si="352">L1070-M1070</f>
        <v>2.2200000000000006</v>
      </c>
      <c r="O1070" s="1" t="s">
        <v>379</v>
      </c>
    </row>
    <row r="1071" spans="1:15" x14ac:dyDescent="0.25">
      <c r="A1071" s="28">
        <v>46112</v>
      </c>
      <c r="B1071" s="1" t="s">
        <v>347</v>
      </c>
      <c r="C1071" s="1" t="s">
        <v>615</v>
      </c>
      <c r="D1071" s="28">
        <f t="shared" si="327"/>
        <v>46135</v>
      </c>
      <c r="E1071" s="28">
        <f t="shared" si="328"/>
        <v>46119</v>
      </c>
      <c r="F1071" s="28">
        <f t="shared" si="329"/>
        <v>46126</v>
      </c>
      <c r="G1071" s="28">
        <f t="shared" si="330"/>
        <v>46132</v>
      </c>
      <c r="H1071" s="28">
        <f t="shared" si="331"/>
        <v>46120</v>
      </c>
      <c r="I1071" s="28">
        <f t="shared" si="332"/>
        <v>46127</v>
      </c>
      <c r="J1071" s="28">
        <v>46143</v>
      </c>
      <c r="K1071" s="1">
        <f t="shared" ref="K1071:K1079" si="353">J1071-A1078</f>
        <v>30</v>
      </c>
      <c r="L1071" s="1">
        <v>13.38</v>
      </c>
      <c r="M1071" s="1">
        <v>11.54</v>
      </c>
      <c r="N1071" s="1">
        <f t="shared" si="352"/>
        <v>1.8400000000000016</v>
      </c>
      <c r="O1071" s="1" t="s">
        <v>379</v>
      </c>
    </row>
    <row r="1072" spans="1:15" x14ac:dyDescent="0.25">
      <c r="A1072" s="28">
        <v>46112</v>
      </c>
      <c r="B1072" s="1" t="s">
        <v>348</v>
      </c>
      <c r="C1072" s="1" t="s">
        <v>616</v>
      </c>
      <c r="D1072" s="28">
        <f t="shared" si="327"/>
        <v>46135</v>
      </c>
      <c r="E1072" s="28">
        <f t="shared" si="328"/>
        <v>46119</v>
      </c>
      <c r="F1072" s="28">
        <f t="shared" si="329"/>
        <v>46126</v>
      </c>
      <c r="G1072" s="28">
        <f t="shared" si="330"/>
        <v>46132</v>
      </c>
      <c r="H1072" s="28">
        <f t="shared" si="331"/>
        <v>46120</v>
      </c>
      <c r="I1072" s="28">
        <f t="shared" si="332"/>
        <v>46127</v>
      </c>
      <c r="J1072" s="28">
        <v>46143</v>
      </c>
      <c r="K1072" s="1">
        <f t="shared" si="353"/>
        <v>30</v>
      </c>
      <c r="L1072" s="1">
        <v>13.25</v>
      </c>
      <c r="M1072" s="1">
        <v>11.32</v>
      </c>
      <c r="N1072" s="1">
        <f t="shared" si="352"/>
        <v>1.9299999999999997</v>
      </c>
      <c r="O1072" s="1" t="s">
        <v>379</v>
      </c>
    </row>
    <row r="1073" spans="1:15" x14ac:dyDescent="0.25">
      <c r="A1073" s="28">
        <v>46112</v>
      </c>
      <c r="B1073" s="1" t="s">
        <v>349</v>
      </c>
      <c r="C1073" s="1" t="s">
        <v>617</v>
      </c>
      <c r="D1073" s="28">
        <f t="shared" si="327"/>
        <v>46135</v>
      </c>
      <c r="E1073" s="28">
        <f t="shared" si="328"/>
        <v>46119</v>
      </c>
      <c r="F1073" s="28">
        <f t="shared" si="329"/>
        <v>46126</v>
      </c>
      <c r="G1073" s="28">
        <f t="shared" si="330"/>
        <v>46132</v>
      </c>
      <c r="H1073" s="28">
        <f t="shared" si="331"/>
        <v>46120</v>
      </c>
      <c r="I1073" s="28">
        <f t="shared" si="332"/>
        <v>46127</v>
      </c>
      <c r="J1073" s="28">
        <v>46143</v>
      </c>
      <c r="K1073" s="1">
        <f t="shared" si="353"/>
        <v>30</v>
      </c>
      <c r="L1073" s="1">
        <v>14.19</v>
      </c>
      <c r="M1073" s="1">
        <v>12.1</v>
      </c>
      <c r="N1073" s="1">
        <f t="shared" si="352"/>
        <v>2.09</v>
      </c>
      <c r="O1073" s="1" t="s">
        <v>379</v>
      </c>
    </row>
    <row r="1074" spans="1:15" x14ac:dyDescent="0.25">
      <c r="A1074" s="28">
        <v>46112</v>
      </c>
      <c r="B1074" s="1" t="s">
        <v>350</v>
      </c>
      <c r="C1074" s="1" t="s">
        <v>618</v>
      </c>
      <c r="D1074" s="28">
        <f t="shared" si="327"/>
        <v>46135</v>
      </c>
      <c r="E1074" s="28">
        <f t="shared" si="328"/>
        <v>46119</v>
      </c>
      <c r="F1074" s="28">
        <f t="shared" si="329"/>
        <v>46126</v>
      </c>
      <c r="G1074" s="28">
        <f t="shared" si="330"/>
        <v>46132</v>
      </c>
      <c r="H1074" s="28">
        <f t="shared" si="331"/>
        <v>46120</v>
      </c>
      <c r="I1074" s="28">
        <f t="shared" si="332"/>
        <v>46127</v>
      </c>
      <c r="J1074" s="28">
        <v>46143</v>
      </c>
      <c r="K1074" s="1">
        <f t="shared" si="353"/>
        <v>30</v>
      </c>
      <c r="L1074" s="1">
        <v>14.35</v>
      </c>
      <c r="M1074" s="1">
        <v>12.15</v>
      </c>
      <c r="N1074" s="1">
        <f t="shared" si="352"/>
        <v>2.1999999999999993</v>
      </c>
      <c r="O1074" s="1" t="s">
        <v>379</v>
      </c>
    </row>
    <row r="1075" spans="1:15" x14ac:dyDescent="0.25">
      <c r="A1075" s="28">
        <v>46112</v>
      </c>
      <c r="B1075" s="1" t="s">
        <v>351</v>
      </c>
      <c r="C1075" s="1" t="s">
        <v>619</v>
      </c>
      <c r="D1075" s="28">
        <f t="shared" si="327"/>
        <v>46135</v>
      </c>
      <c r="E1075" s="28">
        <f t="shared" si="328"/>
        <v>46119</v>
      </c>
      <c r="F1075" s="28">
        <f t="shared" si="329"/>
        <v>46126</v>
      </c>
      <c r="G1075" s="28">
        <f t="shared" si="330"/>
        <v>46132</v>
      </c>
      <c r="H1075" s="28">
        <f t="shared" si="331"/>
        <v>46120</v>
      </c>
      <c r="I1075" s="28">
        <f t="shared" si="332"/>
        <v>46127</v>
      </c>
      <c r="J1075" s="28">
        <v>46143</v>
      </c>
      <c r="K1075" s="1">
        <f t="shared" si="353"/>
        <v>30</v>
      </c>
      <c r="L1075" s="1">
        <v>13.16</v>
      </c>
      <c r="M1075" s="1">
        <v>11.47</v>
      </c>
      <c r="N1075" s="1">
        <f t="shared" si="352"/>
        <v>1.6899999999999995</v>
      </c>
      <c r="O1075" s="1" t="s">
        <v>379</v>
      </c>
    </row>
    <row r="1076" spans="1:15" x14ac:dyDescent="0.25">
      <c r="A1076" s="28">
        <v>46112</v>
      </c>
      <c r="B1076" s="1" t="s">
        <v>352</v>
      </c>
      <c r="C1076" s="1" t="s">
        <v>620</v>
      </c>
      <c r="D1076" s="28">
        <f t="shared" si="327"/>
        <v>46135</v>
      </c>
      <c r="E1076" s="28">
        <f t="shared" si="328"/>
        <v>46119</v>
      </c>
      <c r="F1076" s="28">
        <f t="shared" si="329"/>
        <v>46126</v>
      </c>
      <c r="G1076" s="28">
        <f t="shared" si="330"/>
        <v>46132</v>
      </c>
      <c r="H1076" s="28">
        <f t="shared" si="331"/>
        <v>46120</v>
      </c>
      <c r="I1076" s="28">
        <f t="shared" si="332"/>
        <v>46127</v>
      </c>
      <c r="J1076" s="28">
        <v>46143</v>
      </c>
      <c r="K1076" s="1">
        <f t="shared" si="353"/>
        <v>30</v>
      </c>
      <c r="L1076" s="1">
        <v>14.08</v>
      </c>
      <c r="M1076" s="1">
        <v>12.23</v>
      </c>
      <c r="N1076" s="1">
        <f t="shared" si="352"/>
        <v>1.8499999999999996</v>
      </c>
      <c r="O1076" s="1" t="s">
        <v>379</v>
      </c>
    </row>
    <row r="1077" spans="1:15" x14ac:dyDescent="0.25">
      <c r="A1077" s="28">
        <v>46113</v>
      </c>
      <c r="B1077" s="1" t="s">
        <v>353</v>
      </c>
      <c r="C1077" s="1" t="s">
        <v>621</v>
      </c>
      <c r="D1077" s="28">
        <f t="shared" si="327"/>
        <v>46136</v>
      </c>
      <c r="E1077" s="28">
        <f t="shared" si="328"/>
        <v>46120</v>
      </c>
      <c r="F1077" s="28">
        <f t="shared" si="329"/>
        <v>46127</v>
      </c>
      <c r="G1077" s="28">
        <f t="shared" si="330"/>
        <v>46133</v>
      </c>
      <c r="H1077" s="28">
        <f t="shared" si="331"/>
        <v>46121</v>
      </c>
      <c r="I1077" s="28">
        <f t="shared" si="332"/>
        <v>46128</v>
      </c>
      <c r="J1077" s="28">
        <v>46143</v>
      </c>
      <c r="K1077" s="1">
        <f t="shared" si="353"/>
        <v>29</v>
      </c>
      <c r="L1077" s="1">
        <v>13.1</v>
      </c>
      <c r="M1077" s="1">
        <v>11.15</v>
      </c>
      <c r="N1077" s="1">
        <f t="shared" si="352"/>
        <v>1.9499999999999993</v>
      </c>
      <c r="O1077" s="1" t="s">
        <v>379</v>
      </c>
    </row>
    <row r="1078" spans="1:15" x14ac:dyDescent="0.25">
      <c r="A1078" s="28">
        <v>46113</v>
      </c>
      <c r="B1078" s="1" t="s">
        <v>354</v>
      </c>
      <c r="C1078" s="1" t="s">
        <v>622</v>
      </c>
      <c r="D1078" s="28">
        <f t="shared" si="327"/>
        <v>46136</v>
      </c>
      <c r="E1078" s="28">
        <f t="shared" si="328"/>
        <v>46120</v>
      </c>
      <c r="F1078" s="28">
        <f t="shared" si="329"/>
        <v>46127</v>
      </c>
      <c r="G1078" s="28">
        <f t="shared" si="330"/>
        <v>46133</v>
      </c>
      <c r="H1078" s="28">
        <f t="shared" si="331"/>
        <v>46121</v>
      </c>
      <c r="I1078" s="28">
        <f t="shared" si="332"/>
        <v>46128</v>
      </c>
      <c r="J1078" s="28">
        <v>46143</v>
      </c>
      <c r="K1078" s="1">
        <f t="shared" si="353"/>
        <v>29</v>
      </c>
      <c r="L1078" s="1">
        <v>12.27</v>
      </c>
      <c r="M1078" s="1">
        <v>10.32</v>
      </c>
      <c r="N1078" s="1">
        <f t="shared" si="352"/>
        <v>1.9499999999999993</v>
      </c>
      <c r="O1078" s="1" t="s">
        <v>379</v>
      </c>
    </row>
    <row r="1079" spans="1:15" x14ac:dyDescent="0.25">
      <c r="A1079" s="28">
        <v>46113</v>
      </c>
      <c r="B1079" s="1" t="s">
        <v>355</v>
      </c>
      <c r="C1079" s="1" t="s">
        <v>623</v>
      </c>
      <c r="D1079" s="28">
        <f t="shared" si="327"/>
        <v>46136</v>
      </c>
      <c r="E1079" s="28">
        <f t="shared" si="328"/>
        <v>46120</v>
      </c>
      <c r="F1079" s="28">
        <f t="shared" si="329"/>
        <v>46127</v>
      </c>
      <c r="G1079" s="28">
        <f t="shared" si="330"/>
        <v>46133</v>
      </c>
      <c r="H1079" s="28">
        <f t="shared" si="331"/>
        <v>46121</v>
      </c>
      <c r="I1079" s="28">
        <f t="shared" si="332"/>
        <v>46128</v>
      </c>
      <c r="J1079" s="28">
        <v>46144</v>
      </c>
      <c r="K1079" s="1">
        <f t="shared" si="353"/>
        <v>30</v>
      </c>
      <c r="L1079" s="1">
        <v>13.24</v>
      </c>
      <c r="M1079" s="1">
        <v>11.12</v>
      </c>
      <c r="N1079" s="1">
        <f t="shared" si="352"/>
        <v>2.120000000000001</v>
      </c>
      <c r="O1079" s="1" t="s">
        <v>379</v>
      </c>
    </row>
    <row r="1080" spans="1:15" x14ac:dyDescent="0.25">
      <c r="A1080" s="28">
        <v>46113</v>
      </c>
      <c r="B1080" s="1" t="s">
        <v>356</v>
      </c>
      <c r="C1080" s="1" t="s">
        <v>624</v>
      </c>
      <c r="D1080" s="28">
        <f t="shared" si="327"/>
        <v>46136</v>
      </c>
      <c r="E1080" s="28">
        <f t="shared" si="328"/>
        <v>46120</v>
      </c>
      <c r="F1080" s="28">
        <f t="shared" si="329"/>
        <v>46127</v>
      </c>
      <c r="G1080" s="28">
        <f t="shared" si="330"/>
        <v>46133</v>
      </c>
      <c r="H1080" s="28">
        <f t="shared" si="331"/>
        <v>46121</v>
      </c>
      <c r="I1080" s="28">
        <f t="shared" si="332"/>
        <v>46128</v>
      </c>
      <c r="J1080" s="28">
        <v>46144</v>
      </c>
      <c r="K1080" s="1">
        <f t="shared" ref="K1080:K1087" si="354">J1080-A1087</f>
        <v>30</v>
      </c>
      <c r="L1080" s="1">
        <v>12.53</v>
      </c>
      <c r="M1080" s="1">
        <v>10.81</v>
      </c>
      <c r="N1080" s="1">
        <f t="shared" si="352"/>
        <v>1.7199999999999989</v>
      </c>
      <c r="O1080" s="1" t="s">
        <v>379</v>
      </c>
    </row>
    <row r="1081" spans="1:15" x14ac:dyDescent="0.25">
      <c r="A1081" s="28">
        <v>46113</v>
      </c>
      <c r="B1081" s="1" t="s">
        <v>357</v>
      </c>
      <c r="C1081" s="1" t="s">
        <v>399</v>
      </c>
      <c r="D1081" s="28">
        <f t="shared" si="327"/>
        <v>46136</v>
      </c>
      <c r="E1081" s="28">
        <f t="shared" si="328"/>
        <v>46120</v>
      </c>
      <c r="F1081" s="28">
        <f t="shared" si="329"/>
        <v>46127</v>
      </c>
      <c r="G1081" s="28">
        <f t="shared" si="330"/>
        <v>46133</v>
      </c>
      <c r="H1081" s="28">
        <f t="shared" si="331"/>
        <v>46121</v>
      </c>
      <c r="I1081" s="28">
        <f t="shared" si="332"/>
        <v>46128</v>
      </c>
      <c r="J1081" s="28">
        <v>46144</v>
      </c>
      <c r="K1081" s="1">
        <f t="shared" si="354"/>
        <v>30</v>
      </c>
      <c r="L1081" s="1">
        <v>14.18</v>
      </c>
      <c r="M1081" s="1">
        <v>12.42</v>
      </c>
      <c r="N1081" s="1">
        <f t="shared" si="352"/>
        <v>1.7599999999999998</v>
      </c>
      <c r="O1081" s="1" t="s">
        <v>379</v>
      </c>
    </row>
    <row r="1082" spans="1:15" x14ac:dyDescent="0.25">
      <c r="A1082" s="28">
        <v>46113</v>
      </c>
      <c r="B1082" s="1" t="s">
        <v>358</v>
      </c>
      <c r="C1082" s="1" t="s">
        <v>400</v>
      </c>
      <c r="D1082" s="28">
        <f t="shared" si="327"/>
        <v>46136</v>
      </c>
      <c r="E1082" s="28">
        <f t="shared" si="328"/>
        <v>46120</v>
      </c>
      <c r="F1082" s="28">
        <f t="shared" si="329"/>
        <v>46127</v>
      </c>
      <c r="G1082" s="28">
        <f t="shared" si="330"/>
        <v>46133</v>
      </c>
      <c r="H1082" s="28">
        <f t="shared" si="331"/>
        <v>46121</v>
      </c>
      <c r="I1082" s="28">
        <f t="shared" si="332"/>
        <v>46128</v>
      </c>
      <c r="J1082" s="28">
        <v>46144</v>
      </c>
      <c r="K1082" s="1">
        <f t="shared" si="354"/>
        <v>30</v>
      </c>
      <c r="L1082" s="1">
        <v>13.27</v>
      </c>
      <c r="M1082" s="1">
        <v>11.58</v>
      </c>
      <c r="N1082" s="1">
        <f t="shared" si="352"/>
        <v>1.6899999999999995</v>
      </c>
      <c r="O1082" s="1" t="s">
        <v>379</v>
      </c>
    </row>
    <row r="1083" spans="1:15" x14ac:dyDescent="0.25">
      <c r="A1083" s="28">
        <v>46113</v>
      </c>
      <c r="B1083" s="1" t="s">
        <v>359</v>
      </c>
      <c r="C1083" s="1" t="s">
        <v>401</v>
      </c>
      <c r="D1083" s="28">
        <f t="shared" si="327"/>
        <v>46136</v>
      </c>
      <c r="E1083" s="28">
        <f t="shared" si="328"/>
        <v>46120</v>
      </c>
      <c r="F1083" s="28">
        <f t="shared" si="329"/>
        <v>46127</v>
      </c>
      <c r="G1083" s="28">
        <f t="shared" si="330"/>
        <v>46133</v>
      </c>
      <c r="H1083" s="28">
        <f t="shared" si="331"/>
        <v>46121</v>
      </c>
      <c r="I1083" s="28">
        <f t="shared" si="332"/>
        <v>46128</v>
      </c>
      <c r="J1083" s="28">
        <v>46144</v>
      </c>
      <c r="K1083" s="1">
        <f t="shared" si="354"/>
        <v>30</v>
      </c>
      <c r="L1083" s="1">
        <v>13.59</v>
      </c>
      <c r="M1083" s="1">
        <v>11.74</v>
      </c>
      <c r="N1083" s="1">
        <f t="shared" si="352"/>
        <v>1.8499999999999996</v>
      </c>
      <c r="O1083" s="1" t="s">
        <v>379</v>
      </c>
    </row>
    <row r="1084" spans="1:15" x14ac:dyDescent="0.25">
      <c r="A1084" s="28">
        <v>46114</v>
      </c>
      <c r="B1084" s="1" t="s">
        <v>360</v>
      </c>
      <c r="C1084" s="1" t="s">
        <v>402</v>
      </c>
      <c r="D1084" s="28">
        <f t="shared" si="327"/>
        <v>46137</v>
      </c>
      <c r="E1084" s="28">
        <f t="shared" si="328"/>
        <v>46121</v>
      </c>
      <c r="F1084" s="28">
        <f t="shared" si="329"/>
        <v>46128</v>
      </c>
      <c r="G1084" s="28">
        <f t="shared" si="330"/>
        <v>46134</v>
      </c>
      <c r="H1084" s="28">
        <f t="shared" si="331"/>
        <v>46122</v>
      </c>
      <c r="I1084" s="28">
        <f t="shared" si="332"/>
        <v>46129</v>
      </c>
      <c r="J1084" s="28">
        <v>46144</v>
      </c>
      <c r="K1084" s="1">
        <f t="shared" si="354"/>
        <v>29</v>
      </c>
      <c r="L1084" s="1">
        <v>14.02</v>
      </c>
      <c r="M1084" s="1">
        <v>12.19</v>
      </c>
      <c r="N1084" s="1">
        <f t="shared" si="352"/>
        <v>1.83</v>
      </c>
      <c r="O1084" s="1" t="s">
        <v>379</v>
      </c>
    </row>
    <row r="1085" spans="1:15" x14ac:dyDescent="0.25">
      <c r="A1085" s="28">
        <v>46114</v>
      </c>
      <c r="B1085" s="1" t="s">
        <v>361</v>
      </c>
      <c r="C1085" s="1" t="s">
        <v>403</v>
      </c>
      <c r="D1085" s="28">
        <f t="shared" si="327"/>
        <v>46137</v>
      </c>
      <c r="E1085" s="28">
        <f t="shared" si="328"/>
        <v>46121</v>
      </c>
      <c r="F1085" s="28">
        <f t="shared" si="329"/>
        <v>46128</v>
      </c>
      <c r="G1085" s="28">
        <f t="shared" si="330"/>
        <v>46134</v>
      </c>
      <c r="H1085" s="28">
        <f t="shared" si="331"/>
        <v>46122</v>
      </c>
      <c r="I1085" s="28">
        <f t="shared" si="332"/>
        <v>46129</v>
      </c>
      <c r="J1085" s="28">
        <v>46144</v>
      </c>
      <c r="K1085" s="1">
        <f t="shared" si="354"/>
        <v>29</v>
      </c>
      <c r="L1085" s="1">
        <v>14.34</v>
      </c>
      <c r="M1085" s="1">
        <v>12.53</v>
      </c>
      <c r="N1085" s="1">
        <f t="shared" si="352"/>
        <v>1.8100000000000005</v>
      </c>
      <c r="O1085" s="1" t="s">
        <v>379</v>
      </c>
    </row>
    <row r="1086" spans="1:15" x14ac:dyDescent="0.25">
      <c r="A1086" s="28">
        <v>46114</v>
      </c>
      <c r="B1086" s="1" t="s">
        <v>362</v>
      </c>
      <c r="C1086" s="1" t="s">
        <v>404</v>
      </c>
      <c r="D1086" s="28">
        <f t="shared" si="327"/>
        <v>46137</v>
      </c>
      <c r="E1086" s="28">
        <f t="shared" si="328"/>
        <v>46121</v>
      </c>
      <c r="F1086" s="28">
        <f t="shared" si="329"/>
        <v>46128</v>
      </c>
      <c r="G1086" s="28">
        <f t="shared" si="330"/>
        <v>46134</v>
      </c>
      <c r="H1086" s="28">
        <f t="shared" si="331"/>
        <v>46122</v>
      </c>
      <c r="I1086" s="28">
        <f t="shared" si="332"/>
        <v>46129</v>
      </c>
      <c r="J1086" s="28">
        <v>46144</v>
      </c>
      <c r="K1086" s="1">
        <f t="shared" si="354"/>
        <v>29</v>
      </c>
      <c r="L1086" s="1">
        <v>13.27</v>
      </c>
      <c r="M1086" s="1">
        <v>11.58</v>
      </c>
      <c r="N1086" s="1">
        <f t="shared" si="352"/>
        <v>1.6899999999999995</v>
      </c>
      <c r="O1086" s="1" t="s">
        <v>379</v>
      </c>
    </row>
    <row r="1087" spans="1:15" x14ac:dyDescent="0.25">
      <c r="A1087" s="28">
        <v>46114</v>
      </c>
      <c r="B1087" s="1" t="s">
        <v>363</v>
      </c>
      <c r="C1087" s="1" t="s">
        <v>405</v>
      </c>
      <c r="D1087" s="28">
        <f t="shared" si="327"/>
        <v>46137</v>
      </c>
      <c r="E1087" s="28">
        <f t="shared" si="328"/>
        <v>46121</v>
      </c>
      <c r="F1087" s="28">
        <f t="shared" si="329"/>
        <v>46128</v>
      </c>
      <c r="G1087" s="28">
        <f t="shared" si="330"/>
        <v>46134</v>
      </c>
      <c r="H1087" s="28">
        <f t="shared" si="331"/>
        <v>46122</v>
      </c>
      <c r="I1087" s="28">
        <f t="shared" si="332"/>
        <v>46129</v>
      </c>
      <c r="J1087" s="28">
        <v>46145</v>
      </c>
      <c r="K1087" s="1">
        <f t="shared" si="354"/>
        <v>30</v>
      </c>
      <c r="L1087" s="1">
        <v>12.41</v>
      </c>
      <c r="M1087" s="1">
        <v>10.58</v>
      </c>
      <c r="N1087" s="1">
        <f t="shared" si="352"/>
        <v>1.83</v>
      </c>
      <c r="O1087" s="1" t="s">
        <v>379</v>
      </c>
    </row>
    <row r="1088" spans="1:15" x14ac:dyDescent="0.25">
      <c r="A1088" s="28">
        <v>46114</v>
      </c>
      <c r="B1088" s="1" t="s">
        <v>364</v>
      </c>
      <c r="C1088" s="1" t="s">
        <v>406</v>
      </c>
      <c r="D1088" s="28">
        <f t="shared" si="327"/>
        <v>46137</v>
      </c>
      <c r="E1088" s="28">
        <f t="shared" si="328"/>
        <v>46121</v>
      </c>
      <c r="F1088" s="28">
        <f t="shared" si="329"/>
        <v>46128</v>
      </c>
      <c r="G1088" s="28">
        <f t="shared" si="330"/>
        <v>46134</v>
      </c>
      <c r="H1088" s="28">
        <f t="shared" si="331"/>
        <v>46122</v>
      </c>
      <c r="I1088" s="28">
        <f t="shared" si="332"/>
        <v>46129</v>
      </c>
      <c r="J1088" s="28">
        <v>46145</v>
      </c>
      <c r="K1088" s="1">
        <f t="shared" ref="K1088" si="355">J1088-A1095</f>
        <v>30</v>
      </c>
      <c r="L1088" s="1">
        <v>8.3000000000000007</v>
      </c>
      <c r="M1088" s="1">
        <v>5.32</v>
      </c>
      <c r="N1088" s="1">
        <f t="shared" si="352"/>
        <v>2.9800000000000004</v>
      </c>
      <c r="O1088" s="1" t="s">
        <v>379</v>
      </c>
    </row>
    <row r="1089" spans="1:15" x14ac:dyDescent="0.25">
      <c r="A1089" s="28">
        <v>46114</v>
      </c>
      <c r="B1089" s="1" t="s">
        <v>365</v>
      </c>
      <c r="C1089" s="1" t="s">
        <v>407</v>
      </c>
      <c r="D1089" s="28">
        <f t="shared" si="327"/>
        <v>46137</v>
      </c>
      <c r="E1089" s="28">
        <f t="shared" si="328"/>
        <v>46121</v>
      </c>
      <c r="F1089" s="28">
        <f t="shared" si="329"/>
        <v>46128</v>
      </c>
      <c r="G1089" s="28">
        <f t="shared" si="330"/>
        <v>46134</v>
      </c>
      <c r="H1089" s="28">
        <f t="shared" si="331"/>
        <v>46122</v>
      </c>
      <c r="I1089" s="28">
        <f t="shared" si="332"/>
        <v>46129</v>
      </c>
      <c r="J1089" s="28">
        <v>46145</v>
      </c>
      <c r="K1089" s="1">
        <f t="shared" ref="K1089" si="356">J1089-A1096</f>
        <v>30</v>
      </c>
      <c r="L1089" s="1">
        <v>9.1199999999999992</v>
      </c>
      <c r="M1089" s="1">
        <v>6.72</v>
      </c>
      <c r="N1089" s="1">
        <f t="shared" si="352"/>
        <v>2.3999999999999995</v>
      </c>
      <c r="O1089" s="1" t="s">
        <v>379</v>
      </c>
    </row>
    <row r="1090" spans="1:15" x14ac:dyDescent="0.25">
      <c r="A1090" s="28">
        <v>46114</v>
      </c>
      <c r="B1090" s="1" t="s">
        <v>390</v>
      </c>
      <c r="C1090" s="1" t="s">
        <v>408</v>
      </c>
      <c r="D1090" s="28">
        <f t="shared" si="327"/>
        <v>46137</v>
      </c>
      <c r="E1090" s="28">
        <f t="shared" si="328"/>
        <v>46121</v>
      </c>
      <c r="F1090" s="28">
        <f t="shared" si="329"/>
        <v>46128</v>
      </c>
      <c r="G1090" s="28">
        <f t="shared" si="330"/>
        <v>46134</v>
      </c>
      <c r="H1090" s="28">
        <f t="shared" si="331"/>
        <v>46122</v>
      </c>
      <c r="I1090" s="28">
        <f t="shared" si="332"/>
        <v>46129</v>
      </c>
      <c r="J1090" s="28">
        <v>46145</v>
      </c>
      <c r="K1090" s="1">
        <f t="shared" ref="K1090" si="357">J1090-A1097</f>
        <v>30</v>
      </c>
      <c r="L1090" s="1">
        <v>10.85</v>
      </c>
      <c r="M1090" s="1">
        <v>9.2200000000000006</v>
      </c>
      <c r="N1090" s="1">
        <f t="shared" ref="N1090" si="358">L1090-M1090</f>
        <v>1.629999999999999</v>
      </c>
      <c r="O1090" s="1" t="s">
        <v>379</v>
      </c>
    </row>
    <row r="1091" spans="1:15" x14ac:dyDescent="0.25">
      <c r="A1091" s="28">
        <v>46115</v>
      </c>
      <c r="B1091" s="1" t="s">
        <v>213</v>
      </c>
      <c r="C1091" s="1" t="s">
        <v>416</v>
      </c>
      <c r="D1091" s="28">
        <f t="shared" si="327"/>
        <v>46138</v>
      </c>
      <c r="E1091" s="28">
        <f t="shared" si="328"/>
        <v>46122</v>
      </c>
      <c r="F1091" s="28">
        <f t="shared" si="329"/>
        <v>46129</v>
      </c>
      <c r="G1091" s="28">
        <f t="shared" si="330"/>
        <v>46135</v>
      </c>
      <c r="H1091" s="28">
        <f t="shared" si="331"/>
        <v>46123</v>
      </c>
      <c r="I1091" s="28">
        <f t="shared" si="332"/>
        <v>46130</v>
      </c>
      <c r="J1091" s="28">
        <v>46149</v>
      </c>
      <c r="K1091" s="1">
        <f t="shared" ref="K1091:K1092" si="359">J1091-A1091</f>
        <v>34</v>
      </c>
      <c r="L1091" s="1">
        <v>12.35</v>
      </c>
      <c r="M1091" s="1">
        <v>10.28</v>
      </c>
      <c r="N1091" s="1">
        <f t="shared" ref="N1091:N1092" si="360">L1091-M1091</f>
        <v>2.0700000000000003</v>
      </c>
      <c r="O1091" s="1" t="s">
        <v>379</v>
      </c>
    </row>
    <row r="1092" spans="1:15" x14ac:dyDescent="0.25">
      <c r="A1092" s="28">
        <v>46115</v>
      </c>
      <c r="B1092" s="1" t="s">
        <v>214</v>
      </c>
      <c r="C1092" s="1" t="s">
        <v>417</v>
      </c>
      <c r="D1092" s="28">
        <f t="shared" si="327"/>
        <v>46138</v>
      </c>
      <c r="E1092" s="28">
        <f t="shared" si="328"/>
        <v>46122</v>
      </c>
      <c r="F1092" s="28">
        <f t="shared" si="329"/>
        <v>46129</v>
      </c>
      <c r="G1092" s="28">
        <f t="shared" si="330"/>
        <v>46135</v>
      </c>
      <c r="H1092" s="28">
        <f t="shared" si="331"/>
        <v>46123</v>
      </c>
      <c r="I1092" s="28">
        <f t="shared" si="332"/>
        <v>46130</v>
      </c>
      <c r="J1092" s="28">
        <v>46149</v>
      </c>
      <c r="K1092" s="1">
        <f t="shared" si="359"/>
        <v>34</v>
      </c>
      <c r="L1092" s="1">
        <v>13.42</v>
      </c>
      <c r="M1092" s="1">
        <v>11.25</v>
      </c>
      <c r="N1092" s="1">
        <f t="shared" si="360"/>
        <v>2.17</v>
      </c>
      <c r="O1092" s="1" t="s">
        <v>379</v>
      </c>
    </row>
    <row r="1093" spans="1:15" x14ac:dyDescent="0.25">
      <c r="A1093" s="28">
        <v>46115</v>
      </c>
      <c r="B1093" s="1" t="s">
        <v>215</v>
      </c>
      <c r="C1093" s="1" t="s">
        <v>418</v>
      </c>
      <c r="D1093" s="28">
        <f t="shared" si="327"/>
        <v>46138</v>
      </c>
      <c r="E1093" s="28">
        <f t="shared" si="328"/>
        <v>46122</v>
      </c>
      <c r="F1093" s="28">
        <f t="shared" si="329"/>
        <v>46129</v>
      </c>
      <c r="G1093" s="28">
        <f t="shared" si="330"/>
        <v>46135</v>
      </c>
      <c r="H1093" s="28">
        <f t="shared" si="331"/>
        <v>46123</v>
      </c>
      <c r="I1093" s="28">
        <f t="shared" si="332"/>
        <v>46130</v>
      </c>
      <c r="J1093" s="28">
        <v>46148</v>
      </c>
      <c r="K1093" s="1">
        <f t="shared" ref="K1093:K1095" si="361">J1093-A1093</f>
        <v>33</v>
      </c>
      <c r="L1093" s="1">
        <v>15.21</v>
      </c>
      <c r="M1093" s="1">
        <v>13.15</v>
      </c>
      <c r="N1093" s="1">
        <f t="shared" ref="N1093:N1097" si="362">L1093-M1093</f>
        <v>2.0600000000000005</v>
      </c>
      <c r="O1093" s="1" t="s">
        <v>379</v>
      </c>
    </row>
    <row r="1094" spans="1:15" x14ac:dyDescent="0.25">
      <c r="A1094" s="28">
        <v>46115</v>
      </c>
      <c r="B1094" s="1" t="s">
        <v>216</v>
      </c>
      <c r="C1094" s="1" t="s">
        <v>419</v>
      </c>
      <c r="D1094" s="28">
        <f t="shared" si="327"/>
        <v>46138</v>
      </c>
      <c r="E1094" s="28">
        <f t="shared" si="328"/>
        <v>46122</v>
      </c>
      <c r="F1094" s="28">
        <f t="shared" si="329"/>
        <v>46129</v>
      </c>
      <c r="G1094" s="28">
        <f t="shared" si="330"/>
        <v>46135</v>
      </c>
      <c r="H1094" s="28">
        <f t="shared" si="331"/>
        <v>46123</v>
      </c>
      <c r="I1094" s="28">
        <f t="shared" si="332"/>
        <v>46130</v>
      </c>
      <c r="J1094" s="28">
        <v>46148</v>
      </c>
      <c r="K1094" s="1">
        <f t="shared" si="361"/>
        <v>33</v>
      </c>
      <c r="L1094" s="1">
        <v>14.08</v>
      </c>
      <c r="M1094" s="1">
        <v>12.17</v>
      </c>
      <c r="N1094" s="1">
        <f t="shared" si="362"/>
        <v>1.9100000000000001</v>
      </c>
      <c r="O1094" s="1" t="s">
        <v>379</v>
      </c>
    </row>
    <row r="1095" spans="1:15" x14ac:dyDescent="0.25">
      <c r="A1095" s="28">
        <v>46115</v>
      </c>
      <c r="B1095" s="1" t="s">
        <v>217</v>
      </c>
      <c r="C1095" s="1" t="s">
        <v>420</v>
      </c>
      <c r="D1095" s="28">
        <f t="shared" si="327"/>
        <v>46138</v>
      </c>
      <c r="E1095" s="28">
        <f t="shared" si="328"/>
        <v>46122</v>
      </c>
      <c r="F1095" s="28">
        <f t="shared" si="329"/>
        <v>46129</v>
      </c>
      <c r="G1095" s="28">
        <f t="shared" si="330"/>
        <v>46135</v>
      </c>
      <c r="H1095" s="28">
        <f t="shared" si="331"/>
        <v>46123</v>
      </c>
      <c r="I1095" s="28">
        <f t="shared" si="332"/>
        <v>46130</v>
      </c>
      <c r="J1095" s="28">
        <v>46148</v>
      </c>
      <c r="K1095" s="1">
        <f t="shared" si="361"/>
        <v>33</v>
      </c>
      <c r="L1095" s="1">
        <v>15.27</v>
      </c>
      <c r="M1095" s="1">
        <v>13.24</v>
      </c>
      <c r="N1095" s="1">
        <f t="shared" si="362"/>
        <v>2.0299999999999994</v>
      </c>
      <c r="O1095" s="1" t="s">
        <v>379</v>
      </c>
    </row>
    <row r="1096" spans="1:15" x14ac:dyDescent="0.25">
      <c r="A1096" s="28">
        <v>46115</v>
      </c>
      <c r="B1096" s="1" t="s">
        <v>218</v>
      </c>
      <c r="C1096" s="1" t="s">
        <v>421</v>
      </c>
      <c r="D1096" s="28">
        <f t="shared" si="327"/>
        <v>46138</v>
      </c>
      <c r="E1096" s="28">
        <f t="shared" si="328"/>
        <v>46122</v>
      </c>
      <c r="F1096" s="28">
        <f t="shared" si="329"/>
        <v>46129</v>
      </c>
      <c r="G1096" s="28">
        <f t="shared" si="330"/>
        <v>46135</v>
      </c>
      <c r="H1096" s="28">
        <f t="shared" si="331"/>
        <v>46123</v>
      </c>
      <c r="I1096" s="28">
        <f t="shared" si="332"/>
        <v>46130</v>
      </c>
      <c r="J1096" s="28">
        <v>46148</v>
      </c>
      <c r="K1096" s="1">
        <f t="shared" ref="K1096" si="363">J1096-A1096</f>
        <v>33</v>
      </c>
      <c r="L1096" s="1">
        <v>13.19</v>
      </c>
      <c r="M1096" s="1">
        <v>11.48</v>
      </c>
      <c r="N1096" s="1">
        <f t="shared" si="362"/>
        <v>1.7099999999999991</v>
      </c>
      <c r="O1096" s="1" t="s">
        <v>379</v>
      </c>
    </row>
    <row r="1097" spans="1:15" x14ac:dyDescent="0.25">
      <c r="A1097" s="28">
        <v>46115</v>
      </c>
      <c r="B1097" s="1" t="s">
        <v>219</v>
      </c>
      <c r="C1097" s="1" t="s">
        <v>422</v>
      </c>
      <c r="D1097" s="28">
        <f t="shared" si="327"/>
        <v>46138</v>
      </c>
      <c r="E1097" s="28">
        <f t="shared" si="328"/>
        <v>46122</v>
      </c>
      <c r="F1097" s="28">
        <f t="shared" si="329"/>
        <v>46129</v>
      </c>
      <c r="G1097" s="28">
        <f t="shared" si="330"/>
        <v>46135</v>
      </c>
      <c r="H1097" s="28">
        <f t="shared" si="331"/>
        <v>46123</v>
      </c>
      <c r="I1097" s="28">
        <f t="shared" si="332"/>
        <v>46130</v>
      </c>
      <c r="J1097" s="28">
        <v>46148</v>
      </c>
      <c r="K1097" s="1">
        <f t="shared" ref="K1097:K1099" si="364">J1097-A1097</f>
        <v>33</v>
      </c>
      <c r="L1097" s="1">
        <v>14.52</v>
      </c>
      <c r="M1097" s="1">
        <v>12.37</v>
      </c>
      <c r="N1097" s="1">
        <f t="shared" si="362"/>
        <v>2.1500000000000004</v>
      </c>
      <c r="O1097" s="1" t="s">
        <v>379</v>
      </c>
    </row>
    <row r="1098" spans="1:15" x14ac:dyDescent="0.25">
      <c r="A1098" s="28">
        <v>46116</v>
      </c>
      <c r="B1098" s="1" t="s">
        <v>243</v>
      </c>
      <c r="C1098" s="1" t="s">
        <v>423</v>
      </c>
      <c r="D1098" s="28">
        <f t="shared" si="327"/>
        <v>46139</v>
      </c>
      <c r="E1098" s="28">
        <f t="shared" si="328"/>
        <v>46123</v>
      </c>
      <c r="F1098" s="28">
        <f t="shared" si="329"/>
        <v>46130</v>
      </c>
      <c r="G1098" s="28">
        <f t="shared" si="330"/>
        <v>46136</v>
      </c>
      <c r="H1098" s="28">
        <f t="shared" si="331"/>
        <v>46124</v>
      </c>
      <c r="I1098" s="28">
        <f t="shared" si="332"/>
        <v>46131</v>
      </c>
      <c r="J1098" s="28">
        <v>46150</v>
      </c>
      <c r="K1098" s="1">
        <f t="shared" si="364"/>
        <v>34</v>
      </c>
      <c r="L1098" s="1">
        <v>14.31</v>
      </c>
      <c r="M1098" s="1">
        <v>12.47</v>
      </c>
      <c r="N1098" s="1">
        <f t="shared" ref="N1098:N1100" si="365">L1098-M1098</f>
        <v>1.8399999999999999</v>
      </c>
      <c r="O1098" s="1" t="s">
        <v>379</v>
      </c>
    </row>
    <row r="1099" spans="1:15" x14ac:dyDescent="0.25">
      <c r="A1099" s="28">
        <v>46116</v>
      </c>
      <c r="B1099" s="1" t="s">
        <v>244</v>
      </c>
      <c r="C1099" s="1" t="s">
        <v>424</v>
      </c>
      <c r="D1099" s="28">
        <f t="shared" si="327"/>
        <v>46139</v>
      </c>
      <c r="E1099" s="28">
        <f t="shared" si="328"/>
        <v>46123</v>
      </c>
      <c r="F1099" s="28">
        <f t="shared" si="329"/>
        <v>46130</v>
      </c>
      <c r="G1099" s="28">
        <f t="shared" si="330"/>
        <v>46136</v>
      </c>
      <c r="H1099" s="28">
        <f t="shared" si="331"/>
        <v>46124</v>
      </c>
      <c r="I1099" s="28">
        <f t="shared" si="332"/>
        <v>46131</v>
      </c>
      <c r="J1099" s="28">
        <v>46150</v>
      </c>
      <c r="K1099" s="1">
        <f t="shared" si="364"/>
        <v>34</v>
      </c>
      <c r="L1099" s="1">
        <v>13.48</v>
      </c>
      <c r="M1099" s="1">
        <v>11.35</v>
      </c>
      <c r="N1099" s="1">
        <f t="shared" si="365"/>
        <v>2.1300000000000008</v>
      </c>
      <c r="O1099" s="1" t="s">
        <v>379</v>
      </c>
    </row>
    <row r="1100" spans="1:15" x14ac:dyDescent="0.25">
      <c r="A1100" s="28">
        <v>46116</v>
      </c>
      <c r="B1100" s="1" t="s">
        <v>245</v>
      </c>
      <c r="C1100" s="1" t="s">
        <v>425</v>
      </c>
      <c r="D1100" s="28">
        <f t="shared" si="327"/>
        <v>46139</v>
      </c>
      <c r="E1100" s="28">
        <f t="shared" si="328"/>
        <v>46123</v>
      </c>
      <c r="F1100" s="28">
        <f t="shared" si="329"/>
        <v>46130</v>
      </c>
      <c r="G1100" s="28">
        <f t="shared" si="330"/>
        <v>46136</v>
      </c>
      <c r="H1100" s="28">
        <f t="shared" si="331"/>
        <v>46124</v>
      </c>
      <c r="I1100" s="28">
        <f t="shared" si="332"/>
        <v>46131</v>
      </c>
      <c r="J1100" s="28">
        <v>46149</v>
      </c>
      <c r="K1100" s="1">
        <f t="shared" ref="K1100:K1163" si="366">J1100-A1100</f>
        <v>33</v>
      </c>
      <c r="L1100" s="1">
        <v>14.36</v>
      </c>
      <c r="M1100" s="1">
        <v>12.52</v>
      </c>
      <c r="N1100" s="1">
        <f t="shared" si="365"/>
        <v>1.8399999999999999</v>
      </c>
      <c r="O1100" s="1" t="s">
        <v>379</v>
      </c>
    </row>
    <row r="1101" spans="1:15" x14ac:dyDescent="0.25">
      <c r="A1101" s="28">
        <v>46116</v>
      </c>
      <c r="B1101" s="1" t="s">
        <v>246</v>
      </c>
      <c r="C1101" s="1" t="s">
        <v>426</v>
      </c>
      <c r="D1101" s="28">
        <f t="shared" si="327"/>
        <v>46139</v>
      </c>
      <c r="E1101" s="28">
        <f t="shared" si="328"/>
        <v>46123</v>
      </c>
      <c r="F1101" s="28">
        <f t="shared" si="329"/>
        <v>46130</v>
      </c>
      <c r="G1101" s="28">
        <f t="shared" si="330"/>
        <v>46136</v>
      </c>
      <c r="H1101" s="28">
        <f t="shared" si="331"/>
        <v>46124</v>
      </c>
      <c r="I1101" s="28">
        <f t="shared" si="332"/>
        <v>46131</v>
      </c>
      <c r="J1101" s="28">
        <v>46149</v>
      </c>
      <c r="K1101" s="1">
        <f t="shared" si="366"/>
        <v>33</v>
      </c>
      <c r="L1101" s="1">
        <v>14.51</v>
      </c>
      <c r="M1101" s="1">
        <v>12.37</v>
      </c>
      <c r="N1101" s="1">
        <f t="shared" ref="N1101:N1154" si="367">L1101-M1101</f>
        <v>2.1400000000000006</v>
      </c>
      <c r="O1101" s="1" t="s">
        <v>379</v>
      </c>
    </row>
    <row r="1102" spans="1:15" x14ac:dyDescent="0.25">
      <c r="A1102" s="28">
        <v>46116</v>
      </c>
      <c r="B1102" s="1" t="s">
        <v>247</v>
      </c>
      <c r="C1102" s="1" t="s">
        <v>427</v>
      </c>
      <c r="D1102" s="28">
        <f t="shared" si="327"/>
        <v>46139</v>
      </c>
      <c r="E1102" s="28">
        <f t="shared" si="328"/>
        <v>46123</v>
      </c>
      <c r="F1102" s="28">
        <f t="shared" si="329"/>
        <v>46130</v>
      </c>
      <c r="G1102" s="28">
        <f t="shared" si="330"/>
        <v>46136</v>
      </c>
      <c r="H1102" s="28">
        <f t="shared" si="331"/>
        <v>46124</v>
      </c>
      <c r="I1102" s="28">
        <f t="shared" si="332"/>
        <v>46131</v>
      </c>
      <c r="J1102" s="28">
        <v>46149</v>
      </c>
      <c r="K1102" s="1">
        <f t="shared" si="366"/>
        <v>33</v>
      </c>
      <c r="L1102" s="1">
        <v>12.2</v>
      </c>
      <c r="M1102" s="1">
        <v>11.58</v>
      </c>
      <c r="N1102" s="1">
        <f t="shared" si="367"/>
        <v>0.61999999999999922</v>
      </c>
      <c r="O1102" s="1" t="s">
        <v>379</v>
      </c>
    </row>
    <row r="1103" spans="1:15" x14ac:dyDescent="0.25">
      <c r="A1103" s="28">
        <v>46116</v>
      </c>
      <c r="B1103" s="1" t="s">
        <v>248</v>
      </c>
      <c r="C1103" s="1" t="s">
        <v>428</v>
      </c>
      <c r="D1103" s="28">
        <f t="shared" si="327"/>
        <v>46139</v>
      </c>
      <c r="E1103" s="28">
        <f t="shared" si="328"/>
        <v>46123</v>
      </c>
      <c r="F1103" s="28">
        <f t="shared" si="329"/>
        <v>46130</v>
      </c>
      <c r="G1103" s="28">
        <f t="shared" si="330"/>
        <v>46136</v>
      </c>
      <c r="H1103" s="28">
        <f t="shared" si="331"/>
        <v>46124</v>
      </c>
      <c r="I1103" s="28">
        <f t="shared" si="332"/>
        <v>46131</v>
      </c>
      <c r="J1103" s="28">
        <v>46149</v>
      </c>
      <c r="K1103" s="1">
        <f t="shared" si="366"/>
        <v>33</v>
      </c>
      <c r="L1103" s="1">
        <v>14.58</v>
      </c>
      <c r="M1103" s="1">
        <v>12.11</v>
      </c>
      <c r="N1103" s="1">
        <f t="shared" si="367"/>
        <v>2.4700000000000006</v>
      </c>
      <c r="O1103" s="1" t="s">
        <v>379</v>
      </c>
    </row>
    <row r="1104" spans="1:15" x14ac:dyDescent="0.25">
      <c r="A1104" s="28">
        <v>46116</v>
      </c>
      <c r="B1104" s="1" t="s">
        <v>249</v>
      </c>
      <c r="C1104" s="1" t="s">
        <v>429</v>
      </c>
      <c r="D1104" s="28">
        <f t="shared" si="327"/>
        <v>46139</v>
      </c>
      <c r="E1104" s="28">
        <f t="shared" si="328"/>
        <v>46123</v>
      </c>
      <c r="F1104" s="28">
        <f t="shared" si="329"/>
        <v>46130</v>
      </c>
      <c r="G1104" s="28">
        <f t="shared" si="330"/>
        <v>46136</v>
      </c>
      <c r="H1104" s="28">
        <f t="shared" si="331"/>
        <v>46124</v>
      </c>
      <c r="I1104" s="28">
        <f t="shared" si="332"/>
        <v>46131</v>
      </c>
      <c r="J1104" s="28">
        <v>46149</v>
      </c>
      <c r="K1104" s="1">
        <f t="shared" si="366"/>
        <v>33</v>
      </c>
      <c r="L1104" s="1">
        <v>13.41</v>
      </c>
      <c r="M1104" s="1">
        <v>12.35</v>
      </c>
      <c r="N1104" s="1">
        <f t="shared" si="367"/>
        <v>1.0600000000000005</v>
      </c>
      <c r="O1104" s="1" t="s">
        <v>379</v>
      </c>
    </row>
    <row r="1105" spans="1:15" x14ac:dyDescent="0.25">
      <c r="A1105" s="28">
        <v>46117</v>
      </c>
      <c r="B1105" s="1" t="s">
        <v>206</v>
      </c>
      <c r="C1105" s="1" t="s">
        <v>430</v>
      </c>
      <c r="D1105" s="28">
        <f t="shared" si="327"/>
        <v>46140</v>
      </c>
      <c r="E1105" s="28">
        <f t="shared" si="328"/>
        <v>46124</v>
      </c>
      <c r="F1105" s="28">
        <f t="shared" si="329"/>
        <v>46131</v>
      </c>
      <c r="G1105" s="28">
        <f t="shared" si="330"/>
        <v>46137</v>
      </c>
      <c r="H1105" s="28">
        <f t="shared" si="331"/>
        <v>46125</v>
      </c>
      <c r="I1105" s="28">
        <f t="shared" si="332"/>
        <v>46132</v>
      </c>
      <c r="J1105" s="28">
        <v>46151</v>
      </c>
      <c r="K1105" s="1">
        <f t="shared" si="366"/>
        <v>34</v>
      </c>
      <c r="L1105" s="1">
        <v>14.05</v>
      </c>
      <c r="M1105" s="1">
        <v>12.1</v>
      </c>
      <c r="N1105" s="1">
        <f t="shared" si="367"/>
        <v>1.9500000000000011</v>
      </c>
      <c r="O1105" s="1" t="s">
        <v>379</v>
      </c>
    </row>
    <row r="1106" spans="1:15" x14ac:dyDescent="0.25">
      <c r="A1106" s="28">
        <v>46117</v>
      </c>
      <c r="B1106" s="1" t="s">
        <v>207</v>
      </c>
      <c r="C1106" s="1" t="s">
        <v>431</v>
      </c>
      <c r="D1106" s="28">
        <f t="shared" si="327"/>
        <v>46140</v>
      </c>
      <c r="E1106" s="28">
        <f t="shared" si="328"/>
        <v>46124</v>
      </c>
      <c r="F1106" s="28">
        <f t="shared" si="329"/>
        <v>46131</v>
      </c>
      <c r="G1106" s="28">
        <f t="shared" si="330"/>
        <v>46137</v>
      </c>
      <c r="H1106" s="28">
        <f t="shared" si="331"/>
        <v>46125</v>
      </c>
      <c r="I1106" s="28">
        <f t="shared" si="332"/>
        <v>46132</v>
      </c>
      <c r="J1106" s="28">
        <v>46150</v>
      </c>
      <c r="K1106" s="1">
        <f t="shared" si="366"/>
        <v>33</v>
      </c>
      <c r="L1106" s="1">
        <v>13.52</v>
      </c>
      <c r="M1106" s="1">
        <v>12.35</v>
      </c>
      <c r="N1106" s="1">
        <f t="shared" si="367"/>
        <v>1.17</v>
      </c>
      <c r="O1106" s="1" t="s">
        <v>379</v>
      </c>
    </row>
    <row r="1107" spans="1:15" x14ac:dyDescent="0.25">
      <c r="A1107" s="28">
        <v>46117</v>
      </c>
      <c r="B1107" s="1" t="s">
        <v>208</v>
      </c>
      <c r="C1107" s="1" t="s">
        <v>432</v>
      </c>
      <c r="D1107" s="28">
        <f t="shared" ref="D1107:D1170" si="368">A1107+23</f>
        <v>46140</v>
      </c>
      <c r="E1107" s="28">
        <f t="shared" ref="E1107:E1170" si="369">A1107+7</f>
        <v>46124</v>
      </c>
      <c r="F1107" s="28">
        <f t="shared" ref="F1107:F1170" si="370">A1107+14</f>
        <v>46131</v>
      </c>
      <c r="G1107" s="28">
        <f t="shared" ref="G1107:G1170" si="371">A1107+20</f>
        <v>46137</v>
      </c>
      <c r="H1107" s="28">
        <f t="shared" ref="H1107:H1170" si="372">A1107+8</f>
        <v>46125</v>
      </c>
      <c r="I1107" s="28">
        <f t="shared" ref="I1107:I1170" si="373">A1107+15</f>
        <v>46132</v>
      </c>
      <c r="J1107" s="28">
        <v>46150</v>
      </c>
      <c r="K1107" s="1">
        <f t="shared" si="366"/>
        <v>33</v>
      </c>
      <c r="L1107" s="1">
        <v>14.81</v>
      </c>
      <c r="M1107" s="1">
        <v>12.16</v>
      </c>
      <c r="N1107" s="1">
        <f t="shared" si="367"/>
        <v>2.6500000000000004</v>
      </c>
      <c r="O1107" s="1" t="s">
        <v>379</v>
      </c>
    </row>
    <row r="1108" spans="1:15" x14ac:dyDescent="0.25">
      <c r="A1108" s="28">
        <v>46117</v>
      </c>
      <c r="B1108" s="1" t="s">
        <v>209</v>
      </c>
      <c r="C1108" s="1" t="s">
        <v>433</v>
      </c>
      <c r="D1108" s="28">
        <f t="shared" si="368"/>
        <v>46140</v>
      </c>
      <c r="E1108" s="28">
        <f t="shared" si="369"/>
        <v>46124</v>
      </c>
      <c r="F1108" s="28">
        <f t="shared" si="370"/>
        <v>46131</v>
      </c>
      <c r="G1108" s="28">
        <f t="shared" si="371"/>
        <v>46137</v>
      </c>
      <c r="H1108" s="28">
        <f t="shared" si="372"/>
        <v>46125</v>
      </c>
      <c r="I1108" s="28">
        <f t="shared" si="373"/>
        <v>46132</v>
      </c>
      <c r="J1108" s="28">
        <v>46150</v>
      </c>
      <c r="K1108" s="1">
        <f t="shared" si="366"/>
        <v>33</v>
      </c>
      <c r="L1108" s="1">
        <v>14.71</v>
      </c>
      <c r="M1108" s="1">
        <v>13.53</v>
      </c>
      <c r="N1108" s="1">
        <f t="shared" si="367"/>
        <v>1.1800000000000015</v>
      </c>
      <c r="O1108" s="1" t="s">
        <v>379</v>
      </c>
    </row>
    <row r="1109" spans="1:15" x14ac:dyDescent="0.25">
      <c r="A1109" s="28">
        <v>46117</v>
      </c>
      <c r="B1109" s="1" t="s">
        <v>210</v>
      </c>
      <c r="C1109" s="1" t="s">
        <v>434</v>
      </c>
      <c r="D1109" s="28">
        <f t="shared" si="368"/>
        <v>46140</v>
      </c>
      <c r="E1109" s="28">
        <f t="shared" si="369"/>
        <v>46124</v>
      </c>
      <c r="F1109" s="28">
        <f t="shared" si="370"/>
        <v>46131</v>
      </c>
      <c r="G1109" s="28">
        <f t="shared" si="371"/>
        <v>46137</v>
      </c>
      <c r="H1109" s="28">
        <f t="shared" si="372"/>
        <v>46125</v>
      </c>
      <c r="I1109" s="28">
        <f t="shared" si="373"/>
        <v>46132</v>
      </c>
      <c r="J1109" s="28">
        <v>46150</v>
      </c>
      <c r="K1109" s="1">
        <f t="shared" si="366"/>
        <v>33</v>
      </c>
      <c r="L1109" s="1">
        <v>15.52</v>
      </c>
      <c r="M1109" s="1">
        <v>13.47</v>
      </c>
      <c r="N1109" s="1">
        <f t="shared" si="367"/>
        <v>2.0499999999999989</v>
      </c>
      <c r="O1109" s="1" t="s">
        <v>379</v>
      </c>
    </row>
    <row r="1110" spans="1:15" x14ac:dyDescent="0.25">
      <c r="A1110" s="28">
        <v>46117</v>
      </c>
      <c r="B1110" s="1" t="s">
        <v>211</v>
      </c>
      <c r="C1110" s="1" t="s">
        <v>435</v>
      </c>
      <c r="D1110" s="28">
        <f t="shared" si="368"/>
        <v>46140</v>
      </c>
      <c r="E1110" s="28">
        <f t="shared" si="369"/>
        <v>46124</v>
      </c>
      <c r="F1110" s="28">
        <f t="shared" si="370"/>
        <v>46131</v>
      </c>
      <c r="G1110" s="28">
        <f t="shared" si="371"/>
        <v>46137</v>
      </c>
      <c r="H1110" s="28">
        <f t="shared" si="372"/>
        <v>46125</v>
      </c>
      <c r="I1110" s="28">
        <f t="shared" si="373"/>
        <v>46132</v>
      </c>
      <c r="J1110" s="28">
        <v>46150</v>
      </c>
      <c r="K1110" s="1">
        <f t="shared" si="366"/>
        <v>33</v>
      </c>
      <c r="L1110" s="1">
        <v>13.36</v>
      </c>
      <c r="M1110" s="1">
        <v>12.56</v>
      </c>
      <c r="N1110" s="1">
        <f t="shared" si="367"/>
        <v>0.79999999999999893</v>
      </c>
      <c r="O1110" s="1" t="s">
        <v>379</v>
      </c>
    </row>
    <row r="1111" spans="1:15" x14ac:dyDescent="0.25">
      <c r="A1111" s="28">
        <v>46117</v>
      </c>
      <c r="B1111" s="1" t="s">
        <v>212</v>
      </c>
      <c r="C1111" s="1" t="s">
        <v>436</v>
      </c>
      <c r="D1111" s="28">
        <f t="shared" si="368"/>
        <v>46140</v>
      </c>
      <c r="E1111" s="28">
        <f t="shared" si="369"/>
        <v>46124</v>
      </c>
      <c r="F1111" s="28">
        <f t="shared" si="370"/>
        <v>46131</v>
      </c>
      <c r="G1111" s="28">
        <f t="shared" si="371"/>
        <v>46137</v>
      </c>
      <c r="H1111" s="28">
        <f t="shared" si="372"/>
        <v>46125</v>
      </c>
      <c r="I1111" s="28">
        <f t="shared" si="373"/>
        <v>46132</v>
      </c>
      <c r="J1111" s="28">
        <v>46150</v>
      </c>
      <c r="K1111" s="1">
        <f t="shared" si="366"/>
        <v>33</v>
      </c>
      <c r="L1111" s="1">
        <v>12.64</v>
      </c>
      <c r="M1111" s="1">
        <v>11.58</v>
      </c>
      <c r="N1111" s="1">
        <f t="shared" si="367"/>
        <v>1.0600000000000005</v>
      </c>
      <c r="O1111" s="1" t="s">
        <v>379</v>
      </c>
    </row>
    <row r="1112" spans="1:15" x14ac:dyDescent="0.25">
      <c r="A1112" s="28">
        <v>46118</v>
      </c>
      <c r="B1112" s="1" t="s">
        <v>236</v>
      </c>
      <c r="C1112" s="1" t="s">
        <v>446</v>
      </c>
      <c r="D1112" s="28">
        <f t="shared" si="368"/>
        <v>46141</v>
      </c>
      <c r="E1112" s="28">
        <f t="shared" si="369"/>
        <v>46125</v>
      </c>
      <c r="F1112" s="28">
        <f t="shared" si="370"/>
        <v>46132</v>
      </c>
      <c r="G1112" s="28">
        <f t="shared" si="371"/>
        <v>46138</v>
      </c>
      <c r="H1112" s="28">
        <f t="shared" si="372"/>
        <v>46126</v>
      </c>
      <c r="I1112" s="28">
        <f t="shared" si="373"/>
        <v>46133</v>
      </c>
      <c r="J1112" s="28">
        <v>46151</v>
      </c>
      <c r="K1112" s="1">
        <f t="shared" si="366"/>
        <v>33</v>
      </c>
      <c r="L1112" s="1">
        <v>14.35</v>
      </c>
      <c r="M1112" s="1">
        <v>12.41</v>
      </c>
      <c r="N1112" s="1">
        <f t="shared" si="367"/>
        <v>1.9399999999999995</v>
      </c>
      <c r="O1112" s="1" t="s">
        <v>379</v>
      </c>
    </row>
    <row r="1113" spans="1:15" x14ac:dyDescent="0.25">
      <c r="A1113" s="28">
        <v>46118</v>
      </c>
      <c r="B1113" s="1" t="s">
        <v>237</v>
      </c>
      <c r="C1113" s="1" t="s">
        <v>447</v>
      </c>
      <c r="D1113" s="28">
        <f t="shared" si="368"/>
        <v>46141</v>
      </c>
      <c r="E1113" s="28">
        <f t="shared" si="369"/>
        <v>46125</v>
      </c>
      <c r="F1113" s="28">
        <f t="shared" si="370"/>
        <v>46132</v>
      </c>
      <c r="G1113" s="28">
        <f t="shared" si="371"/>
        <v>46138</v>
      </c>
      <c r="H1113" s="28">
        <f t="shared" si="372"/>
        <v>46126</v>
      </c>
      <c r="I1113" s="28">
        <f t="shared" si="373"/>
        <v>46133</v>
      </c>
      <c r="J1113" s="28">
        <v>46151</v>
      </c>
      <c r="K1113" s="1">
        <f t="shared" si="366"/>
        <v>33</v>
      </c>
      <c r="L1113" s="1">
        <v>15.76</v>
      </c>
      <c r="M1113" s="1">
        <v>13.72</v>
      </c>
      <c r="N1113" s="1">
        <f t="shared" si="367"/>
        <v>2.0399999999999991</v>
      </c>
      <c r="O1113" s="1" t="s">
        <v>379</v>
      </c>
    </row>
    <row r="1114" spans="1:15" x14ac:dyDescent="0.25">
      <c r="A1114" s="28">
        <v>46118</v>
      </c>
      <c r="B1114" s="1" t="s">
        <v>238</v>
      </c>
      <c r="C1114" s="1" t="s">
        <v>448</v>
      </c>
      <c r="D1114" s="28">
        <f t="shared" si="368"/>
        <v>46141</v>
      </c>
      <c r="E1114" s="28">
        <f t="shared" si="369"/>
        <v>46125</v>
      </c>
      <c r="F1114" s="28">
        <f t="shared" si="370"/>
        <v>46132</v>
      </c>
      <c r="G1114" s="28">
        <f t="shared" si="371"/>
        <v>46138</v>
      </c>
      <c r="H1114" s="28">
        <f t="shared" si="372"/>
        <v>46126</v>
      </c>
      <c r="I1114" s="28">
        <f t="shared" si="373"/>
        <v>46133</v>
      </c>
      <c r="J1114" s="28">
        <v>46151</v>
      </c>
      <c r="K1114" s="1">
        <f t="shared" si="366"/>
        <v>33</v>
      </c>
      <c r="L1114" s="1">
        <v>14.11</v>
      </c>
      <c r="M1114" s="1">
        <v>12.58</v>
      </c>
      <c r="N1114" s="1">
        <f t="shared" si="367"/>
        <v>1.5299999999999994</v>
      </c>
      <c r="O1114" s="1" t="s">
        <v>379</v>
      </c>
    </row>
    <row r="1115" spans="1:15" x14ac:dyDescent="0.25">
      <c r="A1115" s="28">
        <v>46118</v>
      </c>
      <c r="B1115" s="1" t="s">
        <v>239</v>
      </c>
      <c r="C1115" s="1" t="s">
        <v>449</v>
      </c>
      <c r="D1115" s="28">
        <f t="shared" si="368"/>
        <v>46141</v>
      </c>
      <c r="E1115" s="28">
        <f t="shared" si="369"/>
        <v>46125</v>
      </c>
      <c r="F1115" s="28">
        <f t="shared" si="370"/>
        <v>46132</v>
      </c>
      <c r="G1115" s="28">
        <f t="shared" si="371"/>
        <v>46138</v>
      </c>
      <c r="H1115" s="28">
        <f t="shared" si="372"/>
        <v>46126</v>
      </c>
      <c r="I1115" s="28">
        <f t="shared" si="373"/>
        <v>46133</v>
      </c>
      <c r="J1115" s="28">
        <v>46151</v>
      </c>
      <c r="K1115" s="1">
        <f t="shared" si="366"/>
        <v>33</v>
      </c>
      <c r="L1115" s="1">
        <v>13.91</v>
      </c>
      <c r="M1115" s="1">
        <v>12.1</v>
      </c>
      <c r="N1115" s="1">
        <f t="shared" si="367"/>
        <v>1.8100000000000005</v>
      </c>
      <c r="O1115" s="1" t="s">
        <v>379</v>
      </c>
    </row>
    <row r="1116" spans="1:15" x14ac:dyDescent="0.25">
      <c r="A1116" s="28">
        <v>46118</v>
      </c>
      <c r="B1116" s="1" t="s">
        <v>240</v>
      </c>
      <c r="C1116" s="1" t="s">
        <v>450</v>
      </c>
      <c r="D1116" s="28">
        <f t="shared" si="368"/>
        <v>46141</v>
      </c>
      <c r="E1116" s="28">
        <f t="shared" si="369"/>
        <v>46125</v>
      </c>
      <c r="F1116" s="28">
        <f t="shared" si="370"/>
        <v>46132</v>
      </c>
      <c r="G1116" s="28">
        <f t="shared" si="371"/>
        <v>46138</v>
      </c>
      <c r="H1116" s="28">
        <f t="shared" si="372"/>
        <v>46126</v>
      </c>
      <c r="I1116" s="28">
        <f t="shared" si="373"/>
        <v>46133</v>
      </c>
      <c r="J1116" s="28">
        <v>46151</v>
      </c>
      <c r="K1116" s="1">
        <f t="shared" si="366"/>
        <v>33</v>
      </c>
      <c r="L1116" s="1">
        <v>13.16</v>
      </c>
      <c r="M1116" s="1">
        <v>11.35</v>
      </c>
      <c r="N1116" s="1">
        <f t="shared" si="367"/>
        <v>1.8100000000000005</v>
      </c>
      <c r="O1116" s="1" t="s">
        <v>379</v>
      </c>
    </row>
    <row r="1117" spans="1:15" x14ac:dyDescent="0.25">
      <c r="A1117" s="28">
        <v>46118</v>
      </c>
      <c r="B1117" s="1" t="s">
        <v>241</v>
      </c>
      <c r="C1117" s="1" t="s">
        <v>451</v>
      </c>
      <c r="D1117" s="28">
        <f t="shared" si="368"/>
        <v>46141</v>
      </c>
      <c r="E1117" s="28">
        <f t="shared" si="369"/>
        <v>46125</v>
      </c>
      <c r="F1117" s="28">
        <f t="shared" si="370"/>
        <v>46132</v>
      </c>
      <c r="G1117" s="28">
        <f t="shared" si="371"/>
        <v>46138</v>
      </c>
      <c r="H1117" s="28">
        <f t="shared" si="372"/>
        <v>46126</v>
      </c>
      <c r="I1117" s="28">
        <f t="shared" si="373"/>
        <v>46133</v>
      </c>
      <c r="J1117" s="28">
        <v>46151</v>
      </c>
      <c r="K1117" s="1">
        <f t="shared" si="366"/>
        <v>33</v>
      </c>
      <c r="L1117" s="1">
        <v>14.07</v>
      </c>
      <c r="M1117" s="1">
        <v>12.15</v>
      </c>
      <c r="N1117" s="1">
        <f t="shared" si="367"/>
        <v>1.92</v>
      </c>
      <c r="O1117" s="1" t="s">
        <v>379</v>
      </c>
    </row>
    <row r="1118" spans="1:15" x14ac:dyDescent="0.25">
      <c r="A1118" s="28">
        <v>46118</v>
      </c>
      <c r="B1118" s="1" t="s">
        <v>242</v>
      </c>
      <c r="C1118" s="1" t="s">
        <v>452</v>
      </c>
      <c r="D1118" s="28">
        <f t="shared" si="368"/>
        <v>46141</v>
      </c>
      <c r="E1118" s="28">
        <f t="shared" si="369"/>
        <v>46125</v>
      </c>
      <c r="F1118" s="28">
        <f t="shared" si="370"/>
        <v>46132</v>
      </c>
      <c r="G1118" s="28">
        <f t="shared" si="371"/>
        <v>46138</v>
      </c>
      <c r="H1118" s="28">
        <f t="shared" si="372"/>
        <v>46126</v>
      </c>
      <c r="I1118" s="28">
        <f t="shared" si="373"/>
        <v>46133</v>
      </c>
      <c r="J1118" s="28">
        <v>46151</v>
      </c>
      <c r="K1118" s="1">
        <f t="shared" ref="K1118" si="374">J1118-A1118</f>
        <v>33</v>
      </c>
      <c r="L1118" s="1">
        <v>12.75</v>
      </c>
      <c r="M1118" s="1">
        <v>11.27</v>
      </c>
      <c r="N1118" s="1">
        <f t="shared" ref="N1118" si="375">L1118-M1118</f>
        <v>1.4800000000000004</v>
      </c>
      <c r="O1118" s="1" t="s">
        <v>379</v>
      </c>
    </row>
    <row r="1119" spans="1:15" x14ac:dyDescent="0.25">
      <c r="A1119" s="28">
        <v>46119</v>
      </c>
      <c r="B1119" s="1" t="s">
        <v>204</v>
      </c>
      <c r="C1119" s="1" t="s">
        <v>453</v>
      </c>
      <c r="D1119" s="28">
        <f t="shared" si="368"/>
        <v>46142</v>
      </c>
      <c r="E1119" s="28">
        <f t="shared" si="369"/>
        <v>46126</v>
      </c>
      <c r="F1119" s="28">
        <f t="shared" si="370"/>
        <v>46133</v>
      </c>
      <c r="G1119" s="28">
        <f t="shared" si="371"/>
        <v>46139</v>
      </c>
      <c r="H1119" s="28">
        <f t="shared" si="372"/>
        <v>46127</v>
      </c>
      <c r="I1119" s="28">
        <f t="shared" si="373"/>
        <v>46134</v>
      </c>
      <c r="J1119" s="28">
        <v>46152</v>
      </c>
      <c r="K1119" s="1">
        <f t="shared" si="366"/>
        <v>33</v>
      </c>
      <c r="L1119" s="1">
        <v>13.18</v>
      </c>
      <c r="M1119" s="1">
        <v>11.26</v>
      </c>
      <c r="N1119" s="1">
        <f t="shared" si="367"/>
        <v>1.92</v>
      </c>
      <c r="O1119" s="1" t="s">
        <v>379</v>
      </c>
    </row>
    <row r="1120" spans="1:15" x14ac:dyDescent="0.25">
      <c r="A1120" s="28">
        <v>46119</v>
      </c>
      <c r="B1120" s="1" t="s">
        <v>205</v>
      </c>
      <c r="C1120" s="1" t="s">
        <v>454</v>
      </c>
      <c r="D1120" s="28">
        <f t="shared" si="368"/>
        <v>46142</v>
      </c>
      <c r="E1120" s="28">
        <f t="shared" si="369"/>
        <v>46126</v>
      </c>
      <c r="F1120" s="28">
        <f t="shared" si="370"/>
        <v>46133</v>
      </c>
      <c r="G1120" s="28">
        <f t="shared" si="371"/>
        <v>46139</v>
      </c>
      <c r="H1120" s="28">
        <f t="shared" si="372"/>
        <v>46127</v>
      </c>
      <c r="I1120" s="28">
        <f t="shared" si="373"/>
        <v>46134</v>
      </c>
      <c r="J1120" s="28">
        <v>46151</v>
      </c>
      <c r="K1120" s="1">
        <f t="shared" si="366"/>
        <v>32</v>
      </c>
      <c r="L1120" s="1">
        <v>14.22</v>
      </c>
      <c r="M1120" s="1">
        <v>12.33</v>
      </c>
      <c r="N1120" s="1">
        <f t="shared" si="367"/>
        <v>1.8900000000000006</v>
      </c>
      <c r="O1120" s="1" t="s">
        <v>379</v>
      </c>
    </row>
    <row r="1121" spans="1:15" x14ac:dyDescent="0.25">
      <c r="A1121" s="28">
        <v>46119</v>
      </c>
      <c r="B1121" s="1" t="s">
        <v>234</v>
      </c>
      <c r="C1121" s="1" t="s">
        <v>455</v>
      </c>
      <c r="D1121" s="28">
        <f t="shared" si="368"/>
        <v>46142</v>
      </c>
      <c r="E1121" s="28">
        <f t="shared" si="369"/>
        <v>46126</v>
      </c>
      <c r="F1121" s="28">
        <f t="shared" si="370"/>
        <v>46133</v>
      </c>
      <c r="G1121" s="28">
        <f t="shared" si="371"/>
        <v>46139</v>
      </c>
      <c r="H1121" s="28">
        <f t="shared" si="372"/>
        <v>46127</v>
      </c>
      <c r="I1121" s="28">
        <f t="shared" si="373"/>
        <v>46134</v>
      </c>
      <c r="J1121" s="28">
        <v>46152</v>
      </c>
      <c r="K1121" s="1">
        <f t="shared" si="366"/>
        <v>33</v>
      </c>
      <c r="L1121" s="1">
        <v>14.25</v>
      </c>
      <c r="M1121" s="1">
        <v>12.63</v>
      </c>
      <c r="N1121" s="1">
        <f t="shared" si="367"/>
        <v>1.6199999999999992</v>
      </c>
      <c r="O1121" s="1" t="s">
        <v>379</v>
      </c>
    </row>
    <row r="1122" spans="1:15" x14ac:dyDescent="0.25">
      <c r="A1122" s="28">
        <v>46119</v>
      </c>
      <c r="B1122" s="1" t="s">
        <v>235</v>
      </c>
      <c r="C1122" s="1" t="s">
        <v>456</v>
      </c>
      <c r="D1122" s="28">
        <f t="shared" si="368"/>
        <v>46142</v>
      </c>
      <c r="E1122" s="28">
        <f t="shared" si="369"/>
        <v>46126</v>
      </c>
      <c r="F1122" s="28">
        <f t="shared" si="370"/>
        <v>46133</v>
      </c>
      <c r="G1122" s="28">
        <f t="shared" si="371"/>
        <v>46139</v>
      </c>
      <c r="H1122" s="28">
        <f t="shared" si="372"/>
        <v>46127</v>
      </c>
      <c r="I1122" s="28">
        <f t="shared" si="373"/>
        <v>46134</v>
      </c>
      <c r="J1122" s="28">
        <v>46152</v>
      </c>
      <c r="K1122" s="1">
        <f t="shared" si="366"/>
        <v>33</v>
      </c>
      <c r="L1122" s="1">
        <v>13.48</v>
      </c>
      <c r="M1122" s="1">
        <v>12.15</v>
      </c>
      <c r="N1122" s="1">
        <f t="shared" si="367"/>
        <v>1.33</v>
      </c>
      <c r="O1122" s="1" t="s">
        <v>379</v>
      </c>
    </row>
    <row r="1123" spans="1:15" x14ac:dyDescent="0.25">
      <c r="A1123" s="28">
        <v>46119</v>
      </c>
      <c r="B1123" s="1" t="s">
        <v>391</v>
      </c>
      <c r="C1123" s="1" t="s">
        <v>457</v>
      </c>
      <c r="D1123" s="28">
        <f t="shared" si="368"/>
        <v>46142</v>
      </c>
      <c r="E1123" s="28">
        <f t="shared" si="369"/>
        <v>46126</v>
      </c>
      <c r="F1123" s="28">
        <f t="shared" si="370"/>
        <v>46133</v>
      </c>
      <c r="G1123" s="28">
        <f t="shared" si="371"/>
        <v>46139</v>
      </c>
      <c r="H1123" s="28">
        <f t="shared" si="372"/>
        <v>46127</v>
      </c>
      <c r="I1123" s="28">
        <f t="shared" si="373"/>
        <v>46134</v>
      </c>
      <c r="J1123" s="28">
        <v>46152</v>
      </c>
      <c r="K1123" s="1">
        <f t="shared" si="366"/>
        <v>33</v>
      </c>
      <c r="L1123" s="1">
        <v>13.32</v>
      </c>
      <c r="M1123" s="1">
        <v>11.74</v>
      </c>
      <c r="N1123" s="1">
        <f t="shared" si="367"/>
        <v>1.58</v>
      </c>
      <c r="O1123" s="1" t="s">
        <v>379</v>
      </c>
    </row>
    <row r="1124" spans="1:15" x14ac:dyDescent="0.25">
      <c r="A1124" s="28">
        <v>46119</v>
      </c>
      <c r="B1124" s="1" t="s">
        <v>392</v>
      </c>
      <c r="C1124" s="1" t="s">
        <v>458</v>
      </c>
      <c r="D1124" s="28">
        <f t="shared" si="368"/>
        <v>46142</v>
      </c>
      <c r="E1124" s="28">
        <f t="shared" si="369"/>
        <v>46126</v>
      </c>
      <c r="F1124" s="28">
        <f t="shared" si="370"/>
        <v>46133</v>
      </c>
      <c r="G1124" s="28">
        <f t="shared" si="371"/>
        <v>46139</v>
      </c>
      <c r="H1124" s="28">
        <f t="shared" si="372"/>
        <v>46127</v>
      </c>
      <c r="I1124" s="28">
        <f t="shared" si="373"/>
        <v>46134</v>
      </c>
      <c r="J1124" s="28">
        <v>46152</v>
      </c>
      <c r="K1124" s="1">
        <f t="shared" si="366"/>
        <v>33</v>
      </c>
      <c r="L1124" s="1">
        <v>13.89</v>
      </c>
      <c r="M1124" s="1">
        <v>12.16</v>
      </c>
      <c r="N1124" s="1">
        <f t="shared" si="367"/>
        <v>1.7300000000000004</v>
      </c>
      <c r="O1124" s="1" t="s">
        <v>379</v>
      </c>
    </row>
    <row r="1125" spans="1:15" x14ac:dyDescent="0.25">
      <c r="A1125" s="28">
        <v>46119</v>
      </c>
      <c r="B1125" s="1" t="s">
        <v>266</v>
      </c>
      <c r="C1125" s="1" t="s">
        <v>459</v>
      </c>
      <c r="D1125" s="28">
        <f t="shared" si="368"/>
        <v>46142</v>
      </c>
      <c r="E1125" s="28">
        <f t="shared" si="369"/>
        <v>46126</v>
      </c>
      <c r="F1125" s="28">
        <f t="shared" si="370"/>
        <v>46133</v>
      </c>
      <c r="G1125" s="28">
        <f t="shared" si="371"/>
        <v>46139</v>
      </c>
      <c r="H1125" s="28">
        <f t="shared" si="372"/>
        <v>46127</v>
      </c>
      <c r="I1125" s="28">
        <f t="shared" si="373"/>
        <v>46134</v>
      </c>
      <c r="J1125" s="28">
        <v>46152</v>
      </c>
      <c r="K1125" s="1">
        <f t="shared" si="366"/>
        <v>33</v>
      </c>
      <c r="L1125" s="1">
        <v>12.4</v>
      </c>
      <c r="M1125" s="1">
        <v>10.58</v>
      </c>
      <c r="N1125" s="1">
        <f t="shared" si="367"/>
        <v>1.8200000000000003</v>
      </c>
      <c r="O1125" s="1" t="s">
        <v>379</v>
      </c>
    </row>
    <row r="1126" spans="1:15" x14ac:dyDescent="0.25">
      <c r="A1126" s="28">
        <v>46119</v>
      </c>
      <c r="B1126" s="1" t="s">
        <v>267</v>
      </c>
      <c r="C1126" s="1" t="s">
        <v>460</v>
      </c>
      <c r="D1126" s="28">
        <f t="shared" si="368"/>
        <v>46142</v>
      </c>
      <c r="E1126" s="28">
        <f t="shared" si="369"/>
        <v>46126</v>
      </c>
      <c r="F1126" s="28">
        <f t="shared" si="370"/>
        <v>46133</v>
      </c>
      <c r="G1126" s="28">
        <f t="shared" si="371"/>
        <v>46139</v>
      </c>
      <c r="H1126" s="28">
        <f t="shared" si="372"/>
        <v>46127</v>
      </c>
      <c r="I1126" s="28">
        <f t="shared" si="373"/>
        <v>46134</v>
      </c>
      <c r="J1126" s="28">
        <v>46152</v>
      </c>
      <c r="K1126" s="1">
        <f t="shared" si="366"/>
        <v>33</v>
      </c>
      <c r="L1126" s="1">
        <v>12.51</v>
      </c>
      <c r="M1126" s="1">
        <v>10.71</v>
      </c>
      <c r="N1126" s="1">
        <f t="shared" si="367"/>
        <v>1.7999999999999989</v>
      </c>
      <c r="O1126" s="1" t="s">
        <v>379</v>
      </c>
    </row>
    <row r="1127" spans="1:15" x14ac:dyDescent="0.25">
      <c r="A1127" s="28">
        <v>46120</v>
      </c>
      <c r="B1127" s="1" t="s">
        <v>268</v>
      </c>
      <c r="C1127" s="1" t="s">
        <v>461</v>
      </c>
      <c r="D1127" s="28">
        <f t="shared" si="368"/>
        <v>46143</v>
      </c>
      <c r="E1127" s="28">
        <f t="shared" si="369"/>
        <v>46127</v>
      </c>
      <c r="F1127" s="28">
        <f t="shared" si="370"/>
        <v>46134</v>
      </c>
      <c r="G1127" s="28">
        <f t="shared" si="371"/>
        <v>46140</v>
      </c>
      <c r="H1127" s="28">
        <f t="shared" si="372"/>
        <v>46128</v>
      </c>
      <c r="I1127" s="28">
        <f t="shared" si="373"/>
        <v>46135</v>
      </c>
      <c r="J1127" s="28">
        <v>46153</v>
      </c>
      <c r="K1127" s="1">
        <f t="shared" si="366"/>
        <v>33</v>
      </c>
      <c r="L1127" s="1">
        <v>14.36</v>
      </c>
      <c r="M1127" s="1">
        <v>12.54</v>
      </c>
      <c r="N1127" s="1">
        <f t="shared" si="367"/>
        <v>1.8200000000000003</v>
      </c>
      <c r="O1127" s="1" t="s">
        <v>379</v>
      </c>
    </row>
    <row r="1128" spans="1:15" x14ac:dyDescent="0.25">
      <c r="A1128" s="28">
        <v>46120</v>
      </c>
      <c r="B1128" s="1" t="s">
        <v>269</v>
      </c>
      <c r="C1128" s="1" t="s">
        <v>462</v>
      </c>
      <c r="D1128" s="28">
        <f t="shared" si="368"/>
        <v>46143</v>
      </c>
      <c r="E1128" s="28">
        <f t="shared" si="369"/>
        <v>46127</v>
      </c>
      <c r="F1128" s="28">
        <f t="shared" si="370"/>
        <v>46134</v>
      </c>
      <c r="G1128" s="28">
        <f t="shared" si="371"/>
        <v>46140</v>
      </c>
      <c r="H1128" s="28">
        <f t="shared" si="372"/>
        <v>46128</v>
      </c>
      <c r="I1128" s="28">
        <f t="shared" si="373"/>
        <v>46135</v>
      </c>
      <c r="J1128" s="28">
        <v>46153</v>
      </c>
      <c r="K1128" s="1">
        <f t="shared" si="366"/>
        <v>33</v>
      </c>
      <c r="L1128" s="1">
        <v>16.079999999999998</v>
      </c>
      <c r="M1128" s="1">
        <v>14.19</v>
      </c>
      <c r="N1128" s="1">
        <f t="shared" si="367"/>
        <v>1.8899999999999988</v>
      </c>
      <c r="O1128" s="1" t="s">
        <v>379</v>
      </c>
    </row>
    <row r="1129" spans="1:15" x14ac:dyDescent="0.25">
      <c r="A1129" s="28">
        <v>46120</v>
      </c>
      <c r="B1129" s="1" t="s">
        <v>270</v>
      </c>
      <c r="C1129" s="1" t="s">
        <v>463</v>
      </c>
      <c r="D1129" s="28">
        <f t="shared" si="368"/>
        <v>46143</v>
      </c>
      <c r="E1129" s="28">
        <f t="shared" si="369"/>
        <v>46127</v>
      </c>
      <c r="F1129" s="28">
        <f t="shared" si="370"/>
        <v>46134</v>
      </c>
      <c r="G1129" s="28">
        <f t="shared" si="371"/>
        <v>46140</v>
      </c>
      <c r="H1129" s="28">
        <f t="shared" si="372"/>
        <v>46128</v>
      </c>
      <c r="I1129" s="28">
        <f t="shared" si="373"/>
        <v>46135</v>
      </c>
      <c r="J1129" s="28">
        <v>46153</v>
      </c>
      <c r="K1129" s="1">
        <f t="shared" si="366"/>
        <v>33</v>
      </c>
      <c r="L1129" s="1">
        <v>15.19</v>
      </c>
      <c r="M1129" s="1">
        <v>13.1</v>
      </c>
      <c r="N1129" s="1">
        <f t="shared" si="367"/>
        <v>2.09</v>
      </c>
      <c r="O1129" s="1" t="s">
        <v>379</v>
      </c>
    </row>
    <row r="1130" spans="1:15" x14ac:dyDescent="0.25">
      <c r="A1130" s="28">
        <v>46120</v>
      </c>
      <c r="B1130" s="1" t="s">
        <v>271</v>
      </c>
      <c r="C1130" s="1" t="s">
        <v>464</v>
      </c>
      <c r="D1130" s="28">
        <f t="shared" si="368"/>
        <v>46143</v>
      </c>
      <c r="E1130" s="28">
        <f t="shared" si="369"/>
        <v>46127</v>
      </c>
      <c r="F1130" s="28">
        <f t="shared" si="370"/>
        <v>46134</v>
      </c>
      <c r="G1130" s="28">
        <f t="shared" si="371"/>
        <v>46140</v>
      </c>
      <c r="H1130" s="28">
        <f t="shared" si="372"/>
        <v>46128</v>
      </c>
      <c r="I1130" s="28">
        <f t="shared" si="373"/>
        <v>46135</v>
      </c>
      <c r="J1130" s="28">
        <v>46153</v>
      </c>
      <c r="K1130" s="1">
        <f t="shared" si="366"/>
        <v>33</v>
      </c>
      <c r="L1130" s="1">
        <v>14.27</v>
      </c>
      <c r="M1130" s="1">
        <v>12.55</v>
      </c>
      <c r="N1130" s="1">
        <f t="shared" si="367"/>
        <v>1.7199999999999989</v>
      </c>
      <c r="O1130" s="1" t="s">
        <v>379</v>
      </c>
    </row>
    <row r="1131" spans="1:15" x14ac:dyDescent="0.25">
      <c r="A1131" s="28">
        <v>46120</v>
      </c>
      <c r="B1131" s="1" t="s">
        <v>272</v>
      </c>
      <c r="C1131" s="1" t="s">
        <v>465</v>
      </c>
      <c r="D1131" s="28">
        <f t="shared" si="368"/>
        <v>46143</v>
      </c>
      <c r="E1131" s="28">
        <f t="shared" si="369"/>
        <v>46127</v>
      </c>
      <c r="F1131" s="28">
        <f t="shared" si="370"/>
        <v>46134</v>
      </c>
      <c r="G1131" s="28">
        <f t="shared" si="371"/>
        <v>46140</v>
      </c>
      <c r="H1131" s="28">
        <f t="shared" si="372"/>
        <v>46128</v>
      </c>
      <c r="I1131" s="28">
        <f t="shared" si="373"/>
        <v>46135</v>
      </c>
      <c r="J1131" s="28">
        <v>46153</v>
      </c>
      <c r="K1131" s="1">
        <f t="shared" si="366"/>
        <v>33</v>
      </c>
      <c r="L1131" s="1">
        <v>14.16</v>
      </c>
      <c r="M1131" s="1">
        <v>12.48</v>
      </c>
      <c r="N1131" s="1">
        <f t="shared" si="367"/>
        <v>1.6799999999999997</v>
      </c>
      <c r="O1131" s="1" t="s">
        <v>379</v>
      </c>
    </row>
    <row r="1132" spans="1:15" x14ac:dyDescent="0.25">
      <c r="A1132" s="28">
        <v>46120</v>
      </c>
      <c r="B1132" s="1" t="s">
        <v>273</v>
      </c>
      <c r="C1132" s="1" t="s">
        <v>466</v>
      </c>
      <c r="D1132" s="28">
        <f t="shared" si="368"/>
        <v>46143</v>
      </c>
      <c r="E1132" s="28">
        <f t="shared" si="369"/>
        <v>46127</v>
      </c>
      <c r="F1132" s="28">
        <f t="shared" si="370"/>
        <v>46134</v>
      </c>
      <c r="G1132" s="28">
        <f t="shared" si="371"/>
        <v>46140</v>
      </c>
      <c r="H1132" s="28">
        <f t="shared" si="372"/>
        <v>46128</v>
      </c>
      <c r="I1132" s="28">
        <f t="shared" si="373"/>
        <v>46135</v>
      </c>
      <c r="J1132" s="28">
        <v>46154</v>
      </c>
      <c r="K1132" s="1">
        <f t="shared" si="366"/>
        <v>34</v>
      </c>
      <c r="L1132" s="1">
        <v>13.27</v>
      </c>
      <c r="M1132" s="1">
        <v>11.58</v>
      </c>
      <c r="N1132" s="1">
        <f t="shared" si="367"/>
        <v>1.6899999999999995</v>
      </c>
      <c r="O1132" s="1" t="s">
        <v>379</v>
      </c>
    </row>
    <row r="1133" spans="1:15" x14ac:dyDescent="0.25">
      <c r="A1133" s="28">
        <v>46120</v>
      </c>
      <c r="B1133" s="1" t="s">
        <v>274</v>
      </c>
      <c r="C1133" s="1" t="s">
        <v>467</v>
      </c>
      <c r="D1133" s="28">
        <f t="shared" si="368"/>
        <v>46143</v>
      </c>
      <c r="E1133" s="28">
        <f t="shared" si="369"/>
        <v>46127</v>
      </c>
      <c r="F1133" s="28">
        <f t="shared" si="370"/>
        <v>46134</v>
      </c>
      <c r="G1133" s="28">
        <f t="shared" si="371"/>
        <v>46140</v>
      </c>
      <c r="H1133" s="28">
        <f t="shared" si="372"/>
        <v>46128</v>
      </c>
      <c r="I1133" s="28">
        <f t="shared" si="373"/>
        <v>46135</v>
      </c>
      <c r="J1133" s="28">
        <v>46154</v>
      </c>
      <c r="K1133" s="1">
        <f t="shared" si="366"/>
        <v>34</v>
      </c>
      <c r="L1133" s="1">
        <v>14.08</v>
      </c>
      <c r="M1133" s="1">
        <v>12.16</v>
      </c>
      <c r="N1133" s="1">
        <f t="shared" si="367"/>
        <v>1.92</v>
      </c>
      <c r="O1133" s="1" t="s">
        <v>379</v>
      </c>
    </row>
    <row r="1134" spans="1:15" x14ac:dyDescent="0.25">
      <c r="A1134" s="28">
        <v>46121</v>
      </c>
      <c r="B1134" s="1" t="s">
        <v>275</v>
      </c>
      <c r="C1134" s="1" t="s">
        <v>468</v>
      </c>
      <c r="D1134" s="28">
        <f t="shared" si="368"/>
        <v>46144</v>
      </c>
      <c r="E1134" s="28">
        <f t="shared" si="369"/>
        <v>46128</v>
      </c>
      <c r="F1134" s="28">
        <f t="shared" si="370"/>
        <v>46135</v>
      </c>
      <c r="G1134" s="28">
        <f t="shared" si="371"/>
        <v>46141</v>
      </c>
      <c r="H1134" s="28">
        <f t="shared" si="372"/>
        <v>46129</v>
      </c>
      <c r="I1134" s="28">
        <f t="shared" si="373"/>
        <v>46136</v>
      </c>
      <c r="J1134" s="28">
        <v>46154</v>
      </c>
      <c r="K1134" s="1">
        <f t="shared" si="366"/>
        <v>33</v>
      </c>
      <c r="L1134" s="1">
        <v>14.12</v>
      </c>
      <c r="M1134" s="1">
        <v>12.34</v>
      </c>
      <c r="N1134" s="1">
        <f t="shared" si="367"/>
        <v>1.7799999999999994</v>
      </c>
      <c r="O1134" s="1" t="s">
        <v>379</v>
      </c>
    </row>
    <row r="1135" spans="1:15" x14ac:dyDescent="0.25">
      <c r="A1135" s="28">
        <v>46121</v>
      </c>
      <c r="B1135" s="1" t="s">
        <v>276</v>
      </c>
      <c r="C1135" s="1" t="s">
        <v>469</v>
      </c>
      <c r="D1135" s="28">
        <f t="shared" si="368"/>
        <v>46144</v>
      </c>
      <c r="E1135" s="28">
        <f t="shared" si="369"/>
        <v>46128</v>
      </c>
      <c r="F1135" s="28">
        <f t="shared" si="370"/>
        <v>46135</v>
      </c>
      <c r="G1135" s="28">
        <f t="shared" si="371"/>
        <v>46141</v>
      </c>
      <c r="H1135" s="28">
        <f t="shared" si="372"/>
        <v>46129</v>
      </c>
      <c r="I1135" s="28">
        <f t="shared" si="373"/>
        <v>46136</v>
      </c>
      <c r="J1135" s="28">
        <v>46154</v>
      </c>
      <c r="K1135" s="1">
        <f t="shared" si="366"/>
        <v>33</v>
      </c>
      <c r="L1135" s="1">
        <v>11.98</v>
      </c>
      <c r="M1135" s="1">
        <v>10.71</v>
      </c>
      <c r="N1135" s="1">
        <f t="shared" si="367"/>
        <v>1.2699999999999996</v>
      </c>
      <c r="O1135" s="1" t="s">
        <v>379</v>
      </c>
    </row>
    <row r="1136" spans="1:15" x14ac:dyDescent="0.25">
      <c r="A1136" s="28">
        <v>46121</v>
      </c>
      <c r="B1136" s="1" t="s">
        <v>277</v>
      </c>
      <c r="C1136" s="1" t="s">
        <v>470</v>
      </c>
      <c r="D1136" s="28">
        <f t="shared" si="368"/>
        <v>46144</v>
      </c>
      <c r="E1136" s="28">
        <f t="shared" si="369"/>
        <v>46128</v>
      </c>
      <c r="F1136" s="28">
        <f t="shared" si="370"/>
        <v>46135</v>
      </c>
      <c r="G1136" s="28">
        <f t="shared" si="371"/>
        <v>46141</v>
      </c>
      <c r="H1136" s="28">
        <f t="shared" si="372"/>
        <v>46129</v>
      </c>
      <c r="I1136" s="28">
        <f t="shared" si="373"/>
        <v>46136</v>
      </c>
      <c r="J1136" s="28">
        <v>46154</v>
      </c>
      <c r="K1136" s="1">
        <f t="shared" si="366"/>
        <v>33</v>
      </c>
      <c r="L1136" s="1">
        <v>13.35</v>
      </c>
      <c r="M1136" s="1">
        <v>11.61</v>
      </c>
      <c r="N1136" s="1">
        <f t="shared" si="367"/>
        <v>1.7400000000000002</v>
      </c>
      <c r="O1136" s="1" t="s">
        <v>379</v>
      </c>
    </row>
    <row r="1137" spans="1:15" x14ac:dyDescent="0.25">
      <c r="A1137" s="28">
        <v>46121</v>
      </c>
      <c r="B1137" s="1" t="s">
        <v>278</v>
      </c>
      <c r="C1137" s="1" t="s">
        <v>471</v>
      </c>
      <c r="D1137" s="28">
        <f t="shared" si="368"/>
        <v>46144</v>
      </c>
      <c r="E1137" s="28">
        <f t="shared" si="369"/>
        <v>46128</v>
      </c>
      <c r="F1137" s="28">
        <f t="shared" si="370"/>
        <v>46135</v>
      </c>
      <c r="G1137" s="28">
        <f t="shared" si="371"/>
        <v>46141</v>
      </c>
      <c r="H1137" s="28">
        <f t="shared" si="372"/>
        <v>46129</v>
      </c>
      <c r="I1137" s="28">
        <f t="shared" si="373"/>
        <v>46136</v>
      </c>
      <c r="J1137" s="28">
        <v>46155</v>
      </c>
      <c r="K1137" s="1">
        <f t="shared" si="366"/>
        <v>34</v>
      </c>
      <c r="L1137" s="1">
        <v>13.25</v>
      </c>
      <c r="M1137" s="1">
        <v>11.57</v>
      </c>
      <c r="N1137" s="1">
        <f t="shared" si="367"/>
        <v>1.6799999999999997</v>
      </c>
      <c r="O1137" s="1" t="s">
        <v>379</v>
      </c>
    </row>
    <row r="1138" spans="1:15" x14ac:dyDescent="0.25">
      <c r="A1138" s="28">
        <v>46121</v>
      </c>
      <c r="B1138" s="1" t="s">
        <v>279</v>
      </c>
      <c r="C1138" s="1" t="s">
        <v>472</v>
      </c>
      <c r="D1138" s="28">
        <f t="shared" si="368"/>
        <v>46144</v>
      </c>
      <c r="E1138" s="28">
        <f t="shared" si="369"/>
        <v>46128</v>
      </c>
      <c r="F1138" s="28">
        <f t="shared" si="370"/>
        <v>46135</v>
      </c>
      <c r="G1138" s="28">
        <f t="shared" si="371"/>
        <v>46141</v>
      </c>
      <c r="H1138" s="28">
        <f t="shared" si="372"/>
        <v>46129</v>
      </c>
      <c r="I1138" s="28">
        <f t="shared" si="373"/>
        <v>46136</v>
      </c>
      <c r="J1138" s="28">
        <v>46155</v>
      </c>
      <c r="K1138" s="1">
        <f t="shared" si="366"/>
        <v>34</v>
      </c>
      <c r="L1138" s="1">
        <v>12.17</v>
      </c>
      <c r="M1138" s="1">
        <v>10.54</v>
      </c>
      <c r="N1138" s="1">
        <f t="shared" si="367"/>
        <v>1.6300000000000008</v>
      </c>
      <c r="O1138" s="1" t="s">
        <v>379</v>
      </c>
    </row>
    <row r="1139" spans="1:15" x14ac:dyDescent="0.25">
      <c r="A1139" s="28">
        <v>46121</v>
      </c>
      <c r="B1139" s="1" t="s">
        <v>280</v>
      </c>
      <c r="C1139" s="1" t="s">
        <v>473</v>
      </c>
      <c r="D1139" s="28">
        <f t="shared" si="368"/>
        <v>46144</v>
      </c>
      <c r="E1139" s="28">
        <f t="shared" si="369"/>
        <v>46128</v>
      </c>
      <c r="F1139" s="28">
        <f t="shared" si="370"/>
        <v>46135</v>
      </c>
      <c r="G1139" s="28">
        <f t="shared" si="371"/>
        <v>46141</v>
      </c>
      <c r="H1139" s="28">
        <f t="shared" si="372"/>
        <v>46129</v>
      </c>
      <c r="I1139" s="28">
        <f t="shared" si="373"/>
        <v>46136</v>
      </c>
      <c r="J1139" s="28">
        <v>46155</v>
      </c>
      <c r="K1139" s="1">
        <f t="shared" si="366"/>
        <v>34</v>
      </c>
      <c r="L1139" s="1">
        <v>14.19</v>
      </c>
      <c r="M1139" s="1">
        <v>12.34</v>
      </c>
      <c r="N1139" s="1">
        <f t="shared" si="367"/>
        <v>1.8499999999999996</v>
      </c>
      <c r="O1139" s="1" t="s">
        <v>379</v>
      </c>
    </row>
    <row r="1140" spans="1:15" x14ac:dyDescent="0.25">
      <c r="A1140" s="28">
        <v>46121</v>
      </c>
      <c r="B1140" s="1" t="s">
        <v>281</v>
      </c>
      <c r="C1140" s="1" t="s">
        <v>474</v>
      </c>
      <c r="D1140" s="28">
        <f t="shared" si="368"/>
        <v>46144</v>
      </c>
      <c r="E1140" s="28">
        <f t="shared" si="369"/>
        <v>46128</v>
      </c>
      <c r="F1140" s="28">
        <f t="shared" si="370"/>
        <v>46135</v>
      </c>
      <c r="G1140" s="28">
        <f t="shared" si="371"/>
        <v>46141</v>
      </c>
      <c r="H1140" s="28">
        <f t="shared" si="372"/>
        <v>46129</v>
      </c>
      <c r="I1140" s="28">
        <f t="shared" si="373"/>
        <v>46136</v>
      </c>
      <c r="J1140" s="28">
        <v>46155</v>
      </c>
      <c r="K1140" s="1">
        <f t="shared" si="366"/>
        <v>34</v>
      </c>
      <c r="L1140" s="1">
        <v>12.97</v>
      </c>
      <c r="M1140" s="1">
        <v>11.53</v>
      </c>
      <c r="N1140" s="1">
        <f t="shared" si="367"/>
        <v>1.4400000000000013</v>
      </c>
      <c r="O1140" s="1" t="s">
        <v>379</v>
      </c>
    </row>
    <row r="1141" spans="1:15" x14ac:dyDescent="0.25">
      <c r="A1141" s="28">
        <v>46124</v>
      </c>
      <c r="B1141" s="1" t="s">
        <v>282</v>
      </c>
      <c r="C1141" s="1" t="s">
        <v>491</v>
      </c>
      <c r="D1141" s="28">
        <f t="shared" si="368"/>
        <v>46147</v>
      </c>
      <c r="E1141" s="28">
        <f t="shared" si="369"/>
        <v>46131</v>
      </c>
      <c r="F1141" s="28">
        <f t="shared" si="370"/>
        <v>46138</v>
      </c>
      <c r="G1141" s="28">
        <f t="shared" si="371"/>
        <v>46144</v>
      </c>
      <c r="H1141" s="28">
        <f t="shared" si="372"/>
        <v>46132</v>
      </c>
      <c r="I1141" s="28">
        <f t="shared" si="373"/>
        <v>46139</v>
      </c>
      <c r="J1141" s="28">
        <v>46155</v>
      </c>
      <c r="K1141" s="1">
        <f t="shared" si="366"/>
        <v>31</v>
      </c>
      <c r="L1141" s="1">
        <v>14.32</v>
      </c>
      <c r="M1141" s="1">
        <v>12.74</v>
      </c>
      <c r="N1141" s="1">
        <f t="shared" si="367"/>
        <v>1.58</v>
      </c>
      <c r="O1141" s="1" t="s">
        <v>379</v>
      </c>
    </row>
    <row r="1142" spans="1:15" x14ac:dyDescent="0.25">
      <c r="A1142" s="28">
        <v>46124</v>
      </c>
      <c r="B1142" s="1" t="s">
        <v>283</v>
      </c>
      <c r="C1142" s="1" t="s">
        <v>492</v>
      </c>
      <c r="D1142" s="28">
        <f t="shared" si="368"/>
        <v>46147</v>
      </c>
      <c r="E1142" s="28">
        <f t="shared" si="369"/>
        <v>46131</v>
      </c>
      <c r="F1142" s="28">
        <f t="shared" si="370"/>
        <v>46138</v>
      </c>
      <c r="G1142" s="28">
        <f t="shared" si="371"/>
        <v>46144</v>
      </c>
      <c r="H1142" s="28">
        <f t="shared" si="372"/>
        <v>46132</v>
      </c>
      <c r="I1142" s="28">
        <f t="shared" si="373"/>
        <v>46139</v>
      </c>
      <c r="J1142" s="28">
        <v>46155</v>
      </c>
      <c r="K1142" s="1">
        <f t="shared" si="366"/>
        <v>31</v>
      </c>
      <c r="L1142" s="1">
        <v>15.08</v>
      </c>
      <c r="M1142" s="1">
        <v>13.1</v>
      </c>
      <c r="N1142" s="1">
        <f t="shared" si="367"/>
        <v>1.9800000000000004</v>
      </c>
      <c r="O1142" s="1" t="s">
        <v>379</v>
      </c>
    </row>
    <row r="1143" spans="1:15" x14ac:dyDescent="0.25">
      <c r="A1143" s="28">
        <v>46124</v>
      </c>
      <c r="B1143" s="1" t="s">
        <v>284</v>
      </c>
      <c r="C1143" s="1" t="s">
        <v>493</v>
      </c>
      <c r="D1143" s="28">
        <f t="shared" si="368"/>
        <v>46147</v>
      </c>
      <c r="E1143" s="28">
        <f t="shared" si="369"/>
        <v>46131</v>
      </c>
      <c r="F1143" s="28">
        <f t="shared" si="370"/>
        <v>46138</v>
      </c>
      <c r="G1143" s="28">
        <f t="shared" si="371"/>
        <v>46144</v>
      </c>
      <c r="H1143" s="28">
        <f t="shared" si="372"/>
        <v>46132</v>
      </c>
      <c r="I1143" s="28">
        <f t="shared" si="373"/>
        <v>46139</v>
      </c>
      <c r="J1143" s="28">
        <v>46155</v>
      </c>
      <c r="K1143" s="1">
        <f t="shared" si="366"/>
        <v>31</v>
      </c>
      <c r="L1143" s="1">
        <v>15.16</v>
      </c>
      <c r="M1143" s="1">
        <v>13.27</v>
      </c>
      <c r="N1143" s="1">
        <f t="shared" si="367"/>
        <v>1.8900000000000006</v>
      </c>
      <c r="O1143" s="1" t="s">
        <v>379</v>
      </c>
    </row>
    <row r="1144" spans="1:15" x14ac:dyDescent="0.25">
      <c r="A1144" s="28">
        <v>46124</v>
      </c>
      <c r="B1144" s="1" t="s">
        <v>285</v>
      </c>
      <c r="C1144" s="1" t="s">
        <v>437</v>
      </c>
      <c r="D1144" s="28">
        <f t="shared" si="368"/>
        <v>46147</v>
      </c>
      <c r="E1144" s="28">
        <f t="shared" si="369"/>
        <v>46131</v>
      </c>
      <c r="F1144" s="28">
        <f t="shared" si="370"/>
        <v>46138</v>
      </c>
      <c r="G1144" s="28">
        <f t="shared" si="371"/>
        <v>46144</v>
      </c>
      <c r="H1144" s="28">
        <f t="shared" si="372"/>
        <v>46132</v>
      </c>
      <c r="I1144" s="28">
        <f t="shared" si="373"/>
        <v>46139</v>
      </c>
      <c r="J1144" s="28">
        <v>46155</v>
      </c>
      <c r="K1144" s="1">
        <f t="shared" si="366"/>
        <v>31</v>
      </c>
      <c r="L1144" s="1">
        <v>14.07</v>
      </c>
      <c r="M1144" s="1">
        <v>12.21</v>
      </c>
      <c r="N1144" s="1">
        <f t="shared" si="367"/>
        <v>1.8599999999999994</v>
      </c>
      <c r="O1144" s="1" t="s">
        <v>379</v>
      </c>
    </row>
    <row r="1145" spans="1:15" x14ac:dyDescent="0.25">
      <c r="A1145" s="28">
        <v>46124</v>
      </c>
      <c r="B1145" s="1" t="s">
        <v>286</v>
      </c>
      <c r="C1145" s="1" t="s">
        <v>438</v>
      </c>
      <c r="D1145" s="28">
        <f t="shared" si="368"/>
        <v>46147</v>
      </c>
      <c r="E1145" s="28">
        <f t="shared" si="369"/>
        <v>46131</v>
      </c>
      <c r="F1145" s="28">
        <f t="shared" si="370"/>
        <v>46138</v>
      </c>
      <c r="G1145" s="28">
        <f t="shared" si="371"/>
        <v>46144</v>
      </c>
      <c r="H1145" s="28">
        <f t="shared" si="372"/>
        <v>46132</v>
      </c>
      <c r="I1145" s="28">
        <f t="shared" si="373"/>
        <v>46139</v>
      </c>
      <c r="J1145" s="28">
        <v>46155</v>
      </c>
      <c r="K1145" s="1">
        <f t="shared" si="366"/>
        <v>31</v>
      </c>
      <c r="L1145" s="1">
        <v>14.98</v>
      </c>
      <c r="M1145" s="1">
        <v>13.16</v>
      </c>
      <c r="N1145" s="1">
        <f t="shared" si="367"/>
        <v>1.8200000000000003</v>
      </c>
      <c r="O1145" s="1" t="s">
        <v>379</v>
      </c>
    </row>
    <row r="1146" spans="1:15" x14ac:dyDescent="0.25">
      <c r="A1146" s="28">
        <v>46124</v>
      </c>
      <c r="B1146" s="1" t="s">
        <v>380</v>
      </c>
      <c r="C1146" s="1" t="s">
        <v>475</v>
      </c>
      <c r="D1146" s="28">
        <f t="shared" si="368"/>
        <v>46147</v>
      </c>
      <c r="E1146" s="28">
        <f t="shared" si="369"/>
        <v>46131</v>
      </c>
      <c r="F1146" s="28">
        <f t="shared" si="370"/>
        <v>46138</v>
      </c>
      <c r="G1146" s="28">
        <f t="shared" si="371"/>
        <v>46144</v>
      </c>
      <c r="H1146" s="28">
        <f t="shared" si="372"/>
        <v>46132</v>
      </c>
      <c r="I1146" s="28">
        <f t="shared" si="373"/>
        <v>46139</v>
      </c>
      <c r="J1146" s="28">
        <v>46167</v>
      </c>
      <c r="K1146" s="1">
        <f t="shared" si="366"/>
        <v>43</v>
      </c>
      <c r="L1146" s="1">
        <v>12.38</v>
      </c>
      <c r="M1146" s="1">
        <v>11.18</v>
      </c>
      <c r="N1146" s="1">
        <f t="shared" si="367"/>
        <v>1.2000000000000011</v>
      </c>
      <c r="O1146" s="1" t="s">
        <v>379</v>
      </c>
    </row>
    <row r="1147" spans="1:15" x14ac:dyDescent="0.25">
      <c r="A1147" s="28">
        <v>46124</v>
      </c>
      <c r="B1147" s="1" t="s">
        <v>381</v>
      </c>
      <c r="C1147" s="1" t="s">
        <v>476</v>
      </c>
      <c r="D1147" s="28">
        <f t="shared" si="368"/>
        <v>46147</v>
      </c>
      <c r="E1147" s="28">
        <f t="shared" si="369"/>
        <v>46131</v>
      </c>
      <c r="F1147" s="28">
        <f t="shared" si="370"/>
        <v>46138</v>
      </c>
      <c r="G1147" s="28">
        <f t="shared" si="371"/>
        <v>46144</v>
      </c>
      <c r="H1147" s="28">
        <f t="shared" si="372"/>
        <v>46132</v>
      </c>
      <c r="I1147" s="28">
        <f t="shared" si="373"/>
        <v>46139</v>
      </c>
      <c r="J1147" s="28">
        <v>46167</v>
      </c>
      <c r="K1147" s="1">
        <f t="shared" si="366"/>
        <v>43</v>
      </c>
      <c r="L1147" s="1">
        <v>12.97</v>
      </c>
      <c r="M1147" s="1">
        <v>10.55</v>
      </c>
      <c r="N1147" s="1">
        <f t="shared" si="367"/>
        <v>2.42</v>
      </c>
      <c r="O1147" s="1" t="s">
        <v>379</v>
      </c>
    </row>
    <row r="1148" spans="1:15" x14ac:dyDescent="0.25">
      <c r="A1148" s="28">
        <v>46124</v>
      </c>
      <c r="B1148" s="1" t="s">
        <v>382</v>
      </c>
      <c r="C1148" s="1" t="s">
        <v>477</v>
      </c>
      <c r="D1148" s="28">
        <f t="shared" si="368"/>
        <v>46147</v>
      </c>
      <c r="E1148" s="28">
        <f t="shared" si="369"/>
        <v>46131</v>
      </c>
      <c r="F1148" s="28">
        <f t="shared" si="370"/>
        <v>46138</v>
      </c>
      <c r="G1148" s="28">
        <f t="shared" si="371"/>
        <v>46144</v>
      </c>
      <c r="H1148" s="28">
        <f t="shared" si="372"/>
        <v>46132</v>
      </c>
      <c r="I1148" s="28">
        <f t="shared" si="373"/>
        <v>46139</v>
      </c>
      <c r="J1148" s="28">
        <v>46167</v>
      </c>
      <c r="K1148" s="1">
        <f t="shared" si="366"/>
        <v>43</v>
      </c>
      <c r="L1148" s="1">
        <v>12.48</v>
      </c>
      <c r="M1148" s="1">
        <v>11.32</v>
      </c>
      <c r="N1148" s="1">
        <f t="shared" si="367"/>
        <v>1.1600000000000001</v>
      </c>
      <c r="O1148" s="1" t="s">
        <v>379</v>
      </c>
    </row>
    <row r="1149" spans="1:15" x14ac:dyDescent="0.25">
      <c r="A1149" s="28">
        <v>46125</v>
      </c>
      <c r="B1149" s="1" t="s">
        <v>383</v>
      </c>
      <c r="C1149" s="1" t="s">
        <v>478</v>
      </c>
      <c r="D1149" s="28">
        <f t="shared" si="368"/>
        <v>46148</v>
      </c>
      <c r="E1149" s="28">
        <f t="shared" si="369"/>
        <v>46132</v>
      </c>
      <c r="F1149" s="28">
        <f t="shared" si="370"/>
        <v>46139</v>
      </c>
      <c r="G1149" s="28">
        <f t="shared" si="371"/>
        <v>46145</v>
      </c>
      <c r="H1149" s="28">
        <f t="shared" si="372"/>
        <v>46133</v>
      </c>
      <c r="I1149" s="28">
        <f t="shared" si="373"/>
        <v>46140</v>
      </c>
      <c r="J1149" s="28">
        <v>46156</v>
      </c>
      <c r="K1149" s="1">
        <f t="shared" si="366"/>
        <v>31</v>
      </c>
      <c r="L1149" s="1">
        <v>13.15</v>
      </c>
      <c r="M1149" s="1">
        <v>11.36</v>
      </c>
      <c r="N1149" s="1">
        <f t="shared" si="367"/>
        <v>1.7900000000000009</v>
      </c>
      <c r="O1149" s="1" t="s">
        <v>379</v>
      </c>
    </row>
    <row r="1150" spans="1:15" x14ac:dyDescent="0.25">
      <c r="A1150" s="28">
        <v>46125</v>
      </c>
      <c r="B1150" s="1" t="s">
        <v>384</v>
      </c>
      <c r="C1150" s="1" t="s">
        <v>479</v>
      </c>
      <c r="D1150" s="28">
        <f t="shared" si="368"/>
        <v>46148</v>
      </c>
      <c r="E1150" s="28">
        <f t="shared" si="369"/>
        <v>46132</v>
      </c>
      <c r="F1150" s="28">
        <f t="shared" si="370"/>
        <v>46139</v>
      </c>
      <c r="G1150" s="28">
        <f t="shared" si="371"/>
        <v>46145</v>
      </c>
      <c r="H1150" s="28">
        <f t="shared" si="372"/>
        <v>46133</v>
      </c>
      <c r="I1150" s="28">
        <f t="shared" si="373"/>
        <v>46140</v>
      </c>
      <c r="J1150" s="28">
        <v>46156</v>
      </c>
      <c r="K1150" s="1">
        <f t="shared" si="366"/>
        <v>31</v>
      </c>
      <c r="L1150" s="1">
        <v>13.42</v>
      </c>
      <c r="M1150" s="1">
        <v>11.75</v>
      </c>
      <c r="N1150" s="1">
        <f t="shared" si="367"/>
        <v>1.67</v>
      </c>
      <c r="O1150" s="1" t="s">
        <v>379</v>
      </c>
    </row>
    <row r="1151" spans="1:15" x14ac:dyDescent="0.25">
      <c r="A1151" s="28">
        <v>46125</v>
      </c>
      <c r="B1151" s="1" t="s">
        <v>385</v>
      </c>
      <c r="C1151" s="1" t="s">
        <v>480</v>
      </c>
      <c r="D1151" s="28">
        <f t="shared" si="368"/>
        <v>46148</v>
      </c>
      <c r="E1151" s="28">
        <f t="shared" si="369"/>
        <v>46132</v>
      </c>
      <c r="F1151" s="28">
        <f t="shared" si="370"/>
        <v>46139</v>
      </c>
      <c r="G1151" s="28">
        <f t="shared" si="371"/>
        <v>46145</v>
      </c>
      <c r="H1151" s="28">
        <f t="shared" si="372"/>
        <v>46133</v>
      </c>
      <c r="I1151" s="28">
        <f t="shared" si="373"/>
        <v>46140</v>
      </c>
      <c r="J1151" s="28">
        <v>46156</v>
      </c>
      <c r="K1151" s="1">
        <f t="shared" si="366"/>
        <v>31</v>
      </c>
      <c r="L1151" s="1">
        <v>14.21</v>
      </c>
      <c r="M1151" s="1">
        <v>12.43</v>
      </c>
      <c r="N1151" s="1">
        <f t="shared" si="367"/>
        <v>1.7800000000000011</v>
      </c>
      <c r="O1151" s="1" t="s">
        <v>379</v>
      </c>
    </row>
    <row r="1152" spans="1:15" x14ac:dyDescent="0.25">
      <c r="A1152" s="28">
        <v>46125</v>
      </c>
      <c r="B1152" s="1" t="s">
        <v>386</v>
      </c>
      <c r="C1152" s="1" t="s">
        <v>481</v>
      </c>
      <c r="D1152" s="28">
        <f t="shared" si="368"/>
        <v>46148</v>
      </c>
      <c r="E1152" s="28">
        <f t="shared" si="369"/>
        <v>46132</v>
      </c>
      <c r="F1152" s="28">
        <f t="shared" si="370"/>
        <v>46139</v>
      </c>
      <c r="G1152" s="28">
        <f t="shared" si="371"/>
        <v>46145</v>
      </c>
      <c r="H1152" s="28">
        <f t="shared" si="372"/>
        <v>46133</v>
      </c>
      <c r="I1152" s="28">
        <f t="shared" si="373"/>
        <v>46140</v>
      </c>
      <c r="J1152" s="28">
        <v>46156</v>
      </c>
      <c r="K1152" s="1">
        <f t="shared" si="366"/>
        <v>31</v>
      </c>
      <c r="L1152" s="1">
        <v>15.08</v>
      </c>
      <c r="M1152" s="1">
        <v>13.15</v>
      </c>
      <c r="N1152" s="1">
        <f t="shared" si="367"/>
        <v>1.9299999999999997</v>
      </c>
      <c r="O1152" s="1" t="s">
        <v>379</v>
      </c>
    </row>
    <row r="1153" spans="1:15" x14ac:dyDescent="0.25">
      <c r="A1153" s="28">
        <v>46125</v>
      </c>
      <c r="B1153" s="1" t="s">
        <v>387</v>
      </c>
      <c r="C1153" s="1" t="s">
        <v>482</v>
      </c>
      <c r="D1153" s="28">
        <f t="shared" si="368"/>
        <v>46148</v>
      </c>
      <c r="E1153" s="28">
        <f t="shared" si="369"/>
        <v>46132</v>
      </c>
      <c r="F1153" s="28">
        <f t="shared" si="370"/>
        <v>46139</v>
      </c>
      <c r="G1153" s="28">
        <f t="shared" si="371"/>
        <v>46145</v>
      </c>
      <c r="H1153" s="28">
        <f t="shared" si="372"/>
        <v>46133</v>
      </c>
      <c r="I1153" s="28">
        <f t="shared" si="373"/>
        <v>46140</v>
      </c>
      <c r="J1153" s="28">
        <v>46156</v>
      </c>
      <c r="K1153" s="1">
        <f t="shared" si="366"/>
        <v>31</v>
      </c>
      <c r="L1153" s="1">
        <v>13.1</v>
      </c>
      <c r="M1153" s="1">
        <v>11.22</v>
      </c>
      <c r="N1153" s="1">
        <f t="shared" si="367"/>
        <v>1.879999999999999</v>
      </c>
      <c r="O1153" s="1" t="s">
        <v>379</v>
      </c>
    </row>
    <row r="1154" spans="1:15" x14ac:dyDescent="0.25">
      <c r="A1154" s="28">
        <v>46125</v>
      </c>
      <c r="B1154" s="1" t="s">
        <v>388</v>
      </c>
      <c r="C1154" s="1" t="s">
        <v>483</v>
      </c>
      <c r="D1154" s="28">
        <f t="shared" si="368"/>
        <v>46148</v>
      </c>
      <c r="E1154" s="28">
        <f t="shared" si="369"/>
        <v>46132</v>
      </c>
      <c r="F1154" s="28">
        <f t="shared" si="370"/>
        <v>46139</v>
      </c>
      <c r="G1154" s="28">
        <f t="shared" si="371"/>
        <v>46145</v>
      </c>
      <c r="H1154" s="28">
        <f t="shared" si="372"/>
        <v>46133</v>
      </c>
      <c r="I1154" s="28">
        <f t="shared" si="373"/>
        <v>46140</v>
      </c>
      <c r="J1154" s="28">
        <v>46156</v>
      </c>
      <c r="K1154" s="1">
        <f t="shared" si="366"/>
        <v>31</v>
      </c>
      <c r="L1154" s="1">
        <v>12.93</v>
      </c>
      <c r="M1154" s="1">
        <v>10.58</v>
      </c>
      <c r="N1154" s="1">
        <f t="shared" si="367"/>
        <v>2.3499999999999996</v>
      </c>
      <c r="O1154" s="1" t="s">
        <v>379</v>
      </c>
    </row>
    <row r="1155" spans="1:15" x14ac:dyDescent="0.25">
      <c r="A1155" s="28">
        <v>46125</v>
      </c>
      <c r="B1155" s="1" t="s">
        <v>389</v>
      </c>
      <c r="C1155" s="1" t="str">
        <f>VLOOKUP(B1155,'[1]Migrasi Bed'!$B$4:$E$521,4,0)</f>
        <v>BJ.H030</v>
      </c>
      <c r="D1155" s="28">
        <f t="shared" si="368"/>
        <v>46148</v>
      </c>
      <c r="E1155" s="28">
        <f t="shared" si="369"/>
        <v>46132</v>
      </c>
      <c r="F1155" s="28">
        <f t="shared" si="370"/>
        <v>46139</v>
      </c>
      <c r="G1155" s="28">
        <f t="shared" si="371"/>
        <v>46145</v>
      </c>
      <c r="H1155" s="28">
        <f t="shared" si="372"/>
        <v>46133</v>
      </c>
      <c r="I1155" s="28">
        <f t="shared" si="373"/>
        <v>46140</v>
      </c>
      <c r="J1155" s="28">
        <v>46156</v>
      </c>
      <c r="K1155" s="1">
        <f t="shared" si="366"/>
        <v>31</v>
      </c>
      <c r="L1155" s="1">
        <v>15.45</v>
      </c>
      <c r="M1155" s="1">
        <v>13.66</v>
      </c>
      <c r="N1155" s="1">
        <v>1.7899999999999991</v>
      </c>
      <c r="O1155" s="1" t="s">
        <v>379</v>
      </c>
    </row>
    <row r="1156" spans="1:15" x14ac:dyDescent="0.25">
      <c r="A1156" s="28">
        <v>46126</v>
      </c>
      <c r="B1156" s="1" t="s">
        <v>341</v>
      </c>
      <c r="C1156" s="1" t="str">
        <f>VLOOKUP(B1156,'[1]Migrasi Bed'!$B$4:$E$521,4,0)</f>
        <v>ST.B019</v>
      </c>
      <c r="D1156" s="28">
        <f t="shared" si="368"/>
        <v>46149</v>
      </c>
      <c r="E1156" s="28">
        <f t="shared" si="369"/>
        <v>46133</v>
      </c>
      <c r="F1156" s="28">
        <f t="shared" si="370"/>
        <v>46140</v>
      </c>
      <c r="G1156" s="28">
        <f t="shared" si="371"/>
        <v>46146</v>
      </c>
      <c r="H1156" s="28">
        <f t="shared" si="372"/>
        <v>46134</v>
      </c>
      <c r="I1156" s="28">
        <f t="shared" si="373"/>
        <v>46141</v>
      </c>
      <c r="J1156" s="28">
        <v>46157</v>
      </c>
      <c r="K1156" s="1">
        <f t="shared" si="366"/>
        <v>31</v>
      </c>
      <c r="L1156" s="1">
        <v>12.21</v>
      </c>
      <c r="M1156" s="1">
        <v>10.24</v>
      </c>
      <c r="N1156" s="1">
        <v>1.9700000000000006</v>
      </c>
      <c r="O1156" s="1" t="s">
        <v>379</v>
      </c>
    </row>
    <row r="1157" spans="1:15" x14ac:dyDescent="0.25">
      <c r="A1157" s="28">
        <v>46126</v>
      </c>
      <c r="B1157" s="1" t="s">
        <v>342</v>
      </c>
      <c r="C1157" s="1" t="str">
        <f>VLOOKUP(B1157,'[1]Migrasi Bed'!$B$4:$E$521,4,0)</f>
        <v>ST.B020</v>
      </c>
      <c r="D1157" s="28">
        <f t="shared" si="368"/>
        <v>46149</v>
      </c>
      <c r="E1157" s="28">
        <f t="shared" si="369"/>
        <v>46133</v>
      </c>
      <c r="F1157" s="28">
        <f t="shared" si="370"/>
        <v>46140</v>
      </c>
      <c r="G1157" s="28">
        <f t="shared" si="371"/>
        <v>46146</v>
      </c>
      <c r="H1157" s="28">
        <f t="shared" si="372"/>
        <v>46134</v>
      </c>
      <c r="I1157" s="28">
        <f t="shared" si="373"/>
        <v>46141</v>
      </c>
      <c r="J1157" s="28">
        <v>46157</v>
      </c>
      <c r="K1157" s="1">
        <f t="shared" si="366"/>
        <v>31</v>
      </c>
      <c r="L1157" s="1">
        <v>13.84</v>
      </c>
      <c r="M1157" s="1">
        <v>11.73</v>
      </c>
      <c r="N1157" s="1">
        <v>2.1099999999999994</v>
      </c>
      <c r="O1157" s="1" t="s">
        <v>379</v>
      </c>
    </row>
    <row r="1158" spans="1:15" x14ac:dyDescent="0.25">
      <c r="A1158" s="28">
        <v>46126</v>
      </c>
      <c r="B1158" s="1" t="s">
        <v>343</v>
      </c>
      <c r="C1158" s="1" t="str">
        <f>VLOOKUP(B1158,'[1]Migrasi Bed'!$B$4:$E$521,4,0)</f>
        <v>ST.B021</v>
      </c>
      <c r="D1158" s="28">
        <f t="shared" si="368"/>
        <v>46149</v>
      </c>
      <c r="E1158" s="28">
        <f t="shared" si="369"/>
        <v>46133</v>
      </c>
      <c r="F1158" s="28">
        <f t="shared" si="370"/>
        <v>46140</v>
      </c>
      <c r="G1158" s="28">
        <f t="shared" si="371"/>
        <v>46146</v>
      </c>
      <c r="H1158" s="28">
        <f t="shared" si="372"/>
        <v>46134</v>
      </c>
      <c r="I1158" s="28">
        <f t="shared" si="373"/>
        <v>46141</v>
      </c>
      <c r="J1158" s="28">
        <v>46157</v>
      </c>
      <c r="K1158" s="1">
        <f t="shared" si="366"/>
        <v>31</v>
      </c>
      <c r="L1158" s="1">
        <v>12.56</v>
      </c>
      <c r="M1158" s="1">
        <v>10.31</v>
      </c>
      <c r="N1158" s="1">
        <v>2.25</v>
      </c>
      <c r="O1158" s="1" t="s">
        <v>379</v>
      </c>
    </row>
    <row r="1159" spans="1:15" x14ac:dyDescent="0.25">
      <c r="A1159" s="28">
        <v>46126</v>
      </c>
      <c r="B1159" s="1" t="s">
        <v>344</v>
      </c>
      <c r="C1159" s="1" t="str">
        <f>VLOOKUP(B1159,'[1]Migrasi Bed'!$B$4:$E$521,4,0)</f>
        <v>ST.B022</v>
      </c>
      <c r="D1159" s="28">
        <f t="shared" si="368"/>
        <v>46149</v>
      </c>
      <c r="E1159" s="28">
        <f t="shared" si="369"/>
        <v>46133</v>
      </c>
      <c r="F1159" s="28">
        <f t="shared" si="370"/>
        <v>46140</v>
      </c>
      <c r="G1159" s="28">
        <f t="shared" si="371"/>
        <v>46146</v>
      </c>
      <c r="H1159" s="28">
        <f t="shared" si="372"/>
        <v>46134</v>
      </c>
      <c r="I1159" s="28">
        <f t="shared" si="373"/>
        <v>46141</v>
      </c>
      <c r="J1159" s="28">
        <v>46157</v>
      </c>
      <c r="K1159" s="1">
        <f t="shared" si="366"/>
        <v>31</v>
      </c>
      <c r="L1159" s="1">
        <v>12.79</v>
      </c>
      <c r="M1159" s="1">
        <v>10.58</v>
      </c>
      <c r="N1159" s="1">
        <v>2.2099999999999991</v>
      </c>
      <c r="O1159" s="1" t="s">
        <v>379</v>
      </c>
    </row>
    <row r="1160" spans="1:15" x14ac:dyDescent="0.25">
      <c r="A1160" s="28">
        <v>46126</v>
      </c>
      <c r="B1160" s="1" t="s">
        <v>345</v>
      </c>
      <c r="C1160" s="1" t="str">
        <f>VLOOKUP(B1160,'[1]Migrasi Bed'!$B$4:$E$521,4,0)</f>
        <v>ST.B023</v>
      </c>
      <c r="D1160" s="28">
        <f t="shared" si="368"/>
        <v>46149</v>
      </c>
      <c r="E1160" s="28">
        <f t="shared" si="369"/>
        <v>46133</v>
      </c>
      <c r="F1160" s="28">
        <f t="shared" si="370"/>
        <v>46140</v>
      </c>
      <c r="G1160" s="28">
        <f t="shared" si="371"/>
        <v>46146</v>
      </c>
      <c r="H1160" s="28">
        <f t="shared" si="372"/>
        <v>46134</v>
      </c>
      <c r="I1160" s="28">
        <f t="shared" si="373"/>
        <v>46141</v>
      </c>
      <c r="J1160" s="28">
        <v>46156</v>
      </c>
      <c r="K1160" s="1">
        <f t="shared" si="366"/>
        <v>30</v>
      </c>
      <c r="L1160" s="1">
        <v>12.31</v>
      </c>
      <c r="M1160" s="1">
        <v>10.56</v>
      </c>
      <c r="N1160" s="1">
        <v>1.75</v>
      </c>
      <c r="O1160" s="1" t="s">
        <v>379</v>
      </c>
    </row>
    <row r="1161" spans="1:15" x14ac:dyDescent="0.25">
      <c r="A1161" s="28">
        <v>46127</v>
      </c>
      <c r="B1161" s="1" t="s">
        <v>334</v>
      </c>
      <c r="C1161" s="1" t="str">
        <f>VLOOKUP(B1161,'[1]Migrasi Bed'!$B$4:$E$521,4,0)</f>
        <v>ST.B012</v>
      </c>
      <c r="D1161" s="28">
        <f t="shared" si="368"/>
        <v>46150</v>
      </c>
      <c r="E1161" s="28">
        <f t="shared" si="369"/>
        <v>46134</v>
      </c>
      <c r="F1161" s="28">
        <f t="shared" si="370"/>
        <v>46141</v>
      </c>
      <c r="G1161" s="28">
        <f t="shared" si="371"/>
        <v>46147</v>
      </c>
      <c r="H1161" s="28">
        <f t="shared" si="372"/>
        <v>46135</v>
      </c>
      <c r="I1161" s="28">
        <f t="shared" si="373"/>
        <v>46142</v>
      </c>
      <c r="J1161" s="28">
        <v>46158</v>
      </c>
      <c r="K1161" s="1">
        <f t="shared" si="366"/>
        <v>31</v>
      </c>
      <c r="L1161" s="1">
        <v>15.16</v>
      </c>
      <c r="M1161" s="1">
        <v>13.35</v>
      </c>
      <c r="N1161" s="1">
        <v>1.8100000000000005</v>
      </c>
      <c r="O1161" s="1" t="s">
        <v>379</v>
      </c>
    </row>
    <row r="1162" spans="1:15" x14ac:dyDescent="0.25">
      <c r="A1162" s="28">
        <v>46127</v>
      </c>
      <c r="B1162" s="1" t="s">
        <v>335</v>
      </c>
      <c r="C1162" s="1" t="str">
        <f>VLOOKUP(B1162,'[1]Migrasi Bed'!$B$4:$E$521,4,0)</f>
        <v>ST.B013</v>
      </c>
      <c r="D1162" s="28">
        <f t="shared" si="368"/>
        <v>46150</v>
      </c>
      <c r="E1162" s="28">
        <f t="shared" si="369"/>
        <v>46134</v>
      </c>
      <c r="F1162" s="28">
        <f t="shared" si="370"/>
        <v>46141</v>
      </c>
      <c r="G1162" s="28">
        <f t="shared" si="371"/>
        <v>46147</v>
      </c>
      <c r="H1162" s="28">
        <f t="shared" si="372"/>
        <v>46135</v>
      </c>
      <c r="I1162" s="28">
        <f t="shared" si="373"/>
        <v>46142</v>
      </c>
      <c r="J1162" s="28">
        <v>46157</v>
      </c>
      <c r="K1162" s="1">
        <f t="shared" si="366"/>
        <v>30</v>
      </c>
      <c r="L1162" s="1">
        <v>14.06</v>
      </c>
      <c r="M1162" s="1">
        <v>12.16</v>
      </c>
      <c r="N1162" s="1">
        <v>1.9000000000000004</v>
      </c>
      <c r="O1162" s="1" t="s">
        <v>379</v>
      </c>
    </row>
    <row r="1163" spans="1:15" x14ac:dyDescent="0.25">
      <c r="A1163" s="28">
        <v>46127</v>
      </c>
      <c r="B1163" s="1" t="s">
        <v>336</v>
      </c>
      <c r="C1163" s="1" t="str">
        <f>VLOOKUP(B1163,'[1]Migrasi Bed'!$B$4:$E$521,4,0)</f>
        <v>ST.B014</v>
      </c>
      <c r="D1163" s="28">
        <f t="shared" si="368"/>
        <v>46150</v>
      </c>
      <c r="E1163" s="28">
        <f t="shared" si="369"/>
        <v>46134</v>
      </c>
      <c r="F1163" s="28">
        <f t="shared" si="370"/>
        <v>46141</v>
      </c>
      <c r="G1163" s="28">
        <f t="shared" si="371"/>
        <v>46147</v>
      </c>
      <c r="H1163" s="28">
        <f t="shared" si="372"/>
        <v>46135</v>
      </c>
      <c r="I1163" s="28">
        <f t="shared" si="373"/>
        <v>46142</v>
      </c>
      <c r="J1163" s="28">
        <v>46157</v>
      </c>
      <c r="K1163" s="1">
        <f t="shared" si="366"/>
        <v>30</v>
      </c>
      <c r="L1163" s="1">
        <v>13.1</v>
      </c>
      <c r="M1163" s="1">
        <v>11.49</v>
      </c>
      <c r="N1163" s="1">
        <v>1.6099999999999994</v>
      </c>
      <c r="O1163" s="1" t="s">
        <v>379</v>
      </c>
    </row>
    <row r="1164" spans="1:15" x14ac:dyDescent="0.25">
      <c r="A1164" s="28">
        <v>46127</v>
      </c>
      <c r="B1164" s="1" t="s">
        <v>337</v>
      </c>
      <c r="C1164" s="1" t="str">
        <f>VLOOKUP(B1164,'[1]Migrasi Bed'!$B$4:$E$521,4,0)</f>
        <v>ST.B015</v>
      </c>
      <c r="D1164" s="28">
        <f t="shared" si="368"/>
        <v>46150</v>
      </c>
      <c r="E1164" s="28">
        <f t="shared" si="369"/>
        <v>46134</v>
      </c>
      <c r="F1164" s="28">
        <f t="shared" si="370"/>
        <v>46141</v>
      </c>
      <c r="G1164" s="28">
        <f t="shared" si="371"/>
        <v>46147</v>
      </c>
      <c r="H1164" s="28">
        <f t="shared" si="372"/>
        <v>46135</v>
      </c>
      <c r="I1164" s="28">
        <f t="shared" si="373"/>
        <v>46142</v>
      </c>
      <c r="J1164" s="28">
        <v>46157</v>
      </c>
      <c r="K1164" s="1">
        <f t="shared" ref="K1164:K1227" si="376">J1164-A1164</f>
        <v>30</v>
      </c>
      <c r="L1164" s="1">
        <v>12.98</v>
      </c>
      <c r="M1164" s="1">
        <v>11.26</v>
      </c>
      <c r="N1164" s="1">
        <v>1.7200000000000006</v>
      </c>
      <c r="O1164" s="1" t="s">
        <v>379</v>
      </c>
    </row>
    <row r="1165" spans="1:15" x14ac:dyDescent="0.25">
      <c r="A1165" s="28">
        <v>46127</v>
      </c>
      <c r="B1165" s="1" t="s">
        <v>338</v>
      </c>
      <c r="C1165" s="1" t="str">
        <f>VLOOKUP(B1165,'[1]Migrasi Bed'!$B$4:$E$521,4,0)</f>
        <v>ST.B016</v>
      </c>
      <c r="D1165" s="28">
        <f t="shared" si="368"/>
        <v>46150</v>
      </c>
      <c r="E1165" s="28">
        <f t="shared" si="369"/>
        <v>46134</v>
      </c>
      <c r="F1165" s="28">
        <f t="shared" si="370"/>
        <v>46141</v>
      </c>
      <c r="G1165" s="28">
        <f t="shared" si="371"/>
        <v>46147</v>
      </c>
      <c r="H1165" s="28">
        <f t="shared" si="372"/>
        <v>46135</v>
      </c>
      <c r="I1165" s="28">
        <f t="shared" si="373"/>
        <v>46142</v>
      </c>
      <c r="J1165" s="28">
        <v>46157</v>
      </c>
      <c r="K1165" s="1">
        <f t="shared" si="376"/>
        <v>30</v>
      </c>
      <c r="L1165" s="1">
        <v>14.87</v>
      </c>
      <c r="M1165" s="1">
        <v>12.18</v>
      </c>
      <c r="N1165" s="1">
        <v>2.6899999999999995</v>
      </c>
      <c r="O1165" s="1" t="s">
        <v>379</v>
      </c>
    </row>
    <row r="1166" spans="1:15" x14ac:dyDescent="0.25">
      <c r="A1166" s="28">
        <v>46127</v>
      </c>
      <c r="B1166" s="1" t="s">
        <v>339</v>
      </c>
      <c r="C1166" s="1" t="str">
        <f>VLOOKUP(B1166,'[1]Migrasi Bed'!$B$4:$E$521,4,0)</f>
        <v>ST.B017</v>
      </c>
      <c r="D1166" s="28">
        <f t="shared" si="368"/>
        <v>46150</v>
      </c>
      <c r="E1166" s="28">
        <f t="shared" si="369"/>
        <v>46134</v>
      </c>
      <c r="F1166" s="28">
        <f t="shared" si="370"/>
        <v>46141</v>
      </c>
      <c r="G1166" s="28">
        <f t="shared" si="371"/>
        <v>46147</v>
      </c>
      <c r="H1166" s="28">
        <f t="shared" si="372"/>
        <v>46135</v>
      </c>
      <c r="I1166" s="28">
        <f t="shared" si="373"/>
        <v>46142</v>
      </c>
      <c r="J1166" s="28">
        <v>46157</v>
      </c>
      <c r="K1166" s="1">
        <f t="shared" si="376"/>
        <v>30</v>
      </c>
      <c r="L1166" s="1">
        <v>13.32</v>
      </c>
      <c r="M1166" s="1">
        <v>11.54</v>
      </c>
      <c r="N1166" s="1">
        <v>1.7800000000000011</v>
      </c>
      <c r="O1166" s="1" t="s">
        <v>379</v>
      </c>
    </row>
    <row r="1167" spans="1:15" x14ac:dyDescent="0.25">
      <c r="A1167" s="28">
        <v>46127</v>
      </c>
      <c r="B1167" s="1" t="s">
        <v>340</v>
      </c>
      <c r="C1167" s="1" t="str">
        <f>VLOOKUP(B1167,'[1]Migrasi Bed'!$B$4:$E$521,4,0)</f>
        <v>ST.B018</v>
      </c>
      <c r="D1167" s="28">
        <f t="shared" si="368"/>
        <v>46150</v>
      </c>
      <c r="E1167" s="28">
        <f t="shared" si="369"/>
        <v>46134</v>
      </c>
      <c r="F1167" s="28">
        <f t="shared" si="370"/>
        <v>46141</v>
      </c>
      <c r="G1167" s="28">
        <f t="shared" si="371"/>
        <v>46147</v>
      </c>
      <c r="H1167" s="28">
        <f t="shared" si="372"/>
        <v>46135</v>
      </c>
      <c r="I1167" s="28">
        <f t="shared" si="373"/>
        <v>46142</v>
      </c>
      <c r="J1167" s="28">
        <v>46157</v>
      </c>
      <c r="K1167" s="1">
        <f t="shared" si="376"/>
        <v>30</v>
      </c>
      <c r="L1167" s="1">
        <v>14.37</v>
      </c>
      <c r="M1167" s="1">
        <v>12.22</v>
      </c>
      <c r="N1167" s="1">
        <v>2.1499999999999986</v>
      </c>
      <c r="O1167" s="1" t="s">
        <v>379</v>
      </c>
    </row>
    <row r="1168" spans="1:15" x14ac:dyDescent="0.25">
      <c r="A1168" s="28">
        <v>46128</v>
      </c>
      <c r="B1168" s="1" t="s">
        <v>327</v>
      </c>
      <c r="C1168" s="1" t="str">
        <f>VLOOKUP(B1168,'[1]Migrasi Bed'!$B$4:$E$521,4,0)</f>
        <v>ST.B005</v>
      </c>
      <c r="D1168" s="28">
        <f t="shared" si="368"/>
        <v>46151</v>
      </c>
      <c r="E1168" s="28">
        <f t="shared" si="369"/>
        <v>46135</v>
      </c>
      <c r="F1168" s="28">
        <f t="shared" si="370"/>
        <v>46142</v>
      </c>
      <c r="G1168" s="28">
        <f t="shared" si="371"/>
        <v>46148</v>
      </c>
      <c r="H1168" s="28">
        <f t="shared" si="372"/>
        <v>46136</v>
      </c>
      <c r="I1168" s="28">
        <f t="shared" si="373"/>
        <v>46143</v>
      </c>
      <c r="J1168" s="28">
        <v>46159</v>
      </c>
      <c r="K1168" s="1">
        <f t="shared" si="376"/>
        <v>31</v>
      </c>
      <c r="L1168" s="1">
        <v>13.28</v>
      </c>
      <c r="M1168" s="1">
        <v>11.58</v>
      </c>
      <c r="N1168" s="1">
        <v>1.6999999999999993</v>
      </c>
      <c r="O1168" s="1" t="s">
        <v>379</v>
      </c>
    </row>
    <row r="1169" spans="1:15" x14ac:dyDescent="0.25">
      <c r="A1169" s="28">
        <v>46128</v>
      </c>
      <c r="B1169" s="1" t="s">
        <v>328</v>
      </c>
      <c r="C1169" s="1" t="str">
        <f>VLOOKUP(B1169,'[1]Migrasi Bed'!$B$4:$E$521,4,0)</f>
        <v>ST.B006</v>
      </c>
      <c r="D1169" s="28">
        <f t="shared" si="368"/>
        <v>46151</v>
      </c>
      <c r="E1169" s="28">
        <f t="shared" si="369"/>
        <v>46135</v>
      </c>
      <c r="F1169" s="28">
        <f t="shared" si="370"/>
        <v>46142</v>
      </c>
      <c r="G1169" s="28">
        <f t="shared" si="371"/>
        <v>46148</v>
      </c>
      <c r="H1169" s="28">
        <f t="shared" si="372"/>
        <v>46136</v>
      </c>
      <c r="I1169" s="28">
        <f t="shared" si="373"/>
        <v>46143</v>
      </c>
      <c r="J1169" s="28">
        <v>46159</v>
      </c>
      <c r="K1169" s="1">
        <f t="shared" si="376"/>
        <v>31</v>
      </c>
      <c r="L1169" s="1">
        <v>14.47</v>
      </c>
      <c r="M1169" s="1">
        <v>12.55</v>
      </c>
      <c r="N1169" s="1">
        <v>1.92</v>
      </c>
      <c r="O1169" s="1" t="s">
        <v>379</v>
      </c>
    </row>
    <row r="1170" spans="1:15" x14ac:dyDescent="0.25">
      <c r="A1170" s="28">
        <v>46128</v>
      </c>
      <c r="B1170" s="1" t="s">
        <v>329</v>
      </c>
      <c r="C1170" s="1" t="str">
        <f>VLOOKUP(B1170,'[1]Migrasi Bed'!$B$4:$E$521,4,0)</f>
        <v>ST.B007</v>
      </c>
      <c r="D1170" s="28">
        <f t="shared" si="368"/>
        <v>46151</v>
      </c>
      <c r="E1170" s="28">
        <f t="shared" si="369"/>
        <v>46135</v>
      </c>
      <c r="F1170" s="28">
        <f t="shared" si="370"/>
        <v>46142</v>
      </c>
      <c r="G1170" s="28">
        <f t="shared" si="371"/>
        <v>46148</v>
      </c>
      <c r="H1170" s="28">
        <f t="shared" si="372"/>
        <v>46136</v>
      </c>
      <c r="I1170" s="28">
        <f t="shared" si="373"/>
        <v>46143</v>
      </c>
      <c r="J1170" s="28">
        <v>46158</v>
      </c>
      <c r="K1170" s="1">
        <f t="shared" si="376"/>
        <v>30</v>
      </c>
      <c r="L1170" s="1">
        <v>14.51</v>
      </c>
      <c r="M1170" s="1">
        <v>12.41</v>
      </c>
      <c r="N1170" s="1">
        <v>2.0999999999999996</v>
      </c>
      <c r="O1170" s="1" t="s">
        <v>379</v>
      </c>
    </row>
    <row r="1171" spans="1:15" x14ac:dyDescent="0.25">
      <c r="A1171" s="28">
        <v>46128</v>
      </c>
      <c r="B1171" s="1" t="s">
        <v>330</v>
      </c>
      <c r="C1171" s="1" t="str">
        <f>VLOOKUP(B1171,'[1]Migrasi Bed'!$B$4:$E$521,4,0)</f>
        <v>ST.B008</v>
      </c>
      <c r="D1171" s="28">
        <f t="shared" ref="D1171:D1234" si="377">A1171+23</f>
        <v>46151</v>
      </c>
      <c r="E1171" s="28">
        <f t="shared" ref="E1171:E1234" si="378">A1171+7</f>
        <v>46135</v>
      </c>
      <c r="F1171" s="28">
        <f t="shared" ref="F1171:F1234" si="379">A1171+14</f>
        <v>46142</v>
      </c>
      <c r="G1171" s="28">
        <f t="shared" ref="G1171:G1234" si="380">A1171+20</f>
        <v>46148</v>
      </c>
      <c r="H1171" s="28">
        <f t="shared" ref="H1171:H1234" si="381">A1171+8</f>
        <v>46136</v>
      </c>
      <c r="I1171" s="28">
        <f t="shared" ref="I1171:I1234" si="382">A1171+15</f>
        <v>46143</v>
      </c>
      <c r="J1171" s="28">
        <v>46158</v>
      </c>
      <c r="K1171" s="1">
        <f t="shared" si="376"/>
        <v>30</v>
      </c>
      <c r="L1171" s="1">
        <v>14.98</v>
      </c>
      <c r="M1171" s="1">
        <v>13.1</v>
      </c>
      <c r="N1171" s="1">
        <v>1.8800000000000008</v>
      </c>
      <c r="O1171" s="1" t="s">
        <v>379</v>
      </c>
    </row>
    <row r="1172" spans="1:15" x14ac:dyDescent="0.25">
      <c r="A1172" s="28">
        <v>46128</v>
      </c>
      <c r="B1172" s="1" t="s">
        <v>331</v>
      </c>
      <c r="C1172" s="1" t="str">
        <f>VLOOKUP(B1172,'[1]Migrasi Bed'!$B$4:$E$521,4,0)</f>
        <v>ST.B009</v>
      </c>
      <c r="D1172" s="28">
        <f t="shared" si="377"/>
        <v>46151</v>
      </c>
      <c r="E1172" s="28">
        <f t="shared" si="378"/>
        <v>46135</v>
      </c>
      <c r="F1172" s="28">
        <f t="shared" si="379"/>
        <v>46142</v>
      </c>
      <c r="G1172" s="28">
        <f t="shared" si="380"/>
        <v>46148</v>
      </c>
      <c r="H1172" s="28">
        <f t="shared" si="381"/>
        <v>46136</v>
      </c>
      <c r="I1172" s="28">
        <f t="shared" si="382"/>
        <v>46143</v>
      </c>
      <c r="J1172" s="28">
        <v>46158</v>
      </c>
      <c r="K1172" s="1">
        <f t="shared" si="376"/>
        <v>30</v>
      </c>
      <c r="L1172" s="1">
        <v>14.19</v>
      </c>
      <c r="M1172" s="1">
        <v>12.13</v>
      </c>
      <c r="N1172" s="1">
        <v>2.0599999999999987</v>
      </c>
      <c r="O1172" s="1" t="s">
        <v>379</v>
      </c>
    </row>
    <row r="1173" spans="1:15" x14ac:dyDescent="0.25">
      <c r="A1173" s="28">
        <v>46128</v>
      </c>
      <c r="B1173" s="1" t="s">
        <v>332</v>
      </c>
      <c r="C1173" s="1" t="str">
        <f>VLOOKUP(B1173,'[1]Migrasi Bed'!$B$4:$E$521,4,0)</f>
        <v>ST.B010</v>
      </c>
      <c r="D1173" s="28">
        <f t="shared" si="377"/>
        <v>46151</v>
      </c>
      <c r="E1173" s="28">
        <f t="shared" si="378"/>
        <v>46135</v>
      </c>
      <c r="F1173" s="28">
        <f t="shared" si="379"/>
        <v>46142</v>
      </c>
      <c r="G1173" s="28">
        <f t="shared" si="380"/>
        <v>46148</v>
      </c>
      <c r="H1173" s="28">
        <f t="shared" si="381"/>
        <v>46136</v>
      </c>
      <c r="I1173" s="28">
        <f t="shared" si="382"/>
        <v>46143</v>
      </c>
      <c r="J1173" s="28">
        <v>46158</v>
      </c>
      <c r="K1173" s="1">
        <f t="shared" si="376"/>
        <v>30</v>
      </c>
      <c r="L1173" s="1">
        <v>12.97</v>
      </c>
      <c r="M1173" s="1">
        <v>13.1</v>
      </c>
      <c r="N1173" s="1">
        <v>-0.12999999999999901</v>
      </c>
      <c r="O1173" s="1" t="s">
        <v>379</v>
      </c>
    </row>
    <row r="1174" spans="1:15" x14ac:dyDescent="0.25">
      <c r="A1174" s="28">
        <v>46128</v>
      </c>
      <c r="B1174" s="1" t="s">
        <v>333</v>
      </c>
      <c r="C1174" s="1" t="str">
        <f>VLOOKUP(B1174,'[1]Migrasi Bed'!$B$4:$E$521,4,0)</f>
        <v>ST.B011</v>
      </c>
      <c r="D1174" s="28">
        <f t="shared" si="377"/>
        <v>46151</v>
      </c>
      <c r="E1174" s="28">
        <f t="shared" si="378"/>
        <v>46135</v>
      </c>
      <c r="F1174" s="28">
        <f t="shared" si="379"/>
        <v>46142</v>
      </c>
      <c r="G1174" s="28">
        <f t="shared" si="380"/>
        <v>46148</v>
      </c>
      <c r="H1174" s="28">
        <f t="shared" si="381"/>
        <v>46136</v>
      </c>
      <c r="I1174" s="28">
        <f t="shared" si="382"/>
        <v>46143</v>
      </c>
      <c r="J1174" s="28">
        <v>46158</v>
      </c>
      <c r="K1174" s="1">
        <f t="shared" si="376"/>
        <v>30</v>
      </c>
      <c r="L1174" s="1">
        <v>14.1</v>
      </c>
      <c r="M1174" s="1">
        <v>12.41</v>
      </c>
      <c r="N1174" s="1">
        <v>1.6899999999999995</v>
      </c>
      <c r="O1174" s="1" t="s">
        <v>379</v>
      </c>
    </row>
    <row r="1175" spans="1:15" x14ac:dyDescent="0.25">
      <c r="A1175" s="28">
        <v>46129</v>
      </c>
      <c r="B1175" s="1" t="s">
        <v>324</v>
      </c>
      <c r="C1175" s="1" t="str">
        <f>VLOOKUP(B1175,'[1]Migrasi Bed'!$B$4:$E$521,4,0)</f>
        <v>ST.B002</v>
      </c>
      <c r="D1175" s="28">
        <f t="shared" si="377"/>
        <v>46152</v>
      </c>
      <c r="E1175" s="28">
        <f t="shared" si="378"/>
        <v>46136</v>
      </c>
      <c r="F1175" s="28">
        <f t="shared" si="379"/>
        <v>46143</v>
      </c>
      <c r="G1175" s="28">
        <f t="shared" si="380"/>
        <v>46149</v>
      </c>
      <c r="H1175" s="28">
        <f t="shared" si="381"/>
        <v>46137</v>
      </c>
      <c r="I1175" s="28">
        <f t="shared" si="382"/>
        <v>46144</v>
      </c>
      <c r="J1175" s="28">
        <v>46159</v>
      </c>
      <c r="K1175" s="1">
        <f t="shared" si="376"/>
        <v>30</v>
      </c>
      <c r="L1175" s="1">
        <v>14.85</v>
      </c>
      <c r="M1175" s="1">
        <v>12.67</v>
      </c>
      <c r="N1175" s="1">
        <v>2.1799999999999997</v>
      </c>
      <c r="O1175" s="1" t="s">
        <v>379</v>
      </c>
    </row>
    <row r="1176" spans="1:15" x14ac:dyDescent="0.25">
      <c r="A1176" s="28">
        <v>46129</v>
      </c>
      <c r="B1176" s="1" t="s">
        <v>325</v>
      </c>
      <c r="C1176" s="1" t="str">
        <f>VLOOKUP(B1176,'[1]Migrasi Bed'!$B$4:$E$521,4,0)</f>
        <v>ST.B003</v>
      </c>
      <c r="D1176" s="28">
        <f t="shared" si="377"/>
        <v>46152</v>
      </c>
      <c r="E1176" s="28">
        <f t="shared" si="378"/>
        <v>46136</v>
      </c>
      <c r="F1176" s="28">
        <f t="shared" si="379"/>
        <v>46143</v>
      </c>
      <c r="G1176" s="28">
        <f t="shared" si="380"/>
        <v>46149</v>
      </c>
      <c r="H1176" s="28">
        <f t="shared" si="381"/>
        <v>46137</v>
      </c>
      <c r="I1176" s="28">
        <f t="shared" si="382"/>
        <v>46144</v>
      </c>
      <c r="J1176" s="28">
        <v>46159</v>
      </c>
      <c r="K1176" s="1">
        <f t="shared" si="376"/>
        <v>30</v>
      </c>
      <c r="L1176" s="1">
        <v>12.33</v>
      </c>
      <c r="M1176" s="1">
        <v>10.66</v>
      </c>
      <c r="N1176" s="1">
        <v>1.67</v>
      </c>
      <c r="O1176" s="1" t="s">
        <v>379</v>
      </c>
    </row>
    <row r="1177" spans="1:15" x14ac:dyDescent="0.25">
      <c r="A1177" s="28">
        <v>46129</v>
      </c>
      <c r="B1177" s="1" t="s">
        <v>326</v>
      </c>
      <c r="C1177" s="1" t="str">
        <f>VLOOKUP(B1177,'[1]Migrasi Bed'!$B$4:$E$521,4,0)</f>
        <v>ST.B004</v>
      </c>
      <c r="D1177" s="28">
        <f t="shared" si="377"/>
        <v>46152</v>
      </c>
      <c r="E1177" s="28">
        <f t="shared" si="378"/>
        <v>46136</v>
      </c>
      <c r="F1177" s="28">
        <f t="shared" si="379"/>
        <v>46143</v>
      </c>
      <c r="G1177" s="28">
        <f t="shared" si="380"/>
        <v>46149</v>
      </c>
      <c r="H1177" s="28">
        <f t="shared" si="381"/>
        <v>46137</v>
      </c>
      <c r="I1177" s="28">
        <f t="shared" si="382"/>
        <v>46144</v>
      </c>
      <c r="J1177" s="28">
        <v>46159</v>
      </c>
      <c r="K1177" s="1">
        <f t="shared" si="376"/>
        <v>30</v>
      </c>
      <c r="L1177" s="1">
        <v>13.1</v>
      </c>
      <c r="M1177" s="1">
        <v>11.37</v>
      </c>
      <c r="N1177" s="1">
        <v>1.7300000000000004</v>
      </c>
      <c r="O1177" s="1" t="s">
        <v>379</v>
      </c>
    </row>
    <row r="1178" spans="1:15" x14ac:dyDescent="0.25">
      <c r="A1178" s="28">
        <v>46129</v>
      </c>
      <c r="B1178" s="1" t="s">
        <v>303</v>
      </c>
      <c r="C1178" s="1" t="str">
        <f>VLOOKUP(B1178,'[1]Migrasi Bed'!$B$4:$E$521,4,0)</f>
        <v>ST.A001</v>
      </c>
      <c r="D1178" s="28">
        <f t="shared" si="377"/>
        <v>46152</v>
      </c>
      <c r="E1178" s="28">
        <f t="shared" si="378"/>
        <v>46136</v>
      </c>
      <c r="F1178" s="28">
        <f t="shared" si="379"/>
        <v>46143</v>
      </c>
      <c r="G1178" s="28">
        <f t="shared" si="380"/>
        <v>46149</v>
      </c>
      <c r="H1178" s="28">
        <f t="shared" si="381"/>
        <v>46137</v>
      </c>
      <c r="I1178" s="28">
        <f t="shared" si="382"/>
        <v>46144</v>
      </c>
      <c r="J1178" s="28">
        <v>46159</v>
      </c>
      <c r="K1178" s="1">
        <f t="shared" si="376"/>
        <v>30</v>
      </c>
      <c r="L1178" s="1">
        <v>14.54</v>
      </c>
      <c r="M1178" s="1">
        <v>12.43</v>
      </c>
      <c r="N1178" s="1">
        <v>2.1099999999999994</v>
      </c>
      <c r="O1178" s="1" t="s">
        <v>379</v>
      </c>
    </row>
    <row r="1179" spans="1:15" x14ac:dyDescent="0.25">
      <c r="A1179" s="28">
        <v>46129</v>
      </c>
      <c r="B1179" s="1" t="s">
        <v>304</v>
      </c>
      <c r="C1179" s="1" t="str">
        <f>VLOOKUP(B1179,'[1]Migrasi Bed'!$B$4:$E$521,4,0)</f>
        <v>ST.A002</v>
      </c>
      <c r="D1179" s="28">
        <f t="shared" si="377"/>
        <v>46152</v>
      </c>
      <c r="E1179" s="28">
        <f t="shared" si="378"/>
        <v>46136</v>
      </c>
      <c r="F1179" s="28">
        <f t="shared" si="379"/>
        <v>46143</v>
      </c>
      <c r="G1179" s="28">
        <f t="shared" si="380"/>
        <v>46149</v>
      </c>
      <c r="H1179" s="28">
        <f t="shared" si="381"/>
        <v>46137</v>
      </c>
      <c r="I1179" s="28">
        <f t="shared" si="382"/>
        <v>46144</v>
      </c>
      <c r="J1179" s="28">
        <v>46159</v>
      </c>
      <c r="K1179" s="1">
        <f t="shared" si="376"/>
        <v>30</v>
      </c>
      <c r="L1179" s="1">
        <v>15.11</v>
      </c>
      <c r="M1179" s="1">
        <v>13.16</v>
      </c>
      <c r="N1179" s="1">
        <v>1.9499999999999993</v>
      </c>
      <c r="O1179" s="1" t="s">
        <v>379</v>
      </c>
    </row>
    <row r="1180" spans="1:15" x14ac:dyDescent="0.25">
      <c r="A1180" s="28">
        <v>46129</v>
      </c>
      <c r="B1180" s="1" t="s">
        <v>305</v>
      </c>
      <c r="C1180" s="1" t="str">
        <f>VLOOKUP(B1180,'[1]Migrasi Bed'!$B$4:$E$521,4,0)</f>
        <v>ST.A003</v>
      </c>
      <c r="D1180" s="28">
        <f t="shared" si="377"/>
        <v>46152</v>
      </c>
      <c r="E1180" s="28">
        <f t="shared" si="378"/>
        <v>46136</v>
      </c>
      <c r="F1180" s="28">
        <f t="shared" si="379"/>
        <v>46143</v>
      </c>
      <c r="G1180" s="28">
        <f t="shared" si="380"/>
        <v>46149</v>
      </c>
      <c r="H1180" s="28">
        <f t="shared" si="381"/>
        <v>46137</v>
      </c>
      <c r="I1180" s="28">
        <f t="shared" si="382"/>
        <v>46144</v>
      </c>
      <c r="J1180" s="28">
        <v>46160</v>
      </c>
      <c r="K1180" s="1">
        <f t="shared" si="376"/>
        <v>31</v>
      </c>
      <c r="L1180" s="1">
        <v>12.35</v>
      </c>
      <c r="M1180" s="1">
        <v>10.57</v>
      </c>
      <c r="N1180" s="1">
        <v>1.7799999999999994</v>
      </c>
      <c r="O1180" s="1" t="s">
        <v>379</v>
      </c>
    </row>
    <row r="1181" spans="1:15" x14ac:dyDescent="0.25">
      <c r="A1181" s="28">
        <v>46129</v>
      </c>
      <c r="B1181" s="1" t="s">
        <v>306</v>
      </c>
      <c r="C1181" s="1" t="str">
        <f>VLOOKUP(B1181,'[1]Migrasi Bed'!$B$4:$E$521,4,0)</f>
        <v>ST.A004</v>
      </c>
      <c r="D1181" s="28">
        <f t="shared" si="377"/>
        <v>46152</v>
      </c>
      <c r="E1181" s="28">
        <f t="shared" si="378"/>
        <v>46136</v>
      </c>
      <c r="F1181" s="28">
        <f t="shared" si="379"/>
        <v>46143</v>
      </c>
      <c r="G1181" s="28">
        <f t="shared" si="380"/>
        <v>46149</v>
      </c>
      <c r="H1181" s="28">
        <f t="shared" si="381"/>
        <v>46137</v>
      </c>
      <c r="I1181" s="28">
        <f t="shared" si="382"/>
        <v>46144</v>
      </c>
      <c r="J1181" s="28">
        <v>46160</v>
      </c>
      <c r="K1181" s="1">
        <f t="shared" si="376"/>
        <v>31</v>
      </c>
      <c r="L1181" s="1">
        <v>13.08</v>
      </c>
      <c r="M1181" s="1">
        <v>11.15</v>
      </c>
      <c r="N1181" s="1">
        <v>1.9299999999999997</v>
      </c>
      <c r="O1181" s="1" t="s">
        <v>379</v>
      </c>
    </row>
    <row r="1182" spans="1:15" x14ac:dyDescent="0.25">
      <c r="A1182" s="28">
        <v>46130</v>
      </c>
      <c r="B1182" s="1" t="s">
        <v>307</v>
      </c>
      <c r="C1182" s="1" t="str">
        <f>VLOOKUP(B1182,'[1]Migrasi Bed'!$B$4:$E$521,4,0)</f>
        <v>ST.A005</v>
      </c>
      <c r="D1182" s="28">
        <f t="shared" si="377"/>
        <v>46153</v>
      </c>
      <c r="E1182" s="28">
        <f t="shared" si="378"/>
        <v>46137</v>
      </c>
      <c r="F1182" s="28">
        <f t="shared" si="379"/>
        <v>46144</v>
      </c>
      <c r="G1182" s="28">
        <f t="shared" si="380"/>
        <v>46150</v>
      </c>
      <c r="H1182" s="28">
        <f t="shared" si="381"/>
        <v>46138</v>
      </c>
      <c r="I1182" s="28">
        <f t="shared" si="382"/>
        <v>46145</v>
      </c>
      <c r="J1182" s="28">
        <v>46160</v>
      </c>
      <c r="K1182" s="1">
        <f t="shared" si="376"/>
        <v>30</v>
      </c>
      <c r="L1182" s="1">
        <v>13.27</v>
      </c>
      <c r="M1182" s="1">
        <v>11.32</v>
      </c>
      <c r="N1182" s="1">
        <v>1.9499999999999993</v>
      </c>
      <c r="O1182" s="1" t="s">
        <v>379</v>
      </c>
    </row>
    <row r="1183" spans="1:15" x14ac:dyDescent="0.25">
      <c r="A1183" s="28">
        <v>46130</v>
      </c>
      <c r="B1183" s="1" t="s">
        <v>308</v>
      </c>
      <c r="C1183" s="1" t="str">
        <f>VLOOKUP(B1183,'[1]Migrasi Bed'!$B$4:$E$521,4,0)</f>
        <v>ST.A006</v>
      </c>
      <c r="D1183" s="28">
        <f t="shared" si="377"/>
        <v>46153</v>
      </c>
      <c r="E1183" s="28">
        <f t="shared" si="378"/>
        <v>46137</v>
      </c>
      <c r="F1183" s="28">
        <f t="shared" si="379"/>
        <v>46144</v>
      </c>
      <c r="G1183" s="28">
        <f t="shared" si="380"/>
        <v>46150</v>
      </c>
      <c r="H1183" s="28">
        <f t="shared" si="381"/>
        <v>46138</v>
      </c>
      <c r="I1183" s="28">
        <f t="shared" si="382"/>
        <v>46145</v>
      </c>
      <c r="J1183" s="28">
        <v>46160</v>
      </c>
      <c r="K1183" s="1">
        <f t="shared" si="376"/>
        <v>30</v>
      </c>
      <c r="L1183" s="1">
        <v>15.16</v>
      </c>
      <c r="M1183" s="1">
        <v>13.28</v>
      </c>
      <c r="N1183" s="1">
        <v>1.8800000000000008</v>
      </c>
      <c r="O1183" s="1" t="s">
        <v>379</v>
      </c>
    </row>
    <row r="1184" spans="1:15" x14ac:dyDescent="0.25">
      <c r="A1184" s="28">
        <v>46130</v>
      </c>
      <c r="B1184" s="1" t="s">
        <v>309</v>
      </c>
      <c r="C1184" s="1" t="str">
        <f>VLOOKUP(B1184,'[1]Migrasi Bed'!$B$4:$E$521,4,0)</f>
        <v>ST.A007</v>
      </c>
      <c r="D1184" s="28">
        <f t="shared" si="377"/>
        <v>46153</v>
      </c>
      <c r="E1184" s="28">
        <f t="shared" si="378"/>
        <v>46137</v>
      </c>
      <c r="F1184" s="28">
        <f t="shared" si="379"/>
        <v>46144</v>
      </c>
      <c r="G1184" s="28">
        <f t="shared" si="380"/>
        <v>46150</v>
      </c>
      <c r="H1184" s="28">
        <f t="shared" si="381"/>
        <v>46138</v>
      </c>
      <c r="I1184" s="28">
        <f t="shared" si="382"/>
        <v>46145</v>
      </c>
      <c r="J1184" s="28">
        <v>46160</v>
      </c>
      <c r="K1184" s="1">
        <f t="shared" si="376"/>
        <v>30</v>
      </c>
      <c r="L1184" s="1">
        <v>15.21</v>
      </c>
      <c r="M1184" s="1">
        <v>13.42</v>
      </c>
      <c r="N1184" s="1">
        <v>1.7900000000000009</v>
      </c>
      <c r="O1184" s="1" t="s">
        <v>379</v>
      </c>
    </row>
    <row r="1185" spans="1:15" x14ac:dyDescent="0.25">
      <c r="A1185" s="28">
        <v>46130</v>
      </c>
      <c r="B1185" s="1" t="s">
        <v>310</v>
      </c>
      <c r="C1185" s="1" t="str">
        <f>VLOOKUP(B1185,'[1]Migrasi Bed'!$B$4:$E$521,4,0)</f>
        <v>ST.A008</v>
      </c>
      <c r="D1185" s="28">
        <f t="shared" si="377"/>
        <v>46153</v>
      </c>
      <c r="E1185" s="28">
        <f t="shared" si="378"/>
        <v>46137</v>
      </c>
      <c r="F1185" s="28">
        <f t="shared" si="379"/>
        <v>46144</v>
      </c>
      <c r="G1185" s="28">
        <f t="shared" si="380"/>
        <v>46150</v>
      </c>
      <c r="H1185" s="28">
        <f t="shared" si="381"/>
        <v>46138</v>
      </c>
      <c r="I1185" s="28">
        <f t="shared" si="382"/>
        <v>46145</v>
      </c>
      <c r="J1185" s="28">
        <v>46160</v>
      </c>
      <c r="K1185" s="1">
        <f t="shared" si="376"/>
        <v>30</v>
      </c>
      <c r="L1185" s="1">
        <v>12.36</v>
      </c>
      <c r="M1185" s="1">
        <v>10.19</v>
      </c>
      <c r="N1185" s="1">
        <v>2.17</v>
      </c>
      <c r="O1185" s="1" t="s">
        <v>379</v>
      </c>
    </row>
    <row r="1186" spans="1:15" x14ac:dyDescent="0.25">
      <c r="A1186" s="28">
        <v>46130</v>
      </c>
      <c r="B1186" s="1" t="s">
        <v>311</v>
      </c>
      <c r="C1186" s="1" t="str">
        <f>VLOOKUP(B1186,'[1]Migrasi Bed'!$B$4:$E$521,4,0)</f>
        <v>ST.A009</v>
      </c>
      <c r="D1186" s="28">
        <f t="shared" si="377"/>
        <v>46153</v>
      </c>
      <c r="E1186" s="28">
        <f t="shared" si="378"/>
        <v>46137</v>
      </c>
      <c r="F1186" s="28">
        <f t="shared" si="379"/>
        <v>46144</v>
      </c>
      <c r="G1186" s="28">
        <f t="shared" si="380"/>
        <v>46150</v>
      </c>
      <c r="H1186" s="28">
        <f t="shared" si="381"/>
        <v>46138</v>
      </c>
      <c r="I1186" s="28">
        <f t="shared" si="382"/>
        <v>46145</v>
      </c>
      <c r="J1186" s="28">
        <v>46161</v>
      </c>
      <c r="K1186" s="1">
        <f t="shared" si="376"/>
        <v>31</v>
      </c>
      <c r="L1186" s="1">
        <v>12.55</v>
      </c>
      <c r="M1186" s="1">
        <v>10.119999999999999</v>
      </c>
      <c r="N1186" s="1">
        <v>2.4300000000000015</v>
      </c>
      <c r="O1186" s="1" t="s">
        <v>379</v>
      </c>
    </row>
    <row r="1187" spans="1:15" x14ac:dyDescent="0.25">
      <c r="A1187" s="28">
        <v>46130</v>
      </c>
      <c r="B1187" s="1" t="s">
        <v>312</v>
      </c>
      <c r="C1187" s="1" t="str">
        <f>VLOOKUP(B1187,'[1]Migrasi Bed'!$B$4:$E$521,4,0)</f>
        <v>ST.A010</v>
      </c>
      <c r="D1187" s="28">
        <f t="shared" si="377"/>
        <v>46153</v>
      </c>
      <c r="E1187" s="28">
        <f t="shared" si="378"/>
        <v>46137</v>
      </c>
      <c r="F1187" s="28">
        <f t="shared" si="379"/>
        <v>46144</v>
      </c>
      <c r="G1187" s="28">
        <f t="shared" si="380"/>
        <v>46150</v>
      </c>
      <c r="H1187" s="28">
        <f t="shared" si="381"/>
        <v>46138</v>
      </c>
      <c r="I1187" s="28">
        <f t="shared" si="382"/>
        <v>46145</v>
      </c>
      <c r="J1187" s="28">
        <v>46161</v>
      </c>
      <c r="K1187" s="1">
        <f t="shared" si="376"/>
        <v>31</v>
      </c>
      <c r="L1187" s="1">
        <v>13.46</v>
      </c>
      <c r="M1187" s="1">
        <v>11.32</v>
      </c>
      <c r="N1187" s="1">
        <v>2.1400000000000006</v>
      </c>
      <c r="O1187" s="1" t="s">
        <v>379</v>
      </c>
    </row>
    <row r="1188" spans="1:15" x14ac:dyDescent="0.25">
      <c r="A1188" s="28">
        <v>46130</v>
      </c>
      <c r="B1188" s="1" t="s">
        <v>313</v>
      </c>
      <c r="C1188" s="1" t="str">
        <f>VLOOKUP(B1188,'[1]Migrasi Bed'!$B$4:$E$521,4,0)</f>
        <v>ST.A011</v>
      </c>
      <c r="D1188" s="28">
        <f t="shared" si="377"/>
        <v>46153</v>
      </c>
      <c r="E1188" s="28">
        <f t="shared" si="378"/>
        <v>46137</v>
      </c>
      <c r="F1188" s="28">
        <f t="shared" si="379"/>
        <v>46144</v>
      </c>
      <c r="G1188" s="28">
        <f t="shared" si="380"/>
        <v>46150</v>
      </c>
      <c r="H1188" s="28">
        <f t="shared" si="381"/>
        <v>46138</v>
      </c>
      <c r="I1188" s="28">
        <f t="shared" si="382"/>
        <v>46145</v>
      </c>
      <c r="J1188" s="28">
        <v>46161</v>
      </c>
      <c r="K1188" s="1">
        <f t="shared" si="376"/>
        <v>31</v>
      </c>
      <c r="L1188" s="1">
        <v>13.32</v>
      </c>
      <c r="M1188" s="1">
        <v>11.15</v>
      </c>
      <c r="N1188" s="1">
        <v>2.17</v>
      </c>
      <c r="O1188" s="1" t="s">
        <v>379</v>
      </c>
    </row>
    <row r="1189" spans="1:15" x14ac:dyDescent="0.25">
      <c r="A1189" s="28">
        <v>46131</v>
      </c>
      <c r="B1189" s="1" t="s">
        <v>314</v>
      </c>
      <c r="C1189" s="1" t="str">
        <f>VLOOKUP(B1189,'[1]Migrasi Bed'!$B$4:$E$521,4,0)</f>
        <v>ST.A012</v>
      </c>
      <c r="D1189" s="28">
        <f t="shared" si="377"/>
        <v>46154</v>
      </c>
      <c r="E1189" s="28">
        <f t="shared" si="378"/>
        <v>46138</v>
      </c>
      <c r="F1189" s="28">
        <f t="shared" si="379"/>
        <v>46145</v>
      </c>
      <c r="G1189" s="28">
        <f t="shared" si="380"/>
        <v>46151</v>
      </c>
      <c r="H1189" s="28">
        <f t="shared" si="381"/>
        <v>46139</v>
      </c>
      <c r="I1189" s="28">
        <f t="shared" si="382"/>
        <v>46146</v>
      </c>
      <c r="J1189" s="28">
        <v>46161</v>
      </c>
      <c r="K1189" s="1">
        <f t="shared" si="376"/>
        <v>30</v>
      </c>
      <c r="L1189" s="1">
        <v>12.41</v>
      </c>
      <c r="M1189" s="1">
        <v>10.27</v>
      </c>
      <c r="N1189" s="1">
        <v>2.1400000000000006</v>
      </c>
      <c r="O1189" s="1" t="s">
        <v>379</v>
      </c>
    </row>
    <row r="1190" spans="1:15" x14ac:dyDescent="0.25">
      <c r="A1190" s="28">
        <v>46131</v>
      </c>
      <c r="B1190" s="1" t="s">
        <v>315</v>
      </c>
      <c r="C1190" s="1" t="str">
        <f>VLOOKUP(B1190,'[1]Migrasi Bed'!$B$4:$E$521,4,0)</f>
        <v>ST.A013</v>
      </c>
      <c r="D1190" s="28">
        <f t="shared" si="377"/>
        <v>46154</v>
      </c>
      <c r="E1190" s="28">
        <f t="shared" si="378"/>
        <v>46138</v>
      </c>
      <c r="F1190" s="28">
        <f t="shared" si="379"/>
        <v>46145</v>
      </c>
      <c r="G1190" s="28">
        <f t="shared" si="380"/>
        <v>46151</v>
      </c>
      <c r="H1190" s="28">
        <f t="shared" si="381"/>
        <v>46139</v>
      </c>
      <c r="I1190" s="28">
        <f t="shared" si="382"/>
        <v>46146</v>
      </c>
      <c r="J1190" s="28">
        <v>46162</v>
      </c>
      <c r="K1190" s="1">
        <f t="shared" si="376"/>
        <v>31</v>
      </c>
      <c r="L1190" s="1">
        <v>12.56</v>
      </c>
      <c r="M1190" s="1">
        <v>10.28</v>
      </c>
      <c r="N1190" s="1">
        <v>2.2800000000000011</v>
      </c>
      <c r="O1190" s="1" t="s">
        <v>379</v>
      </c>
    </row>
    <row r="1191" spans="1:15" x14ac:dyDescent="0.25">
      <c r="A1191" s="28">
        <v>46131</v>
      </c>
      <c r="B1191" s="1" t="s">
        <v>316</v>
      </c>
      <c r="C1191" s="1" t="str">
        <f>VLOOKUP(B1191,'[1]Migrasi Bed'!$B$4:$E$521,4,0)</f>
        <v>ST.A014</v>
      </c>
      <c r="D1191" s="28">
        <f t="shared" si="377"/>
        <v>46154</v>
      </c>
      <c r="E1191" s="28">
        <f t="shared" si="378"/>
        <v>46138</v>
      </c>
      <c r="F1191" s="28">
        <f t="shared" si="379"/>
        <v>46145</v>
      </c>
      <c r="G1191" s="28">
        <f t="shared" si="380"/>
        <v>46151</v>
      </c>
      <c r="H1191" s="28">
        <f t="shared" si="381"/>
        <v>46139</v>
      </c>
      <c r="I1191" s="28">
        <f t="shared" si="382"/>
        <v>46146</v>
      </c>
      <c r="J1191" s="28">
        <v>46162</v>
      </c>
      <c r="K1191" s="1">
        <f t="shared" si="376"/>
        <v>31</v>
      </c>
      <c r="L1191" s="1">
        <v>11.13</v>
      </c>
      <c r="M1191" s="1">
        <v>9.16</v>
      </c>
      <c r="N1191" s="1">
        <v>1.9700000000000006</v>
      </c>
      <c r="O1191" s="1" t="s">
        <v>379</v>
      </c>
    </row>
    <row r="1192" spans="1:15" x14ac:dyDescent="0.25">
      <c r="A1192" s="28">
        <v>46131</v>
      </c>
      <c r="B1192" s="1" t="s">
        <v>317</v>
      </c>
      <c r="C1192" s="1" t="str">
        <f>VLOOKUP(B1192,'[1]Migrasi Bed'!$B$4:$E$521,4,0)</f>
        <v>ST.A015</v>
      </c>
      <c r="D1192" s="28">
        <f t="shared" si="377"/>
        <v>46154</v>
      </c>
      <c r="E1192" s="28">
        <f t="shared" si="378"/>
        <v>46138</v>
      </c>
      <c r="F1192" s="28">
        <f t="shared" si="379"/>
        <v>46145</v>
      </c>
      <c r="G1192" s="28">
        <f t="shared" si="380"/>
        <v>46151</v>
      </c>
      <c r="H1192" s="28">
        <f t="shared" si="381"/>
        <v>46139</v>
      </c>
      <c r="I1192" s="28">
        <f t="shared" si="382"/>
        <v>46146</v>
      </c>
      <c r="J1192" s="28">
        <v>46162</v>
      </c>
      <c r="K1192" s="1">
        <f t="shared" si="376"/>
        <v>31</v>
      </c>
      <c r="L1192" s="1">
        <v>11.57</v>
      </c>
      <c r="M1192" s="1">
        <v>9.74</v>
      </c>
      <c r="N1192" s="1">
        <v>1.83</v>
      </c>
      <c r="O1192" s="1" t="s">
        <v>379</v>
      </c>
    </row>
    <row r="1193" spans="1:15" x14ac:dyDescent="0.25">
      <c r="A1193" s="28">
        <v>46131</v>
      </c>
      <c r="B1193" s="1" t="s">
        <v>318</v>
      </c>
      <c r="C1193" s="1" t="str">
        <f>VLOOKUP(B1193,'[1]Migrasi Bed'!$B$4:$E$521,4,0)</f>
        <v>ST.A016</v>
      </c>
      <c r="D1193" s="28">
        <f t="shared" si="377"/>
        <v>46154</v>
      </c>
      <c r="E1193" s="28">
        <f t="shared" si="378"/>
        <v>46138</v>
      </c>
      <c r="F1193" s="28">
        <f t="shared" si="379"/>
        <v>46145</v>
      </c>
      <c r="G1193" s="28">
        <f t="shared" si="380"/>
        <v>46151</v>
      </c>
      <c r="H1193" s="28">
        <f t="shared" si="381"/>
        <v>46139</v>
      </c>
      <c r="I1193" s="28">
        <f t="shared" si="382"/>
        <v>46146</v>
      </c>
      <c r="J1193" s="28">
        <v>46162</v>
      </c>
      <c r="K1193" s="1">
        <f t="shared" si="376"/>
        <v>31</v>
      </c>
      <c r="L1193" s="1">
        <v>12.18</v>
      </c>
      <c r="M1193" s="1">
        <v>10.34</v>
      </c>
      <c r="N1193" s="1">
        <v>1.8399999999999999</v>
      </c>
      <c r="O1193" s="1" t="s">
        <v>379</v>
      </c>
    </row>
    <row r="1194" spans="1:15" x14ac:dyDescent="0.25">
      <c r="A1194" s="28">
        <v>46131</v>
      </c>
      <c r="B1194" s="1" t="s">
        <v>319</v>
      </c>
      <c r="C1194" s="1" t="str">
        <f>VLOOKUP(B1194,'[1]Migrasi Bed'!$B$4:$E$521,4,0)</f>
        <v>ST.A017</v>
      </c>
      <c r="D1194" s="28">
        <f t="shared" si="377"/>
        <v>46154</v>
      </c>
      <c r="E1194" s="28">
        <f t="shared" si="378"/>
        <v>46138</v>
      </c>
      <c r="F1194" s="28">
        <f t="shared" si="379"/>
        <v>46145</v>
      </c>
      <c r="G1194" s="28">
        <f t="shared" si="380"/>
        <v>46151</v>
      </c>
      <c r="H1194" s="28">
        <f t="shared" si="381"/>
        <v>46139</v>
      </c>
      <c r="I1194" s="28">
        <f t="shared" si="382"/>
        <v>46146</v>
      </c>
      <c r="J1194" s="28">
        <v>46162</v>
      </c>
      <c r="K1194" s="1">
        <f t="shared" si="376"/>
        <v>31</v>
      </c>
      <c r="L1194" s="1">
        <v>13.15</v>
      </c>
      <c r="M1194" s="1">
        <v>11.28</v>
      </c>
      <c r="N1194" s="1">
        <v>1.870000000000001</v>
      </c>
      <c r="O1194" s="1" t="s">
        <v>379</v>
      </c>
    </row>
    <row r="1195" spans="1:15" x14ac:dyDescent="0.25">
      <c r="A1195" s="28">
        <v>46131</v>
      </c>
      <c r="B1195" s="1" t="s">
        <v>320</v>
      </c>
      <c r="C1195" s="1" t="str">
        <f>VLOOKUP(B1195,'[1]Migrasi Bed'!$B$4:$E$521,4,0)</f>
        <v>ST.A018</v>
      </c>
      <c r="D1195" s="28">
        <f t="shared" si="377"/>
        <v>46154</v>
      </c>
      <c r="E1195" s="28">
        <f t="shared" si="378"/>
        <v>46138</v>
      </c>
      <c r="F1195" s="28">
        <f t="shared" si="379"/>
        <v>46145</v>
      </c>
      <c r="G1195" s="28">
        <f t="shared" si="380"/>
        <v>46151</v>
      </c>
      <c r="H1195" s="28">
        <f t="shared" si="381"/>
        <v>46139</v>
      </c>
      <c r="I1195" s="28">
        <f t="shared" si="382"/>
        <v>46146</v>
      </c>
      <c r="J1195" s="28">
        <v>46162</v>
      </c>
      <c r="K1195" s="1">
        <f t="shared" si="376"/>
        <v>31</v>
      </c>
      <c r="L1195" s="1">
        <v>12.97</v>
      </c>
      <c r="M1195" s="1">
        <v>11.07</v>
      </c>
      <c r="N1195" s="1">
        <v>1.9000000000000004</v>
      </c>
      <c r="O1195" s="1" t="s">
        <v>379</v>
      </c>
    </row>
    <row r="1196" spans="1:15" x14ac:dyDescent="0.25">
      <c r="A1196" s="28">
        <v>46131</v>
      </c>
      <c r="B1196" s="1" t="s">
        <v>321</v>
      </c>
      <c r="C1196" s="1" t="str">
        <f>VLOOKUP(B1196,'[1]Migrasi Bed'!$B$4:$E$521,4,0)</f>
        <v>ST.A019</v>
      </c>
      <c r="D1196" s="28">
        <f t="shared" si="377"/>
        <v>46154</v>
      </c>
      <c r="E1196" s="28">
        <f t="shared" si="378"/>
        <v>46138</v>
      </c>
      <c r="F1196" s="28">
        <f t="shared" si="379"/>
        <v>46145</v>
      </c>
      <c r="G1196" s="28">
        <f t="shared" si="380"/>
        <v>46151</v>
      </c>
      <c r="H1196" s="28">
        <f t="shared" si="381"/>
        <v>46139</v>
      </c>
      <c r="I1196" s="28">
        <f t="shared" si="382"/>
        <v>46146</v>
      </c>
      <c r="J1196" s="28">
        <v>46163</v>
      </c>
      <c r="K1196" s="1">
        <f t="shared" si="376"/>
        <v>32</v>
      </c>
      <c r="L1196" s="1">
        <v>14.35</v>
      </c>
      <c r="M1196" s="1">
        <v>13.54</v>
      </c>
      <c r="N1196" s="1">
        <v>0.8100000000000005</v>
      </c>
      <c r="O1196" s="1" t="s">
        <v>379</v>
      </c>
    </row>
    <row r="1197" spans="1:15" x14ac:dyDescent="0.25">
      <c r="A1197" s="28">
        <v>46131</v>
      </c>
      <c r="B1197" s="1" t="s">
        <v>322</v>
      </c>
      <c r="C1197" s="1" t="str">
        <f>VLOOKUP(B1197,'[1]Migrasi Bed'!$B$4:$E$521,4,0)</f>
        <v>ST.A020</v>
      </c>
      <c r="D1197" s="28">
        <f t="shared" si="377"/>
        <v>46154</v>
      </c>
      <c r="E1197" s="28">
        <f t="shared" si="378"/>
        <v>46138</v>
      </c>
      <c r="F1197" s="28">
        <f t="shared" si="379"/>
        <v>46145</v>
      </c>
      <c r="G1197" s="28">
        <f t="shared" si="380"/>
        <v>46151</v>
      </c>
      <c r="H1197" s="28">
        <f t="shared" si="381"/>
        <v>46139</v>
      </c>
      <c r="I1197" s="28">
        <f t="shared" si="382"/>
        <v>46146</v>
      </c>
      <c r="J1197" s="28">
        <v>46163</v>
      </c>
      <c r="K1197" s="1">
        <f t="shared" si="376"/>
        <v>32</v>
      </c>
      <c r="L1197" s="1">
        <v>12.19</v>
      </c>
      <c r="M1197" s="1">
        <v>10.28</v>
      </c>
      <c r="N1197" s="1">
        <v>1.9100000000000001</v>
      </c>
      <c r="O1197" s="1" t="s">
        <v>379</v>
      </c>
    </row>
    <row r="1198" spans="1:15" x14ac:dyDescent="0.25">
      <c r="A1198" s="28">
        <v>46131</v>
      </c>
      <c r="B1198" s="1" t="s">
        <v>323</v>
      </c>
      <c r="C1198" s="1" t="str">
        <f>VLOOKUP(B1198,'[1]Migrasi Bed'!$B$4:$E$521,4,0)</f>
        <v>ST.A021</v>
      </c>
      <c r="D1198" s="28">
        <f t="shared" si="377"/>
        <v>46154</v>
      </c>
      <c r="E1198" s="28">
        <f t="shared" si="378"/>
        <v>46138</v>
      </c>
      <c r="F1198" s="28">
        <f t="shared" si="379"/>
        <v>46145</v>
      </c>
      <c r="G1198" s="28">
        <f t="shared" si="380"/>
        <v>46151</v>
      </c>
      <c r="H1198" s="28">
        <f t="shared" si="381"/>
        <v>46139</v>
      </c>
      <c r="I1198" s="28">
        <f t="shared" si="382"/>
        <v>46146</v>
      </c>
      <c r="J1198" s="28">
        <v>46163</v>
      </c>
      <c r="K1198" s="1">
        <f t="shared" si="376"/>
        <v>32</v>
      </c>
      <c r="L1198" s="1">
        <v>13.45</v>
      </c>
      <c r="M1198" s="1">
        <v>11.21</v>
      </c>
      <c r="N1198" s="1">
        <v>2.2399999999999984</v>
      </c>
      <c r="O1198" s="1" t="s">
        <v>379</v>
      </c>
    </row>
    <row r="1199" spans="1:15" x14ac:dyDescent="0.25">
      <c r="A1199" s="28">
        <v>46139</v>
      </c>
      <c r="B1199" s="1" t="s">
        <v>193</v>
      </c>
      <c r="C1199" s="1" t="str">
        <f>VLOOKUP(B1199,'[1]Migrasi Bed'!$B$4:$E$521,4,0)</f>
        <v>SV.H010</v>
      </c>
      <c r="D1199" s="28">
        <f t="shared" si="377"/>
        <v>46162</v>
      </c>
      <c r="E1199" s="28">
        <f t="shared" si="378"/>
        <v>46146</v>
      </c>
      <c r="F1199" s="28">
        <f t="shared" si="379"/>
        <v>46153</v>
      </c>
      <c r="G1199" s="28">
        <f t="shared" si="380"/>
        <v>46159</v>
      </c>
      <c r="H1199" s="28">
        <f t="shared" si="381"/>
        <v>46147</v>
      </c>
      <c r="I1199" s="28">
        <f t="shared" si="382"/>
        <v>46154</v>
      </c>
      <c r="J1199" s="28">
        <v>46165</v>
      </c>
      <c r="K1199" s="1">
        <f t="shared" si="376"/>
        <v>26</v>
      </c>
      <c r="L1199" s="1">
        <v>14.31</v>
      </c>
      <c r="M1199" s="1">
        <v>12.58</v>
      </c>
      <c r="N1199" s="1">
        <v>1.7300000000000004</v>
      </c>
      <c r="O1199" s="1" t="s">
        <v>379</v>
      </c>
    </row>
    <row r="1200" spans="1:15" x14ac:dyDescent="0.25">
      <c r="A1200" s="28">
        <v>46139</v>
      </c>
      <c r="B1200" s="1" t="s">
        <v>194</v>
      </c>
      <c r="C1200" s="1" t="str">
        <f>VLOOKUP(B1200,'[1]Migrasi Bed'!$B$4:$E$521,4,0)</f>
        <v>SV.H011</v>
      </c>
      <c r="D1200" s="28">
        <f t="shared" si="377"/>
        <v>46162</v>
      </c>
      <c r="E1200" s="28">
        <f t="shared" si="378"/>
        <v>46146</v>
      </c>
      <c r="F1200" s="28">
        <f t="shared" si="379"/>
        <v>46153</v>
      </c>
      <c r="G1200" s="28">
        <f t="shared" si="380"/>
        <v>46159</v>
      </c>
      <c r="H1200" s="28">
        <f t="shared" si="381"/>
        <v>46147</v>
      </c>
      <c r="I1200" s="28">
        <f t="shared" si="382"/>
        <v>46154</v>
      </c>
      <c r="J1200" s="28">
        <v>46164</v>
      </c>
      <c r="K1200" s="1">
        <f t="shared" si="376"/>
        <v>25</v>
      </c>
      <c r="L1200" s="1">
        <v>14.21</v>
      </c>
      <c r="M1200" s="1">
        <v>12.49</v>
      </c>
      <c r="N1200" s="1">
        <v>1.7200000000000006</v>
      </c>
      <c r="O1200" s="1" t="s">
        <v>379</v>
      </c>
    </row>
    <row r="1201" spans="1:15" x14ac:dyDescent="0.25">
      <c r="A1201" s="28">
        <v>46139</v>
      </c>
      <c r="B1201" s="1" t="s">
        <v>195</v>
      </c>
      <c r="C1201" s="1" t="str">
        <f>VLOOKUP(B1201,'[1]Migrasi Bed'!$B$4:$E$521,4,0)</f>
        <v>SV.H012</v>
      </c>
      <c r="D1201" s="28">
        <f t="shared" si="377"/>
        <v>46162</v>
      </c>
      <c r="E1201" s="28">
        <f t="shared" si="378"/>
        <v>46146</v>
      </c>
      <c r="F1201" s="28">
        <f t="shared" si="379"/>
        <v>46153</v>
      </c>
      <c r="G1201" s="28">
        <f t="shared" si="380"/>
        <v>46159</v>
      </c>
      <c r="H1201" s="28">
        <f t="shared" si="381"/>
        <v>46147</v>
      </c>
      <c r="I1201" s="28">
        <f t="shared" si="382"/>
        <v>46154</v>
      </c>
      <c r="J1201" s="28">
        <v>46164</v>
      </c>
      <c r="K1201" s="1">
        <f t="shared" si="376"/>
        <v>25</v>
      </c>
      <c r="L1201" s="1">
        <v>14.35</v>
      </c>
      <c r="M1201" s="1">
        <v>12.61</v>
      </c>
      <c r="N1201" s="1">
        <v>1.7400000000000002</v>
      </c>
      <c r="O1201" s="1" t="s">
        <v>379</v>
      </c>
    </row>
    <row r="1202" spans="1:15" x14ac:dyDescent="0.25">
      <c r="A1202" s="28">
        <v>46139</v>
      </c>
      <c r="B1202" s="1" t="s">
        <v>196</v>
      </c>
      <c r="C1202" s="1" t="str">
        <f>VLOOKUP(B1202,'[1]Migrasi Bed'!$B$4:$E$521,4,0)</f>
        <v>SV.H013</v>
      </c>
      <c r="D1202" s="28">
        <f t="shared" si="377"/>
        <v>46162</v>
      </c>
      <c r="E1202" s="28">
        <f t="shared" si="378"/>
        <v>46146</v>
      </c>
      <c r="F1202" s="28">
        <f t="shared" si="379"/>
        <v>46153</v>
      </c>
      <c r="G1202" s="28">
        <f t="shared" si="380"/>
        <v>46159</v>
      </c>
      <c r="H1202" s="28">
        <f t="shared" si="381"/>
        <v>46147</v>
      </c>
      <c r="I1202" s="28">
        <f t="shared" si="382"/>
        <v>46154</v>
      </c>
      <c r="J1202" s="28">
        <v>46164</v>
      </c>
      <c r="K1202" s="1">
        <f t="shared" si="376"/>
        <v>25</v>
      </c>
      <c r="L1202" s="1">
        <v>12.09</v>
      </c>
      <c r="M1202" s="1">
        <v>10.19</v>
      </c>
      <c r="N1202" s="1">
        <v>1.9000000000000004</v>
      </c>
      <c r="O1202" s="1" t="s">
        <v>379</v>
      </c>
    </row>
    <row r="1203" spans="1:15" x14ac:dyDescent="0.25">
      <c r="A1203" s="28">
        <v>46139</v>
      </c>
      <c r="B1203" s="1" t="s">
        <v>197</v>
      </c>
      <c r="C1203" s="1" t="str">
        <f>VLOOKUP(B1203,'[1]Migrasi Bed'!$B$4:$E$521,4,0)</f>
        <v>SV.H014</v>
      </c>
      <c r="D1203" s="28">
        <f t="shared" si="377"/>
        <v>46162</v>
      </c>
      <c r="E1203" s="28">
        <f t="shared" si="378"/>
        <v>46146</v>
      </c>
      <c r="F1203" s="28">
        <f t="shared" si="379"/>
        <v>46153</v>
      </c>
      <c r="G1203" s="28">
        <f t="shared" si="380"/>
        <v>46159</v>
      </c>
      <c r="H1203" s="28">
        <f t="shared" si="381"/>
        <v>46147</v>
      </c>
      <c r="I1203" s="28">
        <f t="shared" si="382"/>
        <v>46154</v>
      </c>
      <c r="J1203" s="28">
        <v>46164</v>
      </c>
      <c r="K1203" s="1">
        <f t="shared" si="376"/>
        <v>25</v>
      </c>
      <c r="L1203" s="1">
        <v>13.16</v>
      </c>
      <c r="M1203" s="1">
        <v>11.33</v>
      </c>
      <c r="N1203" s="1">
        <v>1.83</v>
      </c>
      <c r="O1203" s="1" t="s">
        <v>379</v>
      </c>
    </row>
    <row r="1204" spans="1:15" x14ac:dyDescent="0.25">
      <c r="A1204" s="28">
        <v>46139</v>
      </c>
      <c r="B1204" s="1" t="s">
        <v>198</v>
      </c>
      <c r="C1204" s="1" t="str">
        <f>VLOOKUP(B1204,'[1]Migrasi Bed'!$B$4:$E$521,4,0)</f>
        <v>SV.H015</v>
      </c>
      <c r="D1204" s="28">
        <f t="shared" si="377"/>
        <v>46162</v>
      </c>
      <c r="E1204" s="28">
        <f t="shared" si="378"/>
        <v>46146</v>
      </c>
      <c r="F1204" s="28">
        <f t="shared" si="379"/>
        <v>46153</v>
      </c>
      <c r="G1204" s="28">
        <f t="shared" si="380"/>
        <v>46159</v>
      </c>
      <c r="H1204" s="28">
        <f t="shared" si="381"/>
        <v>46147</v>
      </c>
      <c r="I1204" s="28">
        <f t="shared" si="382"/>
        <v>46154</v>
      </c>
      <c r="J1204" s="28">
        <v>46164</v>
      </c>
      <c r="K1204" s="1">
        <f t="shared" si="376"/>
        <v>25</v>
      </c>
      <c r="L1204" s="1">
        <v>12.57</v>
      </c>
      <c r="M1204" s="1">
        <v>10.78</v>
      </c>
      <c r="N1204" s="1">
        <v>1.7900000000000009</v>
      </c>
      <c r="O1204" s="1" t="s">
        <v>379</v>
      </c>
    </row>
    <row r="1205" spans="1:15" x14ac:dyDescent="0.25">
      <c r="A1205" s="28">
        <v>46139</v>
      </c>
      <c r="B1205" s="1" t="s">
        <v>199</v>
      </c>
      <c r="C1205" s="1" t="str">
        <f>VLOOKUP(B1205,'[1]Migrasi Bed'!$B$4:$E$521,4,0)</f>
        <v>SV.H016</v>
      </c>
      <c r="D1205" s="28">
        <f t="shared" si="377"/>
        <v>46162</v>
      </c>
      <c r="E1205" s="28">
        <f t="shared" si="378"/>
        <v>46146</v>
      </c>
      <c r="F1205" s="28">
        <f t="shared" si="379"/>
        <v>46153</v>
      </c>
      <c r="G1205" s="28">
        <f t="shared" si="380"/>
        <v>46159</v>
      </c>
      <c r="H1205" s="28">
        <f t="shared" si="381"/>
        <v>46147</v>
      </c>
      <c r="I1205" s="28">
        <f t="shared" si="382"/>
        <v>46154</v>
      </c>
      <c r="J1205" s="28">
        <v>46164</v>
      </c>
      <c r="K1205" s="1">
        <f t="shared" si="376"/>
        <v>25</v>
      </c>
      <c r="L1205" s="1">
        <v>12.36</v>
      </c>
      <c r="M1205" s="1">
        <v>10.58</v>
      </c>
      <c r="N1205" s="1">
        <v>1.7799999999999994</v>
      </c>
      <c r="O1205" s="1" t="s">
        <v>379</v>
      </c>
    </row>
    <row r="1206" spans="1:15" x14ac:dyDescent="0.25">
      <c r="A1206" s="28">
        <v>46139</v>
      </c>
      <c r="B1206" s="1" t="s">
        <v>200</v>
      </c>
      <c r="C1206" s="1" t="str">
        <f>VLOOKUP(B1206,'[1]Migrasi Bed'!$B$4:$E$521,4,0)</f>
        <v>SV.H017</v>
      </c>
      <c r="D1206" s="28">
        <f t="shared" si="377"/>
        <v>46162</v>
      </c>
      <c r="E1206" s="28">
        <f t="shared" si="378"/>
        <v>46146</v>
      </c>
      <c r="F1206" s="28">
        <f t="shared" si="379"/>
        <v>46153</v>
      </c>
      <c r="G1206" s="28">
        <f t="shared" si="380"/>
        <v>46159</v>
      </c>
      <c r="H1206" s="28">
        <f t="shared" si="381"/>
        <v>46147</v>
      </c>
      <c r="I1206" s="28">
        <f t="shared" si="382"/>
        <v>46154</v>
      </c>
      <c r="J1206" s="28">
        <v>46164</v>
      </c>
      <c r="K1206" s="1">
        <f t="shared" si="376"/>
        <v>25</v>
      </c>
      <c r="L1206" s="1">
        <v>13.42</v>
      </c>
      <c r="M1206" s="1">
        <v>11.26</v>
      </c>
      <c r="N1206" s="1">
        <v>2.16</v>
      </c>
      <c r="O1206" s="1" t="s">
        <v>379</v>
      </c>
    </row>
    <row r="1207" spans="1:15" x14ac:dyDescent="0.25">
      <c r="A1207" s="28">
        <v>46139</v>
      </c>
      <c r="B1207" s="1" t="s">
        <v>201</v>
      </c>
      <c r="C1207" s="1" t="str">
        <f>VLOOKUP(B1207,'[1]Migrasi Bed'!$B$4:$E$521,4,0)</f>
        <v>SV.H018</v>
      </c>
      <c r="D1207" s="28">
        <f t="shared" si="377"/>
        <v>46162</v>
      </c>
      <c r="E1207" s="28">
        <f t="shared" si="378"/>
        <v>46146</v>
      </c>
      <c r="F1207" s="28">
        <f t="shared" si="379"/>
        <v>46153</v>
      </c>
      <c r="G1207" s="28">
        <f t="shared" si="380"/>
        <v>46159</v>
      </c>
      <c r="H1207" s="28">
        <f t="shared" si="381"/>
        <v>46147</v>
      </c>
      <c r="I1207" s="28">
        <f t="shared" si="382"/>
        <v>46154</v>
      </c>
      <c r="J1207" s="28">
        <v>46163</v>
      </c>
      <c r="K1207" s="1">
        <f t="shared" si="376"/>
        <v>24</v>
      </c>
      <c r="L1207" s="1">
        <v>15.25</v>
      </c>
      <c r="M1207" s="1">
        <v>13.1</v>
      </c>
      <c r="N1207" s="1">
        <v>2.1500000000000004</v>
      </c>
      <c r="O1207" s="1" t="s">
        <v>379</v>
      </c>
    </row>
    <row r="1208" spans="1:15" x14ac:dyDescent="0.25">
      <c r="A1208" s="28">
        <v>46139</v>
      </c>
      <c r="B1208" s="1" t="s">
        <v>202</v>
      </c>
      <c r="C1208" s="1" t="str">
        <f>VLOOKUP(B1208,'[1]Migrasi Bed'!$B$4:$E$521,4,0)</f>
        <v>SV.H019</v>
      </c>
      <c r="D1208" s="28">
        <f t="shared" si="377"/>
        <v>46162</v>
      </c>
      <c r="E1208" s="28">
        <f t="shared" si="378"/>
        <v>46146</v>
      </c>
      <c r="F1208" s="28">
        <f t="shared" si="379"/>
        <v>46153</v>
      </c>
      <c r="G1208" s="28">
        <f t="shared" si="380"/>
        <v>46159</v>
      </c>
      <c r="H1208" s="28">
        <f t="shared" si="381"/>
        <v>46147</v>
      </c>
      <c r="I1208" s="28">
        <f t="shared" si="382"/>
        <v>46154</v>
      </c>
      <c r="J1208" s="28">
        <v>46163</v>
      </c>
      <c r="K1208" s="1">
        <f t="shared" si="376"/>
        <v>24</v>
      </c>
      <c r="L1208" s="1">
        <v>14.56</v>
      </c>
      <c r="M1208" s="1">
        <v>12.55</v>
      </c>
      <c r="N1208" s="1">
        <v>2.0099999999999998</v>
      </c>
      <c r="O1208" s="1" t="s">
        <v>379</v>
      </c>
    </row>
    <row r="1209" spans="1:15" x14ac:dyDescent="0.25">
      <c r="A1209" s="28">
        <v>46139</v>
      </c>
      <c r="B1209" s="1" t="s">
        <v>203</v>
      </c>
      <c r="C1209" s="1" t="str">
        <f>VLOOKUP(B1209,'[1]Migrasi Bed'!$B$4:$E$521,4,0)</f>
        <v>SV.H020</v>
      </c>
      <c r="D1209" s="28">
        <f t="shared" si="377"/>
        <v>46162</v>
      </c>
      <c r="E1209" s="28">
        <f t="shared" si="378"/>
        <v>46146</v>
      </c>
      <c r="F1209" s="28">
        <f t="shared" si="379"/>
        <v>46153</v>
      </c>
      <c r="G1209" s="28">
        <f t="shared" si="380"/>
        <v>46159</v>
      </c>
      <c r="H1209" s="28">
        <f t="shared" si="381"/>
        <v>46147</v>
      </c>
      <c r="I1209" s="28">
        <f t="shared" si="382"/>
        <v>46154</v>
      </c>
      <c r="J1209" s="28">
        <v>46163</v>
      </c>
      <c r="K1209" s="1">
        <f t="shared" si="376"/>
        <v>24</v>
      </c>
      <c r="L1209" s="1">
        <v>14.61</v>
      </c>
      <c r="M1209" s="1">
        <v>12.53</v>
      </c>
      <c r="N1209" s="1">
        <v>2.08</v>
      </c>
      <c r="O1209" s="1" t="s">
        <v>379</v>
      </c>
    </row>
    <row r="1210" spans="1:15" x14ac:dyDescent="0.25">
      <c r="A1210" s="28">
        <v>46140</v>
      </c>
      <c r="B1210" s="1" t="s">
        <v>250</v>
      </c>
      <c r="C1210" s="1" t="str">
        <f>VLOOKUP(B1210,'[1]Migrasi Bed'!$B$4:$E$521,4,0)</f>
        <v>SV.B017</v>
      </c>
      <c r="D1210" s="28">
        <f t="shared" si="377"/>
        <v>46163</v>
      </c>
      <c r="E1210" s="28">
        <f t="shared" si="378"/>
        <v>46147</v>
      </c>
      <c r="F1210" s="28">
        <f t="shared" si="379"/>
        <v>46154</v>
      </c>
      <c r="G1210" s="28">
        <f t="shared" si="380"/>
        <v>46160</v>
      </c>
      <c r="H1210" s="28">
        <f t="shared" si="381"/>
        <v>46148</v>
      </c>
      <c r="I1210" s="28">
        <f t="shared" si="382"/>
        <v>46155</v>
      </c>
      <c r="J1210" s="28">
        <v>46166</v>
      </c>
      <c r="K1210" s="1">
        <f t="shared" si="376"/>
        <v>26</v>
      </c>
      <c r="L1210" s="1">
        <v>14.35</v>
      </c>
      <c r="M1210" s="1">
        <v>12.21</v>
      </c>
      <c r="N1210" s="1">
        <v>2.1399999999999988</v>
      </c>
      <c r="O1210" s="1" t="s">
        <v>379</v>
      </c>
    </row>
    <row r="1211" spans="1:15" x14ac:dyDescent="0.25">
      <c r="A1211" s="28">
        <v>46140</v>
      </c>
      <c r="B1211" s="1" t="s">
        <v>251</v>
      </c>
      <c r="C1211" s="1" t="str">
        <f>VLOOKUP(B1211,'[1]Migrasi Bed'!$B$4:$E$521,4,0)</f>
        <v>SV.B018</v>
      </c>
      <c r="D1211" s="28">
        <f t="shared" si="377"/>
        <v>46163</v>
      </c>
      <c r="E1211" s="28">
        <f t="shared" si="378"/>
        <v>46147</v>
      </c>
      <c r="F1211" s="28">
        <f t="shared" si="379"/>
        <v>46154</v>
      </c>
      <c r="G1211" s="28">
        <f t="shared" si="380"/>
        <v>46160</v>
      </c>
      <c r="H1211" s="28">
        <f t="shared" si="381"/>
        <v>46148</v>
      </c>
      <c r="I1211" s="28">
        <f t="shared" si="382"/>
        <v>46155</v>
      </c>
      <c r="J1211" s="28">
        <v>46165</v>
      </c>
      <c r="K1211" s="1">
        <f t="shared" si="376"/>
        <v>25</v>
      </c>
      <c r="L1211" s="1">
        <v>13.42</v>
      </c>
      <c r="M1211" s="1">
        <v>11.73</v>
      </c>
      <c r="N1211" s="1">
        <v>1.6899999999999995</v>
      </c>
      <c r="O1211" s="1" t="s">
        <v>379</v>
      </c>
    </row>
    <row r="1212" spans="1:15" x14ac:dyDescent="0.25">
      <c r="A1212" s="28">
        <v>46140</v>
      </c>
      <c r="B1212" s="1" t="s">
        <v>252</v>
      </c>
      <c r="C1212" s="1" t="str">
        <f>VLOOKUP(B1212,'[1]Migrasi Bed'!$B$4:$E$521,4,0)</f>
        <v>SV.B019</v>
      </c>
      <c r="D1212" s="28">
        <f t="shared" si="377"/>
        <v>46163</v>
      </c>
      <c r="E1212" s="28">
        <f t="shared" si="378"/>
        <v>46147</v>
      </c>
      <c r="F1212" s="28">
        <f t="shared" si="379"/>
        <v>46154</v>
      </c>
      <c r="G1212" s="28">
        <f t="shared" si="380"/>
        <v>46160</v>
      </c>
      <c r="H1212" s="28">
        <f t="shared" si="381"/>
        <v>46148</v>
      </c>
      <c r="I1212" s="28">
        <f t="shared" si="382"/>
        <v>46155</v>
      </c>
      <c r="J1212" s="28">
        <v>46165</v>
      </c>
      <c r="K1212" s="1">
        <f t="shared" si="376"/>
        <v>25</v>
      </c>
      <c r="L1212" s="1">
        <v>14.29</v>
      </c>
      <c r="M1212" s="1">
        <v>12.61</v>
      </c>
      <c r="N1212" s="1">
        <v>1.6799999999999997</v>
      </c>
      <c r="O1212" s="1" t="s">
        <v>379</v>
      </c>
    </row>
    <row r="1213" spans="1:15" x14ac:dyDescent="0.25">
      <c r="A1213" s="28">
        <v>46140</v>
      </c>
      <c r="B1213" s="1" t="s">
        <v>253</v>
      </c>
      <c r="C1213" s="1" t="str">
        <f>VLOOKUP(B1213,'[1]Migrasi Bed'!$B$4:$E$521,4,0)</f>
        <v>SV.B020</v>
      </c>
      <c r="D1213" s="28">
        <f t="shared" si="377"/>
        <v>46163</v>
      </c>
      <c r="E1213" s="28">
        <f t="shared" si="378"/>
        <v>46147</v>
      </c>
      <c r="F1213" s="28">
        <f t="shared" si="379"/>
        <v>46154</v>
      </c>
      <c r="G1213" s="28">
        <f t="shared" si="380"/>
        <v>46160</v>
      </c>
      <c r="H1213" s="28">
        <f t="shared" si="381"/>
        <v>46148</v>
      </c>
      <c r="I1213" s="28">
        <f t="shared" si="382"/>
        <v>46155</v>
      </c>
      <c r="J1213" s="28">
        <v>46165</v>
      </c>
      <c r="K1213" s="1">
        <f t="shared" si="376"/>
        <v>25</v>
      </c>
      <c r="L1213" s="1">
        <v>13.98</v>
      </c>
      <c r="M1213" s="1">
        <v>12.15</v>
      </c>
      <c r="N1213" s="1">
        <v>1.83</v>
      </c>
      <c r="O1213" s="1" t="s">
        <v>379</v>
      </c>
    </row>
    <row r="1214" spans="1:15" x14ac:dyDescent="0.25">
      <c r="A1214" s="28">
        <v>46140</v>
      </c>
      <c r="B1214" s="1" t="s">
        <v>254</v>
      </c>
      <c r="C1214" s="1" t="str">
        <f>VLOOKUP(B1214,'[1]Migrasi Bed'!$B$4:$E$521,4,0)</f>
        <v>SV.B021</v>
      </c>
      <c r="D1214" s="28">
        <f t="shared" si="377"/>
        <v>46163</v>
      </c>
      <c r="E1214" s="28">
        <f t="shared" si="378"/>
        <v>46147</v>
      </c>
      <c r="F1214" s="28">
        <f t="shared" si="379"/>
        <v>46154</v>
      </c>
      <c r="G1214" s="28">
        <f t="shared" si="380"/>
        <v>46160</v>
      </c>
      <c r="H1214" s="28">
        <f t="shared" si="381"/>
        <v>46148</v>
      </c>
      <c r="I1214" s="28">
        <f t="shared" si="382"/>
        <v>46155</v>
      </c>
      <c r="J1214" s="28">
        <v>46165</v>
      </c>
      <c r="K1214" s="1">
        <f t="shared" si="376"/>
        <v>25</v>
      </c>
      <c r="L1214" s="1">
        <v>18.190000000000001</v>
      </c>
      <c r="M1214" s="1">
        <v>11.35</v>
      </c>
      <c r="N1214" s="1">
        <v>6.8400000000000016</v>
      </c>
      <c r="O1214" s="1" t="s">
        <v>379</v>
      </c>
    </row>
    <row r="1215" spans="1:15" x14ac:dyDescent="0.25">
      <c r="A1215" s="28">
        <v>46140</v>
      </c>
      <c r="B1215" s="1" t="s">
        <v>255</v>
      </c>
      <c r="C1215" s="1" t="str">
        <f>VLOOKUP(B1215,'[1]Migrasi Bed'!$B$4:$E$521,4,0)</f>
        <v>SV.B022</v>
      </c>
      <c r="D1215" s="28">
        <f t="shared" si="377"/>
        <v>46163</v>
      </c>
      <c r="E1215" s="28">
        <f t="shared" si="378"/>
        <v>46147</v>
      </c>
      <c r="F1215" s="28">
        <f t="shared" si="379"/>
        <v>46154</v>
      </c>
      <c r="G1215" s="28">
        <f t="shared" si="380"/>
        <v>46160</v>
      </c>
      <c r="H1215" s="28">
        <f t="shared" si="381"/>
        <v>46148</v>
      </c>
      <c r="I1215" s="28">
        <f t="shared" si="382"/>
        <v>46155</v>
      </c>
      <c r="J1215" s="28">
        <v>46165</v>
      </c>
      <c r="K1215" s="1">
        <f t="shared" si="376"/>
        <v>25</v>
      </c>
      <c r="L1215" s="1">
        <v>14.25</v>
      </c>
      <c r="M1215" s="1">
        <v>12.47</v>
      </c>
      <c r="N1215" s="1">
        <v>1.7799999999999994</v>
      </c>
      <c r="O1215" s="1" t="s">
        <v>379</v>
      </c>
    </row>
    <row r="1216" spans="1:15" x14ac:dyDescent="0.25">
      <c r="A1216" s="28">
        <v>46140</v>
      </c>
      <c r="B1216" s="1" t="s">
        <v>256</v>
      </c>
      <c r="C1216" s="1" t="str">
        <f>VLOOKUP(B1216,'[1]Migrasi Bed'!$B$4:$E$521,4,0)</f>
        <v>SV.B023</v>
      </c>
      <c r="D1216" s="28">
        <f t="shared" si="377"/>
        <v>46163</v>
      </c>
      <c r="E1216" s="28">
        <f t="shared" si="378"/>
        <v>46147</v>
      </c>
      <c r="F1216" s="28">
        <f t="shared" si="379"/>
        <v>46154</v>
      </c>
      <c r="G1216" s="28">
        <f t="shared" si="380"/>
        <v>46160</v>
      </c>
      <c r="H1216" s="28">
        <f t="shared" si="381"/>
        <v>46148</v>
      </c>
      <c r="I1216" s="28">
        <f t="shared" si="382"/>
        <v>46155</v>
      </c>
      <c r="J1216" s="28">
        <v>46165</v>
      </c>
      <c r="K1216" s="1">
        <f t="shared" si="376"/>
        <v>25</v>
      </c>
      <c r="L1216" s="1">
        <v>13.16</v>
      </c>
      <c r="M1216" s="1">
        <v>11.27</v>
      </c>
      <c r="N1216" s="1">
        <v>1.8900000000000006</v>
      </c>
      <c r="O1216" s="1" t="s">
        <v>379</v>
      </c>
    </row>
    <row r="1217" spans="1:15" x14ac:dyDescent="0.25">
      <c r="A1217" s="28">
        <v>46141</v>
      </c>
      <c r="B1217" s="1" t="s">
        <v>227</v>
      </c>
      <c r="C1217" s="1" t="str">
        <f>VLOOKUP(B1217,'[1]Migrasi Bed'!$B$4:$E$521,4,0)</f>
        <v>SV.A024</v>
      </c>
      <c r="D1217" s="28">
        <f t="shared" si="377"/>
        <v>46164</v>
      </c>
      <c r="E1217" s="28">
        <f t="shared" si="378"/>
        <v>46148</v>
      </c>
      <c r="F1217" s="28">
        <f t="shared" si="379"/>
        <v>46155</v>
      </c>
      <c r="G1217" s="28">
        <f t="shared" si="380"/>
        <v>46161</v>
      </c>
      <c r="H1217" s="28">
        <f t="shared" si="381"/>
        <v>46149</v>
      </c>
      <c r="I1217" s="28">
        <f t="shared" si="382"/>
        <v>46156</v>
      </c>
      <c r="J1217" s="28">
        <v>46166</v>
      </c>
      <c r="K1217" s="1">
        <f t="shared" si="376"/>
        <v>25</v>
      </c>
      <c r="L1217" s="1">
        <v>12.43</v>
      </c>
      <c r="M1217" s="1">
        <v>10.58</v>
      </c>
      <c r="N1217" s="1">
        <v>1.8499999999999996</v>
      </c>
      <c r="O1217" s="1" t="s">
        <v>379</v>
      </c>
    </row>
    <row r="1218" spans="1:15" x14ac:dyDescent="0.25">
      <c r="A1218" s="28">
        <v>46141</v>
      </c>
      <c r="B1218" s="1" t="s">
        <v>228</v>
      </c>
      <c r="C1218" s="1" t="str">
        <f>VLOOKUP(B1218,'[1]Migrasi Bed'!$B$4:$E$521,4,0)</f>
        <v>SV.A025</v>
      </c>
      <c r="D1218" s="28">
        <f t="shared" si="377"/>
        <v>46164</v>
      </c>
      <c r="E1218" s="28">
        <f t="shared" si="378"/>
        <v>46148</v>
      </c>
      <c r="F1218" s="28">
        <f t="shared" si="379"/>
        <v>46155</v>
      </c>
      <c r="G1218" s="28">
        <f t="shared" si="380"/>
        <v>46161</v>
      </c>
      <c r="H1218" s="28">
        <f t="shared" si="381"/>
        <v>46149</v>
      </c>
      <c r="I1218" s="28">
        <f t="shared" si="382"/>
        <v>46156</v>
      </c>
      <c r="J1218" s="28">
        <v>46166</v>
      </c>
      <c r="K1218" s="1">
        <f t="shared" si="376"/>
        <v>25</v>
      </c>
      <c r="L1218" s="1">
        <v>13.16</v>
      </c>
      <c r="M1218" s="1">
        <v>11.42</v>
      </c>
      <c r="N1218" s="1">
        <v>1.7400000000000002</v>
      </c>
      <c r="O1218" s="1" t="s">
        <v>379</v>
      </c>
    </row>
    <row r="1219" spans="1:15" x14ac:dyDescent="0.25">
      <c r="A1219" s="28">
        <v>46141</v>
      </c>
      <c r="B1219" s="1" t="s">
        <v>229</v>
      </c>
      <c r="C1219" s="1" t="str">
        <f>VLOOKUP(B1219,'[1]Migrasi Bed'!$B$4:$E$521,4,0)</f>
        <v>SV.A026</v>
      </c>
      <c r="D1219" s="28">
        <f t="shared" si="377"/>
        <v>46164</v>
      </c>
      <c r="E1219" s="28">
        <f t="shared" si="378"/>
        <v>46148</v>
      </c>
      <c r="F1219" s="28">
        <f t="shared" si="379"/>
        <v>46155</v>
      </c>
      <c r="G1219" s="28">
        <f t="shared" si="380"/>
        <v>46161</v>
      </c>
      <c r="H1219" s="28">
        <f t="shared" si="381"/>
        <v>46149</v>
      </c>
      <c r="I1219" s="28">
        <f t="shared" si="382"/>
        <v>46156</v>
      </c>
      <c r="J1219" s="28">
        <v>46166</v>
      </c>
      <c r="K1219" s="1">
        <f t="shared" si="376"/>
        <v>25</v>
      </c>
      <c r="L1219" s="1">
        <v>12.38</v>
      </c>
      <c r="M1219" s="1">
        <v>10.57</v>
      </c>
      <c r="N1219" s="1">
        <v>1.8100000000000005</v>
      </c>
      <c r="O1219" s="1" t="s">
        <v>379</v>
      </c>
    </row>
    <row r="1220" spans="1:15" x14ac:dyDescent="0.25">
      <c r="A1220" s="28">
        <v>46141</v>
      </c>
      <c r="B1220" s="1" t="s">
        <v>230</v>
      </c>
      <c r="C1220" s="1" t="str">
        <f>VLOOKUP(B1220,'[1]Migrasi Bed'!$B$4:$E$521,4,0)</f>
        <v>SV.A027</v>
      </c>
      <c r="D1220" s="28">
        <f t="shared" si="377"/>
        <v>46164</v>
      </c>
      <c r="E1220" s="28">
        <f t="shared" si="378"/>
        <v>46148</v>
      </c>
      <c r="F1220" s="28">
        <f t="shared" si="379"/>
        <v>46155</v>
      </c>
      <c r="G1220" s="28">
        <f t="shared" si="380"/>
        <v>46161</v>
      </c>
      <c r="H1220" s="28">
        <f t="shared" si="381"/>
        <v>46149</v>
      </c>
      <c r="I1220" s="28">
        <f t="shared" si="382"/>
        <v>46156</v>
      </c>
      <c r="J1220" s="28">
        <v>46166</v>
      </c>
      <c r="K1220" s="1">
        <f t="shared" si="376"/>
        <v>25</v>
      </c>
      <c r="L1220" s="1">
        <v>13.12</v>
      </c>
      <c r="M1220" s="1">
        <v>11.32</v>
      </c>
      <c r="N1220" s="1">
        <v>1.7999999999999989</v>
      </c>
      <c r="O1220" s="1" t="s">
        <v>379</v>
      </c>
    </row>
    <row r="1221" spans="1:15" x14ac:dyDescent="0.25">
      <c r="A1221" s="28">
        <v>46141</v>
      </c>
      <c r="B1221" s="1" t="s">
        <v>231</v>
      </c>
      <c r="C1221" s="1" t="str">
        <f>VLOOKUP(B1221,'[1]Migrasi Bed'!$B$4:$E$521,4,0)</f>
        <v>SV.A028</v>
      </c>
      <c r="D1221" s="28">
        <f t="shared" si="377"/>
        <v>46164</v>
      </c>
      <c r="E1221" s="28">
        <f t="shared" si="378"/>
        <v>46148</v>
      </c>
      <c r="F1221" s="28">
        <f t="shared" si="379"/>
        <v>46155</v>
      </c>
      <c r="G1221" s="28">
        <f t="shared" si="380"/>
        <v>46161</v>
      </c>
      <c r="H1221" s="28">
        <f t="shared" si="381"/>
        <v>46149</v>
      </c>
      <c r="I1221" s="28">
        <f t="shared" si="382"/>
        <v>46156</v>
      </c>
      <c r="J1221" s="28">
        <v>46167</v>
      </c>
      <c r="K1221" s="1">
        <f t="shared" si="376"/>
        <v>26</v>
      </c>
      <c r="L1221" s="1">
        <v>13.19</v>
      </c>
      <c r="M1221" s="1">
        <v>11.25</v>
      </c>
      <c r="N1221" s="1">
        <v>1.9399999999999995</v>
      </c>
      <c r="O1221" s="1" t="s">
        <v>379</v>
      </c>
    </row>
    <row r="1222" spans="1:15" x14ac:dyDescent="0.25">
      <c r="A1222" s="28">
        <v>46141</v>
      </c>
      <c r="B1222" s="1" t="s">
        <v>232</v>
      </c>
      <c r="C1222" s="1" t="str">
        <f>VLOOKUP(B1222,'[1]Migrasi Bed'!$B$4:$E$521,4,0)</f>
        <v>SV.A029</v>
      </c>
      <c r="D1222" s="28">
        <f t="shared" si="377"/>
        <v>46164</v>
      </c>
      <c r="E1222" s="28">
        <f t="shared" si="378"/>
        <v>46148</v>
      </c>
      <c r="F1222" s="28">
        <f t="shared" si="379"/>
        <v>46155</v>
      </c>
      <c r="G1222" s="28">
        <f t="shared" si="380"/>
        <v>46161</v>
      </c>
      <c r="H1222" s="28">
        <f t="shared" si="381"/>
        <v>46149</v>
      </c>
      <c r="I1222" s="28">
        <f t="shared" si="382"/>
        <v>46156</v>
      </c>
      <c r="J1222" s="28">
        <v>46167</v>
      </c>
      <c r="K1222" s="1">
        <f t="shared" si="376"/>
        <v>26</v>
      </c>
      <c r="L1222" s="1">
        <v>12.05</v>
      </c>
      <c r="M1222" s="1">
        <v>10.23</v>
      </c>
      <c r="N1222" s="1">
        <v>1.8200000000000003</v>
      </c>
      <c r="O1222" s="1" t="s">
        <v>379</v>
      </c>
    </row>
    <row r="1223" spans="1:15" x14ac:dyDescent="0.25">
      <c r="A1223" s="28">
        <v>46141</v>
      </c>
      <c r="B1223" s="1" t="s">
        <v>233</v>
      </c>
      <c r="C1223" s="1" t="str">
        <f>VLOOKUP(B1223,'[1]Migrasi Bed'!$B$4:$E$521,4,0)</f>
        <v>SV.A030</v>
      </c>
      <c r="D1223" s="28">
        <f t="shared" si="377"/>
        <v>46164</v>
      </c>
      <c r="E1223" s="28">
        <f t="shared" si="378"/>
        <v>46148</v>
      </c>
      <c r="F1223" s="28">
        <f t="shared" si="379"/>
        <v>46155</v>
      </c>
      <c r="G1223" s="28">
        <f t="shared" si="380"/>
        <v>46161</v>
      </c>
      <c r="H1223" s="28">
        <f t="shared" si="381"/>
        <v>46149</v>
      </c>
      <c r="I1223" s="28">
        <f t="shared" si="382"/>
        <v>46156</v>
      </c>
      <c r="J1223" s="28">
        <v>46167</v>
      </c>
      <c r="K1223" s="1">
        <f t="shared" si="376"/>
        <v>26</v>
      </c>
      <c r="L1223" s="1">
        <v>14.13</v>
      </c>
      <c r="M1223" s="1">
        <v>12.47</v>
      </c>
      <c r="N1223" s="1">
        <v>1.6600000000000001</v>
      </c>
      <c r="O1223" s="1" t="s">
        <v>379</v>
      </c>
    </row>
    <row r="1224" spans="1:15" x14ac:dyDescent="0.25">
      <c r="A1224" s="28">
        <v>46142</v>
      </c>
      <c r="B1224" s="1" t="s">
        <v>250</v>
      </c>
      <c r="C1224" s="1" t="str">
        <f>VLOOKUP(B1224,'[1]Migrasi Bed'!$B$4:$E$521,4,0)</f>
        <v>SV.B017</v>
      </c>
      <c r="D1224" s="28">
        <f t="shared" si="377"/>
        <v>46165</v>
      </c>
      <c r="E1224" s="28">
        <f t="shared" si="378"/>
        <v>46149</v>
      </c>
      <c r="F1224" s="28">
        <f t="shared" si="379"/>
        <v>46156</v>
      </c>
      <c r="G1224" s="28">
        <f t="shared" si="380"/>
        <v>46162</v>
      </c>
      <c r="H1224" s="28">
        <f t="shared" si="381"/>
        <v>46150</v>
      </c>
      <c r="I1224" s="28">
        <f t="shared" si="382"/>
        <v>46157</v>
      </c>
      <c r="J1224" s="28">
        <v>46166</v>
      </c>
      <c r="K1224" s="1">
        <f t="shared" si="376"/>
        <v>24</v>
      </c>
      <c r="L1224" s="1">
        <v>14.35</v>
      </c>
      <c r="M1224" s="1">
        <v>12.21</v>
      </c>
      <c r="N1224" s="1">
        <v>2.1399999999999988</v>
      </c>
      <c r="O1224" s="1" t="s">
        <v>379</v>
      </c>
    </row>
    <row r="1225" spans="1:15" x14ac:dyDescent="0.25">
      <c r="A1225" s="28">
        <v>46142</v>
      </c>
      <c r="B1225" s="1" t="s">
        <v>251</v>
      </c>
      <c r="C1225" s="1" t="str">
        <f>VLOOKUP(B1225,'[1]Migrasi Bed'!$B$4:$E$521,4,0)</f>
        <v>SV.B018</v>
      </c>
      <c r="D1225" s="28">
        <f t="shared" si="377"/>
        <v>46165</v>
      </c>
      <c r="E1225" s="28">
        <f t="shared" si="378"/>
        <v>46149</v>
      </c>
      <c r="F1225" s="28">
        <f t="shared" si="379"/>
        <v>46156</v>
      </c>
      <c r="G1225" s="28">
        <f t="shared" si="380"/>
        <v>46162</v>
      </c>
      <c r="H1225" s="28">
        <f t="shared" si="381"/>
        <v>46150</v>
      </c>
      <c r="I1225" s="28">
        <f t="shared" si="382"/>
        <v>46157</v>
      </c>
      <c r="J1225" s="28">
        <v>46165</v>
      </c>
      <c r="K1225" s="1">
        <f t="shared" si="376"/>
        <v>23</v>
      </c>
      <c r="L1225" s="1">
        <v>13.42</v>
      </c>
      <c r="M1225" s="1">
        <v>11.75</v>
      </c>
      <c r="N1225" s="1">
        <v>1.67</v>
      </c>
      <c r="O1225" s="1" t="s">
        <v>379</v>
      </c>
    </row>
    <row r="1226" spans="1:15" x14ac:dyDescent="0.25">
      <c r="A1226" s="28">
        <v>46142</v>
      </c>
      <c r="B1226" s="1" t="s">
        <v>252</v>
      </c>
      <c r="C1226" s="1" t="str">
        <f>VLOOKUP(B1226,'[1]Migrasi Bed'!$B$4:$E$521,4,0)</f>
        <v>SV.B019</v>
      </c>
      <c r="D1226" s="28">
        <f t="shared" si="377"/>
        <v>46165</v>
      </c>
      <c r="E1226" s="28">
        <f t="shared" si="378"/>
        <v>46149</v>
      </c>
      <c r="F1226" s="28">
        <f t="shared" si="379"/>
        <v>46156</v>
      </c>
      <c r="G1226" s="28">
        <f t="shared" si="380"/>
        <v>46162</v>
      </c>
      <c r="H1226" s="28">
        <f t="shared" si="381"/>
        <v>46150</v>
      </c>
      <c r="I1226" s="28">
        <f t="shared" si="382"/>
        <v>46157</v>
      </c>
      <c r="J1226" s="28">
        <v>46165</v>
      </c>
      <c r="K1226" s="1">
        <f t="shared" si="376"/>
        <v>23</v>
      </c>
      <c r="L1226" s="1">
        <v>14.29</v>
      </c>
      <c r="M1226" s="1">
        <v>12.61</v>
      </c>
      <c r="N1226" s="1">
        <v>1.6799999999999997</v>
      </c>
      <c r="O1226" s="1" t="s">
        <v>379</v>
      </c>
    </row>
    <row r="1227" spans="1:15" x14ac:dyDescent="0.25">
      <c r="A1227" s="28">
        <v>46142</v>
      </c>
      <c r="B1227" s="1" t="s">
        <v>253</v>
      </c>
      <c r="C1227" s="1" t="str">
        <f>VLOOKUP(B1227,'[1]Migrasi Bed'!$B$4:$E$521,4,0)</f>
        <v>SV.B020</v>
      </c>
      <c r="D1227" s="28">
        <f t="shared" si="377"/>
        <v>46165</v>
      </c>
      <c r="E1227" s="28">
        <f t="shared" si="378"/>
        <v>46149</v>
      </c>
      <c r="F1227" s="28">
        <f t="shared" si="379"/>
        <v>46156</v>
      </c>
      <c r="G1227" s="28">
        <f t="shared" si="380"/>
        <v>46162</v>
      </c>
      <c r="H1227" s="28">
        <f t="shared" si="381"/>
        <v>46150</v>
      </c>
      <c r="I1227" s="28">
        <f t="shared" si="382"/>
        <v>46157</v>
      </c>
      <c r="J1227" s="28">
        <v>46165</v>
      </c>
      <c r="K1227" s="1">
        <f t="shared" si="376"/>
        <v>23</v>
      </c>
      <c r="L1227" s="1">
        <v>13.98</v>
      </c>
      <c r="M1227" s="1">
        <v>11.35</v>
      </c>
      <c r="N1227" s="1">
        <v>2.6300000000000008</v>
      </c>
      <c r="O1227" s="1" t="s">
        <v>379</v>
      </c>
    </row>
    <row r="1228" spans="1:15" x14ac:dyDescent="0.25">
      <c r="A1228" s="28">
        <v>46142</v>
      </c>
      <c r="B1228" s="1" t="s">
        <v>254</v>
      </c>
      <c r="C1228" s="1" t="str">
        <f>VLOOKUP(B1228,'[1]Migrasi Bed'!$B$4:$E$521,4,0)</f>
        <v>SV.B021</v>
      </c>
      <c r="D1228" s="28">
        <f t="shared" si="377"/>
        <v>46165</v>
      </c>
      <c r="E1228" s="28">
        <f t="shared" si="378"/>
        <v>46149</v>
      </c>
      <c r="F1228" s="28">
        <f t="shared" si="379"/>
        <v>46156</v>
      </c>
      <c r="G1228" s="28">
        <f t="shared" si="380"/>
        <v>46162</v>
      </c>
      <c r="H1228" s="28">
        <f t="shared" si="381"/>
        <v>46150</v>
      </c>
      <c r="I1228" s="28">
        <f t="shared" si="382"/>
        <v>46157</v>
      </c>
      <c r="J1228" s="28">
        <v>46165</v>
      </c>
      <c r="K1228" s="1">
        <f t="shared" ref="K1228:K1282" si="383">J1228-A1228</f>
        <v>23</v>
      </c>
      <c r="L1228" s="1">
        <v>13.19</v>
      </c>
      <c r="M1228" s="1">
        <v>12.15</v>
      </c>
      <c r="N1228" s="1">
        <v>1.0399999999999991</v>
      </c>
      <c r="O1228" s="1" t="s">
        <v>379</v>
      </c>
    </row>
    <row r="1229" spans="1:15" x14ac:dyDescent="0.25">
      <c r="A1229" s="28">
        <v>46142</v>
      </c>
      <c r="B1229" s="1" t="s">
        <v>255</v>
      </c>
      <c r="C1229" s="1" t="str">
        <f>VLOOKUP(B1229,'[1]Migrasi Bed'!$B$4:$E$521,4,0)</f>
        <v>SV.B022</v>
      </c>
      <c r="D1229" s="28">
        <f t="shared" si="377"/>
        <v>46165</v>
      </c>
      <c r="E1229" s="28">
        <f t="shared" si="378"/>
        <v>46149</v>
      </c>
      <c r="F1229" s="28">
        <f t="shared" si="379"/>
        <v>46156</v>
      </c>
      <c r="G1229" s="28">
        <f t="shared" si="380"/>
        <v>46162</v>
      </c>
      <c r="H1229" s="28">
        <f t="shared" si="381"/>
        <v>46150</v>
      </c>
      <c r="I1229" s="28">
        <f t="shared" si="382"/>
        <v>46157</v>
      </c>
      <c r="J1229" s="28">
        <v>46165</v>
      </c>
      <c r="K1229" s="1">
        <f t="shared" si="383"/>
        <v>23</v>
      </c>
      <c r="L1229" s="1">
        <v>14.25</v>
      </c>
      <c r="M1229" s="1">
        <v>12.61</v>
      </c>
      <c r="N1229" s="1">
        <v>1.6400000000000006</v>
      </c>
      <c r="O1229" s="1" t="s">
        <v>379</v>
      </c>
    </row>
    <row r="1230" spans="1:15" x14ac:dyDescent="0.25">
      <c r="A1230" s="28">
        <v>46142</v>
      </c>
      <c r="B1230" s="1" t="s">
        <v>256</v>
      </c>
      <c r="C1230" s="1" t="str">
        <f>VLOOKUP(B1230,'[1]Migrasi Bed'!$B$4:$E$521,4,0)</f>
        <v>SV.B023</v>
      </c>
      <c r="D1230" s="28">
        <f t="shared" si="377"/>
        <v>46165</v>
      </c>
      <c r="E1230" s="28">
        <f t="shared" si="378"/>
        <v>46149</v>
      </c>
      <c r="F1230" s="28">
        <f t="shared" si="379"/>
        <v>46156</v>
      </c>
      <c r="G1230" s="28">
        <f t="shared" si="380"/>
        <v>46162</v>
      </c>
      <c r="H1230" s="28">
        <f t="shared" si="381"/>
        <v>46150</v>
      </c>
      <c r="I1230" s="28">
        <f t="shared" si="382"/>
        <v>46157</v>
      </c>
      <c r="J1230" s="28">
        <v>46165</v>
      </c>
      <c r="K1230" s="1">
        <f t="shared" si="383"/>
        <v>23</v>
      </c>
      <c r="L1230" s="1">
        <v>13.16</v>
      </c>
      <c r="M1230" s="1">
        <v>11.75</v>
      </c>
      <c r="N1230" s="1">
        <v>1.4100000000000001</v>
      </c>
      <c r="O1230" s="1" t="s">
        <v>379</v>
      </c>
    </row>
    <row r="1231" spans="1:15" x14ac:dyDescent="0.25">
      <c r="A1231" s="28">
        <v>46143</v>
      </c>
      <c r="B1231" s="1" t="s">
        <v>257</v>
      </c>
      <c r="C1231" s="1" t="str">
        <f>VLOOKUP(B1231,'[1]Migrasi Bed'!$B$4:$E$521,4,0)</f>
        <v>SV.B024</v>
      </c>
      <c r="D1231" s="28">
        <f t="shared" si="377"/>
        <v>46166</v>
      </c>
      <c r="E1231" s="28">
        <f t="shared" si="378"/>
        <v>46150</v>
      </c>
      <c r="F1231" s="28">
        <f t="shared" si="379"/>
        <v>46157</v>
      </c>
      <c r="G1231" s="28">
        <f t="shared" si="380"/>
        <v>46163</v>
      </c>
      <c r="H1231" s="28">
        <f t="shared" si="381"/>
        <v>46151</v>
      </c>
      <c r="I1231" s="28">
        <f t="shared" si="382"/>
        <v>46158</v>
      </c>
      <c r="J1231" s="28">
        <v>46165</v>
      </c>
      <c r="K1231" s="1">
        <f t="shared" si="383"/>
        <v>22</v>
      </c>
      <c r="L1231" s="1">
        <v>13.28</v>
      </c>
      <c r="M1231" s="1">
        <v>11.4</v>
      </c>
      <c r="N1231" s="1">
        <v>1.879999999999999</v>
      </c>
      <c r="O1231" s="1" t="s">
        <v>379</v>
      </c>
    </row>
    <row r="1232" spans="1:15" x14ac:dyDescent="0.25">
      <c r="A1232" s="28">
        <v>46143</v>
      </c>
      <c r="B1232" s="1" t="s">
        <v>258</v>
      </c>
      <c r="C1232" s="1" t="str">
        <f>VLOOKUP(B1232,'[1]Migrasi Bed'!$B$4:$E$521,4,0)</f>
        <v>SV.B025</v>
      </c>
      <c r="D1232" s="28">
        <f t="shared" si="377"/>
        <v>46166</v>
      </c>
      <c r="E1232" s="28">
        <f t="shared" si="378"/>
        <v>46150</v>
      </c>
      <c r="F1232" s="28">
        <f t="shared" si="379"/>
        <v>46157</v>
      </c>
      <c r="G1232" s="28">
        <f t="shared" si="380"/>
        <v>46163</v>
      </c>
      <c r="H1232" s="28">
        <f t="shared" si="381"/>
        <v>46151</v>
      </c>
      <c r="I1232" s="28">
        <f t="shared" si="382"/>
        <v>46158</v>
      </c>
      <c r="J1232" s="28">
        <v>46166</v>
      </c>
      <c r="K1232" s="1">
        <f t="shared" si="383"/>
        <v>23</v>
      </c>
      <c r="L1232" s="1">
        <v>13.1</v>
      </c>
      <c r="M1232" s="1">
        <v>11.36</v>
      </c>
      <c r="N1232" s="1">
        <v>1.7400000000000002</v>
      </c>
      <c r="O1232" s="1" t="s">
        <v>379</v>
      </c>
    </row>
    <row r="1233" spans="1:15" x14ac:dyDescent="0.25">
      <c r="A1233" s="28">
        <v>46143</v>
      </c>
      <c r="B1233" s="1" t="s">
        <v>259</v>
      </c>
      <c r="C1233" s="1" t="str">
        <f>VLOOKUP(B1233,'[1]Migrasi Bed'!$B$4:$E$521,4,0)</f>
        <v>SV.B026</v>
      </c>
      <c r="D1233" s="28">
        <f t="shared" si="377"/>
        <v>46166</v>
      </c>
      <c r="E1233" s="28">
        <f t="shared" si="378"/>
        <v>46150</v>
      </c>
      <c r="F1233" s="28">
        <f t="shared" si="379"/>
        <v>46157</v>
      </c>
      <c r="G1233" s="28">
        <f t="shared" si="380"/>
        <v>46163</v>
      </c>
      <c r="H1233" s="28">
        <f t="shared" si="381"/>
        <v>46151</v>
      </c>
      <c r="I1233" s="28">
        <f t="shared" si="382"/>
        <v>46158</v>
      </c>
      <c r="J1233" s="28">
        <v>46166</v>
      </c>
      <c r="K1233" s="1">
        <f t="shared" si="383"/>
        <v>23</v>
      </c>
      <c r="L1233" s="1">
        <v>13.98</v>
      </c>
      <c r="M1233" s="1">
        <v>12.11</v>
      </c>
      <c r="N1233" s="1">
        <v>1.870000000000001</v>
      </c>
      <c r="O1233" s="1" t="s">
        <v>379</v>
      </c>
    </row>
    <row r="1234" spans="1:15" x14ac:dyDescent="0.25">
      <c r="A1234" s="28">
        <v>46143</v>
      </c>
      <c r="B1234" s="1" t="s">
        <v>393</v>
      </c>
      <c r="C1234" s="1" t="str">
        <f>VLOOKUP(B1234,'[1]Migrasi Bed'!$B$4:$E$521,4,0)</f>
        <v>BJ.L001</v>
      </c>
      <c r="D1234" s="28">
        <f t="shared" si="377"/>
        <v>46166</v>
      </c>
      <c r="E1234" s="28">
        <f t="shared" si="378"/>
        <v>46150</v>
      </c>
      <c r="F1234" s="28">
        <f t="shared" si="379"/>
        <v>46157</v>
      </c>
      <c r="G1234" s="28">
        <f t="shared" si="380"/>
        <v>46163</v>
      </c>
      <c r="H1234" s="28">
        <f t="shared" si="381"/>
        <v>46151</v>
      </c>
      <c r="I1234" s="28">
        <f t="shared" si="382"/>
        <v>46158</v>
      </c>
      <c r="J1234" s="28">
        <v>46169</v>
      </c>
      <c r="K1234" s="1">
        <f t="shared" si="383"/>
        <v>26</v>
      </c>
      <c r="L1234" s="1">
        <v>12.35</v>
      </c>
      <c r="M1234" s="1">
        <v>10.29</v>
      </c>
      <c r="N1234" s="1">
        <v>2.0600000000000005</v>
      </c>
      <c r="O1234" s="1" t="s">
        <v>379</v>
      </c>
    </row>
    <row r="1235" spans="1:15" x14ac:dyDescent="0.25">
      <c r="A1235" s="28">
        <v>46143</v>
      </c>
      <c r="B1235" s="1" t="s">
        <v>394</v>
      </c>
      <c r="C1235" s="1" t="str">
        <f>VLOOKUP(B1235,'[1]Migrasi Bed'!$B$4:$E$521,4,0)</f>
        <v>BJ.L002</v>
      </c>
      <c r="D1235" s="28">
        <f t="shared" ref="D1235:D1282" si="384">A1235+23</f>
        <v>46166</v>
      </c>
      <c r="E1235" s="28">
        <f t="shared" ref="E1235:E1282" si="385">A1235+7</f>
        <v>46150</v>
      </c>
      <c r="F1235" s="28">
        <f t="shared" ref="F1235:F1282" si="386">A1235+14</f>
        <v>46157</v>
      </c>
      <c r="G1235" s="28">
        <f t="shared" ref="G1235:G1282" si="387">A1235+20</f>
        <v>46163</v>
      </c>
      <c r="H1235" s="28">
        <f t="shared" ref="H1235:H1282" si="388">A1235+8</f>
        <v>46151</v>
      </c>
      <c r="I1235" s="28">
        <f t="shared" ref="I1235:I1282" si="389">A1235+15</f>
        <v>46158</v>
      </c>
      <c r="J1235" s="28">
        <v>46169</v>
      </c>
      <c r="K1235" s="1">
        <f t="shared" si="383"/>
        <v>26</v>
      </c>
      <c r="L1235" s="1">
        <v>11.19</v>
      </c>
      <c r="M1235" s="1">
        <v>9.27</v>
      </c>
      <c r="N1235" s="1">
        <v>1.92</v>
      </c>
      <c r="O1235" s="1" t="s">
        <v>379</v>
      </c>
    </row>
    <row r="1236" spans="1:15" x14ac:dyDescent="0.25">
      <c r="A1236" s="28">
        <v>46143</v>
      </c>
      <c r="B1236" s="1" t="s">
        <v>395</v>
      </c>
      <c r="C1236" s="1" t="str">
        <f>VLOOKUP(B1236,'[1]Migrasi Bed'!$B$4:$E$521,4,0)</f>
        <v>BJ.L003</v>
      </c>
      <c r="D1236" s="28">
        <f t="shared" si="384"/>
        <v>46166</v>
      </c>
      <c r="E1236" s="28">
        <f t="shared" si="385"/>
        <v>46150</v>
      </c>
      <c r="F1236" s="28">
        <f t="shared" si="386"/>
        <v>46157</v>
      </c>
      <c r="G1236" s="28">
        <f t="shared" si="387"/>
        <v>46163</v>
      </c>
      <c r="H1236" s="28">
        <f t="shared" si="388"/>
        <v>46151</v>
      </c>
      <c r="I1236" s="28">
        <f t="shared" si="389"/>
        <v>46158</v>
      </c>
      <c r="J1236" s="28">
        <v>46169</v>
      </c>
      <c r="K1236" s="1">
        <f t="shared" si="383"/>
        <v>26</v>
      </c>
      <c r="L1236" s="1">
        <v>13.1</v>
      </c>
      <c r="M1236" s="1">
        <v>11.12</v>
      </c>
      <c r="N1236" s="1">
        <v>1.9800000000000004</v>
      </c>
      <c r="O1236" s="1" t="s">
        <v>379</v>
      </c>
    </row>
    <row r="1237" spans="1:15" x14ac:dyDescent="0.25">
      <c r="A1237" s="28">
        <v>46143</v>
      </c>
      <c r="B1237" s="1" t="s">
        <v>396</v>
      </c>
      <c r="C1237" s="1" t="str">
        <f>VLOOKUP(B1237,'[1]Migrasi Bed'!$B$4:$E$521,4,0)</f>
        <v>BJ.L004</v>
      </c>
      <c r="D1237" s="28">
        <f t="shared" si="384"/>
        <v>46166</v>
      </c>
      <c r="E1237" s="28">
        <f t="shared" si="385"/>
        <v>46150</v>
      </c>
      <c r="F1237" s="28">
        <f t="shared" si="386"/>
        <v>46157</v>
      </c>
      <c r="G1237" s="28">
        <f t="shared" si="387"/>
        <v>46163</v>
      </c>
      <c r="H1237" s="28">
        <f t="shared" si="388"/>
        <v>46151</v>
      </c>
      <c r="I1237" s="28">
        <f t="shared" si="389"/>
        <v>46158</v>
      </c>
      <c r="J1237" s="28">
        <v>46169</v>
      </c>
      <c r="K1237" s="1">
        <f t="shared" si="383"/>
        <v>26</v>
      </c>
      <c r="L1237" s="1">
        <v>11.86</v>
      </c>
      <c r="M1237" s="1">
        <v>10.54</v>
      </c>
      <c r="N1237" s="1">
        <v>1.3200000000000003</v>
      </c>
      <c r="O1237" s="1" t="s">
        <v>379</v>
      </c>
    </row>
    <row r="1238" spans="1:15" x14ac:dyDescent="0.25">
      <c r="A1238" s="28">
        <v>46144</v>
      </c>
      <c r="B1238" s="1" t="s">
        <v>397</v>
      </c>
      <c r="C1238" s="1" t="str">
        <f>VLOOKUP(B1238,'[1]Migrasi Bed'!$B$4:$E$521,4,0)</f>
        <v>BJ.L005</v>
      </c>
      <c r="D1238" s="28">
        <f t="shared" si="384"/>
        <v>46167</v>
      </c>
      <c r="E1238" s="28">
        <f t="shared" si="385"/>
        <v>46151</v>
      </c>
      <c r="F1238" s="28">
        <f t="shared" si="386"/>
        <v>46158</v>
      </c>
      <c r="G1238" s="28">
        <f t="shared" si="387"/>
        <v>46164</v>
      </c>
      <c r="H1238" s="28">
        <f t="shared" si="388"/>
        <v>46152</v>
      </c>
      <c r="I1238" s="28">
        <f t="shared" si="389"/>
        <v>46159</v>
      </c>
      <c r="J1238" s="28">
        <v>46169</v>
      </c>
      <c r="K1238" s="1">
        <f t="shared" si="383"/>
        <v>25</v>
      </c>
      <c r="L1238" s="1">
        <v>12.97</v>
      </c>
      <c r="M1238" s="1">
        <v>11.08</v>
      </c>
      <c r="N1238" s="1">
        <v>1.8900000000000006</v>
      </c>
      <c r="O1238" s="1" t="s">
        <v>379</v>
      </c>
    </row>
    <row r="1239" spans="1:15" x14ac:dyDescent="0.25">
      <c r="A1239" s="28">
        <v>46144</v>
      </c>
      <c r="B1239" s="1" t="s">
        <v>398</v>
      </c>
      <c r="C1239" s="1" t="str">
        <f>VLOOKUP(B1239,'[1]Migrasi Bed'!$B$4:$E$521,4,0)</f>
        <v>BJ.L006</v>
      </c>
      <c r="D1239" s="28">
        <f t="shared" si="384"/>
        <v>46167</v>
      </c>
      <c r="E1239" s="28">
        <f t="shared" si="385"/>
        <v>46151</v>
      </c>
      <c r="F1239" s="28">
        <f t="shared" si="386"/>
        <v>46158</v>
      </c>
      <c r="G1239" s="28">
        <f t="shared" si="387"/>
        <v>46164</v>
      </c>
      <c r="H1239" s="28">
        <f t="shared" si="388"/>
        <v>46152</v>
      </c>
      <c r="I1239" s="28">
        <f t="shared" si="389"/>
        <v>46159</v>
      </c>
      <c r="J1239" s="28">
        <v>46169</v>
      </c>
      <c r="K1239" s="1">
        <f t="shared" si="383"/>
        <v>25</v>
      </c>
      <c r="L1239" s="1">
        <v>12.81</v>
      </c>
      <c r="M1239" s="1">
        <v>10.73</v>
      </c>
      <c r="N1239" s="1">
        <v>2.08</v>
      </c>
      <c r="O1239" s="1" t="s">
        <v>379</v>
      </c>
    </row>
    <row r="1240" spans="1:15" x14ac:dyDescent="0.25">
      <c r="A1240" s="28">
        <v>46144</v>
      </c>
      <c r="B1240" s="1" t="s">
        <v>627</v>
      </c>
      <c r="C1240" s="1" t="str">
        <f>VLOOKUP(B1240,'[1]Migrasi Bed'!$B$4:$E$521,4,0)</f>
        <v>BJ.L007</v>
      </c>
      <c r="D1240" s="28">
        <f t="shared" si="384"/>
        <v>46167</v>
      </c>
      <c r="E1240" s="28">
        <f t="shared" si="385"/>
        <v>46151</v>
      </c>
      <c r="F1240" s="28">
        <f t="shared" si="386"/>
        <v>46158</v>
      </c>
      <c r="G1240" s="28">
        <f t="shared" si="387"/>
        <v>46164</v>
      </c>
      <c r="H1240" s="28">
        <f t="shared" si="388"/>
        <v>46152</v>
      </c>
      <c r="I1240" s="28">
        <f t="shared" si="389"/>
        <v>46159</v>
      </c>
      <c r="J1240" s="28">
        <v>46169</v>
      </c>
      <c r="K1240" s="1">
        <f t="shared" si="383"/>
        <v>25</v>
      </c>
      <c r="L1240" s="1">
        <v>11.63</v>
      </c>
      <c r="M1240" s="1">
        <v>9.5500000000000007</v>
      </c>
      <c r="N1240" s="1">
        <v>2.08</v>
      </c>
      <c r="O1240" s="1" t="s">
        <v>379</v>
      </c>
    </row>
    <row r="1241" spans="1:15" x14ac:dyDescent="0.25">
      <c r="A1241" s="28">
        <v>46144</v>
      </c>
      <c r="B1241" s="1" t="s">
        <v>628</v>
      </c>
      <c r="C1241" s="1" t="str">
        <f>VLOOKUP(B1241,'[1]Migrasi Bed'!$B$4:$E$521,4,0)</f>
        <v>BJ.L008</v>
      </c>
      <c r="D1241" s="28">
        <f t="shared" si="384"/>
        <v>46167</v>
      </c>
      <c r="E1241" s="28">
        <f t="shared" si="385"/>
        <v>46151</v>
      </c>
      <c r="F1241" s="28">
        <f t="shared" si="386"/>
        <v>46158</v>
      </c>
      <c r="G1241" s="28">
        <f t="shared" si="387"/>
        <v>46164</v>
      </c>
      <c r="H1241" s="28">
        <f t="shared" si="388"/>
        <v>46152</v>
      </c>
      <c r="I1241" s="28">
        <f t="shared" si="389"/>
        <v>46159</v>
      </c>
      <c r="J1241" s="28">
        <v>46168</v>
      </c>
      <c r="K1241" s="1">
        <f t="shared" si="383"/>
        <v>24</v>
      </c>
      <c r="L1241" s="1">
        <v>14.26</v>
      </c>
      <c r="M1241" s="1">
        <v>12.56</v>
      </c>
      <c r="N1241" s="1">
        <v>1.6999999999999993</v>
      </c>
      <c r="O1241" s="1" t="s">
        <v>379</v>
      </c>
    </row>
    <row r="1242" spans="1:15" x14ac:dyDescent="0.25">
      <c r="A1242" s="28">
        <v>46144</v>
      </c>
      <c r="B1242" s="1" t="s">
        <v>629</v>
      </c>
      <c r="C1242" s="1" t="str">
        <f>VLOOKUP(B1242,'[1]Migrasi Bed'!$B$4:$E$521,4,0)</f>
        <v>BJ.L009</v>
      </c>
      <c r="D1242" s="28">
        <f t="shared" si="384"/>
        <v>46167</v>
      </c>
      <c r="E1242" s="28">
        <f t="shared" si="385"/>
        <v>46151</v>
      </c>
      <c r="F1242" s="28">
        <f t="shared" si="386"/>
        <v>46158</v>
      </c>
      <c r="G1242" s="28">
        <f t="shared" si="387"/>
        <v>46164</v>
      </c>
      <c r="H1242" s="28">
        <f t="shared" si="388"/>
        <v>46152</v>
      </c>
      <c r="I1242" s="28">
        <f t="shared" si="389"/>
        <v>46159</v>
      </c>
      <c r="J1242" s="28">
        <v>46168</v>
      </c>
      <c r="K1242" s="1">
        <f t="shared" si="383"/>
        <v>24</v>
      </c>
      <c r="L1242" s="1">
        <v>14.15</v>
      </c>
      <c r="M1242" s="1">
        <v>12.31</v>
      </c>
      <c r="N1242" s="1">
        <v>1.8399999999999999</v>
      </c>
      <c r="O1242" s="1" t="s">
        <v>379</v>
      </c>
    </row>
    <row r="1243" spans="1:15" x14ac:dyDescent="0.25">
      <c r="A1243" s="28">
        <v>46144</v>
      </c>
      <c r="B1243" s="1" t="s">
        <v>630</v>
      </c>
      <c r="C1243" s="1" t="str">
        <f>VLOOKUP(B1243,'[1]Migrasi Bed'!$B$4:$E$521,4,0)</f>
        <v>BJ.L010</v>
      </c>
      <c r="D1243" s="28">
        <f t="shared" si="384"/>
        <v>46167</v>
      </c>
      <c r="E1243" s="28">
        <f t="shared" si="385"/>
        <v>46151</v>
      </c>
      <c r="F1243" s="28">
        <f t="shared" si="386"/>
        <v>46158</v>
      </c>
      <c r="G1243" s="28">
        <f t="shared" si="387"/>
        <v>46164</v>
      </c>
      <c r="H1243" s="28">
        <f t="shared" si="388"/>
        <v>46152</v>
      </c>
      <c r="I1243" s="28">
        <f t="shared" si="389"/>
        <v>46159</v>
      </c>
      <c r="J1243" s="28">
        <v>46167</v>
      </c>
      <c r="K1243" s="1">
        <f t="shared" si="383"/>
        <v>23</v>
      </c>
      <c r="L1243" s="1">
        <v>13.18</v>
      </c>
      <c r="M1243" s="1">
        <v>11.32</v>
      </c>
      <c r="N1243" s="1">
        <v>1.8599999999999994</v>
      </c>
      <c r="O1243" s="1" t="s">
        <v>379</v>
      </c>
    </row>
    <row r="1244" spans="1:15" x14ac:dyDescent="0.25">
      <c r="A1244" s="28">
        <v>46145</v>
      </c>
      <c r="B1244" s="1" t="s">
        <v>346</v>
      </c>
      <c r="C1244" s="1" t="str">
        <f>VLOOKUP(B1244,'[1]Migrasi Bed'!$B$4:$E$521,4,0)</f>
        <v>BJ.I001</v>
      </c>
      <c r="D1244" s="28">
        <f t="shared" si="384"/>
        <v>46168</v>
      </c>
      <c r="E1244" s="28">
        <f t="shared" si="385"/>
        <v>46152</v>
      </c>
      <c r="F1244" s="28">
        <f t="shared" si="386"/>
        <v>46159</v>
      </c>
      <c r="G1244" s="28">
        <f t="shared" si="387"/>
        <v>46165</v>
      </c>
      <c r="H1244" s="28">
        <f t="shared" si="388"/>
        <v>46153</v>
      </c>
      <c r="I1244" s="28">
        <f t="shared" si="389"/>
        <v>46160</v>
      </c>
      <c r="J1244" s="28">
        <v>46170</v>
      </c>
      <c r="K1244" s="1">
        <f t="shared" si="383"/>
        <v>25</v>
      </c>
      <c r="L1244" s="1">
        <v>13.1</v>
      </c>
      <c r="M1244" s="1">
        <v>11.35</v>
      </c>
      <c r="N1244" s="1">
        <v>1.75</v>
      </c>
      <c r="O1244" s="1" t="s">
        <v>379</v>
      </c>
    </row>
    <row r="1245" spans="1:15" x14ac:dyDescent="0.25">
      <c r="A1245" s="28">
        <v>46145</v>
      </c>
      <c r="B1245" s="1" t="s">
        <v>347</v>
      </c>
      <c r="C1245" s="1" t="str">
        <f>VLOOKUP(B1245,'[1]Migrasi Bed'!$B$4:$E$521,4,0)</f>
        <v>BJ.I002</v>
      </c>
      <c r="D1245" s="28">
        <f t="shared" si="384"/>
        <v>46168</v>
      </c>
      <c r="E1245" s="28">
        <f t="shared" si="385"/>
        <v>46152</v>
      </c>
      <c r="F1245" s="28">
        <f t="shared" si="386"/>
        <v>46159</v>
      </c>
      <c r="G1245" s="28">
        <f t="shared" si="387"/>
        <v>46165</v>
      </c>
      <c r="H1245" s="28">
        <f t="shared" si="388"/>
        <v>46153</v>
      </c>
      <c r="I1245" s="28">
        <f t="shared" si="389"/>
        <v>46160</v>
      </c>
      <c r="J1245" s="28">
        <v>46170</v>
      </c>
      <c r="K1245" s="1">
        <f t="shared" si="383"/>
        <v>25</v>
      </c>
      <c r="L1245" s="1">
        <v>13.52</v>
      </c>
      <c r="M1245" s="1">
        <v>11.73</v>
      </c>
      <c r="N1245" s="1">
        <v>1.7899999999999991</v>
      </c>
      <c r="O1245" s="1" t="s">
        <v>379</v>
      </c>
    </row>
    <row r="1246" spans="1:15" x14ac:dyDescent="0.25">
      <c r="A1246" s="28">
        <v>46145</v>
      </c>
      <c r="B1246" s="1" t="s">
        <v>348</v>
      </c>
      <c r="C1246" s="1" t="str">
        <f>VLOOKUP(B1246,'[1]Migrasi Bed'!$B$4:$E$521,4,0)</f>
        <v>BJ.I003</v>
      </c>
      <c r="D1246" s="28">
        <f t="shared" si="384"/>
        <v>46168</v>
      </c>
      <c r="E1246" s="28">
        <f t="shared" si="385"/>
        <v>46152</v>
      </c>
      <c r="F1246" s="28">
        <f t="shared" si="386"/>
        <v>46159</v>
      </c>
      <c r="G1246" s="28">
        <f t="shared" si="387"/>
        <v>46165</v>
      </c>
      <c r="H1246" s="28">
        <f t="shared" si="388"/>
        <v>46153</v>
      </c>
      <c r="I1246" s="28">
        <f t="shared" si="389"/>
        <v>46160</v>
      </c>
      <c r="J1246" s="28">
        <v>46170</v>
      </c>
      <c r="K1246" s="1">
        <f t="shared" si="383"/>
        <v>25</v>
      </c>
      <c r="L1246" s="1">
        <v>13.98</v>
      </c>
      <c r="M1246" s="1">
        <v>12.1</v>
      </c>
      <c r="N1246" s="1">
        <v>1.8800000000000008</v>
      </c>
      <c r="O1246" s="1" t="s">
        <v>379</v>
      </c>
    </row>
    <row r="1247" spans="1:15" x14ac:dyDescent="0.25">
      <c r="A1247" s="28">
        <v>46145</v>
      </c>
      <c r="B1247" s="1" t="s">
        <v>349</v>
      </c>
      <c r="C1247" s="1" t="str">
        <f>VLOOKUP(B1247,'[1]Migrasi Bed'!$B$4:$E$521,4,0)</f>
        <v>BJ.I004</v>
      </c>
      <c r="D1247" s="28">
        <f t="shared" si="384"/>
        <v>46168</v>
      </c>
      <c r="E1247" s="28">
        <f t="shared" si="385"/>
        <v>46152</v>
      </c>
      <c r="F1247" s="28">
        <f t="shared" si="386"/>
        <v>46159</v>
      </c>
      <c r="G1247" s="28">
        <f t="shared" si="387"/>
        <v>46165</v>
      </c>
      <c r="H1247" s="28">
        <f t="shared" si="388"/>
        <v>46153</v>
      </c>
      <c r="I1247" s="28">
        <f t="shared" si="389"/>
        <v>46160</v>
      </c>
      <c r="J1247" s="28">
        <v>46170</v>
      </c>
      <c r="K1247" s="1">
        <f t="shared" si="383"/>
        <v>25</v>
      </c>
      <c r="L1247" s="1">
        <v>12.37</v>
      </c>
      <c r="M1247" s="1">
        <v>10.54</v>
      </c>
      <c r="N1247" s="1">
        <v>1.83</v>
      </c>
      <c r="O1247" s="1" t="s">
        <v>379</v>
      </c>
    </row>
    <row r="1248" spans="1:15" x14ac:dyDescent="0.25">
      <c r="A1248" s="28">
        <v>46145</v>
      </c>
      <c r="B1248" s="1" t="s">
        <v>350</v>
      </c>
      <c r="C1248" s="1" t="str">
        <f>VLOOKUP(B1248,'[1]Migrasi Bed'!$B$4:$E$521,4,0)</f>
        <v>BJ.I005</v>
      </c>
      <c r="D1248" s="28">
        <f t="shared" si="384"/>
        <v>46168</v>
      </c>
      <c r="E1248" s="28">
        <f t="shared" si="385"/>
        <v>46152</v>
      </c>
      <c r="F1248" s="28">
        <f t="shared" si="386"/>
        <v>46159</v>
      </c>
      <c r="G1248" s="28">
        <f t="shared" si="387"/>
        <v>46165</v>
      </c>
      <c r="H1248" s="28">
        <f t="shared" si="388"/>
        <v>46153</v>
      </c>
      <c r="I1248" s="28">
        <f t="shared" si="389"/>
        <v>46160</v>
      </c>
      <c r="J1248" s="28">
        <v>46170</v>
      </c>
      <c r="K1248" s="1">
        <f t="shared" si="383"/>
        <v>25</v>
      </c>
      <c r="L1248" s="1">
        <v>12.16</v>
      </c>
      <c r="M1248" s="1">
        <v>10.58</v>
      </c>
      <c r="N1248" s="1">
        <v>1.58</v>
      </c>
      <c r="O1248" s="1" t="s">
        <v>379</v>
      </c>
    </row>
    <row r="1249" spans="1:15" x14ac:dyDescent="0.25">
      <c r="A1249" s="28">
        <v>46145</v>
      </c>
      <c r="B1249" s="1" t="s">
        <v>351</v>
      </c>
      <c r="C1249" s="1" t="str">
        <f>VLOOKUP(B1249,'[1]Migrasi Bed'!$B$4:$E$521,4,0)</f>
        <v>BJ.I006</v>
      </c>
      <c r="D1249" s="28">
        <f t="shared" si="384"/>
        <v>46168</v>
      </c>
      <c r="E1249" s="28">
        <f t="shared" si="385"/>
        <v>46152</v>
      </c>
      <c r="F1249" s="28">
        <f t="shared" si="386"/>
        <v>46159</v>
      </c>
      <c r="G1249" s="28">
        <f t="shared" si="387"/>
        <v>46165</v>
      </c>
      <c r="H1249" s="28">
        <f t="shared" si="388"/>
        <v>46153</v>
      </c>
      <c r="I1249" s="28">
        <f t="shared" si="389"/>
        <v>46160</v>
      </c>
      <c r="J1249" s="28">
        <v>46170</v>
      </c>
      <c r="K1249" s="1">
        <f t="shared" si="383"/>
        <v>25</v>
      </c>
      <c r="L1249" s="1">
        <v>14.08</v>
      </c>
      <c r="M1249" s="1">
        <v>12.33</v>
      </c>
      <c r="N1249" s="1">
        <v>1.75</v>
      </c>
      <c r="O1249" s="1" t="s">
        <v>379</v>
      </c>
    </row>
    <row r="1250" spans="1:15" x14ac:dyDescent="0.25">
      <c r="A1250" s="28">
        <v>46145</v>
      </c>
      <c r="B1250" s="1" t="s">
        <v>352</v>
      </c>
      <c r="C1250" s="1" t="str">
        <f>VLOOKUP(B1250,'[1]Migrasi Bed'!$B$4:$E$521,4,0)</f>
        <v>BJ.I007</v>
      </c>
      <c r="D1250" s="28">
        <f t="shared" si="384"/>
        <v>46168</v>
      </c>
      <c r="E1250" s="28">
        <f t="shared" si="385"/>
        <v>46152</v>
      </c>
      <c r="F1250" s="28">
        <f t="shared" si="386"/>
        <v>46159</v>
      </c>
      <c r="G1250" s="28">
        <f t="shared" si="387"/>
        <v>46165</v>
      </c>
      <c r="H1250" s="28">
        <f t="shared" si="388"/>
        <v>46153</v>
      </c>
      <c r="I1250" s="28">
        <f t="shared" si="389"/>
        <v>46160</v>
      </c>
      <c r="J1250" s="28">
        <v>46171</v>
      </c>
      <c r="K1250" s="1">
        <f t="shared" si="383"/>
        <v>26</v>
      </c>
      <c r="L1250" s="1">
        <v>14.2</v>
      </c>
      <c r="M1250" s="1">
        <v>12.31</v>
      </c>
      <c r="N1250" s="1">
        <v>1.8899999999999988</v>
      </c>
      <c r="O1250" s="1" t="s">
        <v>379</v>
      </c>
    </row>
    <row r="1251" spans="1:15" x14ac:dyDescent="0.25">
      <c r="A1251" s="28">
        <v>46146</v>
      </c>
      <c r="B1251" s="1" t="s">
        <v>353</v>
      </c>
      <c r="C1251" s="1" t="str">
        <f>VLOOKUP(B1251,'[1]Migrasi Bed'!$B$4:$E$521,4,0)</f>
        <v>BJ.I008</v>
      </c>
      <c r="D1251" s="28">
        <f t="shared" si="384"/>
        <v>46169</v>
      </c>
      <c r="E1251" s="28">
        <f t="shared" si="385"/>
        <v>46153</v>
      </c>
      <c r="F1251" s="28">
        <f t="shared" si="386"/>
        <v>46160</v>
      </c>
      <c r="G1251" s="28">
        <f t="shared" si="387"/>
        <v>46166</v>
      </c>
      <c r="H1251" s="28">
        <f t="shared" si="388"/>
        <v>46154</v>
      </c>
      <c r="I1251" s="28">
        <f t="shared" si="389"/>
        <v>46161</v>
      </c>
      <c r="J1251" s="28">
        <v>46171</v>
      </c>
      <c r="K1251" s="1">
        <f t="shared" si="383"/>
        <v>25</v>
      </c>
      <c r="L1251" s="1">
        <v>12.16</v>
      </c>
      <c r="M1251" s="1">
        <v>10.33</v>
      </c>
      <c r="N1251" s="1">
        <v>1.83</v>
      </c>
      <c r="O1251" s="1" t="s">
        <v>379</v>
      </c>
    </row>
    <row r="1252" spans="1:15" x14ac:dyDescent="0.25">
      <c r="A1252" s="28">
        <v>46146</v>
      </c>
      <c r="B1252" s="1" t="s">
        <v>354</v>
      </c>
      <c r="C1252" s="1" t="str">
        <f>VLOOKUP(B1252,'[1]Migrasi Bed'!$B$4:$E$521,4,0)</f>
        <v>BJ.I009</v>
      </c>
      <c r="D1252" s="28">
        <f t="shared" si="384"/>
        <v>46169</v>
      </c>
      <c r="E1252" s="28">
        <f t="shared" si="385"/>
        <v>46153</v>
      </c>
      <c r="F1252" s="28">
        <f t="shared" si="386"/>
        <v>46160</v>
      </c>
      <c r="G1252" s="28">
        <f t="shared" si="387"/>
        <v>46166</v>
      </c>
      <c r="H1252" s="28">
        <f t="shared" si="388"/>
        <v>46154</v>
      </c>
      <c r="I1252" s="28">
        <f t="shared" si="389"/>
        <v>46161</v>
      </c>
      <c r="J1252" s="28">
        <v>46171</v>
      </c>
      <c r="K1252" s="1">
        <f t="shared" si="383"/>
        <v>25</v>
      </c>
      <c r="L1252" s="1">
        <v>13.08</v>
      </c>
      <c r="M1252" s="1">
        <v>11.15</v>
      </c>
      <c r="N1252" s="1">
        <v>1.9299999999999997</v>
      </c>
      <c r="O1252" s="1" t="s">
        <v>379</v>
      </c>
    </row>
    <row r="1253" spans="1:15" x14ac:dyDescent="0.25">
      <c r="A1253" s="28">
        <v>46146</v>
      </c>
      <c r="B1253" s="1" t="s">
        <v>355</v>
      </c>
      <c r="C1253" s="1" t="str">
        <f>VLOOKUP(B1253,'[1]Migrasi Bed'!$B$4:$E$521,4,0)</f>
        <v>BJ.I010</v>
      </c>
      <c r="D1253" s="28">
        <f t="shared" si="384"/>
        <v>46169</v>
      </c>
      <c r="E1253" s="28">
        <f t="shared" si="385"/>
        <v>46153</v>
      </c>
      <c r="F1253" s="28">
        <f t="shared" si="386"/>
        <v>46160</v>
      </c>
      <c r="G1253" s="28">
        <f t="shared" si="387"/>
        <v>46166</v>
      </c>
      <c r="H1253" s="28">
        <f t="shared" si="388"/>
        <v>46154</v>
      </c>
      <c r="I1253" s="28">
        <f t="shared" si="389"/>
        <v>46161</v>
      </c>
      <c r="J1253" s="28">
        <v>46171</v>
      </c>
      <c r="K1253" s="1">
        <f t="shared" si="383"/>
        <v>25</v>
      </c>
      <c r="L1253" s="1">
        <v>14.41</v>
      </c>
      <c r="M1253" s="1">
        <v>12.74</v>
      </c>
      <c r="N1253" s="1">
        <v>1.67</v>
      </c>
      <c r="O1253" s="1" t="s">
        <v>379</v>
      </c>
    </row>
    <row r="1254" spans="1:15" x14ac:dyDescent="0.25">
      <c r="A1254" s="28">
        <v>46146</v>
      </c>
      <c r="B1254" s="1" t="s">
        <v>356</v>
      </c>
      <c r="C1254" s="1" t="str">
        <f>VLOOKUP(B1254,'[1]Migrasi Bed'!$B$4:$E$521,4,0)</f>
        <v>BJ.I011</v>
      </c>
      <c r="D1254" s="28">
        <f t="shared" si="384"/>
        <v>46169</v>
      </c>
      <c r="E1254" s="28">
        <f t="shared" si="385"/>
        <v>46153</v>
      </c>
      <c r="F1254" s="28">
        <f t="shared" si="386"/>
        <v>46160</v>
      </c>
      <c r="G1254" s="28">
        <f t="shared" si="387"/>
        <v>46166</v>
      </c>
      <c r="H1254" s="28">
        <f t="shared" si="388"/>
        <v>46154</v>
      </c>
      <c r="I1254" s="28">
        <f t="shared" si="389"/>
        <v>46161</v>
      </c>
      <c r="J1254" s="28">
        <v>46171</v>
      </c>
      <c r="K1254" s="1">
        <f t="shared" si="383"/>
        <v>25</v>
      </c>
      <c r="L1254" s="1">
        <v>14.35</v>
      </c>
      <c r="M1254" s="1">
        <v>12.58</v>
      </c>
      <c r="N1254" s="1">
        <v>1.7699999999999996</v>
      </c>
      <c r="O1254" s="1" t="s">
        <v>379</v>
      </c>
    </row>
    <row r="1255" spans="1:15" x14ac:dyDescent="0.25">
      <c r="A1255" s="28">
        <v>46146</v>
      </c>
      <c r="B1255" s="1" t="s">
        <v>357</v>
      </c>
      <c r="C1255" s="1" t="str">
        <f>VLOOKUP(B1255,'[1]Migrasi Bed'!$B$4:$E$521,4,0)</f>
        <v>BJ.I012</v>
      </c>
      <c r="D1255" s="28">
        <f t="shared" si="384"/>
        <v>46169</v>
      </c>
      <c r="E1255" s="28">
        <f t="shared" si="385"/>
        <v>46153</v>
      </c>
      <c r="F1255" s="28">
        <f t="shared" si="386"/>
        <v>46160</v>
      </c>
      <c r="G1255" s="28">
        <f t="shared" si="387"/>
        <v>46166</v>
      </c>
      <c r="H1255" s="28">
        <f t="shared" si="388"/>
        <v>46154</v>
      </c>
      <c r="I1255" s="28">
        <f t="shared" si="389"/>
        <v>46161</v>
      </c>
      <c r="J1255" s="28">
        <v>46171</v>
      </c>
      <c r="K1255" s="1">
        <f t="shared" si="383"/>
        <v>25</v>
      </c>
      <c r="L1255" s="1">
        <v>15.38</v>
      </c>
      <c r="M1255" s="1">
        <v>13.41</v>
      </c>
      <c r="N1255" s="1">
        <v>1.9700000000000006</v>
      </c>
      <c r="O1255" s="1" t="s">
        <v>379</v>
      </c>
    </row>
    <row r="1256" spans="1:15" x14ac:dyDescent="0.25">
      <c r="A1256" s="28">
        <v>46146</v>
      </c>
      <c r="B1256" s="1" t="s">
        <v>358</v>
      </c>
      <c r="C1256" s="1" t="str">
        <f>VLOOKUP(B1256,'[1]Migrasi Bed'!$B$4:$E$521,4,0)</f>
        <v>BJ.I013</v>
      </c>
      <c r="D1256" s="28">
        <f t="shared" si="384"/>
        <v>46169</v>
      </c>
      <c r="E1256" s="28">
        <f t="shared" si="385"/>
        <v>46153</v>
      </c>
      <c r="F1256" s="28">
        <f t="shared" si="386"/>
        <v>46160</v>
      </c>
      <c r="G1256" s="28">
        <f t="shared" si="387"/>
        <v>46166</v>
      </c>
      <c r="H1256" s="28">
        <f t="shared" si="388"/>
        <v>46154</v>
      </c>
      <c r="I1256" s="28">
        <f t="shared" si="389"/>
        <v>46161</v>
      </c>
      <c r="J1256" s="28">
        <v>46171</v>
      </c>
      <c r="K1256" s="1">
        <f t="shared" si="383"/>
        <v>25</v>
      </c>
      <c r="L1256" s="1">
        <v>15.06</v>
      </c>
      <c r="M1256" s="1">
        <v>13.1</v>
      </c>
      <c r="N1256" s="1">
        <v>1.9600000000000009</v>
      </c>
      <c r="O1256" s="1" t="s">
        <v>379</v>
      </c>
    </row>
    <row r="1257" spans="1:15" x14ac:dyDescent="0.25">
      <c r="A1257" s="28">
        <v>46146</v>
      </c>
      <c r="B1257" s="1" t="s">
        <v>359</v>
      </c>
      <c r="C1257" s="1" t="str">
        <f>VLOOKUP(B1257,'[1]Migrasi Bed'!$B$4:$E$521,4,0)</f>
        <v>BJ.I014</v>
      </c>
      <c r="D1257" s="28">
        <f t="shared" si="384"/>
        <v>46169</v>
      </c>
      <c r="E1257" s="28">
        <f t="shared" si="385"/>
        <v>46153</v>
      </c>
      <c r="F1257" s="28">
        <f t="shared" si="386"/>
        <v>46160</v>
      </c>
      <c r="G1257" s="28">
        <f t="shared" si="387"/>
        <v>46166</v>
      </c>
      <c r="H1257" s="28">
        <f t="shared" si="388"/>
        <v>46154</v>
      </c>
      <c r="I1257" s="28">
        <f t="shared" si="389"/>
        <v>46161</v>
      </c>
      <c r="J1257" s="28">
        <v>46171</v>
      </c>
      <c r="K1257" s="1">
        <f t="shared" si="383"/>
        <v>25</v>
      </c>
      <c r="L1257" s="1">
        <v>13.37</v>
      </c>
      <c r="M1257" s="1">
        <v>11.58</v>
      </c>
      <c r="N1257" s="1">
        <v>1.7899999999999991</v>
      </c>
      <c r="O1257" s="1" t="s">
        <v>379</v>
      </c>
    </row>
    <row r="1258" spans="1:15" x14ac:dyDescent="0.25">
      <c r="A1258" s="28">
        <v>46147</v>
      </c>
      <c r="B1258" s="1" t="s">
        <v>360</v>
      </c>
      <c r="C1258" s="1" t="str">
        <f>VLOOKUP(B1258,'[1]Migrasi Bed'!$B$4:$E$521,4,0)</f>
        <v>BJ.I015</v>
      </c>
      <c r="D1258" s="28">
        <f t="shared" si="384"/>
        <v>46170</v>
      </c>
      <c r="E1258" s="28">
        <f t="shared" si="385"/>
        <v>46154</v>
      </c>
      <c r="F1258" s="28">
        <f t="shared" si="386"/>
        <v>46161</v>
      </c>
      <c r="G1258" s="28">
        <f t="shared" si="387"/>
        <v>46167</v>
      </c>
      <c r="H1258" s="28">
        <f t="shared" si="388"/>
        <v>46155</v>
      </c>
      <c r="I1258" s="28">
        <f t="shared" si="389"/>
        <v>46162</v>
      </c>
      <c r="J1258" s="28">
        <v>46171</v>
      </c>
      <c r="K1258" s="1">
        <f t="shared" si="383"/>
        <v>24</v>
      </c>
      <c r="L1258" s="1">
        <v>14.43</v>
      </c>
      <c r="M1258" s="1">
        <v>12.64</v>
      </c>
      <c r="N1258" s="1">
        <v>1.7899999999999991</v>
      </c>
      <c r="O1258" s="1" t="s">
        <v>379</v>
      </c>
    </row>
    <row r="1259" spans="1:15" x14ac:dyDescent="0.25">
      <c r="A1259" s="28">
        <v>46147</v>
      </c>
      <c r="B1259" s="1" t="s">
        <v>361</v>
      </c>
      <c r="C1259" s="1" t="str">
        <f>VLOOKUP(B1259,'[1]Migrasi Bed'!$B$4:$E$521,4,0)</f>
        <v>BJ.I016</v>
      </c>
      <c r="D1259" s="28">
        <f t="shared" si="384"/>
        <v>46170</v>
      </c>
      <c r="E1259" s="28">
        <f t="shared" si="385"/>
        <v>46154</v>
      </c>
      <c r="F1259" s="28">
        <f t="shared" si="386"/>
        <v>46161</v>
      </c>
      <c r="G1259" s="28">
        <f t="shared" si="387"/>
        <v>46167</v>
      </c>
      <c r="H1259" s="28">
        <f t="shared" si="388"/>
        <v>46155</v>
      </c>
      <c r="I1259" s="28">
        <f t="shared" si="389"/>
        <v>46162</v>
      </c>
      <c r="J1259" s="28">
        <v>46171</v>
      </c>
      <c r="K1259" s="1">
        <f t="shared" si="383"/>
        <v>24</v>
      </c>
      <c r="L1259" s="1">
        <v>15.24</v>
      </c>
      <c r="M1259" s="1">
        <v>13.55</v>
      </c>
      <c r="N1259" s="1">
        <v>1.6899999999999995</v>
      </c>
      <c r="O1259" s="1" t="s">
        <v>379</v>
      </c>
    </row>
    <row r="1260" spans="1:15" x14ac:dyDescent="0.25">
      <c r="A1260" s="28">
        <v>46147</v>
      </c>
      <c r="B1260" s="1" t="s">
        <v>362</v>
      </c>
      <c r="C1260" s="1" t="str">
        <f>VLOOKUP(B1260,'[2]Migrasi Bed'!$B$4:$E$521,4,0)</f>
        <v>BJ.I017</v>
      </c>
      <c r="D1260" s="28">
        <f t="shared" si="384"/>
        <v>46170</v>
      </c>
      <c r="E1260" s="28">
        <f t="shared" si="385"/>
        <v>46154</v>
      </c>
      <c r="F1260" s="28">
        <f t="shared" si="386"/>
        <v>46161</v>
      </c>
      <c r="G1260" s="28">
        <f t="shared" si="387"/>
        <v>46167</v>
      </c>
      <c r="H1260" s="28">
        <f t="shared" si="388"/>
        <v>46155</v>
      </c>
      <c r="I1260" s="28">
        <f t="shared" si="389"/>
        <v>46162</v>
      </c>
      <c r="J1260" s="28">
        <v>46172</v>
      </c>
      <c r="K1260" s="1">
        <f t="shared" si="383"/>
        <v>25</v>
      </c>
      <c r="L1260" s="1">
        <v>14.36</v>
      </c>
      <c r="M1260" s="1">
        <v>12.53</v>
      </c>
      <c r="N1260" s="1">
        <v>1.83</v>
      </c>
      <c r="O1260" s="1" t="s">
        <v>379</v>
      </c>
    </row>
    <row r="1261" spans="1:15" x14ac:dyDescent="0.25">
      <c r="A1261" s="28">
        <v>46147</v>
      </c>
      <c r="B1261" s="1" t="s">
        <v>363</v>
      </c>
      <c r="C1261" s="1" t="str">
        <f>VLOOKUP(B1261,'[2]Migrasi Bed'!$B$4:$E$521,4,0)</f>
        <v>BJ.I018</v>
      </c>
      <c r="D1261" s="28">
        <f t="shared" si="384"/>
        <v>46170</v>
      </c>
      <c r="E1261" s="28">
        <f t="shared" si="385"/>
        <v>46154</v>
      </c>
      <c r="F1261" s="28">
        <f t="shared" si="386"/>
        <v>46161</v>
      </c>
      <c r="G1261" s="28">
        <f t="shared" si="387"/>
        <v>46167</v>
      </c>
      <c r="H1261" s="28">
        <f t="shared" si="388"/>
        <v>46155</v>
      </c>
      <c r="I1261" s="28">
        <f t="shared" si="389"/>
        <v>46162</v>
      </c>
      <c r="J1261" s="28">
        <v>46172</v>
      </c>
      <c r="K1261" s="1">
        <f t="shared" si="383"/>
        <v>25</v>
      </c>
      <c r="L1261" s="1">
        <v>15.21</v>
      </c>
      <c r="M1261" s="1">
        <v>13.58</v>
      </c>
      <c r="N1261" s="1">
        <v>1.6300000000000008</v>
      </c>
      <c r="O1261" s="1" t="s">
        <v>379</v>
      </c>
    </row>
    <row r="1262" spans="1:15" x14ac:dyDescent="0.25">
      <c r="A1262" s="28">
        <v>46147</v>
      </c>
      <c r="B1262" s="1" t="s">
        <v>364</v>
      </c>
      <c r="C1262" s="1" t="str">
        <f>VLOOKUP(B1262,'[2]Migrasi Bed'!$B$4:$E$521,4,0)</f>
        <v>BJ.I019</v>
      </c>
      <c r="D1262" s="28">
        <f t="shared" si="384"/>
        <v>46170</v>
      </c>
      <c r="E1262" s="28">
        <f t="shared" si="385"/>
        <v>46154</v>
      </c>
      <c r="F1262" s="28">
        <f t="shared" si="386"/>
        <v>46161</v>
      </c>
      <c r="G1262" s="28">
        <f t="shared" si="387"/>
        <v>46167</v>
      </c>
      <c r="H1262" s="28">
        <f t="shared" si="388"/>
        <v>46155</v>
      </c>
      <c r="I1262" s="28">
        <f t="shared" si="389"/>
        <v>46162</v>
      </c>
      <c r="J1262" s="28">
        <v>46172</v>
      </c>
      <c r="K1262" s="1">
        <f t="shared" si="383"/>
        <v>25</v>
      </c>
      <c r="L1262" s="1">
        <v>14.93</v>
      </c>
      <c r="M1262" s="1">
        <v>13.1</v>
      </c>
      <c r="N1262" s="1">
        <v>1.83</v>
      </c>
      <c r="O1262" s="1" t="s">
        <v>379</v>
      </c>
    </row>
    <row r="1263" spans="1:15" x14ac:dyDescent="0.25">
      <c r="A1263" s="28">
        <v>46147</v>
      </c>
      <c r="B1263" s="1" t="s">
        <v>365</v>
      </c>
      <c r="C1263" s="1" t="str">
        <f>VLOOKUP(B1263,'[2]Migrasi Bed'!$B$4:$E$521,4,0)</f>
        <v>BJ.I020</v>
      </c>
      <c r="D1263" s="28">
        <f t="shared" si="384"/>
        <v>46170</v>
      </c>
      <c r="E1263" s="28">
        <f t="shared" si="385"/>
        <v>46154</v>
      </c>
      <c r="F1263" s="28">
        <f t="shared" si="386"/>
        <v>46161</v>
      </c>
      <c r="G1263" s="28">
        <f t="shared" si="387"/>
        <v>46167</v>
      </c>
      <c r="H1263" s="28">
        <f t="shared" si="388"/>
        <v>46155</v>
      </c>
      <c r="I1263" s="28">
        <f t="shared" si="389"/>
        <v>46162</v>
      </c>
      <c r="J1263" s="28">
        <v>46172</v>
      </c>
      <c r="K1263" s="1">
        <f t="shared" si="383"/>
        <v>25</v>
      </c>
      <c r="L1263" s="1">
        <v>13.88</v>
      </c>
      <c r="M1263" s="1">
        <v>12.05</v>
      </c>
      <c r="N1263" s="1">
        <v>1.83</v>
      </c>
      <c r="O1263" s="1" t="s">
        <v>379</v>
      </c>
    </row>
    <row r="1264" spans="1:15" x14ac:dyDescent="0.25">
      <c r="A1264" s="28">
        <v>46147</v>
      </c>
      <c r="B1264" s="1" t="s">
        <v>390</v>
      </c>
      <c r="C1264" s="1" t="str">
        <f>VLOOKUP(B1264,'[2]Migrasi Bed'!$B$4:$E$521,4,0)</f>
        <v>BJ.J001</v>
      </c>
      <c r="D1264" s="28">
        <f t="shared" si="384"/>
        <v>46170</v>
      </c>
      <c r="E1264" s="28">
        <f t="shared" si="385"/>
        <v>46154</v>
      </c>
      <c r="F1264" s="28">
        <f t="shared" si="386"/>
        <v>46161</v>
      </c>
      <c r="G1264" s="28">
        <f t="shared" si="387"/>
        <v>46167</v>
      </c>
      <c r="H1264" s="28">
        <f t="shared" si="388"/>
        <v>46155</v>
      </c>
      <c r="I1264" s="28">
        <f t="shared" si="389"/>
        <v>46162</v>
      </c>
      <c r="J1264" s="28">
        <v>46170</v>
      </c>
      <c r="K1264" s="1">
        <f t="shared" si="383"/>
        <v>23</v>
      </c>
      <c r="L1264" s="1">
        <v>12.98</v>
      </c>
      <c r="M1264" s="1">
        <v>11.28</v>
      </c>
      <c r="N1264" s="1">
        <v>1.7000000000000011</v>
      </c>
      <c r="O1264" s="1" t="s">
        <v>379</v>
      </c>
    </row>
    <row r="1265" spans="1:15" x14ac:dyDescent="0.25">
      <c r="A1265" s="28">
        <v>46148</v>
      </c>
      <c r="B1265" s="1" t="s">
        <v>260</v>
      </c>
      <c r="C1265" s="1" t="str">
        <f>VLOOKUP(B1265,'[2]Migrasi Bed'!$B$4:$E$521,4,0)</f>
        <v>SV.B027</v>
      </c>
      <c r="D1265" s="28">
        <f t="shared" si="384"/>
        <v>46171</v>
      </c>
      <c r="E1265" s="28">
        <f t="shared" si="385"/>
        <v>46155</v>
      </c>
      <c r="F1265" s="28">
        <f t="shared" si="386"/>
        <v>46162</v>
      </c>
      <c r="G1265" s="28">
        <f t="shared" si="387"/>
        <v>46168</v>
      </c>
      <c r="H1265" s="28">
        <f t="shared" si="388"/>
        <v>46156</v>
      </c>
      <c r="I1265" s="28">
        <f t="shared" si="389"/>
        <v>46163</v>
      </c>
      <c r="J1265" s="28">
        <v>46180</v>
      </c>
      <c r="K1265" s="1">
        <f t="shared" si="383"/>
        <v>32</v>
      </c>
      <c r="L1265" s="1">
        <v>13.02</v>
      </c>
      <c r="M1265" s="1">
        <v>11.05</v>
      </c>
      <c r="N1265" s="1">
        <v>0</v>
      </c>
      <c r="O1265" s="1" t="s">
        <v>379</v>
      </c>
    </row>
    <row r="1266" spans="1:15" x14ac:dyDescent="0.25">
      <c r="A1266" s="28">
        <v>46148</v>
      </c>
      <c r="B1266" s="1" t="s">
        <v>261</v>
      </c>
      <c r="C1266" s="1" t="str">
        <f>VLOOKUP(B1266,'[2]Migrasi Bed'!$B$4:$E$521,4,0)</f>
        <v>SV.B028</v>
      </c>
      <c r="D1266" s="28">
        <f t="shared" si="384"/>
        <v>46171</v>
      </c>
      <c r="E1266" s="28">
        <f t="shared" si="385"/>
        <v>46155</v>
      </c>
      <c r="F1266" s="28">
        <f t="shared" si="386"/>
        <v>46162</v>
      </c>
      <c r="G1266" s="28">
        <f t="shared" si="387"/>
        <v>46168</v>
      </c>
      <c r="H1266" s="28">
        <f t="shared" si="388"/>
        <v>46156</v>
      </c>
      <c r="I1266" s="28">
        <f t="shared" si="389"/>
        <v>46163</v>
      </c>
      <c r="J1266" s="28">
        <v>46180</v>
      </c>
      <c r="K1266" s="1">
        <f t="shared" si="383"/>
        <v>32</v>
      </c>
      <c r="L1266" s="1">
        <v>12.14</v>
      </c>
      <c r="M1266" s="1">
        <v>10.210000000000001</v>
      </c>
      <c r="N1266" s="1">
        <v>0</v>
      </c>
      <c r="O1266" s="1" t="s">
        <v>379</v>
      </c>
    </row>
    <row r="1267" spans="1:15" x14ac:dyDescent="0.25">
      <c r="A1267" s="28">
        <v>46148</v>
      </c>
      <c r="B1267" s="1" t="s">
        <v>262</v>
      </c>
      <c r="C1267" s="1" t="str">
        <f>VLOOKUP(B1267,'[2]Migrasi Bed'!$B$4:$E$521,4,0)</f>
        <v>SV.B029</v>
      </c>
      <c r="D1267" s="28">
        <f t="shared" si="384"/>
        <v>46171</v>
      </c>
      <c r="E1267" s="28">
        <f t="shared" si="385"/>
        <v>46155</v>
      </c>
      <c r="F1267" s="28">
        <f t="shared" si="386"/>
        <v>46162</v>
      </c>
      <c r="G1267" s="28">
        <f t="shared" si="387"/>
        <v>46168</v>
      </c>
      <c r="H1267" s="28">
        <f t="shared" si="388"/>
        <v>46156</v>
      </c>
      <c r="I1267" s="28">
        <f t="shared" si="389"/>
        <v>46163</v>
      </c>
      <c r="J1267" s="28">
        <v>46173</v>
      </c>
      <c r="K1267" s="1">
        <f t="shared" si="383"/>
        <v>25</v>
      </c>
      <c r="L1267" s="1">
        <v>11.38</v>
      </c>
      <c r="M1267" s="1">
        <v>9.2100000000000009</v>
      </c>
      <c r="N1267" s="1">
        <v>2.17</v>
      </c>
      <c r="O1267" s="1" t="s">
        <v>379</v>
      </c>
    </row>
    <row r="1268" spans="1:15" x14ac:dyDescent="0.25">
      <c r="A1268" s="28">
        <v>46148</v>
      </c>
      <c r="B1268" s="1" t="s">
        <v>263</v>
      </c>
      <c r="C1268" s="1" t="str">
        <f>VLOOKUP(B1268,'[2]Migrasi Bed'!$B$4:$E$521,4,0)</f>
        <v>SV.B030</v>
      </c>
      <c r="D1268" s="28">
        <f t="shared" si="384"/>
        <v>46171</v>
      </c>
      <c r="E1268" s="28">
        <f t="shared" si="385"/>
        <v>46155</v>
      </c>
      <c r="F1268" s="28">
        <f t="shared" si="386"/>
        <v>46162</v>
      </c>
      <c r="G1268" s="28">
        <f t="shared" si="387"/>
        <v>46168</v>
      </c>
      <c r="H1268" s="28">
        <f t="shared" si="388"/>
        <v>46156</v>
      </c>
      <c r="I1268" s="28">
        <f t="shared" si="389"/>
        <v>46163</v>
      </c>
      <c r="J1268" s="28">
        <v>46173</v>
      </c>
      <c r="K1268" s="1">
        <f t="shared" si="383"/>
        <v>25</v>
      </c>
      <c r="L1268" s="1">
        <v>12.1</v>
      </c>
      <c r="M1268" s="1">
        <v>10.36</v>
      </c>
      <c r="N1268" s="1">
        <v>1.7400000000000002</v>
      </c>
      <c r="O1268" s="1" t="s">
        <v>379</v>
      </c>
    </row>
    <row r="1269" spans="1:15" x14ac:dyDescent="0.25">
      <c r="A1269" s="28">
        <v>46150</v>
      </c>
      <c r="B1269" s="1" t="s">
        <v>213</v>
      </c>
      <c r="C1269" s="1" t="str">
        <f>VLOOKUP(B1269,'[2]Migrasi Bed'!$B$4:$E$521,4,0)</f>
        <v>SV.A010</v>
      </c>
      <c r="D1269" s="28">
        <f t="shared" si="384"/>
        <v>46173</v>
      </c>
      <c r="E1269" s="28">
        <f t="shared" si="385"/>
        <v>46157</v>
      </c>
      <c r="F1269" s="28">
        <f t="shared" si="386"/>
        <v>46164</v>
      </c>
      <c r="G1269" s="28">
        <f t="shared" si="387"/>
        <v>46170</v>
      </c>
      <c r="H1269" s="28">
        <f t="shared" si="388"/>
        <v>46158</v>
      </c>
      <c r="I1269" s="28">
        <f t="shared" si="389"/>
        <v>46165</v>
      </c>
      <c r="J1269" s="28">
        <v>46181</v>
      </c>
      <c r="K1269" s="1">
        <f t="shared" si="383"/>
        <v>31</v>
      </c>
      <c r="L1269" s="1">
        <v>10.6</v>
      </c>
      <c r="M1269" s="1">
        <v>8.8000000000000007</v>
      </c>
      <c r="N1269" s="1">
        <v>0</v>
      </c>
      <c r="O1269" s="1" t="s">
        <v>379</v>
      </c>
    </row>
    <row r="1270" spans="1:15" x14ac:dyDescent="0.25">
      <c r="A1270" s="28">
        <v>46150</v>
      </c>
      <c r="B1270" s="1" t="s">
        <v>214</v>
      </c>
      <c r="C1270" s="1" t="str">
        <f>VLOOKUP(B1270,'[2]Migrasi Bed'!$B$4:$E$521,4,0)</f>
        <v>SV.A011</v>
      </c>
      <c r="D1270" s="28">
        <f t="shared" si="384"/>
        <v>46173</v>
      </c>
      <c r="E1270" s="28">
        <f t="shared" si="385"/>
        <v>46157</v>
      </c>
      <c r="F1270" s="28">
        <f t="shared" si="386"/>
        <v>46164</v>
      </c>
      <c r="G1270" s="28">
        <f t="shared" si="387"/>
        <v>46170</v>
      </c>
      <c r="H1270" s="28">
        <f t="shared" si="388"/>
        <v>46158</v>
      </c>
      <c r="I1270" s="28">
        <f t="shared" si="389"/>
        <v>46165</v>
      </c>
      <c r="J1270" s="28">
        <v>46181</v>
      </c>
      <c r="K1270" s="1">
        <f t="shared" si="383"/>
        <v>31</v>
      </c>
      <c r="L1270" s="1">
        <v>12.7</v>
      </c>
      <c r="M1270" s="1">
        <v>10.5</v>
      </c>
      <c r="N1270" s="1">
        <v>0</v>
      </c>
      <c r="O1270" s="1" t="s">
        <v>379</v>
      </c>
    </row>
    <row r="1271" spans="1:15" x14ac:dyDescent="0.25">
      <c r="A1271" s="28">
        <v>46150</v>
      </c>
      <c r="B1271" s="1" t="s">
        <v>215</v>
      </c>
      <c r="C1271" s="1" t="str">
        <f>VLOOKUP(B1271,'[2]Migrasi Bed'!$B$4:$E$521,4,0)</f>
        <v>SV.A012</v>
      </c>
      <c r="D1271" s="28">
        <f t="shared" si="384"/>
        <v>46173</v>
      </c>
      <c r="E1271" s="28">
        <f t="shared" si="385"/>
        <v>46157</v>
      </c>
      <c r="F1271" s="28">
        <f t="shared" si="386"/>
        <v>46164</v>
      </c>
      <c r="G1271" s="28">
        <f t="shared" si="387"/>
        <v>46170</v>
      </c>
      <c r="H1271" s="28">
        <f t="shared" si="388"/>
        <v>46158</v>
      </c>
      <c r="I1271" s="28">
        <f t="shared" si="389"/>
        <v>46165</v>
      </c>
      <c r="J1271" s="28">
        <v>46180</v>
      </c>
      <c r="K1271" s="1">
        <f t="shared" si="383"/>
        <v>30</v>
      </c>
      <c r="L1271" s="1">
        <v>15.28</v>
      </c>
      <c r="M1271" s="1">
        <v>13.36</v>
      </c>
      <c r="N1271" s="1">
        <v>0</v>
      </c>
      <c r="O1271" s="1" t="s">
        <v>379</v>
      </c>
    </row>
    <row r="1272" spans="1:15" x14ac:dyDescent="0.25">
      <c r="A1272" s="28">
        <v>46150</v>
      </c>
      <c r="B1272" s="1" t="s">
        <v>216</v>
      </c>
      <c r="C1272" s="1" t="str">
        <f>VLOOKUP(B1272,'[2]Migrasi Bed'!$B$4:$E$521,4,0)</f>
        <v>SV.A013</v>
      </c>
      <c r="D1272" s="28">
        <f t="shared" si="384"/>
        <v>46173</v>
      </c>
      <c r="E1272" s="28">
        <f t="shared" si="385"/>
        <v>46157</v>
      </c>
      <c r="F1272" s="28">
        <f t="shared" si="386"/>
        <v>46164</v>
      </c>
      <c r="G1272" s="28">
        <f t="shared" si="387"/>
        <v>46170</v>
      </c>
      <c r="H1272" s="28">
        <f t="shared" si="388"/>
        <v>46158</v>
      </c>
      <c r="I1272" s="28">
        <f t="shared" si="389"/>
        <v>46165</v>
      </c>
      <c r="J1272" s="28">
        <v>46180</v>
      </c>
      <c r="K1272" s="1">
        <f t="shared" si="383"/>
        <v>30</v>
      </c>
      <c r="L1272" s="1">
        <v>15.51</v>
      </c>
      <c r="M1272" s="1">
        <v>13.77</v>
      </c>
      <c r="N1272" s="1">
        <v>0</v>
      </c>
      <c r="O1272" s="1" t="s">
        <v>379</v>
      </c>
    </row>
    <row r="1273" spans="1:15" x14ac:dyDescent="0.25">
      <c r="A1273" s="28">
        <v>46150</v>
      </c>
      <c r="B1273" s="1" t="s">
        <v>217</v>
      </c>
      <c r="C1273" s="1" t="str">
        <f>VLOOKUP(B1273,'[2]Migrasi Bed'!$B$4:$E$521,4,0)</f>
        <v>SV.A014</v>
      </c>
      <c r="D1273" s="28">
        <f t="shared" si="384"/>
        <v>46173</v>
      </c>
      <c r="E1273" s="28">
        <f t="shared" si="385"/>
        <v>46157</v>
      </c>
      <c r="F1273" s="28">
        <f t="shared" si="386"/>
        <v>46164</v>
      </c>
      <c r="G1273" s="28">
        <f t="shared" si="387"/>
        <v>46170</v>
      </c>
      <c r="H1273" s="28">
        <f t="shared" si="388"/>
        <v>46158</v>
      </c>
      <c r="I1273" s="28">
        <f t="shared" si="389"/>
        <v>46165</v>
      </c>
      <c r="J1273" s="28">
        <v>46180</v>
      </c>
      <c r="K1273" s="1">
        <f t="shared" si="383"/>
        <v>30</v>
      </c>
      <c r="L1273" s="1">
        <v>14.37</v>
      </c>
      <c r="M1273" s="1">
        <v>12.46</v>
      </c>
      <c r="N1273" s="1">
        <v>0</v>
      </c>
      <c r="O1273" s="1" t="s">
        <v>379</v>
      </c>
    </row>
    <row r="1274" spans="1:15" x14ac:dyDescent="0.25">
      <c r="A1274" s="28">
        <v>46150</v>
      </c>
      <c r="B1274" s="1" t="s">
        <v>218</v>
      </c>
      <c r="C1274" s="1" t="str">
        <f>VLOOKUP(B1274,'[2]Migrasi Bed'!$B$4:$E$521,4,0)</f>
        <v>SV.A015</v>
      </c>
      <c r="D1274" s="28">
        <f t="shared" si="384"/>
        <v>46173</v>
      </c>
      <c r="E1274" s="28">
        <f t="shared" si="385"/>
        <v>46157</v>
      </c>
      <c r="F1274" s="28">
        <f t="shared" si="386"/>
        <v>46164</v>
      </c>
      <c r="G1274" s="28">
        <f t="shared" si="387"/>
        <v>46170</v>
      </c>
      <c r="H1274" s="28">
        <f t="shared" si="388"/>
        <v>46158</v>
      </c>
      <c r="I1274" s="28">
        <f t="shared" si="389"/>
        <v>46165</v>
      </c>
      <c r="J1274" s="28">
        <v>46180</v>
      </c>
      <c r="K1274" s="1">
        <f t="shared" si="383"/>
        <v>30</v>
      </c>
      <c r="L1274" s="1">
        <v>15.1</v>
      </c>
      <c r="M1274" s="1">
        <v>13.13</v>
      </c>
      <c r="N1274" s="1">
        <v>0</v>
      </c>
      <c r="O1274" s="1" t="s">
        <v>379</v>
      </c>
    </row>
    <row r="1275" spans="1:15" x14ac:dyDescent="0.25">
      <c r="A1275" s="28">
        <v>46150</v>
      </c>
      <c r="B1275" s="1" t="s">
        <v>219</v>
      </c>
      <c r="C1275" s="1" t="str">
        <f>VLOOKUP(B1275,'[2]Migrasi Bed'!$B$4:$E$521,4,0)</f>
        <v>SV.A016</v>
      </c>
      <c r="D1275" s="28">
        <f t="shared" si="384"/>
        <v>46173</v>
      </c>
      <c r="E1275" s="28">
        <f t="shared" si="385"/>
        <v>46157</v>
      </c>
      <c r="F1275" s="28">
        <f t="shared" si="386"/>
        <v>46164</v>
      </c>
      <c r="G1275" s="28">
        <f t="shared" si="387"/>
        <v>46170</v>
      </c>
      <c r="H1275" s="28">
        <f t="shared" si="388"/>
        <v>46158</v>
      </c>
      <c r="I1275" s="28">
        <f t="shared" si="389"/>
        <v>46165</v>
      </c>
      <c r="J1275" s="28">
        <v>46180</v>
      </c>
      <c r="K1275" s="1">
        <f t="shared" si="383"/>
        <v>30</v>
      </c>
      <c r="L1275" s="1">
        <v>14.16</v>
      </c>
      <c r="M1275" s="1">
        <v>12.35</v>
      </c>
      <c r="N1275" s="1">
        <v>0</v>
      </c>
      <c r="O1275" s="1" t="s">
        <v>379</v>
      </c>
    </row>
    <row r="1276" spans="1:15" x14ac:dyDescent="0.25">
      <c r="A1276" s="28">
        <v>46151</v>
      </c>
      <c r="B1276" s="1" t="s">
        <v>243</v>
      </c>
      <c r="C1276" s="1" t="str">
        <f>VLOOKUP(B1276,'[2]Migrasi Bed'!$B$4:$E$521,4,0)</f>
        <v>SV.B010</v>
      </c>
      <c r="D1276" s="28">
        <f t="shared" si="384"/>
        <v>46174</v>
      </c>
      <c r="E1276" s="28">
        <f t="shared" si="385"/>
        <v>46158</v>
      </c>
      <c r="F1276" s="28">
        <f t="shared" si="386"/>
        <v>46165</v>
      </c>
      <c r="G1276" s="28">
        <f t="shared" si="387"/>
        <v>46171</v>
      </c>
      <c r="H1276" s="28">
        <f t="shared" si="388"/>
        <v>46159</v>
      </c>
      <c r="I1276" s="28">
        <f t="shared" si="389"/>
        <v>46166</v>
      </c>
      <c r="J1276" s="28">
        <v>46182</v>
      </c>
      <c r="K1276" s="1">
        <f t="shared" si="383"/>
        <v>31</v>
      </c>
      <c r="L1276" s="1">
        <v>9.1999999999999993</v>
      </c>
      <c r="M1276" s="1">
        <v>7.4</v>
      </c>
      <c r="N1276" s="1">
        <v>0</v>
      </c>
      <c r="O1276" s="1" t="s">
        <v>379</v>
      </c>
    </row>
    <row r="1277" spans="1:15" x14ac:dyDescent="0.25">
      <c r="A1277" s="28">
        <v>46151</v>
      </c>
      <c r="B1277" s="1" t="s">
        <v>244</v>
      </c>
      <c r="C1277" s="1" t="str">
        <f>VLOOKUP(B1277,'[2]Migrasi Bed'!$B$4:$E$521,4,0)</f>
        <v>SV.B011</v>
      </c>
      <c r="D1277" s="28">
        <f t="shared" si="384"/>
        <v>46174</v>
      </c>
      <c r="E1277" s="28">
        <f t="shared" si="385"/>
        <v>46158</v>
      </c>
      <c r="F1277" s="28">
        <f t="shared" si="386"/>
        <v>46165</v>
      </c>
      <c r="G1277" s="28">
        <f t="shared" si="387"/>
        <v>46171</v>
      </c>
      <c r="H1277" s="28">
        <f t="shared" si="388"/>
        <v>46159</v>
      </c>
      <c r="I1277" s="28">
        <f t="shared" si="389"/>
        <v>46166</v>
      </c>
      <c r="J1277" s="28">
        <v>46182</v>
      </c>
      <c r="K1277" s="1">
        <f t="shared" si="383"/>
        <v>31</v>
      </c>
      <c r="L1277" s="1">
        <v>8.3000000000000007</v>
      </c>
      <c r="M1277" s="1">
        <v>6.1</v>
      </c>
      <c r="N1277" s="1">
        <v>0</v>
      </c>
      <c r="O1277" s="1" t="s">
        <v>379</v>
      </c>
    </row>
    <row r="1278" spans="1:15" x14ac:dyDescent="0.25">
      <c r="A1278" s="28">
        <v>46151</v>
      </c>
      <c r="B1278" s="1" t="s">
        <v>245</v>
      </c>
      <c r="C1278" s="1" t="str">
        <f>VLOOKUP(B1278,'[2]Migrasi Bed'!$B$4:$E$521,4,0)</f>
        <v>SV.B012</v>
      </c>
      <c r="D1278" s="28">
        <f t="shared" si="384"/>
        <v>46174</v>
      </c>
      <c r="E1278" s="28">
        <f t="shared" si="385"/>
        <v>46158</v>
      </c>
      <c r="F1278" s="28">
        <f t="shared" si="386"/>
        <v>46165</v>
      </c>
      <c r="G1278" s="28">
        <f t="shared" si="387"/>
        <v>46171</v>
      </c>
      <c r="H1278" s="28">
        <f t="shared" si="388"/>
        <v>46159</v>
      </c>
      <c r="I1278" s="28">
        <f t="shared" si="389"/>
        <v>46166</v>
      </c>
      <c r="J1278" s="28">
        <v>46181</v>
      </c>
      <c r="K1278" s="1">
        <f t="shared" si="383"/>
        <v>30</v>
      </c>
      <c r="L1278" s="70">
        <v>12.9</v>
      </c>
      <c r="M1278" s="70">
        <v>10.6</v>
      </c>
      <c r="N1278" s="1">
        <v>0</v>
      </c>
      <c r="O1278" s="1" t="s">
        <v>379</v>
      </c>
    </row>
    <row r="1279" spans="1:15" x14ac:dyDescent="0.25">
      <c r="A1279" s="28">
        <v>46151</v>
      </c>
      <c r="B1279" s="1" t="s">
        <v>246</v>
      </c>
      <c r="C1279" s="1" t="str">
        <f>VLOOKUP(B1279,'[2]Migrasi Bed'!$B$4:$E$521,4,0)</f>
        <v>SV.B013</v>
      </c>
      <c r="D1279" s="28">
        <f t="shared" si="384"/>
        <v>46174</v>
      </c>
      <c r="E1279" s="28">
        <f t="shared" si="385"/>
        <v>46158</v>
      </c>
      <c r="F1279" s="28">
        <f t="shared" si="386"/>
        <v>46165</v>
      </c>
      <c r="G1279" s="28">
        <f t="shared" si="387"/>
        <v>46171</v>
      </c>
      <c r="H1279" s="28">
        <f t="shared" si="388"/>
        <v>46159</v>
      </c>
      <c r="I1279" s="28">
        <f t="shared" si="389"/>
        <v>46166</v>
      </c>
      <c r="J1279" s="28">
        <v>46181</v>
      </c>
      <c r="K1279" s="1">
        <f t="shared" si="383"/>
        <v>30</v>
      </c>
      <c r="L1279" s="70">
        <v>9.6999999999999993</v>
      </c>
      <c r="M1279" s="70">
        <v>7.6</v>
      </c>
      <c r="N1279" s="1">
        <v>0</v>
      </c>
      <c r="O1279" s="1" t="s">
        <v>379</v>
      </c>
    </row>
    <row r="1280" spans="1:15" x14ac:dyDescent="0.25">
      <c r="A1280" s="28">
        <v>46151</v>
      </c>
      <c r="B1280" s="1" t="s">
        <v>247</v>
      </c>
      <c r="C1280" s="1" t="str">
        <f>VLOOKUP(B1280,'[2]Migrasi Bed'!$B$4:$E$521,4,0)</f>
        <v>SV.B014</v>
      </c>
      <c r="D1280" s="28">
        <f t="shared" si="384"/>
        <v>46174</v>
      </c>
      <c r="E1280" s="28">
        <f t="shared" si="385"/>
        <v>46158</v>
      </c>
      <c r="F1280" s="28">
        <f t="shared" si="386"/>
        <v>46165</v>
      </c>
      <c r="G1280" s="28">
        <f t="shared" si="387"/>
        <v>46171</v>
      </c>
      <c r="H1280" s="28">
        <f t="shared" si="388"/>
        <v>46159</v>
      </c>
      <c r="I1280" s="28">
        <f t="shared" si="389"/>
        <v>46166</v>
      </c>
      <c r="J1280" s="28">
        <v>46181</v>
      </c>
      <c r="K1280" s="1">
        <f t="shared" si="383"/>
        <v>30</v>
      </c>
      <c r="L1280" s="70">
        <v>12.3</v>
      </c>
      <c r="M1280" s="70">
        <v>10.4</v>
      </c>
      <c r="N1280" s="1">
        <v>0</v>
      </c>
      <c r="O1280" s="1" t="s">
        <v>379</v>
      </c>
    </row>
    <row r="1281" spans="1:15" x14ac:dyDescent="0.25">
      <c r="A1281" s="28">
        <v>46151</v>
      </c>
      <c r="B1281" s="1" t="s">
        <v>248</v>
      </c>
      <c r="C1281" s="1" t="str">
        <f>VLOOKUP(B1281,'[2]Migrasi Bed'!$B$4:$E$521,4,0)</f>
        <v>SV.B015</v>
      </c>
      <c r="D1281" s="28">
        <f t="shared" si="384"/>
        <v>46174</v>
      </c>
      <c r="E1281" s="28">
        <f t="shared" si="385"/>
        <v>46158</v>
      </c>
      <c r="F1281" s="28">
        <f t="shared" si="386"/>
        <v>46165</v>
      </c>
      <c r="G1281" s="28">
        <f t="shared" si="387"/>
        <v>46171</v>
      </c>
      <c r="H1281" s="28">
        <f t="shared" si="388"/>
        <v>46159</v>
      </c>
      <c r="I1281" s="28">
        <f t="shared" si="389"/>
        <v>46166</v>
      </c>
      <c r="J1281" s="28">
        <v>46181</v>
      </c>
      <c r="K1281" s="1">
        <f t="shared" si="383"/>
        <v>30</v>
      </c>
      <c r="L1281" s="70">
        <v>8.4</v>
      </c>
      <c r="M1281" s="70">
        <v>6.2</v>
      </c>
      <c r="N1281" s="1">
        <v>0</v>
      </c>
      <c r="O1281" s="1" t="s">
        <v>379</v>
      </c>
    </row>
    <row r="1282" spans="1:15" x14ac:dyDescent="0.25">
      <c r="A1282" s="28">
        <v>46151</v>
      </c>
      <c r="B1282" s="1" t="s">
        <v>249</v>
      </c>
      <c r="C1282" s="1" t="str">
        <f>VLOOKUP(B1282,'[2]Migrasi Bed'!$B$4:$E$521,4,0)</f>
        <v>SV.B016</v>
      </c>
      <c r="D1282" s="28">
        <f t="shared" si="384"/>
        <v>46174</v>
      </c>
      <c r="E1282" s="28">
        <f t="shared" si="385"/>
        <v>46158</v>
      </c>
      <c r="F1282" s="28">
        <f t="shared" si="386"/>
        <v>46165</v>
      </c>
      <c r="G1282" s="28">
        <f t="shared" si="387"/>
        <v>46171</v>
      </c>
      <c r="H1282" s="28">
        <f t="shared" si="388"/>
        <v>46159</v>
      </c>
      <c r="I1282" s="28">
        <f t="shared" si="389"/>
        <v>46166</v>
      </c>
      <c r="J1282" s="28">
        <v>46181</v>
      </c>
      <c r="K1282" s="1">
        <f t="shared" si="383"/>
        <v>30</v>
      </c>
      <c r="L1282" s="70">
        <v>11.1</v>
      </c>
      <c r="M1282" s="70">
        <v>9.1</v>
      </c>
      <c r="N1282" s="1">
        <v>0</v>
      </c>
      <c r="O1282" s="1" t="s">
        <v>379</v>
      </c>
    </row>
    <row r="1283" spans="1:15" x14ac:dyDescent="0.25">
      <c r="A1283" s="28">
        <v>46152</v>
      </c>
      <c r="B1283" s="1" t="s">
        <v>206</v>
      </c>
      <c r="C1283" s="1" t="s">
        <v>430</v>
      </c>
      <c r="D1283" s="28">
        <v>46175</v>
      </c>
      <c r="E1283" s="28">
        <v>46159</v>
      </c>
      <c r="F1283" s="28">
        <v>46166</v>
      </c>
      <c r="G1283" s="28">
        <v>46172</v>
      </c>
      <c r="H1283" s="28">
        <v>46160</v>
      </c>
      <c r="I1283" s="28">
        <v>46167</v>
      </c>
      <c r="J1283" s="28">
        <v>46183</v>
      </c>
      <c r="K1283" s="1">
        <v>31</v>
      </c>
      <c r="L1283" s="1">
        <v>12.7</v>
      </c>
      <c r="M1283" s="1">
        <v>10.5</v>
      </c>
      <c r="N1283" s="1">
        <v>0</v>
      </c>
      <c r="O1283" s="1" t="s">
        <v>379</v>
      </c>
    </row>
    <row r="1284" spans="1:15" x14ac:dyDescent="0.25">
      <c r="A1284" s="28">
        <v>46152</v>
      </c>
      <c r="B1284" s="1" t="s">
        <v>207</v>
      </c>
      <c r="C1284" s="1" t="s">
        <v>431</v>
      </c>
      <c r="D1284" s="28">
        <v>46175</v>
      </c>
      <c r="E1284" s="28">
        <v>46159</v>
      </c>
      <c r="F1284" s="28">
        <v>46166</v>
      </c>
      <c r="G1284" s="28">
        <v>46172</v>
      </c>
      <c r="H1284" s="28">
        <v>46160</v>
      </c>
      <c r="I1284" s="28">
        <v>46167</v>
      </c>
      <c r="J1284" s="28">
        <v>46183</v>
      </c>
      <c r="K1284" s="1">
        <v>31</v>
      </c>
      <c r="L1284" s="1">
        <v>13.1</v>
      </c>
      <c r="M1284" s="1">
        <v>11</v>
      </c>
      <c r="N1284" s="1">
        <v>0</v>
      </c>
      <c r="O1284" s="1" t="s">
        <v>379</v>
      </c>
    </row>
    <row r="1285" spans="1:15" x14ac:dyDescent="0.25">
      <c r="A1285" s="28">
        <v>46152</v>
      </c>
      <c r="B1285" s="1" t="s">
        <v>208</v>
      </c>
      <c r="C1285" s="1" t="s">
        <v>432</v>
      </c>
      <c r="D1285" s="28">
        <v>46175</v>
      </c>
      <c r="E1285" s="28">
        <v>46159</v>
      </c>
      <c r="F1285" s="28">
        <v>46166</v>
      </c>
      <c r="G1285" s="28">
        <v>46172</v>
      </c>
      <c r="H1285" s="28">
        <v>46160</v>
      </c>
      <c r="I1285" s="28">
        <v>46167</v>
      </c>
      <c r="J1285" s="28">
        <v>46182</v>
      </c>
      <c r="K1285" s="1">
        <v>30</v>
      </c>
      <c r="L1285" s="1">
        <v>12.9</v>
      </c>
      <c r="M1285" s="1">
        <v>10.1</v>
      </c>
      <c r="N1285" s="1">
        <v>0</v>
      </c>
      <c r="O1285" s="1" t="s">
        <v>379</v>
      </c>
    </row>
    <row r="1286" spans="1:15" x14ac:dyDescent="0.25">
      <c r="A1286" s="28">
        <v>46152</v>
      </c>
      <c r="B1286" s="1" t="s">
        <v>209</v>
      </c>
      <c r="C1286" s="1" t="s">
        <v>433</v>
      </c>
      <c r="D1286" s="28">
        <v>46175</v>
      </c>
      <c r="E1286" s="28">
        <v>46159</v>
      </c>
      <c r="F1286" s="28">
        <v>46166</v>
      </c>
      <c r="G1286" s="28">
        <v>46172</v>
      </c>
      <c r="H1286" s="28">
        <v>46160</v>
      </c>
      <c r="I1286" s="28">
        <v>46167</v>
      </c>
      <c r="J1286" s="28">
        <v>46182</v>
      </c>
      <c r="K1286" s="1">
        <v>30</v>
      </c>
      <c r="L1286" s="1">
        <v>9.6999999999999993</v>
      </c>
      <c r="M1286" s="1">
        <v>7.7</v>
      </c>
      <c r="N1286" s="1">
        <v>0</v>
      </c>
      <c r="O1286" s="1" t="s">
        <v>379</v>
      </c>
    </row>
    <row r="1287" spans="1:15" x14ac:dyDescent="0.25">
      <c r="A1287" s="28">
        <v>46152</v>
      </c>
      <c r="B1287" s="1" t="s">
        <v>210</v>
      </c>
      <c r="C1287" s="1" t="s">
        <v>434</v>
      </c>
      <c r="D1287" s="28">
        <v>46175</v>
      </c>
      <c r="E1287" s="28">
        <v>46159</v>
      </c>
      <c r="F1287" s="28">
        <v>46166</v>
      </c>
      <c r="G1287" s="28">
        <v>46172</v>
      </c>
      <c r="H1287" s="28">
        <v>46160</v>
      </c>
      <c r="I1287" s="28">
        <v>46167</v>
      </c>
      <c r="J1287" s="28">
        <v>46182</v>
      </c>
      <c r="K1287" s="1">
        <v>30</v>
      </c>
      <c r="L1287" s="1">
        <v>12.3</v>
      </c>
      <c r="M1287" s="1">
        <v>10.5</v>
      </c>
      <c r="N1287" s="1">
        <v>0</v>
      </c>
      <c r="O1287" s="1" t="s">
        <v>379</v>
      </c>
    </row>
    <row r="1288" spans="1:15" x14ac:dyDescent="0.25">
      <c r="A1288" s="28">
        <v>46152</v>
      </c>
      <c r="B1288" s="1" t="s">
        <v>211</v>
      </c>
      <c r="C1288" s="1" t="s">
        <v>435</v>
      </c>
      <c r="D1288" s="28">
        <v>46175</v>
      </c>
      <c r="E1288" s="28">
        <v>46159</v>
      </c>
      <c r="F1288" s="28">
        <v>46166</v>
      </c>
      <c r="G1288" s="28">
        <v>46172</v>
      </c>
      <c r="H1288" s="28">
        <v>46160</v>
      </c>
      <c r="I1288" s="28">
        <v>46167</v>
      </c>
      <c r="J1288" s="28">
        <v>46182</v>
      </c>
      <c r="K1288" s="1">
        <v>30</v>
      </c>
      <c r="L1288" s="1">
        <v>10.5</v>
      </c>
      <c r="M1288" s="1">
        <v>8.9</v>
      </c>
      <c r="N1288" s="1">
        <v>0</v>
      </c>
      <c r="O1288" s="1" t="s">
        <v>379</v>
      </c>
    </row>
    <row r="1289" spans="1:15" x14ac:dyDescent="0.25">
      <c r="A1289" s="28">
        <v>46152</v>
      </c>
      <c r="B1289" s="1" t="s">
        <v>212</v>
      </c>
      <c r="C1289" s="1" t="s">
        <v>436</v>
      </c>
      <c r="D1289" s="28">
        <v>46175</v>
      </c>
      <c r="E1289" s="28">
        <v>46159</v>
      </c>
      <c r="F1289" s="28">
        <v>46166</v>
      </c>
      <c r="G1289" s="28">
        <v>46172</v>
      </c>
      <c r="H1289" s="28">
        <v>46160</v>
      </c>
      <c r="I1289" s="28">
        <v>46167</v>
      </c>
      <c r="J1289" s="28">
        <v>46182</v>
      </c>
      <c r="K1289" s="1">
        <v>30</v>
      </c>
      <c r="L1289" s="1">
        <v>12.4</v>
      </c>
      <c r="M1289" s="1">
        <v>10.199999999999999</v>
      </c>
      <c r="N1289" s="1">
        <v>0</v>
      </c>
      <c r="O1289" s="1" t="s">
        <v>379</v>
      </c>
    </row>
    <row r="1290" spans="1:15" x14ac:dyDescent="0.25">
      <c r="A1290" s="28">
        <v>46153</v>
      </c>
      <c r="B1290" s="1" t="s">
        <v>236</v>
      </c>
      <c r="C1290" s="1" t="s">
        <v>446</v>
      </c>
      <c r="D1290" s="28">
        <v>46176</v>
      </c>
      <c r="E1290" s="28">
        <v>46160</v>
      </c>
      <c r="F1290" s="28">
        <v>46167</v>
      </c>
      <c r="G1290" s="28">
        <v>46173</v>
      </c>
      <c r="H1290" s="28">
        <v>46161</v>
      </c>
      <c r="I1290" s="28">
        <v>46168</v>
      </c>
      <c r="J1290" s="28">
        <v>46184</v>
      </c>
      <c r="K1290" s="1">
        <v>31</v>
      </c>
      <c r="L1290" s="1">
        <v>8.6999999999999993</v>
      </c>
      <c r="M1290" s="1">
        <v>6.2</v>
      </c>
      <c r="N1290" s="1">
        <v>0</v>
      </c>
      <c r="O1290" s="1" t="s">
        <v>379</v>
      </c>
    </row>
    <row r="1291" spans="1:15" x14ac:dyDescent="0.25">
      <c r="A1291" s="28">
        <v>46153</v>
      </c>
      <c r="B1291" s="1" t="s">
        <v>237</v>
      </c>
      <c r="C1291" s="1" t="s">
        <v>447</v>
      </c>
      <c r="D1291" s="28">
        <v>46176</v>
      </c>
      <c r="E1291" s="28">
        <v>46160</v>
      </c>
      <c r="F1291" s="28">
        <v>46167</v>
      </c>
      <c r="G1291" s="28">
        <v>46173</v>
      </c>
      <c r="H1291" s="28">
        <v>46161</v>
      </c>
      <c r="I1291" s="28">
        <v>46168</v>
      </c>
      <c r="J1291" s="28">
        <v>46184</v>
      </c>
      <c r="K1291" s="1">
        <v>31</v>
      </c>
      <c r="L1291" s="1">
        <v>8.3000000000000007</v>
      </c>
      <c r="M1291" s="1">
        <v>6.1</v>
      </c>
      <c r="N1291" s="1">
        <v>0</v>
      </c>
      <c r="O1291" s="1" t="s">
        <v>379</v>
      </c>
    </row>
    <row r="1292" spans="1:15" x14ac:dyDescent="0.25">
      <c r="A1292" s="28">
        <v>46153</v>
      </c>
      <c r="B1292" s="1" t="s">
        <v>238</v>
      </c>
      <c r="C1292" s="1" t="s">
        <v>448</v>
      </c>
      <c r="D1292" s="28">
        <v>46176</v>
      </c>
      <c r="E1292" s="28">
        <v>46160</v>
      </c>
      <c r="F1292" s="28">
        <v>46167</v>
      </c>
      <c r="G1292" s="28">
        <v>46173</v>
      </c>
      <c r="H1292" s="28">
        <v>46161</v>
      </c>
      <c r="I1292" s="28">
        <v>46168</v>
      </c>
      <c r="J1292" s="28">
        <v>46183</v>
      </c>
      <c r="K1292" s="1">
        <v>30</v>
      </c>
      <c r="L1292" s="1">
        <v>12.6</v>
      </c>
      <c r="M1292" s="1">
        <v>10.199999999999999</v>
      </c>
      <c r="N1292" s="1">
        <v>0</v>
      </c>
      <c r="O1292" s="1" t="s">
        <v>379</v>
      </c>
    </row>
    <row r="1293" spans="1:15" x14ac:dyDescent="0.25">
      <c r="A1293" s="28">
        <v>46153</v>
      </c>
      <c r="B1293" s="1" t="s">
        <v>239</v>
      </c>
      <c r="C1293" s="1" t="s">
        <v>449</v>
      </c>
      <c r="D1293" s="28">
        <v>46176</v>
      </c>
      <c r="E1293" s="28">
        <v>46160</v>
      </c>
      <c r="F1293" s="28">
        <v>46167</v>
      </c>
      <c r="G1293" s="28">
        <v>46173</v>
      </c>
      <c r="H1293" s="28">
        <v>46161</v>
      </c>
      <c r="I1293" s="28">
        <v>46168</v>
      </c>
      <c r="J1293" s="28">
        <v>46183</v>
      </c>
      <c r="K1293" s="1">
        <v>30</v>
      </c>
      <c r="L1293" s="1">
        <v>11.8</v>
      </c>
      <c r="M1293" s="1">
        <v>9.9</v>
      </c>
      <c r="N1293" s="1">
        <v>0</v>
      </c>
      <c r="O1293" s="1" t="s">
        <v>379</v>
      </c>
    </row>
    <row r="1294" spans="1:15" x14ac:dyDescent="0.25">
      <c r="A1294" s="28">
        <v>46153</v>
      </c>
      <c r="B1294" s="1" t="s">
        <v>240</v>
      </c>
      <c r="C1294" s="1" t="s">
        <v>450</v>
      </c>
      <c r="D1294" s="28">
        <v>46176</v>
      </c>
      <c r="E1294" s="28">
        <v>46160</v>
      </c>
      <c r="F1294" s="28">
        <v>46167</v>
      </c>
      <c r="G1294" s="28">
        <v>46173</v>
      </c>
      <c r="H1294" s="28">
        <v>46161</v>
      </c>
      <c r="I1294" s="28">
        <v>46168</v>
      </c>
      <c r="J1294" s="28">
        <v>46183</v>
      </c>
      <c r="K1294" s="1">
        <v>30</v>
      </c>
      <c r="L1294" s="1">
        <v>11.3</v>
      </c>
      <c r="M1294" s="1">
        <v>9.3000000000000007</v>
      </c>
      <c r="N1294" s="1">
        <v>0</v>
      </c>
      <c r="O1294" s="1" t="s">
        <v>379</v>
      </c>
    </row>
    <row r="1295" spans="1:15" x14ac:dyDescent="0.25">
      <c r="A1295" s="28">
        <v>46153</v>
      </c>
      <c r="B1295" s="1" t="s">
        <v>241</v>
      </c>
      <c r="C1295" s="1" t="s">
        <v>451</v>
      </c>
      <c r="D1295" s="28">
        <v>46176</v>
      </c>
      <c r="E1295" s="28">
        <v>46160</v>
      </c>
      <c r="F1295" s="28">
        <v>46167</v>
      </c>
      <c r="G1295" s="28">
        <v>46173</v>
      </c>
      <c r="H1295" s="28">
        <v>46161</v>
      </c>
      <c r="I1295" s="28">
        <v>46168</v>
      </c>
      <c r="J1295" s="28">
        <v>46183</v>
      </c>
      <c r="K1295" s="1">
        <v>30</v>
      </c>
      <c r="L1295" s="1">
        <v>12.5</v>
      </c>
      <c r="M1295" s="1">
        <v>10.3</v>
      </c>
      <c r="N1295" s="1">
        <v>0</v>
      </c>
      <c r="O1295" s="1" t="s">
        <v>379</v>
      </c>
    </row>
    <row r="1296" spans="1:15" x14ac:dyDescent="0.25">
      <c r="A1296" s="28">
        <v>46153</v>
      </c>
      <c r="B1296" s="1" t="s">
        <v>242</v>
      </c>
      <c r="C1296" s="1" t="s">
        <v>452</v>
      </c>
      <c r="D1296" s="28">
        <v>46176</v>
      </c>
      <c r="E1296" s="28">
        <v>46160</v>
      </c>
      <c r="F1296" s="28">
        <v>46167</v>
      </c>
      <c r="G1296" s="28">
        <v>46173</v>
      </c>
      <c r="H1296" s="28">
        <v>46161</v>
      </c>
      <c r="I1296" s="28">
        <v>46168</v>
      </c>
      <c r="J1296" s="28">
        <v>46183</v>
      </c>
      <c r="K1296" s="1">
        <v>30</v>
      </c>
      <c r="L1296" s="1">
        <v>12.9</v>
      </c>
      <c r="M1296" s="1">
        <v>10.7</v>
      </c>
      <c r="N1296" s="1">
        <v>0</v>
      </c>
      <c r="O1296" s="1" t="s">
        <v>379</v>
      </c>
    </row>
    <row r="1297" spans="1:15" x14ac:dyDescent="0.25">
      <c r="A1297" s="28">
        <v>46154</v>
      </c>
      <c r="B1297" s="1" t="s">
        <v>204</v>
      </c>
      <c r="C1297" s="1" t="s">
        <v>453</v>
      </c>
      <c r="D1297" s="28">
        <v>46177</v>
      </c>
      <c r="E1297" s="28">
        <v>46161</v>
      </c>
      <c r="F1297" s="28">
        <v>46168</v>
      </c>
      <c r="G1297" s="28">
        <v>46174</v>
      </c>
      <c r="H1297" s="28">
        <v>46162</v>
      </c>
      <c r="I1297" s="28">
        <v>46169</v>
      </c>
      <c r="J1297" s="28">
        <v>46184</v>
      </c>
      <c r="K1297" s="1">
        <v>30</v>
      </c>
      <c r="L1297" s="1">
        <v>9.6</v>
      </c>
      <c r="M1297" s="1">
        <v>7.5</v>
      </c>
      <c r="N1297" s="1">
        <v>0</v>
      </c>
      <c r="O1297" s="1" t="s">
        <v>379</v>
      </c>
    </row>
    <row r="1298" spans="1:15" x14ac:dyDescent="0.25">
      <c r="A1298" s="28">
        <v>46154</v>
      </c>
      <c r="B1298" s="1" t="s">
        <v>205</v>
      </c>
      <c r="C1298" s="1" t="s">
        <v>454</v>
      </c>
      <c r="D1298" s="28">
        <v>46177</v>
      </c>
      <c r="E1298" s="28">
        <v>46161</v>
      </c>
      <c r="F1298" s="28">
        <v>46168</v>
      </c>
      <c r="G1298" s="28">
        <v>46174</v>
      </c>
      <c r="H1298" s="28">
        <v>46162</v>
      </c>
      <c r="I1298" s="28">
        <v>46169</v>
      </c>
      <c r="J1298" s="28">
        <v>46185</v>
      </c>
      <c r="K1298" s="1">
        <v>31</v>
      </c>
      <c r="L1298" s="1">
        <v>9.6</v>
      </c>
      <c r="M1298" s="1">
        <v>7.5</v>
      </c>
      <c r="N1298" s="1">
        <v>0</v>
      </c>
      <c r="O1298" s="1" t="s">
        <v>379</v>
      </c>
    </row>
    <row r="1299" spans="1:15" x14ac:dyDescent="0.25">
      <c r="A1299" s="28">
        <v>46154</v>
      </c>
      <c r="B1299" s="1" t="s">
        <v>234</v>
      </c>
      <c r="C1299" s="1" t="s">
        <v>455</v>
      </c>
      <c r="D1299" s="28">
        <v>46177</v>
      </c>
      <c r="E1299" s="28">
        <v>46161</v>
      </c>
      <c r="F1299" s="28">
        <v>46168</v>
      </c>
      <c r="G1299" s="28">
        <v>46174</v>
      </c>
      <c r="H1299" s="28">
        <v>46162</v>
      </c>
      <c r="I1299" s="28">
        <v>46169</v>
      </c>
      <c r="J1299" s="28">
        <v>46185</v>
      </c>
      <c r="K1299" s="1">
        <v>31</v>
      </c>
      <c r="L1299" s="1">
        <v>7.1</v>
      </c>
      <c r="M1299" s="1">
        <v>5.8</v>
      </c>
      <c r="N1299" s="1">
        <v>0</v>
      </c>
      <c r="O1299" s="1" t="s">
        <v>379</v>
      </c>
    </row>
    <row r="1300" spans="1:15" x14ac:dyDescent="0.25">
      <c r="A1300" s="28">
        <v>46154</v>
      </c>
      <c r="B1300" s="1" t="s">
        <v>235</v>
      </c>
      <c r="C1300" s="1" t="s">
        <v>456</v>
      </c>
      <c r="D1300" s="28">
        <v>46177</v>
      </c>
      <c r="E1300" s="28">
        <v>46161</v>
      </c>
      <c r="F1300" s="28">
        <v>46168</v>
      </c>
      <c r="G1300" s="28">
        <v>46174</v>
      </c>
      <c r="H1300" s="28">
        <v>46162</v>
      </c>
      <c r="I1300" s="28">
        <v>46169</v>
      </c>
      <c r="J1300" s="28">
        <v>46185</v>
      </c>
      <c r="K1300" s="1">
        <v>31</v>
      </c>
      <c r="L1300" s="1">
        <v>6.9</v>
      </c>
      <c r="M1300" s="1">
        <v>5.7</v>
      </c>
      <c r="N1300" s="1">
        <v>0</v>
      </c>
      <c r="O1300" s="1" t="s">
        <v>379</v>
      </c>
    </row>
    <row r="1301" spans="1:15" x14ac:dyDescent="0.25">
      <c r="A1301" s="28">
        <v>46154</v>
      </c>
      <c r="B1301" s="1" t="s">
        <v>391</v>
      </c>
      <c r="C1301" s="1" t="s">
        <v>457</v>
      </c>
      <c r="D1301" s="28">
        <v>46177</v>
      </c>
      <c r="E1301" s="28">
        <v>46161</v>
      </c>
      <c r="F1301" s="28">
        <v>46168</v>
      </c>
      <c r="G1301" s="28">
        <v>46174</v>
      </c>
      <c r="H1301" s="28">
        <v>46162</v>
      </c>
      <c r="I1301" s="28">
        <v>46169</v>
      </c>
      <c r="J1301" s="28">
        <v>46185</v>
      </c>
      <c r="K1301" s="1">
        <v>31</v>
      </c>
      <c r="L1301" s="1">
        <v>7.2</v>
      </c>
      <c r="M1301" s="1">
        <v>5.0999999999999996</v>
      </c>
      <c r="N1301" s="1">
        <v>0</v>
      </c>
      <c r="O1301" s="1" t="s">
        <v>379</v>
      </c>
    </row>
    <row r="1302" spans="1:15" x14ac:dyDescent="0.25">
      <c r="A1302" s="28">
        <v>46154</v>
      </c>
      <c r="B1302" s="1" t="s">
        <v>392</v>
      </c>
      <c r="C1302" s="1" t="s">
        <v>458</v>
      </c>
      <c r="D1302" s="28">
        <v>46177</v>
      </c>
      <c r="E1302" s="28">
        <v>46161</v>
      </c>
      <c r="F1302" s="28">
        <v>46168</v>
      </c>
      <c r="G1302" s="28">
        <v>46174</v>
      </c>
      <c r="H1302" s="28">
        <v>46162</v>
      </c>
      <c r="I1302" s="28">
        <v>46169</v>
      </c>
      <c r="J1302" s="28">
        <v>46185</v>
      </c>
      <c r="K1302" s="1">
        <v>31</v>
      </c>
      <c r="L1302" s="1">
        <v>6.1</v>
      </c>
      <c r="M1302" s="1">
        <v>4.9000000000000004</v>
      </c>
      <c r="N1302" s="1">
        <v>0</v>
      </c>
      <c r="O1302" s="1" t="s">
        <v>379</v>
      </c>
    </row>
    <row r="1303" spans="1:15" x14ac:dyDescent="0.25">
      <c r="A1303" s="28">
        <v>46154</v>
      </c>
      <c r="B1303" s="1" t="s">
        <v>266</v>
      </c>
      <c r="C1303" s="1" t="s">
        <v>459</v>
      </c>
      <c r="D1303" s="28">
        <v>46177</v>
      </c>
      <c r="E1303" s="28">
        <v>46161</v>
      </c>
      <c r="F1303" s="28">
        <v>46168</v>
      </c>
      <c r="G1303" s="28">
        <v>46174</v>
      </c>
      <c r="H1303" s="28">
        <v>46162</v>
      </c>
      <c r="I1303" s="28">
        <v>46169</v>
      </c>
      <c r="J1303" s="28">
        <v>46184</v>
      </c>
      <c r="K1303" s="1">
        <v>30</v>
      </c>
      <c r="L1303" s="1">
        <v>7.8</v>
      </c>
      <c r="M1303" s="1">
        <v>5.5</v>
      </c>
      <c r="N1303" s="1">
        <v>0</v>
      </c>
      <c r="O1303" s="1" t="s">
        <v>379</v>
      </c>
    </row>
    <row r="1304" spans="1:15" x14ac:dyDescent="0.25">
      <c r="A1304" s="28">
        <v>46154</v>
      </c>
      <c r="B1304" s="1" t="s">
        <v>267</v>
      </c>
      <c r="C1304" s="1" t="s">
        <v>460</v>
      </c>
      <c r="D1304" s="28">
        <v>46177</v>
      </c>
      <c r="E1304" s="28">
        <v>46161</v>
      </c>
      <c r="F1304" s="28">
        <v>46168</v>
      </c>
      <c r="G1304" s="28">
        <v>46174</v>
      </c>
      <c r="H1304" s="28">
        <v>46162</v>
      </c>
      <c r="I1304" s="28">
        <v>46169</v>
      </c>
      <c r="J1304" s="28">
        <v>46184</v>
      </c>
      <c r="K1304" s="1">
        <v>30</v>
      </c>
      <c r="L1304" s="1">
        <v>7.6</v>
      </c>
      <c r="M1304" s="1">
        <v>5.4</v>
      </c>
      <c r="N1304" s="1">
        <v>0</v>
      </c>
      <c r="O1304" s="1" t="s">
        <v>379</v>
      </c>
    </row>
    <row r="1305" spans="1:15" x14ac:dyDescent="0.25">
      <c r="A1305" s="28">
        <v>46155</v>
      </c>
      <c r="B1305" s="1" t="s">
        <v>268</v>
      </c>
      <c r="C1305" s="1" t="s">
        <v>461</v>
      </c>
      <c r="D1305" s="28">
        <v>46178</v>
      </c>
      <c r="E1305" s="28">
        <v>46162</v>
      </c>
      <c r="F1305" s="28">
        <v>46169</v>
      </c>
      <c r="G1305" s="28">
        <v>46175</v>
      </c>
      <c r="H1305" s="28">
        <v>46163</v>
      </c>
      <c r="I1305" s="28">
        <v>46170</v>
      </c>
      <c r="J1305" s="28">
        <v>46184</v>
      </c>
      <c r="K1305" s="1">
        <v>29</v>
      </c>
      <c r="L1305" s="1">
        <v>14.6</v>
      </c>
      <c r="M1305" s="1">
        <v>12.2</v>
      </c>
      <c r="N1305" s="1">
        <v>0</v>
      </c>
      <c r="O1305" s="1" t="s">
        <v>379</v>
      </c>
    </row>
    <row r="1306" spans="1:15" x14ac:dyDescent="0.25">
      <c r="A1306" s="28">
        <v>46155</v>
      </c>
      <c r="B1306" s="1" t="s">
        <v>269</v>
      </c>
      <c r="C1306" s="1" t="s">
        <v>462</v>
      </c>
      <c r="D1306" s="28">
        <v>46178</v>
      </c>
      <c r="E1306" s="28">
        <v>46162</v>
      </c>
      <c r="F1306" s="28">
        <v>46169</v>
      </c>
      <c r="G1306" s="28">
        <v>46175</v>
      </c>
      <c r="H1306" s="28">
        <v>46163</v>
      </c>
      <c r="I1306" s="28">
        <v>46170</v>
      </c>
      <c r="J1306" s="28">
        <v>46184</v>
      </c>
      <c r="K1306" s="1">
        <v>29</v>
      </c>
      <c r="L1306" s="1">
        <v>14.1</v>
      </c>
      <c r="M1306" s="1">
        <v>12.6</v>
      </c>
      <c r="N1306" s="1">
        <v>0</v>
      </c>
      <c r="O1306" s="1" t="s">
        <v>379</v>
      </c>
    </row>
    <row r="1307" spans="1:15" x14ac:dyDescent="0.25">
      <c r="A1307" s="28">
        <v>46155</v>
      </c>
      <c r="B1307" s="1" t="s">
        <v>270</v>
      </c>
      <c r="C1307" s="1" t="s">
        <v>463</v>
      </c>
      <c r="D1307" s="28">
        <v>46178</v>
      </c>
      <c r="E1307" s="28">
        <v>46162</v>
      </c>
      <c r="F1307" s="28">
        <v>46169</v>
      </c>
      <c r="G1307" s="28">
        <v>46175</v>
      </c>
      <c r="H1307" s="28">
        <v>46163</v>
      </c>
      <c r="I1307" s="28">
        <v>46170</v>
      </c>
      <c r="J1307" s="28">
        <v>46184</v>
      </c>
      <c r="K1307" s="1">
        <v>29</v>
      </c>
      <c r="L1307" s="1">
        <v>15.2</v>
      </c>
      <c r="M1307" s="1">
        <v>13.3</v>
      </c>
      <c r="N1307" s="1">
        <v>0</v>
      </c>
      <c r="O1307" s="1" t="s">
        <v>379</v>
      </c>
    </row>
    <row r="1308" spans="1:15" x14ac:dyDescent="0.25">
      <c r="A1308" s="28">
        <v>46155</v>
      </c>
      <c r="B1308" s="1" t="s">
        <v>271</v>
      </c>
      <c r="C1308" s="1" t="s">
        <v>464</v>
      </c>
      <c r="D1308" s="28">
        <v>46178</v>
      </c>
      <c r="E1308" s="28">
        <v>46162</v>
      </c>
      <c r="F1308" s="28">
        <v>46169</v>
      </c>
      <c r="G1308" s="28">
        <v>46175</v>
      </c>
      <c r="H1308" s="28">
        <v>46163</v>
      </c>
      <c r="I1308" s="28">
        <v>46170</v>
      </c>
      <c r="J1308" s="28">
        <v>46184</v>
      </c>
      <c r="K1308" s="1">
        <v>29</v>
      </c>
      <c r="L1308" s="1">
        <v>16.399999999999999</v>
      </c>
      <c r="M1308" s="1">
        <v>14.7</v>
      </c>
      <c r="N1308" s="1">
        <v>0</v>
      </c>
      <c r="O1308" s="1" t="s">
        <v>379</v>
      </c>
    </row>
    <row r="1309" spans="1:15" x14ac:dyDescent="0.25">
      <c r="A1309" s="28">
        <v>46155</v>
      </c>
      <c r="B1309" s="1" t="s">
        <v>272</v>
      </c>
      <c r="C1309" s="1" t="s">
        <v>465</v>
      </c>
      <c r="D1309" s="28">
        <v>46178</v>
      </c>
      <c r="E1309" s="28">
        <v>46162</v>
      </c>
      <c r="F1309" s="28">
        <v>46169</v>
      </c>
      <c r="G1309" s="28">
        <v>46175</v>
      </c>
      <c r="H1309" s="28">
        <v>46163</v>
      </c>
      <c r="I1309" s="28">
        <v>46170</v>
      </c>
      <c r="J1309" s="28">
        <v>46184</v>
      </c>
      <c r="K1309" s="1">
        <v>29</v>
      </c>
      <c r="L1309" s="1">
        <v>16.600000000000001</v>
      </c>
      <c r="M1309" s="1">
        <v>14.5</v>
      </c>
      <c r="N1309" s="1">
        <v>0</v>
      </c>
      <c r="O1309" s="1" t="s">
        <v>379</v>
      </c>
    </row>
    <row r="1310" spans="1:15" x14ac:dyDescent="0.25">
      <c r="A1310" s="28">
        <v>46155</v>
      </c>
      <c r="B1310" s="1" t="s">
        <v>273</v>
      </c>
      <c r="C1310" s="1" t="s">
        <v>466</v>
      </c>
      <c r="D1310" s="28">
        <v>46178</v>
      </c>
      <c r="E1310" s="28">
        <v>46162</v>
      </c>
      <c r="F1310" s="28">
        <v>46169</v>
      </c>
      <c r="G1310" s="28">
        <v>46175</v>
      </c>
      <c r="H1310" s="28">
        <v>46163</v>
      </c>
      <c r="I1310" s="28">
        <v>46170</v>
      </c>
      <c r="J1310" s="28">
        <v>46184</v>
      </c>
      <c r="K1310" s="1">
        <v>29</v>
      </c>
      <c r="L1310" s="1">
        <v>15.3</v>
      </c>
      <c r="M1310" s="1">
        <v>13.8</v>
      </c>
      <c r="N1310" s="1">
        <v>0</v>
      </c>
      <c r="O1310" s="1" t="s">
        <v>379</v>
      </c>
    </row>
    <row r="1311" spans="1:15" x14ac:dyDescent="0.25">
      <c r="A1311" s="28">
        <v>46155</v>
      </c>
      <c r="B1311" s="1" t="s">
        <v>274</v>
      </c>
      <c r="C1311" s="1" t="s">
        <v>467</v>
      </c>
      <c r="D1311" s="28">
        <v>46178</v>
      </c>
      <c r="E1311" s="28">
        <v>46162</v>
      </c>
      <c r="F1311" s="28">
        <v>46169</v>
      </c>
      <c r="G1311" s="28">
        <v>46175</v>
      </c>
      <c r="H1311" s="28">
        <v>46163</v>
      </c>
      <c r="I1311" s="28">
        <v>46170</v>
      </c>
      <c r="J1311" s="28">
        <v>46184</v>
      </c>
      <c r="K1311" s="1">
        <v>29</v>
      </c>
      <c r="L1311" s="1">
        <v>15.2</v>
      </c>
      <c r="M1311" s="1">
        <v>13.7</v>
      </c>
      <c r="N1311" s="1">
        <v>0</v>
      </c>
      <c r="O1311" s="1" t="s">
        <v>379</v>
      </c>
    </row>
    <row r="1312" spans="1:15" x14ac:dyDescent="0.25">
      <c r="A1312" s="28">
        <v>46156</v>
      </c>
      <c r="B1312" s="1" t="s">
        <v>275</v>
      </c>
      <c r="C1312" s="1" t="s">
        <v>468</v>
      </c>
      <c r="D1312" s="28">
        <v>46179</v>
      </c>
      <c r="E1312" s="28">
        <v>46163</v>
      </c>
      <c r="F1312" s="28">
        <v>46170</v>
      </c>
      <c r="G1312" s="28">
        <v>46176</v>
      </c>
      <c r="H1312" s="28">
        <v>46164</v>
      </c>
      <c r="I1312" s="28">
        <v>46171</v>
      </c>
      <c r="J1312" s="28">
        <v>46185</v>
      </c>
      <c r="K1312" s="1">
        <v>29</v>
      </c>
      <c r="L1312" s="1">
        <v>15.2</v>
      </c>
      <c r="M1312" s="1">
        <v>13.6</v>
      </c>
      <c r="N1312" s="1">
        <v>0</v>
      </c>
      <c r="O1312" s="1" t="s">
        <v>379</v>
      </c>
    </row>
    <row r="1313" spans="1:15" x14ac:dyDescent="0.25">
      <c r="A1313" s="28">
        <v>46156</v>
      </c>
      <c r="B1313" s="1" t="s">
        <v>276</v>
      </c>
      <c r="C1313" s="1" t="s">
        <v>469</v>
      </c>
      <c r="D1313" s="28">
        <v>46179</v>
      </c>
      <c r="E1313" s="28">
        <v>46163</v>
      </c>
      <c r="F1313" s="28">
        <v>46170</v>
      </c>
      <c r="G1313" s="28">
        <v>46176</v>
      </c>
      <c r="H1313" s="28">
        <v>46164</v>
      </c>
      <c r="I1313" s="28">
        <v>46171</v>
      </c>
      <c r="J1313" s="28">
        <v>46185</v>
      </c>
      <c r="K1313" s="1">
        <v>29</v>
      </c>
      <c r="L1313" s="1">
        <v>15.7</v>
      </c>
      <c r="M1313" s="1">
        <v>13.9</v>
      </c>
      <c r="N1313" s="1">
        <v>0</v>
      </c>
      <c r="O1313" s="1" t="s">
        <v>379</v>
      </c>
    </row>
    <row r="1314" spans="1:15" x14ac:dyDescent="0.25">
      <c r="A1314" s="28">
        <v>46156</v>
      </c>
      <c r="B1314" s="1" t="s">
        <v>277</v>
      </c>
      <c r="C1314" s="1" t="s">
        <v>470</v>
      </c>
      <c r="D1314" s="28">
        <v>46179</v>
      </c>
      <c r="E1314" s="28">
        <v>46163</v>
      </c>
      <c r="F1314" s="28">
        <v>46170</v>
      </c>
      <c r="G1314" s="28">
        <v>46176</v>
      </c>
      <c r="H1314" s="28">
        <v>46164</v>
      </c>
      <c r="I1314" s="28">
        <v>46171</v>
      </c>
      <c r="J1314" s="28">
        <v>46185</v>
      </c>
      <c r="K1314" s="1">
        <v>29</v>
      </c>
      <c r="L1314" s="1">
        <v>14.2</v>
      </c>
      <c r="M1314" s="1">
        <v>12.5</v>
      </c>
      <c r="N1314" s="1">
        <v>0</v>
      </c>
      <c r="O1314" s="1" t="s">
        <v>379</v>
      </c>
    </row>
    <row r="1315" spans="1:15" x14ac:dyDescent="0.25">
      <c r="A1315" s="28">
        <v>46156</v>
      </c>
      <c r="B1315" s="1" t="s">
        <v>278</v>
      </c>
      <c r="C1315" s="1" t="s">
        <v>471</v>
      </c>
      <c r="D1315" s="28">
        <v>46179</v>
      </c>
      <c r="E1315" s="28">
        <v>46163</v>
      </c>
      <c r="F1315" s="28">
        <v>46170</v>
      </c>
      <c r="G1315" s="28">
        <v>46176</v>
      </c>
      <c r="H1315" s="28">
        <v>46164</v>
      </c>
      <c r="I1315" s="28">
        <v>46171</v>
      </c>
      <c r="J1315" s="28">
        <v>46185</v>
      </c>
      <c r="K1315" s="1">
        <v>29</v>
      </c>
      <c r="L1315" s="1">
        <v>14.6</v>
      </c>
      <c r="M1315" s="1">
        <v>12.7</v>
      </c>
      <c r="N1315" s="1">
        <v>0</v>
      </c>
      <c r="O1315" s="1" t="s">
        <v>379</v>
      </c>
    </row>
    <row r="1316" spans="1:15" x14ac:dyDescent="0.25">
      <c r="A1316" s="28">
        <v>46156</v>
      </c>
      <c r="B1316" s="1" t="s">
        <v>279</v>
      </c>
      <c r="C1316" s="1" t="s">
        <v>472</v>
      </c>
      <c r="D1316" s="28">
        <v>46179</v>
      </c>
      <c r="E1316" s="28">
        <v>46163</v>
      </c>
      <c r="F1316" s="28">
        <v>46170</v>
      </c>
      <c r="G1316" s="28">
        <v>46176</v>
      </c>
      <c r="H1316" s="28">
        <v>46164</v>
      </c>
      <c r="I1316" s="28">
        <v>46171</v>
      </c>
      <c r="J1316" s="28">
        <v>46185</v>
      </c>
      <c r="K1316" s="1">
        <v>29</v>
      </c>
      <c r="L1316" s="1">
        <v>15.1</v>
      </c>
      <c r="M1316" s="1">
        <v>13.3</v>
      </c>
      <c r="N1316" s="1">
        <v>0</v>
      </c>
      <c r="O1316" s="1" t="s">
        <v>379</v>
      </c>
    </row>
    <row r="1317" spans="1:15" x14ac:dyDescent="0.25">
      <c r="A1317" s="28">
        <v>46156</v>
      </c>
      <c r="B1317" s="1" t="s">
        <v>280</v>
      </c>
      <c r="C1317" s="1" t="s">
        <v>473</v>
      </c>
      <c r="D1317" s="28">
        <v>46179</v>
      </c>
      <c r="E1317" s="28">
        <v>46163</v>
      </c>
      <c r="F1317" s="28">
        <v>46170</v>
      </c>
      <c r="G1317" s="28">
        <v>46176</v>
      </c>
      <c r="H1317" s="28">
        <v>46164</v>
      </c>
      <c r="I1317" s="28">
        <v>46171</v>
      </c>
      <c r="J1317" s="28">
        <v>46185</v>
      </c>
      <c r="K1317" s="1">
        <v>29</v>
      </c>
      <c r="L1317" s="1">
        <v>14.7</v>
      </c>
      <c r="M1317" s="1">
        <v>12.8</v>
      </c>
      <c r="N1317" s="1">
        <v>0</v>
      </c>
      <c r="O1317" s="1" t="s">
        <v>379</v>
      </c>
    </row>
    <row r="1318" spans="1:15" x14ac:dyDescent="0.25">
      <c r="A1318" s="28">
        <v>46156</v>
      </c>
      <c r="B1318" s="1" t="s">
        <v>281</v>
      </c>
      <c r="C1318" s="1" t="s">
        <v>474</v>
      </c>
      <c r="D1318" s="28">
        <v>46179</v>
      </c>
      <c r="E1318" s="28">
        <v>46163</v>
      </c>
      <c r="F1318" s="28">
        <v>46170</v>
      </c>
      <c r="G1318" s="28">
        <v>46176</v>
      </c>
      <c r="H1318" s="28">
        <v>46164</v>
      </c>
      <c r="I1318" s="28">
        <v>46171</v>
      </c>
      <c r="J1318" s="28">
        <v>46185</v>
      </c>
      <c r="K1318" s="1">
        <v>29</v>
      </c>
      <c r="L1318" s="1">
        <v>15.2</v>
      </c>
      <c r="M1318" s="1">
        <v>13.4</v>
      </c>
      <c r="N1318" s="1">
        <v>0</v>
      </c>
      <c r="O1318" s="1" t="s">
        <v>379</v>
      </c>
    </row>
    <row r="1319" spans="1:15" x14ac:dyDescent="0.25">
      <c r="A1319" s="28">
        <v>46157</v>
      </c>
      <c r="B1319" s="1" t="s">
        <v>282</v>
      </c>
      <c r="C1319" s="1" t="s">
        <v>491</v>
      </c>
      <c r="D1319" s="28">
        <v>46180</v>
      </c>
      <c r="E1319" s="28">
        <v>46164</v>
      </c>
      <c r="F1319" s="28">
        <v>46171</v>
      </c>
      <c r="G1319" s="28">
        <v>46177</v>
      </c>
      <c r="H1319" s="28">
        <v>46165</v>
      </c>
      <c r="I1319" s="28">
        <v>46172</v>
      </c>
      <c r="J1319" s="28">
        <v>46185</v>
      </c>
      <c r="K1319" s="1">
        <v>28</v>
      </c>
      <c r="L1319" s="1">
        <v>14.3</v>
      </c>
      <c r="M1319" s="1">
        <v>12.7</v>
      </c>
      <c r="N1319" s="1">
        <v>0</v>
      </c>
      <c r="O1319" s="1" t="s">
        <v>379</v>
      </c>
    </row>
    <row r="1320" spans="1:15" x14ac:dyDescent="0.25">
      <c r="A1320" s="28">
        <v>46157</v>
      </c>
      <c r="B1320" s="1" t="s">
        <v>283</v>
      </c>
      <c r="C1320" s="1" t="s">
        <v>492</v>
      </c>
      <c r="D1320" s="28">
        <v>46180</v>
      </c>
      <c r="E1320" s="28">
        <v>46164</v>
      </c>
      <c r="F1320" s="28">
        <v>46171</v>
      </c>
      <c r="G1320" s="28">
        <v>46177</v>
      </c>
      <c r="H1320" s="28">
        <v>46165</v>
      </c>
      <c r="I1320" s="28">
        <v>46172</v>
      </c>
      <c r="J1320" s="28">
        <v>46185</v>
      </c>
      <c r="K1320" s="1">
        <v>28</v>
      </c>
      <c r="L1320" s="1">
        <v>16.7</v>
      </c>
      <c r="M1320" s="1">
        <v>14.3</v>
      </c>
      <c r="N1320" s="1">
        <v>0</v>
      </c>
      <c r="O1320" s="1" t="s">
        <v>379</v>
      </c>
    </row>
    <row r="1321" spans="1:15" x14ac:dyDescent="0.25">
      <c r="A1321" s="28">
        <v>46157</v>
      </c>
      <c r="B1321" s="1" t="s">
        <v>284</v>
      </c>
      <c r="C1321" s="1" t="s">
        <v>493</v>
      </c>
      <c r="D1321" s="28">
        <v>46180</v>
      </c>
      <c r="E1321" s="28">
        <v>46164</v>
      </c>
      <c r="F1321" s="28">
        <v>46171</v>
      </c>
      <c r="G1321" s="28">
        <v>46177</v>
      </c>
      <c r="H1321" s="28">
        <v>46165</v>
      </c>
      <c r="I1321" s="28">
        <v>46172</v>
      </c>
      <c r="J1321" s="28">
        <v>46185</v>
      </c>
      <c r="K1321" s="1">
        <v>28</v>
      </c>
      <c r="L1321" s="1">
        <v>15.4</v>
      </c>
      <c r="M1321" s="1">
        <v>13.1</v>
      </c>
      <c r="N1321" s="1">
        <v>0</v>
      </c>
      <c r="O1321" s="1" t="s">
        <v>379</v>
      </c>
    </row>
    <row r="1322" spans="1:15" x14ac:dyDescent="0.25">
      <c r="A1322" s="28">
        <v>46157</v>
      </c>
      <c r="B1322" s="1" t="s">
        <v>285</v>
      </c>
      <c r="C1322" s="1" t="s">
        <v>437</v>
      </c>
      <c r="D1322" s="28">
        <v>46180</v>
      </c>
      <c r="E1322" s="28">
        <v>46164</v>
      </c>
      <c r="F1322" s="28">
        <v>46171</v>
      </c>
      <c r="G1322" s="28">
        <v>46177</v>
      </c>
      <c r="H1322" s="28">
        <v>46165</v>
      </c>
      <c r="I1322" s="28">
        <v>46172</v>
      </c>
      <c r="J1322" s="28">
        <v>46185</v>
      </c>
      <c r="K1322" s="1">
        <v>28</v>
      </c>
      <c r="L1322" s="1">
        <v>15.6</v>
      </c>
      <c r="M1322" s="1">
        <v>13.4</v>
      </c>
      <c r="N1322" s="1">
        <v>0</v>
      </c>
      <c r="O1322" s="1" t="s">
        <v>379</v>
      </c>
    </row>
    <row r="1323" spans="1:15" x14ac:dyDescent="0.25">
      <c r="A1323" s="28">
        <v>46157</v>
      </c>
      <c r="B1323" s="1" t="s">
        <v>286</v>
      </c>
      <c r="C1323" s="1" t="s">
        <v>438</v>
      </c>
      <c r="D1323" s="28">
        <v>46180</v>
      </c>
      <c r="E1323" s="28">
        <v>46164</v>
      </c>
      <c r="F1323" s="28">
        <v>46171</v>
      </c>
      <c r="G1323" s="28">
        <v>46177</v>
      </c>
      <c r="H1323" s="28">
        <v>46165</v>
      </c>
      <c r="I1323" s="28">
        <v>46172</v>
      </c>
      <c r="J1323" s="28">
        <v>46185</v>
      </c>
      <c r="K1323" s="1">
        <v>28</v>
      </c>
      <c r="L1323" s="1">
        <v>16.100000000000001</v>
      </c>
      <c r="M1323" s="1">
        <v>14</v>
      </c>
      <c r="N1323" s="1">
        <v>0</v>
      </c>
      <c r="O1323" s="1" t="s">
        <v>379</v>
      </c>
    </row>
    <row r="1324" spans="1:15" x14ac:dyDescent="0.25">
      <c r="A1324" s="28">
        <v>46157</v>
      </c>
      <c r="B1324" s="1" t="s">
        <v>287</v>
      </c>
      <c r="C1324" s="1" t="s">
        <v>593</v>
      </c>
      <c r="D1324" s="28">
        <v>46180</v>
      </c>
      <c r="E1324" s="28">
        <v>46164</v>
      </c>
      <c r="F1324" s="28">
        <v>46171</v>
      </c>
      <c r="G1324" s="28">
        <v>46177</v>
      </c>
      <c r="H1324" s="28">
        <v>46165</v>
      </c>
      <c r="I1324" s="28">
        <v>46172</v>
      </c>
      <c r="J1324" s="28">
        <v>46185</v>
      </c>
      <c r="K1324" s="1">
        <v>28</v>
      </c>
      <c r="L1324" s="1">
        <v>14.3</v>
      </c>
      <c r="M1324" s="1">
        <v>12.5</v>
      </c>
      <c r="N1324" s="1">
        <v>0</v>
      </c>
      <c r="O1324" s="1" t="s">
        <v>379</v>
      </c>
    </row>
    <row r="1325" spans="1:15" x14ac:dyDescent="0.25">
      <c r="A1325" s="28">
        <v>46157</v>
      </c>
      <c r="B1325" s="1" t="s">
        <v>288</v>
      </c>
      <c r="C1325" s="1" t="s">
        <v>594</v>
      </c>
      <c r="D1325" s="28">
        <v>46180</v>
      </c>
      <c r="E1325" s="28">
        <v>46164</v>
      </c>
      <c r="F1325" s="28">
        <v>46171</v>
      </c>
      <c r="G1325" s="28">
        <v>46177</v>
      </c>
      <c r="H1325" s="28">
        <v>46165</v>
      </c>
      <c r="I1325" s="28">
        <v>46172</v>
      </c>
      <c r="J1325" s="28">
        <v>46186</v>
      </c>
      <c r="K1325" s="1">
        <v>29</v>
      </c>
      <c r="L1325" s="1">
        <v>13.6</v>
      </c>
      <c r="M1325" s="1">
        <v>11.8</v>
      </c>
      <c r="N1325" s="1">
        <v>0</v>
      </c>
      <c r="O1325" s="1" t="s">
        <v>379</v>
      </c>
    </row>
    <row r="1326" spans="1:15" x14ac:dyDescent="0.25">
      <c r="A1326" s="28">
        <v>46158</v>
      </c>
      <c r="B1326" s="1" t="s">
        <v>289</v>
      </c>
      <c r="C1326" s="1" t="s">
        <v>595</v>
      </c>
      <c r="D1326" s="28">
        <v>46181</v>
      </c>
      <c r="E1326" s="28">
        <v>46165</v>
      </c>
      <c r="F1326" s="28">
        <v>46172</v>
      </c>
      <c r="G1326" s="28">
        <v>46178</v>
      </c>
      <c r="H1326" s="28">
        <v>46166</v>
      </c>
      <c r="I1326" s="28">
        <v>46173</v>
      </c>
      <c r="J1326" s="28">
        <v>46186</v>
      </c>
      <c r="K1326" s="1">
        <v>28</v>
      </c>
      <c r="L1326" s="1">
        <v>14.7</v>
      </c>
      <c r="M1326" s="1">
        <v>12.4</v>
      </c>
      <c r="N1326" s="1">
        <v>0</v>
      </c>
      <c r="O1326" s="1" t="s">
        <v>379</v>
      </c>
    </row>
    <row r="1327" spans="1:15" x14ac:dyDescent="0.25">
      <c r="A1327" s="28">
        <v>46158</v>
      </c>
      <c r="B1327" s="1" t="s">
        <v>290</v>
      </c>
      <c r="C1327" s="1" t="s">
        <v>596</v>
      </c>
      <c r="D1327" s="28">
        <v>46181</v>
      </c>
      <c r="E1327" s="28">
        <v>46165</v>
      </c>
      <c r="F1327" s="28">
        <v>46172</v>
      </c>
      <c r="G1327" s="28">
        <v>46178</v>
      </c>
      <c r="H1327" s="28">
        <v>46166</v>
      </c>
      <c r="I1327" s="28">
        <v>46173</v>
      </c>
      <c r="J1327" s="28">
        <v>46186</v>
      </c>
      <c r="K1327" s="1">
        <v>28</v>
      </c>
      <c r="L1327" s="1">
        <v>14.2</v>
      </c>
      <c r="M1327" s="1">
        <v>12</v>
      </c>
      <c r="N1327" s="1">
        <v>0</v>
      </c>
      <c r="O1327" s="1" t="s">
        <v>379</v>
      </c>
    </row>
    <row r="1328" spans="1:15" x14ac:dyDescent="0.25">
      <c r="A1328" s="28">
        <v>46158</v>
      </c>
      <c r="B1328" s="1" t="s">
        <v>291</v>
      </c>
      <c r="C1328" s="1" t="s">
        <v>597</v>
      </c>
      <c r="D1328" s="28">
        <v>46181</v>
      </c>
      <c r="E1328" s="28">
        <v>46165</v>
      </c>
      <c r="F1328" s="28">
        <v>46172</v>
      </c>
      <c r="G1328" s="28">
        <v>46178</v>
      </c>
      <c r="H1328" s="28">
        <v>46166</v>
      </c>
      <c r="I1328" s="28">
        <v>46173</v>
      </c>
      <c r="J1328" s="28">
        <v>46186</v>
      </c>
      <c r="K1328" s="1">
        <v>28</v>
      </c>
      <c r="L1328" s="1">
        <v>13.3</v>
      </c>
      <c r="M1328" s="1">
        <v>11.4</v>
      </c>
      <c r="N1328" s="1">
        <v>0</v>
      </c>
      <c r="O1328" s="1" t="s">
        <v>379</v>
      </c>
    </row>
    <row r="1329" spans="1:15" x14ac:dyDescent="0.25">
      <c r="A1329" s="28">
        <v>46158</v>
      </c>
      <c r="B1329" s="1" t="s">
        <v>292</v>
      </c>
      <c r="C1329" s="1" t="s">
        <v>598</v>
      </c>
      <c r="D1329" s="28">
        <v>46181</v>
      </c>
      <c r="E1329" s="28">
        <v>46165</v>
      </c>
      <c r="F1329" s="28">
        <v>46172</v>
      </c>
      <c r="G1329" s="28">
        <v>46178</v>
      </c>
      <c r="H1329" s="28">
        <v>46166</v>
      </c>
      <c r="I1329" s="28">
        <v>46173</v>
      </c>
      <c r="J1329" s="28">
        <v>46186</v>
      </c>
      <c r="K1329" s="1">
        <v>28</v>
      </c>
      <c r="L1329" s="1">
        <v>12.2</v>
      </c>
      <c r="M1329" s="1">
        <v>10.1</v>
      </c>
      <c r="N1329" s="1">
        <v>0</v>
      </c>
      <c r="O1329" s="1" t="s">
        <v>379</v>
      </c>
    </row>
    <row r="1330" spans="1:15" x14ac:dyDescent="0.25">
      <c r="A1330" s="28">
        <v>46158</v>
      </c>
      <c r="B1330" s="1" t="s">
        <v>293</v>
      </c>
      <c r="C1330" s="1" t="s">
        <v>599</v>
      </c>
      <c r="D1330" s="28">
        <v>46181</v>
      </c>
      <c r="E1330" s="28">
        <v>46165</v>
      </c>
      <c r="F1330" s="28">
        <v>46172</v>
      </c>
      <c r="G1330" s="28">
        <v>46178</v>
      </c>
      <c r="H1330" s="28">
        <v>46166</v>
      </c>
      <c r="I1330" s="28">
        <v>46173</v>
      </c>
      <c r="J1330" s="28">
        <v>46186</v>
      </c>
      <c r="K1330" s="1">
        <v>28</v>
      </c>
      <c r="L1330" s="1">
        <v>12.3</v>
      </c>
      <c r="M1330" s="1">
        <v>10.1</v>
      </c>
      <c r="N1330" s="1">
        <v>0</v>
      </c>
      <c r="O1330" s="1" t="s">
        <v>379</v>
      </c>
    </row>
    <row r="1331" spans="1:15" x14ac:dyDescent="0.25">
      <c r="A1331" s="28">
        <v>46158</v>
      </c>
      <c r="B1331" s="1" t="s">
        <v>294</v>
      </c>
      <c r="C1331" s="1" t="s">
        <v>600</v>
      </c>
      <c r="D1331" s="28">
        <v>46181</v>
      </c>
      <c r="E1331" s="28">
        <v>46165</v>
      </c>
      <c r="F1331" s="28">
        <v>46172</v>
      </c>
      <c r="G1331" s="28">
        <v>46178</v>
      </c>
      <c r="H1331" s="28">
        <v>46166</v>
      </c>
      <c r="I1331" s="28">
        <v>46173</v>
      </c>
      <c r="J1331" s="28">
        <v>46186</v>
      </c>
      <c r="K1331" s="1">
        <v>28</v>
      </c>
      <c r="L1331" s="1">
        <v>12.5</v>
      </c>
      <c r="M1331" s="1">
        <v>10.3</v>
      </c>
      <c r="N1331" s="1">
        <v>0</v>
      </c>
      <c r="O1331" s="1" t="s">
        <v>379</v>
      </c>
    </row>
    <row r="1332" spans="1:15" x14ac:dyDescent="0.25">
      <c r="A1332" s="28">
        <v>46158</v>
      </c>
      <c r="B1332" s="1" t="s">
        <v>295</v>
      </c>
      <c r="C1332" s="1" t="s">
        <v>601</v>
      </c>
      <c r="D1332" s="28">
        <v>46181</v>
      </c>
      <c r="E1332" s="28">
        <v>46165</v>
      </c>
      <c r="F1332" s="28">
        <v>46172</v>
      </c>
      <c r="G1332" s="28">
        <v>46178</v>
      </c>
      <c r="H1332" s="28">
        <v>46166</v>
      </c>
      <c r="I1332" s="28">
        <v>46173</v>
      </c>
      <c r="J1332" s="28">
        <v>46187</v>
      </c>
      <c r="K1332" s="1">
        <v>29</v>
      </c>
      <c r="L1332" s="1">
        <v>12.4</v>
      </c>
      <c r="M1332" s="1">
        <v>10.199999999999999</v>
      </c>
      <c r="N1332" s="1">
        <v>0</v>
      </c>
      <c r="O1332" s="1" t="s">
        <v>379</v>
      </c>
    </row>
    <row r="1333" spans="1:15" x14ac:dyDescent="0.25">
      <c r="A1333" s="28">
        <v>46159</v>
      </c>
      <c r="B1333" s="1" t="s">
        <v>296</v>
      </c>
      <c r="C1333" s="1" t="s">
        <v>602</v>
      </c>
      <c r="D1333" s="28">
        <v>46182</v>
      </c>
      <c r="E1333" s="28">
        <v>46166</v>
      </c>
      <c r="F1333" s="28">
        <v>46173</v>
      </c>
      <c r="G1333" s="28">
        <v>46179</v>
      </c>
      <c r="H1333" s="28">
        <v>46167</v>
      </c>
      <c r="I1333" s="28">
        <v>46174</v>
      </c>
      <c r="J1333" s="28">
        <v>46187</v>
      </c>
      <c r="K1333" s="1">
        <v>28</v>
      </c>
      <c r="L1333" s="1">
        <v>12.5</v>
      </c>
      <c r="M1333" s="1">
        <v>10.3</v>
      </c>
      <c r="N1333" s="1">
        <v>0</v>
      </c>
      <c r="O1333" s="1" t="s">
        <v>379</v>
      </c>
    </row>
    <row r="1334" spans="1:15" x14ac:dyDescent="0.25">
      <c r="A1334" s="28">
        <v>46159</v>
      </c>
      <c r="B1334" s="1" t="s">
        <v>297</v>
      </c>
      <c r="C1334" s="1" t="s">
        <v>603</v>
      </c>
      <c r="D1334" s="28">
        <v>46182</v>
      </c>
      <c r="E1334" s="28">
        <v>46166</v>
      </c>
      <c r="F1334" s="28">
        <v>46173</v>
      </c>
      <c r="G1334" s="28">
        <v>46179</v>
      </c>
      <c r="H1334" s="28">
        <v>46167</v>
      </c>
      <c r="I1334" s="28">
        <v>46174</v>
      </c>
      <c r="J1334" s="28">
        <v>46187</v>
      </c>
      <c r="K1334" s="1">
        <v>28</v>
      </c>
      <c r="L1334" s="1">
        <v>11.6</v>
      </c>
      <c r="M1334" s="1">
        <v>9.5</v>
      </c>
      <c r="N1334" s="1">
        <v>0</v>
      </c>
      <c r="O1334" s="1" t="s">
        <v>379</v>
      </c>
    </row>
    <row r="1335" spans="1:15" x14ac:dyDescent="0.25">
      <c r="A1335" s="28">
        <v>46159</v>
      </c>
      <c r="B1335" s="1" t="s">
        <v>298</v>
      </c>
      <c r="C1335" s="1" t="s">
        <v>604</v>
      </c>
      <c r="D1335" s="28">
        <v>46182</v>
      </c>
      <c r="E1335" s="28">
        <v>46166</v>
      </c>
      <c r="F1335" s="28">
        <v>46173</v>
      </c>
      <c r="G1335" s="28">
        <v>46179</v>
      </c>
      <c r="H1335" s="28">
        <v>46167</v>
      </c>
      <c r="I1335" s="28">
        <v>46174</v>
      </c>
      <c r="J1335" s="28">
        <v>46187</v>
      </c>
      <c r="K1335" s="1">
        <v>28</v>
      </c>
      <c r="L1335" s="1">
        <v>11.3</v>
      </c>
      <c r="M1335" s="1">
        <v>9</v>
      </c>
      <c r="N1335" s="1">
        <v>0</v>
      </c>
      <c r="O1335" s="1" t="s">
        <v>379</v>
      </c>
    </row>
    <row r="1336" spans="1:15" x14ac:dyDescent="0.25">
      <c r="A1336" s="28">
        <v>46159</v>
      </c>
      <c r="B1336" s="1" t="s">
        <v>299</v>
      </c>
      <c r="C1336" s="1" t="s">
        <v>605</v>
      </c>
      <c r="D1336" s="28">
        <v>46182</v>
      </c>
      <c r="E1336" s="28">
        <v>46166</v>
      </c>
      <c r="F1336" s="28">
        <v>46173</v>
      </c>
      <c r="G1336" s="28">
        <v>46179</v>
      </c>
      <c r="H1336" s="28">
        <v>46167</v>
      </c>
      <c r="I1336" s="28">
        <v>46174</v>
      </c>
      <c r="J1336" s="28">
        <v>46187</v>
      </c>
      <c r="K1336" s="1">
        <v>28</v>
      </c>
      <c r="L1336" s="1">
        <v>10.199999999999999</v>
      </c>
      <c r="M1336" s="1">
        <v>8.3000000000000007</v>
      </c>
      <c r="N1336" s="1">
        <v>0</v>
      </c>
      <c r="O1336" s="1" t="s">
        <v>379</v>
      </c>
    </row>
    <row r="1337" spans="1:15" x14ac:dyDescent="0.25">
      <c r="A1337" s="28">
        <v>46159</v>
      </c>
      <c r="B1337" s="1" t="s">
        <v>300</v>
      </c>
      <c r="C1337" s="1" t="s">
        <v>606</v>
      </c>
      <c r="D1337" s="28">
        <v>46182</v>
      </c>
      <c r="E1337" s="28">
        <v>46166</v>
      </c>
      <c r="F1337" s="28">
        <v>46173</v>
      </c>
      <c r="G1337" s="28">
        <v>46179</v>
      </c>
      <c r="H1337" s="28">
        <v>46167</v>
      </c>
      <c r="I1337" s="28">
        <v>46174</v>
      </c>
      <c r="J1337" s="28">
        <v>46187</v>
      </c>
      <c r="K1337" s="1">
        <v>28</v>
      </c>
      <c r="L1337" s="1">
        <v>10.5</v>
      </c>
      <c r="M1337" s="1">
        <v>8.6999999999999993</v>
      </c>
      <c r="N1337" s="1">
        <v>0</v>
      </c>
      <c r="O1337" s="1" t="s">
        <v>379</v>
      </c>
    </row>
    <row r="1338" spans="1:15" x14ac:dyDescent="0.25">
      <c r="A1338" s="28">
        <v>46159</v>
      </c>
      <c r="B1338" s="1" t="s">
        <v>301</v>
      </c>
      <c r="C1338" s="1" t="s">
        <v>1246</v>
      </c>
      <c r="D1338" s="28">
        <v>46182</v>
      </c>
      <c r="E1338" s="28">
        <v>46166</v>
      </c>
      <c r="F1338" s="28">
        <v>46173</v>
      </c>
      <c r="G1338" s="28">
        <v>46179</v>
      </c>
      <c r="H1338" s="28">
        <v>46167</v>
      </c>
      <c r="I1338" s="28">
        <v>46174</v>
      </c>
      <c r="J1338" s="28">
        <v>46187</v>
      </c>
      <c r="K1338" s="1">
        <v>28</v>
      </c>
      <c r="L1338" s="1">
        <v>10.4</v>
      </c>
      <c r="M1338" s="1">
        <v>8.5</v>
      </c>
      <c r="N1338" s="1">
        <v>0</v>
      </c>
      <c r="O1338" s="1" t="s">
        <v>379</v>
      </c>
    </row>
    <row r="1339" spans="1:15" x14ac:dyDescent="0.25">
      <c r="A1339" s="28">
        <v>46159</v>
      </c>
      <c r="B1339" s="1" t="s">
        <v>302</v>
      </c>
      <c r="C1339" s="1" t="s">
        <v>1247</v>
      </c>
      <c r="D1339" s="28">
        <v>46182</v>
      </c>
      <c r="E1339" s="28">
        <v>46166</v>
      </c>
      <c r="F1339" s="28">
        <v>46173</v>
      </c>
      <c r="G1339" s="28">
        <v>46179</v>
      </c>
      <c r="H1339" s="28">
        <v>46167</v>
      </c>
      <c r="I1339" s="28">
        <v>46174</v>
      </c>
      <c r="J1339" s="28">
        <v>46187</v>
      </c>
      <c r="K1339" s="1">
        <v>28</v>
      </c>
      <c r="L1339" s="1">
        <v>10.1</v>
      </c>
      <c r="M1339" s="1">
        <v>8</v>
      </c>
      <c r="N1339" s="1">
        <v>0</v>
      </c>
      <c r="O1339" s="1" t="s">
        <v>379</v>
      </c>
    </row>
    <row r="1340" spans="1:15" x14ac:dyDescent="0.25">
      <c r="A1340" s="28">
        <v>46160</v>
      </c>
      <c r="B1340" s="1" t="s">
        <v>339</v>
      </c>
      <c r="C1340" s="1" t="s">
        <v>439</v>
      </c>
      <c r="D1340" s="28">
        <v>46183</v>
      </c>
      <c r="E1340" s="28">
        <v>46167</v>
      </c>
      <c r="F1340" s="28">
        <v>46174</v>
      </c>
      <c r="G1340" s="28">
        <v>46180</v>
      </c>
      <c r="H1340" s="28">
        <v>46168</v>
      </c>
      <c r="I1340" s="28">
        <v>46175</v>
      </c>
      <c r="J1340" s="28">
        <v>46188</v>
      </c>
      <c r="K1340" s="1">
        <v>28</v>
      </c>
      <c r="L1340" s="1">
        <v>15.2</v>
      </c>
      <c r="M1340" s="1">
        <v>13.1</v>
      </c>
      <c r="N1340" s="1">
        <v>0</v>
      </c>
      <c r="O1340" s="1" t="s">
        <v>379</v>
      </c>
    </row>
    <row r="1341" spans="1:15" x14ac:dyDescent="0.25">
      <c r="A1341" s="28">
        <v>46160</v>
      </c>
      <c r="B1341" s="1" t="s">
        <v>340</v>
      </c>
      <c r="C1341" s="1" t="s">
        <v>440</v>
      </c>
      <c r="D1341" s="28">
        <v>46183</v>
      </c>
      <c r="E1341" s="28">
        <v>46167</v>
      </c>
      <c r="F1341" s="28">
        <v>46174</v>
      </c>
      <c r="G1341" s="28">
        <v>46180</v>
      </c>
      <c r="H1341" s="28">
        <v>46168</v>
      </c>
      <c r="I1341" s="28">
        <v>46175</v>
      </c>
      <c r="J1341" s="28">
        <v>46188</v>
      </c>
      <c r="K1341" s="1">
        <v>28</v>
      </c>
      <c r="L1341" s="1">
        <v>14.3</v>
      </c>
      <c r="M1341" s="1">
        <v>12.4</v>
      </c>
      <c r="N1341" s="1">
        <v>0</v>
      </c>
      <c r="O1341" s="1" t="s">
        <v>379</v>
      </c>
    </row>
    <row r="1342" spans="1:15" x14ac:dyDescent="0.25">
      <c r="A1342" s="28">
        <v>46160</v>
      </c>
      <c r="B1342" s="1" t="s">
        <v>341</v>
      </c>
      <c r="C1342" s="1" t="s">
        <v>441</v>
      </c>
      <c r="D1342" s="28">
        <v>46183</v>
      </c>
      <c r="E1342" s="28">
        <v>46167</v>
      </c>
      <c r="F1342" s="28">
        <v>46174</v>
      </c>
      <c r="G1342" s="28">
        <v>46180</v>
      </c>
      <c r="H1342" s="28">
        <v>46168</v>
      </c>
      <c r="I1342" s="28">
        <v>46175</v>
      </c>
      <c r="J1342" s="28">
        <v>46188</v>
      </c>
      <c r="K1342" s="1">
        <v>28</v>
      </c>
      <c r="L1342" s="1">
        <v>13.2</v>
      </c>
      <c r="M1342" s="1">
        <v>11.9</v>
      </c>
      <c r="N1342" s="1">
        <v>0</v>
      </c>
      <c r="O1342" s="1" t="s">
        <v>379</v>
      </c>
    </row>
    <row r="1343" spans="1:15" x14ac:dyDescent="0.25">
      <c r="A1343" s="28">
        <v>46160</v>
      </c>
      <c r="B1343" s="1" t="s">
        <v>342</v>
      </c>
      <c r="C1343" s="1" t="s">
        <v>442</v>
      </c>
      <c r="D1343" s="28">
        <v>46183</v>
      </c>
      <c r="E1343" s="28">
        <v>46167</v>
      </c>
      <c r="F1343" s="28">
        <v>46174</v>
      </c>
      <c r="G1343" s="28">
        <v>46180</v>
      </c>
      <c r="H1343" s="28">
        <v>46168</v>
      </c>
      <c r="I1343" s="28">
        <v>46175</v>
      </c>
      <c r="J1343" s="28">
        <v>46187</v>
      </c>
      <c r="K1343" s="1">
        <v>27</v>
      </c>
      <c r="L1343" s="1">
        <v>14.3</v>
      </c>
      <c r="M1343" s="1">
        <v>12.1</v>
      </c>
      <c r="N1343" s="1">
        <v>0</v>
      </c>
      <c r="O1343" s="1" t="s">
        <v>379</v>
      </c>
    </row>
    <row r="1344" spans="1:15" x14ac:dyDescent="0.25">
      <c r="A1344" s="28">
        <v>46160</v>
      </c>
      <c r="B1344" s="1" t="s">
        <v>343</v>
      </c>
      <c r="C1344" s="1" t="s">
        <v>443</v>
      </c>
      <c r="D1344" s="28">
        <v>46183</v>
      </c>
      <c r="E1344" s="28">
        <v>46167</v>
      </c>
      <c r="F1344" s="28">
        <v>46174</v>
      </c>
      <c r="G1344" s="28">
        <v>46180</v>
      </c>
      <c r="H1344" s="28">
        <v>46168</v>
      </c>
      <c r="I1344" s="28">
        <v>46175</v>
      </c>
      <c r="J1344" s="28">
        <v>46187</v>
      </c>
      <c r="K1344" s="1">
        <v>27</v>
      </c>
      <c r="L1344" s="1">
        <v>15.1</v>
      </c>
      <c r="M1344" s="1">
        <v>13.2</v>
      </c>
      <c r="N1344" s="1">
        <v>0</v>
      </c>
      <c r="O1344" s="1" t="s">
        <v>379</v>
      </c>
    </row>
    <row r="1345" spans="1:15" x14ac:dyDescent="0.25">
      <c r="A1345" s="28">
        <v>46160</v>
      </c>
      <c r="B1345" s="1" t="s">
        <v>344</v>
      </c>
      <c r="C1345" s="1" t="s">
        <v>444</v>
      </c>
      <c r="D1345" s="28">
        <v>46183</v>
      </c>
      <c r="E1345" s="28">
        <v>46167</v>
      </c>
      <c r="F1345" s="28">
        <v>46174</v>
      </c>
      <c r="G1345" s="28">
        <v>46180</v>
      </c>
      <c r="H1345" s="28">
        <v>46168</v>
      </c>
      <c r="I1345" s="28">
        <v>46175</v>
      </c>
      <c r="J1345" s="28">
        <v>46187</v>
      </c>
      <c r="K1345" s="1">
        <v>27</v>
      </c>
      <c r="L1345" s="1">
        <v>14.5</v>
      </c>
      <c r="M1345" s="1">
        <v>12</v>
      </c>
      <c r="N1345" s="1">
        <v>0</v>
      </c>
      <c r="O1345" s="1" t="s">
        <v>379</v>
      </c>
    </row>
    <row r="1346" spans="1:15" x14ac:dyDescent="0.25">
      <c r="A1346" s="28">
        <v>46160</v>
      </c>
      <c r="B1346" s="1" t="s">
        <v>345</v>
      </c>
      <c r="C1346" s="1" t="s">
        <v>445</v>
      </c>
      <c r="D1346" s="28">
        <v>46183</v>
      </c>
      <c r="E1346" s="28">
        <v>46167</v>
      </c>
      <c r="F1346" s="28">
        <v>46174</v>
      </c>
      <c r="G1346" s="28">
        <v>46180</v>
      </c>
      <c r="H1346" s="28">
        <v>46168</v>
      </c>
      <c r="I1346" s="28">
        <v>46175</v>
      </c>
      <c r="J1346" s="28">
        <v>46187</v>
      </c>
      <c r="K1346" s="1">
        <v>27</v>
      </c>
      <c r="L1346" s="1">
        <v>14.2</v>
      </c>
      <c r="M1346" s="1">
        <v>12.4</v>
      </c>
      <c r="N1346" s="1">
        <v>0</v>
      </c>
      <c r="O1346" s="1" t="s">
        <v>379</v>
      </c>
    </row>
    <row r="1347" spans="1:15" x14ac:dyDescent="0.25">
      <c r="A1347" s="28">
        <v>46161</v>
      </c>
      <c r="B1347" s="1" t="s">
        <v>332</v>
      </c>
      <c r="C1347" s="1" t="s">
        <v>494</v>
      </c>
      <c r="D1347" s="28">
        <v>46184</v>
      </c>
      <c r="E1347" s="28">
        <v>46168</v>
      </c>
      <c r="F1347" s="28">
        <v>46175</v>
      </c>
      <c r="G1347" s="28">
        <v>46181</v>
      </c>
      <c r="H1347" s="28">
        <v>46169</v>
      </c>
      <c r="I1347" s="28">
        <v>46176</v>
      </c>
      <c r="J1347" s="28">
        <v>46188</v>
      </c>
      <c r="K1347" s="1">
        <v>27</v>
      </c>
      <c r="L1347" s="1">
        <v>12.3</v>
      </c>
      <c r="M1347" s="1">
        <v>11.6</v>
      </c>
      <c r="N1347" s="1">
        <v>0</v>
      </c>
      <c r="O1347" s="1" t="s">
        <v>379</v>
      </c>
    </row>
    <row r="1348" spans="1:15" x14ac:dyDescent="0.25">
      <c r="A1348" s="28">
        <v>46161</v>
      </c>
      <c r="B1348" s="1" t="s">
        <v>333</v>
      </c>
      <c r="C1348" s="1" t="s">
        <v>495</v>
      </c>
      <c r="D1348" s="28">
        <v>46184</v>
      </c>
      <c r="E1348" s="28">
        <v>46168</v>
      </c>
      <c r="F1348" s="28">
        <v>46175</v>
      </c>
      <c r="G1348" s="28">
        <v>46181</v>
      </c>
      <c r="H1348" s="28">
        <v>46169</v>
      </c>
      <c r="I1348" s="28">
        <v>46176</v>
      </c>
      <c r="J1348" s="28">
        <v>46188</v>
      </c>
      <c r="K1348" s="1">
        <v>27</v>
      </c>
      <c r="L1348" s="1">
        <v>13.8</v>
      </c>
      <c r="M1348" s="1">
        <v>11.9</v>
      </c>
      <c r="N1348" s="1">
        <v>0</v>
      </c>
      <c r="O1348" s="1" t="s">
        <v>379</v>
      </c>
    </row>
    <row r="1349" spans="1:15" x14ac:dyDescent="0.25">
      <c r="A1349" s="28">
        <v>46161</v>
      </c>
      <c r="B1349" s="1" t="s">
        <v>334</v>
      </c>
      <c r="C1349" s="1" t="s">
        <v>496</v>
      </c>
      <c r="D1349" s="28">
        <v>46184</v>
      </c>
      <c r="E1349" s="28">
        <v>46168</v>
      </c>
      <c r="F1349" s="28">
        <v>46175</v>
      </c>
      <c r="G1349" s="28">
        <v>46181</v>
      </c>
      <c r="H1349" s="28">
        <v>46169</v>
      </c>
      <c r="I1349" s="28">
        <v>46176</v>
      </c>
      <c r="J1349" s="28">
        <v>46188</v>
      </c>
      <c r="K1349" s="1">
        <v>27</v>
      </c>
      <c r="L1349" s="1">
        <v>14.6</v>
      </c>
      <c r="M1349" s="1">
        <v>12.1</v>
      </c>
      <c r="N1349" s="1">
        <v>0</v>
      </c>
      <c r="O1349" s="1" t="s">
        <v>379</v>
      </c>
    </row>
    <row r="1350" spans="1:15" x14ac:dyDescent="0.25">
      <c r="A1350" s="28">
        <v>46161</v>
      </c>
      <c r="B1350" s="1" t="s">
        <v>335</v>
      </c>
      <c r="C1350" s="1" t="s">
        <v>497</v>
      </c>
      <c r="D1350" s="28">
        <v>46184</v>
      </c>
      <c r="E1350" s="28">
        <v>46168</v>
      </c>
      <c r="F1350" s="28">
        <v>46175</v>
      </c>
      <c r="G1350" s="28">
        <v>46181</v>
      </c>
      <c r="H1350" s="28">
        <v>46169</v>
      </c>
      <c r="I1350" s="28">
        <v>46176</v>
      </c>
      <c r="J1350" s="28">
        <v>46188</v>
      </c>
      <c r="K1350" s="1">
        <v>27</v>
      </c>
      <c r="L1350" s="1">
        <v>12.1</v>
      </c>
      <c r="M1350" s="1">
        <v>10.199999999999999</v>
      </c>
      <c r="N1350" s="1">
        <v>0</v>
      </c>
      <c r="O1350" s="1" t="s">
        <v>379</v>
      </c>
    </row>
    <row r="1351" spans="1:15" x14ac:dyDescent="0.25">
      <c r="A1351" s="28">
        <v>46161</v>
      </c>
      <c r="B1351" s="1" t="s">
        <v>336</v>
      </c>
      <c r="C1351" s="1" t="s">
        <v>498</v>
      </c>
      <c r="D1351" s="28">
        <v>46184</v>
      </c>
      <c r="E1351" s="28">
        <v>46168</v>
      </c>
      <c r="F1351" s="28">
        <v>46175</v>
      </c>
      <c r="G1351" s="28">
        <v>46181</v>
      </c>
      <c r="H1351" s="28">
        <v>46169</v>
      </c>
      <c r="I1351" s="28">
        <v>46176</v>
      </c>
      <c r="J1351" s="28">
        <v>46188</v>
      </c>
      <c r="K1351" s="1">
        <v>27</v>
      </c>
      <c r="L1351" s="1">
        <v>14.7</v>
      </c>
      <c r="M1351" s="1">
        <v>12.8</v>
      </c>
      <c r="N1351" s="1">
        <v>0</v>
      </c>
      <c r="O1351" s="1" t="s">
        <v>379</v>
      </c>
    </row>
    <row r="1352" spans="1:15" x14ac:dyDescent="0.25">
      <c r="A1352" s="28">
        <v>46161</v>
      </c>
      <c r="B1352" s="1" t="s">
        <v>337</v>
      </c>
      <c r="C1352" s="1" t="s">
        <v>499</v>
      </c>
      <c r="D1352" s="28">
        <v>46184</v>
      </c>
      <c r="E1352" s="28">
        <v>46168</v>
      </c>
      <c r="F1352" s="28">
        <v>46175</v>
      </c>
      <c r="G1352" s="28">
        <v>46181</v>
      </c>
      <c r="H1352" s="28">
        <v>46169</v>
      </c>
      <c r="I1352" s="28">
        <v>46176</v>
      </c>
      <c r="J1352" s="28">
        <v>46188</v>
      </c>
      <c r="K1352" s="1">
        <v>27</v>
      </c>
      <c r="L1352" s="1">
        <v>15.4</v>
      </c>
      <c r="M1352" s="1">
        <v>13.5</v>
      </c>
      <c r="N1352" s="1">
        <v>0</v>
      </c>
      <c r="O1352" s="1" t="s">
        <v>379</v>
      </c>
    </row>
    <row r="1353" spans="1:15" x14ac:dyDescent="0.25">
      <c r="A1353" s="28">
        <v>46161</v>
      </c>
      <c r="B1353" s="1" t="s">
        <v>338</v>
      </c>
      <c r="C1353" s="1" t="s">
        <v>500</v>
      </c>
      <c r="D1353" s="28">
        <v>46184</v>
      </c>
      <c r="E1353" s="28">
        <v>46168</v>
      </c>
      <c r="F1353" s="28">
        <v>46175</v>
      </c>
      <c r="G1353" s="28">
        <v>46181</v>
      </c>
      <c r="H1353" s="28">
        <v>46169</v>
      </c>
      <c r="I1353" s="28">
        <v>46176</v>
      </c>
      <c r="J1353" s="28">
        <v>46188</v>
      </c>
      <c r="K1353" s="1">
        <v>27</v>
      </c>
      <c r="L1353" s="1">
        <v>14.2</v>
      </c>
      <c r="M1353" s="1">
        <v>12.6</v>
      </c>
      <c r="N1353" s="1">
        <v>0</v>
      </c>
      <c r="O1353" s="1" t="s">
        <v>379</v>
      </c>
    </row>
    <row r="1354" spans="1:15" x14ac:dyDescent="0.25">
      <c r="A1354" s="28">
        <v>46162</v>
      </c>
      <c r="B1354" s="1" t="s">
        <v>324</v>
      </c>
      <c r="C1354" s="1" t="s">
        <v>501</v>
      </c>
      <c r="D1354" s="28">
        <v>46185</v>
      </c>
      <c r="E1354" s="28">
        <v>46169</v>
      </c>
      <c r="F1354" s="28">
        <v>46176</v>
      </c>
      <c r="G1354" s="28">
        <v>46182</v>
      </c>
      <c r="H1354" s="28">
        <v>46170</v>
      </c>
      <c r="I1354" s="28">
        <v>46177</v>
      </c>
      <c r="J1354" s="28">
        <v>46189</v>
      </c>
      <c r="K1354" s="1">
        <v>27</v>
      </c>
      <c r="L1354" s="1">
        <v>12.3</v>
      </c>
      <c r="M1354" s="1">
        <v>10.5</v>
      </c>
      <c r="N1354" s="1">
        <v>0</v>
      </c>
      <c r="O1354" s="1" t="s">
        <v>379</v>
      </c>
    </row>
    <row r="1355" spans="1:15" x14ac:dyDescent="0.25">
      <c r="A1355" s="28">
        <v>46162</v>
      </c>
      <c r="B1355" s="1" t="s">
        <v>325</v>
      </c>
      <c r="C1355" s="1" t="s">
        <v>502</v>
      </c>
      <c r="D1355" s="28">
        <v>46185</v>
      </c>
      <c r="E1355" s="28">
        <v>46169</v>
      </c>
      <c r="F1355" s="28">
        <v>46176</v>
      </c>
      <c r="G1355" s="28">
        <v>46182</v>
      </c>
      <c r="H1355" s="28">
        <v>46170</v>
      </c>
      <c r="I1355" s="28">
        <v>46177</v>
      </c>
      <c r="J1355" s="28">
        <v>46189</v>
      </c>
      <c r="K1355" s="1">
        <v>27</v>
      </c>
      <c r="L1355" s="1">
        <v>13.2</v>
      </c>
      <c r="M1355" s="1">
        <v>11.4</v>
      </c>
      <c r="N1355" s="1">
        <v>0</v>
      </c>
      <c r="O1355" s="1" t="s">
        <v>379</v>
      </c>
    </row>
    <row r="1356" spans="1:15" x14ac:dyDescent="0.25">
      <c r="A1356" s="28">
        <v>46162</v>
      </c>
      <c r="B1356" s="1" t="s">
        <v>326</v>
      </c>
      <c r="C1356" s="1" t="s">
        <v>503</v>
      </c>
      <c r="D1356" s="28">
        <v>46185</v>
      </c>
      <c r="E1356" s="28">
        <v>46169</v>
      </c>
      <c r="F1356" s="28">
        <v>46176</v>
      </c>
      <c r="G1356" s="28">
        <v>46182</v>
      </c>
      <c r="H1356" s="28">
        <v>46170</v>
      </c>
      <c r="I1356" s="28">
        <v>46177</v>
      </c>
      <c r="J1356" s="28">
        <v>46189</v>
      </c>
      <c r="K1356" s="1">
        <v>27</v>
      </c>
      <c r="L1356" s="1">
        <v>13.7</v>
      </c>
      <c r="M1356" s="1">
        <v>11.8</v>
      </c>
      <c r="N1356" s="1">
        <v>0</v>
      </c>
      <c r="O1356" s="1" t="s">
        <v>379</v>
      </c>
    </row>
    <row r="1357" spans="1:15" x14ac:dyDescent="0.25">
      <c r="A1357" s="28">
        <v>46162</v>
      </c>
      <c r="B1357" s="1" t="s">
        <v>327</v>
      </c>
      <c r="C1357" s="1" t="s">
        <v>504</v>
      </c>
      <c r="D1357" s="28">
        <v>46185</v>
      </c>
      <c r="E1357" s="28">
        <v>46169</v>
      </c>
      <c r="F1357" s="28">
        <v>46176</v>
      </c>
      <c r="G1357" s="28">
        <v>46182</v>
      </c>
      <c r="H1357" s="28">
        <v>46170</v>
      </c>
      <c r="I1357" s="28">
        <v>46177</v>
      </c>
      <c r="J1357" s="28">
        <v>46189</v>
      </c>
      <c r="K1357" s="1">
        <v>27</v>
      </c>
      <c r="L1357" s="1">
        <v>14.5</v>
      </c>
      <c r="M1357" s="1">
        <v>12.4</v>
      </c>
      <c r="N1357" s="1">
        <v>0</v>
      </c>
      <c r="O1357" s="1" t="s">
        <v>379</v>
      </c>
    </row>
    <row r="1358" spans="1:15" x14ac:dyDescent="0.25">
      <c r="A1358" s="28">
        <v>46162</v>
      </c>
      <c r="B1358" s="1" t="s">
        <v>328</v>
      </c>
      <c r="C1358" s="1" t="s">
        <v>505</v>
      </c>
      <c r="D1358" s="28">
        <v>46185</v>
      </c>
      <c r="E1358" s="28">
        <v>46169</v>
      </c>
      <c r="F1358" s="28">
        <v>46176</v>
      </c>
      <c r="G1358" s="28">
        <v>46182</v>
      </c>
      <c r="H1358" s="28">
        <v>46170</v>
      </c>
      <c r="I1358" s="28">
        <v>46177</v>
      </c>
      <c r="J1358" s="28">
        <v>46189</v>
      </c>
      <c r="K1358" s="1">
        <v>27</v>
      </c>
      <c r="L1358" s="1">
        <v>13.6</v>
      </c>
      <c r="M1358" s="1">
        <v>11.2</v>
      </c>
      <c r="N1358" s="1">
        <v>0</v>
      </c>
      <c r="O1358" s="1" t="s">
        <v>379</v>
      </c>
    </row>
    <row r="1359" spans="1:15" x14ac:dyDescent="0.25">
      <c r="A1359" s="28">
        <v>46162</v>
      </c>
      <c r="B1359" s="1" t="s">
        <v>329</v>
      </c>
      <c r="C1359" s="1" t="s">
        <v>506</v>
      </c>
      <c r="D1359" s="28">
        <v>46185</v>
      </c>
      <c r="E1359" s="28">
        <v>46169</v>
      </c>
      <c r="F1359" s="28">
        <v>46176</v>
      </c>
      <c r="G1359" s="28">
        <v>46182</v>
      </c>
      <c r="H1359" s="28">
        <v>46170</v>
      </c>
      <c r="I1359" s="28">
        <v>46177</v>
      </c>
      <c r="J1359" s="28">
        <v>46189</v>
      </c>
      <c r="K1359" s="1">
        <v>27</v>
      </c>
      <c r="L1359" s="1">
        <v>14.3</v>
      </c>
      <c r="M1359" s="1">
        <v>12.1</v>
      </c>
      <c r="N1359" s="1">
        <v>0</v>
      </c>
      <c r="O1359" s="1" t="s">
        <v>379</v>
      </c>
    </row>
    <row r="1360" spans="1:15" x14ac:dyDescent="0.25">
      <c r="A1360" s="28">
        <v>46162</v>
      </c>
      <c r="B1360" s="1" t="s">
        <v>330</v>
      </c>
      <c r="C1360" s="1" t="s">
        <v>507</v>
      </c>
      <c r="D1360" s="28">
        <v>46185</v>
      </c>
      <c r="E1360" s="28">
        <v>46169</v>
      </c>
      <c r="F1360" s="28">
        <v>46176</v>
      </c>
      <c r="G1360" s="28">
        <v>46182</v>
      </c>
      <c r="H1360" s="28">
        <v>46170</v>
      </c>
      <c r="I1360" s="28">
        <v>46177</v>
      </c>
      <c r="J1360" s="28">
        <v>46189</v>
      </c>
      <c r="K1360" s="1">
        <v>27</v>
      </c>
      <c r="L1360" s="1">
        <v>14.6</v>
      </c>
      <c r="M1360" s="1">
        <v>12.3</v>
      </c>
      <c r="N1360" s="1">
        <v>0</v>
      </c>
      <c r="O1360" s="1" t="s">
        <v>379</v>
      </c>
    </row>
    <row r="1361" spans="1:15" x14ac:dyDescent="0.25">
      <c r="A1361" s="28">
        <v>46162</v>
      </c>
      <c r="B1361" s="1" t="s">
        <v>331</v>
      </c>
      <c r="C1361" s="1" t="s">
        <v>508</v>
      </c>
      <c r="D1361" s="28">
        <v>46185</v>
      </c>
      <c r="E1361" s="28">
        <v>46169</v>
      </c>
      <c r="F1361" s="28">
        <v>46176</v>
      </c>
      <c r="G1361" s="28">
        <v>46182</v>
      </c>
      <c r="H1361" s="28">
        <v>46170</v>
      </c>
      <c r="I1361" s="28">
        <v>46177</v>
      </c>
      <c r="J1361" s="28">
        <v>46189</v>
      </c>
      <c r="K1361" s="1">
        <v>27</v>
      </c>
      <c r="L1361" s="1">
        <v>14.7</v>
      </c>
      <c r="M1361" s="1">
        <v>12.5</v>
      </c>
      <c r="N1361" s="1">
        <v>0</v>
      </c>
      <c r="O1361" s="1" t="s">
        <v>379</v>
      </c>
    </row>
    <row r="1362" spans="1:15" x14ac:dyDescent="0.25">
      <c r="A1362" s="28">
        <v>46163</v>
      </c>
      <c r="B1362" s="1" t="s">
        <v>303</v>
      </c>
      <c r="C1362" s="1" t="s">
        <v>509</v>
      </c>
      <c r="D1362" s="28">
        <v>46186</v>
      </c>
      <c r="E1362" s="28">
        <v>46170</v>
      </c>
      <c r="F1362" s="28">
        <v>46177</v>
      </c>
      <c r="G1362" s="28">
        <v>46183</v>
      </c>
      <c r="H1362" s="28">
        <v>46171</v>
      </c>
      <c r="I1362" s="28">
        <v>46178</v>
      </c>
      <c r="J1362" s="28">
        <v>46190</v>
      </c>
      <c r="K1362" s="1">
        <v>27</v>
      </c>
      <c r="L1362" s="1">
        <v>12.57</v>
      </c>
      <c r="M1362" s="1">
        <v>11.03</v>
      </c>
      <c r="N1362" s="1">
        <v>0</v>
      </c>
      <c r="O1362" s="1" t="s">
        <v>379</v>
      </c>
    </row>
    <row r="1363" spans="1:15" x14ac:dyDescent="0.25">
      <c r="A1363" s="28">
        <v>46163</v>
      </c>
      <c r="B1363" s="1" t="s">
        <v>304</v>
      </c>
      <c r="C1363" s="1" t="s">
        <v>510</v>
      </c>
      <c r="D1363" s="28">
        <v>46186</v>
      </c>
      <c r="E1363" s="28">
        <v>46170</v>
      </c>
      <c r="F1363" s="28">
        <v>46177</v>
      </c>
      <c r="G1363" s="28">
        <v>46183</v>
      </c>
      <c r="H1363" s="28">
        <v>46171</v>
      </c>
      <c r="I1363" s="28">
        <v>46178</v>
      </c>
      <c r="J1363" s="28">
        <v>46190</v>
      </c>
      <c r="K1363" s="1">
        <v>27</v>
      </c>
      <c r="L1363" s="1">
        <v>15.98</v>
      </c>
      <c r="M1363" s="1">
        <v>13.6</v>
      </c>
      <c r="N1363" s="1">
        <v>0</v>
      </c>
      <c r="O1363" s="1" t="s">
        <v>379</v>
      </c>
    </row>
    <row r="1364" spans="1:15" x14ac:dyDescent="0.25">
      <c r="A1364" s="28">
        <v>46163</v>
      </c>
      <c r="B1364" s="1" t="s">
        <v>305</v>
      </c>
      <c r="C1364" s="1" t="s">
        <v>511</v>
      </c>
      <c r="D1364" s="28">
        <v>46186</v>
      </c>
      <c r="E1364" s="28">
        <v>46170</v>
      </c>
      <c r="F1364" s="28">
        <v>46177</v>
      </c>
      <c r="G1364" s="28">
        <v>46183</v>
      </c>
      <c r="H1364" s="28">
        <v>46171</v>
      </c>
      <c r="I1364" s="28">
        <v>46178</v>
      </c>
      <c r="J1364" s="28">
        <v>46190</v>
      </c>
      <c r="K1364" s="1">
        <v>27</v>
      </c>
      <c r="L1364" s="1">
        <v>16.829999999999998</v>
      </c>
      <c r="M1364" s="1">
        <v>14.92</v>
      </c>
      <c r="N1364" s="1">
        <v>0</v>
      </c>
      <c r="O1364" s="1" t="s">
        <v>379</v>
      </c>
    </row>
    <row r="1365" spans="1:15" x14ac:dyDescent="0.25">
      <c r="A1365" s="28">
        <v>46163</v>
      </c>
      <c r="B1365" s="1" t="s">
        <v>306</v>
      </c>
      <c r="C1365" s="1" t="s">
        <v>512</v>
      </c>
      <c r="D1365" s="28">
        <v>46186</v>
      </c>
      <c r="E1365" s="28">
        <v>46170</v>
      </c>
      <c r="F1365" s="28">
        <v>46177</v>
      </c>
      <c r="G1365" s="28">
        <v>46183</v>
      </c>
      <c r="H1365" s="28">
        <v>46171</v>
      </c>
      <c r="I1365" s="28">
        <v>46178</v>
      </c>
      <c r="J1365" s="28">
        <v>46190</v>
      </c>
      <c r="K1365" s="1">
        <v>27</v>
      </c>
      <c r="L1365" s="1">
        <v>14.5</v>
      </c>
      <c r="M1365" s="1">
        <v>13.62</v>
      </c>
      <c r="N1365" s="1">
        <v>0</v>
      </c>
      <c r="O1365" s="1" t="s">
        <v>379</v>
      </c>
    </row>
    <row r="1366" spans="1:15" x14ac:dyDescent="0.25">
      <c r="A1366" s="28">
        <v>46163</v>
      </c>
      <c r="B1366" s="1" t="s">
        <v>307</v>
      </c>
      <c r="C1366" s="1" t="s">
        <v>513</v>
      </c>
      <c r="D1366" s="28">
        <v>46186</v>
      </c>
      <c r="E1366" s="28">
        <v>46170</v>
      </c>
      <c r="F1366" s="28">
        <v>46177</v>
      </c>
      <c r="G1366" s="28">
        <v>46183</v>
      </c>
      <c r="H1366" s="28">
        <v>46171</v>
      </c>
      <c r="I1366" s="28">
        <v>46178</v>
      </c>
      <c r="J1366" s="28">
        <v>46190</v>
      </c>
      <c r="K1366" s="1">
        <v>27</v>
      </c>
      <c r="L1366" s="1">
        <v>16.7</v>
      </c>
      <c r="M1366" s="1">
        <v>13.78</v>
      </c>
      <c r="N1366" s="1">
        <v>0</v>
      </c>
      <c r="O1366" s="1" t="s">
        <v>379</v>
      </c>
    </row>
    <row r="1367" spans="1:15" x14ac:dyDescent="0.25">
      <c r="A1367" s="28">
        <v>46163</v>
      </c>
      <c r="B1367" s="1" t="s">
        <v>308</v>
      </c>
      <c r="C1367" s="1" t="s">
        <v>514</v>
      </c>
      <c r="D1367" s="28">
        <v>46186</v>
      </c>
      <c r="E1367" s="28">
        <v>46170</v>
      </c>
      <c r="F1367" s="28">
        <v>46177</v>
      </c>
      <c r="G1367" s="28">
        <v>46183</v>
      </c>
      <c r="H1367" s="28">
        <v>46171</v>
      </c>
      <c r="I1367" s="28">
        <v>46178</v>
      </c>
      <c r="J1367" s="28">
        <v>46190</v>
      </c>
      <c r="K1367" s="1">
        <v>27</v>
      </c>
      <c r="L1367" s="1">
        <v>12.3</v>
      </c>
      <c r="M1367" s="1">
        <v>10.84</v>
      </c>
      <c r="N1367" s="1">
        <v>0</v>
      </c>
      <c r="O1367" s="1" t="s">
        <v>379</v>
      </c>
    </row>
    <row r="1368" spans="1:15" x14ac:dyDescent="0.25">
      <c r="A1368" s="28">
        <v>46163</v>
      </c>
      <c r="B1368" s="1" t="s">
        <v>309</v>
      </c>
      <c r="C1368" s="1" t="s">
        <v>515</v>
      </c>
      <c r="D1368" s="28">
        <v>46186</v>
      </c>
      <c r="E1368" s="28">
        <v>46170</v>
      </c>
      <c r="F1368" s="28">
        <v>46177</v>
      </c>
      <c r="G1368" s="28">
        <v>46183</v>
      </c>
      <c r="H1368" s="28">
        <v>46171</v>
      </c>
      <c r="I1368" s="28">
        <v>46178</v>
      </c>
      <c r="J1368" s="28">
        <v>46190</v>
      </c>
      <c r="K1368" s="1">
        <v>27</v>
      </c>
      <c r="L1368" s="1">
        <v>13.75</v>
      </c>
      <c r="M1368" s="1">
        <v>11.3</v>
      </c>
      <c r="N1368" s="1">
        <v>0</v>
      </c>
      <c r="O1368" s="1" t="s">
        <v>379</v>
      </c>
    </row>
    <row r="1369" spans="1:15" x14ac:dyDescent="0.25">
      <c r="A1369" s="28">
        <v>46164</v>
      </c>
      <c r="B1369" s="1" t="s">
        <v>310</v>
      </c>
      <c r="C1369" s="1" t="s">
        <v>516</v>
      </c>
      <c r="D1369" s="28">
        <v>46187</v>
      </c>
      <c r="E1369" s="28">
        <v>46171</v>
      </c>
      <c r="F1369" s="28">
        <v>46178</v>
      </c>
      <c r="G1369" s="28">
        <v>46184</v>
      </c>
      <c r="H1369" s="28">
        <v>46172</v>
      </c>
      <c r="I1369" s="28">
        <v>46179</v>
      </c>
      <c r="J1369" s="28">
        <v>46190</v>
      </c>
      <c r="K1369" s="1">
        <v>26</v>
      </c>
      <c r="L1369" s="1">
        <v>14.87</v>
      </c>
      <c r="M1369" s="1">
        <v>11.38</v>
      </c>
      <c r="N1369" s="1">
        <v>0</v>
      </c>
      <c r="O1369" s="1" t="s">
        <v>379</v>
      </c>
    </row>
    <row r="1370" spans="1:15" x14ac:dyDescent="0.25">
      <c r="A1370" s="28">
        <v>46164</v>
      </c>
      <c r="B1370" s="1" t="s">
        <v>311</v>
      </c>
      <c r="C1370" s="1" t="s">
        <v>517</v>
      </c>
      <c r="D1370" s="28">
        <v>46187</v>
      </c>
      <c r="E1370" s="28">
        <v>46171</v>
      </c>
      <c r="F1370" s="28">
        <v>46178</v>
      </c>
      <c r="G1370" s="28">
        <v>46184</v>
      </c>
      <c r="H1370" s="28">
        <v>46172</v>
      </c>
      <c r="I1370" s="28">
        <v>46179</v>
      </c>
      <c r="J1370" s="28">
        <v>46190</v>
      </c>
      <c r="K1370" s="1">
        <v>26</v>
      </c>
      <c r="L1370" s="1">
        <v>13.7</v>
      </c>
      <c r="M1370" s="1">
        <v>11.3</v>
      </c>
      <c r="N1370" s="1">
        <v>0</v>
      </c>
      <c r="O1370" s="1" t="s">
        <v>379</v>
      </c>
    </row>
    <row r="1371" spans="1:15" x14ac:dyDescent="0.25">
      <c r="A1371" s="28">
        <v>46164</v>
      </c>
      <c r="B1371" s="1" t="s">
        <v>312</v>
      </c>
      <c r="C1371" s="1" t="s">
        <v>518</v>
      </c>
      <c r="D1371" s="28">
        <v>46187</v>
      </c>
      <c r="E1371" s="28">
        <v>46171</v>
      </c>
      <c r="F1371" s="28">
        <v>46178</v>
      </c>
      <c r="G1371" s="28">
        <v>46184</v>
      </c>
      <c r="H1371" s="28">
        <v>46172</v>
      </c>
      <c r="I1371" s="28">
        <v>46179</v>
      </c>
      <c r="J1371" s="28">
        <v>46191</v>
      </c>
      <c r="K1371" s="1">
        <v>27</v>
      </c>
      <c r="L1371" s="1">
        <v>12.4</v>
      </c>
      <c r="M1371" s="1">
        <v>11.49</v>
      </c>
      <c r="N1371" s="1">
        <v>0</v>
      </c>
      <c r="O1371" s="1" t="s">
        <v>379</v>
      </c>
    </row>
    <row r="1372" spans="1:15" x14ac:dyDescent="0.25">
      <c r="A1372" s="28">
        <v>46164</v>
      </c>
      <c r="B1372" s="1" t="s">
        <v>313</v>
      </c>
      <c r="C1372" s="1" t="s">
        <v>519</v>
      </c>
      <c r="D1372" s="28">
        <v>46187</v>
      </c>
      <c r="E1372" s="28">
        <v>46171</v>
      </c>
      <c r="F1372" s="28">
        <v>46178</v>
      </c>
      <c r="G1372" s="28">
        <v>46184</v>
      </c>
      <c r="H1372" s="28">
        <v>46172</v>
      </c>
      <c r="I1372" s="28">
        <v>46179</v>
      </c>
      <c r="J1372" s="28">
        <v>46191</v>
      </c>
      <c r="K1372" s="1">
        <v>27</v>
      </c>
      <c r="L1372" s="1">
        <v>13.2</v>
      </c>
      <c r="M1372" s="1">
        <v>11.8</v>
      </c>
      <c r="N1372" s="1">
        <v>0</v>
      </c>
      <c r="O1372" s="1" t="s">
        <v>379</v>
      </c>
    </row>
    <row r="1373" spans="1:15" x14ac:dyDescent="0.25">
      <c r="A1373" s="28">
        <v>46164</v>
      </c>
      <c r="B1373" s="1" t="s">
        <v>314</v>
      </c>
      <c r="C1373" s="1" t="s">
        <v>520</v>
      </c>
      <c r="D1373" s="28">
        <v>46187</v>
      </c>
      <c r="E1373" s="28">
        <v>46171</v>
      </c>
      <c r="F1373" s="28">
        <v>46178</v>
      </c>
      <c r="G1373" s="28">
        <v>46184</v>
      </c>
      <c r="H1373" s="28">
        <v>46172</v>
      </c>
      <c r="I1373" s="28">
        <v>46179</v>
      </c>
      <c r="J1373" s="28">
        <v>46191</v>
      </c>
      <c r="K1373" s="1">
        <v>27</v>
      </c>
      <c r="L1373" s="1">
        <v>13.7</v>
      </c>
      <c r="M1373" s="1">
        <v>12.23</v>
      </c>
      <c r="N1373" s="1">
        <v>0</v>
      </c>
      <c r="O1373" s="1" t="s">
        <v>379</v>
      </c>
    </row>
    <row r="1374" spans="1:15" x14ac:dyDescent="0.25">
      <c r="A1374" s="28">
        <v>46164</v>
      </c>
      <c r="B1374" s="1" t="s">
        <v>315</v>
      </c>
      <c r="C1374" s="1" t="s">
        <v>521</v>
      </c>
      <c r="D1374" s="28">
        <v>46187</v>
      </c>
      <c r="E1374" s="28">
        <v>46171</v>
      </c>
      <c r="F1374" s="28">
        <v>46178</v>
      </c>
      <c r="G1374" s="28">
        <v>46184</v>
      </c>
      <c r="H1374" s="28">
        <v>46172</v>
      </c>
      <c r="I1374" s="28">
        <v>46179</v>
      </c>
      <c r="J1374" s="28">
        <v>46191</v>
      </c>
      <c r="K1374" s="1">
        <v>27</v>
      </c>
      <c r="L1374" s="1">
        <v>12.8</v>
      </c>
      <c r="M1374" s="1">
        <v>11.07</v>
      </c>
      <c r="N1374" s="1">
        <v>0</v>
      </c>
      <c r="O1374" s="1" t="s">
        <v>379</v>
      </c>
    </row>
    <row r="1375" spans="1:15" x14ac:dyDescent="0.25">
      <c r="A1375" s="28">
        <v>46164</v>
      </c>
      <c r="B1375" s="1" t="s">
        <v>316</v>
      </c>
      <c r="C1375" s="1" t="s">
        <v>522</v>
      </c>
      <c r="D1375" s="28">
        <v>46187</v>
      </c>
      <c r="E1375" s="28">
        <v>46171</v>
      </c>
      <c r="F1375" s="28">
        <v>46178</v>
      </c>
      <c r="G1375" s="28">
        <v>46184</v>
      </c>
      <c r="H1375" s="28">
        <v>46172</v>
      </c>
      <c r="I1375" s="28">
        <v>46179</v>
      </c>
      <c r="J1375" s="28">
        <v>46191</v>
      </c>
      <c r="K1375" s="1">
        <v>27</v>
      </c>
      <c r="L1375" s="1">
        <v>13.8</v>
      </c>
      <c r="M1375" s="1">
        <v>12.91</v>
      </c>
      <c r="N1375" s="1">
        <v>0</v>
      </c>
      <c r="O1375" s="1" t="s">
        <v>379</v>
      </c>
    </row>
    <row r="1376" spans="1:15" x14ac:dyDescent="0.25">
      <c r="A1376" s="28">
        <v>46165</v>
      </c>
      <c r="B1376" s="1" t="s">
        <v>317</v>
      </c>
      <c r="C1376" s="1" t="s">
        <v>523</v>
      </c>
      <c r="D1376" s="28">
        <v>46188</v>
      </c>
      <c r="E1376" s="28">
        <v>46172</v>
      </c>
      <c r="F1376" s="28">
        <v>46179</v>
      </c>
      <c r="G1376" s="28">
        <v>46185</v>
      </c>
      <c r="H1376" s="28">
        <v>46173</v>
      </c>
      <c r="I1376" s="28">
        <v>46180</v>
      </c>
      <c r="J1376" s="28">
        <v>46191</v>
      </c>
      <c r="K1376" s="1">
        <v>26</v>
      </c>
      <c r="L1376" s="1">
        <v>14.1</v>
      </c>
      <c r="M1376" s="1">
        <v>12.4</v>
      </c>
      <c r="N1376" s="1">
        <v>0</v>
      </c>
      <c r="O1376" s="1" t="s">
        <v>379</v>
      </c>
    </row>
    <row r="1377" spans="1:15" x14ac:dyDescent="0.25">
      <c r="A1377" s="28">
        <v>46165</v>
      </c>
      <c r="B1377" s="1" t="s">
        <v>318</v>
      </c>
      <c r="C1377" s="1" t="s">
        <v>524</v>
      </c>
      <c r="D1377" s="28">
        <v>46188</v>
      </c>
      <c r="E1377" s="28">
        <v>46172</v>
      </c>
      <c r="F1377" s="28">
        <v>46179</v>
      </c>
      <c r="G1377" s="28">
        <v>46185</v>
      </c>
      <c r="H1377" s="28">
        <v>46173</v>
      </c>
      <c r="I1377" s="28">
        <v>46180</v>
      </c>
      <c r="J1377" s="28">
        <v>46191</v>
      </c>
      <c r="K1377" s="1">
        <v>26</v>
      </c>
      <c r="L1377" s="1">
        <v>14.8</v>
      </c>
      <c r="M1377" s="1">
        <v>13.42</v>
      </c>
      <c r="N1377" s="1">
        <v>0</v>
      </c>
      <c r="O1377" s="1" t="s">
        <v>379</v>
      </c>
    </row>
    <row r="1378" spans="1:15" x14ac:dyDescent="0.25">
      <c r="A1378" s="28">
        <v>46165</v>
      </c>
      <c r="B1378" s="1" t="s">
        <v>319</v>
      </c>
      <c r="C1378" s="1" t="str">
        <f>VLOOKUP(B1378,'[3]Migrasi Bed'!$B$4:$E$521,4,0)</f>
        <v>ST.A017</v>
      </c>
      <c r="D1378" s="28">
        <f t="shared" ref="D1378:D1441" si="390">A1378+23</f>
        <v>46188</v>
      </c>
      <c r="E1378" s="28">
        <f t="shared" ref="E1378:E1441" si="391">A1378+7</f>
        <v>46172</v>
      </c>
      <c r="F1378" s="28">
        <f t="shared" ref="F1378:F1441" si="392">A1378+14</f>
        <v>46179</v>
      </c>
      <c r="G1378" s="28">
        <f t="shared" ref="G1378:G1441" si="393">A1378+20</f>
        <v>46185</v>
      </c>
      <c r="H1378" s="28">
        <f t="shared" ref="H1378:H1441" si="394">A1378+8</f>
        <v>46173</v>
      </c>
      <c r="I1378" s="28">
        <f t="shared" ref="I1378:I1441" si="395">A1378+15</f>
        <v>46180</v>
      </c>
      <c r="J1378" s="28">
        <v>46192</v>
      </c>
      <c r="K1378" s="1">
        <f t="shared" ref="K1378:K1425" si="396">J1378-A1378</f>
        <v>27</v>
      </c>
      <c r="L1378" s="1">
        <v>14.1</v>
      </c>
      <c r="M1378" s="1">
        <v>12</v>
      </c>
      <c r="N1378" s="1">
        <v>0</v>
      </c>
      <c r="O1378" s="1" t="s">
        <v>379</v>
      </c>
    </row>
    <row r="1379" spans="1:15" x14ac:dyDescent="0.25">
      <c r="A1379" s="28">
        <v>46165</v>
      </c>
      <c r="B1379" s="1" t="s">
        <v>320</v>
      </c>
      <c r="C1379" s="1" t="str">
        <f>VLOOKUP(B1379,'[3]Migrasi Bed'!$B$4:$E$521,4,0)</f>
        <v>ST.A018</v>
      </c>
      <c r="D1379" s="28">
        <f t="shared" si="390"/>
        <v>46188</v>
      </c>
      <c r="E1379" s="28">
        <f t="shared" si="391"/>
        <v>46172</v>
      </c>
      <c r="F1379" s="28">
        <f t="shared" si="392"/>
        <v>46179</v>
      </c>
      <c r="G1379" s="28">
        <f t="shared" si="393"/>
        <v>46185</v>
      </c>
      <c r="H1379" s="28">
        <f t="shared" si="394"/>
        <v>46173</v>
      </c>
      <c r="I1379" s="28">
        <f t="shared" si="395"/>
        <v>46180</v>
      </c>
      <c r="J1379" s="28">
        <v>46192</v>
      </c>
      <c r="K1379" s="1">
        <f t="shared" si="396"/>
        <v>27</v>
      </c>
      <c r="L1379" s="1">
        <v>13.6</v>
      </c>
      <c r="M1379" s="1">
        <v>11.1</v>
      </c>
      <c r="N1379" s="1">
        <v>0</v>
      </c>
      <c r="O1379" s="1" t="s">
        <v>379</v>
      </c>
    </row>
    <row r="1380" spans="1:15" x14ac:dyDescent="0.25">
      <c r="A1380" s="28">
        <v>46165</v>
      </c>
      <c r="B1380" s="1" t="s">
        <v>321</v>
      </c>
      <c r="C1380" s="1" t="str">
        <f>VLOOKUP(B1380,'[3]Migrasi Bed'!$B$4:$E$521,4,0)</f>
        <v>ST.A019</v>
      </c>
      <c r="D1380" s="28">
        <f t="shared" si="390"/>
        <v>46188</v>
      </c>
      <c r="E1380" s="28">
        <f t="shared" si="391"/>
        <v>46172</v>
      </c>
      <c r="F1380" s="28">
        <f t="shared" si="392"/>
        <v>46179</v>
      </c>
      <c r="G1380" s="28">
        <f t="shared" si="393"/>
        <v>46185</v>
      </c>
      <c r="H1380" s="28">
        <f t="shared" si="394"/>
        <v>46173</v>
      </c>
      <c r="I1380" s="28">
        <f t="shared" si="395"/>
        <v>46180</v>
      </c>
      <c r="J1380" s="28">
        <v>46192</v>
      </c>
      <c r="K1380" s="1">
        <f t="shared" si="396"/>
        <v>27</v>
      </c>
      <c r="L1380" s="1">
        <v>12.4</v>
      </c>
      <c r="M1380" s="1">
        <v>10.9</v>
      </c>
      <c r="N1380" s="1">
        <v>0</v>
      </c>
      <c r="O1380" s="1" t="s">
        <v>379</v>
      </c>
    </row>
    <row r="1381" spans="1:15" x14ac:dyDescent="0.25">
      <c r="A1381" s="28">
        <v>46165</v>
      </c>
      <c r="B1381" s="1" t="s">
        <v>322</v>
      </c>
      <c r="C1381" s="1" t="str">
        <f>VLOOKUP(B1381,'[3]Migrasi Bed'!$B$4:$E$521,4,0)</f>
        <v>ST.A020</v>
      </c>
      <c r="D1381" s="28">
        <f t="shared" si="390"/>
        <v>46188</v>
      </c>
      <c r="E1381" s="28">
        <f t="shared" si="391"/>
        <v>46172</v>
      </c>
      <c r="F1381" s="28">
        <f t="shared" si="392"/>
        <v>46179</v>
      </c>
      <c r="G1381" s="28">
        <f t="shared" si="393"/>
        <v>46185</v>
      </c>
      <c r="H1381" s="28">
        <f t="shared" si="394"/>
        <v>46173</v>
      </c>
      <c r="I1381" s="28">
        <f t="shared" si="395"/>
        <v>46180</v>
      </c>
      <c r="J1381" s="28">
        <v>46192</v>
      </c>
      <c r="K1381" s="1">
        <f t="shared" si="396"/>
        <v>27</v>
      </c>
      <c r="L1381" s="1">
        <v>15.6</v>
      </c>
      <c r="M1381" s="1">
        <v>13.8</v>
      </c>
      <c r="N1381" s="1">
        <v>0</v>
      </c>
      <c r="O1381" s="1" t="s">
        <v>379</v>
      </c>
    </row>
    <row r="1382" spans="1:15" x14ac:dyDescent="0.25">
      <c r="A1382" s="28">
        <v>46165</v>
      </c>
      <c r="B1382" s="1" t="s">
        <v>323</v>
      </c>
      <c r="C1382" s="1" t="str">
        <f>VLOOKUP(B1382,'[3]Migrasi Bed'!$B$4:$E$521,4,0)</f>
        <v>ST.A021</v>
      </c>
      <c r="D1382" s="28">
        <f t="shared" si="390"/>
        <v>46188</v>
      </c>
      <c r="E1382" s="28">
        <f t="shared" si="391"/>
        <v>46172</v>
      </c>
      <c r="F1382" s="28">
        <f t="shared" si="392"/>
        <v>46179</v>
      </c>
      <c r="G1382" s="28">
        <f t="shared" si="393"/>
        <v>46185</v>
      </c>
      <c r="H1382" s="28">
        <f t="shared" si="394"/>
        <v>46173</v>
      </c>
      <c r="I1382" s="28">
        <f t="shared" si="395"/>
        <v>46180</v>
      </c>
      <c r="J1382" s="28">
        <v>46192</v>
      </c>
      <c r="K1382" s="1">
        <f t="shared" si="396"/>
        <v>27</v>
      </c>
      <c r="L1382" s="1">
        <v>14.7</v>
      </c>
      <c r="M1382" s="1">
        <v>12.7</v>
      </c>
      <c r="N1382" s="1">
        <v>0</v>
      </c>
      <c r="O1382" s="1" t="s">
        <v>379</v>
      </c>
    </row>
    <row r="1383" spans="1:15" x14ac:dyDescent="0.25">
      <c r="A1383" s="28">
        <v>46166</v>
      </c>
      <c r="B1383" s="1" t="s">
        <v>153</v>
      </c>
      <c r="C1383" s="1" t="str">
        <f>VLOOKUP(B1383,'[3]Migrasi Bed'!$B$4:$E$521,4,0)</f>
        <v>SV.F001</v>
      </c>
      <c r="D1383" s="28">
        <f t="shared" si="390"/>
        <v>46189</v>
      </c>
      <c r="E1383" s="28">
        <f t="shared" si="391"/>
        <v>46173</v>
      </c>
      <c r="F1383" s="28">
        <f t="shared" si="392"/>
        <v>46180</v>
      </c>
      <c r="G1383" s="28">
        <f t="shared" si="393"/>
        <v>46186</v>
      </c>
      <c r="H1383" s="28">
        <f t="shared" si="394"/>
        <v>46174</v>
      </c>
      <c r="I1383" s="28">
        <f t="shared" si="395"/>
        <v>46181</v>
      </c>
      <c r="J1383" s="28">
        <v>46192</v>
      </c>
      <c r="K1383" s="1">
        <f t="shared" si="396"/>
        <v>26</v>
      </c>
      <c r="L1383" s="1">
        <v>15.2</v>
      </c>
      <c r="M1383" s="1">
        <v>13.5</v>
      </c>
      <c r="N1383" s="1">
        <v>0</v>
      </c>
      <c r="O1383" s="1" t="s">
        <v>379</v>
      </c>
    </row>
    <row r="1384" spans="1:15" x14ac:dyDescent="0.25">
      <c r="A1384" s="28">
        <v>46166</v>
      </c>
      <c r="B1384" s="1" t="s">
        <v>154</v>
      </c>
      <c r="C1384" s="1" t="str">
        <f>VLOOKUP(B1384,'[3]Migrasi Bed'!$B$4:$E$521,4,0)</f>
        <v>SV.F002</v>
      </c>
      <c r="D1384" s="28">
        <f t="shared" si="390"/>
        <v>46189</v>
      </c>
      <c r="E1384" s="28">
        <f t="shared" si="391"/>
        <v>46173</v>
      </c>
      <c r="F1384" s="28">
        <f t="shared" si="392"/>
        <v>46180</v>
      </c>
      <c r="G1384" s="28">
        <f t="shared" si="393"/>
        <v>46186</v>
      </c>
      <c r="H1384" s="28">
        <f t="shared" si="394"/>
        <v>46174</v>
      </c>
      <c r="I1384" s="28">
        <f t="shared" si="395"/>
        <v>46181</v>
      </c>
      <c r="J1384" s="28">
        <v>46192</v>
      </c>
      <c r="K1384" s="1">
        <f t="shared" si="396"/>
        <v>26</v>
      </c>
      <c r="L1384" s="1">
        <v>15.5</v>
      </c>
      <c r="M1384" s="1">
        <v>13.5</v>
      </c>
      <c r="N1384" s="1">
        <v>0</v>
      </c>
      <c r="O1384" s="1" t="s">
        <v>379</v>
      </c>
    </row>
    <row r="1385" spans="1:15" x14ac:dyDescent="0.25">
      <c r="A1385" s="28">
        <v>46166</v>
      </c>
      <c r="B1385" s="1" t="s">
        <v>155</v>
      </c>
      <c r="C1385" s="1" t="str">
        <f>VLOOKUP(B1385,'[3]Migrasi Bed'!$B$4:$E$521,4,0)</f>
        <v>SV.F003</v>
      </c>
      <c r="D1385" s="28">
        <f t="shared" si="390"/>
        <v>46189</v>
      </c>
      <c r="E1385" s="28">
        <f t="shared" si="391"/>
        <v>46173</v>
      </c>
      <c r="F1385" s="28">
        <f t="shared" si="392"/>
        <v>46180</v>
      </c>
      <c r="G1385" s="28">
        <f t="shared" si="393"/>
        <v>46186</v>
      </c>
      <c r="H1385" s="28">
        <f t="shared" si="394"/>
        <v>46174</v>
      </c>
      <c r="I1385" s="28">
        <f t="shared" si="395"/>
        <v>46181</v>
      </c>
      <c r="J1385" s="28">
        <v>46193</v>
      </c>
      <c r="K1385" s="1">
        <f t="shared" si="396"/>
        <v>27</v>
      </c>
      <c r="L1385" s="1">
        <v>17.3</v>
      </c>
      <c r="M1385" s="1">
        <v>15.4</v>
      </c>
      <c r="N1385" s="1">
        <v>0</v>
      </c>
      <c r="O1385" s="1" t="s">
        <v>379</v>
      </c>
    </row>
    <row r="1386" spans="1:15" x14ac:dyDescent="0.25">
      <c r="A1386" s="28">
        <v>46166</v>
      </c>
      <c r="B1386" s="1" t="s">
        <v>156</v>
      </c>
      <c r="C1386" s="1" t="str">
        <f>VLOOKUP(B1386,'[3]Migrasi Bed'!$B$4:$E$521,4,0)</f>
        <v>SV.F004</v>
      </c>
      <c r="D1386" s="28">
        <f t="shared" si="390"/>
        <v>46189</v>
      </c>
      <c r="E1386" s="28">
        <f t="shared" si="391"/>
        <v>46173</v>
      </c>
      <c r="F1386" s="28">
        <f t="shared" si="392"/>
        <v>46180</v>
      </c>
      <c r="G1386" s="28">
        <f t="shared" si="393"/>
        <v>46186</v>
      </c>
      <c r="H1386" s="28">
        <f t="shared" si="394"/>
        <v>46174</v>
      </c>
      <c r="I1386" s="28">
        <f t="shared" si="395"/>
        <v>46181</v>
      </c>
      <c r="J1386" s="28">
        <v>46193</v>
      </c>
      <c r="K1386" s="1">
        <f t="shared" si="396"/>
        <v>27</v>
      </c>
      <c r="L1386" s="1">
        <v>17.5</v>
      </c>
      <c r="M1386" s="1">
        <v>15.7</v>
      </c>
      <c r="N1386" s="1">
        <v>0</v>
      </c>
      <c r="O1386" s="1" t="s">
        <v>379</v>
      </c>
    </row>
    <row r="1387" spans="1:15" x14ac:dyDescent="0.25">
      <c r="A1387" s="28">
        <v>46166</v>
      </c>
      <c r="B1387" s="1" t="s">
        <v>157</v>
      </c>
      <c r="C1387" s="1" t="str">
        <f>VLOOKUP(B1387,'[3]Migrasi Bed'!$B$4:$E$521,4,0)</f>
        <v>SV.F005</v>
      </c>
      <c r="D1387" s="28">
        <f t="shared" si="390"/>
        <v>46189</v>
      </c>
      <c r="E1387" s="28">
        <f t="shared" si="391"/>
        <v>46173</v>
      </c>
      <c r="F1387" s="28">
        <f t="shared" si="392"/>
        <v>46180</v>
      </c>
      <c r="G1387" s="28">
        <f t="shared" si="393"/>
        <v>46186</v>
      </c>
      <c r="H1387" s="28">
        <f t="shared" si="394"/>
        <v>46174</v>
      </c>
      <c r="I1387" s="28">
        <f t="shared" si="395"/>
        <v>46181</v>
      </c>
      <c r="J1387" s="28">
        <v>46193</v>
      </c>
      <c r="K1387" s="1">
        <f t="shared" si="396"/>
        <v>27</v>
      </c>
      <c r="L1387" s="1">
        <v>14.4</v>
      </c>
      <c r="M1387" s="1">
        <v>12.7</v>
      </c>
      <c r="N1387" s="1">
        <v>0</v>
      </c>
      <c r="O1387" s="1" t="s">
        <v>379</v>
      </c>
    </row>
    <row r="1388" spans="1:15" x14ac:dyDescent="0.25">
      <c r="A1388" s="28">
        <v>46166</v>
      </c>
      <c r="B1388" s="1" t="s">
        <v>158</v>
      </c>
      <c r="C1388" s="1" t="str">
        <f>VLOOKUP(B1388,'[3]Migrasi Bed'!$B$4:$E$521,4,0)</f>
        <v>SV.F006</v>
      </c>
      <c r="D1388" s="28">
        <f t="shared" si="390"/>
        <v>46189</v>
      </c>
      <c r="E1388" s="28">
        <f t="shared" si="391"/>
        <v>46173</v>
      </c>
      <c r="F1388" s="28">
        <f t="shared" si="392"/>
        <v>46180</v>
      </c>
      <c r="G1388" s="28">
        <f t="shared" si="393"/>
        <v>46186</v>
      </c>
      <c r="H1388" s="28">
        <f t="shared" si="394"/>
        <v>46174</v>
      </c>
      <c r="I1388" s="28">
        <f t="shared" si="395"/>
        <v>46181</v>
      </c>
      <c r="J1388" s="28">
        <v>46193</v>
      </c>
      <c r="K1388" s="1">
        <f t="shared" si="396"/>
        <v>27</v>
      </c>
      <c r="L1388" s="1">
        <v>15.2</v>
      </c>
      <c r="M1388" s="1">
        <v>13.1</v>
      </c>
      <c r="N1388" s="1">
        <v>0</v>
      </c>
      <c r="O1388" s="1" t="s">
        <v>379</v>
      </c>
    </row>
    <row r="1389" spans="1:15" x14ac:dyDescent="0.25">
      <c r="A1389" s="28">
        <v>46166</v>
      </c>
      <c r="B1389" s="1" t="s">
        <v>159</v>
      </c>
      <c r="C1389" s="1" t="str">
        <f>VLOOKUP(B1389,'[3]Migrasi Bed'!$B$4:$E$521,4,0)</f>
        <v>SV.F007</v>
      </c>
      <c r="D1389" s="28">
        <f t="shared" si="390"/>
        <v>46189</v>
      </c>
      <c r="E1389" s="28">
        <f t="shared" si="391"/>
        <v>46173</v>
      </c>
      <c r="F1389" s="28">
        <f t="shared" si="392"/>
        <v>46180</v>
      </c>
      <c r="G1389" s="28">
        <f t="shared" si="393"/>
        <v>46186</v>
      </c>
      <c r="H1389" s="28">
        <f t="shared" si="394"/>
        <v>46174</v>
      </c>
      <c r="I1389" s="28">
        <f t="shared" si="395"/>
        <v>46181</v>
      </c>
      <c r="J1389" s="28">
        <v>46193</v>
      </c>
      <c r="K1389" s="1">
        <f t="shared" si="396"/>
        <v>27</v>
      </c>
      <c r="L1389" s="1">
        <v>17.3</v>
      </c>
      <c r="M1389" s="1">
        <v>15.6</v>
      </c>
      <c r="N1389" s="1">
        <v>0</v>
      </c>
      <c r="O1389" s="1" t="s">
        <v>379</v>
      </c>
    </row>
    <row r="1390" spans="1:15" x14ac:dyDescent="0.25">
      <c r="A1390" s="28">
        <v>46167</v>
      </c>
      <c r="B1390" s="1" t="s">
        <v>173</v>
      </c>
      <c r="C1390" s="1" t="str">
        <f>VLOOKUP(B1390,'[3]Migrasi Bed'!$B$4:$E$521,4,0)</f>
        <v>SV.G001</v>
      </c>
      <c r="D1390" s="28">
        <f t="shared" si="390"/>
        <v>46190</v>
      </c>
      <c r="E1390" s="28">
        <f t="shared" si="391"/>
        <v>46174</v>
      </c>
      <c r="F1390" s="28">
        <f t="shared" si="392"/>
        <v>46181</v>
      </c>
      <c r="G1390" s="28">
        <f t="shared" si="393"/>
        <v>46187</v>
      </c>
      <c r="H1390" s="28">
        <f t="shared" si="394"/>
        <v>46175</v>
      </c>
      <c r="I1390" s="28">
        <f t="shared" si="395"/>
        <v>46182</v>
      </c>
      <c r="J1390" s="28">
        <v>46193</v>
      </c>
      <c r="K1390" s="1">
        <f t="shared" si="396"/>
        <v>26</v>
      </c>
      <c r="L1390" s="1">
        <v>16.399999999999999</v>
      </c>
      <c r="M1390" s="1">
        <v>14.9</v>
      </c>
      <c r="N1390" s="1">
        <v>0</v>
      </c>
      <c r="O1390" s="1" t="s">
        <v>379</v>
      </c>
    </row>
    <row r="1391" spans="1:15" x14ac:dyDescent="0.25">
      <c r="A1391" s="28">
        <v>46167</v>
      </c>
      <c r="B1391" s="1" t="s">
        <v>174</v>
      </c>
      <c r="C1391" s="1" t="str">
        <f>VLOOKUP(B1391,'[3]Migrasi Bed'!$B$4:$E$521,4,0)</f>
        <v>SV.G002</v>
      </c>
      <c r="D1391" s="28">
        <f t="shared" si="390"/>
        <v>46190</v>
      </c>
      <c r="E1391" s="28">
        <f t="shared" si="391"/>
        <v>46174</v>
      </c>
      <c r="F1391" s="28">
        <f t="shared" si="392"/>
        <v>46181</v>
      </c>
      <c r="G1391" s="28">
        <f t="shared" si="393"/>
        <v>46187</v>
      </c>
      <c r="H1391" s="28">
        <f t="shared" si="394"/>
        <v>46175</v>
      </c>
      <c r="I1391" s="28">
        <f t="shared" si="395"/>
        <v>46182</v>
      </c>
      <c r="J1391" s="28">
        <v>46193</v>
      </c>
      <c r="K1391" s="1">
        <f t="shared" si="396"/>
        <v>26</v>
      </c>
      <c r="L1391" s="1">
        <v>14.6</v>
      </c>
      <c r="M1391" s="1">
        <v>12.6</v>
      </c>
      <c r="N1391" s="1">
        <v>0</v>
      </c>
      <c r="O1391" s="1" t="s">
        <v>379</v>
      </c>
    </row>
    <row r="1392" spans="1:15" x14ac:dyDescent="0.25">
      <c r="A1392" s="28">
        <v>46167</v>
      </c>
      <c r="B1392" s="1" t="s">
        <v>175</v>
      </c>
      <c r="C1392" s="1" t="str">
        <f>VLOOKUP(B1392,'[3]Migrasi Bed'!$B$4:$E$521,4,0)</f>
        <v>SV.G003</v>
      </c>
      <c r="D1392" s="28">
        <f t="shared" si="390"/>
        <v>46190</v>
      </c>
      <c r="E1392" s="28">
        <f t="shared" si="391"/>
        <v>46174</v>
      </c>
      <c r="F1392" s="28">
        <f t="shared" si="392"/>
        <v>46181</v>
      </c>
      <c r="G1392" s="28">
        <f t="shared" si="393"/>
        <v>46187</v>
      </c>
      <c r="H1392" s="28">
        <f t="shared" si="394"/>
        <v>46175</v>
      </c>
      <c r="I1392" s="28">
        <f t="shared" si="395"/>
        <v>46182</v>
      </c>
      <c r="J1392" s="28">
        <v>46193</v>
      </c>
      <c r="K1392" s="1">
        <f t="shared" si="396"/>
        <v>26</v>
      </c>
      <c r="L1392" s="1">
        <v>14.2</v>
      </c>
      <c r="M1392" s="1">
        <v>12.3</v>
      </c>
      <c r="N1392" s="1">
        <v>0</v>
      </c>
      <c r="O1392" s="1" t="s">
        <v>379</v>
      </c>
    </row>
    <row r="1393" spans="1:15" x14ac:dyDescent="0.25">
      <c r="A1393" s="28">
        <v>46167</v>
      </c>
      <c r="B1393" s="1" t="s">
        <v>176</v>
      </c>
      <c r="C1393" s="1" t="str">
        <f>VLOOKUP(B1393,'[4]Migrasi Bed'!$B$4:$E$521,4,0)</f>
        <v>SV.G004</v>
      </c>
      <c r="D1393" s="28">
        <f t="shared" si="390"/>
        <v>46190</v>
      </c>
      <c r="E1393" s="28">
        <f t="shared" si="391"/>
        <v>46174</v>
      </c>
      <c r="F1393" s="28">
        <f t="shared" si="392"/>
        <v>46181</v>
      </c>
      <c r="G1393" s="28">
        <f t="shared" si="393"/>
        <v>46187</v>
      </c>
      <c r="H1393" s="28">
        <f t="shared" si="394"/>
        <v>46175</v>
      </c>
      <c r="I1393" s="28">
        <f t="shared" si="395"/>
        <v>46182</v>
      </c>
      <c r="J1393" s="28">
        <v>46194</v>
      </c>
      <c r="K1393" s="1">
        <f t="shared" si="396"/>
        <v>27</v>
      </c>
      <c r="L1393" s="1">
        <v>15.4</v>
      </c>
      <c r="M1393" s="1">
        <v>13.2</v>
      </c>
      <c r="N1393" s="1">
        <v>0</v>
      </c>
      <c r="O1393" s="1" t="s">
        <v>379</v>
      </c>
    </row>
    <row r="1394" spans="1:15" x14ac:dyDescent="0.25">
      <c r="A1394" s="28">
        <v>46167</v>
      </c>
      <c r="B1394" s="1" t="s">
        <v>177</v>
      </c>
      <c r="C1394" s="1" t="str">
        <f>VLOOKUP(B1394,'[4]Migrasi Bed'!$B$4:$E$521,4,0)</f>
        <v>SV.G005</v>
      </c>
      <c r="D1394" s="28">
        <f t="shared" si="390"/>
        <v>46190</v>
      </c>
      <c r="E1394" s="28">
        <f t="shared" si="391"/>
        <v>46174</v>
      </c>
      <c r="F1394" s="28">
        <f t="shared" si="392"/>
        <v>46181</v>
      </c>
      <c r="G1394" s="28">
        <f t="shared" si="393"/>
        <v>46187</v>
      </c>
      <c r="H1394" s="28">
        <f t="shared" si="394"/>
        <v>46175</v>
      </c>
      <c r="I1394" s="28">
        <f t="shared" si="395"/>
        <v>46182</v>
      </c>
      <c r="J1394" s="28">
        <v>46194</v>
      </c>
      <c r="K1394" s="1">
        <f t="shared" si="396"/>
        <v>27</v>
      </c>
      <c r="L1394" s="1">
        <v>16.3</v>
      </c>
      <c r="M1394" s="1">
        <v>14.1</v>
      </c>
      <c r="N1394" s="1">
        <v>0</v>
      </c>
      <c r="O1394" s="1" t="s">
        <v>379</v>
      </c>
    </row>
    <row r="1395" spans="1:15" x14ac:dyDescent="0.25">
      <c r="A1395" s="28">
        <v>46167</v>
      </c>
      <c r="B1395" s="1" t="s">
        <v>178</v>
      </c>
      <c r="C1395" s="1" t="str">
        <f>VLOOKUP(B1395,'[4]Migrasi Bed'!$B$4:$E$521,4,0)</f>
        <v>SV.G006</v>
      </c>
      <c r="D1395" s="28">
        <f t="shared" si="390"/>
        <v>46190</v>
      </c>
      <c r="E1395" s="28">
        <f t="shared" si="391"/>
        <v>46174</v>
      </c>
      <c r="F1395" s="28">
        <f t="shared" si="392"/>
        <v>46181</v>
      </c>
      <c r="G1395" s="28">
        <f t="shared" si="393"/>
        <v>46187</v>
      </c>
      <c r="H1395" s="28">
        <f t="shared" si="394"/>
        <v>46175</v>
      </c>
      <c r="I1395" s="28">
        <f t="shared" si="395"/>
        <v>46182</v>
      </c>
      <c r="J1395" s="28">
        <v>46194</v>
      </c>
      <c r="K1395" s="1">
        <f t="shared" si="396"/>
        <v>27</v>
      </c>
      <c r="L1395" s="1">
        <v>15.2</v>
      </c>
      <c r="M1395" s="1">
        <v>13.1</v>
      </c>
      <c r="N1395" s="1">
        <v>0</v>
      </c>
      <c r="O1395" s="1" t="s">
        <v>379</v>
      </c>
    </row>
    <row r="1396" spans="1:15" x14ac:dyDescent="0.25">
      <c r="A1396" s="28">
        <v>46167</v>
      </c>
      <c r="B1396" s="1" t="s">
        <v>179</v>
      </c>
      <c r="C1396" s="1" t="str">
        <f>VLOOKUP(B1396,'[4]Migrasi Bed'!$B$4:$E$521,4,0)</f>
        <v>SV.G007</v>
      </c>
      <c r="D1396" s="28">
        <f t="shared" si="390"/>
        <v>46190</v>
      </c>
      <c r="E1396" s="28">
        <f t="shared" si="391"/>
        <v>46174</v>
      </c>
      <c r="F1396" s="28">
        <f t="shared" si="392"/>
        <v>46181</v>
      </c>
      <c r="G1396" s="28">
        <f t="shared" si="393"/>
        <v>46187</v>
      </c>
      <c r="H1396" s="28">
        <f t="shared" si="394"/>
        <v>46175</v>
      </c>
      <c r="I1396" s="28">
        <f t="shared" si="395"/>
        <v>46182</v>
      </c>
      <c r="J1396" s="28">
        <v>46194</v>
      </c>
      <c r="K1396" s="1">
        <f t="shared" si="396"/>
        <v>27</v>
      </c>
      <c r="L1396" s="1">
        <v>15.5</v>
      </c>
      <c r="M1396" s="1">
        <v>13.2</v>
      </c>
      <c r="N1396" s="1">
        <v>0</v>
      </c>
      <c r="O1396" s="1" t="s">
        <v>379</v>
      </c>
    </row>
    <row r="1397" spans="1:15" x14ac:dyDescent="0.25">
      <c r="A1397" s="28">
        <v>46169</v>
      </c>
      <c r="B1397" s="1" t="s">
        <v>160</v>
      </c>
      <c r="C1397" s="1" t="str">
        <f>VLOOKUP(B1397,'[4]Migrasi Bed'!$B$4:$E$521,4,0)</f>
        <v>SV.F008</v>
      </c>
      <c r="D1397" s="28">
        <f t="shared" si="390"/>
        <v>46192</v>
      </c>
      <c r="E1397" s="28">
        <f t="shared" si="391"/>
        <v>46176</v>
      </c>
      <c r="F1397" s="28">
        <f t="shared" si="392"/>
        <v>46183</v>
      </c>
      <c r="G1397" s="28">
        <f t="shared" si="393"/>
        <v>46189</v>
      </c>
      <c r="H1397" s="28">
        <f t="shared" si="394"/>
        <v>46177</v>
      </c>
      <c r="I1397" s="28">
        <f t="shared" si="395"/>
        <v>46184</v>
      </c>
      <c r="J1397" s="28">
        <v>46194</v>
      </c>
      <c r="K1397" s="1">
        <f t="shared" si="396"/>
        <v>25</v>
      </c>
      <c r="L1397" s="1">
        <v>14.6</v>
      </c>
      <c r="M1397" s="1">
        <v>12.4</v>
      </c>
      <c r="N1397" s="1">
        <v>0</v>
      </c>
      <c r="O1397" s="1" t="s">
        <v>379</v>
      </c>
    </row>
    <row r="1398" spans="1:15" x14ac:dyDescent="0.25">
      <c r="A1398" s="28">
        <v>46169</v>
      </c>
      <c r="B1398" s="1" t="s">
        <v>161</v>
      </c>
      <c r="C1398" s="1" t="str">
        <f>VLOOKUP(B1398,'[4]Migrasi Bed'!$B$4:$E$521,4,0)</f>
        <v>SV.F009</v>
      </c>
      <c r="D1398" s="28">
        <f t="shared" si="390"/>
        <v>46192</v>
      </c>
      <c r="E1398" s="28">
        <f t="shared" si="391"/>
        <v>46176</v>
      </c>
      <c r="F1398" s="28">
        <f t="shared" si="392"/>
        <v>46183</v>
      </c>
      <c r="G1398" s="28">
        <f t="shared" si="393"/>
        <v>46189</v>
      </c>
      <c r="H1398" s="28">
        <f t="shared" si="394"/>
        <v>46177</v>
      </c>
      <c r="I1398" s="28">
        <f t="shared" si="395"/>
        <v>46184</v>
      </c>
      <c r="J1398" s="28">
        <v>46195</v>
      </c>
      <c r="K1398" s="1">
        <f t="shared" si="396"/>
        <v>26</v>
      </c>
      <c r="L1398" s="1">
        <v>16.3</v>
      </c>
      <c r="M1398" s="1">
        <v>14.5</v>
      </c>
      <c r="N1398" s="1">
        <v>0</v>
      </c>
      <c r="O1398" s="1" t="s">
        <v>379</v>
      </c>
    </row>
    <row r="1399" spans="1:15" x14ac:dyDescent="0.25">
      <c r="A1399" s="28">
        <v>46169</v>
      </c>
      <c r="B1399" s="1" t="s">
        <v>162</v>
      </c>
      <c r="C1399" s="1" t="str">
        <f>VLOOKUP(B1399,'[4]Migrasi Bed'!$B$4:$E$521,4,0)</f>
        <v>SV.F010</v>
      </c>
      <c r="D1399" s="28">
        <f t="shared" si="390"/>
        <v>46192</v>
      </c>
      <c r="E1399" s="28">
        <f t="shared" si="391"/>
        <v>46176</v>
      </c>
      <c r="F1399" s="28">
        <f t="shared" si="392"/>
        <v>46183</v>
      </c>
      <c r="G1399" s="28">
        <f t="shared" si="393"/>
        <v>46189</v>
      </c>
      <c r="H1399" s="28">
        <f t="shared" si="394"/>
        <v>46177</v>
      </c>
      <c r="I1399" s="28">
        <f t="shared" si="395"/>
        <v>46184</v>
      </c>
      <c r="J1399" s="28">
        <v>46195</v>
      </c>
      <c r="K1399" s="1">
        <f t="shared" si="396"/>
        <v>26</v>
      </c>
      <c r="L1399" s="1">
        <v>14.8</v>
      </c>
      <c r="M1399" s="1">
        <v>12.9</v>
      </c>
      <c r="N1399" s="1">
        <v>0</v>
      </c>
      <c r="O1399" s="1" t="s">
        <v>379</v>
      </c>
    </row>
    <row r="1400" spans="1:15" x14ac:dyDescent="0.25">
      <c r="A1400" s="28">
        <v>46169</v>
      </c>
      <c r="B1400" s="1" t="s">
        <v>163</v>
      </c>
      <c r="C1400" s="1" t="str">
        <f>VLOOKUP(B1400,'[4]Migrasi Bed'!$B$4:$E$521,4,0)</f>
        <v>SV.F011</v>
      </c>
      <c r="D1400" s="28">
        <f t="shared" si="390"/>
        <v>46192</v>
      </c>
      <c r="E1400" s="28">
        <f t="shared" si="391"/>
        <v>46176</v>
      </c>
      <c r="F1400" s="28">
        <f t="shared" si="392"/>
        <v>46183</v>
      </c>
      <c r="G1400" s="28">
        <f t="shared" si="393"/>
        <v>46189</v>
      </c>
      <c r="H1400" s="28">
        <f t="shared" si="394"/>
        <v>46177</v>
      </c>
      <c r="I1400" s="28">
        <f t="shared" si="395"/>
        <v>46184</v>
      </c>
      <c r="J1400" s="28">
        <v>46195</v>
      </c>
      <c r="K1400" s="1">
        <f t="shared" si="396"/>
        <v>26</v>
      </c>
      <c r="L1400" s="1">
        <v>15.2</v>
      </c>
      <c r="M1400" s="1">
        <v>13</v>
      </c>
      <c r="N1400" s="1">
        <v>0</v>
      </c>
      <c r="O1400" s="1" t="s">
        <v>379</v>
      </c>
    </row>
    <row r="1401" spans="1:15" x14ac:dyDescent="0.25">
      <c r="A1401" s="28">
        <v>46169</v>
      </c>
      <c r="B1401" s="1" t="s">
        <v>164</v>
      </c>
      <c r="C1401" s="1" t="str">
        <f>VLOOKUP(B1401,'[4]Migrasi Bed'!$B$4:$E$521,4,0)</f>
        <v>SV.F012</v>
      </c>
      <c r="D1401" s="28">
        <f t="shared" si="390"/>
        <v>46192</v>
      </c>
      <c r="E1401" s="28">
        <f t="shared" si="391"/>
        <v>46176</v>
      </c>
      <c r="F1401" s="28">
        <f t="shared" si="392"/>
        <v>46183</v>
      </c>
      <c r="G1401" s="28">
        <f t="shared" si="393"/>
        <v>46189</v>
      </c>
      <c r="H1401" s="28">
        <f t="shared" si="394"/>
        <v>46177</v>
      </c>
      <c r="I1401" s="28">
        <f t="shared" si="395"/>
        <v>46184</v>
      </c>
      <c r="J1401" s="28">
        <v>46195</v>
      </c>
      <c r="K1401" s="1">
        <f t="shared" si="396"/>
        <v>26</v>
      </c>
      <c r="L1401" s="1">
        <v>16.2</v>
      </c>
      <c r="M1401" s="1">
        <v>14.5</v>
      </c>
      <c r="N1401" s="1">
        <v>0</v>
      </c>
      <c r="O1401" s="1" t="s">
        <v>379</v>
      </c>
    </row>
    <row r="1402" spans="1:15" x14ac:dyDescent="0.25">
      <c r="A1402" s="28">
        <v>46169</v>
      </c>
      <c r="B1402" s="1" t="s">
        <v>165</v>
      </c>
      <c r="C1402" s="1" t="str">
        <f>VLOOKUP(B1402,'[4]Migrasi Bed'!$B$4:$E$521,4,0)</f>
        <v>SV.F013</v>
      </c>
      <c r="D1402" s="28">
        <f t="shared" si="390"/>
        <v>46192</v>
      </c>
      <c r="E1402" s="28">
        <f t="shared" si="391"/>
        <v>46176</v>
      </c>
      <c r="F1402" s="28">
        <f t="shared" si="392"/>
        <v>46183</v>
      </c>
      <c r="G1402" s="28">
        <f t="shared" si="393"/>
        <v>46189</v>
      </c>
      <c r="H1402" s="28">
        <f t="shared" si="394"/>
        <v>46177</v>
      </c>
      <c r="I1402" s="28">
        <f t="shared" si="395"/>
        <v>46184</v>
      </c>
      <c r="J1402" s="28">
        <v>46195</v>
      </c>
      <c r="K1402" s="1">
        <f t="shared" si="396"/>
        <v>26</v>
      </c>
      <c r="L1402" s="1">
        <v>15.3</v>
      </c>
      <c r="M1402" s="1">
        <v>13.6</v>
      </c>
      <c r="N1402" s="1">
        <v>0</v>
      </c>
      <c r="O1402" s="1" t="s">
        <v>379</v>
      </c>
    </row>
    <row r="1403" spans="1:15" x14ac:dyDescent="0.25">
      <c r="A1403" s="28">
        <v>46169</v>
      </c>
      <c r="B1403" s="1" t="s">
        <v>166</v>
      </c>
      <c r="C1403" s="1" t="str">
        <f>VLOOKUP(B1403,'[4]Migrasi Bed'!$B$4:$E$521,4,0)</f>
        <v>SV.F014</v>
      </c>
      <c r="D1403" s="28">
        <f t="shared" si="390"/>
        <v>46192</v>
      </c>
      <c r="E1403" s="28">
        <f t="shared" si="391"/>
        <v>46176</v>
      </c>
      <c r="F1403" s="28">
        <f t="shared" si="392"/>
        <v>46183</v>
      </c>
      <c r="G1403" s="28">
        <f t="shared" si="393"/>
        <v>46189</v>
      </c>
      <c r="H1403" s="28">
        <f t="shared" si="394"/>
        <v>46177</v>
      </c>
      <c r="I1403" s="28">
        <f t="shared" si="395"/>
        <v>46184</v>
      </c>
      <c r="J1403" s="28">
        <v>46195</v>
      </c>
      <c r="K1403" s="1">
        <f t="shared" si="396"/>
        <v>26</v>
      </c>
      <c r="L1403" s="1">
        <v>16.100000000000001</v>
      </c>
      <c r="M1403" s="1">
        <v>14</v>
      </c>
      <c r="N1403" s="1">
        <v>0</v>
      </c>
      <c r="O1403" s="1" t="s">
        <v>379</v>
      </c>
    </row>
    <row r="1404" spans="1:15" x14ac:dyDescent="0.25">
      <c r="A1404" s="28">
        <v>46170</v>
      </c>
      <c r="B1404" s="1" t="s">
        <v>180</v>
      </c>
      <c r="C1404" s="1" t="str">
        <f>VLOOKUP(B1404,'[4]Migrasi Bed'!$B$4:$E$521,4,0)</f>
        <v>SV.G008</v>
      </c>
      <c r="D1404" s="28">
        <f t="shared" si="390"/>
        <v>46193</v>
      </c>
      <c r="E1404" s="28">
        <f t="shared" si="391"/>
        <v>46177</v>
      </c>
      <c r="F1404" s="28">
        <f t="shared" si="392"/>
        <v>46184</v>
      </c>
      <c r="G1404" s="28">
        <f t="shared" si="393"/>
        <v>46190</v>
      </c>
      <c r="H1404" s="28">
        <f t="shared" si="394"/>
        <v>46178</v>
      </c>
      <c r="I1404" s="28">
        <f t="shared" si="395"/>
        <v>46185</v>
      </c>
      <c r="J1404" s="28">
        <v>46194</v>
      </c>
      <c r="K1404" s="1">
        <f t="shared" si="396"/>
        <v>24</v>
      </c>
      <c r="L1404" s="1">
        <v>15.6</v>
      </c>
      <c r="M1404" s="1">
        <v>13.3</v>
      </c>
      <c r="N1404" s="1">
        <v>0</v>
      </c>
      <c r="O1404" s="1" t="s">
        <v>379</v>
      </c>
    </row>
    <row r="1405" spans="1:15" x14ac:dyDescent="0.25">
      <c r="A1405" s="28">
        <v>46170</v>
      </c>
      <c r="B1405" s="1" t="s">
        <v>181</v>
      </c>
      <c r="C1405" s="1" t="str">
        <f>VLOOKUP(B1405,'[4]Migrasi Bed'!$B$4:$E$521,4,0)</f>
        <v>SV.G009</v>
      </c>
      <c r="D1405" s="28">
        <f t="shared" si="390"/>
        <v>46193</v>
      </c>
      <c r="E1405" s="28">
        <f t="shared" si="391"/>
        <v>46177</v>
      </c>
      <c r="F1405" s="28">
        <f t="shared" si="392"/>
        <v>46184</v>
      </c>
      <c r="G1405" s="28">
        <f t="shared" si="393"/>
        <v>46190</v>
      </c>
      <c r="H1405" s="28">
        <f t="shared" si="394"/>
        <v>46178</v>
      </c>
      <c r="I1405" s="28">
        <f t="shared" si="395"/>
        <v>46185</v>
      </c>
      <c r="J1405" s="28">
        <v>46194</v>
      </c>
      <c r="K1405" s="1">
        <f t="shared" si="396"/>
        <v>24</v>
      </c>
      <c r="L1405" s="1">
        <v>16.3</v>
      </c>
      <c r="M1405" s="1">
        <v>14.1</v>
      </c>
      <c r="N1405" s="1">
        <v>0</v>
      </c>
      <c r="O1405" s="1" t="s">
        <v>379</v>
      </c>
    </row>
    <row r="1406" spans="1:15" x14ac:dyDescent="0.25">
      <c r="A1406" s="28">
        <v>46170</v>
      </c>
      <c r="B1406" s="1" t="s">
        <v>182</v>
      </c>
      <c r="C1406" s="1" t="str">
        <f>VLOOKUP(B1406,'[4]Migrasi Bed'!$B$4:$E$521,4,0)</f>
        <v>SV.G010</v>
      </c>
      <c r="D1406" s="28">
        <f t="shared" si="390"/>
        <v>46193</v>
      </c>
      <c r="E1406" s="28">
        <f t="shared" si="391"/>
        <v>46177</v>
      </c>
      <c r="F1406" s="28">
        <f t="shared" si="392"/>
        <v>46184</v>
      </c>
      <c r="G1406" s="28">
        <f t="shared" si="393"/>
        <v>46190</v>
      </c>
      <c r="H1406" s="28">
        <f t="shared" si="394"/>
        <v>46178</v>
      </c>
      <c r="I1406" s="28">
        <f t="shared" si="395"/>
        <v>46185</v>
      </c>
      <c r="J1406" s="28">
        <v>46194</v>
      </c>
      <c r="K1406" s="1">
        <f t="shared" si="396"/>
        <v>24</v>
      </c>
      <c r="L1406" s="1">
        <v>15.7</v>
      </c>
      <c r="M1406" s="1">
        <v>13.2</v>
      </c>
      <c r="N1406" s="1">
        <v>0</v>
      </c>
      <c r="O1406" s="1" t="s">
        <v>379</v>
      </c>
    </row>
    <row r="1407" spans="1:15" x14ac:dyDescent="0.25">
      <c r="A1407" s="28">
        <v>46170</v>
      </c>
      <c r="B1407" s="1" t="s">
        <v>183</v>
      </c>
      <c r="C1407" s="1" t="str">
        <f>VLOOKUP(B1407,'[4]Migrasi Bed'!$B$4:$E$521,4,0)</f>
        <v>SV.G011</v>
      </c>
      <c r="D1407" s="28">
        <f t="shared" si="390"/>
        <v>46193</v>
      </c>
      <c r="E1407" s="28">
        <f t="shared" si="391"/>
        <v>46177</v>
      </c>
      <c r="F1407" s="28">
        <f t="shared" si="392"/>
        <v>46184</v>
      </c>
      <c r="G1407" s="28">
        <f t="shared" si="393"/>
        <v>46190</v>
      </c>
      <c r="H1407" s="28">
        <f t="shared" si="394"/>
        <v>46178</v>
      </c>
      <c r="I1407" s="28">
        <f t="shared" si="395"/>
        <v>46185</v>
      </c>
      <c r="J1407" s="28">
        <v>46195</v>
      </c>
      <c r="K1407" s="1">
        <f t="shared" si="396"/>
        <v>25</v>
      </c>
      <c r="L1407" s="1">
        <v>16.2</v>
      </c>
      <c r="M1407" s="1">
        <v>14.3</v>
      </c>
      <c r="N1407" s="1">
        <v>0</v>
      </c>
      <c r="O1407" s="1" t="s">
        <v>379</v>
      </c>
    </row>
    <row r="1408" spans="1:15" x14ac:dyDescent="0.25">
      <c r="A1408" s="28">
        <v>46170</v>
      </c>
      <c r="B1408" s="1" t="s">
        <v>184</v>
      </c>
      <c r="C1408" s="1" t="str">
        <f>VLOOKUP(B1408,'[6]Migrasi Bed'!$B$4:$E$521,4,0)</f>
        <v>SV.G012</v>
      </c>
      <c r="D1408" s="28">
        <f t="shared" si="390"/>
        <v>46193</v>
      </c>
      <c r="E1408" s="28">
        <f t="shared" si="391"/>
        <v>46177</v>
      </c>
      <c r="F1408" s="28">
        <f t="shared" si="392"/>
        <v>46184</v>
      </c>
      <c r="G1408" s="28">
        <f t="shared" si="393"/>
        <v>46190</v>
      </c>
      <c r="H1408" s="28">
        <f t="shared" si="394"/>
        <v>46178</v>
      </c>
      <c r="I1408" s="28">
        <f t="shared" si="395"/>
        <v>46185</v>
      </c>
      <c r="J1408" s="28">
        <v>46196</v>
      </c>
      <c r="K1408" s="1">
        <f t="shared" si="396"/>
        <v>26</v>
      </c>
      <c r="L1408" s="1">
        <v>14.7</v>
      </c>
      <c r="M1408" s="1">
        <v>12.8</v>
      </c>
      <c r="N1408" s="1">
        <v>0</v>
      </c>
      <c r="O1408" s="1" t="s">
        <v>379</v>
      </c>
    </row>
    <row r="1409" spans="1:15" x14ac:dyDescent="0.25">
      <c r="A1409" s="28">
        <v>46170</v>
      </c>
      <c r="B1409" s="1" t="s">
        <v>185</v>
      </c>
      <c r="C1409" s="1" t="str">
        <f>VLOOKUP(B1409,'[6]Migrasi Bed'!$B$4:$E$521,4,0)</f>
        <v>SV.G013</v>
      </c>
      <c r="D1409" s="28">
        <f t="shared" si="390"/>
        <v>46193</v>
      </c>
      <c r="E1409" s="28">
        <f t="shared" si="391"/>
        <v>46177</v>
      </c>
      <c r="F1409" s="28">
        <f t="shared" si="392"/>
        <v>46184</v>
      </c>
      <c r="G1409" s="28">
        <f t="shared" si="393"/>
        <v>46190</v>
      </c>
      <c r="H1409" s="28">
        <f t="shared" si="394"/>
        <v>46178</v>
      </c>
      <c r="I1409" s="28">
        <f t="shared" si="395"/>
        <v>46185</v>
      </c>
      <c r="J1409" s="28">
        <v>46196</v>
      </c>
      <c r="K1409" s="1">
        <f t="shared" si="396"/>
        <v>26</v>
      </c>
      <c r="L1409" s="1">
        <v>15.3</v>
      </c>
      <c r="M1409" s="1">
        <v>13.6</v>
      </c>
      <c r="N1409" s="1">
        <v>0</v>
      </c>
      <c r="O1409" s="1" t="s">
        <v>379</v>
      </c>
    </row>
    <row r="1410" spans="1:15" x14ac:dyDescent="0.25">
      <c r="A1410" s="28">
        <v>46170</v>
      </c>
      <c r="B1410" s="1" t="s">
        <v>186</v>
      </c>
      <c r="C1410" s="1" t="str">
        <f>VLOOKUP(B1410,'[6]Migrasi Bed'!$B$4:$E$521,4,0)</f>
        <v>SV.G014</v>
      </c>
      <c r="D1410" s="28">
        <f t="shared" si="390"/>
        <v>46193</v>
      </c>
      <c r="E1410" s="28">
        <f t="shared" si="391"/>
        <v>46177</v>
      </c>
      <c r="F1410" s="28">
        <f t="shared" si="392"/>
        <v>46184</v>
      </c>
      <c r="G1410" s="28">
        <f t="shared" si="393"/>
        <v>46190</v>
      </c>
      <c r="H1410" s="28">
        <f t="shared" si="394"/>
        <v>46178</v>
      </c>
      <c r="I1410" s="28">
        <f t="shared" si="395"/>
        <v>46185</v>
      </c>
      <c r="J1410" s="28">
        <v>46196</v>
      </c>
      <c r="K1410" s="1">
        <f t="shared" si="396"/>
        <v>26</v>
      </c>
      <c r="L1410" s="1">
        <v>16.100000000000001</v>
      </c>
      <c r="M1410" s="1">
        <v>14</v>
      </c>
      <c r="N1410" s="1">
        <v>0</v>
      </c>
      <c r="O1410" s="1" t="s">
        <v>379</v>
      </c>
    </row>
    <row r="1411" spans="1:15" x14ac:dyDescent="0.25">
      <c r="A1411" s="28">
        <v>46171</v>
      </c>
      <c r="B1411" s="1" t="s">
        <v>167</v>
      </c>
      <c r="C1411" s="1" t="str">
        <f>VLOOKUP(B1411,'[6]Migrasi Bed'!$B$4:$E$521,4,0)</f>
        <v>SV.F015</v>
      </c>
      <c r="D1411" s="28">
        <f t="shared" si="390"/>
        <v>46194</v>
      </c>
      <c r="E1411" s="28">
        <f t="shared" si="391"/>
        <v>46178</v>
      </c>
      <c r="F1411" s="28">
        <f t="shared" si="392"/>
        <v>46185</v>
      </c>
      <c r="G1411" s="28">
        <f t="shared" si="393"/>
        <v>46191</v>
      </c>
      <c r="H1411" s="28">
        <f t="shared" si="394"/>
        <v>46179</v>
      </c>
      <c r="I1411" s="28">
        <f t="shared" si="395"/>
        <v>46186</v>
      </c>
      <c r="J1411" s="28">
        <v>46196</v>
      </c>
      <c r="K1411" s="1">
        <f t="shared" si="396"/>
        <v>25</v>
      </c>
      <c r="L1411" s="1">
        <v>14.6</v>
      </c>
      <c r="M1411" s="1">
        <v>12.8</v>
      </c>
      <c r="N1411" s="1">
        <v>0</v>
      </c>
      <c r="O1411" s="1" t="s">
        <v>379</v>
      </c>
    </row>
    <row r="1412" spans="1:15" x14ac:dyDescent="0.25">
      <c r="A1412" s="28">
        <v>46171</v>
      </c>
      <c r="B1412" s="1" t="s">
        <v>168</v>
      </c>
      <c r="C1412" s="1" t="str">
        <f>VLOOKUP(B1412,'[6]Migrasi Bed'!$B$4:$E$521,4,0)</f>
        <v>SV.F016</v>
      </c>
      <c r="D1412" s="28">
        <f t="shared" si="390"/>
        <v>46194</v>
      </c>
      <c r="E1412" s="28">
        <f t="shared" si="391"/>
        <v>46178</v>
      </c>
      <c r="F1412" s="28">
        <f t="shared" si="392"/>
        <v>46185</v>
      </c>
      <c r="G1412" s="28">
        <f t="shared" si="393"/>
        <v>46191</v>
      </c>
      <c r="H1412" s="28">
        <f t="shared" si="394"/>
        <v>46179</v>
      </c>
      <c r="I1412" s="28">
        <f t="shared" si="395"/>
        <v>46186</v>
      </c>
      <c r="J1412" s="28">
        <v>46196</v>
      </c>
      <c r="K1412" s="1">
        <f t="shared" si="396"/>
        <v>25</v>
      </c>
      <c r="L1412" s="1">
        <v>16.399999999999999</v>
      </c>
      <c r="M1412" s="1">
        <v>14.2</v>
      </c>
      <c r="N1412" s="1">
        <v>0</v>
      </c>
      <c r="O1412" s="1" t="s">
        <v>379</v>
      </c>
    </row>
    <row r="1413" spans="1:15" x14ac:dyDescent="0.25">
      <c r="A1413" s="28">
        <v>46171</v>
      </c>
      <c r="B1413" s="1" t="s">
        <v>169</v>
      </c>
      <c r="C1413" s="1" t="str">
        <f>VLOOKUP(B1413,'[6]Migrasi Bed'!$B$4:$E$521,4,0)</f>
        <v>SV.F017</v>
      </c>
      <c r="D1413" s="28">
        <f t="shared" si="390"/>
        <v>46194</v>
      </c>
      <c r="E1413" s="28">
        <f t="shared" si="391"/>
        <v>46178</v>
      </c>
      <c r="F1413" s="28">
        <f t="shared" si="392"/>
        <v>46185</v>
      </c>
      <c r="G1413" s="28">
        <f t="shared" si="393"/>
        <v>46191</v>
      </c>
      <c r="H1413" s="28">
        <f t="shared" si="394"/>
        <v>46179</v>
      </c>
      <c r="I1413" s="28">
        <f t="shared" si="395"/>
        <v>46186</v>
      </c>
      <c r="J1413" s="28">
        <v>46196</v>
      </c>
      <c r="K1413" s="1">
        <f t="shared" si="396"/>
        <v>25</v>
      </c>
      <c r="L1413" s="1">
        <v>15.2</v>
      </c>
      <c r="M1413" s="1">
        <v>13.7</v>
      </c>
      <c r="N1413" s="1">
        <v>0</v>
      </c>
      <c r="O1413" s="1" t="s">
        <v>379</v>
      </c>
    </row>
    <row r="1414" spans="1:15" x14ac:dyDescent="0.25">
      <c r="A1414" s="28">
        <v>46171</v>
      </c>
      <c r="B1414" s="1" t="s">
        <v>170</v>
      </c>
      <c r="C1414" s="1" t="str">
        <f>VLOOKUP(B1414,'[6]Migrasi Bed'!$B$4:$E$521,4,0)</f>
        <v>SV.F018</v>
      </c>
      <c r="D1414" s="28">
        <f t="shared" si="390"/>
        <v>46194</v>
      </c>
      <c r="E1414" s="28">
        <f t="shared" si="391"/>
        <v>46178</v>
      </c>
      <c r="F1414" s="28">
        <f t="shared" si="392"/>
        <v>46185</v>
      </c>
      <c r="G1414" s="28">
        <f t="shared" si="393"/>
        <v>46191</v>
      </c>
      <c r="H1414" s="28">
        <f t="shared" si="394"/>
        <v>46179</v>
      </c>
      <c r="I1414" s="28">
        <f t="shared" si="395"/>
        <v>46186</v>
      </c>
      <c r="J1414" s="28">
        <v>46197</v>
      </c>
      <c r="K1414" s="1">
        <f t="shared" si="396"/>
        <v>26</v>
      </c>
      <c r="L1414" s="1">
        <v>15.2</v>
      </c>
      <c r="M1414" s="1">
        <v>13.1</v>
      </c>
      <c r="N1414" s="1">
        <v>0</v>
      </c>
      <c r="O1414" s="1" t="s">
        <v>379</v>
      </c>
    </row>
    <row r="1415" spans="1:15" x14ac:dyDescent="0.25">
      <c r="A1415" s="28">
        <v>46171</v>
      </c>
      <c r="B1415" s="1" t="s">
        <v>171</v>
      </c>
      <c r="C1415" s="1" t="str">
        <f>VLOOKUP(B1415,'[6]Migrasi Bed'!$B$4:$E$521,4,0)</f>
        <v>SV.F019</v>
      </c>
      <c r="D1415" s="28">
        <f t="shared" si="390"/>
        <v>46194</v>
      </c>
      <c r="E1415" s="28">
        <f t="shared" si="391"/>
        <v>46178</v>
      </c>
      <c r="F1415" s="28">
        <f t="shared" si="392"/>
        <v>46185</v>
      </c>
      <c r="G1415" s="28">
        <f t="shared" si="393"/>
        <v>46191</v>
      </c>
      <c r="H1415" s="28">
        <f t="shared" si="394"/>
        <v>46179</v>
      </c>
      <c r="I1415" s="28">
        <f t="shared" si="395"/>
        <v>46186</v>
      </c>
      <c r="J1415" s="28">
        <v>46197</v>
      </c>
      <c r="K1415" s="1">
        <f t="shared" si="396"/>
        <v>26</v>
      </c>
      <c r="L1415" s="1">
        <v>15.4</v>
      </c>
      <c r="M1415" s="1">
        <v>13.2</v>
      </c>
      <c r="N1415" s="1">
        <v>0</v>
      </c>
      <c r="O1415" s="1" t="s">
        <v>379</v>
      </c>
    </row>
    <row r="1416" spans="1:15" x14ac:dyDescent="0.25">
      <c r="A1416" s="28">
        <v>46171</v>
      </c>
      <c r="B1416" s="1" t="s">
        <v>172</v>
      </c>
      <c r="C1416" s="1" t="str">
        <f>VLOOKUP(B1416,'[6]Migrasi Bed'!$B$4:$E$521,4,0)</f>
        <v>SV.F020</v>
      </c>
      <c r="D1416" s="28">
        <f t="shared" si="390"/>
        <v>46194</v>
      </c>
      <c r="E1416" s="28">
        <f t="shared" si="391"/>
        <v>46178</v>
      </c>
      <c r="F1416" s="28">
        <f t="shared" si="392"/>
        <v>46185</v>
      </c>
      <c r="G1416" s="28">
        <f t="shared" si="393"/>
        <v>46191</v>
      </c>
      <c r="H1416" s="28">
        <f t="shared" si="394"/>
        <v>46179</v>
      </c>
      <c r="I1416" s="28">
        <f t="shared" si="395"/>
        <v>46186</v>
      </c>
      <c r="J1416" s="28">
        <v>46197</v>
      </c>
      <c r="K1416" s="1">
        <f t="shared" si="396"/>
        <v>26</v>
      </c>
      <c r="L1416" s="1">
        <v>14.3</v>
      </c>
      <c r="M1416" s="1">
        <v>12.9</v>
      </c>
      <c r="N1416" s="1">
        <v>0</v>
      </c>
      <c r="O1416" s="1" t="s">
        <v>379</v>
      </c>
    </row>
    <row r="1417" spans="1:15" x14ac:dyDescent="0.25">
      <c r="A1417" s="28">
        <v>46171</v>
      </c>
      <c r="B1417" s="1" t="s">
        <v>187</v>
      </c>
      <c r="C1417" s="1" t="str">
        <f>VLOOKUP(B1417,'[6]Migrasi Bed'!$B$4:$E$521,4,0)</f>
        <v>SV.G015</v>
      </c>
      <c r="D1417" s="28">
        <f t="shared" si="390"/>
        <v>46194</v>
      </c>
      <c r="E1417" s="28">
        <f t="shared" si="391"/>
        <v>46178</v>
      </c>
      <c r="F1417" s="28">
        <f t="shared" si="392"/>
        <v>46185</v>
      </c>
      <c r="G1417" s="28">
        <f t="shared" si="393"/>
        <v>46191</v>
      </c>
      <c r="H1417" s="28">
        <f t="shared" si="394"/>
        <v>46179</v>
      </c>
      <c r="I1417" s="28">
        <f t="shared" si="395"/>
        <v>46186</v>
      </c>
      <c r="J1417" s="28">
        <v>46197</v>
      </c>
      <c r="K1417" s="1">
        <f t="shared" si="396"/>
        <v>26</v>
      </c>
      <c r="L1417" s="1">
        <v>14.1</v>
      </c>
      <c r="M1417" s="1">
        <v>12.4</v>
      </c>
      <c r="N1417" s="1">
        <v>0</v>
      </c>
      <c r="O1417" s="1" t="s">
        <v>379</v>
      </c>
    </row>
    <row r="1418" spans="1:15" x14ac:dyDescent="0.25">
      <c r="A1418" s="28">
        <v>46172</v>
      </c>
      <c r="B1418" s="1" t="s">
        <v>188</v>
      </c>
      <c r="C1418" s="1" t="str">
        <f>VLOOKUP(B1418,'[6]Migrasi Bed'!$B$4:$E$521,4,0)</f>
        <v>SV.G016</v>
      </c>
      <c r="D1418" s="28">
        <f t="shared" si="390"/>
        <v>46195</v>
      </c>
      <c r="E1418" s="28">
        <f t="shared" si="391"/>
        <v>46179</v>
      </c>
      <c r="F1418" s="28">
        <f t="shared" si="392"/>
        <v>46186</v>
      </c>
      <c r="G1418" s="28">
        <f t="shared" si="393"/>
        <v>46192</v>
      </c>
      <c r="H1418" s="28">
        <f t="shared" si="394"/>
        <v>46180</v>
      </c>
      <c r="I1418" s="28">
        <f t="shared" si="395"/>
        <v>46187</v>
      </c>
      <c r="J1418" s="28">
        <v>46197</v>
      </c>
      <c r="K1418" s="1">
        <f t="shared" si="396"/>
        <v>25</v>
      </c>
      <c r="L1418" s="1">
        <v>15.3</v>
      </c>
      <c r="M1418" s="1">
        <v>13.5</v>
      </c>
      <c r="N1418" s="1">
        <v>0</v>
      </c>
      <c r="O1418" s="1" t="s">
        <v>379</v>
      </c>
    </row>
    <row r="1419" spans="1:15" x14ac:dyDescent="0.25">
      <c r="A1419" s="28">
        <v>46172</v>
      </c>
      <c r="B1419" s="1" t="s">
        <v>189</v>
      </c>
      <c r="C1419" s="1" t="str">
        <f>VLOOKUP(B1419,'[6]Migrasi Bed'!$B$4:$E$521,4,0)</f>
        <v>SV.G017</v>
      </c>
      <c r="D1419" s="28">
        <f t="shared" si="390"/>
        <v>46195</v>
      </c>
      <c r="E1419" s="28">
        <f t="shared" si="391"/>
        <v>46179</v>
      </c>
      <c r="F1419" s="28">
        <f t="shared" si="392"/>
        <v>46186</v>
      </c>
      <c r="G1419" s="28">
        <f t="shared" si="393"/>
        <v>46192</v>
      </c>
      <c r="H1419" s="28">
        <f t="shared" si="394"/>
        <v>46180</v>
      </c>
      <c r="I1419" s="28">
        <f t="shared" si="395"/>
        <v>46187</v>
      </c>
      <c r="J1419" s="28">
        <v>46197</v>
      </c>
      <c r="K1419" s="1">
        <f t="shared" si="396"/>
        <v>25</v>
      </c>
      <c r="L1419" s="1">
        <v>13.4</v>
      </c>
      <c r="M1419" s="1">
        <v>11.2</v>
      </c>
      <c r="N1419" s="1">
        <v>0</v>
      </c>
      <c r="O1419" s="1" t="s">
        <v>379</v>
      </c>
    </row>
    <row r="1420" spans="1:15" x14ac:dyDescent="0.25">
      <c r="A1420" s="28">
        <v>46172</v>
      </c>
      <c r="B1420" s="1" t="s">
        <v>190</v>
      </c>
      <c r="C1420" s="1" t="str">
        <f>VLOOKUP(B1420,'[6]Migrasi Bed'!$B$4:$E$521,4,0)</f>
        <v>SV.G018</v>
      </c>
      <c r="D1420" s="28">
        <f t="shared" si="390"/>
        <v>46195</v>
      </c>
      <c r="E1420" s="28">
        <f t="shared" si="391"/>
        <v>46179</v>
      </c>
      <c r="F1420" s="28">
        <f t="shared" si="392"/>
        <v>46186</v>
      </c>
      <c r="G1420" s="28">
        <f t="shared" si="393"/>
        <v>46192</v>
      </c>
      <c r="H1420" s="28">
        <f t="shared" si="394"/>
        <v>46180</v>
      </c>
      <c r="I1420" s="28">
        <f t="shared" si="395"/>
        <v>46187</v>
      </c>
      <c r="J1420" s="28">
        <v>46197</v>
      </c>
      <c r="K1420" s="1">
        <f t="shared" si="396"/>
        <v>25</v>
      </c>
      <c r="L1420" s="1">
        <v>14.7</v>
      </c>
      <c r="M1420" s="1">
        <v>12.6</v>
      </c>
      <c r="N1420" s="1">
        <v>0</v>
      </c>
      <c r="O1420" s="1" t="s">
        <v>379</v>
      </c>
    </row>
    <row r="1421" spans="1:15" x14ac:dyDescent="0.25">
      <c r="A1421" s="28">
        <v>46172</v>
      </c>
      <c r="B1421" s="1" t="s">
        <v>191</v>
      </c>
      <c r="C1421" s="1" t="str">
        <f>VLOOKUP(B1421,'[6]Migrasi Bed'!$B$4:$E$521,4,0)</f>
        <v>SV.G019</v>
      </c>
      <c r="D1421" s="28">
        <f t="shared" si="390"/>
        <v>46195</v>
      </c>
      <c r="E1421" s="28">
        <f t="shared" si="391"/>
        <v>46179</v>
      </c>
      <c r="F1421" s="28">
        <f t="shared" si="392"/>
        <v>46186</v>
      </c>
      <c r="G1421" s="28">
        <f t="shared" si="393"/>
        <v>46192</v>
      </c>
      <c r="H1421" s="28">
        <f t="shared" si="394"/>
        <v>46180</v>
      </c>
      <c r="I1421" s="28">
        <f t="shared" si="395"/>
        <v>46187</v>
      </c>
      <c r="J1421" s="28">
        <v>46198</v>
      </c>
      <c r="K1421" s="1">
        <f t="shared" si="396"/>
        <v>26</v>
      </c>
      <c r="L1421" s="1">
        <v>14.7</v>
      </c>
      <c r="M1421" s="1">
        <v>12.8</v>
      </c>
      <c r="N1421" s="1">
        <v>0</v>
      </c>
      <c r="O1421" s="1" t="s">
        <v>379</v>
      </c>
    </row>
    <row r="1422" spans="1:15" x14ac:dyDescent="0.25">
      <c r="A1422" s="28">
        <v>46172</v>
      </c>
      <c r="B1422" s="1" t="s">
        <v>192</v>
      </c>
      <c r="C1422" s="1" t="str">
        <f>VLOOKUP(B1422,'[6]Migrasi Bed'!$B$4:$E$521,4,0)</f>
        <v>SV.G020</v>
      </c>
      <c r="D1422" s="28">
        <f t="shared" si="390"/>
        <v>46195</v>
      </c>
      <c r="E1422" s="28">
        <f t="shared" si="391"/>
        <v>46179</v>
      </c>
      <c r="F1422" s="28">
        <f t="shared" si="392"/>
        <v>46186</v>
      </c>
      <c r="G1422" s="28">
        <f t="shared" si="393"/>
        <v>46192</v>
      </c>
      <c r="H1422" s="28">
        <f t="shared" si="394"/>
        <v>46180</v>
      </c>
      <c r="I1422" s="28">
        <f t="shared" si="395"/>
        <v>46187</v>
      </c>
      <c r="J1422" s="28">
        <v>46198</v>
      </c>
      <c r="K1422" s="1">
        <f t="shared" si="396"/>
        <v>26</v>
      </c>
      <c r="L1422" s="1">
        <v>14.2</v>
      </c>
      <c r="M1422" s="1">
        <v>12.1</v>
      </c>
      <c r="N1422" s="1">
        <v>0</v>
      </c>
      <c r="O1422" s="1" t="s">
        <v>379</v>
      </c>
    </row>
    <row r="1423" spans="1:15" x14ac:dyDescent="0.25">
      <c r="A1423" s="28">
        <v>46172</v>
      </c>
      <c r="B1423" s="1" t="s">
        <v>201</v>
      </c>
      <c r="C1423" s="1" t="str">
        <f>VLOOKUP(B1423,'[6]Migrasi Bed'!$B$4:$E$521,4,0)</f>
        <v>SV.H018</v>
      </c>
      <c r="D1423" s="28">
        <f t="shared" si="390"/>
        <v>46195</v>
      </c>
      <c r="E1423" s="28">
        <f t="shared" si="391"/>
        <v>46179</v>
      </c>
      <c r="F1423" s="28">
        <f t="shared" si="392"/>
        <v>46186</v>
      </c>
      <c r="G1423" s="28">
        <f t="shared" si="393"/>
        <v>46192</v>
      </c>
      <c r="H1423" s="28">
        <f t="shared" si="394"/>
        <v>46180</v>
      </c>
      <c r="I1423" s="28">
        <f t="shared" si="395"/>
        <v>46187</v>
      </c>
      <c r="J1423" s="28">
        <v>46198</v>
      </c>
      <c r="K1423" s="1">
        <f t="shared" si="396"/>
        <v>26</v>
      </c>
      <c r="L1423" s="1">
        <v>14.3</v>
      </c>
      <c r="M1423" s="1">
        <v>12.5</v>
      </c>
      <c r="N1423" s="1">
        <v>0</v>
      </c>
      <c r="O1423" s="1" t="s">
        <v>379</v>
      </c>
    </row>
    <row r="1424" spans="1:15" x14ac:dyDescent="0.25">
      <c r="A1424" s="28">
        <v>46172</v>
      </c>
      <c r="B1424" s="1" t="s">
        <v>202</v>
      </c>
      <c r="C1424" s="1" t="str">
        <f>VLOOKUP(B1424,'[6]Migrasi Bed'!$B$4:$E$521,4,0)</f>
        <v>SV.H019</v>
      </c>
      <c r="D1424" s="28">
        <f t="shared" si="390"/>
        <v>46195</v>
      </c>
      <c r="E1424" s="28">
        <f t="shared" si="391"/>
        <v>46179</v>
      </c>
      <c r="F1424" s="28">
        <f t="shared" si="392"/>
        <v>46186</v>
      </c>
      <c r="G1424" s="28">
        <f t="shared" si="393"/>
        <v>46192</v>
      </c>
      <c r="H1424" s="28">
        <f t="shared" si="394"/>
        <v>46180</v>
      </c>
      <c r="I1424" s="28">
        <f t="shared" si="395"/>
        <v>46187</v>
      </c>
      <c r="J1424" s="28">
        <v>46198</v>
      </c>
      <c r="K1424" s="1">
        <f t="shared" si="396"/>
        <v>26</v>
      </c>
      <c r="L1424" s="1">
        <v>15.1</v>
      </c>
      <c r="M1424" s="1">
        <v>13</v>
      </c>
      <c r="N1424" s="1">
        <v>0</v>
      </c>
      <c r="O1424" s="1" t="s">
        <v>379</v>
      </c>
    </row>
    <row r="1425" spans="1:15" x14ac:dyDescent="0.25">
      <c r="A1425" s="28">
        <v>46172</v>
      </c>
      <c r="B1425" s="1" t="s">
        <v>203</v>
      </c>
      <c r="C1425" s="1" t="str">
        <f>VLOOKUP(B1425,'[6]Migrasi Bed'!$B$4:$E$521,4,0)</f>
        <v>SV.H020</v>
      </c>
      <c r="D1425" s="28">
        <f t="shared" si="390"/>
        <v>46195</v>
      </c>
      <c r="E1425" s="28">
        <f t="shared" si="391"/>
        <v>46179</v>
      </c>
      <c r="F1425" s="28">
        <f t="shared" si="392"/>
        <v>46186</v>
      </c>
      <c r="G1425" s="28">
        <f t="shared" si="393"/>
        <v>46192</v>
      </c>
      <c r="H1425" s="28">
        <f t="shared" si="394"/>
        <v>46180</v>
      </c>
      <c r="I1425" s="28">
        <f t="shared" si="395"/>
        <v>46187</v>
      </c>
      <c r="J1425" s="28">
        <v>46198</v>
      </c>
      <c r="K1425" s="1">
        <f t="shared" si="396"/>
        <v>26</v>
      </c>
      <c r="L1425" s="1">
        <v>14.6</v>
      </c>
      <c r="M1425" s="1">
        <v>12.7</v>
      </c>
      <c r="N1425" s="1">
        <v>0</v>
      </c>
      <c r="O1425" s="1" t="s">
        <v>379</v>
      </c>
    </row>
    <row r="1426" spans="1:15" x14ac:dyDescent="0.25">
      <c r="A1426" s="28">
        <v>46173</v>
      </c>
      <c r="B1426" s="1" t="s">
        <v>194</v>
      </c>
      <c r="C1426" s="1" t="str">
        <f>VLOOKUP(B1426,'[6]Migrasi Bed'!$B$4:$E$521,4,0)</f>
        <v>SV.H011</v>
      </c>
      <c r="D1426" s="28">
        <f t="shared" si="390"/>
        <v>46196</v>
      </c>
      <c r="E1426" s="28">
        <f t="shared" si="391"/>
        <v>46180</v>
      </c>
      <c r="F1426" s="28">
        <f t="shared" si="392"/>
        <v>46187</v>
      </c>
      <c r="G1426" s="28">
        <f t="shared" si="393"/>
        <v>46193</v>
      </c>
      <c r="H1426" s="28">
        <f t="shared" si="394"/>
        <v>46181</v>
      </c>
      <c r="I1426" s="28">
        <f t="shared" si="395"/>
        <v>46188</v>
      </c>
      <c r="J1426" s="28"/>
      <c r="K1426" s="1"/>
      <c r="L1426" s="1"/>
      <c r="M1426" s="1"/>
      <c r="N1426" s="1">
        <v>0</v>
      </c>
      <c r="O1426" s="1" t="s">
        <v>379</v>
      </c>
    </row>
    <row r="1427" spans="1:15" x14ac:dyDescent="0.25">
      <c r="A1427" s="28">
        <v>46173</v>
      </c>
      <c r="B1427" s="1" t="s">
        <v>195</v>
      </c>
      <c r="C1427" s="1" t="str">
        <f>VLOOKUP(B1427,'[6]Migrasi Bed'!$B$4:$E$521,4,0)</f>
        <v>SV.H012</v>
      </c>
      <c r="D1427" s="28">
        <f t="shared" si="390"/>
        <v>46196</v>
      </c>
      <c r="E1427" s="28">
        <f t="shared" si="391"/>
        <v>46180</v>
      </c>
      <c r="F1427" s="28">
        <f t="shared" si="392"/>
        <v>46187</v>
      </c>
      <c r="G1427" s="28">
        <f t="shared" si="393"/>
        <v>46193</v>
      </c>
      <c r="H1427" s="28">
        <f t="shared" si="394"/>
        <v>46181</v>
      </c>
      <c r="I1427" s="28">
        <f t="shared" si="395"/>
        <v>46188</v>
      </c>
      <c r="J1427" s="28"/>
      <c r="K1427" s="1"/>
      <c r="L1427" s="1"/>
      <c r="M1427" s="1"/>
      <c r="N1427" s="1">
        <v>0</v>
      </c>
      <c r="O1427" s="1" t="s">
        <v>379</v>
      </c>
    </row>
    <row r="1428" spans="1:15" x14ac:dyDescent="0.25">
      <c r="A1428" s="28">
        <v>46173</v>
      </c>
      <c r="B1428" s="1" t="s">
        <v>196</v>
      </c>
      <c r="C1428" s="1" t="str">
        <f>VLOOKUP(B1428,'[6]Migrasi Bed'!$B$4:$E$521,4,0)</f>
        <v>SV.H013</v>
      </c>
      <c r="D1428" s="28">
        <f t="shared" si="390"/>
        <v>46196</v>
      </c>
      <c r="E1428" s="28">
        <f t="shared" si="391"/>
        <v>46180</v>
      </c>
      <c r="F1428" s="28">
        <f t="shared" si="392"/>
        <v>46187</v>
      </c>
      <c r="G1428" s="28">
        <f t="shared" si="393"/>
        <v>46193</v>
      </c>
      <c r="H1428" s="28">
        <f t="shared" si="394"/>
        <v>46181</v>
      </c>
      <c r="I1428" s="28">
        <f t="shared" si="395"/>
        <v>46188</v>
      </c>
      <c r="J1428" s="28"/>
      <c r="K1428" s="1"/>
      <c r="L1428" s="1"/>
      <c r="M1428" s="1"/>
      <c r="N1428" s="1">
        <v>0</v>
      </c>
      <c r="O1428" s="1" t="s">
        <v>379</v>
      </c>
    </row>
    <row r="1429" spans="1:15" x14ac:dyDescent="0.25">
      <c r="A1429" s="28">
        <v>46173</v>
      </c>
      <c r="B1429" s="1" t="s">
        <v>197</v>
      </c>
      <c r="C1429" s="1" t="str">
        <f>VLOOKUP(B1429,'[6]Migrasi Bed'!$B$4:$E$521,4,0)</f>
        <v>SV.H014</v>
      </c>
      <c r="D1429" s="28">
        <f t="shared" si="390"/>
        <v>46196</v>
      </c>
      <c r="E1429" s="28">
        <f t="shared" si="391"/>
        <v>46180</v>
      </c>
      <c r="F1429" s="28">
        <f t="shared" si="392"/>
        <v>46187</v>
      </c>
      <c r="G1429" s="28">
        <f t="shared" si="393"/>
        <v>46193</v>
      </c>
      <c r="H1429" s="28">
        <f t="shared" si="394"/>
        <v>46181</v>
      </c>
      <c r="I1429" s="28">
        <f t="shared" si="395"/>
        <v>46188</v>
      </c>
      <c r="J1429" s="28"/>
      <c r="K1429" s="1"/>
      <c r="L1429" s="1"/>
      <c r="M1429" s="1"/>
      <c r="N1429" s="1">
        <v>0</v>
      </c>
      <c r="O1429" s="1" t="s">
        <v>379</v>
      </c>
    </row>
    <row r="1430" spans="1:15" x14ac:dyDescent="0.25">
      <c r="A1430" s="28">
        <v>46173</v>
      </c>
      <c r="B1430" s="1" t="s">
        <v>198</v>
      </c>
      <c r="C1430" s="1" t="str">
        <f>VLOOKUP(B1430,'[6]Migrasi Bed'!$B$4:$E$521,4,0)</f>
        <v>SV.H015</v>
      </c>
      <c r="D1430" s="28">
        <f t="shared" si="390"/>
        <v>46196</v>
      </c>
      <c r="E1430" s="28">
        <f t="shared" si="391"/>
        <v>46180</v>
      </c>
      <c r="F1430" s="28">
        <f t="shared" si="392"/>
        <v>46187</v>
      </c>
      <c r="G1430" s="28">
        <f t="shared" si="393"/>
        <v>46193</v>
      </c>
      <c r="H1430" s="28">
        <f t="shared" si="394"/>
        <v>46181</v>
      </c>
      <c r="I1430" s="28">
        <f t="shared" si="395"/>
        <v>46188</v>
      </c>
      <c r="J1430" s="28"/>
      <c r="K1430" s="1"/>
      <c r="L1430" s="1"/>
      <c r="M1430" s="1"/>
      <c r="N1430" s="1">
        <v>0</v>
      </c>
      <c r="O1430" s="1" t="s">
        <v>379</v>
      </c>
    </row>
    <row r="1431" spans="1:15" x14ac:dyDescent="0.25">
      <c r="A1431" s="28">
        <v>46173</v>
      </c>
      <c r="B1431" s="1" t="s">
        <v>199</v>
      </c>
      <c r="C1431" s="1" t="str">
        <f>VLOOKUP(B1431,'[6]Migrasi Bed'!$B$4:$E$521,4,0)</f>
        <v>SV.H016</v>
      </c>
      <c r="D1431" s="28">
        <f t="shared" si="390"/>
        <v>46196</v>
      </c>
      <c r="E1431" s="28">
        <f t="shared" si="391"/>
        <v>46180</v>
      </c>
      <c r="F1431" s="28">
        <f t="shared" si="392"/>
        <v>46187</v>
      </c>
      <c r="G1431" s="28">
        <f t="shared" si="393"/>
        <v>46193</v>
      </c>
      <c r="H1431" s="28">
        <f t="shared" si="394"/>
        <v>46181</v>
      </c>
      <c r="I1431" s="28">
        <f t="shared" si="395"/>
        <v>46188</v>
      </c>
      <c r="J1431" s="28">
        <v>46198</v>
      </c>
      <c r="K1431" s="1">
        <f t="shared" ref="K1431:K1432" si="397">J1431-A1431</f>
        <v>25</v>
      </c>
      <c r="L1431" s="1">
        <v>13.2</v>
      </c>
      <c r="M1431" s="1">
        <v>11.1</v>
      </c>
      <c r="N1431" s="1">
        <v>0</v>
      </c>
      <c r="O1431" s="1" t="s">
        <v>379</v>
      </c>
    </row>
    <row r="1432" spans="1:15" x14ac:dyDescent="0.25">
      <c r="A1432" s="28">
        <v>46173</v>
      </c>
      <c r="B1432" s="1" t="s">
        <v>200</v>
      </c>
      <c r="C1432" s="1" t="str">
        <f>VLOOKUP(B1432,'[6]Migrasi Bed'!$B$4:$E$521,4,0)</f>
        <v>SV.H017</v>
      </c>
      <c r="D1432" s="28">
        <f t="shared" si="390"/>
        <v>46196</v>
      </c>
      <c r="E1432" s="28">
        <f t="shared" si="391"/>
        <v>46180</v>
      </c>
      <c r="F1432" s="28">
        <f t="shared" si="392"/>
        <v>46187</v>
      </c>
      <c r="G1432" s="28">
        <f t="shared" si="393"/>
        <v>46193</v>
      </c>
      <c r="H1432" s="28">
        <f t="shared" si="394"/>
        <v>46181</v>
      </c>
      <c r="I1432" s="28">
        <f t="shared" si="395"/>
        <v>46188</v>
      </c>
      <c r="J1432" s="28">
        <v>46198</v>
      </c>
      <c r="K1432" s="1">
        <f t="shared" si="397"/>
        <v>25</v>
      </c>
      <c r="L1432" s="1">
        <v>14.4</v>
      </c>
      <c r="M1432" s="1">
        <v>12.6</v>
      </c>
      <c r="N1432" s="1">
        <v>0</v>
      </c>
      <c r="O1432" s="1" t="s">
        <v>379</v>
      </c>
    </row>
    <row r="1433" spans="1:15" x14ac:dyDescent="0.25">
      <c r="A1433" s="28">
        <v>46174</v>
      </c>
      <c r="B1433" s="1" t="s">
        <v>1238</v>
      </c>
      <c r="C1433" s="1" t="str">
        <f>VLOOKUP(B1433,'[6]Migrasi Bed'!$B$4:$E$521,4,0)</f>
        <v>SV.H004</v>
      </c>
      <c r="D1433" s="28">
        <f t="shared" si="390"/>
        <v>46197</v>
      </c>
      <c r="E1433" s="28">
        <f t="shared" si="391"/>
        <v>46181</v>
      </c>
      <c r="F1433" s="28">
        <f t="shared" si="392"/>
        <v>46188</v>
      </c>
      <c r="G1433" s="28">
        <f t="shared" si="393"/>
        <v>46194</v>
      </c>
      <c r="H1433" s="28">
        <f t="shared" si="394"/>
        <v>46182</v>
      </c>
      <c r="I1433" s="28">
        <f t="shared" si="395"/>
        <v>46189</v>
      </c>
      <c r="J1433" s="28"/>
      <c r="K1433" s="1"/>
      <c r="L1433" s="1"/>
      <c r="M1433" s="1"/>
      <c r="N1433" s="1">
        <v>0</v>
      </c>
      <c r="O1433" s="1" t="s">
        <v>379</v>
      </c>
    </row>
    <row r="1434" spans="1:15" x14ac:dyDescent="0.25">
      <c r="A1434" s="28">
        <v>46174</v>
      </c>
      <c r="B1434" s="1" t="s">
        <v>1239</v>
      </c>
      <c r="C1434" s="1" t="str">
        <f>VLOOKUP(B1434,'[6]Migrasi Bed'!$B$4:$E$521,4,0)</f>
        <v>SV.H005</v>
      </c>
      <c r="D1434" s="28">
        <f t="shared" si="390"/>
        <v>46197</v>
      </c>
      <c r="E1434" s="28">
        <f t="shared" si="391"/>
        <v>46181</v>
      </c>
      <c r="F1434" s="28">
        <f t="shared" si="392"/>
        <v>46188</v>
      </c>
      <c r="G1434" s="28">
        <f t="shared" si="393"/>
        <v>46194</v>
      </c>
      <c r="H1434" s="28">
        <f t="shared" si="394"/>
        <v>46182</v>
      </c>
      <c r="I1434" s="28">
        <f t="shared" si="395"/>
        <v>46189</v>
      </c>
      <c r="J1434" s="28"/>
      <c r="K1434" s="1"/>
      <c r="L1434" s="1"/>
      <c r="M1434" s="1"/>
      <c r="N1434" s="1">
        <v>0</v>
      </c>
      <c r="O1434" s="1" t="s">
        <v>379</v>
      </c>
    </row>
    <row r="1435" spans="1:15" x14ac:dyDescent="0.25">
      <c r="A1435" s="28">
        <v>46174</v>
      </c>
      <c r="B1435" s="1" t="s">
        <v>1240</v>
      </c>
      <c r="C1435" s="1" t="str">
        <f>VLOOKUP(B1435,'[6]Migrasi Bed'!$B$4:$E$521,4,0)</f>
        <v>SV.H006</v>
      </c>
      <c r="D1435" s="28">
        <f t="shared" si="390"/>
        <v>46197</v>
      </c>
      <c r="E1435" s="28">
        <f t="shared" si="391"/>
        <v>46181</v>
      </c>
      <c r="F1435" s="28">
        <f t="shared" si="392"/>
        <v>46188</v>
      </c>
      <c r="G1435" s="28">
        <f t="shared" si="393"/>
        <v>46194</v>
      </c>
      <c r="H1435" s="28">
        <f t="shared" si="394"/>
        <v>46182</v>
      </c>
      <c r="I1435" s="28">
        <f t="shared" si="395"/>
        <v>46189</v>
      </c>
      <c r="J1435" s="28"/>
      <c r="K1435" s="1"/>
      <c r="L1435" s="1"/>
      <c r="M1435" s="1"/>
      <c r="N1435" s="1">
        <v>0</v>
      </c>
      <c r="O1435" s="1" t="s">
        <v>379</v>
      </c>
    </row>
    <row r="1436" spans="1:15" x14ac:dyDescent="0.25">
      <c r="A1436" s="28">
        <v>46174</v>
      </c>
      <c r="B1436" s="1" t="s">
        <v>1241</v>
      </c>
      <c r="C1436" s="1" t="str">
        <f>VLOOKUP(B1436,'[6]Migrasi Bed'!$B$4:$E$521,4,0)</f>
        <v>SV.H007</v>
      </c>
      <c r="D1436" s="28">
        <f t="shared" si="390"/>
        <v>46197</v>
      </c>
      <c r="E1436" s="28">
        <f t="shared" si="391"/>
        <v>46181</v>
      </c>
      <c r="F1436" s="28">
        <f t="shared" si="392"/>
        <v>46188</v>
      </c>
      <c r="G1436" s="28">
        <f t="shared" si="393"/>
        <v>46194</v>
      </c>
      <c r="H1436" s="28">
        <f t="shared" si="394"/>
        <v>46182</v>
      </c>
      <c r="I1436" s="28">
        <f t="shared" si="395"/>
        <v>46189</v>
      </c>
      <c r="J1436" s="28"/>
      <c r="K1436" s="1"/>
      <c r="L1436" s="1"/>
      <c r="M1436" s="1"/>
      <c r="N1436" s="1">
        <v>0</v>
      </c>
      <c r="O1436" s="1" t="s">
        <v>379</v>
      </c>
    </row>
    <row r="1437" spans="1:15" x14ac:dyDescent="0.25">
      <c r="A1437" s="28">
        <v>46174</v>
      </c>
      <c r="B1437" s="1" t="s">
        <v>1242</v>
      </c>
      <c r="C1437" s="1" t="str">
        <f>VLOOKUP(B1437,'[6]Migrasi Bed'!$B$4:$E$521,4,0)</f>
        <v>SV.H008</v>
      </c>
      <c r="D1437" s="28">
        <f t="shared" si="390"/>
        <v>46197</v>
      </c>
      <c r="E1437" s="28">
        <f t="shared" si="391"/>
        <v>46181</v>
      </c>
      <c r="F1437" s="28">
        <f t="shared" si="392"/>
        <v>46188</v>
      </c>
      <c r="G1437" s="28">
        <f t="shared" si="393"/>
        <v>46194</v>
      </c>
      <c r="H1437" s="28">
        <f t="shared" si="394"/>
        <v>46182</v>
      </c>
      <c r="I1437" s="28">
        <f t="shared" si="395"/>
        <v>46189</v>
      </c>
      <c r="J1437" s="28"/>
      <c r="K1437" s="1"/>
      <c r="L1437" s="1"/>
      <c r="M1437" s="1"/>
      <c r="N1437" s="1">
        <v>0</v>
      </c>
      <c r="O1437" s="1" t="s">
        <v>379</v>
      </c>
    </row>
    <row r="1438" spans="1:15" x14ac:dyDescent="0.25">
      <c r="A1438" s="28">
        <v>46174</v>
      </c>
      <c r="B1438" s="1" t="s">
        <v>1243</v>
      </c>
      <c r="C1438" s="1" t="str">
        <f>VLOOKUP(B1438,'[6]Migrasi Bed'!$B$4:$E$521,4,0)</f>
        <v>SV.H009</v>
      </c>
      <c r="D1438" s="28">
        <f t="shared" si="390"/>
        <v>46197</v>
      </c>
      <c r="E1438" s="28">
        <f t="shared" si="391"/>
        <v>46181</v>
      </c>
      <c r="F1438" s="28">
        <f t="shared" si="392"/>
        <v>46188</v>
      </c>
      <c r="G1438" s="28">
        <f t="shared" si="393"/>
        <v>46194</v>
      </c>
      <c r="H1438" s="28">
        <f t="shared" si="394"/>
        <v>46182</v>
      </c>
      <c r="I1438" s="28">
        <f t="shared" si="395"/>
        <v>46189</v>
      </c>
      <c r="J1438" s="28"/>
      <c r="K1438" s="1"/>
      <c r="L1438" s="1"/>
      <c r="M1438" s="1"/>
      <c r="N1438" s="1">
        <v>0</v>
      </c>
      <c r="O1438" s="1" t="s">
        <v>379</v>
      </c>
    </row>
    <row r="1439" spans="1:15" x14ac:dyDescent="0.25">
      <c r="A1439" s="28">
        <v>46174</v>
      </c>
      <c r="B1439" s="1" t="s">
        <v>193</v>
      </c>
      <c r="C1439" s="1" t="str">
        <f>VLOOKUP(B1439,'[6]Migrasi Bed'!$B$4:$E$521,4,0)</f>
        <v>SV.H010</v>
      </c>
      <c r="D1439" s="28">
        <f t="shared" si="390"/>
        <v>46197</v>
      </c>
      <c r="E1439" s="28">
        <f t="shared" si="391"/>
        <v>46181</v>
      </c>
      <c r="F1439" s="28">
        <f t="shared" si="392"/>
        <v>46188</v>
      </c>
      <c r="G1439" s="28">
        <f t="shared" si="393"/>
        <v>46194</v>
      </c>
      <c r="H1439" s="28">
        <f t="shared" si="394"/>
        <v>46182</v>
      </c>
      <c r="I1439" s="28">
        <f t="shared" si="395"/>
        <v>46189</v>
      </c>
      <c r="J1439" s="28"/>
      <c r="K1439" s="1"/>
      <c r="L1439" s="1"/>
      <c r="M1439" s="1"/>
      <c r="N1439" s="1">
        <v>0</v>
      </c>
      <c r="O1439" s="1" t="s">
        <v>379</v>
      </c>
    </row>
    <row r="1440" spans="1:15" x14ac:dyDescent="0.25">
      <c r="A1440" s="28">
        <v>46175</v>
      </c>
      <c r="B1440" s="1" t="s">
        <v>227</v>
      </c>
      <c r="C1440" s="1" t="str">
        <f>VLOOKUP(B1440,'[6]Migrasi Bed'!$B$4:$E$521,4,0)</f>
        <v>SV.A024</v>
      </c>
      <c r="D1440" s="28">
        <f t="shared" si="390"/>
        <v>46198</v>
      </c>
      <c r="E1440" s="28">
        <f t="shared" si="391"/>
        <v>46182</v>
      </c>
      <c r="F1440" s="28">
        <f t="shared" si="392"/>
        <v>46189</v>
      </c>
      <c r="G1440" s="28">
        <f t="shared" si="393"/>
        <v>46195</v>
      </c>
      <c r="H1440" s="28">
        <f t="shared" si="394"/>
        <v>46183</v>
      </c>
      <c r="I1440" s="28">
        <f t="shared" si="395"/>
        <v>46190</v>
      </c>
      <c r="J1440" s="28"/>
      <c r="K1440" s="1"/>
      <c r="L1440" s="1"/>
      <c r="M1440" s="1"/>
      <c r="N1440" s="1">
        <v>0</v>
      </c>
      <c r="O1440" s="1" t="s">
        <v>379</v>
      </c>
    </row>
    <row r="1441" spans="1:15" x14ac:dyDescent="0.25">
      <c r="A1441" s="28">
        <v>46175</v>
      </c>
      <c r="B1441" s="1" t="s">
        <v>228</v>
      </c>
      <c r="C1441" s="1" t="str">
        <f>VLOOKUP(B1441,'[6]Migrasi Bed'!$B$4:$E$521,4,0)</f>
        <v>SV.A025</v>
      </c>
      <c r="D1441" s="28">
        <f t="shared" si="390"/>
        <v>46198</v>
      </c>
      <c r="E1441" s="28">
        <f t="shared" si="391"/>
        <v>46182</v>
      </c>
      <c r="F1441" s="28">
        <f t="shared" si="392"/>
        <v>46189</v>
      </c>
      <c r="G1441" s="28">
        <f t="shared" si="393"/>
        <v>46195</v>
      </c>
      <c r="H1441" s="28">
        <f t="shared" si="394"/>
        <v>46183</v>
      </c>
      <c r="I1441" s="28">
        <f t="shared" si="395"/>
        <v>46190</v>
      </c>
      <c r="J1441" s="28"/>
      <c r="K1441" s="1"/>
      <c r="L1441" s="1"/>
      <c r="M1441" s="1"/>
      <c r="N1441" s="1">
        <v>0</v>
      </c>
      <c r="O1441" s="1" t="s">
        <v>379</v>
      </c>
    </row>
    <row r="1442" spans="1:15" x14ac:dyDescent="0.25">
      <c r="A1442" s="28">
        <v>46175</v>
      </c>
      <c r="B1442" s="1" t="s">
        <v>229</v>
      </c>
      <c r="C1442" s="1" t="str">
        <f>VLOOKUP(B1442,'[6]Migrasi Bed'!$B$4:$E$521,4,0)</f>
        <v>SV.A026</v>
      </c>
      <c r="D1442" s="28">
        <f t="shared" ref="D1442:D1505" si="398">A1442+23</f>
        <v>46198</v>
      </c>
      <c r="E1442" s="28">
        <f t="shared" ref="E1442:E1505" si="399">A1442+7</f>
        <v>46182</v>
      </c>
      <c r="F1442" s="28">
        <f t="shared" ref="F1442:F1505" si="400">A1442+14</f>
        <v>46189</v>
      </c>
      <c r="G1442" s="28">
        <f t="shared" ref="G1442:G1505" si="401">A1442+20</f>
        <v>46195</v>
      </c>
      <c r="H1442" s="28">
        <f t="shared" ref="H1442:H1505" si="402">A1442+8</f>
        <v>46183</v>
      </c>
      <c r="I1442" s="28">
        <f t="shared" ref="I1442:I1505" si="403">A1442+15</f>
        <v>46190</v>
      </c>
      <c r="J1442" s="28"/>
      <c r="K1442" s="1"/>
      <c r="L1442" s="1"/>
      <c r="M1442" s="1"/>
      <c r="N1442" s="1">
        <v>0</v>
      </c>
      <c r="O1442" s="1" t="s">
        <v>379</v>
      </c>
    </row>
    <row r="1443" spans="1:15" x14ac:dyDescent="0.25">
      <c r="A1443" s="28">
        <v>46175</v>
      </c>
      <c r="B1443" s="1" t="s">
        <v>230</v>
      </c>
      <c r="C1443" s="1" t="str">
        <f>VLOOKUP(B1443,'[6]Migrasi Bed'!$B$4:$E$521,4,0)</f>
        <v>SV.A027</v>
      </c>
      <c r="D1443" s="28">
        <f t="shared" si="398"/>
        <v>46198</v>
      </c>
      <c r="E1443" s="28">
        <f t="shared" si="399"/>
        <v>46182</v>
      </c>
      <c r="F1443" s="28">
        <f t="shared" si="400"/>
        <v>46189</v>
      </c>
      <c r="G1443" s="28">
        <f t="shared" si="401"/>
        <v>46195</v>
      </c>
      <c r="H1443" s="28">
        <f t="shared" si="402"/>
        <v>46183</v>
      </c>
      <c r="I1443" s="28">
        <f t="shared" si="403"/>
        <v>46190</v>
      </c>
      <c r="J1443" s="28"/>
      <c r="K1443" s="1"/>
      <c r="L1443" s="1"/>
      <c r="M1443" s="1"/>
      <c r="N1443" s="1">
        <v>0</v>
      </c>
      <c r="O1443" s="1" t="s">
        <v>379</v>
      </c>
    </row>
    <row r="1444" spans="1:15" x14ac:dyDescent="0.25">
      <c r="A1444" s="28">
        <v>46175</v>
      </c>
      <c r="B1444" s="1" t="s">
        <v>231</v>
      </c>
      <c r="C1444" s="1" t="str">
        <f>VLOOKUP(B1444,'[6]Migrasi Bed'!$B$4:$E$521,4,0)</f>
        <v>SV.A028</v>
      </c>
      <c r="D1444" s="28">
        <f t="shared" si="398"/>
        <v>46198</v>
      </c>
      <c r="E1444" s="28">
        <f t="shared" si="399"/>
        <v>46182</v>
      </c>
      <c r="F1444" s="28">
        <f t="shared" si="400"/>
        <v>46189</v>
      </c>
      <c r="G1444" s="28">
        <f t="shared" si="401"/>
        <v>46195</v>
      </c>
      <c r="H1444" s="28">
        <f t="shared" si="402"/>
        <v>46183</v>
      </c>
      <c r="I1444" s="28">
        <f t="shared" si="403"/>
        <v>46190</v>
      </c>
      <c r="J1444" s="28"/>
      <c r="K1444" s="1"/>
      <c r="L1444" s="1"/>
      <c r="M1444" s="1"/>
      <c r="N1444" s="1">
        <v>0</v>
      </c>
      <c r="O1444" s="1" t="s">
        <v>379</v>
      </c>
    </row>
    <row r="1445" spans="1:15" x14ac:dyDescent="0.25">
      <c r="A1445" s="28">
        <v>46175</v>
      </c>
      <c r="B1445" s="1" t="s">
        <v>232</v>
      </c>
      <c r="C1445" s="1" t="str">
        <f>VLOOKUP(B1445,'[6]Migrasi Bed'!$B$4:$E$521,4,0)</f>
        <v>SV.A029</v>
      </c>
      <c r="D1445" s="28">
        <f t="shared" si="398"/>
        <v>46198</v>
      </c>
      <c r="E1445" s="28">
        <f t="shared" si="399"/>
        <v>46182</v>
      </c>
      <c r="F1445" s="28">
        <f t="shared" si="400"/>
        <v>46189</v>
      </c>
      <c r="G1445" s="28">
        <f t="shared" si="401"/>
        <v>46195</v>
      </c>
      <c r="H1445" s="28">
        <f t="shared" si="402"/>
        <v>46183</v>
      </c>
      <c r="I1445" s="28">
        <f t="shared" si="403"/>
        <v>46190</v>
      </c>
      <c r="J1445" s="28"/>
      <c r="K1445" s="1"/>
      <c r="L1445" s="1"/>
      <c r="M1445" s="1"/>
      <c r="N1445" s="1">
        <v>0</v>
      </c>
      <c r="O1445" s="1" t="s">
        <v>379</v>
      </c>
    </row>
    <row r="1446" spans="1:15" x14ac:dyDescent="0.25">
      <c r="A1446" s="28">
        <v>46175</v>
      </c>
      <c r="B1446" s="1" t="s">
        <v>233</v>
      </c>
      <c r="C1446" s="1" t="str">
        <f>VLOOKUP(B1446,'[6]Migrasi Bed'!$B$4:$E$521,4,0)</f>
        <v>SV.A030</v>
      </c>
      <c r="D1446" s="28">
        <f t="shared" si="398"/>
        <v>46198</v>
      </c>
      <c r="E1446" s="28">
        <f t="shared" si="399"/>
        <v>46182</v>
      </c>
      <c r="F1446" s="28">
        <f t="shared" si="400"/>
        <v>46189</v>
      </c>
      <c r="G1446" s="28">
        <f t="shared" si="401"/>
        <v>46195</v>
      </c>
      <c r="H1446" s="28">
        <f t="shared" si="402"/>
        <v>46183</v>
      </c>
      <c r="I1446" s="28">
        <f t="shared" si="403"/>
        <v>46190</v>
      </c>
      <c r="J1446" s="28"/>
      <c r="K1446" s="1"/>
      <c r="L1446" s="1"/>
      <c r="M1446" s="1"/>
      <c r="N1446" s="1">
        <v>0</v>
      </c>
      <c r="O1446" s="1" t="s">
        <v>379</v>
      </c>
    </row>
    <row r="1447" spans="1:15" x14ac:dyDescent="0.25">
      <c r="A1447" s="28">
        <v>46176</v>
      </c>
      <c r="B1447" s="1" t="s">
        <v>1244</v>
      </c>
      <c r="C1447" s="1" t="str">
        <f>VLOOKUP(B1447,'[6]Migrasi Bed'!$B$4:$E$521,4,0)</f>
        <v>SV.H002</v>
      </c>
      <c r="D1447" s="28">
        <f t="shared" si="398"/>
        <v>46199</v>
      </c>
      <c r="E1447" s="28">
        <f t="shared" si="399"/>
        <v>46183</v>
      </c>
      <c r="F1447" s="28">
        <f t="shared" si="400"/>
        <v>46190</v>
      </c>
      <c r="G1447" s="28">
        <f t="shared" si="401"/>
        <v>46196</v>
      </c>
      <c r="H1447" s="28">
        <f t="shared" si="402"/>
        <v>46184</v>
      </c>
      <c r="I1447" s="28">
        <f t="shared" si="403"/>
        <v>46191</v>
      </c>
      <c r="J1447" s="28"/>
      <c r="K1447" s="1"/>
      <c r="L1447" s="1"/>
      <c r="M1447" s="1"/>
      <c r="N1447" s="1">
        <v>0</v>
      </c>
      <c r="O1447" s="1" t="s">
        <v>379</v>
      </c>
    </row>
    <row r="1448" spans="1:15" x14ac:dyDescent="0.25">
      <c r="A1448" s="28">
        <v>46176</v>
      </c>
      <c r="B1448" s="1" t="s">
        <v>1245</v>
      </c>
      <c r="C1448" s="1" t="str">
        <f>VLOOKUP(B1448,'[6]Migrasi Bed'!$B$4:$E$521,4,0)</f>
        <v>SV.H003</v>
      </c>
      <c r="D1448" s="28">
        <f t="shared" si="398"/>
        <v>46199</v>
      </c>
      <c r="E1448" s="28">
        <f t="shared" si="399"/>
        <v>46183</v>
      </c>
      <c r="F1448" s="28">
        <f t="shared" si="400"/>
        <v>46190</v>
      </c>
      <c r="G1448" s="28">
        <f t="shared" si="401"/>
        <v>46196</v>
      </c>
      <c r="H1448" s="28">
        <f t="shared" si="402"/>
        <v>46184</v>
      </c>
      <c r="I1448" s="28">
        <f t="shared" si="403"/>
        <v>46191</v>
      </c>
      <c r="J1448" s="28"/>
      <c r="K1448" s="1"/>
      <c r="L1448" s="1"/>
      <c r="M1448" s="1"/>
      <c r="N1448" s="1">
        <v>0</v>
      </c>
      <c r="O1448" s="1" t="s">
        <v>379</v>
      </c>
    </row>
    <row r="1449" spans="1:15" x14ac:dyDescent="0.25">
      <c r="A1449" s="28">
        <v>46176</v>
      </c>
      <c r="B1449" s="1" t="s">
        <v>257</v>
      </c>
      <c r="C1449" s="1" t="str">
        <f>VLOOKUP(B1449,'[6]Migrasi Bed'!$B$4:$E$521,4,0)</f>
        <v>SV.B024</v>
      </c>
      <c r="D1449" s="28">
        <f t="shared" si="398"/>
        <v>46199</v>
      </c>
      <c r="E1449" s="28">
        <f t="shared" si="399"/>
        <v>46183</v>
      </c>
      <c r="F1449" s="28">
        <f t="shared" si="400"/>
        <v>46190</v>
      </c>
      <c r="G1449" s="28">
        <f t="shared" si="401"/>
        <v>46196</v>
      </c>
      <c r="H1449" s="28">
        <f t="shared" si="402"/>
        <v>46184</v>
      </c>
      <c r="I1449" s="28">
        <f t="shared" si="403"/>
        <v>46191</v>
      </c>
      <c r="J1449" s="28"/>
      <c r="K1449" s="1"/>
      <c r="L1449" s="1"/>
      <c r="M1449" s="1"/>
      <c r="N1449" s="1">
        <v>0</v>
      </c>
      <c r="O1449" s="1" t="s">
        <v>379</v>
      </c>
    </row>
    <row r="1450" spans="1:15" x14ac:dyDescent="0.25">
      <c r="A1450" s="28">
        <v>46176</v>
      </c>
      <c r="B1450" s="1" t="s">
        <v>258</v>
      </c>
      <c r="C1450" s="1" t="str">
        <f>VLOOKUP(B1450,'[6]Migrasi Bed'!$B$4:$E$521,4,0)</f>
        <v>SV.B025</v>
      </c>
      <c r="D1450" s="28">
        <f t="shared" si="398"/>
        <v>46199</v>
      </c>
      <c r="E1450" s="28">
        <f t="shared" si="399"/>
        <v>46183</v>
      </c>
      <c r="F1450" s="28">
        <f t="shared" si="400"/>
        <v>46190</v>
      </c>
      <c r="G1450" s="28">
        <f t="shared" si="401"/>
        <v>46196</v>
      </c>
      <c r="H1450" s="28">
        <f t="shared" si="402"/>
        <v>46184</v>
      </c>
      <c r="I1450" s="28">
        <f t="shared" si="403"/>
        <v>46191</v>
      </c>
      <c r="J1450" s="28"/>
      <c r="K1450" s="1"/>
      <c r="L1450" s="1"/>
      <c r="M1450" s="1"/>
      <c r="N1450" s="1">
        <v>0</v>
      </c>
      <c r="O1450" s="1" t="s">
        <v>379</v>
      </c>
    </row>
    <row r="1451" spans="1:15" x14ac:dyDescent="0.25">
      <c r="A1451" s="28">
        <v>46176</v>
      </c>
      <c r="B1451" s="1" t="s">
        <v>259</v>
      </c>
      <c r="C1451" s="1" t="str">
        <f>VLOOKUP(B1451,'[6]Migrasi Bed'!$B$4:$E$521,4,0)</f>
        <v>SV.B026</v>
      </c>
      <c r="D1451" s="28">
        <f t="shared" si="398"/>
        <v>46199</v>
      </c>
      <c r="E1451" s="28">
        <f t="shared" si="399"/>
        <v>46183</v>
      </c>
      <c r="F1451" s="28">
        <f t="shared" si="400"/>
        <v>46190</v>
      </c>
      <c r="G1451" s="28">
        <f t="shared" si="401"/>
        <v>46196</v>
      </c>
      <c r="H1451" s="28">
        <f t="shared" si="402"/>
        <v>46184</v>
      </c>
      <c r="I1451" s="28">
        <f t="shared" si="403"/>
        <v>46191</v>
      </c>
      <c r="J1451" s="28"/>
      <c r="K1451" s="1"/>
      <c r="L1451" s="1"/>
      <c r="M1451" s="1"/>
      <c r="N1451" s="1">
        <v>0</v>
      </c>
      <c r="O1451" s="1" t="s">
        <v>379</v>
      </c>
    </row>
    <row r="1452" spans="1:15" x14ac:dyDescent="0.25">
      <c r="A1452" s="28">
        <v>46176</v>
      </c>
      <c r="B1452" s="1" t="s">
        <v>262</v>
      </c>
      <c r="C1452" s="1" t="str">
        <f>VLOOKUP(B1452,'[6]Migrasi Bed'!$B$4:$E$521,4,0)</f>
        <v>SV.B029</v>
      </c>
      <c r="D1452" s="28">
        <f t="shared" si="398"/>
        <v>46199</v>
      </c>
      <c r="E1452" s="28">
        <f t="shared" si="399"/>
        <v>46183</v>
      </c>
      <c r="F1452" s="28">
        <f t="shared" si="400"/>
        <v>46190</v>
      </c>
      <c r="G1452" s="28">
        <f t="shared" si="401"/>
        <v>46196</v>
      </c>
      <c r="H1452" s="28">
        <f t="shared" si="402"/>
        <v>46184</v>
      </c>
      <c r="I1452" s="28">
        <f t="shared" si="403"/>
        <v>46191</v>
      </c>
      <c r="J1452" s="28"/>
      <c r="K1452" s="1"/>
      <c r="L1452" s="1"/>
      <c r="M1452" s="1"/>
      <c r="N1452" s="1">
        <v>0</v>
      </c>
      <c r="O1452" s="1" t="s">
        <v>379</v>
      </c>
    </row>
    <row r="1453" spans="1:15" x14ac:dyDescent="0.25">
      <c r="A1453" s="28">
        <v>46176</v>
      </c>
      <c r="B1453" s="1" t="s">
        <v>263</v>
      </c>
      <c r="C1453" s="1" t="str">
        <f>VLOOKUP(B1453,'[6]Migrasi Bed'!$B$4:$E$521,4,0)</f>
        <v>SV.B030</v>
      </c>
      <c r="D1453" s="28">
        <f t="shared" si="398"/>
        <v>46199</v>
      </c>
      <c r="E1453" s="28">
        <f t="shared" si="399"/>
        <v>46183</v>
      </c>
      <c r="F1453" s="28">
        <f t="shared" si="400"/>
        <v>46190</v>
      </c>
      <c r="G1453" s="28">
        <f t="shared" si="401"/>
        <v>46196</v>
      </c>
      <c r="H1453" s="28">
        <f t="shared" si="402"/>
        <v>46184</v>
      </c>
      <c r="I1453" s="28">
        <f t="shared" si="403"/>
        <v>46191</v>
      </c>
      <c r="J1453" s="28"/>
      <c r="K1453" s="1"/>
      <c r="L1453" s="1"/>
      <c r="M1453" s="1"/>
      <c r="N1453" s="1">
        <v>0</v>
      </c>
      <c r="O1453" s="1" t="s">
        <v>379</v>
      </c>
    </row>
    <row r="1454" spans="1:15" x14ac:dyDescent="0.25">
      <c r="A1454" s="28">
        <v>46178</v>
      </c>
      <c r="B1454" s="1" t="s">
        <v>220</v>
      </c>
      <c r="C1454" s="1" t="str">
        <f>VLOOKUP(B1454,'[6]Migrasi Bed'!$B$4:$E$521,4,0)</f>
        <v>SV.A017</v>
      </c>
      <c r="D1454" s="28">
        <f t="shared" si="398"/>
        <v>46201</v>
      </c>
      <c r="E1454" s="28">
        <f t="shared" si="399"/>
        <v>46185</v>
      </c>
      <c r="F1454" s="28">
        <f t="shared" si="400"/>
        <v>46192</v>
      </c>
      <c r="G1454" s="28">
        <f t="shared" si="401"/>
        <v>46198</v>
      </c>
      <c r="H1454" s="28">
        <f t="shared" si="402"/>
        <v>46186</v>
      </c>
      <c r="I1454" s="28">
        <f t="shared" si="403"/>
        <v>46193</v>
      </c>
      <c r="J1454" s="28"/>
      <c r="K1454" s="1"/>
      <c r="L1454" s="1"/>
      <c r="M1454" s="1"/>
      <c r="N1454" s="1">
        <v>0</v>
      </c>
      <c r="O1454" s="1" t="s">
        <v>379</v>
      </c>
    </row>
    <row r="1455" spans="1:15" x14ac:dyDescent="0.25">
      <c r="A1455" s="28">
        <v>46178</v>
      </c>
      <c r="B1455" s="1" t="s">
        <v>221</v>
      </c>
      <c r="C1455" s="1" t="str">
        <f>VLOOKUP(B1455,'[6]Migrasi Bed'!$B$4:$E$521,4,0)</f>
        <v>SV.A018</v>
      </c>
      <c r="D1455" s="28">
        <f t="shared" si="398"/>
        <v>46201</v>
      </c>
      <c r="E1455" s="28">
        <f t="shared" si="399"/>
        <v>46185</v>
      </c>
      <c r="F1455" s="28">
        <f t="shared" si="400"/>
        <v>46192</v>
      </c>
      <c r="G1455" s="28">
        <f t="shared" si="401"/>
        <v>46198</v>
      </c>
      <c r="H1455" s="28">
        <f t="shared" si="402"/>
        <v>46186</v>
      </c>
      <c r="I1455" s="28">
        <f t="shared" si="403"/>
        <v>46193</v>
      </c>
      <c r="J1455" s="28"/>
      <c r="K1455" s="1"/>
      <c r="L1455" s="1"/>
      <c r="M1455" s="1"/>
      <c r="N1455" s="1">
        <v>0</v>
      </c>
      <c r="O1455" s="1" t="s">
        <v>379</v>
      </c>
    </row>
    <row r="1456" spans="1:15" x14ac:dyDescent="0.25">
      <c r="A1456" s="28">
        <v>46178</v>
      </c>
      <c r="B1456" s="1" t="s">
        <v>222</v>
      </c>
      <c r="C1456" s="1" t="str">
        <f>VLOOKUP(B1456,'[6]Migrasi Bed'!$B$4:$E$521,4,0)</f>
        <v>SV.A019</v>
      </c>
      <c r="D1456" s="28">
        <f t="shared" si="398"/>
        <v>46201</v>
      </c>
      <c r="E1456" s="28">
        <f t="shared" si="399"/>
        <v>46185</v>
      </c>
      <c r="F1456" s="28">
        <f t="shared" si="400"/>
        <v>46192</v>
      </c>
      <c r="G1456" s="28">
        <f t="shared" si="401"/>
        <v>46198</v>
      </c>
      <c r="H1456" s="28">
        <f t="shared" si="402"/>
        <v>46186</v>
      </c>
      <c r="I1456" s="28">
        <f t="shared" si="403"/>
        <v>46193</v>
      </c>
      <c r="J1456" s="28"/>
      <c r="K1456" s="1"/>
      <c r="L1456" s="1"/>
      <c r="M1456" s="1"/>
      <c r="N1456" s="1">
        <v>0</v>
      </c>
      <c r="O1456" s="1" t="s">
        <v>379</v>
      </c>
    </row>
    <row r="1457" spans="1:15" x14ac:dyDescent="0.25">
      <c r="A1457" s="28">
        <v>46178</v>
      </c>
      <c r="B1457" s="1" t="s">
        <v>223</v>
      </c>
      <c r="C1457" s="1" t="str">
        <f>VLOOKUP(B1457,'[6]Migrasi Bed'!$B$4:$E$521,4,0)</f>
        <v>SV.A020</v>
      </c>
      <c r="D1457" s="28">
        <f t="shared" si="398"/>
        <v>46201</v>
      </c>
      <c r="E1457" s="28">
        <f t="shared" si="399"/>
        <v>46185</v>
      </c>
      <c r="F1457" s="28">
        <f t="shared" si="400"/>
        <v>46192</v>
      </c>
      <c r="G1457" s="28">
        <f t="shared" si="401"/>
        <v>46198</v>
      </c>
      <c r="H1457" s="28">
        <f t="shared" si="402"/>
        <v>46186</v>
      </c>
      <c r="I1457" s="28">
        <f t="shared" si="403"/>
        <v>46193</v>
      </c>
      <c r="J1457" s="28"/>
      <c r="K1457" s="1"/>
      <c r="L1457" s="1"/>
      <c r="M1457" s="1"/>
      <c r="N1457" s="1">
        <v>0</v>
      </c>
      <c r="O1457" s="1" t="s">
        <v>379</v>
      </c>
    </row>
    <row r="1458" spans="1:15" x14ac:dyDescent="0.25">
      <c r="A1458" s="28">
        <v>46178</v>
      </c>
      <c r="B1458" s="1" t="s">
        <v>224</v>
      </c>
      <c r="C1458" s="1" t="str">
        <f>VLOOKUP(B1458,'[6]Migrasi Bed'!$B$4:$E$521,4,0)</f>
        <v>SV.A021</v>
      </c>
      <c r="D1458" s="28">
        <f t="shared" si="398"/>
        <v>46201</v>
      </c>
      <c r="E1458" s="28">
        <f t="shared" si="399"/>
        <v>46185</v>
      </c>
      <c r="F1458" s="28">
        <f t="shared" si="400"/>
        <v>46192</v>
      </c>
      <c r="G1458" s="28">
        <f t="shared" si="401"/>
        <v>46198</v>
      </c>
      <c r="H1458" s="28">
        <f t="shared" si="402"/>
        <v>46186</v>
      </c>
      <c r="I1458" s="28">
        <f t="shared" si="403"/>
        <v>46193</v>
      </c>
      <c r="J1458" s="28"/>
      <c r="K1458" s="1"/>
      <c r="L1458" s="1"/>
      <c r="M1458" s="1"/>
      <c r="N1458" s="1">
        <v>0</v>
      </c>
      <c r="O1458" s="1" t="s">
        <v>379</v>
      </c>
    </row>
    <row r="1459" spans="1:15" x14ac:dyDescent="0.25">
      <c r="A1459" s="28">
        <v>46178</v>
      </c>
      <c r="B1459" s="1" t="s">
        <v>225</v>
      </c>
      <c r="C1459" s="1" t="str">
        <f>VLOOKUP(B1459,'[6]Migrasi Bed'!$B$4:$E$521,4,0)</f>
        <v>SV.A022</v>
      </c>
      <c r="D1459" s="28">
        <f t="shared" si="398"/>
        <v>46201</v>
      </c>
      <c r="E1459" s="28">
        <f t="shared" si="399"/>
        <v>46185</v>
      </c>
      <c r="F1459" s="28">
        <f t="shared" si="400"/>
        <v>46192</v>
      </c>
      <c r="G1459" s="28">
        <f t="shared" si="401"/>
        <v>46198</v>
      </c>
      <c r="H1459" s="28">
        <f t="shared" si="402"/>
        <v>46186</v>
      </c>
      <c r="I1459" s="28">
        <f t="shared" si="403"/>
        <v>46193</v>
      </c>
      <c r="J1459" s="28"/>
      <c r="K1459" s="1"/>
      <c r="L1459" s="1"/>
      <c r="M1459" s="1"/>
      <c r="N1459" s="1">
        <v>0</v>
      </c>
      <c r="O1459" s="1" t="s">
        <v>379</v>
      </c>
    </row>
    <row r="1460" spans="1:15" x14ac:dyDescent="0.25">
      <c r="A1460" s="28">
        <v>46178</v>
      </c>
      <c r="B1460" s="1" t="s">
        <v>226</v>
      </c>
      <c r="C1460" s="1" t="str">
        <f>VLOOKUP(B1460,'[6]Migrasi Bed'!$B$4:$E$521,4,0)</f>
        <v>SV.A023</v>
      </c>
      <c r="D1460" s="28">
        <f t="shared" si="398"/>
        <v>46201</v>
      </c>
      <c r="E1460" s="28">
        <f t="shared" si="399"/>
        <v>46185</v>
      </c>
      <c r="F1460" s="28">
        <f t="shared" si="400"/>
        <v>46192</v>
      </c>
      <c r="G1460" s="28">
        <f t="shared" si="401"/>
        <v>46198</v>
      </c>
      <c r="H1460" s="28">
        <f t="shared" si="402"/>
        <v>46186</v>
      </c>
      <c r="I1460" s="28">
        <f t="shared" si="403"/>
        <v>46193</v>
      </c>
      <c r="J1460" s="28"/>
      <c r="K1460" s="1"/>
      <c r="L1460" s="1"/>
      <c r="M1460" s="1"/>
      <c r="N1460" s="1">
        <v>0</v>
      </c>
      <c r="O1460" s="1" t="s">
        <v>379</v>
      </c>
    </row>
    <row r="1461" spans="1:15" x14ac:dyDescent="0.25">
      <c r="A1461" s="28">
        <v>46179</v>
      </c>
      <c r="B1461" s="1" t="s">
        <v>250</v>
      </c>
      <c r="C1461" s="1" t="str">
        <f>VLOOKUP(B1461,'[6]Migrasi Bed'!$B$4:$E$521,4,0)</f>
        <v>SV.B017</v>
      </c>
      <c r="D1461" s="28">
        <f t="shared" si="398"/>
        <v>46202</v>
      </c>
      <c r="E1461" s="28">
        <f t="shared" si="399"/>
        <v>46186</v>
      </c>
      <c r="F1461" s="28">
        <f t="shared" si="400"/>
        <v>46193</v>
      </c>
      <c r="G1461" s="28">
        <f t="shared" si="401"/>
        <v>46199</v>
      </c>
      <c r="H1461" s="28">
        <f t="shared" si="402"/>
        <v>46187</v>
      </c>
      <c r="I1461" s="28">
        <f t="shared" si="403"/>
        <v>46194</v>
      </c>
      <c r="J1461" s="28"/>
      <c r="K1461" s="1"/>
      <c r="L1461" s="1"/>
      <c r="M1461" s="1"/>
      <c r="N1461" s="1">
        <v>0</v>
      </c>
      <c r="O1461" s="1" t="s">
        <v>379</v>
      </c>
    </row>
    <row r="1462" spans="1:15" x14ac:dyDescent="0.25">
      <c r="A1462" s="28">
        <v>46179</v>
      </c>
      <c r="B1462" s="1" t="s">
        <v>251</v>
      </c>
      <c r="C1462" s="1" t="str">
        <f>VLOOKUP(B1462,'[6]Migrasi Bed'!$B$4:$E$521,4,0)</f>
        <v>SV.B018</v>
      </c>
      <c r="D1462" s="28">
        <f t="shared" si="398"/>
        <v>46202</v>
      </c>
      <c r="E1462" s="28">
        <f t="shared" si="399"/>
        <v>46186</v>
      </c>
      <c r="F1462" s="28">
        <f t="shared" si="400"/>
        <v>46193</v>
      </c>
      <c r="G1462" s="28">
        <f t="shared" si="401"/>
        <v>46199</v>
      </c>
      <c r="H1462" s="28">
        <f t="shared" si="402"/>
        <v>46187</v>
      </c>
      <c r="I1462" s="28">
        <f t="shared" si="403"/>
        <v>46194</v>
      </c>
      <c r="J1462" s="28"/>
      <c r="K1462" s="1"/>
      <c r="L1462" s="1"/>
      <c r="M1462" s="1"/>
      <c r="N1462" s="1">
        <v>0</v>
      </c>
      <c r="O1462" s="1" t="s">
        <v>379</v>
      </c>
    </row>
    <row r="1463" spans="1:15" x14ac:dyDescent="0.25">
      <c r="A1463" s="28">
        <v>46179</v>
      </c>
      <c r="B1463" s="1" t="s">
        <v>252</v>
      </c>
      <c r="C1463" s="1" t="str">
        <f>VLOOKUP(B1463,'[6]Migrasi Bed'!$B$4:$E$521,4,0)</f>
        <v>SV.B019</v>
      </c>
      <c r="D1463" s="28">
        <f t="shared" si="398"/>
        <v>46202</v>
      </c>
      <c r="E1463" s="28">
        <f t="shared" si="399"/>
        <v>46186</v>
      </c>
      <c r="F1463" s="28">
        <f t="shared" si="400"/>
        <v>46193</v>
      </c>
      <c r="G1463" s="28">
        <f t="shared" si="401"/>
        <v>46199</v>
      </c>
      <c r="H1463" s="28">
        <f t="shared" si="402"/>
        <v>46187</v>
      </c>
      <c r="I1463" s="28">
        <f t="shared" si="403"/>
        <v>46194</v>
      </c>
      <c r="J1463" s="28"/>
      <c r="K1463" s="1"/>
      <c r="L1463" s="1"/>
      <c r="M1463" s="1"/>
      <c r="N1463" s="1">
        <v>0</v>
      </c>
      <c r="O1463" s="1" t="s">
        <v>379</v>
      </c>
    </row>
    <row r="1464" spans="1:15" x14ac:dyDescent="0.25">
      <c r="A1464" s="28">
        <v>46179</v>
      </c>
      <c r="B1464" s="1" t="s">
        <v>253</v>
      </c>
      <c r="C1464" s="1" t="str">
        <f>VLOOKUP(B1464,'[6]Migrasi Bed'!$B$4:$E$521,4,0)</f>
        <v>SV.B020</v>
      </c>
      <c r="D1464" s="28">
        <f t="shared" si="398"/>
        <v>46202</v>
      </c>
      <c r="E1464" s="28">
        <f t="shared" si="399"/>
        <v>46186</v>
      </c>
      <c r="F1464" s="28">
        <f t="shared" si="400"/>
        <v>46193</v>
      </c>
      <c r="G1464" s="28">
        <f t="shared" si="401"/>
        <v>46199</v>
      </c>
      <c r="H1464" s="28">
        <f t="shared" si="402"/>
        <v>46187</v>
      </c>
      <c r="I1464" s="28">
        <f t="shared" si="403"/>
        <v>46194</v>
      </c>
      <c r="J1464" s="28"/>
      <c r="K1464" s="1"/>
      <c r="L1464" s="1"/>
      <c r="M1464" s="1"/>
      <c r="N1464" s="1">
        <v>0</v>
      </c>
      <c r="O1464" s="1" t="s">
        <v>379</v>
      </c>
    </row>
    <row r="1465" spans="1:15" x14ac:dyDescent="0.25">
      <c r="A1465" s="28">
        <v>46179</v>
      </c>
      <c r="B1465" s="1" t="s">
        <v>254</v>
      </c>
      <c r="C1465" s="1" t="str">
        <f>VLOOKUP(B1465,'[6]Migrasi Bed'!$B$4:$E$521,4,0)</f>
        <v>SV.B021</v>
      </c>
      <c r="D1465" s="28">
        <f t="shared" si="398"/>
        <v>46202</v>
      </c>
      <c r="E1465" s="28">
        <f t="shared" si="399"/>
        <v>46186</v>
      </c>
      <c r="F1465" s="28">
        <f t="shared" si="400"/>
        <v>46193</v>
      </c>
      <c r="G1465" s="28">
        <f t="shared" si="401"/>
        <v>46199</v>
      </c>
      <c r="H1465" s="28">
        <f t="shared" si="402"/>
        <v>46187</v>
      </c>
      <c r="I1465" s="28">
        <f t="shared" si="403"/>
        <v>46194</v>
      </c>
      <c r="J1465" s="28"/>
      <c r="K1465" s="1"/>
      <c r="L1465" s="1"/>
      <c r="M1465" s="1"/>
      <c r="N1465" s="1">
        <v>0</v>
      </c>
      <c r="O1465" s="1" t="s">
        <v>379</v>
      </c>
    </row>
    <row r="1466" spans="1:15" x14ac:dyDescent="0.25">
      <c r="A1466" s="28">
        <v>46179</v>
      </c>
      <c r="B1466" s="1" t="s">
        <v>255</v>
      </c>
      <c r="C1466" s="1" t="str">
        <f>VLOOKUP(B1466,'[6]Migrasi Bed'!$B$4:$E$521,4,0)</f>
        <v>SV.B022</v>
      </c>
      <c r="D1466" s="28">
        <f t="shared" si="398"/>
        <v>46202</v>
      </c>
      <c r="E1466" s="28">
        <f t="shared" si="399"/>
        <v>46186</v>
      </c>
      <c r="F1466" s="28">
        <f t="shared" si="400"/>
        <v>46193</v>
      </c>
      <c r="G1466" s="28">
        <f t="shared" si="401"/>
        <v>46199</v>
      </c>
      <c r="H1466" s="28">
        <f t="shared" si="402"/>
        <v>46187</v>
      </c>
      <c r="I1466" s="28">
        <f t="shared" si="403"/>
        <v>46194</v>
      </c>
      <c r="J1466" s="28"/>
      <c r="K1466" s="1"/>
      <c r="L1466" s="1"/>
      <c r="M1466" s="1"/>
      <c r="N1466" s="1">
        <v>0</v>
      </c>
      <c r="O1466" s="1" t="s">
        <v>379</v>
      </c>
    </row>
    <row r="1467" spans="1:15" x14ac:dyDescent="0.25">
      <c r="A1467" s="28">
        <v>46179</v>
      </c>
      <c r="B1467" s="1" t="s">
        <v>256</v>
      </c>
      <c r="C1467" s="1" t="str">
        <f>VLOOKUP(B1467,'[6]Migrasi Bed'!$B$4:$E$521,4,0)</f>
        <v>SV.B023</v>
      </c>
      <c r="D1467" s="28">
        <f t="shared" si="398"/>
        <v>46202</v>
      </c>
      <c r="E1467" s="28">
        <f t="shared" si="399"/>
        <v>46186</v>
      </c>
      <c r="F1467" s="28">
        <f t="shared" si="400"/>
        <v>46193</v>
      </c>
      <c r="G1467" s="28">
        <f t="shared" si="401"/>
        <v>46199</v>
      </c>
      <c r="H1467" s="28">
        <f t="shared" si="402"/>
        <v>46187</v>
      </c>
      <c r="I1467" s="28">
        <f t="shared" si="403"/>
        <v>46194</v>
      </c>
      <c r="J1467" s="28"/>
      <c r="K1467" s="1"/>
      <c r="L1467" s="1"/>
      <c r="M1467" s="1"/>
      <c r="N1467" s="1">
        <v>0</v>
      </c>
      <c r="O1467" s="1" t="s">
        <v>379</v>
      </c>
    </row>
    <row r="1468" spans="1:15" x14ac:dyDescent="0.25">
      <c r="A1468" s="28">
        <v>46181</v>
      </c>
      <c r="B1468" s="1" t="s">
        <v>213</v>
      </c>
      <c r="C1468" s="1" t="str">
        <f>VLOOKUP(B1468,'[6]Migrasi Bed'!$B$4:$E$521,4,0)</f>
        <v>SV.A010</v>
      </c>
      <c r="D1468" s="28">
        <f t="shared" si="398"/>
        <v>46204</v>
      </c>
      <c r="E1468" s="28">
        <f t="shared" si="399"/>
        <v>46188</v>
      </c>
      <c r="F1468" s="28">
        <f t="shared" si="400"/>
        <v>46195</v>
      </c>
      <c r="G1468" s="28">
        <f t="shared" si="401"/>
        <v>46201</v>
      </c>
      <c r="H1468" s="28">
        <f t="shared" si="402"/>
        <v>46189</v>
      </c>
      <c r="I1468" s="28">
        <f t="shared" si="403"/>
        <v>46196</v>
      </c>
      <c r="J1468" s="28"/>
      <c r="K1468" s="1"/>
      <c r="L1468" s="1"/>
      <c r="M1468" s="1"/>
      <c r="N1468" s="1">
        <v>0</v>
      </c>
      <c r="O1468" s="1" t="s">
        <v>379</v>
      </c>
    </row>
    <row r="1469" spans="1:15" x14ac:dyDescent="0.25">
      <c r="A1469" s="28">
        <v>46181</v>
      </c>
      <c r="B1469" s="1" t="s">
        <v>214</v>
      </c>
      <c r="C1469" s="1" t="str">
        <f>VLOOKUP(B1469,'[6]Migrasi Bed'!$B$4:$E$521,4,0)</f>
        <v>SV.A011</v>
      </c>
      <c r="D1469" s="28">
        <f t="shared" si="398"/>
        <v>46204</v>
      </c>
      <c r="E1469" s="28">
        <f t="shared" si="399"/>
        <v>46188</v>
      </c>
      <c r="F1469" s="28">
        <f t="shared" si="400"/>
        <v>46195</v>
      </c>
      <c r="G1469" s="28">
        <f t="shared" si="401"/>
        <v>46201</v>
      </c>
      <c r="H1469" s="28">
        <f t="shared" si="402"/>
        <v>46189</v>
      </c>
      <c r="I1469" s="28">
        <f t="shared" si="403"/>
        <v>46196</v>
      </c>
      <c r="J1469" s="28"/>
      <c r="K1469" s="1"/>
      <c r="L1469" s="1"/>
      <c r="M1469" s="1"/>
      <c r="N1469" s="1">
        <v>0</v>
      </c>
      <c r="O1469" s="1" t="s">
        <v>379</v>
      </c>
    </row>
    <row r="1470" spans="1:15" x14ac:dyDescent="0.25">
      <c r="A1470" s="28">
        <v>46181</v>
      </c>
      <c r="B1470" s="1" t="s">
        <v>215</v>
      </c>
      <c r="C1470" s="1" t="str">
        <f>VLOOKUP(B1470,'[6]Migrasi Bed'!$B$4:$E$521,4,0)</f>
        <v>SV.A012</v>
      </c>
      <c r="D1470" s="28">
        <f t="shared" si="398"/>
        <v>46204</v>
      </c>
      <c r="E1470" s="28">
        <f t="shared" si="399"/>
        <v>46188</v>
      </c>
      <c r="F1470" s="28">
        <f t="shared" si="400"/>
        <v>46195</v>
      </c>
      <c r="G1470" s="28">
        <f t="shared" si="401"/>
        <v>46201</v>
      </c>
      <c r="H1470" s="28">
        <f t="shared" si="402"/>
        <v>46189</v>
      </c>
      <c r="I1470" s="28">
        <f t="shared" si="403"/>
        <v>46196</v>
      </c>
      <c r="J1470" s="28"/>
      <c r="K1470" s="1"/>
      <c r="L1470" s="1"/>
      <c r="M1470" s="1"/>
      <c r="N1470" s="1">
        <v>0</v>
      </c>
      <c r="O1470" s="1" t="s">
        <v>379</v>
      </c>
    </row>
    <row r="1471" spans="1:15" x14ac:dyDescent="0.25">
      <c r="A1471" s="28">
        <v>46181</v>
      </c>
      <c r="B1471" s="1" t="s">
        <v>216</v>
      </c>
      <c r="C1471" s="1" t="str">
        <f>VLOOKUP(B1471,'[6]Migrasi Bed'!$B$4:$E$521,4,0)</f>
        <v>SV.A013</v>
      </c>
      <c r="D1471" s="28">
        <f t="shared" si="398"/>
        <v>46204</v>
      </c>
      <c r="E1471" s="28">
        <f t="shared" si="399"/>
        <v>46188</v>
      </c>
      <c r="F1471" s="28">
        <f t="shared" si="400"/>
        <v>46195</v>
      </c>
      <c r="G1471" s="28">
        <f t="shared" si="401"/>
        <v>46201</v>
      </c>
      <c r="H1471" s="28">
        <f t="shared" si="402"/>
        <v>46189</v>
      </c>
      <c r="I1471" s="28">
        <f t="shared" si="403"/>
        <v>46196</v>
      </c>
      <c r="J1471" s="28"/>
      <c r="K1471" s="1"/>
      <c r="L1471" s="1"/>
      <c r="M1471" s="1"/>
      <c r="N1471" s="1">
        <v>0</v>
      </c>
      <c r="O1471" s="1" t="s">
        <v>379</v>
      </c>
    </row>
    <row r="1472" spans="1:15" x14ac:dyDescent="0.25">
      <c r="A1472" s="28">
        <v>46181</v>
      </c>
      <c r="B1472" s="1" t="s">
        <v>217</v>
      </c>
      <c r="C1472" s="1" t="str">
        <f>VLOOKUP(B1472,'[6]Migrasi Bed'!$B$4:$E$521,4,0)</f>
        <v>SV.A014</v>
      </c>
      <c r="D1472" s="28">
        <f t="shared" si="398"/>
        <v>46204</v>
      </c>
      <c r="E1472" s="28">
        <f t="shared" si="399"/>
        <v>46188</v>
      </c>
      <c r="F1472" s="28">
        <f t="shared" si="400"/>
        <v>46195</v>
      </c>
      <c r="G1472" s="28">
        <f t="shared" si="401"/>
        <v>46201</v>
      </c>
      <c r="H1472" s="28">
        <f t="shared" si="402"/>
        <v>46189</v>
      </c>
      <c r="I1472" s="28">
        <f t="shared" si="403"/>
        <v>46196</v>
      </c>
      <c r="J1472" s="28"/>
      <c r="K1472" s="1"/>
      <c r="L1472" s="1"/>
      <c r="M1472" s="1"/>
      <c r="N1472" s="1">
        <v>0</v>
      </c>
      <c r="O1472" s="1" t="s">
        <v>379</v>
      </c>
    </row>
    <row r="1473" spans="1:15" x14ac:dyDescent="0.25">
      <c r="A1473" s="28">
        <v>46181</v>
      </c>
      <c r="B1473" s="1" t="s">
        <v>218</v>
      </c>
      <c r="C1473" s="1" t="str">
        <f>VLOOKUP(B1473,'[6]Migrasi Bed'!$B$4:$E$521,4,0)</f>
        <v>SV.A015</v>
      </c>
      <c r="D1473" s="28">
        <f t="shared" si="398"/>
        <v>46204</v>
      </c>
      <c r="E1473" s="28">
        <f t="shared" si="399"/>
        <v>46188</v>
      </c>
      <c r="F1473" s="28">
        <f t="shared" si="400"/>
        <v>46195</v>
      </c>
      <c r="G1473" s="28">
        <f t="shared" si="401"/>
        <v>46201</v>
      </c>
      <c r="H1473" s="28">
        <f t="shared" si="402"/>
        <v>46189</v>
      </c>
      <c r="I1473" s="28">
        <f t="shared" si="403"/>
        <v>46196</v>
      </c>
      <c r="J1473" s="28"/>
      <c r="K1473" s="1"/>
      <c r="L1473" s="1"/>
      <c r="M1473" s="1"/>
      <c r="N1473" s="1">
        <v>0</v>
      </c>
      <c r="O1473" s="1" t="s">
        <v>379</v>
      </c>
    </row>
    <row r="1474" spans="1:15" x14ac:dyDescent="0.25">
      <c r="A1474" s="28">
        <v>46181</v>
      </c>
      <c r="B1474" s="1" t="s">
        <v>219</v>
      </c>
      <c r="C1474" s="1" t="str">
        <f>VLOOKUP(B1474,'[6]Migrasi Bed'!$B$4:$E$521,4,0)</f>
        <v>SV.A016</v>
      </c>
      <c r="D1474" s="28">
        <f t="shared" si="398"/>
        <v>46204</v>
      </c>
      <c r="E1474" s="28">
        <f t="shared" si="399"/>
        <v>46188</v>
      </c>
      <c r="F1474" s="28">
        <f t="shared" si="400"/>
        <v>46195</v>
      </c>
      <c r="G1474" s="28">
        <f t="shared" si="401"/>
        <v>46201</v>
      </c>
      <c r="H1474" s="28">
        <f t="shared" si="402"/>
        <v>46189</v>
      </c>
      <c r="I1474" s="28">
        <f t="shared" si="403"/>
        <v>46196</v>
      </c>
      <c r="J1474" s="28"/>
      <c r="K1474" s="1"/>
      <c r="L1474" s="1"/>
      <c r="M1474" s="1"/>
      <c r="N1474" s="1">
        <v>0</v>
      </c>
      <c r="O1474" s="1" t="s">
        <v>379</v>
      </c>
    </row>
    <row r="1475" spans="1:15" x14ac:dyDescent="0.25">
      <c r="A1475" s="28">
        <v>46182</v>
      </c>
      <c r="B1475" s="1" t="s">
        <v>243</v>
      </c>
      <c r="C1475" s="1" t="str">
        <f>VLOOKUP(B1475,'[6]Migrasi Bed'!$B$4:$E$521,4,0)</f>
        <v>SV.B010</v>
      </c>
      <c r="D1475" s="28">
        <f t="shared" si="398"/>
        <v>46205</v>
      </c>
      <c r="E1475" s="28">
        <f t="shared" si="399"/>
        <v>46189</v>
      </c>
      <c r="F1475" s="28">
        <f t="shared" si="400"/>
        <v>46196</v>
      </c>
      <c r="G1475" s="28">
        <f t="shared" si="401"/>
        <v>46202</v>
      </c>
      <c r="H1475" s="28">
        <f t="shared" si="402"/>
        <v>46190</v>
      </c>
      <c r="I1475" s="28">
        <f t="shared" si="403"/>
        <v>46197</v>
      </c>
      <c r="J1475" s="28"/>
      <c r="K1475" s="1"/>
      <c r="L1475" s="1"/>
      <c r="M1475" s="1"/>
      <c r="N1475" s="1">
        <v>0</v>
      </c>
      <c r="O1475" s="1" t="s">
        <v>379</v>
      </c>
    </row>
    <row r="1476" spans="1:15" x14ac:dyDescent="0.25">
      <c r="A1476" s="28">
        <v>46182</v>
      </c>
      <c r="B1476" s="1" t="s">
        <v>244</v>
      </c>
      <c r="C1476" s="1" t="str">
        <f>VLOOKUP(B1476,'[6]Migrasi Bed'!$B$4:$E$521,4,0)</f>
        <v>SV.B011</v>
      </c>
      <c r="D1476" s="28">
        <f t="shared" si="398"/>
        <v>46205</v>
      </c>
      <c r="E1476" s="28">
        <f t="shared" si="399"/>
        <v>46189</v>
      </c>
      <c r="F1476" s="28">
        <f t="shared" si="400"/>
        <v>46196</v>
      </c>
      <c r="G1476" s="28">
        <f t="shared" si="401"/>
        <v>46202</v>
      </c>
      <c r="H1476" s="28">
        <f t="shared" si="402"/>
        <v>46190</v>
      </c>
      <c r="I1476" s="28">
        <f t="shared" si="403"/>
        <v>46197</v>
      </c>
      <c r="J1476" s="28"/>
      <c r="K1476" s="1"/>
      <c r="L1476" s="1"/>
      <c r="M1476" s="1"/>
      <c r="N1476" s="1">
        <v>0</v>
      </c>
      <c r="O1476" s="1" t="s">
        <v>379</v>
      </c>
    </row>
    <row r="1477" spans="1:15" x14ac:dyDescent="0.25">
      <c r="A1477" s="28">
        <v>46182</v>
      </c>
      <c r="B1477" s="1" t="s">
        <v>245</v>
      </c>
      <c r="C1477" s="1" t="str">
        <f>VLOOKUP(B1477,'[6]Migrasi Bed'!$B$4:$E$521,4,0)</f>
        <v>SV.B012</v>
      </c>
      <c r="D1477" s="28">
        <f t="shared" si="398"/>
        <v>46205</v>
      </c>
      <c r="E1477" s="28">
        <f t="shared" si="399"/>
        <v>46189</v>
      </c>
      <c r="F1477" s="28">
        <f t="shared" si="400"/>
        <v>46196</v>
      </c>
      <c r="G1477" s="28">
        <f t="shared" si="401"/>
        <v>46202</v>
      </c>
      <c r="H1477" s="28">
        <f t="shared" si="402"/>
        <v>46190</v>
      </c>
      <c r="I1477" s="28">
        <f t="shared" si="403"/>
        <v>46197</v>
      </c>
      <c r="J1477" s="28"/>
      <c r="K1477" s="1"/>
      <c r="L1477" s="1"/>
      <c r="M1477" s="1"/>
      <c r="N1477" s="1">
        <v>0</v>
      </c>
      <c r="O1477" s="1" t="s">
        <v>379</v>
      </c>
    </row>
    <row r="1478" spans="1:15" x14ac:dyDescent="0.25">
      <c r="A1478" s="28">
        <v>46182</v>
      </c>
      <c r="B1478" s="1" t="s">
        <v>246</v>
      </c>
      <c r="C1478" s="1" t="str">
        <f>VLOOKUP(B1478,'[6]Migrasi Bed'!$B$4:$E$521,4,0)</f>
        <v>SV.B013</v>
      </c>
      <c r="D1478" s="28">
        <f t="shared" si="398"/>
        <v>46205</v>
      </c>
      <c r="E1478" s="28">
        <f t="shared" si="399"/>
        <v>46189</v>
      </c>
      <c r="F1478" s="28">
        <f t="shared" si="400"/>
        <v>46196</v>
      </c>
      <c r="G1478" s="28">
        <f t="shared" si="401"/>
        <v>46202</v>
      </c>
      <c r="H1478" s="28">
        <f t="shared" si="402"/>
        <v>46190</v>
      </c>
      <c r="I1478" s="28">
        <f t="shared" si="403"/>
        <v>46197</v>
      </c>
      <c r="J1478" s="28"/>
      <c r="K1478" s="1"/>
      <c r="L1478" s="1"/>
      <c r="M1478" s="1"/>
      <c r="N1478" s="1">
        <v>0</v>
      </c>
      <c r="O1478" s="1" t="s">
        <v>379</v>
      </c>
    </row>
    <row r="1479" spans="1:15" x14ac:dyDescent="0.25">
      <c r="A1479" s="28">
        <v>46182</v>
      </c>
      <c r="B1479" s="1" t="s">
        <v>247</v>
      </c>
      <c r="C1479" s="1" t="str">
        <f>VLOOKUP(B1479,'[6]Migrasi Bed'!$B$4:$E$521,4,0)</f>
        <v>SV.B014</v>
      </c>
      <c r="D1479" s="28">
        <f t="shared" si="398"/>
        <v>46205</v>
      </c>
      <c r="E1479" s="28">
        <f t="shared" si="399"/>
        <v>46189</v>
      </c>
      <c r="F1479" s="28">
        <f t="shared" si="400"/>
        <v>46196</v>
      </c>
      <c r="G1479" s="28">
        <f t="shared" si="401"/>
        <v>46202</v>
      </c>
      <c r="H1479" s="28">
        <f t="shared" si="402"/>
        <v>46190</v>
      </c>
      <c r="I1479" s="28">
        <f t="shared" si="403"/>
        <v>46197</v>
      </c>
      <c r="J1479" s="28"/>
      <c r="K1479" s="1"/>
      <c r="L1479" s="1"/>
      <c r="M1479" s="1"/>
      <c r="N1479" s="1">
        <v>0</v>
      </c>
      <c r="O1479" s="1" t="s">
        <v>379</v>
      </c>
    </row>
    <row r="1480" spans="1:15" x14ac:dyDescent="0.25">
      <c r="A1480" s="28">
        <v>46182</v>
      </c>
      <c r="B1480" s="1" t="s">
        <v>248</v>
      </c>
      <c r="C1480" s="1" t="str">
        <f>VLOOKUP(B1480,'[6]Migrasi Bed'!$B$4:$E$521,4,0)</f>
        <v>SV.B015</v>
      </c>
      <c r="D1480" s="28">
        <f t="shared" si="398"/>
        <v>46205</v>
      </c>
      <c r="E1480" s="28">
        <f t="shared" si="399"/>
        <v>46189</v>
      </c>
      <c r="F1480" s="28">
        <f t="shared" si="400"/>
        <v>46196</v>
      </c>
      <c r="G1480" s="28">
        <f t="shared" si="401"/>
        <v>46202</v>
      </c>
      <c r="H1480" s="28">
        <f t="shared" si="402"/>
        <v>46190</v>
      </c>
      <c r="I1480" s="28">
        <f t="shared" si="403"/>
        <v>46197</v>
      </c>
      <c r="J1480" s="28"/>
      <c r="K1480" s="1"/>
      <c r="L1480" s="1"/>
      <c r="M1480" s="1"/>
      <c r="N1480" s="1">
        <v>0</v>
      </c>
      <c r="O1480" s="1" t="s">
        <v>379</v>
      </c>
    </row>
    <row r="1481" spans="1:15" x14ac:dyDescent="0.25">
      <c r="A1481" s="28">
        <v>46182</v>
      </c>
      <c r="B1481" s="1" t="s">
        <v>249</v>
      </c>
      <c r="C1481" s="1" t="str">
        <f>VLOOKUP(B1481,'[6]Migrasi Bed'!$B$4:$E$521,4,0)</f>
        <v>SV.B016</v>
      </c>
      <c r="D1481" s="28">
        <f t="shared" si="398"/>
        <v>46205</v>
      </c>
      <c r="E1481" s="28">
        <f t="shared" si="399"/>
        <v>46189</v>
      </c>
      <c r="F1481" s="28">
        <f t="shared" si="400"/>
        <v>46196</v>
      </c>
      <c r="G1481" s="28">
        <f t="shared" si="401"/>
        <v>46202</v>
      </c>
      <c r="H1481" s="28">
        <f t="shared" si="402"/>
        <v>46190</v>
      </c>
      <c r="I1481" s="28">
        <f t="shared" si="403"/>
        <v>46197</v>
      </c>
      <c r="J1481" s="28"/>
      <c r="K1481" s="1"/>
      <c r="L1481" s="1"/>
      <c r="M1481" s="1"/>
      <c r="N1481" s="1">
        <v>0</v>
      </c>
      <c r="O1481" s="1" t="s">
        <v>379</v>
      </c>
    </row>
    <row r="1482" spans="1:15" x14ac:dyDescent="0.25">
      <c r="A1482" s="28">
        <v>46183</v>
      </c>
      <c r="B1482" s="1" t="s">
        <v>206</v>
      </c>
      <c r="C1482" s="1" t="str">
        <f>VLOOKUP(B1482,'[6]Migrasi Bed'!$B$4:$E$521,4,0)</f>
        <v>SV.A003</v>
      </c>
      <c r="D1482" s="28">
        <f t="shared" si="398"/>
        <v>46206</v>
      </c>
      <c r="E1482" s="28">
        <f t="shared" si="399"/>
        <v>46190</v>
      </c>
      <c r="F1482" s="28">
        <f t="shared" si="400"/>
        <v>46197</v>
      </c>
      <c r="G1482" s="28">
        <f t="shared" si="401"/>
        <v>46203</v>
      </c>
      <c r="H1482" s="28">
        <f t="shared" si="402"/>
        <v>46191</v>
      </c>
      <c r="I1482" s="28">
        <f t="shared" si="403"/>
        <v>46198</v>
      </c>
      <c r="J1482" s="28"/>
      <c r="K1482" s="1"/>
      <c r="L1482" s="1"/>
      <c r="M1482" s="1"/>
      <c r="N1482" s="1">
        <v>0</v>
      </c>
      <c r="O1482" s="1" t="s">
        <v>379</v>
      </c>
    </row>
    <row r="1483" spans="1:15" x14ac:dyDescent="0.25">
      <c r="A1483" s="28">
        <v>46183</v>
      </c>
      <c r="B1483" s="1" t="s">
        <v>207</v>
      </c>
      <c r="C1483" s="1" t="str">
        <f>VLOOKUP(B1483,'[6]Migrasi Bed'!$B$4:$E$521,4,0)</f>
        <v>SV.A004</v>
      </c>
      <c r="D1483" s="28">
        <f t="shared" si="398"/>
        <v>46206</v>
      </c>
      <c r="E1483" s="28">
        <f t="shared" si="399"/>
        <v>46190</v>
      </c>
      <c r="F1483" s="28">
        <f t="shared" si="400"/>
        <v>46197</v>
      </c>
      <c r="G1483" s="28">
        <f t="shared" si="401"/>
        <v>46203</v>
      </c>
      <c r="H1483" s="28">
        <f t="shared" si="402"/>
        <v>46191</v>
      </c>
      <c r="I1483" s="28">
        <f t="shared" si="403"/>
        <v>46198</v>
      </c>
      <c r="J1483" s="28"/>
      <c r="K1483" s="1"/>
      <c r="L1483" s="1"/>
      <c r="M1483" s="1"/>
      <c r="N1483" s="1">
        <v>0</v>
      </c>
      <c r="O1483" s="1" t="s">
        <v>379</v>
      </c>
    </row>
    <row r="1484" spans="1:15" x14ac:dyDescent="0.25">
      <c r="A1484" s="28">
        <v>46183</v>
      </c>
      <c r="B1484" s="1" t="s">
        <v>208</v>
      </c>
      <c r="C1484" s="1" t="str">
        <f>VLOOKUP(B1484,'[6]Migrasi Bed'!$B$4:$E$521,4,0)</f>
        <v>SV.A005</v>
      </c>
      <c r="D1484" s="28">
        <f t="shared" si="398"/>
        <v>46206</v>
      </c>
      <c r="E1484" s="28">
        <f t="shared" si="399"/>
        <v>46190</v>
      </c>
      <c r="F1484" s="28">
        <f t="shared" si="400"/>
        <v>46197</v>
      </c>
      <c r="G1484" s="28">
        <f t="shared" si="401"/>
        <v>46203</v>
      </c>
      <c r="H1484" s="28">
        <f t="shared" si="402"/>
        <v>46191</v>
      </c>
      <c r="I1484" s="28">
        <f t="shared" si="403"/>
        <v>46198</v>
      </c>
      <c r="J1484" s="28"/>
      <c r="K1484" s="1"/>
      <c r="L1484" s="1"/>
      <c r="M1484" s="1"/>
      <c r="N1484" s="1">
        <v>0</v>
      </c>
      <c r="O1484" s="1" t="s">
        <v>379</v>
      </c>
    </row>
    <row r="1485" spans="1:15" x14ac:dyDescent="0.25">
      <c r="A1485" s="28">
        <v>46183</v>
      </c>
      <c r="B1485" s="1" t="s">
        <v>209</v>
      </c>
      <c r="C1485" s="1" t="str">
        <f>VLOOKUP(B1485,'[6]Migrasi Bed'!$B$4:$E$521,4,0)</f>
        <v>SV.A006</v>
      </c>
      <c r="D1485" s="28">
        <f t="shared" si="398"/>
        <v>46206</v>
      </c>
      <c r="E1485" s="28">
        <f t="shared" si="399"/>
        <v>46190</v>
      </c>
      <c r="F1485" s="28">
        <f t="shared" si="400"/>
        <v>46197</v>
      </c>
      <c r="G1485" s="28">
        <f t="shared" si="401"/>
        <v>46203</v>
      </c>
      <c r="H1485" s="28">
        <f t="shared" si="402"/>
        <v>46191</v>
      </c>
      <c r="I1485" s="28">
        <f t="shared" si="403"/>
        <v>46198</v>
      </c>
      <c r="J1485" s="28"/>
      <c r="K1485" s="1"/>
      <c r="L1485" s="1"/>
      <c r="M1485" s="1"/>
      <c r="N1485" s="1">
        <v>0</v>
      </c>
      <c r="O1485" s="1" t="s">
        <v>379</v>
      </c>
    </row>
    <row r="1486" spans="1:15" x14ac:dyDescent="0.25">
      <c r="A1486" s="28">
        <v>46183</v>
      </c>
      <c r="B1486" s="1" t="s">
        <v>210</v>
      </c>
      <c r="C1486" s="1" t="str">
        <f>VLOOKUP(B1486,'[6]Migrasi Bed'!$B$4:$E$521,4,0)</f>
        <v>SV.A007</v>
      </c>
      <c r="D1486" s="28">
        <f t="shared" si="398"/>
        <v>46206</v>
      </c>
      <c r="E1486" s="28">
        <f t="shared" si="399"/>
        <v>46190</v>
      </c>
      <c r="F1486" s="28">
        <f t="shared" si="400"/>
        <v>46197</v>
      </c>
      <c r="G1486" s="28">
        <f t="shared" si="401"/>
        <v>46203</v>
      </c>
      <c r="H1486" s="28">
        <f t="shared" si="402"/>
        <v>46191</v>
      </c>
      <c r="I1486" s="28">
        <f t="shared" si="403"/>
        <v>46198</v>
      </c>
      <c r="J1486" s="28"/>
      <c r="K1486" s="1"/>
      <c r="L1486" s="1"/>
      <c r="M1486" s="1"/>
      <c r="N1486" s="1">
        <v>0</v>
      </c>
      <c r="O1486" s="1" t="s">
        <v>379</v>
      </c>
    </row>
    <row r="1487" spans="1:15" x14ac:dyDescent="0.25">
      <c r="A1487" s="28">
        <v>46183</v>
      </c>
      <c r="B1487" s="1" t="s">
        <v>211</v>
      </c>
      <c r="C1487" s="1" t="str">
        <f>VLOOKUP(B1487,'[6]Migrasi Bed'!$B$4:$E$521,4,0)</f>
        <v>SV.A008</v>
      </c>
      <c r="D1487" s="28">
        <f t="shared" si="398"/>
        <v>46206</v>
      </c>
      <c r="E1487" s="28">
        <f t="shared" si="399"/>
        <v>46190</v>
      </c>
      <c r="F1487" s="28">
        <f t="shared" si="400"/>
        <v>46197</v>
      </c>
      <c r="G1487" s="28">
        <f t="shared" si="401"/>
        <v>46203</v>
      </c>
      <c r="H1487" s="28">
        <f t="shared" si="402"/>
        <v>46191</v>
      </c>
      <c r="I1487" s="28">
        <f t="shared" si="403"/>
        <v>46198</v>
      </c>
      <c r="J1487" s="28"/>
      <c r="K1487" s="1"/>
      <c r="L1487" s="1"/>
      <c r="M1487" s="1"/>
      <c r="N1487" s="1">
        <v>0</v>
      </c>
      <c r="O1487" s="1" t="s">
        <v>379</v>
      </c>
    </row>
    <row r="1488" spans="1:15" x14ac:dyDescent="0.25">
      <c r="A1488" s="28">
        <v>46183</v>
      </c>
      <c r="B1488" s="1" t="s">
        <v>212</v>
      </c>
      <c r="C1488" s="1" t="str">
        <f>VLOOKUP(B1488,'[6]Migrasi Bed'!$B$4:$E$521,4,0)</f>
        <v>SV.A009</v>
      </c>
      <c r="D1488" s="28">
        <f t="shared" si="398"/>
        <v>46206</v>
      </c>
      <c r="E1488" s="28">
        <f t="shared" si="399"/>
        <v>46190</v>
      </c>
      <c r="F1488" s="28">
        <f t="shared" si="400"/>
        <v>46197</v>
      </c>
      <c r="G1488" s="28">
        <f t="shared" si="401"/>
        <v>46203</v>
      </c>
      <c r="H1488" s="28">
        <f t="shared" si="402"/>
        <v>46191</v>
      </c>
      <c r="I1488" s="28">
        <f t="shared" si="403"/>
        <v>46198</v>
      </c>
      <c r="J1488" s="28"/>
      <c r="K1488" s="1"/>
      <c r="L1488" s="1"/>
      <c r="M1488" s="1"/>
      <c r="N1488" s="1">
        <v>0</v>
      </c>
      <c r="O1488" s="1" t="s">
        <v>379</v>
      </c>
    </row>
    <row r="1489" spans="1:15" x14ac:dyDescent="0.25">
      <c r="A1489" s="28">
        <v>46184</v>
      </c>
      <c r="B1489" s="1" t="s">
        <v>236</v>
      </c>
      <c r="C1489" s="1" t="str">
        <f>VLOOKUP(B1489,'[6]Migrasi Bed'!$B$4:$E$521,4,0)</f>
        <v>SV.B003</v>
      </c>
      <c r="D1489" s="28">
        <f t="shared" si="398"/>
        <v>46207</v>
      </c>
      <c r="E1489" s="28">
        <f t="shared" si="399"/>
        <v>46191</v>
      </c>
      <c r="F1489" s="28">
        <f t="shared" si="400"/>
        <v>46198</v>
      </c>
      <c r="G1489" s="28">
        <f t="shared" si="401"/>
        <v>46204</v>
      </c>
      <c r="H1489" s="28">
        <f t="shared" si="402"/>
        <v>46192</v>
      </c>
      <c r="I1489" s="28">
        <f t="shared" si="403"/>
        <v>46199</v>
      </c>
      <c r="J1489" s="28"/>
      <c r="K1489" s="1"/>
      <c r="L1489" s="1"/>
      <c r="M1489" s="1"/>
      <c r="N1489" s="1">
        <v>0</v>
      </c>
      <c r="O1489" s="1" t="s">
        <v>379</v>
      </c>
    </row>
    <row r="1490" spans="1:15" x14ac:dyDescent="0.25">
      <c r="A1490" s="28">
        <v>46184</v>
      </c>
      <c r="B1490" s="1" t="s">
        <v>237</v>
      </c>
      <c r="C1490" s="1" t="str">
        <f>VLOOKUP(B1490,'[6]Migrasi Bed'!$B$4:$E$521,4,0)</f>
        <v>SV.B004</v>
      </c>
      <c r="D1490" s="28">
        <f t="shared" si="398"/>
        <v>46207</v>
      </c>
      <c r="E1490" s="28">
        <f t="shared" si="399"/>
        <v>46191</v>
      </c>
      <c r="F1490" s="28">
        <f t="shared" si="400"/>
        <v>46198</v>
      </c>
      <c r="G1490" s="28">
        <f t="shared" si="401"/>
        <v>46204</v>
      </c>
      <c r="H1490" s="28">
        <f t="shared" si="402"/>
        <v>46192</v>
      </c>
      <c r="I1490" s="28">
        <f t="shared" si="403"/>
        <v>46199</v>
      </c>
      <c r="J1490" s="28"/>
      <c r="K1490" s="1"/>
      <c r="L1490" s="1"/>
      <c r="M1490" s="1"/>
      <c r="N1490" s="1">
        <v>0</v>
      </c>
      <c r="O1490" s="1" t="s">
        <v>379</v>
      </c>
    </row>
    <row r="1491" spans="1:15" x14ac:dyDescent="0.25">
      <c r="A1491" s="28">
        <v>46184</v>
      </c>
      <c r="B1491" s="1" t="s">
        <v>238</v>
      </c>
      <c r="C1491" s="1" t="str">
        <f>VLOOKUP(B1491,'[6]Migrasi Bed'!$B$4:$E$521,4,0)</f>
        <v>SV.B005</v>
      </c>
      <c r="D1491" s="28">
        <f t="shared" si="398"/>
        <v>46207</v>
      </c>
      <c r="E1491" s="28">
        <f t="shared" si="399"/>
        <v>46191</v>
      </c>
      <c r="F1491" s="28">
        <f t="shared" si="400"/>
        <v>46198</v>
      </c>
      <c r="G1491" s="28">
        <f t="shared" si="401"/>
        <v>46204</v>
      </c>
      <c r="H1491" s="28">
        <f t="shared" si="402"/>
        <v>46192</v>
      </c>
      <c r="I1491" s="28">
        <f t="shared" si="403"/>
        <v>46199</v>
      </c>
      <c r="J1491" s="28"/>
      <c r="K1491" s="1"/>
      <c r="L1491" s="1"/>
      <c r="M1491" s="1"/>
      <c r="N1491" s="1">
        <v>0</v>
      </c>
      <c r="O1491" s="1" t="s">
        <v>379</v>
      </c>
    </row>
    <row r="1492" spans="1:15" x14ac:dyDescent="0.25">
      <c r="A1492" s="28">
        <v>46184</v>
      </c>
      <c r="B1492" s="1" t="s">
        <v>239</v>
      </c>
      <c r="C1492" s="1" t="str">
        <f>VLOOKUP(B1492,'[6]Migrasi Bed'!$B$4:$E$521,4,0)</f>
        <v>SV.B006</v>
      </c>
      <c r="D1492" s="28">
        <f t="shared" si="398"/>
        <v>46207</v>
      </c>
      <c r="E1492" s="28">
        <f t="shared" si="399"/>
        <v>46191</v>
      </c>
      <c r="F1492" s="28">
        <f t="shared" si="400"/>
        <v>46198</v>
      </c>
      <c r="G1492" s="28">
        <f t="shared" si="401"/>
        <v>46204</v>
      </c>
      <c r="H1492" s="28">
        <f t="shared" si="402"/>
        <v>46192</v>
      </c>
      <c r="I1492" s="28">
        <f t="shared" si="403"/>
        <v>46199</v>
      </c>
      <c r="J1492" s="28"/>
      <c r="K1492" s="1"/>
      <c r="L1492" s="1"/>
      <c r="M1492" s="1"/>
      <c r="N1492" s="1">
        <v>0</v>
      </c>
      <c r="O1492" s="1" t="s">
        <v>379</v>
      </c>
    </row>
    <row r="1493" spans="1:15" x14ac:dyDescent="0.25">
      <c r="A1493" s="28">
        <v>46184</v>
      </c>
      <c r="B1493" s="1" t="s">
        <v>240</v>
      </c>
      <c r="C1493" s="1" t="str">
        <f>VLOOKUP(B1493,'[6]Migrasi Bed'!$B$4:$E$521,4,0)</f>
        <v>SV.B007</v>
      </c>
      <c r="D1493" s="28">
        <f t="shared" si="398"/>
        <v>46207</v>
      </c>
      <c r="E1493" s="28">
        <f t="shared" si="399"/>
        <v>46191</v>
      </c>
      <c r="F1493" s="28">
        <f t="shared" si="400"/>
        <v>46198</v>
      </c>
      <c r="G1493" s="28">
        <f t="shared" si="401"/>
        <v>46204</v>
      </c>
      <c r="H1493" s="28">
        <f t="shared" si="402"/>
        <v>46192</v>
      </c>
      <c r="I1493" s="28">
        <f t="shared" si="403"/>
        <v>46199</v>
      </c>
      <c r="J1493" s="28"/>
      <c r="K1493" s="1"/>
      <c r="L1493" s="1"/>
      <c r="M1493" s="1"/>
      <c r="N1493" s="1">
        <v>0</v>
      </c>
      <c r="O1493" s="1" t="s">
        <v>379</v>
      </c>
    </row>
    <row r="1494" spans="1:15" x14ac:dyDescent="0.25">
      <c r="A1494" s="28">
        <v>46184</v>
      </c>
      <c r="B1494" s="1" t="s">
        <v>241</v>
      </c>
      <c r="C1494" s="1" t="str">
        <f>VLOOKUP(B1494,'[6]Migrasi Bed'!$B$4:$E$521,4,0)</f>
        <v>SV.B008</v>
      </c>
      <c r="D1494" s="28">
        <f t="shared" si="398"/>
        <v>46207</v>
      </c>
      <c r="E1494" s="28">
        <f t="shared" si="399"/>
        <v>46191</v>
      </c>
      <c r="F1494" s="28">
        <f t="shared" si="400"/>
        <v>46198</v>
      </c>
      <c r="G1494" s="28">
        <f t="shared" si="401"/>
        <v>46204</v>
      </c>
      <c r="H1494" s="28">
        <f t="shared" si="402"/>
        <v>46192</v>
      </c>
      <c r="I1494" s="28">
        <f t="shared" si="403"/>
        <v>46199</v>
      </c>
      <c r="J1494" s="28"/>
      <c r="K1494" s="1"/>
      <c r="L1494" s="1"/>
      <c r="M1494" s="1"/>
      <c r="N1494" s="1">
        <v>0</v>
      </c>
      <c r="O1494" s="1" t="s">
        <v>379</v>
      </c>
    </row>
    <row r="1495" spans="1:15" x14ac:dyDescent="0.25">
      <c r="A1495" s="28">
        <v>46184</v>
      </c>
      <c r="B1495" s="1" t="s">
        <v>242</v>
      </c>
      <c r="C1495" s="1" t="str">
        <f>VLOOKUP(B1495,'[6]Migrasi Bed'!$B$4:$E$521,4,0)</f>
        <v>SV.B009</v>
      </c>
      <c r="D1495" s="28">
        <f t="shared" si="398"/>
        <v>46207</v>
      </c>
      <c r="E1495" s="28">
        <f t="shared" si="399"/>
        <v>46191</v>
      </c>
      <c r="F1495" s="28">
        <f t="shared" si="400"/>
        <v>46198</v>
      </c>
      <c r="G1495" s="28">
        <f t="shared" si="401"/>
        <v>46204</v>
      </c>
      <c r="H1495" s="28">
        <f t="shared" si="402"/>
        <v>46192</v>
      </c>
      <c r="I1495" s="28">
        <f t="shared" si="403"/>
        <v>46199</v>
      </c>
      <c r="J1495" s="28"/>
      <c r="K1495" s="1"/>
      <c r="L1495" s="1"/>
      <c r="M1495" s="1"/>
      <c r="N1495" s="1">
        <v>0</v>
      </c>
      <c r="O1495" s="1" t="s">
        <v>379</v>
      </c>
    </row>
    <row r="1496" spans="1:15" x14ac:dyDescent="0.25">
      <c r="A1496" s="71">
        <v>46185</v>
      </c>
      <c r="B1496" s="1" t="s">
        <v>204</v>
      </c>
      <c r="C1496" s="3" t="str">
        <f>VLOOKUP(B1496,'[5]Migrasi Bed'!$B$4:$E$521,4,0)</f>
        <v>SV.A001</v>
      </c>
      <c r="D1496" s="28">
        <f t="shared" si="398"/>
        <v>46208</v>
      </c>
      <c r="E1496" s="28">
        <f t="shared" si="399"/>
        <v>46192</v>
      </c>
      <c r="F1496" s="28">
        <f t="shared" si="400"/>
        <v>46199</v>
      </c>
      <c r="G1496" s="28">
        <f t="shared" si="401"/>
        <v>46205</v>
      </c>
      <c r="H1496" s="28">
        <f t="shared" si="402"/>
        <v>46193</v>
      </c>
      <c r="I1496" s="28">
        <f t="shared" si="403"/>
        <v>46200</v>
      </c>
      <c r="J1496" s="28"/>
      <c r="K1496" s="1"/>
      <c r="L1496" s="1"/>
      <c r="M1496" s="1"/>
      <c r="N1496" s="1">
        <v>0</v>
      </c>
      <c r="O1496" s="1" t="s">
        <v>379</v>
      </c>
    </row>
    <row r="1497" spans="1:15" x14ac:dyDescent="0.25">
      <c r="A1497" s="71">
        <v>46185</v>
      </c>
      <c r="B1497" s="1" t="s">
        <v>205</v>
      </c>
      <c r="C1497" s="3" t="str">
        <f>VLOOKUP(B1497,'[5]Migrasi Bed'!$B$4:$E$521,4,0)</f>
        <v>SV.A002</v>
      </c>
      <c r="D1497" s="28">
        <f t="shared" si="398"/>
        <v>46208</v>
      </c>
      <c r="E1497" s="28">
        <f t="shared" si="399"/>
        <v>46192</v>
      </c>
      <c r="F1497" s="28">
        <f t="shared" si="400"/>
        <v>46199</v>
      </c>
      <c r="G1497" s="28">
        <f t="shared" si="401"/>
        <v>46205</v>
      </c>
      <c r="H1497" s="28">
        <f t="shared" si="402"/>
        <v>46193</v>
      </c>
      <c r="I1497" s="28">
        <f t="shared" si="403"/>
        <v>46200</v>
      </c>
      <c r="J1497" s="28"/>
      <c r="K1497" s="1"/>
      <c r="L1497" s="1"/>
      <c r="M1497" s="1"/>
      <c r="N1497" s="1">
        <v>0</v>
      </c>
      <c r="O1497" s="1" t="s">
        <v>379</v>
      </c>
    </row>
    <row r="1498" spans="1:15" x14ac:dyDescent="0.25">
      <c r="A1498" s="71">
        <v>46185</v>
      </c>
      <c r="B1498" s="1" t="s">
        <v>234</v>
      </c>
      <c r="C1498" s="3" t="str">
        <f>VLOOKUP(B1498,'[5]Migrasi Bed'!$B$4:$E$521,4,0)</f>
        <v>SV.B001</v>
      </c>
      <c r="D1498" s="28">
        <f t="shared" si="398"/>
        <v>46208</v>
      </c>
      <c r="E1498" s="28">
        <f t="shared" si="399"/>
        <v>46192</v>
      </c>
      <c r="F1498" s="28">
        <f t="shared" si="400"/>
        <v>46199</v>
      </c>
      <c r="G1498" s="28">
        <f t="shared" si="401"/>
        <v>46205</v>
      </c>
      <c r="H1498" s="28">
        <f t="shared" si="402"/>
        <v>46193</v>
      </c>
      <c r="I1498" s="28">
        <f t="shared" si="403"/>
        <v>46200</v>
      </c>
      <c r="J1498" s="28"/>
      <c r="K1498" s="1"/>
      <c r="L1498" s="1"/>
      <c r="M1498" s="1"/>
      <c r="N1498" s="1">
        <v>0</v>
      </c>
      <c r="O1498" s="1" t="s">
        <v>379</v>
      </c>
    </row>
    <row r="1499" spans="1:15" x14ac:dyDescent="0.25">
      <c r="A1499" s="71">
        <v>46185</v>
      </c>
      <c r="B1499" s="1" t="s">
        <v>235</v>
      </c>
      <c r="C1499" s="3" t="str">
        <f>VLOOKUP(B1499,'[5]Migrasi Bed'!$B$4:$E$521,4,0)</f>
        <v>SV.B002</v>
      </c>
      <c r="D1499" s="28">
        <f t="shared" si="398"/>
        <v>46208</v>
      </c>
      <c r="E1499" s="28">
        <f t="shared" si="399"/>
        <v>46192</v>
      </c>
      <c r="F1499" s="28">
        <f t="shared" si="400"/>
        <v>46199</v>
      </c>
      <c r="G1499" s="28">
        <f t="shared" si="401"/>
        <v>46205</v>
      </c>
      <c r="H1499" s="28">
        <f t="shared" si="402"/>
        <v>46193</v>
      </c>
      <c r="I1499" s="28">
        <f t="shared" si="403"/>
        <v>46200</v>
      </c>
      <c r="J1499" s="28"/>
      <c r="K1499" s="1"/>
      <c r="L1499" s="1"/>
      <c r="M1499" s="1"/>
      <c r="N1499" s="1">
        <v>0</v>
      </c>
      <c r="O1499" s="1" t="s">
        <v>379</v>
      </c>
    </row>
    <row r="1500" spans="1:15" x14ac:dyDescent="0.25">
      <c r="A1500" s="71">
        <v>46185</v>
      </c>
      <c r="B1500" s="1" t="s">
        <v>391</v>
      </c>
      <c r="C1500" s="3" t="str">
        <f>VLOOKUP(B1500,'[5]Migrasi Bed'!$B$4:$E$521,4,0)</f>
        <v>SV.C003</v>
      </c>
      <c r="D1500" s="28">
        <f t="shared" si="398"/>
        <v>46208</v>
      </c>
      <c r="E1500" s="28">
        <f t="shared" si="399"/>
        <v>46192</v>
      </c>
      <c r="F1500" s="28">
        <f t="shared" si="400"/>
        <v>46199</v>
      </c>
      <c r="G1500" s="28">
        <f t="shared" si="401"/>
        <v>46205</v>
      </c>
      <c r="H1500" s="28">
        <f t="shared" si="402"/>
        <v>46193</v>
      </c>
      <c r="I1500" s="28">
        <f t="shared" si="403"/>
        <v>46200</v>
      </c>
      <c r="J1500" s="28"/>
      <c r="K1500" s="1"/>
      <c r="L1500" s="1"/>
      <c r="M1500" s="1"/>
      <c r="N1500" s="1">
        <v>0</v>
      </c>
      <c r="O1500" s="1" t="s">
        <v>379</v>
      </c>
    </row>
    <row r="1501" spans="1:15" x14ac:dyDescent="0.25">
      <c r="A1501" s="71">
        <v>46185</v>
      </c>
      <c r="B1501" s="1" t="s">
        <v>392</v>
      </c>
      <c r="C1501" s="3" t="str">
        <f>VLOOKUP(B1501,'[5]Migrasi Bed'!$B$4:$E$521,4,0)</f>
        <v>SV.C004</v>
      </c>
      <c r="D1501" s="28">
        <f t="shared" si="398"/>
        <v>46208</v>
      </c>
      <c r="E1501" s="28">
        <f t="shared" si="399"/>
        <v>46192</v>
      </c>
      <c r="F1501" s="28">
        <f t="shared" si="400"/>
        <v>46199</v>
      </c>
      <c r="G1501" s="28">
        <f t="shared" si="401"/>
        <v>46205</v>
      </c>
      <c r="H1501" s="28">
        <f t="shared" si="402"/>
        <v>46193</v>
      </c>
      <c r="I1501" s="28">
        <f t="shared" si="403"/>
        <v>46200</v>
      </c>
      <c r="J1501" s="28"/>
      <c r="K1501" s="1"/>
      <c r="L1501" s="1"/>
      <c r="M1501" s="1"/>
      <c r="N1501" s="1">
        <v>0</v>
      </c>
      <c r="O1501" s="1" t="s">
        <v>379</v>
      </c>
    </row>
    <row r="1502" spans="1:15" x14ac:dyDescent="0.25">
      <c r="A1502" s="71">
        <v>46185</v>
      </c>
      <c r="B1502" s="1" t="s">
        <v>266</v>
      </c>
      <c r="C1502" s="3" t="str">
        <f>VLOOKUP(B1502,'[5]Migrasi Bed'!$B$4:$E$521,4,0)</f>
        <v>SV.C006</v>
      </c>
      <c r="D1502" s="28">
        <f t="shared" si="398"/>
        <v>46208</v>
      </c>
      <c r="E1502" s="28">
        <f t="shared" si="399"/>
        <v>46192</v>
      </c>
      <c r="F1502" s="28">
        <f t="shared" si="400"/>
        <v>46199</v>
      </c>
      <c r="G1502" s="28">
        <f t="shared" si="401"/>
        <v>46205</v>
      </c>
      <c r="H1502" s="28">
        <f t="shared" si="402"/>
        <v>46193</v>
      </c>
      <c r="I1502" s="28">
        <f t="shared" si="403"/>
        <v>46200</v>
      </c>
      <c r="J1502" s="28"/>
      <c r="K1502" s="1"/>
      <c r="L1502" s="1"/>
      <c r="M1502" s="1"/>
      <c r="N1502" s="1">
        <v>0</v>
      </c>
      <c r="O1502" s="1" t="s">
        <v>379</v>
      </c>
    </row>
    <row r="1503" spans="1:15" x14ac:dyDescent="0.25">
      <c r="A1503" s="71">
        <v>46185</v>
      </c>
      <c r="B1503" s="1" t="s">
        <v>267</v>
      </c>
      <c r="C1503" s="3" t="str">
        <f>VLOOKUP(B1503,'[5]Migrasi Bed'!$B$4:$E$521,4,0)</f>
        <v>SV.C007</v>
      </c>
      <c r="D1503" s="28">
        <f t="shared" si="398"/>
        <v>46208</v>
      </c>
      <c r="E1503" s="28">
        <f t="shared" si="399"/>
        <v>46192</v>
      </c>
      <c r="F1503" s="28">
        <f t="shared" si="400"/>
        <v>46199</v>
      </c>
      <c r="G1503" s="28">
        <f t="shared" si="401"/>
        <v>46205</v>
      </c>
      <c r="H1503" s="28">
        <f t="shared" si="402"/>
        <v>46193</v>
      </c>
      <c r="I1503" s="28">
        <f t="shared" si="403"/>
        <v>46200</v>
      </c>
      <c r="J1503" s="28"/>
      <c r="K1503" s="1"/>
      <c r="L1503" s="1"/>
      <c r="M1503" s="1"/>
      <c r="N1503" s="1">
        <v>0</v>
      </c>
      <c r="O1503" s="1" t="s">
        <v>379</v>
      </c>
    </row>
    <row r="1504" spans="1:15" x14ac:dyDescent="0.25">
      <c r="A1504" s="71">
        <v>46186</v>
      </c>
      <c r="B1504" s="1" t="s">
        <v>268</v>
      </c>
      <c r="C1504" s="3" t="str">
        <f>VLOOKUP(B1504,'[5]Migrasi Bed'!$B$4:$E$521,4,0)</f>
        <v>ST.F001</v>
      </c>
      <c r="D1504" s="28">
        <f t="shared" si="398"/>
        <v>46209</v>
      </c>
      <c r="E1504" s="28">
        <f t="shared" si="399"/>
        <v>46193</v>
      </c>
      <c r="F1504" s="28">
        <f t="shared" si="400"/>
        <v>46200</v>
      </c>
      <c r="G1504" s="28">
        <f t="shared" si="401"/>
        <v>46206</v>
      </c>
      <c r="H1504" s="28">
        <f t="shared" si="402"/>
        <v>46194</v>
      </c>
      <c r="I1504" s="28">
        <f t="shared" si="403"/>
        <v>46201</v>
      </c>
      <c r="J1504" s="28"/>
      <c r="K1504" s="1"/>
      <c r="L1504" s="1"/>
      <c r="M1504" s="1"/>
      <c r="N1504" s="1">
        <v>0</v>
      </c>
      <c r="O1504" s="1" t="s">
        <v>379</v>
      </c>
    </row>
    <row r="1505" spans="1:15" x14ac:dyDescent="0.25">
      <c r="A1505" s="71">
        <v>46186</v>
      </c>
      <c r="B1505" s="1" t="s">
        <v>269</v>
      </c>
      <c r="C1505" s="3" t="str">
        <f>VLOOKUP(B1505,'[5]Migrasi Bed'!$B$4:$E$521,4,0)</f>
        <v>ST.F002</v>
      </c>
      <c r="D1505" s="28">
        <f t="shared" si="398"/>
        <v>46209</v>
      </c>
      <c r="E1505" s="28">
        <f t="shared" si="399"/>
        <v>46193</v>
      </c>
      <c r="F1505" s="28">
        <f t="shared" si="400"/>
        <v>46200</v>
      </c>
      <c r="G1505" s="28">
        <f t="shared" si="401"/>
        <v>46206</v>
      </c>
      <c r="H1505" s="28">
        <f t="shared" si="402"/>
        <v>46194</v>
      </c>
      <c r="I1505" s="28">
        <f t="shared" si="403"/>
        <v>46201</v>
      </c>
      <c r="J1505" s="28"/>
      <c r="K1505" s="1"/>
      <c r="L1505" s="1"/>
      <c r="M1505" s="1"/>
      <c r="N1505" s="1">
        <v>0</v>
      </c>
      <c r="O1505" s="1" t="s">
        <v>379</v>
      </c>
    </row>
    <row r="1506" spans="1:15" x14ac:dyDescent="0.25">
      <c r="A1506" s="71">
        <v>46186</v>
      </c>
      <c r="B1506" s="1" t="s">
        <v>270</v>
      </c>
      <c r="C1506" s="3" t="str">
        <f>VLOOKUP(B1506,'[5]Migrasi Bed'!$B$4:$E$521,4,0)</f>
        <v>ST.F003</v>
      </c>
      <c r="D1506" s="28">
        <f t="shared" ref="D1506:D1569" si="404">A1506+23</f>
        <v>46209</v>
      </c>
      <c r="E1506" s="28">
        <f t="shared" ref="E1506:E1569" si="405">A1506+7</f>
        <v>46193</v>
      </c>
      <c r="F1506" s="28">
        <f t="shared" ref="F1506:F1569" si="406">A1506+14</f>
        <v>46200</v>
      </c>
      <c r="G1506" s="28">
        <f t="shared" ref="G1506:G1569" si="407">A1506+20</f>
        <v>46206</v>
      </c>
      <c r="H1506" s="28">
        <f t="shared" ref="H1506:H1569" si="408">A1506+8</f>
        <v>46194</v>
      </c>
      <c r="I1506" s="28">
        <f t="shared" ref="I1506:I1569" si="409">A1506+15</f>
        <v>46201</v>
      </c>
      <c r="J1506" s="28"/>
      <c r="K1506" s="1"/>
      <c r="L1506" s="1"/>
      <c r="M1506" s="1"/>
      <c r="N1506" s="1">
        <v>0</v>
      </c>
      <c r="O1506" s="1" t="s">
        <v>379</v>
      </c>
    </row>
    <row r="1507" spans="1:15" x14ac:dyDescent="0.25">
      <c r="A1507" s="71">
        <v>46186</v>
      </c>
      <c r="B1507" s="1" t="s">
        <v>271</v>
      </c>
      <c r="C1507" s="3" t="str">
        <f>VLOOKUP(B1507,'[5]Migrasi Bed'!$B$4:$E$521,4,0)</f>
        <v>ST.F004</v>
      </c>
      <c r="D1507" s="28">
        <f t="shared" si="404"/>
        <v>46209</v>
      </c>
      <c r="E1507" s="28">
        <f t="shared" si="405"/>
        <v>46193</v>
      </c>
      <c r="F1507" s="28">
        <f t="shared" si="406"/>
        <v>46200</v>
      </c>
      <c r="G1507" s="28">
        <f t="shared" si="407"/>
        <v>46206</v>
      </c>
      <c r="H1507" s="28">
        <f t="shared" si="408"/>
        <v>46194</v>
      </c>
      <c r="I1507" s="28">
        <f t="shared" si="409"/>
        <v>46201</v>
      </c>
      <c r="J1507" s="28"/>
      <c r="K1507" s="1"/>
      <c r="L1507" s="1"/>
      <c r="M1507" s="1"/>
      <c r="N1507" s="1">
        <v>0</v>
      </c>
      <c r="O1507" s="1" t="s">
        <v>379</v>
      </c>
    </row>
    <row r="1508" spans="1:15" x14ac:dyDescent="0.25">
      <c r="A1508" s="71">
        <v>46186</v>
      </c>
      <c r="B1508" s="1" t="s">
        <v>272</v>
      </c>
      <c r="C1508" s="3" t="str">
        <f>VLOOKUP(B1508,'[5]Migrasi Bed'!$B$4:$E$521,4,0)</f>
        <v>ST.F005</v>
      </c>
      <c r="D1508" s="28">
        <f t="shared" si="404"/>
        <v>46209</v>
      </c>
      <c r="E1508" s="28">
        <f t="shared" si="405"/>
        <v>46193</v>
      </c>
      <c r="F1508" s="28">
        <f t="shared" si="406"/>
        <v>46200</v>
      </c>
      <c r="G1508" s="28">
        <f t="shared" si="407"/>
        <v>46206</v>
      </c>
      <c r="H1508" s="28">
        <f t="shared" si="408"/>
        <v>46194</v>
      </c>
      <c r="I1508" s="28">
        <f t="shared" si="409"/>
        <v>46201</v>
      </c>
      <c r="J1508" s="28"/>
      <c r="K1508" s="1"/>
      <c r="L1508" s="1"/>
      <c r="M1508" s="1"/>
      <c r="N1508" s="1">
        <v>0</v>
      </c>
      <c r="O1508" s="1" t="s">
        <v>379</v>
      </c>
    </row>
    <row r="1509" spans="1:15" x14ac:dyDescent="0.25">
      <c r="A1509" s="71">
        <v>46186</v>
      </c>
      <c r="B1509" s="1" t="s">
        <v>273</v>
      </c>
      <c r="C1509" s="3" t="str">
        <f>VLOOKUP(B1509,'[5]Migrasi Bed'!$B$4:$E$521,4,0)</f>
        <v>ST.F006</v>
      </c>
      <c r="D1509" s="28">
        <f t="shared" si="404"/>
        <v>46209</v>
      </c>
      <c r="E1509" s="28">
        <f t="shared" si="405"/>
        <v>46193</v>
      </c>
      <c r="F1509" s="28">
        <f t="shared" si="406"/>
        <v>46200</v>
      </c>
      <c r="G1509" s="28">
        <f t="shared" si="407"/>
        <v>46206</v>
      </c>
      <c r="H1509" s="28">
        <f t="shared" si="408"/>
        <v>46194</v>
      </c>
      <c r="I1509" s="28">
        <f t="shared" si="409"/>
        <v>46201</v>
      </c>
      <c r="J1509" s="28"/>
      <c r="K1509" s="1"/>
      <c r="L1509" s="1"/>
      <c r="M1509" s="1"/>
      <c r="N1509" s="1">
        <v>0</v>
      </c>
      <c r="O1509" s="1" t="s">
        <v>379</v>
      </c>
    </row>
    <row r="1510" spans="1:15" x14ac:dyDescent="0.25">
      <c r="A1510" s="71">
        <v>46186</v>
      </c>
      <c r="B1510" s="1" t="s">
        <v>274</v>
      </c>
      <c r="C1510" s="3" t="str">
        <f>VLOOKUP(B1510,'[5]Migrasi Bed'!$B$4:$E$521,4,0)</f>
        <v>ST.F007</v>
      </c>
      <c r="D1510" s="28">
        <f t="shared" si="404"/>
        <v>46209</v>
      </c>
      <c r="E1510" s="28">
        <f t="shared" si="405"/>
        <v>46193</v>
      </c>
      <c r="F1510" s="28">
        <f t="shared" si="406"/>
        <v>46200</v>
      </c>
      <c r="G1510" s="28">
        <f t="shared" si="407"/>
        <v>46206</v>
      </c>
      <c r="H1510" s="28">
        <f t="shared" si="408"/>
        <v>46194</v>
      </c>
      <c r="I1510" s="28">
        <f t="shared" si="409"/>
        <v>46201</v>
      </c>
      <c r="J1510" s="28"/>
      <c r="K1510" s="1"/>
      <c r="L1510" s="1"/>
      <c r="M1510" s="1"/>
      <c r="N1510" s="1">
        <v>0</v>
      </c>
      <c r="O1510" s="1" t="s">
        <v>379</v>
      </c>
    </row>
    <row r="1511" spans="1:15" x14ac:dyDescent="0.25">
      <c r="A1511" s="71">
        <v>46187</v>
      </c>
      <c r="B1511" s="1" t="s">
        <v>275</v>
      </c>
      <c r="C1511" s="3" t="str">
        <f>VLOOKUP(B1511,'[5]Migrasi Bed'!$B$4:$E$521,4,0)</f>
        <v>ST.F008</v>
      </c>
      <c r="D1511" s="28">
        <f t="shared" si="404"/>
        <v>46210</v>
      </c>
      <c r="E1511" s="28">
        <f t="shared" si="405"/>
        <v>46194</v>
      </c>
      <c r="F1511" s="28">
        <f t="shared" si="406"/>
        <v>46201</v>
      </c>
      <c r="G1511" s="28">
        <f t="shared" si="407"/>
        <v>46207</v>
      </c>
      <c r="H1511" s="28">
        <f t="shared" si="408"/>
        <v>46195</v>
      </c>
      <c r="I1511" s="28">
        <f t="shared" si="409"/>
        <v>46202</v>
      </c>
      <c r="J1511" s="28"/>
      <c r="K1511" s="1"/>
      <c r="L1511" s="1"/>
      <c r="M1511" s="1"/>
      <c r="N1511" s="1">
        <v>0</v>
      </c>
      <c r="O1511" s="1" t="s">
        <v>379</v>
      </c>
    </row>
    <row r="1512" spans="1:15" x14ac:dyDescent="0.25">
      <c r="A1512" s="71">
        <v>46187</v>
      </c>
      <c r="B1512" s="1" t="s">
        <v>276</v>
      </c>
      <c r="C1512" s="3" t="str">
        <f>VLOOKUP(B1512,'[5]Migrasi Bed'!$B$4:$E$521,4,0)</f>
        <v>ST.F009</v>
      </c>
      <c r="D1512" s="28">
        <f t="shared" si="404"/>
        <v>46210</v>
      </c>
      <c r="E1512" s="28">
        <f t="shared" si="405"/>
        <v>46194</v>
      </c>
      <c r="F1512" s="28">
        <f t="shared" si="406"/>
        <v>46201</v>
      </c>
      <c r="G1512" s="28">
        <f t="shared" si="407"/>
        <v>46207</v>
      </c>
      <c r="H1512" s="28">
        <f t="shared" si="408"/>
        <v>46195</v>
      </c>
      <c r="I1512" s="28">
        <f t="shared" si="409"/>
        <v>46202</v>
      </c>
      <c r="J1512" s="28"/>
      <c r="K1512" s="1"/>
      <c r="L1512" s="1"/>
      <c r="M1512" s="1"/>
      <c r="N1512" s="1">
        <v>0</v>
      </c>
      <c r="O1512" s="1" t="s">
        <v>379</v>
      </c>
    </row>
    <row r="1513" spans="1:15" x14ac:dyDescent="0.25">
      <c r="A1513" s="71">
        <v>46187</v>
      </c>
      <c r="B1513" s="1" t="s">
        <v>277</v>
      </c>
      <c r="C1513" s="3" t="str">
        <f>VLOOKUP(B1513,'[5]Migrasi Bed'!$B$4:$E$521,4,0)</f>
        <v>ST.F010</v>
      </c>
      <c r="D1513" s="28">
        <f t="shared" si="404"/>
        <v>46210</v>
      </c>
      <c r="E1513" s="28">
        <f t="shared" si="405"/>
        <v>46194</v>
      </c>
      <c r="F1513" s="28">
        <f t="shared" si="406"/>
        <v>46201</v>
      </c>
      <c r="G1513" s="28">
        <f t="shared" si="407"/>
        <v>46207</v>
      </c>
      <c r="H1513" s="28">
        <f t="shared" si="408"/>
        <v>46195</v>
      </c>
      <c r="I1513" s="28">
        <f t="shared" si="409"/>
        <v>46202</v>
      </c>
      <c r="J1513" s="28"/>
      <c r="K1513" s="1"/>
      <c r="L1513" s="1"/>
      <c r="M1513" s="1"/>
      <c r="N1513" s="1">
        <v>0</v>
      </c>
      <c r="O1513" s="1" t="s">
        <v>379</v>
      </c>
    </row>
    <row r="1514" spans="1:15" x14ac:dyDescent="0.25">
      <c r="A1514" s="71">
        <v>46187</v>
      </c>
      <c r="B1514" s="1" t="s">
        <v>278</v>
      </c>
      <c r="C1514" s="3" t="str">
        <f>VLOOKUP(B1514,'[5]Migrasi Bed'!$B$4:$E$521,4,0)</f>
        <v>ST.F011</v>
      </c>
      <c r="D1514" s="28">
        <f t="shared" si="404"/>
        <v>46210</v>
      </c>
      <c r="E1514" s="28">
        <f t="shared" si="405"/>
        <v>46194</v>
      </c>
      <c r="F1514" s="28">
        <f t="shared" si="406"/>
        <v>46201</v>
      </c>
      <c r="G1514" s="28">
        <f t="shared" si="407"/>
        <v>46207</v>
      </c>
      <c r="H1514" s="28">
        <f t="shared" si="408"/>
        <v>46195</v>
      </c>
      <c r="I1514" s="28">
        <f t="shared" si="409"/>
        <v>46202</v>
      </c>
      <c r="J1514" s="28"/>
      <c r="K1514" s="1"/>
      <c r="L1514" s="1"/>
      <c r="M1514" s="1"/>
      <c r="N1514" s="1">
        <v>0</v>
      </c>
      <c r="O1514" s="1" t="s">
        <v>379</v>
      </c>
    </row>
    <row r="1515" spans="1:15" x14ac:dyDescent="0.25">
      <c r="A1515" s="71">
        <v>46187</v>
      </c>
      <c r="B1515" s="1" t="s">
        <v>279</v>
      </c>
      <c r="C1515" s="3" t="str">
        <f>VLOOKUP(B1515,'[5]Migrasi Bed'!$B$4:$E$521,4,0)</f>
        <v>ST.F012</v>
      </c>
      <c r="D1515" s="28">
        <f t="shared" si="404"/>
        <v>46210</v>
      </c>
      <c r="E1515" s="28">
        <f t="shared" si="405"/>
        <v>46194</v>
      </c>
      <c r="F1515" s="28">
        <f t="shared" si="406"/>
        <v>46201</v>
      </c>
      <c r="G1515" s="28">
        <f t="shared" si="407"/>
        <v>46207</v>
      </c>
      <c r="H1515" s="28">
        <f t="shared" si="408"/>
        <v>46195</v>
      </c>
      <c r="I1515" s="28">
        <f t="shared" si="409"/>
        <v>46202</v>
      </c>
      <c r="J1515" s="28"/>
      <c r="K1515" s="1"/>
      <c r="L1515" s="1"/>
      <c r="M1515" s="1"/>
      <c r="N1515" s="1">
        <v>0</v>
      </c>
      <c r="O1515" s="1" t="s">
        <v>379</v>
      </c>
    </row>
    <row r="1516" spans="1:15" x14ac:dyDescent="0.25">
      <c r="A1516" s="71">
        <v>46187</v>
      </c>
      <c r="B1516" s="1" t="s">
        <v>280</v>
      </c>
      <c r="C1516" s="3" t="str">
        <f>VLOOKUP(B1516,'[5]Migrasi Bed'!$B$4:$E$521,4,0)</f>
        <v>ST.G001</v>
      </c>
      <c r="D1516" s="28">
        <f t="shared" si="404"/>
        <v>46210</v>
      </c>
      <c r="E1516" s="28">
        <f t="shared" si="405"/>
        <v>46194</v>
      </c>
      <c r="F1516" s="28">
        <f t="shared" si="406"/>
        <v>46201</v>
      </c>
      <c r="G1516" s="28">
        <f t="shared" si="407"/>
        <v>46207</v>
      </c>
      <c r="H1516" s="28">
        <f t="shared" si="408"/>
        <v>46195</v>
      </c>
      <c r="I1516" s="28">
        <f t="shared" si="409"/>
        <v>46202</v>
      </c>
      <c r="J1516" s="28"/>
      <c r="K1516" s="1"/>
      <c r="L1516" s="1"/>
      <c r="M1516" s="1"/>
      <c r="N1516" s="1">
        <v>0</v>
      </c>
      <c r="O1516" s="1" t="s">
        <v>379</v>
      </c>
    </row>
    <row r="1517" spans="1:15" x14ac:dyDescent="0.25">
      <c r="A1517" s="71">
        <v>46187</v>
      </c>
      <c r="B1517" s="1" t="s">
        <v>281</v>
      </c>
      <c r="C1517" s="3" t="str">
        <f>VLOOKUP(B1517,'[5]Migrasi Bed'!$B$4:$E$521,4,0)</f>
        <v>ST.G002</v>
      </c>
      <c r="D1517" s="28">
        <f t="shared" si="404"/>
        <v>46210</v>
      </c>
      <c r="E1517" s="28">
        <f t="shared" si="405"/>
        <v>46194</v>
      </c>
      <c r="F1517" s="28">
        <f t="shared" si="406"/>
        <v>46201</v>
      </c>
      <c r="G1517" s="28">
        <f t="shared" si="407"/>
        <v>46207</v>
      </c>
      <c r="H1517" s="28">
        <f t="shared" si="408"/>
        <v>46195</v>
      </c>
      <c r="I1517" s="28">
        <f t="shared" si="409"/>
        <v>46202</v>
      </c>
      <c r="J1517" s="28"/>
      <c r="K1517" s="1"/>
      <c r="L1517" s="1"/>
      <c r="M1517" s="1"/>
      <c r="N1517" s="1">
        <v>0</v>
      </c>
      <c r="O1517" s="1" t="s">
        <v>379</v>
      </c>
    </row>
    <row r="1518" spans="1:15" x14ac:dyDescent="0.25">
      <c r="A1518" s="71">
        <v>46188</v>
      </c>
      <c r="B1518" s="1" t="s">
        <v>282</v>
      </c>
      <c r="C1518" s="3" t="str">
        <f>VLOOKUP(B1518,'[5]Migrasi Bed'!$B$4:$E$521,4,0)</f>
        <v>ST.G003</v>
      </c>
      <c r="D1518" s="28">
        <f t="shared" si="404"/>
        <v>46211</v>
      </c>
      <c r="E1518" s="28">
        <f t="shared" si="405"/>
        <v>46195</v>
      </c>
      <c r="F1518" s="28">
        <f t="shared" si="406"/>
        <v>46202</v>
      </c>
      <c r="G1518" s="28">
        <f t="shared" si="407"/>
        <v>46208</v>
      </c>
      <c r="H1518" s="28">
        <f t="shared" si="408"/>
        <v>46196</v>
      </c>
      <c r="I1518" s="28">
        <f t="shared" si="409"/>
        <v>46203</v>
      </c>
      <c r="J1518" s="28"/>
      <c r="K1518" s="1"/>
      <c r="L1518" s="1"/>
      <c r="M1518" s="1"/>
      <c r="N1518" s="1">
        <v>0</v>
      </c>
      <c r="O1518" s="1" t="s">
        <v>379</v>
      </c>
    </row>
    <row r="1519" spans="1:15" x14ac:dyDescent="0.25">
      <c r="A1519" s="71">
        <v>46188</v>
      </c>
      <c r="B1519" s="1" t="s">
        <v>283</v>
      </c>
      <c r="C1519" s="3" t="str">
        <f>VLOOKUP(B1519,'[5]Migrasi Bed'!$B$4:$E$521,4,0)</f>
        <v>ST.G004</v>
      </c>
      <c r="D1519" s="28">
        <f t="shared" si="404"/>
        <v>46211</v>
      </c>
      <c r="E1519" s="28">
        <f t="shared" si="405"/>
        <v>46195</v>
      </c>
      <c r="F1519" s="28">
        <f t="shared" si="406"/>
        <v>46202</v>
      </c>
      <c r="G1519" s="28">
        <f t="shared" si="407"/>
        <v>46208</v>
      </c>
      <c r="H1519" s="28">
        <f t="shared" si="408"/>
        <v>46196</v>
      </c>
      <c r="I1519" s="28">
        <f t="shared" si="409"/>
        <v>46203</v>
      </c>
      <c r="J1519" s="28"/>
      <c r="K1519" s="1"/>
      <c r="L1519" s="1"/>
      <c r="M1519" s="1"/>
      <c r="N1519" s="1">
        <v>0</v>
      </c>
      <c r="O1519" s="1" t="s">
        <v>379</v>
      </c>
    </row>
    <row r="1520" spans="1:15" x14ac:dyDescent="0.25">
      <c r="A1520" s="71">
        <v>46188</v>
      </c>
      <c r="B1520" s="1" t="s">
        <v>284</v>
      </c>
      <c r="C1520" s="3" t="str">
        <f>VLOOKUP(B1520,'[5]Migrasi Bed'!$B$4:$E$521,4,0)</f>
        <v>ST.G005</v>
      </c>
      <c r="D1520" s="28">
        <f t="shared" si="404"/>
        <v>46211</v>
      </c>
      <c r="E1520" s="28">
        <f t="shared" si="405"/>
        <v>46195</v>
      </c>
      <c r="F1520" s="28">
        <f t="shared" si="406"/>
        <v>46202</v>
      </c>
      <c r="G1520" s="28">
        <f t="shared" si="407"/>
        <v>46208</v>
      </c>
      <c r="H1520" s="28">
        <f t="shared" si="408"/>
        <v>46196</v>
      </c>
      <c r="I1520" s="28">
        <f t="shared" si="409"/>
        <v>46203</v>
      </c>
      <c r="J1520" s="28"/>
      <c r="K1520" s="1"/>
      <c r="L1520" s="1"/>
      <c r="M1520" s="1"/>
      <c r="N1520" s="1">
        <v>0</v>
      </c>
      <c r="O1520" s="1" t="s">
        <v>379</v>
      </c>
    </row>
    <row r="1521" spans="1:15" x14ac:dyDescent="0.25">
      <c r="A1521" s="71">
        <v>46188</v>
      </c>
      <c r="B1521" s="1" t="s">
        <v>285</v>
      </c>
      <c r="C1521" s="3" t="str">
        <f>VLOOKUP(B1521,'[5]Migrasi Bed'!$B$4:$E$521,4,0)</f>
        <v>ST.G006</v>
      </c>
      <c r="D1521" s="28">
        <f t="shared" si="404"/>
        <v>46211</v>
      </c>
      <c r="E1521" s="28">
        <f t="shared" si="405"/>
        <v>46195</v>
      </c>
      <c r="F1521" s="28">
        <f t="shared" si="406"/>
        <v>46202</v>
      </c>
      <c r="G1521" s="28">
        <f t="shared" si="407"/>
        <v>46208</v>
      </c>
      <c r="H1521" s="28">
        <f t="shared" si="408"/>
        <v>46196</v>
      </c>
      <c r="I1521" s="28">
        <f t="shared" si="409"/>
        <v>46203</v>
      </c>
      <c r="J1521" s="28"/>
      <c r="K1521" s="1"/>
      <c r="L1521" s="1"/>
      <c r="M1521" s="1"/>
      <c r="N1521" s="1">
        <v>0</v>
      </c>
      <c r="O1521" s="1" t="s">
        <v>379</v>
      </c>
    </row>
    <row r="1522" spans="1:15" x14ac:dyDescent="0.25">
      <c r="A1522" s="71">
        <v>46188</v>
      </c>
      <c r="B1522" s="1" t="s">
        <v>286</v>
      </c>
      <c r="C1522" s="3" t="str">
        <f>VLOOKUP(B1522,'[5]Migrasi Bed'!$B$4:$E$521,4,0)</f>
        <v>ST.G007</v>
      </c>
      <c r="D1522" s="28">
        <f t="shared" si="404"/>
        <v>46211</v>
      </c>
      <c r="E1522" s="28">
        <f t="shared" si="405"/>
        <v>46195</v>
      </c>
      <c r="F1522" s="28">
        <f t="shared" si="406"/>
        <v>46202</v>
      </c>
      <c r="G1522" s="28">
        <f t="shared" si="407"/>
        <v>46208</v>
      </c>
      <c r="H1522" s="28">
        <f t="shared" si="408"/>
        <v>46196</v>
      </c>
      <c r="I1522" s="28">
        <f t="shared" si="409"/>
        <v>46203</v>
      </c>
      <c r="J1522" s="28"/>
      <c r="K1522" s="1"/>
      <c r="L1522" s="1"/>
      <c r="M1522" s="1"/>
      <c r="N1522" s="1">
        <v>0</v>
      </c>
      <c r="O1522" s="1" t="s">
        <v>379</v>
      </c>
    </row>
    <row r="1523" spans="1:15" x14ac:dyDescent="0.25">
      <c r="A1523" s="71">
        <v>46188</v>
      </c>
      <c r="B1523" s="1" t="s">
        <v>287</v>
      </c>
      <c r="C1523" s="3" t="str">
        <f>VLOOKUP(B1523,'[5]Migrasi Bed'!$B$4:$E$521,4,0)</f>
        <v>ST.G008</v>
      </c>
      <c r="D1523" s="28">
        <f t="shared" si="404"/>
        <v>46211</v>
      </c>
      <c r="E1523" s="28">
        <f t="shared" si="405"/>
        <v>46195</v>
      </c>
      <c r="F1523" s="28">
        <f t="shared" si="406"/>
        <v>46202</v>
      </c>
      <c r="G1523" s="28">
        <f t="shared" si="407"/>
        <v>46208</v>
      </c>
      <c r="H1523" s="28">
        <f t="shared" si="408"/>
        <v>46196</v>
      </c>
      <c r="I1523" s="28">
        <f t="shared" si="409"/>
        <v>46203</v>
      </c>
      <c r="J1523" s="28"/>
      <c r="K1523" s="1"/>
      <c r="L1523" s="1"/>
      <c r="M1523" s="1"/>
      <c r="N1523" s="1">
        <v>0</v>
      </c>
      <c r="O1523" s="1" t="s">
        <v>379</v>
      </c>
    </row>
    <row r="1524" spans="1:15" x14ac:dyDescent="0.25">
      <c r="A1524" s="71">
        <v>46188</v>
      </c>
      <c r="B1524" s="1" t="s">
        <v>288</v>
      </c>
      <c r="C1524" s="3" t="str">
        <f>VLOOKUP(B1524,'[5]Migrasi Bed'!$B$4:$E$521,4,0)</f>
        <v>ST.G009</v>
      </c>
      <c r="D1524" s="28">
        <f t="shared" si="404"/>
        <v>46211</v>
      </c>
      <c r="E1524" s="28">
        <f t="shared" si="405"/>
        <v>46195</v>
      </c>
      <c r="F1524" s="28">
        <f t="shared" si="406"/>
        <v>46202</v>
      </c>
      <c r="G1524" s="28">
        <f t="shared" si="407"/>
        <v>46208</v>
      </c>
      <c r="H1524" s="28">
        <f t="shared" si="408"/>
        <v>46196</v>
      </c>
      <c r="I1524" s="28">
        <f t="shared" si="409"/>
        <v>46203</v>
      </c>
      <c r="J1524" s="28"/>
      <c r="K1524" s="1"/>
      <c r="L1524" s="1"/>
      <c r="M1524" s="1"/>
      <c r="N1524" s="1">
        <v>0</v>
      </c>
      <c r="O1524" s="1" t="s">
        <v>379</v>
      </c>
    </row>
    <row r="1525" spans="1:15" x14ac:dyDescent="0.25">
      <c r="A1525" s="71">
        <v>46190</v>
      </c>
      <c r="B1525" s="1" t="s">
        <v>289</v>
      </c>
      <c r="C1525" s="3" t="str">
        <f>VLOOKUP(B1525,'[5]Migrasi Bed'!$B$4:$E$521,4,0)</f>
        <v>ST.G010</v>
      </c>
      <c r="D1525" s="28">
        <f t="shared" si="404"/>
        <v>46213</v>
      </c>
      <c r="E1525" s="28">
        <f t="shared" si="405"/>
        <v>46197</v>
      </c>
      <c r="F1525" s="28">
        <f t="shared" si="406"/>
        <v>46204</v>
      </c>
      <c r="G1525" s="28">
        <f t="shared" si="407"/>
        <v>46210</v>
      </c>
      <c r="H1525" s="28">
        <f t="shared" si="408"/>
        <v>46198</v>
      </c>
      <c r="I1525" s="28">
        <f t="shared" si="409"/>
        <v>46205</v>
      </c>
      <c r="J1525" s="28"/>
      <c r="K1525" s="1"/>
      <c r="L1525" s="1"/>
      <c r="M1525" s="1"/>
      <c r="N1525" s="1">
        <v>0</v>
      </c>
      <c r="O1525" s="1" t="s">
        <v>379</v>
      </c>
    </row>
    <row r="1526" spans="1:15" x14ac:dyDescent="0.25">
      <c r="A1526" s="71">
        <v>46190</v>
      </c>
      <c r="B1526" s="1" t="s">
        <v>290</v>
      </c>
      <c r="C1526" s="3" t="str">
        <f>VLOOKUP(B1526,'[5]Migrasi Bed'!$B$4:$E$521,4,0)</f>
        <v>ST.G011</v>
      </c>
      <c r="D1526" s="28">
        <f t="shared" si="404"/>
        <v>46213</v>
      </c>
      <c r="E1526" s="28">
        <f t="shared" si="405"/>
        <v>46197</v>
      </c>
      <c r="F1526" s="28">
        <f t="shared" si="406"/>
        <v>46204</v>
      </c>
      <c r="G1526" s="28">
        <f t="shared" si="407"/>
        <v>46210</v>
      </c>
      <c r="H1526" s="28">
        <f t="shared" si="408"/>
        <v>46198</v>
      </c>
      <c r="I1526" s="28">
        <f t="shared" si="409"/>
        <v>46205</v>
      </c>
      <c r="J1526" s="28"/>
      <c r="K1526" s="1"/>
      <c r="L1526" s="1"/>
      <c r="M1526" s="1"/>
      <c r="N1526" s="1">
        <v>0</v>
      </c>
      <c r="O1526" s="1" t="s">
        <v>379</v>
      </c>
    </row>
    <row r="1527" spans="1:15" x14ac:dyDescent="0.25">
      <c r="A1527" s="71">
        <v>46190</v>
      </c>
      <c r="B1527" s="1" t="s">
        <v>291</v>
      </c>
      <c r="C1527" s="3" t="str">
        <f>VLOOKUP(B1527,'[5]Migrasi Bed'!$B$4:$E$521,4,0)</f>
        <v>ST.G012</v>
      </c>
      <c r="D1527" s="28">
        <f t="shared" si="404"/>
        <v>46213</v>
      </c>
      <c r="E1527" s="28">
        <f t="shared" si="405"/>
        <v>46197</v>
      </c>
      <c r="F1527" s="28">
        <f t="shared" si="406"/>
        <v>46204</v>
      </c>
      <c r="G1527" s="28">
        <f t="shared" si="407"/>
        <v>46210</v>
      </c>
      <c r="H1527" s="28">
        <f t="shared" si="408"/>
        <v>46198</v>
      </c>
      <c r="I1527" s="28">
        <f t="shared" si="409"/>
        <v>46205</v>
      </c>
      <c r="J1527" s="28"/>
      <c r="K1527" s="1"/>
      <c r="L1527" s="1"/>
      <c r="M1527" s="1"/>
      <c r="N1527" s="1">
        <v>0</v>
      </c>
      <c r="O1527" s="1" t="s">
        <v>379</v>
      </c>
    </row>
    <row r="1528" spans="1:15" x14ac:dyDescent="0.25">
      <c r="A1528" s="71">
        <v>46190</v>
      </c>
      <c r="B1528" s="1" t="s">
        <v>292</v>
      </c>
      <c r="C1528" s="3" t="str">
        <f>VLOOKUP(B1528,'[5]Migrasi Bed'!$B$4:$E$521,4,0)</f>
        <v>ST.H001</v>
      </c>
      <c r="D1528" s="28">
        <f t="shared" si="404"/>
        <v>46213</v>
      </c>
      <c r="E1528" s="28">
        <f t="shared" si="405"/>
        <v>46197</v>
      </c>
      <c r="F1528" s="28">
        <f t="shared" si="406"/>
        <v>46204</v>
      </c>
      <c r="G1528" s="28">
        <f t="shared" si="407"/>
        <v>46210</v>
      </c>
      <c r="H1528" s="28">
        <f t="shared" si="408"/>
        <v>46198</v>
      </c>
      <c r="I1528" s="28">
        <f t="shared" si="409"/>
        <v>46205</v>
      </c>
      <c r="J1528" s="28"/>
      <c r="K1528" s="1"/>
      <c r="L1528" s="1"/>
      <c r="M1528" s="1"/>
      <c r="N1528" s="1">
        <v>0</v>
      </c>
      <c r="O1528" s="1" t="s">
        <v>379</v>
      </c>
    </row>
    <row r="1529" spans="1:15" x14ac:dyDescent="0.25">
      <c r="A1529" s="71">
        <v>46190</v>
      </c>
      <c r="B1529" s="1" t="s">
        <v>293</v>
      </c>
      <c r="C1529" s="3" t="str">
        <f>VLOOKUP(B1529,'[5]Migrasi Bed'!$B$4:$E$521,4,0)</f>
        <v>ST.H002</v>
      </c>
      <c r="D1529" s="28">
        <f t="shared" si="404"/>
        <v>46213</v>
      </c>
      <c r="E1529" s="28">
        <f t="shared" si="405"/>
        <v>46197</v>
      </c>
      <c r="F1529" s="28">
        <f t="shared" si="406"/>
        <v>46204</v>
      </c>
      <c r="G1529" s="28">
        <f t="shared" si="407"/>
        <v>46210</v>
      </c>
      <c r="H1529" s="28">
        <f t="shared" si="408"/>
        <v>46198</v>
      </c>
      <c r="I1529" s="28">
        <f t="shared" si="409"/>
        <v>46205</v>
      </c>
      <c r="J1529" s="28"/>
      <c r="K1529" s="1"/>
      <c r="L1529" s="1"/>
      <c r="M1529" s="1"/>
      <c r="N1529" s="1">
        <v>0</v>
      </c>
      <c r="O1529" s="1" t="s">
        <v>379</v>
      </c>
    </row>
    <row r="1530" spans="1:15" x14ac:dyDescent="0.25">
      <c r="A1530" s="71">
        <v>46190</v>
      </c>
      <c r="B1530" s="1" t="s">
        <v>294</v>
      </c>
      <c r="C1530" s="3" t="str">
        <f>VLOOKUP(B1530,'[5]Migrasi Bed'!$B$4:$E$521,4,0)</f>
        <v>ST.H003</v>
      </c>
      <c r="D1530" s="28">
        <f t="shared" si="404"/>
        <v>46213</v>
      </c>
      <c r="E1530" s="28">
        <f t="shared" si="405"/>
        <v>46197</v>
      </c>
      <c r="F1530" s="28">
        <f t="shared" si="406"/>
        <v>46204</v>
      </c>
      <c r="G1530" s="28">
        <f t="shared" si="407"/>
        <v>46210</v>
      </c>
      <c r="H1530" s="28">
        <f t="shared" si="408"/>
        <v>46198</v>
      </c>
      <c r="I1530" s="28">
        <f t="shared" si="409"/>
        <v>46205</v>
      </c>
      <c r="J1530" s="28"/>
      <c r="K1530" s="1"/>
      <c r="L1530" s="1"/>
      <c r="M1530" s="1"/>
      <c r="N1530" s="1">
        <v>0</v>
      </c>
      <c r="O1530" s="1" t="s">
        <v>379</v>
      </c>
    </row>
    <row r="1531" spans="1:15" x14ac:dyDescent="0.25">
      <c r="A1531" s="71">
        <v>46190</v>
      </c>
      <c r="B1531" s="1" t="s">
        <v>295</v>
      </c>
      <c r="C1531" s="3" t="str">
        <f>VLOOKUP(B1531,'[5]Migrasi Bed'!$B$4:$E$521,4,0)</f>
        <v>ST.H004</v>
      </c>
      <c r="D1531" s="28">
        <f t="shared" si="404"/>
        <v>46213</v>
      </c>
      <c r="E1531" s="28">
        <f t="shared" si="405"/>
        <v>46197</v>
      </c>
      <c r="F1531" s="28">
        <f t="shared" si="406"/>
        <v>46204</v>
      </c>
      <c r="G1531" s="28">
        <f t="shared" si="407"/>
        <v>46210</v>
      </c>
      <c r="H1531" s="28">
        <f t="shared" si="408"/>
        <v>46198</v>
      </c>
      <c r="I1531" s="28">
        <f t="shared" si="409"/>
        <v>46205</v>
      </c>
      <c r="J1531" s="28"/>
      <c r="K1531" s="1"/>
      <c r="L1531" s="1"/>
      <c r="M1531" s="1"/>
      <c r="N1531" s="1">
        <v>0</v>
      </c>
      <c r="O1531" s="1" t="s">
        <v>379</v>
      </c>
    </row>
    <row r="1532" spans="1:15" x14ac:dyDescent="0.25">
      <c r="A1532" s="71">
        <v>46191</v>
      </c>
      <c r="B1532" s="1" t="s">
        <v>296</v>
      </c>
      <c r="C1532" s="3" t="str">
        <f>VLOOKUP(B1532,'[5]Migrasi Bed'!$B$4:$E$521,4,0)</f>
        <v>ST.H005</v>
      </c>
      <c r="D1532" s="28">
        <f t="shared" si="404"/>
        <v>46214</v>
      </c>
      <c r="E1532" s="28">
        <f t="shared" si="405"/>
        <v>46198</v>
      </c>
      <c r="F1532" s="28">
        <f t="shared" si="406"/>
        <v>46205</v>
      </c>
      <c r="G1532" s="28">
        <f t="shared" si="407"/>
        <v>46211</v>
      </c>
      <c r="H1532" s="28">
        <f t="shared" si="408"/>
        <v>46199</v>
      </c>
      <c r="I1532" s="28">
        <f t="shared" si="409"/>
        <v>46206</v>
      </c>
      <c r="J1532" s="28"/>
      <c r="K1532" s="1"/>
      <c r="L1532" s="1"/>
      <c r="M1532" s="1"/>
      <c r="N1532" s="1">
        <v>0</v>
      </c>
      <c r="O1532" s="1" t="s">
        <v>379</v>
      </c>
    </row>
    <row r="1533" spans="1:15" x14ac:dyDescent="0.25">
      <c r="A1533" s="71">
        <v>46191</v>
      </c>
      <c r="B1533" s="1" t="s">
        <v>297</v>
      </c>
      <c r="C1533" s="3" t="str">
        <f>VLOOKUP(B1533,'[5]Migrasi Bed'!$B$4:$E$521,4,0)</f>
        <v>ST.H006</v>
      </c>
      <c r="D1533" s="28">
        <f t="shared" si="404"/>
        <v>46214</v>
      </c>
      <c r="E1533" s="28">
        <f t="shared" si="405"/>
        <v>46198</v>
      </c>
      <c r="F1533" s="28">
        <f t="shared" si="406"/>
        <v>46205</v>
      </c>
      <c r="G1533" s="28">
        <f t="shared" si="407"/>
        <v>46211</v>
      </c>
      <c r="H1533" s="28">
        <f t="shared" si="408"/>
        <v>46199</v>
      </c>
      <c r="I1533" s="28">
        <f t="shared" si="409"/>
        <v>46206</v>
      </c>
      <c r="J1533" s="28"/>
      <c r="K1533" s="1"/>
      <c r="L1533" s="1"/>
      <c r="M1533" s="1"/>
      <c r="N1533" s="1">
        <v>0</v>
      </c>
      <c r="O1533" s="1" t="s">
        <v>379</v>
      </c>
    </row>
    <row r="1534" spans="1:15" x14ac:dyDescent="0.25">
      <c r="A1534" s="71">
        <v>46191</v>
      </c>
      <c r="B1534" s="1" t="s">
        <v>298</v>
      </c>
      <c r="C1534" s="3" t="str">
        <f>VLOOKUP(B1534,'[5]Migrasi Bed'!$B$4:$E$521,4,0)</f>
        <v>ST.H007</v>
      </c>
      <c r="D1534" s="28">
        <f t="shared" si="404"/>
        <v>46214</v>
      </c>
      <c r="E1534" s="28">
        <f t="shared" si="405"/>
        <v>46198</v>
      </c>
      <c r="F1534" s="28">
        <f t="shared" si="406"/>
        <v>46205</v>
      </c>
      <c r="G1534" s="28">
        <f t="shared" si="407"/>
        <v>46211</v>
      </c>
      <c r="H1534" s="28">
        <f t="shared" si="408"/>
        <v>46199</v>
      </c>
      <c r="I1534" s="28">
        <f t="shared" si="409"/>
        <v>46206</v>
      </c>
      <c r="J1534" s="28"/>
      <c r="K1534" s="1"/>
      <c r="L1534" s="1"/>
      <c r="M1534" s="1"/>
      <c r="N1534" s="1">
        <v>0</v>
      </c>
      <c r="O1534" s="1" t="s">
        <v>379</v>
      </c>
    </row>
    <row r="1535" spans="1:15" x14ac:dyDescent="0.25">
      <c r="A1535" s="71">
        <v>46191</v>
      </c>
      <c r="B1535" s="1" t="s">
        <v>299</v>
      </c>
      <c r="C1535" s="3" t="str">
        <f>VLOOKUP(B1535,'[5]Migrasi Bed'!$B$4:$E$521,4,0)</f>
        <v>ST.H008</v>
      </c>
      <c r="D1535" s="28">
        <f t="shared" si="404"/>
        <v>46214</v>
      </c>
      <c r="E1535" s="28">
        <f t="shared" si="405"/>
        <v>46198</v>
      </c>
      <c r="F1535" s="28">
        <f t="shared" si="406"/>
        <v>46205</v>
      </c>
      <c r="G1535" s="28">
        <f t="shared" si="407"/>
        <v>46211</v>
      </c>
      <c r="H1535" s="28">
        <f t="shared" si="408"/>
        <v>46199</v>
      </c>
      <c r="I1535" s="28">
        <f t="shared" si="409"/>
        <v>46206</v>
      </c>
      <c r="J1535" s="28"/>
      <c r="K1535" s="1"/>
      <c r="L1535" s="1"/>
      <c r="M1535" s="1"/>
      <c r="N1535" s="1">
        <v>0</v>
      </c>
      <c r="O1535" s="1" t="s">
        <v>379</v>
      </c>
    </row>
    <row r="1536" spans="1:15" x14ac:dyDescent="0.25">
      <c r="A1536" s="71">
        <v>46191</v>
      </c>
      <c r="B1536" s="1" t="s">
        <v>300</v>
      </c>
      <c r="C1536" s="3" t="str">
        <f>VLOOKUP(B1536,'[5]Migrasi Bed'!$B$4:$E$521,4,0)</f>
        <v>ST.H009</v>
      </c>
      <c r="D1536" s="28">
        <f t="shared" si="404"/>
        <v>46214</v>
      </c>
      <c r="E1536" s="28">
        <f t="shared" si="405"/>
        <v>46198</v>
      </c>
      <c r="F1536" s="28">
        <f t="shared" si="406"/>
        <v>46205</v>
      </c>
      <c r="G1536" s="28">
        <f t="shared" si="407"/>
        <v>46211</v>
      </c>
      <c r="H1536" s="28">
        <f t="shared" si="408"/>
        <v>46199</v>
      </c>
      <c r="I1536" s="28">
        <f t="shared" si="409"/>
        <v>46206</v>
      </c>
      <c r="J1536" s="28"/>
      <c r="K1536" s="1"/>
      <c r="L1536" s="1"/>
      <c r="M1536" s="1"/>
      <c r="N1536" s="1">
        <v>0</v>
      </c>
      <c r="O1536" s="1" t="s">
        <v>379</v>
      </c>
    </row>
    <row r="1537" spans="1:15" x14ac:dyDescent="0.25">
      <c r="A1537" s="71">
        <v>46191</v>
      </c>
      <c r="B1537" s="1" t="s">
        <v>301</v>
      </c>
      <c r="C1537" s="3" t="str">
        <f>VLOOKUP(B1537,'[5]Migrasi Bed'!$B$4:$E$521,4,0)</f>
        <v>ST.H010</v>
      </c>
      <c r="D1537" s="28">
        <f t="shared" si="404"/>
        <v>46214</v>
      </c>
      <c r="E1537" s="28">
        <f t="shared" si="405"/>
        <v>46198</v>
      </c>
      <c r="F1537" s="28">
        <f t="shared" si="406"/>
        <v>46205</v>
      </c>
      <c r="G1537" s="28">
        <f t="shared" si="407"/>
        <v>46211</v>
      </c>
      <c r="H1537" s="28">
        <f t="shared" si="408"/>
        <v>46199</v>
      </c>
      <c r="I1537" s="28">
        <f t="shared" si="409"/>
        <v>46206</v>
      </c>
      <c r="J1537" s="28"/>
      <c r="K1537" s="1"/>
      <c r="L1537" s="1"/>
      <c r="M1537" s="1"/>
      <c r="N1537" s="1">
        <v>0</v>
      </c>
      <c r="O1537" s="1" t="s">
        <v>379</v>
      </c>
    </row>
    <row r="1538" spans="1:15" x14ac:dyDescent="0.25">
      <c r="A1538" s="71">
        <v>46191</v>
      </c>
      <c r="B1538" s="1" t="s">
        <v>302</v>
      </c>
      <c r="C1538" s="3" t="str">
        <f>VLOOKUP(B1538,'[5]Migrasi Bed'!$B$4:$E$521,4,0)</f>
        <v>ST.H011</v>
      </c>
      <c r="D1538" s="28">
        <f t="shared" si="404"/>
        <v>46214</v>
      </c>
      <c r="E1538" s="28">
        <f t="shared" si="405"/>
        <v>46198</v>
      </c>
      <c r="F1538" s="28">
        <f t="shared" si="406"/>
        <v>46205</v>
      </c>
      <c r="G1538" s="28">
        <f t="shared" si="407"/>
        <v>46211</v>
      </c>
      <c r="H1538" s="28">
        <f t="shared" si="408"/>
        <v>46199</v>
      </c>
      <c r="I1538" s="28">
        <f t="shared" si="409"/>
        <v>46206</v>
      </c>
      <c r="J1538" s="28"/>
      <c r="K1538" s="1"/>
      <c r="L1538" s="1"/>
      <c r="M1538" s="1"/>
      <c r="N1538" s="1">
        <v>0</v>
      </c>
      <c r="O1538" s="1" t="s">
        <v>379</v>
      </c>
    </row>
    <row r="1539" spans="1:15" x14ac:dyDescent="0.25">
      <c r="A1539" s="71">
        <v>46192</v>
      </c>
      <c r="B1539" s="1" t="s">
        <v>339</v>
      </c>
      <c r="C1539" s="3" t="str">
        <f>VLOOKUP(B1539,'[5]Migrasi Bed'!$B$4:$E$521,4,0)</f>
        <v>ST.B017</v>
      </c>
      <c r="D1539" s="28">
        <f t="shared" si="404"/>
        <v>46215</v>
      </c>
      <c r="E1539" s="28">
        <f t="shared" si="405"/>
        <v>46199</v>
      </c>
      <c r="F1539" s="28">
        <f t="shared" si="406"/>
        <v>46206</v>
      </c>
      <c r="G1539" s="28">
        <f t="shared" si="407"/>
        <v>46212</v>
      </c>
      <c r="H1539" s="28">
        <f t="shared" si="408"/>
        <v>46200</v>
      </c>
      <c r="I1539" s="28">
        <f t="shared" si="409"/>
        <v>46207</v>
      </c>
      <c r="J1539" s="28"/>
      <c r="K1539" s="1"/>
      <c r="L1539" s="1"/>
      <c r="M1539" s="1"/>
      <c r="N1539" s="1">
        <v>0</v>
      </c>
      <c r="O1539" s="1" t="s">
        <v>379</v>
      </c>
    </row>
    <row r="1540" spans="1:15" x14ac:dyDescent="0.25">
      <c r="A1540" s="71">
        <v>46192</v>
      </c>
      <c r="B1540" s="1" t="s">
        <v>340</v>
      </c>
      <c r="C1540" s="3" t="str">
        <f>VLOOKUP(B1540,'[5]Migrasi Bed'!$B$4:$E$521,4,0)</f>
        <v>ST.B018</v>
      </c>
      <c r="D1540" s="28">
        <f t="shared" si="404"/>
        <v>46215</v>
      </c>
      <c r="E1540" s="28">
        <f t="shared" si="405"/>
        <v>46199</v>
      </c>
      <c r="F1540" s="28">
        <f t="shared" si="406"/>
        <v>46206</v>
      </c>
      <c r="G1540" s="28">
        <f t="shared" si="407"/>
        <v>46212</v>
      </c>
      <c r="H1540" s="28">
        <f t="shared" si="408"/>
        <v>46200</v>
      </c>
      <c r="I1540" s="28">
        <f t="shared" si="409"/>
        <v>46207</v>
      </c>
      <c r="J1540" s="28"/>
      <c r="K1540" s="1"/>
      <c r="L1540" s="1"/>
      <c r="M1540" s="1"/>
      <c r="N1540" s="1">
        <v>0</v>
      </c>
      <c r="O1540" s="1" t="s">
        <v>379</v>
      </c>
    </row>
    <row r="1541" spans="1:15" x14ac:dyDescent="0.25">
      <c r="A1541" s="71">
        <v>46192</v>
      </c>
      <c r="B1541" s="1" t="s">
        <v>341</v>
      </c>
      <c r="C1541" s="3" t="str">
        <f>VLOOKUP(B1541,'[5]Migrasi Bed'!$B$4:$E$521,4,0)</f>
        <v>ST.B019</v>
      </c>
      <c r="D1541" s="28">
        <f t="shared" si="404"/>
        <v>46215</v>
      </c>
      <c r="E1541" s="28">
        <f t="shared" si="405"/>
        <v>46199</v>
      </c>
      <c r="F1541" s="28">
        <f t="shared" si="406"/>
        <v>46206</v>
      </c>
      <c r="G1541" s="28">
        <f t="shared" si="407"/>
        <v>46212</v>
      </c>
      <c r="H1541" s="28">
        <f t="shared" si="408"/>
        <v>46200</v>
      </c>
      <c r="I1541" s="28">
        <f t="shared" si="409"/>
        <v>46207</v>
      </c>
      <c r="J1541" s="28"/>
      <c r="K1541" s="1"/>
      <c r="L1541" s="1"/>
      <c r="M1541" s="1"/>
      <c r="N1541" s="1">
        <v>0</v>
      </c>
      <c r="O1541" s="1" t="s">
        <v>379</v>
      </c>
    </row>
    <row r="1542" spans="1:15" x14ac:dyDescent="0.25">
      <c r="A1542" s="71">
        <v>46192</v>
      </c>
      <c r="B1542" s="1" t="s">
        <v>342</v>
      </c>
      <c r="C1542" s="3" t="str">
        <f>VLOOKUP(B1542,'[5]Migrasi Bed'!$B$4:$E$521,4,0)</f>
        <v>ST.B020</v>
      </c>
      <c r="D1542" s="28">
        <f t="shared" si="404"/>
        <v>46215</v>
      </c>
      <c r="E1542" s="28">
        <f t="shared" si="405"/>
        <v>46199</v>
      </c>
      <c r="F1542" s="28">
        <f t="shared" si="406"/>
        <v>46206</v>
      </c>
      <c r="G1542" s="28">
        <f t="shared" si="407"/>
        <v>46212</v>
      </c>
      <c r="H1542" s="28">
        <f t="shared" si="408"/>
        <v>46200</v>
      </c>
      <c r="I1542" s="28">
        <f t="shared" si="409"/>
        <v>46207</v>
      </c>
      <c r="J1542" s="28"/>
      <c r="K1542" s="1"/>
      <c r="L1542" s="1"/>
      <c r="M1542" s="1"/>
      <c r="N1542" s="1">
        <v>0</v>
      </c>
      <c r="O1542" s="1" t="s">
        <v>379</v>
      </c>
    </row>
    <row r="1543" spans="1:15" x14ac:dyDescent="0.25">
      <c r="A1543" s="71">
        <v>46192</v>
      </c>
      <c r="B1543" s="1" t="s">
        <v>343</v>
      </c>
      <c r="C1543" s="3" t="str">
        <f>VLOOKUP(B1543,'[5]Migrasi Bed'!$B$4:$E$521,4,0)</f>
        <v>ST.B021</v>
      </c>
      <c r="D1543" s="28">
        <f t="shared" si="404"/>
        <v>46215</v>
      </c>
      <c r="E1543" s="28">
        <f t="shared" si="405"/>
        <v>46199</v>
      </c>
      <c r="F1543" s="28">
        <f t="shared" si="406"/>
        <v>46206</v>
      </c>
      <c r="G1543" s="28">
        <f t="shared" si="407"/>
        <v>46212</v>
      </c>
      <c r="H1543" s="28">
        <f t="shared" si="408"/>
        <v>46200</v>
      </c>
      <c r="I1543" s="28">
        <f t="shared" si="409"/>
        <v>46207</v>
      </c>
      <c r="J1543" s="28"/>
      <c r="K1543" s="1"/>
      <c r="L1543" s="1"/>
      <c r="M1543" s="1"/>
      <c r="N1543" s="1">
        <v>0</v>
      </c>
      <c r="O1543" s="1" t="s">
        <v>379</v>
      </c>
    </row>
    <row r="1544" spans="1:15" x14ac:dyDescent="0.25">
      <c r="A1544" s="71">
        <v>46192</v>
      </c>
      <c r="B1544" s="1" t="s">
        <v>344</v>
      </c>
      <c r="C1544" s="3" t="str">
        <f>VLOOKUP(B1544,'[5]Migrasi Bed'!$B$4:$E$521,4,0)</f>
        <v>ST.B022</v>
      </c>
      <c r="D1544" s="28">
        <f t="shared" si="404"/>
        <v>46215</v>
      </c>
      <c r="E1544" s="28">
        <f t="shared" si="405"/>
        <v>46199</v>
      </c>
      <c r="F1544" s="28">
        <f t="shared" si="406"/>
        <v>46206</v>
      </c>
      <c r="G1544" s="28">
        <f t="shared" si="407"/>
        <v>46212</v>
      </c>
      <c r="H1544" s="28">
        <f t="shared" si="408"/>
        <v>46200</v>
      </c>
      <c r="I1544" s="28">
        <f t="shared" si="409"/>
        <v>46207</v>
      </c>
      <c r="J1544" s="28"/>
      <c r="K1544" s="1"/>
      <c r="L1544" s="1"/>
      <c r="M1544" s="1"/>
      <c r="N1544" s="1">
        <v>0</v>
      </c>
      <c r="O1544" s="1" t="s">
        <v>379</v>
      </c>
    </row>
    <row r="1545" spans="1:15" x14ac:dyDescent="0.25">
      <c r="A1545" s="71">
        <v>46192</v>
      </c>
      <c r="B1545" s="1" t="s">
        <v>345</v>
      </c>
      <c r="C1545" s="3" t="str">
        <f>VLOOKUP(B1545,'[5]Migrasi Bed'!$B$4:$E$521,4,0)</f>
        <v>ST.B023</v>
      </c>
      <c r="D1545" s="28">
        <f t="shared" si="404"/>
        <v>46215</v>
      </c>
      <c r="E1545" s="28">
        <f t="shared" si="405"/>
        <v>46199</v>
      </c>
      <c r="F1545" s="28">
        <f t="shared" si="406"/>
        <v>46206</v>
      </c>
      <c r="G1545" s="28">
        <f t="shared" si="407"/>
        <v>46212</v>
      </c>
      <c r="H1545" s="28">
        <f t="shared" si="408"/>
        <v>46200</v>
      </c>
      <c r="I1545" s="28">
        <f t="shared" si="409"/>
        <v>46207</v>
      </c>
      <c r="J1545" s="28"/>
      <c r="K1545" s="1"/>
      <c r="L1545" s="1"/>
      <c r="M1545" s="1"/>
      <c r="N1545" s="1">
        <v>0</v>
      </c>
      <c r="O1545" s="1" t="s">
        <v>379</v>
      </c>
    </row>
    <row r="1546" spans="1:15" x14ac:dyDescent="0.25">
      <c r="A1546" s="71">
        <v>46193</v>
      </c>
      <c r="B1546" s="1" t="s">
        <v>332</v>
      </c>
      <c r="C1546" s="3" t="str">
        <f>VLOOKUP(B1546,'[5]Migrasi Bed'!$B$4:$E$521,4,0)</f>
        <v>ST.B010</v>
      </c>
      <c r="D1546" s="28">
        <f t="shared" si="404"/>
        <v>46216</v>
      </c>
      <c r="E1546" s="28">
        <f t="shared" si="405"/>
        <v>46200</v>
      </c>
      <c r="F1546" s="28">
        <f t="shared" si="406"/>
        <v>46207</v>
      </c>
      <c r="G1546" s="28">
        <f t="shared" si="407"/>
        <v>46213</v>
      </c>
      <c r="H1546" s="28">
        <f t="shared" si="408"/>
        <v>46201</v>
      </c>
      <c r="I1546" s="28">
        <f t="shared" si="409"/>
        <v>46208</v>
      </c>
      <c r="J1546" s="28"/>
      <c r="K1546" s="1"/>
      <c r="L1546" s="1"/>
      <c r="M1546" s="1"/>
      <c r="N1546" s="1">
        <v>0</v>
      </c>
      <c r="O1546" s="1" t="s">
        <v>379</v>
      </c>
    </row>
    <row r="1547" spans="1:15" x14ac:dyDescent="0.25">
      <c r="A1547" s="71">
        <v>46193</v>
      </c>
      <c r="B1547" s="1" t="s">
        <v>333</v>
      </c>
      <c r="C1547" s="3" t="str">
        <f>VLOOKUP(B1547,'[5]Migrasi Bed'!$B$4:$E$521,4,0)</f>
        <v>ST.B011</v>
      </c>
      <c r="D1547" s="28">
        <f t="shared" si="404"/>
        <v>46216</v>
      </c>
      <c r="E1547" s="28">
        <f t="shared" si="405"/>
        <v>46200</v>
      </c>
      <c r="F1547" s="28">
        <f t="shared" si="406"/>
        <v>46207</v>
      </c>
      <c r="G1547" s="28">
        <f t="shared" si="407"/>
        <v>46213</v>
      </c>
      <c r="H1547" s="28">
        <f t="shared" si="408"/>
        <v>46201</v>
      </c>
      <c r="I1547" s="28">
        <f t="shared" si="409"/>
        <v>46208</v>
      </c>
      <c r="J1547" s="28"/>
      <c r="K1547" s="1"/>
      <c r="L1547" s="1"/>
      <c r="M1547" s="1"/>
      <c r="N1547" s="1">
        <v>0</v>
      </c>
      <c r="O1547" s="1" t="s">
        <v>379</v>
      </c>
    </row>
    <row r="1548" spans="1:15" x14ac:dyDescent="0.25">
      <c r="A1548" s="71">
        <v>46193</v>
      </c>
      <c r="B1548" s="1" t="s">
        <v>334</v>
      </c>
      <c r="C1548" s="3" t="str">
        <f>VLOOKUP(B1548,'[5]Migrasi Bed'!$B$4:$E$521,4,0)</f>
        <v>ST.B012</v>
      </c>
      <c r="D1548" s="28">
        <f t="shared" si="404"/>
        <v>46216</v>
      </c>
      <c r="E1548" s="28">
        <f t="shared" si="405"/>
        <v>46200</v>
      </c>
      <c r="F1548" s="28">
        <f t="shared" si="406"/>
        <v>46207</v>
      </c>
      <c r="G1548" s="28">
        <f t="shared" si="407"/>
        <v>46213</v>
      </c>
      <c r="H1548" s="28">
        <f t="shared" si="408"/>
        <v>46201</v>
      </c>
      <c r="I1548" s="28">
        <f t="shared" si="409"/>
        <v>46208</v>
      </c>
      <c r="J1548" s="28"/>
      <c r="K1548" s="1"/>
      <c r="L1548" s="1"/>
      <c r="M1548" s="1"/>
      <c r="N1548" s="1">
        <v>0</v>
      </c>
      <c r="O1548" s="1" t="s">
        <v>379</v>
      </c>
    </row>
    <row r="1549" spans="1:15" x14ac:dyDescent="0.25">
      <c r="A1549" s="71">
        <v>46193</v>
      </c>
      <c r="B1549" s="1" t="s">
        <v>335</v>
      </c>
      <c r="C1549" s="3" t="str">
        <f>VLOOKUP(B1549,'[5]Migrasi Bed'!$B$4:$E$521,4,0)</f>
        <v>ST.B013</v>
      </c>
      <c r="D1549" s="28">
        <f t="shared" si="404"/>
        <v>46216</v>
      </c>
      <c r="E1549" s="28">
        <f t="shared" si="405"/>
        <v>46200</v>
      </c>
      <c r="F1549" s="28">
        <f t="shared" si="406"/>
        <v>46207</v>
      </c>
      <c r="G1549" s="28">
        <f t="shared" si="407"/>
        <v>46213</v>
      </c>
      <c r="H1549" s="28">
        <f t="shared" si="408"/>
        <v>46201</v>
      </c>
      <c r="I1549" s="28">
        <f t="shared" si="409"/>
        <v>46208</v>
      </c>
      <c r="J1549" s="28"/>
      <c r="K1549" s="1"/>
      <c r="L1549" s="1"/>
      <c r="M1549" s="1"/>
      <c r="N1549" s="1">
        <v>0</v>
      </c>
      <c r="O1549" s="1" t="s">
        <v>379</v>
      </c>
    </row>
    <row r="1550" spans="1:15" x14ac:dyDescent="0.25">
      <c r="A1550" s="71">
        <v>46193</v>
      </c>
      <c r="B1550" s="1" t="s">
        <v>336</v>
      </c>
      <c r="C1550" s="3" t="str">
        <f>VLOOKUP(B1550,'[5]Migrasi Bed'!$B$4:$E$521,4,0)</f>
        <v>ST.B014</v>
      </c>
      <c r="D1550" s="28">
        <f t="shared" si="404"/>
        <v>46216</v>
      </c>
      <c r="E1550" s="28">
        <f t="shared" si="405"/>
        <v>46200</v>
      </c>
      <c r="F1550" s="28">
        <f t="shared" si="406"/>
        <v>46207</v>
      </c>
      <c r="G1550" s="28">
        <f t="shared" si="407"/>
        <v>46213</v>
      </c>
      <c r="H1550" s="28">
        <f t="shared" si="408"/>
        <v>46201</v>
      </c>
      <c r="I1550" s="28">
        <f t="shared" si="409"/>
        <v>46208</v>
      </c>
      <c r="J1550" s="28"/>
      <c r="K1550" s="1"/>
      <c r="L1550" s="1"/>
      <c r="M1550" s="1"/>
      <c r="N1550" s="1">
        <v>0</v>
      </c>
      <c r="O1550" s="1" t="s">
        <v>379</v>
      </c>
    </row>
    <row r="1551" spans="1:15" x14ac:dyDescent="0.25">
      <c r="A1551" s="71">
        <v>46193</v>
      </c>
      <c r="B1551" s="1" t="s">
        <v>337</v>
      </c>
      <c r="C1551" s="3" t="str">
        <f>VLOOKUP(B1551,'[5]Migrasi Bed'!$B$4:$E$521,4,0)</f>
        <v>ST.B015</v>
      </c>
      <c r="D1551" s="28">
        <f t="shared" si="404"/>
        <v>46216</v>
      </c>
      <c r="E1551" s="28">
        <f t="shared" si="405"/>
        <v>46200</v>
      </c>
      <c r="F1551" s="28">
        <f t="shared" si="406"/>
        <v>46207</v>
      </c>
      <c r="G1551" s="28">
        <f t="shared" si="407"/>
        <v>46213</v>
      </c>
      <c r="H1551" s="28">
        <f t="shared" si="408"/>
        <v>46201</v>
      </c>
      <c r="I1551" s="28">
        <f t="shared" si="409"/>
        <v>46208</v>
      </c>
      <c r="J1551" s="28"/>
      <c r="K1551" s="1"/>
      <c r="L1551" s="1"/>
      <c r="M1551" s="1"/>
      <c r="N1551" s="1">
        <v>0</v>
      </c>
      <c r="O1551" s="1" t="s">
        <v>379</v>
      </c>
    </row>
    <row r="1552" spans="1:15" x14ac:dyDescent="0.25">
      <c r="A1552" s="71">
        <v>46193</v>
      </c>
      <c r="B1552" s="1" t="s">
        <v>338</v>
      </c>
      <c r="C1552" s="3" t="str">
        <f>VLOOKUP(B1552,'[5]Migrasi Bed'!$B$4:$E$521,4,0)</f>
        <v>ST.B016</v>
      </c>
      <c r="D1552" s="28">
        <f t="shared" si="404"/>
        <v>46216</v>
      </c>
      <c r="E1552" s="28">
        <f t="shared" si="405"/>
        <v>46200</v>
      </c>
      <c r="F1552" s="28">
        <f t="shared" si="406"/>
        <v>46207</v>
      </c>
      <c r="G1552" s="28">
        <f t="shared" si="407"/>
        <v>46213</v>
      </c>
      <c r="H1552" s="28">
        <f t="shared" si="408"/>
        <v>46201</v>
      </c>
      <c r="I1552" s="28">
        <f t="shared" si="409"/>
        <v>46208</v>
      </c>
      <c r="J1552" s="28"/>
      <c r="K1552" s="1"/>
      <c r="L1552" s="1"/>
      <c r="M1552" s="1"/>
      <c r="N1552" s="1">
        <v>0</v>
      </c>
      <c r="O1552" s="1" t="s">
        <v>379</v>
      </c>
    </row>
    <row r="1553" spans="1:15" x14ac:dyDescent="0.25">
      <c r="A1553" s="71">
        <v>46194</v>
      </c>
      <c r="B1553" s="1" t="s">
        <v>325</v>
      </c>
      <c r="C1553" s="3" t="str">
        <f>VLOOKUP(B1553,'[5]Migrasi Bed'!$B$4:$E$521,4,0)</f>
        <v>ST.B003</v>
      </c>
      <c r="D1553" s="28">
        <f t="shared" si="404"/>
        <v>46217</v>
      </c>
      <c r="E1553" s="28">
        <f t="shared" si="405"/>
        <v>46201</v>
      </c>
      <c r="F1553" s="28">
        <f t="shared" si="406"/>
        <v>46208</v>
      </c>
      <c r="G1553" s="28">
        <f t="shared" si="407"/>
        <v>46214</v>
      </c>
      <c r="H1553" s="28">
        <f t="shared" si="408"/>
        <v>46202</v>
      </c>
      <c r="I1553" s="28">
        <f t="shared" si="409"/>
        <v>46209</v>
      </c>
      <c r="J1553" s="28"/>
      <c r="K1553" s="1"/>
      <c r="L1553" s="1"/>
      <c r="M1553" s="1"/>
      <c r="N1553" s="1">
        <v>0</v>
      </c>
      <c r="O1553" s="1" t="s">
        <v>379</v>
      </c>
    </row>
    <row r="1554" spans="1:15" x14ac:dyDescent="0.25">
      <c r="A1554" s="71">
        <v>46194</v>
      </c>
      <c r="B1554" s="1" t="s">
        <v>326</v>
      </c>
      <c r="C1554" s="3" t="str">
        <f>VLOOKUP(B1554,'[5]Migrasi Bed'!$B$4:$E$521,4,0)</f>
        <v>ST.B004</v>
      </c>
      <c r="D1554" s="28">
        <f t="shared" si="404"/>
        <v>46217</v>
      </c>
      <c r="E1554" s="28">
        <f t="shared" si="405"/>
        <v>46201</v>
      </c>
      <c r="F1554" s="28">
        <f t="shared" si="406"/>
        <v>46208</v>
      </c>
      <c r="G1554" s="28">
        <f t="shared" si="407"/>
        <v>46214</v>
      </c>
      <c r="H1554" s="28">
        <f t="shared" si="408"/>
        <v>46202</v>
      </c>
      <c r="I1554" s="28">
        <f t="shared" si="409"/>
        <v>46209</v>
      </c>
      <c r="J1554" s="28"/>
      <c r="K1554" s="1"/>
      <c r="L1554" s="1"/>
      <c r="M1554" s="1"/>
      <c r="N1554" s="1">
        <v>0</v>
      </c>
      <c r="O1554" s="1" t="s">
        <v>379</v>
      </c>
    </row>
    <row r="1555" spans="1:15" x14ac:dyDescent="0.25">
      <c r="A1555" s="71">
        <v>46194</v>
      </c>
      <c r="B1555" s="1" t="s">
        <v>327</v>
      </c>
      <c r="C1555" s="3" t="str">
        <f>VLOOKUP(B1555,'[5]Migrasi Bed'!$B$4:$E$521,4,0)</f>
        <v>ST.B005</v>
      </c>
      <c r="D1555" s="28">
        <f t="shared" si="404"/>
        <v>46217</v>
      </c>
      <c r="E1555" s="28">
        <f t="shared" si="405"/>
        <v>46201</v>
      </c>
      <c r="F1555" s="28">
        <f t="shared" si="406"/>
        <v>46208</v>
      </c>
      <c r="G1555" s="28">
        <f t="shared" si="407"/>
        <v>46214</v>
      </c>
      <c r="H1555" s="28">
        <f t="shared" si="408"/>
        <v>46202</v>
      </c>
      <c r="I1555" s="28">
        <f t="shared" si="409"/>
        <v>46209</v>
      </c>
      <c r="J1555" s="28"/>
      <c r="K1555" s="1"/>
      <c r="L1555" s="1"/>
      <c r="M1555" s="1"/>
      <c r="N1555" s="1">
        <v>0</v>
      </c>
      <c r="O1555" s="1" t="s">
        <v>379</v>
      </c>
    </row>
    <row r="1556" spans="1:15" x14ac:dyDescent="0.25">
      <c r="A1556" s="71">
        <v>46194</v>
      </c>
      <c r="B1556" s="1" t="s">
        <v>328</v>
      </c>
      <c r="C1556" s="3" t="str">
        <f>VLOOKUP(B1556,'[5]Migrasi Bed'!$B$4:$E$521,4,0)</f>
        <v>ST.B006</v>
      </c>
      <c r="D1556" s="28">
        <f t="shared" si="404"/>
        <v>46217</v>
      </c>
      <c r="E1556" s="28">
        <f t="shared" si="405"/>
        <v>46201</v>
      </c>
      <c r="F1556" s="28">
        <f t="shared" si="406"/>
        <v>46208</v>
      </c>
      <c r="G1556" s="28">
        <f t="shared" si="407"/>
        <v>46214</v>
      </c>
      <c r="H1556" s="28">
        <f t="shared" si="408"/>
        <v>46202</v>
      </c>
      <c r="I1556" s="28">
        <f t="shared" si="409"/>
        <v>46209</v>
      </c>
      <c r="J1556" s="28"/>
      <c r="K1556" s="1"/>
      <c r="L1556" s="1"/>
      <c r="M1556" s="1"/>
      <c r="N1556" s="1">
        <v>0</v>
      </c>
      <c r="O1556" s="1" t="s">
        <v>379</v>
      </c>
    </row>
    <row r="1557" spans="1:15" x14ac:dyDescent="0.25">
      <c r="A1557" s="71">
        <v>46194</v>
      </c>
      <c r="B1557" s="1" t="s">
        <v>329</v>
      </c>
      <c r="C1557" s="3" t="str">
        <f>VLOOKUP(B1557,'[5]Migrasi Bed'!$B$4:$E$521,4,0)</f>
        <v>ST.B007</v>
      </c>
      <c r="D1557" s="28">
        <f t="shared" si="404"/>
        <v>46217</v>
      </c>
      <c r="E1557" s="28">
        <f t="shared" si="405"/>
        <v>46201</v>
      </c>
      <c r="F1557" s="28">
        <f t="shared" si="406"/>
        <v>46208</v>
      </c>
      <c r="G1557" s="28">
        <f t="shared" si="407"/>
        <v>46214</v>
      </c>
      <c r="H1557" s="28">
        <f t="shared" si="408"/>
        <v>46202</v>
      </c>
      <c r="I1557" s="28">
        <f t="shared" si="409"/>
        <v>46209</v>
      </c>
      <c r="J1557" s="28"/>
      <c r="K1557" s="1"/>
      <c r="L1557" s="1"/>
      <c r="M1557" s="1"/>
      <c r="N1557" s="1">
        <v>0</v>
      </c>
      <c r="O1557" s="1" t="s">
        <v>379</v>
      </c>
    </row>
    <row r="1558" spans="1:15" x14ac:dyDescent="0.25">
      <c r="A1558" s="71">
        <v>46194</v>
      </c>
      <c r="B1558" s="1" t="s">
        <v>330</v>
      </c>
      <c r="C1558" s="3" t="str">
        <f>VLOOKUP(B1558,'[5]Migrasi Bed'!$B$4:$E$521,4,0)</f>
        <v>ST.B008</v>
      </c>
      <c r="D1558" s="28">
        <f t="shared" si="404"/>
        <v>46217</v>
      </c>
      <c r="E1558" s="28">
        <f t="shared" si="405"/>
        <v>46201</v>
      </c>
      <c r="F1558" s="28">
        <f t="shared" si="406"/>
        <v>46208</v>
      </c>
      <c r="G1558" s="28">
        <f t="shared" si="407"/>
        <v>46214</v>
      </c>
      <c r="H1558" s="28">
        <f t="shared" si="408"/>
        <v>46202</v>
      </c>
      <c r="I1558" s="28">
        <f t="shared" si="409"/>
        <v>46209</v>
      </c>
      <c r="J1558" s="28"/>
      <c r="K1558" s="1"/>
      <c r="L1558" s="1"/>
      <c r="M1558" s="1"/>
      <c r="N1558" s="1">
        <v>0</v>
      </c>
      <c r="O1558" s="1" t="s">
        <v>379</v>
      </c>
    </row>
    <row r="1559" spans="1:15" x14ac:dyDescent="0.25">
      <c r="A1559" s="71">
        <v>46194</v>
      </c>
      <c r="B1559" s="1" t="s">
        <v>331</v>
      </c>
      <c r="C1559" s="3" t="str">
        <f>VLOOKUP(B1559,'[5]Migrasi Bed'!$B$4:$E$521,4,0)</f>
        <v>ST.B009</v>
      </c>
      <c r="D1559" s="28">
        <f t="shared" si="404"/>
        <v>46217</v>
      </c>
      <c r="E1559" s="28">
        <f t="shared" si="405"/>
        <v>46201</v>
      </c>
      <c r="F1559" s="28">
        <f t="shared" si="406"/>
        <v>46208</v>
      </c>
      <c r="G1559" s="28">
        <f t="shared" si="407"/>
        <v>46214</v>
      </c>
      <c r="H1559" s="28">
        <f t="shared" si="408"/>
        <v>46202</v>
      </c>
      <c r="I1559" s="28">
        <f t="shared" si="409"/>
        <v>46209</v>
      </c>
      <c r="J1559" s="28"/>
      <c r="K1559" s="1"/>
      <c r="L1559" s="1"/>
      <c r="M1559" s="1"/>
      <c r="N1559" s="1">
        <v>0</v>
      </c>
      <c r="O1559" s="1" t="s">
        <v>379</v>
      </c>
    </row>
    <row r="1560" spans="1:15" x14ac:dyDescent="0.25">
      <c r="A1560" s="71">
        <v>46195</v>
      </c>
      <c r="B1560" s="1" t="s">
        <v>324</v>
      </c>
      <c r="C1560" s="3" t="str">
        <f>VLOOKUP(B1560,'[5]Migrasi Bed'!$B$4:$E$521,4,0)</f>
        <v>ST.B002</v>
      </c>
      <c r="D1560" s="28">
        <f t="shared" si="404"/>
        <v>46218</v>
      </c>
      <c r="E1560" s="28">
        <f t="shared" si="405"/>
        <v>46202</v>
      </c>
      <c r="F1560" s="28">
        <f t="shared" si="406"/>
        <v>46209</v>
      </c>
      <c r="G1560" s="28">
        <f t="shared" si="407"/>
        <v>46215</v>
      </c>
      <c r="H1560" s="28">
        <f t="shared" si="408"/>
        <v>46203</v>
      </c>
      <c r="I1560" s="28">
        <f t="shared" si="409"/>
        <v>46210</v>
      </c>
      <c r="J1560" s="28"/>
      <c r="K1560" s="1"/>
      <c r="L1560" s="1"/>
      <c r="M1560" s="1"/>
      <c r="N1560" s="1">
        <v>0</v>
      </c>
      <c r="O1560" s="1" t="s">
        <v>379</v>
      </c>
    </row>
    <row r="1561" spans="1:15" x14ac:dyDescent="0.25">
      <c r="A1561" s="71">
        <v>46195</v>
      </c>
      <c r="B1561" s="1" t="s">
        <v>303</v>
      </c>
      <c r="C1561" s="3" t="str">
        <f>VLOOKUP(B1561,'[5]Migrasi Bed'!$B$4:$E$521,4,0)</f>
        <v>ST.A001</v>
      </c>
      <c r="D1561" s="28">
        <f t="shared" si="404"/>
        <v>46218</v>
      </c>
      <c r="E1561" s="28">
        <f t="shared" si="405"/>
        <v>46202</v>
      </c>
      <c r="F1561" s="28">
        <f t="shared" si="406"/>
        <v>46209</v>
      </c>
      <c r="G1561" s="28">
        <f t="shared" si="407"/>
        <v>46215</v>
      </c>
      <c r="H1561" s="28">
        <f t="shared" si="408"/>
        <v>46203</v>
      </c>
      <c r="I1561" s="28">
        <f t="shared" si="409"/>
        <v>46210</v>
      </c>
      <c r="J1561" s="28"/>
      <c r="K1561" s="1"/>
      <c r="L1561" s="1"/>
      <c r="M1561" s="1"/>
      <c r="N1561" s="1">
        <v>0</v>
      </c>
      <c r="O1561" s="1" t="s">
        <v>379</v>
      </c>
    </row>
    <row r="1562" spans="1:15" x14ac:dyDescent="0.25">
      <c r="A1562" s="71">
        <v>46195</v>
      </c>
      <c r="B1562" s="1" t="s">
        <v>304</v>
      </c>
      <c r="C1562" s="3" t="str">
        <f>VLOOKUP(B1562,'[5]Migrasi Bed'!$B$4:$E$521,4,0)</f>
        <v>ST.A002</v>
      </c>
      <c r="D1562" s="28">
        <f t="shared" si="404"/>
        <v>46218</v>
      </c>
      <c r="E1562" s="28">
        <f t="shared" si="405"/>
        <v>46202</v>
      </c>
      <c r="F1562" s="28">
        <f t="shared" si="406"/>
        <v>46209</v>
      </c>
      <c r="G1562" s="28">
        <f t="shared" si="407"/>
        <v>46215</v>
      </c>
      <c r="H1562" s="28">
        <f t="shared" si="408"/>
        <v>46203</v>
      </c>
      <c r="I1562" s="28">
        <f t="shared" si="409"/>
        <v>46210</v>
      </c>
      <c r="J1562" s="28"/>
      <c r="K1562" s="1"/>
      <c r="L1562" s="1"/>
      <c r="M1562" s="1"/>
      <c r="N1562" s="1">
        <v>0</v>
      </c>
      <c r="O1562" s="1" t="s">
        <v>379</v>
      </c>
    </row>
    <row r="1563" spans="1:15" x14ac:dyDescent="0.25">
      <c r="A1563" s="71">
        <v>46195</v>
      </c>
      <c r="B1563" s="1" t="s">
        <v>305</v>
      </c>
      <c r="C1563" s="3" t="str">
        <f>VLOOKUP(B1563,'[5]Migrasi Bed'!$B$4:$E$521,4,0)</f>
        <v>ST.A003</v>
      </c>
      <c r="D1563" s="28">
        <f t="shared" si="404"/>
        <v>46218</v>
      </c>
      <c r="E1563" s="28">
        <f t="shared" si="405"/>
        <v>46202</v>
      </c>
      <c r="F1563" s="28">
        <f t="shared" si="406"/>
        <v>46209</v>
      </c>
      <c r="G1563" s="28">
        <f t="shared" si="407"/>
        <v>46215</v>
      </c>
      <c r="H1563" s="28">
        <f t="shared" si="408"/>
        <v>46203</v>
      </c>
      <c r="I1563" s="28">
        <f t="shared" si="409"/>
        <v>46210</v>
      </c>
      <c r="J1563" s="28"/>
      <c r="K1563" s="1"/>
      <c r="L1563" s="1"/>
      <c r="M1563" s="1"/>
      <c r="N1563" s="1">
        <v>0</v>
      </c>
      <c r="O1563" s="1" t="s">
        <v>379</v>
      </c>
    </row>
    <row r="1564" spans="1:15" x14ac:dyDescent="0.25">
      <c r="A1564" s="71">
        <v>46195</v>
      </c>
      <c r="B1564" s="1" t="s">
        <v>306</v>
      </c>
      <c r="C1564" s="3" t="str">
        <f>VLOOKUP(B1564,'[5]Migrasi Bed'!$B$4:$E$521,4,0)</f>
        <v>ST.A004</v>
      </c>
      <c r="D1564" s="28">
        <f t="shared" si="404"/>
        <v>46218</v>
      </c>
      <c r="E1564" s="28">
        <f t="shared" si="405"/>
        <v>46202</v>
      </c>
      <c r="F1564" s="28">
        <f t="shared" si="406"/>
        <v>46209</v>
      </c>
      <c r="G1564" s="28">
        <f t="shared" si="407"/>
        <v>46215</v>
      </c>
      <c r="H1564" s="28">
        <f t="shared" si="408"/>
        <v>46203</v>
      </c>
      <c r="I1564" s="28">
        <f t="shared" si="409"/>
        <v>46210</v>
      </c>
      <c r="J1564" s="28"/>
      <c r="K1564" s="1"/>
      <c r="L1564" s="1"/>
      <c r="M1564" s="1"/>
      <c r="N1564" s="1">
        <v>0</v>
      </c>
      <c r="O1564" s="1" t="s">
        <v>379</v>
      </c>
    </row>
    <row r="1565" spans="1:15" x14ac:dyDescent="0.25">
      <c r="A1565" s="71">
        <v>46195</v>
      </c>
      <c r="B1565" s="1" t="s">
        <v>307</v>
      </c>
      <c r="C1565" s="3" t="str">
        <f>VLOOKUP(B1565,'[5]Migrasi Bed'!$B$4:$E$521,4,0)</f>
        <v>ST.A005</v>
      </c>
      <c r="D1565" s="28">
        <f t="shared" si="404"/>
        <v>46218</v>
      </c>
      <c r="E1565" s="28">
        <f t="shared" si="405"/>
        <v>46202</v>
      </c>
      <c r="F1565" s="28">
        <f t="shared" si="406"/>
        <v>46209</v>
      </c>
      <c r="G1565" s="28">
        <f t="shared" si="407"/>
        <v>46215</v>
      </c>
      <c r="H1565" s="28">
        <f t="shared" si="408"/>
        <v>46203</v>
      </c>
      <c r="I1565" s="28">
        <f t="shared" si="409"/>
        <v>46210</v>
      </c>
      <c r="J1565" s="28"/>
      <c r="K1565" s="1"/>
      <c r="L1565" s="1"/>
      <c r="M1565" s="1"/>
      <c r="N1565" s="1">
        <v>0</v>
      </c>
      <c r="O1565" s="1" t="s">
        <v>379</v>
      </c>
    </row>
    <row r="1566" spans="1:15" x14ac:dyDescent="0.25">
      <c r="A1566" s="71">
        <v>46195</v>
      </c>
      <c r="B1566" s="1" t="s">
        <v>308</v>
      </c>
      <c r="C1566" s="3" t="str">
        <f>VLOOKUP(B1566,'[5]Migrasi Bed'!$B$4:$E$521,4,0)</f>
        <v>ST.A006</v>
      </c>
      <c r="D1566" s="28">
        <f t="shared" si="404"/>
        <v>46218</v>
      </c>
      <c r="E1566" s="28">
        <f t="shared" si="405"/>
        <v>46202</v>
      </c>
      <c r="F1566" s="28">
        <f t="shared" si="406"/>
        <v>46209</v>
      </c>
      <c r="G1566" s="28">
        <f t="shared" si="407"/>
        <v>46215</v>
      </c>
      <c r="H1566" s="28">
        <f t="shared" si="408"/>
        <v>46203</v>
      </c>
      <c r="I1566" s="28">
        <f t="shared" si="409"/>
        <v>46210</v>
      </c>
      <c r="J1566" s="28"/>
      <c r="K1566" s="1"/>
      <c r="L1566" s="1"/>
      <c r="M1566" s="1"/>
      <c r="N1566" s="1">
        <v>0</v>
      </c>
      <c r="O1566" s="1" t="s">
        <v>379</v>
      </c>
    </row>
    <row r="1567" spans="1:15" x14ac:dyDescent="0.25">
      <c r="A1567" s="71">
        <v>46196</v>
      </c>
      <c r="B1567" s="1" t="s">
        <v>309</v>
      </c>
      <c r="C1567" s="3" t="str">
        <f>VLOOKUP(B1567,'[5]Migrasi Bed'!$B$4:$E$521,4,0)</f>
        <v>ST.A007</v>
      </c>
      <c r="D1567" s="28">
        <f t="shared" si="404"/>
        <v>46219</v>
      </c>
      <c r="E1567" s="28">
        <f t="shared" si="405"/>
        <v>46203</v>
      </c>
      <c r="F1567" s="28">
        <f t="shared" si="406"/>
        <v>46210</v>
      </c>
      <c r="G1567" s="28">
        <f t="shared" si="407"/>
        <v>46216</v>
      </c>
      <c r="H1567" s="28">
        <f t="shared" si="408"/>
        <v>46204</v>
      </c>
      <c r="I1567" s="28">
        <f t="shared" si="409"/>
        <v>46211</v>
      </c>
      <c r="J1567" s="28"/>
      <c r="K1567" s="1"/>
      <c r="L1567" s="1"/>
      <c r="M1567" s="1"/>
      <c r="N1567" s="1">
        <v>0</v>
      </c>
      <c r="O1567" s="1" t="s">
        <v>379</v>
      </c>
    </row>
    <row r="1568" spans="1:15" x14ac:dyDescent="0.25">
      <c r="A1568" s="71">
        <v>46196</v>
      </c>
      <c r="B1568" s="1" t="s">
        <v>310</v>
      </c>
      <c r="C1568" s="3" t="str">
        <f>VLOOKUP(B1568,'[5]Migrasi Bed'!$B$4:$E$521,4,0)</f>
        <v>ST.A008</v>
      </c>
      <c r="D1568" s="28">
        <f t="shared" si="404"/>
        <v>46219</v>
      </c>
      <c r="E1568" s="28">
        <f t="shared" si="405"/>
        <v>46203</v>
      </c>
      <c r="F1568" s="28">
        <f t="shared" si="406"/>
        <v>46210</v>
      </c>
      <c r="G1568" s="28">
        <f t="shared" si="407"/>
        <v>46216</v>
      </c>
      <c r="H1568" s="28">
        <f t="shared" si="408"/>
        <v>46204</v>
      </c>
      <c r="I1568" s="28">
        <f t="shared" si="409"/>
        <v>46211</v>
      </c>
      <c r="J1568" s="28"/>
      <c r="K1568" s="1"/>
      <c r="L1568" s="1"/>
      <c r="M1568" s="1"/>
      <c r="N1568" s="1">
        <v>0</v>
      </c>
      <c r="O1568" s="1" t="s">
        <v>379</v>
      </c>
    </row>
    <row r="1569" spans="1:15" x14ac:dyDescent="0.25">
      <c r="A1569" s="71">
        <v>46196</v>
      </c>
      <c r="B1569" s="1" t="s">
        <v>311</v>
      </c>
      <c r="C1569" s="3" t="str">
        <f>VLOOKUP(B1569,'[5]Migrasi Bed'!$B$4:$E$521,4,0)</f>
        <v>ST.A009</v>
      </c>
      <c r="D1569" s="28">
        <f t="shared" si="404"/>
        <v>46219</v>
      </c>
      <c r="E1569" s="28">
        <f t="shared" si="405"/>
        <v>46203</v>
      </c>
      <c r="F1569" s="28">
        <f t="shared" si="406"/>
        <v>46210</v>
      </c>
      <c r="G1569" s="28">
        <f t="shared" si="407"/>
        <v>46216</v>
      </c>
      <c r="H1569" s="28">
        <f t="shared" si="408"/>
        <v>46204</v>
      </c>
      <c r="I1569" s="28">
        <f t="shared" si="409"/>
        <v>46211</v>
      </c>
      <c r="J1569" s="28"/>
      <c r="K1569" s="1"/>
      <c r="L1569" s="1"/>
      <c r="M1569" s="1"/>
      <c r="N1569" s="1">
        <v>0</v>
      </c>
      <c r="O1569" s="1" t="s">
        <v>379</v>
      </c>
    </row>
    <row r="1570" spans="1:15" x14ac:dyDescent="0.25">
      <c r="A1570" s="71">
        <v>46196</v>
      </c>
      <c r="B1570" s="1" t="s">
        <v>312</v>
      </c>
      <c r="C1570" s="3" t="str">
        <f>VLOOKUP(B1570,'[5]Migrasi Bed'!$B$4:$E$521,4,0)</f>
        <v>ST.A010</v>
      </c>
      <c r="D1570" s="28">
        <f t="shared" ref="D1570:D1588" si="410">A1570+23</f>
        <v>46219</v>
      </c>
      <c r="E1570" s="28">
        <f t="shared" ref="E1570:E1588" si="411">A1570+7</f>
        <v>46203</v>
      </c>
      <c r="F1570" s="28">
        <f t="shared" ref="F1570:F1588" si="412">A1570+14</f>
        <v>46210</v>
      </c>
      <c r="G1570" s="28">
        <f t="shared" ref="G1570:G1588" si="413">A1570+20</f>
        <v>46216</v>
      </c>
      <c r="H1570" s="28">
        <f t="shared" ref="H1570:H1588" si="414">A1570+8</f>
        <v>46204</v>
      </c>
      <c r="I1570" s="28">
        <f t="shared" ref="I1570:I1588" si="415">A1570+15</f>
        <v>46211</v>
      </c>
      <c r="J1570" s="28"/>
      <c r="K1570" s="1"/>
      <c r="L1570" s="1"/>
      <c r="M1570" s="1"/>
      <c r="N1570" s="1">
        <v>0</v>
      </c>
      <c r="O1570" s="1" t="s">
        <v>379</v>
      </c>
    </row>
    <row r="1571" spans="1:15" x14ac:dyDescent="0.25">
      <c r="A1571" s="71">
        <v>46196</v>
      </c>
      <c r="B1571" s="1" t="s">
        <v>313</v>
      </c>
      <c r="C1571" s="3" t="str">
        <f>VLOOKUP(B1571,'[5]Migrasi Bed'!$B$4:$E$521,4,0)</f>
        <v>ST.A011</v>
      </c>
      <c r="D1571" s="28">
        <f t="shared" si="410"/>
        <v>46219</v>
      </c>
      <c r="E1571" s="28">
        <f t="shared" si="411"/>
        <v>46203</v>
      </c>
      <c r="F1571" s="28">
        <f t="shared" si="412"/>
        <v>46210</v>
      </c>
      <c r="G1571" s="28">
        <f t="shared" si="413"/>
        <v>46216</v>
      </c>
      <c r="H1571" s="28">
        <f t="shared" si="414"/>
        <v>46204</v>
      </c>
      <c r="I1571" s="28">
        <f t="shared" si="415"/>
        <v>46211</v>
      </c>
      <c r="J1571" s="28"/>
      <c r="K1571" s="1"/>
      <c r="L1571" s="1"/>
      <c r="M1571" s="1"/>
      <c r="N1571" s="1">
        <v>0</v>
      </c>
      <c r="O1571" s="1" t="s">
        <v>379</v>
      </c>
    </row>
    <row r="1572" spans="1:15" x14ac:dyDescent="0.25">
      <c r="A1572" s="71">
        <v>46196</v>
      </c>
      <c r="B1572" s="1" t="s">
        <v>314</v>
      </c>
      <c r="C1572" s="3" t="str">
        <f>VLOOKUP(B1572,'[5]Migrasi Bed'!$B$4:$E$521,4,0)</f>
        <v>ST.A012</v>
      </c>
      <c r="D1572" s="28">
        <f t="shared" si="410"/>
        <v>46219</v>
      </c>
      <c r="E1572" s="28">
        <f t="shared" si="411"/>
        <v>46203</v>
      </c>
      <c r="F1572" s="28">
        <f t="shared" si="412"/>
        <v>46210</v>
      </c>
      <c r="G1572" s="28">
        <f t="shared" si="413"/>
        <v>46216</v>
      </c>
      <c r="H1572" s="28">
        <f t="shared" si="414"/>
        <v>46204</v>
      </c>
      <c r="I1572" s="28">
        <f t="shared" si="415"/>
        <v>46211</v>
      </c>
      <c r="J1572" s="28"/>
      <c r="K1572" s="1"/>
      <c r="L1572" s="1"/>
      <c r="M1572" s="1"/>
      <c r="N1572" s="1">
        <v>0</v>
      </c>
      <c r="O1572" s="1" t="s">
        <v>379</v>
      </c>
    </row>
    <row r="1573" spans="1:15" x14ac:dyDescent="0.25">
      <c r="A1573" s="71">
        <v>46196</v>
      </c>
      <c r="B1573" s="1" t="s">
        <v>315</v>
      </c>
      <c r="C1573" s="3" t="str">
        <f>VLOOKUP(B1573,'[5]Migrasi Bed'!$B$4:$E$521,4,0)</f>
        <v>ST.A013</v>
      </c>
      <c r="D1573" s="28">
        <f t="shared" si="410"/>
        <v>46219</v>
      </c>
      <c r="E1573" s="28">
        <f t="shared" si="411"/>
        <v>46203</v>
      </c>
      <c r="F1573" s="28">
        <f t="shared" si="412"/>
        <v>46210</v>
      </c>
      <c r="G1573" s="28">
        <f t="shared" si="413"/>
        <v>46216</v>
      </c>
      <c r="H1573" s="28">
        <f t="shared" si="414"/>
        <v>46204</v>
      </c>
      <c r="I1573" s="28">
        <f t="shared" si="415"/>
        <v>46211</v>
      </c>
      <c r="J1573" s="28"/>
      <c r="K1573" s="1"/>
      <c r="L1573" s="1"/>
      <c r="M1573" s="1"/>
      <c r="N1573" s="1">
        <v>0</v>
      </c>
      <c r="O1573" s="1" t="s">
        <v>379</v>
      </c>
    </row>
    <row r="1574" spans="1:15" x14ac:dyDescent="0.25">
      <c r="A1574" s="71">
        <v>46197</v>
      </c>
      <c r="B1574" s="1" t="s">
        <v>316</v>
      </c>
      <c r="C1574" s="3" t="str">
        <f>VLOOKUP(B1574,'[5]Migrasi Bed'!$B$4:$E$521,4,0)</f>
        <v>ST.A014</v>
      </c>
      <c r="D1574" s="28">
        <f t="shared" si="410"/>
        <v>46220</v>
      </c>
      <c r="E1574" s="28">
        <f t="shared" si="411"/>
        <v>46204</v>
      </c>
      <c r="F1574" s="28">
        <f t="shared" si="412"/>
        <v>46211</v>
      </c>
      <c r="G1574" s="28">
        <f t="shared" si="413"/>
        <v>46217</v>
      </c>
      <c r="H1574" s="28">
        <f t="shared" si="414"/>
        <v>46205</v>
      </c>
      <c r="I1574" s="28">
        <f t="shared" si="415"/>
        <v>46212</v>
      </c>
      <c r="J1574" s="28"/>
      <c r="K1574" s="1"/>
      <c r="L1574" s="1"/>
      <c r="M1574" s="1"/>
      <c r="N1574" s="1">
        <v>0</v>
      </c>
      <c r="O1574" s="1" t="s">
        <v>379</v>
      </c>
    </row>
    <row r="1575" spans="1:15" x14ac:dyDescent="0.25">
      <c r="A1575" s="71">
        <v>46197</v>
      </c>
      <c r="B1575" s="1" t="s">
        <v>317</v>
      </c>
      <c r="C1575" s="3" t="str">
        <f>VLOOKUP(B1575,'[5]Migrasi Bed'!$B$4:$E$521,4,0)</f>
        <v>ST.A015</v>
      </c>
      <c r="D1575" s="28">
        <f t="shared" si="410"/>
        <v>46220</v>
      </c>
      <c r="E1575" s="28">
        <f t="shared" si="411"/>
        <v>46204</v>
      </c>
      <c r="F1575" s="28">
        <f t="shared" si="412"/>
        <v>46211</v>
      </c>
      <c r="G1575" s="28">
        <f t="shared" si="413"/>
        <v>46217</v>
      </c>
      <c r="H1575" s="28">
        <f t="shared" si="414"/>
        <v>46205</v>
      </c>
      <c r="I1575" s="28">
        <f t="shared" si="415"/>
        <v>46212</v>
      </c>
      <c r="J1575" s="28"/>
      <c r="K1575" s="1"/>
      <c r="L1575" s="1"/>
      <c r="M1575" s="1"/>
      <c r="N1575" s="1">
        <v>0</v>
      </c>
      <c r="O1575" s="1" t="s">
        <v>379</v>
      </c>
    </row>
    <row r="1576" spans="1:15" x14ac:dyDescent="0.25">
      <c r="A1576" s="71">
        <v>46197</v>
      </c>
      <c r="B1576" s="1" t="s">
        <v>318</v>
      </c>
      <c r="C1576" s="3" t="str">
        <f>VLOOKUP(B1576,'[5]Migrasi Bed'!$B$4:$E$521,4,0)</f>
        <v>ST.A016</v>
      </c>
      <c r="D1576" s="28">
        <f t="shared" si="410"/>
        <v>46220</v>
      </c>
      <c r="E1576" s="28">
        <f t="shared" si="411"/>
        <v>46204</v>
      </c>
      <c r="F1576" s="28">
        <f t="shared" si="412"/>
        <v>46211</v>
      </c>
      <c r="G1576" s="28">
        <f t="shared" si="413"/>
        <v>46217</v>
      </c>
      <c r="H1576" s="28">
        <f t="shared" si="414"/>
        <v>46205</v>
      </c>
      <c r="I1576" s="28">
        <f t="shared" si="415"/>
        <v>46212</v>
      </c>
      <c r="J1576" s="28"/>
      <c r="K1576" s="1"/>
      <c r="L1576" s="1"/>
      <c r="M1576" s="1"/>
      <c r="N1576" s="1">
        <v>0</v>
      </c>
      <c r="O1576" s="1" t="s">
        <v>379</v>
      </c>
    </row>
    <row r="1577" spans="1:15" x14ac:dyDescent="0.25">
      <c r="A1577" s="71">
        <v>46197</v>
      </c>
      <c r="B1577" s="1" t="s">
        <v>319</v>
      </c>
      <c r="C1577" s="3" t="str">
        <f>VLOOKUP(B1577,'[5]Migrasi Bed'!$B$4:$E$521,4,0)</f>
        <v>ST.A017</v>
      </c>
      <c r="D1577" s="28">
        <f t="shared" si="410"/>
        <v>46220</v>
      </c>
      <c r="E1577" s="28">
        <f t="shared" si="411"/>
        <v>46204</v>
      </c>
      <c r="F1577" s="28">
        <f t="shared" si="412"/>
        <v>46211</v>
      </c>
      <c r="G1577" s="28">
        <f t="shared" si="413"/>
        <v>46217</v>
      </c>
      <c r="H1577" s="28">
        <f t="shared" si="414"/>
        <v>46205</v>
      </c>
      <c r="I1577" s="28">
        <f t="shared" si="415"/>
        <v>46212</v>
      </c>
      <c r="J1577" s="28"/>
      <c r="K1577" s="1"/>
      <c r="L1577" s="1"/>
      <c r="M1577" s="1"/>
      <c r="N1577" s="1">
        <v>0</v>
      </c>
      <c r="O1577" s="1" t="s">
        <v>379</v>
      </c>
    </row>
    <row r="1578" spans="1:15" x14ac:dyDescent="0.25">
      <c r="A1578" s="71">
        <v>46197</v>
      </c>
      <c r="B1578" s="1" t="s">
        <v>320</v>
      </c>
      <c r="C1578" s="3" t="str">
        <f>VLOOKUP(B1578,'[5]Migrasi Bed'!$B$4:$E$521,4,0)</f>
        <v>ST.A018</v>
      </c>
      <c r="D1578" s="28">
        <f t="shared" si="410"/>
        <v>46220</v>
      </c>
      <c r="E1578" s="28">
        <f t="shared" si="411"/>
        <v>46204</v>
      </c>
      <c r="F1578" s="28">
        <f t="shared" si="412"/>
        <v>46211</v>
      </c>
      <c r="G1578" s="28">
        <f t="shared" si="413"/>
        <v>46217</v>
      </c>
      <c r="H1578" s="28">
        <f t="shared" si="414"/>
        <v>46205</v>
      </c>
      <c r="I1578" s="28">
        <f t="shared" si="415"/>
        <v>46212</v>
      </c>
      <c r="J1578" s="28"/>
      <c r="K1578" s="1"/>
      <c r="L1578" s="1"/>
      <c r="M1578" s="1"/>
      <c r="N1578" s="1">
        <v>0</v>
      </c>
      <c r="O1578" s="1" t="s">
        <v>379</v>
      </c>
    </row>
    <row r="1579" spans="1:15" x14ac:dyDescent="0.25">
      <c r="A1579" s="71">
        <v>46197</v>
      </c>
      <c r="B1579" s="1" t="s">
        <v>321</v>
      </c>
      <c r="C1579" s="3" t="str">
        <f>VLOOKUP(B1579,'[5]Migrasi Bed'!$B$4:$E$521,4,0)</f>
        <v>ST.A019</v>
      </c>
      <c r="D1579" s="28">
        <f t="shared" si="410"/>
        <v>46220</v>
      </c>
      <c r="E1579" s="28">
        <f t="shared" si="411"/>
        <v>46204</v>
      </c>
      <c r="F1579" s="28">
        <f t="shared" si="412"/>
        <v>46211</v>
      </c>
      <c r="G1579" s="28">
        <f t="shared" si="413"/>
        <v>46217</v>
      </c>
      <c r="H1579" s="28">
        <f t="shared" si="414"/>
        <v>46205</v>
      </c>
      <c r="I1579" s="28">
        <f t="shared" si="415"/>
        <v>46212</v>
      </c>
      <c r="J1579" s="28"/>
      <c r="K1579" s="1"/>
      <c r="L1579" s="1"/>
      <c r="M1579" s="1"/>
      <c r="N1579" s="1">
        <v>0</v>
      </c>
      <c r="O1579" s="1" t="s">
        <v>379</v>
      </c>
    </row>
    <row r="1580" spans="1:15" x14ac:dyDescent="0.25">
      <c r="A1580" s="71">
        <v>46197</v>
      </c>
      <c r="B1580" s="1" t="s">
        <v>322</v>
      </c>
      <c r="C1580" s="3" t="str">
        <f>VLOOKUP(B1580,'[5]Migrasi Bed'!$B$4:$E$521,4,0)</f>
        <v>ST.A020</v>
      </c>
      <c r="D1580" s="28">
        <f t="shared" si="410"/>
        <v>46220</v>
      </c>
      <c r="E1580" s="28">
        <f t="shared" si="411"/>
        <v>46204</v>
      </c>
      <c r="F1580" s="28">
        <f t="shared" si="412"/>
        <v>46211</v>
      </c>
      <c r="G1580" s="28">
        <f t="shared" si="413"/>
        <v>46217</v>
      </c>
      <c r="H1580" s="28">
        <f t="shared" si="414"/>
        <v>46205</v>
      </c>
      <c r="I1580" s="28">
        <f t="shared" si="415"/>
        <v>46212</v>
      </c>
      <c r="J1580" s="28"/>
      <c r="K1580" s="1"/>
      <c r="L1580" s="1"/>
      <c r="M1580" s="1"/>
      <c r="N1580" s="1">
        <v>0</v>
      </c>
      <c r="O1580" s="1" t="s">
        <v>379</v>
      </c>
    </row>
    <row r="1581" spans="1:15" x14ac:dyDescent="0.25">
      <c r="A1581" s="71">
        <v>46197</v>
      </c>
      <c r="B1581" s="1" t="s">
        <v>323</v>
      </c>
      <c r="C1581" s="3" t="str">
        <f>VLOOKUP(B1581,'[5]Migrasi Bed'!$B$4:$E$521,4,0)</f>
        <v>ST.A021</v>
      </c>
      <c r="D1581" s="28">
        <f t="shared" si="410"/>
        <v>46220</v>
      </c>
      <c r="E1581" s="28">
        <f t="shared" si="411"/>
        <v>46204</v>
      </c>
      <c r="F1581" s="28">
        <f t="shared" si="412"/>
        <v>46211</v>
      </c>
      <c r="G1581" s="28">
        <f t="shared" si="413"/>
        <v>46217</v>
      </c>
      <c r="H1581" s="28">
        <f t="shared" si="414"/>
        <v>46205</v>
      </c>
      <c r="I1581" s="28">
        <f t="shared" si="415"/>
        <v>46212</v>
      </c>
      <c r="J1581" s="28"/>
      <c r="K1581" s="1"/>
      <c r="L1581" s="1"/>
      <c r="M1581" s="1"/>
      <c r="N1581" s="1">
        <v>0</v>
      </c>
      <c r="O1581" s="1" t="s">
        <v>379</v>
      </c>
    </row>
    <row r="1582" spans="1:15" x14ac:dyDescent="0.25">
      <c r="A1582" s="71">
        <v>46198</v>
      </c>
      <c r="B1582" s="1" t="s">
        <v>153</v>
      </c>
      <c r="C1582" s="3" t="str">
        <f>VLOOKUP(B1582,'[5]Migrasi Bed'!$B$4:$E$521,4,0)</f>
        <v>SV.F001</v>
      </c>
      <c r="D1582" s="28">
        <f t="shared" si="410"/>
        <v>46221</v>
      </c>
      <c r="E1582" s="28">
        <f t="shared" si="411"/>
        <v>46205</v>
      </c>
      <c r="F1582" s="28">
        <f t="shared" si="412"/>
        <v>46212</v>
      </c>
      <c r="G1582" s="28">
        <f t="shared" si="413"/>
        <v>46218</v>
      </c>
      <c r="H1582" s="28">
        <f t="shared" si="414"/>
        <v>46206</v>
      </c>
      <c r="I1582" s="28">
        <f t="shared" si="415"/>
        <v>46213</v>
      </c>
      <c r="J1582" s="28"/>
      <c r="K1582" s="1"/>
      <c r="L1582" s="1"/>
      <c r="M1582" s="1"/>
      <c r="N1582" s="1">
        <v>0</v>
      </c>
      <c r="O1582" s="1" t="s">
        <v>379</v>
      </c>
    </row>
    <row r="1583" spans="1:15" x14ac:dyDescent="0.25">
      <c r="A1583" s="71">
        <v>46198</v>
      </c>
      <c r="B1583" s="1" t="s">
        <v>154</v>
      </c>
      <c r="C1583" s="3" t="str">
        <f>VLOOKUP(B1583,'[5]Migrasi Bed'!$B$4:$E$521,4,0)</f>
        <v>SV.F002</v>
      </c>
      <c r="D1583" s="28">
        <f t="shared" si="410"/>
        <v>46221</v>
      </c>
      <c r="E1583" s="28">
        <f t="shared" si="411"/>
        <v>46205</v>
      </c>
      <c r="F1583" s="28">
        <f t="shared" si="412"/>
        <v>46212</v>
      </c>
      <c r="G1583" s="28">
        <f t="shared" si="413"/>
        <v>46218</v>
      </c>
      <c r="H1583" s="28">
        <f t="shared" si="414"/>
        <v>46206</v>
      </c>
      <c r="I1583" s="28">
        <f t="shared" si="415"/>
        <v>46213</v>
      </c>
      <c r="J1583" s="28"/>
      <c r="K1583" s="1"/>
      <c r="L1583" s="1"/>
      <c r="M1583" s="1"/>
      <c r="N1583" s="1">
        <v>0</v>
      </c>
      <c r="O1583" s="1" t="s">
        <v>379</v>
      </c>
    </row>
    <row r="1584" spans="1:15" x14ac:dyDescent="0.25">
      <c r="A1584" s="71">
        <v>46198</v>
      </c>
      <c r="B1584" s="1" t="s">
        <v>155</v>
      </c>
      <c r="C1584" s="3" t="str">
        <f>VLOOKUP(B1584,'[5]Migrasi Bed'!$B$4:$E$521,4,0)</f>
        <v>SV.F003</v>
      </c>
      <c r="D1584" s="28">
        <f t="shared" si="410"/>
        <v>46221</v>
      </c>
      <c r="E1584" s="28">
        <f t="shared" si="411"/>
        <v>46205</v>
      </c>
      <c r="F1584" s="28">
        <f t="shared" si="412"/>
        <v>46212</v>
      </c>
      <c r="G1584" s="28">
        <f t="shared" si="413"/>
        <v>46218</v>
      </c>
      <c r="H1584" s="28">
        <f t="shared" si="414"/>
        <v>46206</v>
      </c>
      <c r="I1584" s="28">
        <f t="shared" si="415"/>
        <v>46213</v>
      </c>
      <c r="J1584" s="28"/>
      <c r="K1584" s="1"/>
      <c r="L1584" s="1"/>
      <c r="M1584" s="1"/>
      <c r="N1584" s="1">
        <v>0</v>
      </c>
      <c r="O1584" s="1" t="s">
        <v>379</v>
      </c>
    </row>
    <row r="1585" spans="1:15" x14ac:dyDescent="0.25">
      <c r="A1585" s="71">
        <v>46198</v>
      </c>
      <c r="B1585" s="1" t="s">
        <v>156</v>
      </c>
      <c r="C1585" s="3" t="str">
        <f>VLOOKUP(B1585,'[5]Migrasi Bed'!$B$4:$E$521,4,0)</f>
        <v>SV.F004</v>
      </c>
      <c r="D1585" s="28">
        <f t="shared" si="410"/>
        <v>46221</v>
      </c>
      <c r="E1585" s="28">
        <f t="shared" si="411"/>
        <v>46205</v>
      </c>
      <c r="F1585" s="28">
        <f t="shared" si="412"/>
        <v>46212</v>
      </c>
      <c r="G1585" s="28">
        <f t="shared" si="413"/>
        <v>46218</v>
      </c>
      <c r="H1585" s="28">
        <f t="shared" si="414"/>
        <v>46206</v>
      </c>
      <c r="I1585" s="28">
        <f t="shared" si="415"/>
        <v>46213</v>
      </c>
      <c r="J1585" s="28"/>
      <c r="K1585" s="1"/>
      <c r="L1585" s="1"/>
      <c r="M1585" s="1"/>
      <c r="N1585" s="1">
        <v>0</v>
      </c>
      <c r="O1585" s="1" t="s">
        <v>379</v>
      </c>
    </row>
    <row r="1586" spans="1:15" x14ac:dyDescent="0.25">
      <c r="A1586" s="71">
        <v>46198</v>
      </c>
      <c r="B1586" s="1" t="s">
        <v>157</v>
      </c>
      <c r="C1586" s="3" t="str">
        <f>VLOOKUP(B1586,'[5]Migrasi Bed'!$B$4:$E$521,4,0)</f>
        <v>SV.F005</v>
      </c>
      <c r="D1586" s="28">
        <f t="shared" si="410"/>
        <v>46221</v>
      </c>
      <c r="E1586" s="28">
        <f t="shared" si="411"/>
        <v>46205</v>
      </c>
      <c r="F1586" s="28">
        <f t="shared" si="412"/>
        <v>46212</v>
      </c>
      <c r="G1586" s="28">
        <f t="shared" si="413"/>
        <v>46218</v>
      </c>
      <c r="H1586" s="28">
        <f t="shared" si="414"/>
        <v>46206</v>
      </c>
      <c r="I1586" s="28">
        <f t="shared" si="415"/>
        <v>46213</v>
      </c>
      <c r="J1586" s="28"/>
      <c r="K1586" s="1"/>
      <c r="L1586" s="1"/>
      <c r="M1586" s="1"/>
      <c r="N1586" s="1">
        <v>0</v>
      </c>
      <c r="O1586" s="1" t="s">
        <v>379</v>
      </c>
    </row>
    <row r="1587" spans="1:15" x14ac:dyDescent="0.25">
      <c r="A1587" s="71">
        <v>46198</v>
      </c>
      <c r="B1587" s="1" t="s">
        <v>158</v>
      </c>
      <c r="C1587" s="3" t="str">
        <f>VLOOKUP(B1587,'[5]Migrasi Bed'!$B$4:$E$521,4,0)</f>
        <v>SV.F006</v>
      </c>
      <c r="D1587" s="28">
        <f t="shared" si="410"/>
        <v>46221</v>
      </c>
      <c r="E1587" s="28">
        <f t="shared" si="411"/>
        <v>46205</v>
      </c>
      <c r="F1587" s="28">
        <f t="shared" si="412"/>
        <v>46212</v>
      </c>
      <c r="G1587" s="28">
        <f t="shared" si="413"/>
        <v>46218</v>
      </c>
      <c r="H1587" s="28">
        <f t="shared" si="414"/>
        <v>46206</v>
      </c>
      <c r="I1587" s="28">
        <f t="shared" si="415"/>
        <v>46213</v>
      </c>
      <c r="J1587" s="28"/>
      <c r="K1587" s="1"/>
      <c r="L1587" s="1"/>
      <c r="M1587" s="1"/>
      <c r="N1587" s="1">
        <v>0</v>
      </c>
      <c r="O1587" s="1" t="s">
        <v>379</v>
      </c>
    </row>
    <row r="1588" spans="1:15" x14ac:dyDescent="0.25">
      <c r="A1588" s="71">
        <v>46198</v>
      </c>
      <c r="B1588" s="1" t="s">
        <v>159</v>
      </c>
      <c r="C1588" s="3" t="str">
        <f>VLOOKUP(B1588,'[5]Migrasi Bed'!$B$4:$E$521,4,0)</f>
        <v>SV.F007</v>
      </c>
      <c r="D1588" s="28">
        <f t="shared" si="410"/>
        <v>46221</v>
      </c>
      <c r="E1588" s="28">
        <f t="shared" si="411"/>
        <v>46205</v>
      </c>
      <c r="F1588" s="28">
        <f t="shared" si="412"/>
        <v>46212</v>
      </c>
      <c r="G1588" s="28">
        <f t="shared" si="413"/>
        <v>46218</v>
      </c>
      <c r="H1588" s="28">
        <f t="shared" si="414"/>
        <v>46206</v>
      </c>
      <c r="I1588" s="28">
        <f t="shared" si="415"/>
        <v>46213</v>
      </c>
      <c r="J1588" s="28"/>
      <c r="K1588" s="1"/>
      <c r="L1588" s="1"/>
      <c r="M1588" s="1"/>
      <c r="N1588" s="1">
        <v>0</v>
      </c>
      <c r="O1588" s="1" t="s">
        <v>379</v>
      </c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7" type="noConversion"/>
  <conditionalFormatting sqref="J716:J1032 J1071:J1078 J1080:J1081 A1589:C1048576 A802:A1154 J1091:J1154 J1042:J1063 J1589:J1048576">
    <cfRule type="expression" dxfId="202" priority="240">
      <formula>$L716&gt;0</formula>
    </cfRule>
  </conditionalFormatting>
  <conditionalFormatting sqref="A579:B710 J610:J713">
    <cfRule type="expression" dxfId="201" priority="338">
      <formula>$L579&gt;0</formula>
    </cfRule>
  </conditionalFormatting>
  <conditionalFormatting sqref="A711:B715 J712:J715 J1042:J1051">
    <cfRule type="expression" dxfId="200" priority="342">
      <formula>$N715&gt;0</formula>
    </cfRule>
  </conditionalFormatting>
  <conditionalFormatting sqref="A716:B801">
    <cfRule type="expression" dxfId="199" priority="299">
      <formula>$L716&gt;0</formula>
    </cfRule>
  </conditionalFormatting>
  <conditionalFormatting sqref="A1035:I1040 J1034:J1041 A885:J1033 D1589:I1048576 C1064:J1154 A1042:J1063">
    <cfRule type="expression" dxfId="198" priority="239">
      <formula>$K885&gt;0</formula>
    </cfRule>
  </conditionalFormatting>
  <conditionalFormatting sqref="A1:C169 D349:I369 D370:J370 D373:K373 A373:C376 D374:I376 K374:K376 A381:K414 A416:I422 A463:I463 D483:I483 A483:C578">
    <cfRule type="expression" dxfId="197" priority="402">
      <formula>$L1&gt;0</formula>
    </cfRule>
  </conditionalFormatting>
  <conditionalFormatting sqref="A189:C370">
    <cfRule type="expression" dxfId="196" priority="390">
      <formula>$L189&gt;0</formula>
    </cfRule>
  </conditionalFormatting>
  <conditionalFormatting sqref="A415:I415 A423:I429 B430:I430 A430:A434 A431:K434 A435:I437 A438:K462 A464:K482">
    <cfRule type="expression" dxfId="195" priority="9225">
      <formula>#REF!&gt;0</formula>
    </cfRule>
  </conditionalFormatting>
  <conditionalFormatting sqref="A814:J884">
    <cfRule type="expression" dxfId="194" priority="290">
      <formula>$K814&gt;0</formula>
    </cfRule>
  </conditionalFormatting>
  <conditionalFormatting sqref="A371:K372 K372:K376 A377:K380">
    <cfRule type="expression" dxfId="193" priority="9223">
      <formula>#REF!&gt;0</formula>
    </cfRule>
  </conditionalFormatting>
  <conditionalFormatting sqref="B1123:B1154">
    <cfRule type="expression" dxfId="192" priority="238">
      <formula>$L1123&gt;0</formula>
    </cfRule>
  </conditionalFormatting>
  <conditionalFormatting sqref="B802:I802">
    <cfRule type="expression" dxfId="191" priority="302">
      <formula>$K802&gt;0</formula>
    </cfRule>
  </conditionalFormatting>
  <conditionalFormatting sqref="C579:I813 A803:B813">
    <cfRule type="expression" dxfId="190" priority="301">
      <formula>$K579&gt;0</formula>
    </cfRule>
  </conditionalFormatting>
  <conditionalFormatting sqref="A1063:A1118 B1064:B1118 A1119:B1119 B1120:B1122 A1120:A1154">
    <cfRule type="expression" dxfId="189" priority="241">
      <formula>$K1063&gt;0</formula>
    </cfRule>
  </conditionalFormatting>
  <conditionalFormatting sqref="D1:I169 A170:J188 D189:I348 D363:I578">
    <cfRule type="expression" dxfId="188" priority="405">
      <formula>$K1&gt;0</formula>
    </cfRule>
  </conditionalFormatting>
  <conditionalFormatting sqref="D484:K609">
    <cfRule type="expression" dxfId="187" priority="364">
      <formula>$L484&gt;0</formula>
    </cfRule>
  </conditionalFormatting>
  <conditionalFormatting sqref="J1:J247">
    <cfRule type="expression" dxfId="186" priority="394">
      <formula>$L1&gt;0</formula>
    </cfRule>
  </conditionalFormatting>
  <conditionalFormatting sqref="J248:J249">
    <cfRule type="expression" dxfId="185" priority="9188">
      <formula>$L247&gt;0</formula>
    </cfRule>
  </conditionalFormatting>
  <conditionalFormatting sqref="J250:J380">
    <cfRule type="expression" dxfId="184" priority="389">
      <formula>$L250&gt;0</formula>
    </cfRule>
  </conditionalFormatting>
  <conditionalFormatting sqref="J450:J578">
    <cfRule type="expression" dxfId="183" priority="365">
      <formula>$L450&gt;0</formula>
    </cfRule>
  </conditionalFormatting>
  <conditionalFormatting sqref="J723:J959">
    <cfRule type="expression" dxfId="182" priority="250">
      <formula>$N727&gt;0</formula>
    </cfRule>
  </conditionalFormatting>
  <conditionalFormatting sqref="J885:J1020">
    <cfRule type="expression" dxfId="181" priority="232">
      <formula>$K885&gt;0</formula>
    </cfRule>
  </conditionalFormatting>
  <conditionalFormatting sqref="J960">
    <cfRule type="expression" dxfId="180" priority="260">
      <formula>$N972&gt;0</formula>
    </cfRule>
  </conditionalFormatting>
  <conditionalFormatting sqref="J961:J1020">
    <cfRule type="expression" dxfId="179" priority="233">
      <formula>$N965&gt;0</formula>
    </cfRule>
  </conditionalFormatting>
  <conditionalFormatting sqref="J415:K450">
    <cfRule type="expression" dxfId="178" priority="382">
      <formula>$L415&gt;0</formula>
    </cfRule>
  </conditionalFormatting>
  <conditionalFormatting sqref="J456:K457">
    <cfRule type="expression" dxfId="177" priority="381">
      <formula>$L456&gt;0</formula>
    </cfRule>
  </conditionalFormatting>
  <conditionalFormatting sqref="J463:K463">
    <cfRule type="expression" dxfId="176" priority="370">
      <formula>#REF!&gt;0</formula>
    </cfRule>
  </conditionalFormatting>
  <conditionalFormatting sqref="J483:K489">
    <cfRule type="expression" dxfId="175" priority="369">
      <formula>#REF!&gt;0</formula>
    </cfRule>
  </conditionalFormatting>
  <conditionalFormatting sqref="J501:K501 J501:J504">
    <cfRule type="expression" dxfId="174" priority="368">
      <formula>#REF!&gt;0</formula>
    </cfRule>
  </conditionalFormatting>
  <conditionalFormatting sqref="K450:K456">
    <cfRule type="expression" dxfId="173" priority="384">
      <formula>$L450&gt;0</formula>
    </cfRule>
  </conditionalFormatting>
  <conditionalFormatting sqref="K458:K489">
    <cfRule type="expression" dxfId="172" priority="374">
      <formula>$L458&gt;0</formula>
    </cfRule>
  </conditionalFormatting>
  <conditionalFormatting sqref="K501">
    <cfRule type="expression" dxfId="171" priority="367">
      <formula>$L501&gt;0</formula>
    </cfRule>
  </conditionalFormatting>
  <conditionalFormatting sqref="K609:K628">
    <cfRule type="expression" dxfId="170" priority="353">
      <formula>$L609&gt;0</formula>
    </cfRule>
  </conditionalFormatting>
  <conditionalFormatting sqref="K636:K642">
    <cfRule type="expression" dxfId="169" priority="354">
      <formula>$L636&gt;0</formula>
    </cfRule>
  </conditionalFormatting>
  <conditionalFormatting sqref="J1021:J1027">
    <cfRule type="expression" dxfId="168" priority="229">
      <formula>$K1021&gt;0</formula>
    </cfRule>
  </conditionalFormatting>
  <conditionalFormatting sqref="J1021:J1027">
    <cfRule type="expression" dxfId="167" priority="230">
      <formula>$N1025&gt;0</formula>
    </cfRule>
  </conditionalFormatting>
  <conditionalFormatting sqref="J1063">
    <cfRule type="expression" dxfId="166" priority="225">
      <formula>$K1063&gt;0</formula>
    </cfRule>
  </conditionalFormatting>
  <conditionalFormatting sqref="J1063">
    <cfRule type="expression" dxfId="165" priority="226">
      <formula>$N1067&gt;0</formula>
    </cfRule>
  </conditionalFormatting>
  <conditionalFormatting sqref="A1041:I1041">
    <cfRule type="expression" dxfId="164" priority="9228">
      <formula>$K1034&gt;0</formula>
    </cfRule>
  </conditionalFormatting>
  <conditionalFormatting sqref="A1034:I1034">
    <cfRule type="expression" dxfId="163" priority="9229">
      <formula>#REF!&gt;0</formula>
    </cfRule>
  </conditionalFormatting>
  <conditionalFormatting sqref="J1028:J1041">
    <cfRule type="expression" dxfId="162" priority="9236">
      <formula>$L1035&gt;0</formula>
    </cfRule>
  </conditionalFormatting>
  <conditionalFormatting sqref="J1028:J1041">
    <cfRule type="expression" dxfId="161" priority="9240">
      <formula>$N1039&gt;0</formula>
    </cfRule>
  </conditionalFormatting>
  <conditionalFormatting sqref="J1064:J1065">
    <cfRule type="expression" dxfId="160" priority="223">
      <formula>$L1071&gt;0</formula>
    </cfRule>
  </conditionalFormatting>
  <conditionalFormatting sqref="J1064:J1065">
    <cfRule type="expression" dxfId="159" priority="224">
      <formula>$N1075&gt;0</formula>
    </cfRule>
  </conditionalFormatting>
  <conditionalFormatting sqref="J1082:J1086">
    <cfRule type="expression" dxfId="158" priority="221">
      <formula>$L1089&gt;0</formula>
    </cfRule>
  </conditionalFormatting>
  <conditionalFormatting sqref="J1082:J1086">
    <cfRule type="expression" dxfId="157" priority="222">
      <formula>$N1093&gt;0</formula>
    </cfRule>
  </conditionalFormatting>
  <conditionalFormatting sqref="J1070:J1078">
    <cfRule type="expression" dxfId="156" priority="219">
      <formula>$L1077&gt;0</formula>
    </cfRule>
  </conditionalFormatting>
  <conditionalFormatting sqref="J1070:J1078">
    <cfRule type="expression" dxfId="155" priority="220">
      <formula>$N1081&gt;0</formula>
    </cfRule>
  </conditionalFormatting>
  <conditionalFormatting sqref="J1079:J1086">
    <cfRule type="expression" dxfId="154" priority="217">
      <formula>$L1086&gt;0</formula>
    </cfRule>
  </conditionalFormatting>
  <conditionalFormatting sqref="J1079:J1086">
    <cfRule type="expression" dxfId="153" priority="218">
      <formula>$N1090&gt;0</formula>
    </cfRule>
  </conditionalFormatting>
  <conditionalFormatting sqref="J1066:J1069">
    <cfRule type="expression" dxfId="152" priority="215">
      <formula>$L1073&gt;0</formula>
    </cfRule>
  </conditionalFormatting>
  <conditionalFormatting sqref="J1066:J1069">
    <cfRule type="expression" dxfId="151" priority="216">
      <formula>$N1077&gt;0</formula>
    </cfRule>
  </conditionalFormatting>
  <conditionalFormatting sqref="J1087:J1090">
    <cfRule type="expression" dxfId="150" priority="213">
      <formula>$L1094&gt;0</formula>
    </cfRule>
  </conditionalFormatting>
  <conditionalFormatting sqref="J1087:J1090">
    <cfRule type="expression" dxfId="149" priority="214">
      <formula>$N1098&gt;0</formula>
    </cfRule>
  </conditionalFormatting>
  <conditionalFormatting sqref="J1052:J1062">
    <cfRule type="expression" dxfId="148" priority="212">
      <formula>$N1056&gt;0</formula>
    </cfRule>
  </conditionalFormatting>
  <conditionalFormatting sqref="J1091:J1111">
    <cfRule type="expression" dxfId="147" priority="211">
      <formula>$N1095&gt;0</formula>
    </cfRule>
  </conditionalFormatting>
  <conditionalFormatting sqref="J1112:J1154">
    <cfRule type="expression" dxfId="146" priority="209">
      <formula>$N1116&gt;0</formula>
    </cfRule>
  </conditionalFormatting>
  <conditionalFormatting sqref="A1155:A1198">
    <cfRule type="expression" dxfId="145" priority="175">
      <formula>$L1155&gt;0</formula>
    </cfRule>
  </conditionalFormatting>
  <conditionalFormatting sqref="A1155:A1259">
    <cfRule type="expression" dxfId="144" priority="169">
      <formula>$K1155&gt;0</formula>
    </cfRule>
  </conditionalFormatting>
  <conditionalFormatting sqref="A1199:B1259">
    <cfRule type="expression" dxfId="143" priority="167">
      <formula>$L1199&gt;0</formula>
    </cfRule>
  </conditionalFormatting>
  <conditionalFormatting sqref="B1155:B1198">
    <cfRule type="expression" dxfId="142" priority="174">
      <formula>$L1155&gt;0</formula>
    </cfRule>
  </conditionalFormatting>
  <conditionalFormatting sqref="C1155:C1259">
    <cfRule type="expression" dxfId="141" priority="170">
      <formula>$K1155&gt;0</formula>
    </cfRule>
  </conditionalFormatting>
  <conditionalFormatting sqref="D1155:I1259">
    <cfRule type="expression" dxfId="140" priority="176">
      <formula>$K1155&gt;0</formula>
    </cfRule>
  </conditionalFormatting>
  <conditionalFormatting sqref="D1155:I1198">
    <cfRule type="expression" dxfId="139" priority="173">
      <formula>$K1155&gt;0</formula>
    </cfRule>
  </conditionalFormatting>
  <conditionalFormatting sqref="D1199:J1259">
    <cfRule type="expression" dxfId="138" priority="166">
      <formula>$K1199&gt;0</formula>
    </cfRule>
  </conditionalFormatting>
  <conditionalFormatting sqref="J1155:J1259">
    <cfRule type="expression" dxfId="137" priority="168">
      <formula>$L1155&gt;0</formula>
    </cfRule>
  </conditionalFormatting>
  <conditionalFormatting sqref="J1155:J1198">
    <cfRule type="expression" dxfId="136" priority="171">
      <formula>$K1155&gt;0</formula>
    </cfRule>
  </conditionalFormatting>
  <conditionalFormatting sqref="J1155:J1259">
    <cfRule type="expression" dxfId="135" priority="172">
      <formula>$N1159&gt;0</formula>
    </cfRule>
  </conditionalFormatting>
  <conditionalFormatting sqref="A1260:A1377">
    <cfRule type="expression" dxfId="134" priority="157">
      <formula>$K1260&gt;0</formula>
    </cfRule>
  </conditionalFormatting>
  <conditionalFormatting sqref="J1290:J1377">
    <cfRule type="expression" dxfId="133" priority="162">
      <formula>$N1294&gt;0</formula>
    </cfRule>
  </conditionalFormatting>
  <conditionalFormatting sqref="A1260:B1377">
    <cfRule type="expression" dxfId="132" priority="155">
      <formula>$L1260&gt;0</formula>
    </cfRule>
  </conditionalFormatting>
  <conditionalFormatting sqref="C1260:C1377">
    <cfRule type="expression" dxfId="131" priority="158">
      <formula>$K1260&gt;0</formula>
    </cfRule>
  </conditionalFormatting>
  <conditionalFormatting sqref="D1260:I1377">
    <cfRule type="expression" dxfId="130" priority="160">
      <formula>$K1260&gt;0</formula>
    </cfRule>
  </conditionalFormatting>
  <conditionalFormatting sqref="D1260:J1377">
    <cfRule type="expression" dxfId="129" priority="154">
      <formula>$K1260&gt;0</formula>
    </cfRule>
  </conditionalFormatting>
  <conditionalFormatting sqref="J1260:J1377">
    <cfRule type="expression" dxfId="128" priority="156">
      <formula>$L1260&gt;0</formula>
    </cfRule>
  </conditionalFormatting>
  <conditionalFormatting sqref="J1260:J1289">
    <cfRule type="expression" dxfId="127" priority="159">
      <formula>$N1264&gt;0</formula>
    </cfRule>
  </conditionalFormatting>
  <conditionalFormatting sqref="J1286">
    <cfRule type="expression" dxfId="126" priority="164">
      <formula>#REF!&gt;0</formula>
    </cfRule>
  </conditionalFormatting>
  <conditionalFormatting sqref="J1287:J1289">
    <cfRule type="expression" dxfId="125" priority="163">
      <formula>$N1290&gt;0</formula>
    </cfRule>
  </conditionalFormatting>
  <conditionalFormatting sqref="A1378:A1392">
    <cfRule type="expression" dxfId="124" priority="140">
      <formula>$K1378&gt;0</formula>
    </cfRule>
  </conditionalFormatting>
  <conditionalFormatting sqref="A1378:B1392">
    <cfRule type="expression" dxfId="123" priority="139">
      <formula>$L1378&gt;0</formula>
    </cfRule>
  </conditionalFormatting>
  <conditionalFormatting sqref="C1378:C1392">
    <cfRule type="expression" dxfId="122" priority="141">
      <formula>$K1378&gt;0</formula>
    </cfRule>
  </conditionalFormatting>
  <conditionalFormatting sqref="D1378:J1392">
    <cfRule type="expression" dxfId="121" priority="138">
      <formula>$K1378&gt;0</formula>
    </cfRule>
  </conditionalFormatting>
  <conditionalFormatting sqref="J1378:J1392">
    <cfRule type="expression" dxfId="120" priority="135">
      <formula>$L1378&gt;0</formula>
    </cfRule>
  </conditionalFormatting>
  <conditionalFormatting sqref="J1378:J1392">
    <cfRule type="expression" dxfId="119" priority="136">
      <formula>$N1382&gt;0</formula>
    </cfRule>
  </conditionalFormatting>
  <conditionalFormatting sqref="A1393:A1407">
    <cfRule type="expression" dxfId="118" priority="113">
      <formula>$K1393&gt;0</formula>
    </cfRule>
  </conditionalFormatting>
  <conditionalFormatting sqref="A1393:B1407">
    <cfRule type="expression" dxfId="116" priority="112">
      <formula>$L1393&gt;0</formula>
    </cfRule>
  </conditionalFormatting>
  <conditionalFormatting sqref="C1393:C1407">
    <cfRule type="expression" dxfId="115" priority="114">
      <formula>$K1393&gt;0</formula>
    </cfRule>
  </conditionalFormatting>
  <conditionalFormatting sqref="D1393:J1403 D1404:I1407">
    <cfRule type="expression" dxfId="114" priority="111">
      <formula>$K1393&gt;0</formula>
    </cfRule>
  </conditionalFormatting>
  <conditionalFormatting sqref="J1393:J1403">
    <cfRule type="expression" dxfId="113" priority="108">
      <formula>$L1393&gt;0</formula>
    </cfRule>
  </conditionalFormatting>
  <conditionalFormatting sqref="J1393:J1403">
    <cfRule type="expression" dxfId="112" priority="109">
      <formula>$N1397&gt;0</formula>
    </cfRule>
  </conditionalFormatting>
  <conditionalFormatting sqref="J1404:J1406">
    <cfRule type="expression" dxfId="91" priority="90">
      <formula>$K1404&gt;0</formula>
    </cfRule>
  </conditionalFormatting>
  <conditionalFormatting sqref="J1404:J1406">
    <cfRule type="expression" dxfId="90" priority="88">
      <formula>$L1404&gt;0</formula>
    </cfRule>
  </conditionalFormatting>
  <conditionalFormatting sqref="J1404:J1406">
    <cfRule type="expression" dxfId="89" priority="89">
      <formula>$N1408&gt;0</formula>
    </cfRule>
  </conditionalFormatting>
  <conditionalFormatting sqref="J1407">
    <cfRule type="expression" dxfId="88" priority="87">
      <formula>$K1407&gt;0</formula>
    </cfRule>
  </conditionalFormatting>
  <conditionalFormatting sqref="J1407">
    <cfRule type="expression" dxfId="87" priority="85">
      <formula>$L1407&gt;0</formula>
    </cfRule>
  </conditionalFormatting>
  <conditionalFormatting sqref="J1407">
    <cfRule type="expression" dxfId="86" priority="86">
      <formula>$N1411&gt;0</formula>
    </cfRule>
  </conditionalFormatting>
  <conditionalFormatting sqref="A1408:A1495">
    <cfRule type="expression" dxfId="67" priority="65">
      <formula>$K1408&gt;0</formula>
    </cfRule>
  </conditionalFormatting>
  <conditionalFormatting sqref="A1469:J1495 A1519:A1524 C1518:J1524 C1526:J1552 D1567:J1567 A1526:A1588 C1568:J1588">
    <cfRule type="expression" dxfId="66" priority="67">
      <formula>$K1469&gt;0</formula>
    </cfRule>
  </conditionalFormatting>
  <conditionalFormatting sqref="A1408:A1495 B1408:B1488">
    <cfRule type="expression" dxfId="65" priority="64">
      <formula>$L1408&gt;0</formula>
    </cfRule>
  </conditionalFormatting>
  <conditionalFormatting sqref="C1408:C1495">
    <cfRule type="expression" dxfId="64" priority="66">
      <formula>$K1408&gt;0</formula>
    </cfRule>
  </conditionalFormatting>
  <conditionalFormatting sqref="D1408:I1414 D1415:J1421 D1426:J1430 D1433:J1495 D1431:I1432 D1422:I1425">
    <cfRule type="expression" dxfId="63" priority="63">
      <formula>$K1408&gt;0</formula>
    </cfRule>
  </conditionalFormatting>
  <conditionalFormatting sqref="J1415:J1421 J1426:J1430 J1433:J1495">
    <cfRule type="expression" dxfId="62" priority="61">
      <formula>$L1415&gt;0</formula>
    </cfRule>
  </conditionalFormatting>
  <conditionalFormatting sqref="J1415:J1416">
    <cfRule type="expression" dxfId="61" priority="68">
      <formula>$N1418&gt;0</formula>
    </cfRule>
  </conditionalFormatting>
  <conditionalFormatting sqref="J1417:J1421 J1426:J1430 J1433:J1495">
    <cfRule type="expression" dxfId="60" priority="62">
      <formula>$N1421&gt;0</formula>
    </cfRule>
  </conditionalFormatting>
  <conditionalFormatting sqref="A1497 C1497:J1497 A1498:J1524">
    <cfRule type="expression" dxfId="59" priority="60">
      <formula>$K1497&gt;0</formula>
    </cfRule>
  </conditionalFormatting>
  <conditionalFormatting sqref="J1496:J1524">
    <cfRule type="expression" dxfId="58" priority="59">
      <formula>$L1496&gt;0</formula>
    </cfRule>
  </conditionalFormatting>
  <conditionalFormatting sqref="A1496:J1496 B1497 A1497:A1524 C1497:J1524">
    <cfRule type="expression" dxfId="57" priority="57">
      <formula>$K1496&gt;0</formula>
    </cfRule>
  </conditionalFormatting>
  <conditionalFormatting sqref="A1496:A1524">
    <cfRule type="expression" dxfId="56" priority="56">
      <formula>$L1496&gt;0</formula>
    </cfRule>
  </conditionalFormatting>
  <conditionalFormatting sqref="C1496:C1524">
    <cfRule type="expression" dxfId="55" priority="58">
      <formula>$K1496&gt;0</formula>
    </cfRule>
  </conditionalFormatting>
  <conditionalFormatting sqref="D1496:J1524">
    <cfRule type="expression" dxfId="54" priority="55">
      <formula>$K1496&gt;0</formula>
    </cfRule>
  </conditionalFormatting>
  <conditionalFormatting sqref="J1496:J1524">
    <cfRule type="expression" dxfId="53" priority="54">
      <formula>$N1500&gt;0</formula>
    </cfRule>
  </conditionalFormatting>
  <conditionalFormatting sqref="C1525:J1552 A1525:A1588">
    <cfRule type="expression" dxfId="52" priority="53">
      <formula>$K1525&gt;0</formula>
    </cfRule>
  </conditionalFormatting>
  <conditionalFormatting sqref="A1525:J1525 B1526:B1527 C1526:J1552 A1526:A1588">
    <cfRule type="expression" dxfId="51" priority="52">
      <formula>$K1525&gt;0</formula>
    </cfRule>
  </conditionalFormatting>
  <conditionalFormatting sqref="J1525:J1552">
    <cfRule type="expression" dxfId="50" priority="51">
      <formula>$L1525&gt;0</formula>
    </cfRule>
  </conditionalFormatting>
  <conditionalFormatting sqref="C1525:J1552 A1525:A1588">
    <cfRule type="expression" dxfId="49" priority="49">
      <formula>$K1525&gt;0</formula>
    </cfRule>
  </conditionalFormatting>
  <conditionalFormatting sqref="A1525:A1588">
    <cfRule type="expression" dxfId="48" priority="48">
      <formula>$L1525&gt;0</formula>
    </cfRule>
  </conditionalFormatting>
  <conditionalFormatting sqref="C1525:C1552">
    <cfRule type="expression" dxfId="47" priority="50">
      <formula>$K1525&gt;0</formula>
    </cfRule>
  </conditionalFormatting>
  <conditionalFormatting sqref="D1525:J1552">
    <cfRule type="expression" dxfId="46" priority="47">
      <formula>$K1525&gt;0</formula>
    </cfRule>
  </conditionalFormatting>
  <conditionalFormatting sqref="J1525:J1552">
    <cfRule type="expression" dxfId="45" priority="46">
      <formula>$N1529&gt;0</formula>
    </cfRule>
  </conditionalFormatting>
  <conditionalFormatting sqref="B1528:B1545">
    <cfRule type="expression" dxfId="44" priority="45">
      <formula>$K1528&gt;0</formula>
    </cfRule>
  </conditionalFormatting>
  <conditionalFormatting sqref="B1546:B1588">
    <cfRule type="expression" dxfId="43" priority="44">
      <formula>$K1546&gt;0</formula>
    </cfRule>
  </conditionalFormatting>
  <conditionalFormatting sqref="J1408">
    <cfRule type="expression" dxfId="42" priority="43">
      <formula>$K1408&gt;0</formula>
    </cfRule>
  </conditionalFormatting>
  <conditionalFormatting sqref="J1408">
    <cfRule type="expression" dxfId="41" priority="41">
      <formula>$L1408&gt;0</formula>
    </cfRule>
  </conditionalFormatting>
  <conditionalFormatting sqref="J1408">
    <cfRule type="expression" dxfId="40" priority="42">
      <formula>$N1412&gt;0</formula>
    </cfRule>
  </conditionalFormatting>
  <conditionalFormatting sqref="C1553:J1559">
    <cfRule type="expression" dxfId="39" priority="40">
      <formula>$K1553&gt;0</formula>
    </cfRule>
  </conditionalFormatting>
  <conditionalFormatting sqref="C1553:J1559">
    <cfRule type="expression" dxfId="38" priority="39">
      <formula>$K1553&gt;0</formula>
    </cfRule>
  </conditionalFormatting>
  <conditionalFormatting sqref="C1553:J1559">
    <cfRule type="expression" dxfId="37" priority="38">
      <formula>$K1553&gt;0</formula>
    </cfRule>
  </conditionalFormatting>
  <conditionalFormatting sqref="J1553:J1559">
    <cfRule type="expression" dxfId="36" priority="37">
      <formula>$L1553&gt;0</formula>
    </cfRule>
  </conditionalFormatting>
  <conditionalFormatting sqref="C1553:J1559">
    <cfRule type="expression" dxfId="35" priority="35">
      <formula>$K1553&gt;0</formula>
    </cfRule>
  </conditionalFormatting>
  <conditionalFormatting sqref="C1553:C1559">
    <cfRule type="expression" dxfId="34" priority="36">
      <formula>$K1553&gt;0</formula>
    </cfRule>
  </conditionalFormatting>
  <conditionalFormatting sqref="D1553:J1559">
    <cfRule type="expression" dxfId="33" priority="34">
      <formula>$K1553&gt;0</formula>
    </cfRule>
  </conditionalFormatting>
  <conditionalFormatting sqref="J1553:J1559">
    <cfRule type="expression" dxfId="32" priority="33">
      <formula>$N1557&gt;0</formula>
    </cfRule>
  </conditionalFormatting>
  <conditionalFormatting sqref="C1560:J1588">
    <cfRule type="expression" dxfId="31" priority="32">
      <formula>$K1560&gt;0</formula>
    </cfRule>
  </conditionalFormatting>
  <conditionalFormatting sqref="C1560:J1588">
    <cfRule type="expression" dxfId="30" priority="31">
      <formula>$K1560&gt;0</formula>
    </cfRule>
  </conditionalFormatting>
  <conditionalFormatting sqref="C1560:J1588">
    <cfRule type="expression" dxfId="29" priority="30">
      <formula>$K1560&gt;0</formula>
    </cfRule>
  </conditionalFormatting>
  <conditionalFormatting sqref="J1560:J1588">
    <cfRule type="expression" dxfId="28" priority="29">
      <formula>$L1560&gt;0</formula>
    </cfRule>
  </conditionalFormatting>
  <conditionalFormatting sqref="C1560:J1588">
    <cfRule type="expression" dxfId="27" priority="27">
      <formula>$K1560&gt;0</formula>
    </cfRule>
  </conditionalFormatting>
  <conditionalFormatting sqref="C1560:C1588">
    <cfRule type="expression" dxfId="26" priority="28">
      <formula>$K1560&gt;0</formula>
    </cfRule>
  </conditionalFormatting>
  <conditionalFormatting sqref="D1560:J1588">
    <cfRule type="expression" dxfId="25" priority="26">
      <formula>$K1560&gt;0</formula>
    </cfRule>
  </conditionalFormatting>
  <conditionalFormatting sqref="J1560:J1588">
    <cfRule type="expression" dxfId="24" priority="25">
      <formula>$N1564&gt;0</formula>
    </cfRule>
  </conditionalFormatting>
  <conditionalFormatting sqref="J1414:J1421">
    <cfRule type="expression" dxfId="23" priority="24">
      <formula>$K1414&gt;0</formula>
    </cfRule>
  </conditionalFormatting>
  <conditionalFormatting sqref="J1414:J1421">
    <cfRule type="expression" dxfId="22" priority="22">
      <formula>$L1414&gt;0</formula>
    </cfRule>
  </conditionalFormatting>
  <conditionalFormatting sqref="J1414:J1421">
    <cfRule type="expression" dxfId="21" priority="23">
      <formula>$N1418&gt;0</formula>
    </cfRule>
  </conditionalFormatting>
  <conditionalFormatting sqref="J1409:J1413">
    <cfRule type="expression" dxfId="20" priority="21">
      <formula>$K1409&gt;0</formula>
    </cfRule>
  </conditionalFormatting>
  <conditionalFormatting sqref="J1409:J1413">
    <cfRule type="expression" dxfId="19" priority="19">
      <formula>$L1409&gt;0</formula>
    </cfRule>
  </conditionalFormatting>
  <conditionalFormatting sqref="J1409:J1413">
    <cfRule type="expression" dxfId="18" priority="20">
      <formula>$N1413&gt;0</formula>
    </cfRule>
  </conditionalFormatting>
  <conditionalFormatting sqref="J1422">
    <cfRule type="expression" dxfId="17" priority="18">
      <formula>$K1422&gt;0</formula>
    </cfRule>
  </conditionalFormatting>
  <conditionalFormatting sqref="J1422">
    <cfRule type="expression" dxfId="16" priority="16">
      <formula>$L1422&gt;0</formula>
    </cfRule>
  </conditionalFormatting>
  <conditionalFormatting sqref="J1422">
    <cfRule type="expression" dxfId="15" priority="17">
      <formula>$N1426&gt;0</formula>
    </cfRule>
  </conditionalFormatting>
  <conditionalFormatting sqref="J1422">
    <cfRule type="expression" dxfId="14" priority="15">
      <formula>$K1422&gt;0</formula>
    </cfRule>
  </conditionalFormatting>
  <conditionalFormatting sqref="J1422">
    <cfRule type="expression" dxfId="13" priority="13">
      <formula>$L1422&gt;0</formula>
    </cfRule>
  </conditionalFormatting>
  <conditionalFormatting sqref="J1422">
    <cfRule type="expression" dxfId="12" priority="14">
      <formula>$N1426&gt;0</formula>
    </cfRule>
  </conditionalFormatting>
  <conditionalFormatting sqref="J1431:J1432">
    <cfRule type="expression" dxfId="11" priority="12">
      <formula>$K1431&gt;0</formula>
    </cfRule>
  </conditionalFormatting>
  <conditionalFormatting sqref="J1431:J1432">
    <cfRule type="expression" dxfId="10" priority="10">
      <formula>$L1431&gt;0</formula>
    </cfRule>
  </conditionalFormatting>
  <conditionalFormatting sqref="J1431:J1432">
    <cfRule type="expression" dxfId="9" priority="11">
      <formula>$N1435&gt;0</formula>
    </cfRule>
  </conditionalFormatting>
  <conditionalFormatting sqref="J1431:J1432">
    <cfRule type="expression" dxfId="8" priority="9">
      <formula>$K1431&gt;0</formula>
    </cfRule>
  </conditionalFormatting>
  <conditionalFormatting sqref="J1431:J1432">
    <cfRule type="expression" dxfId="7" priority="7">
      <formula>$L1431&gt;0</formula>
    </cfRule>
  </conditionalFormatting>
  <conditionalFormatting sqref="J1431:J1432">
    <cfRule type="expression" dxfId="6" priority="8">
      <formula>$N1435&gt;0</formula>
    </cfRule>
  </conditionalFormatting>
  <conditionalFormatting sqref="J1423:J1425">
    <cfRule type="expression" dxfId="5" priority="6">
      <formula>$K1423&gt;0</formula>
    </cfRule>
  </conditionalFormatting>
  <conditionalFormatting sqref="J1423:J1425">
    <cfRule type="expression" dxfId="4" priority="4">
      <formula>$L1423&gt;0</formula>
    </cfRule>
  </conditionalFormatting>
  <conditionalFormatting sqref="J1423:J1425">
    <cfRule type="expression" dxfId="3" priority="5">
      <formula>$N1427&gt;0</formula>
    </cfRule>
  </conditionalFormatting>
  <conditionalFormatting sqref="J1423:J1425">
    <cfRule type="expression" dxfId="2" priority="3">
      <formula>$K1423&gt;0</formula>
    </cfRule>
  </conditionalFormatting>
  <conditionalFormatting sqref="J1423:J1425">
    <cfRule type="expression" dxfId="1" priority="1">
      <formula>$L1423&gt;0</formula>
    </cfRule>
  </conditionalFormatting>
  <conditionalFormatting sqref="J1423:J1425">
    <cfRule type="expression" dxfId="0" priority="2">
      <formula>$N1427&gt;0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0FBAD-53B6-4F6C-B4B5-B313DC42BAA3}">
  <dimension ref="B2:Q301"/>
  <sheetViews>
    <sheetView workbookViewId="0">
      <pane xSplit="6" ySplit="4" topLeftCell="J5" activePane="bottomRight" state="frozen"/>
      <selection pane="topRight" activeCell="G1" sqref="G1"/>
      <selection pane="bottomLeft" activeCell="A5" sqref="A5"/>
      <selection pane="bottomRight" activeCell="L365" sqref="L365"/>
    </sheetView>
  </sheetViews>
  <sheetFormatPr defaultRowHeight="15" x14ac:dyDescent="0.25"/>
  <cols>
    <col min="4" max="4" width="17.42578125" customWidth="1"/>
    <col min="5" max="5" width="14.5703125" customWidth="1"/>
    <col min="6" max="6" width="15.85546875" customWidth="1"/>
    <col min="7" max="7" width="21.7109375" customWidth="1"/>
    <col min="8" max="8" width="10.7109375" bestFit="1" customWidth="1"/>
    <col min="9" max="12" width="13.5703125" customWidth="1"/>
    <col min="13" max="13" width="5" customWidth="1"/>
    <col min="14" max="17" width="13.5703125" customWidth="1"/>
  </cols>
  <sheetData>
    <row r="2" spans="2:17" ht="23.25" x14ac:dyDescent="0.35">
      <c r="B2" s="79" t="s">
        <v>631</v>
      </c>
      <c r="C2" s="79"/>
      <c r="D2" s="79"/>
      <c r="E2" s="79"/>
      <c r="F2" s="30">
        <f ca="1">TODAY()</f>
        <v>46198</v>
      </c>
    </row>
    <row r="3" spans="2:17" x14ac:dyDescent="0.25">
      <c r="B3" s="44" t="s">
        <v>632</v>
      </c>
      <c r="C3" s="44" t="s">
        <v>633</v>
      </c>
      <c r="D3" s="44" t="s">
        <v>634</v>
      </c>
      <c r="E3" s="44" t="s">
        <v>635</v>
      </c>
      <c r="F3" s="45" t="s">
        <v>140</v>
      </c>
      <c r="G3" s="45" t="s">
        <v>636</v>
      </c>
      <c r="I3" s="80" t="s">
        <v>1234</v>
      </c>
      <c r="J3" s="80"/>
      <c r="K3" s="80"/>
      <c r="L3" s="80"/>
      <c r="N3" s="80" t="s">
        <v>1234</v>
      </c>
      <c r="O3" s="80"/>
      <c r="P3" s="80"/>
      <c r="Q3" s="80"/>
    </row>
    <row r="4" spans="2:17" x14ac:dyDescent="0.25">
      <c r="B4" s="44"/>
      <c r="C4" s="44"/>
      <c r="D4" s="44"/>
      <c r="E4" s="44"/>
      <c r="F4" s="45"/>
      <c r="G4" s="45"/>
      <c r="I4" s="67" t="s">
        <v>1231</v>
      </c>
      <c r="J4" s="67" t="s">
        <v>1232</v>
      </c>
      <c r="K4" s="67" t="s">
        <v>1233</v>
      </c>
      <c r="L4" s="67" t="s">
        <v>1235</v>
      </c>
      <c r="N4" s="67" t="s">
        <v>1231</v>
      </c>
      <c r="O4" s="67" t="s">
        <v>1232</v>
      </c>
      <c r="P4" s="67" t="s">
        <v>1233</v>
      </c>
      <c r="Q4" s="67" t="s">
        <v>1236</v>
      </c>
    </row>
    <row r="5" spans="2:17" x14ac:dyDescent="0.25">
      <c r="B5" s="46"/>
      <c r="C5" s="46"/>
      <c r="D5" s="46"/>
      <c r="E5" s="46"/>
      <c r="F5" s="47"/>
      <c r="G5" s="1"/>
      <c r="I5" s="1"/>
      <c r="J5" s="1"/>
      <c r="K5" s="1"/>
      <c r="L5" s="1"/>
      <c r="N5" s="1"/>
      <c r="O5" s="1"/>
      <c r="P5" s="1"/>
      <c r="Q5" s="1"/>
    </row>
    <row r="6" spans="2:17" x14ac:dyDescent="0.25">
      <c r="B6" s="48" t="s">
        <v>637</v>
      </c>
      <c r="C6" s="49" t="s">
        <v>638</v>
      </c>
      <c r="D6" s="50" t="s">
        <v>137</v>
      </c>
      <c r="E6" s="51">
        <v>45883</v>
      </c>
      <c r="F6" s="1">
        <f t="shared" ref="F6:F7" ca="1" si="0">$F$2-E6</f>
        <v>315</v>
      </c>
      <c r="G6" s="1"/>
      <c r="I6" s="1"/>
      <c r="J6" s="1"/>
      <c r="K6" s="1"/>
      <c r="L6" s="1"/>
      <c r="N6" s="1"/>
      <c r="O6" s="1"/>
      <c r="P6" s="1"/>
      <c r="Q6" s="1"/>
    </row>
    <row r="7" spans="2:17" x14ac:dyDescent="0.25">
      <c r="B7" s="48" t="s">
        <v>639</v>
      </c>
      <c r="C7" s="49" t="s">
        <v>640</v>
      </c>
      <c r="D7" s="50" t="s">
        <v>137</v>
      </c>
      <c r="E7" s="51">
        <v>45883</v>
      </c>
      <c r="F7" s="1">
        <f t="shared" ca="1" si="0"/>
        <v>315</v>
      </c>
      <c r="G7" s="1"/>
      <c r="I7" s="1"/>
      <c r="J7" s="1"/>
      <c r="K7" s="1"/>
      <c r="L7" s="1"/>
      <c r="N7" s="1"/>
      <c r="O7" s="1"/>
      <c r="P7" s="1"/>
      <c r="Q7" s="1"/>
    </row>
    <row r="8" spans="2:17" x14ac:dyDescent="0.25">
      <c r="B8" s="48" t="s">
        <v>833</v>
      </c>
      <c r="C8" s="49" t="s">
        <v>834</v>
      </c>
      <c r="D8" s="54" t="s">
        <v>144</v>
      </c>
      <c r="E8" s="28">
        <v>45864</v>
      </c>
      <c r="F8" s="25">
        <f t="shared" ref="F8:F71" ca="1" si="1">$F$2-E8</f>
        <v>334</v>
      </c>
      <c r="G8" s="56">
        <v>46146</v>
      </c>
      <c r="H8" s="36"/>
      <c r="I8" s="56">
        <v>46171</v>
      </c>
      <c r="J8" s="1"/>
      <c r="K8" s="1">
        <v>3.9</v>
      </c>
      <c r="L8" s="68">
        <f t="shared" ref="L8:L17" si="2">I8+21</f>
        <v>46192</v>
      </c>
      <c r="N8" s="1"/>
      <c r="O8" s="1"/>
      <c r="P8" s="1"/>
      <c r="Q8" s="1"/>
    </row>
    <row r="9" spans="2:17" x14ac:dyDescent="0.25">
      <c r="B9" s="48" t="s">
        <v>835</v>
      </c>
      <c r="C9" s="49" t="s">
        <v>836</v>
      </c>
      <c r="D9" s="54" t="s">
        <v>144</v>
      </c>
      <c r="E9" s="28">
        <v>45864</v>
      </c>
      <c r="F9" s="25">
        <f t="shared" ca="1" si="1"/>
        <v>334</v>
      </c>
      <c r="G9" s="56">
        <v>46146</v>
      </c>
      <c r="H9" s="36"/>
      <c r="I9" s="56">
        <v>46171</v>
      </c>
      <c r="J9" s="1"/>
      <c r="K9" s="1">
        <v>2.7</v>
      </c>
      <c r="L9" s="68">
        <f t="shared" si="2"/>
        <v>46192</v>
      </c>
      <c r="N9" s="1"/>
      <c r="O9" s="1"/>
      <c r="P9" s="1"/>
      <c r="Q9" s="1"/>
    </row>
    <row r="10" spans="2:17" x14ac:dyDescent="0.25">
      <c r="B10" s="48" t="s">
        <v>837</v>
      </c>
      <c r="C10" s="49" t="s">
        <v>838</v>
      </c>
      <c r="D10" s="54" t="s">
        <v>144</v>
      </c>
      <c r="E10" s="28">
        <v>45864</v>
      </c>
      <c r="F10" s="25">
        <f t="shared" ca="1" si="1"/>
        <v>334</v>
      </c>
      <c r="G10" s="56">
        <v>46146</v>
      </c>
      <c r="H10" s="36"/>
      <c r="I10" s="56">
        <v>46171</v>
      </c>
      <c r="J10" s="1"/>
      <c r="K10" s="1">
        <v>3.2</v>
      </c>
      <c r="L10" s="68">
        <f t="shared" si="2"/>
        <v>46192</v>
      </c>
      <c r="N10" s="1"/>
      <c r="O10" s="1"/>
      <c r="P10" s="1"/>
      <c r="Q10" s="1"/>
    </row>
    <row r="11" spans="2:17" x14ac:dyDescent="0.25">
      <c r="B11" s="48" t="s">
        <v>839</v>
      </c>
      <c r="C11" s="49" t="s">
        <v>840</v>
      </c>
      <c r="D11" s="54" t="s">
        <v>144</v>
      </c>
      <c r="E11" s="28">
        <v>45864</v>
      </c>
      <c r="F11" s="25">
        <f t="shared" ca="1" si="1"/>
        <v>334</v>
      </c>
      <c r="G11" s="56">
        <v>46147</v>
      </c>
      <c r="H11" s="36"/>
      <c r="I11" s="56">
        <v>46171</v>
      </c>
      <c r="J11" s="1"/>
      <c r="K11" s="1">
        <v>2.7</v>
      </c>
      <c r="L11" s="68">
        <f t="shared" si="2"/>
        <v>46192</v>
      </c>
      <c r="N11" s="1"/>
      <c r="O11" s="1"/>
      <c r="P11" s="1"/>
      <c r="Q11" s="1"/>
    </row>
    <row r="12" spans="2:17" x14ac:dyDescent="0.25">
      <c r="B12" s="48" t="s">
        <v>841</v>
      </c>
      <c r="C12" s="49" t="s">
        <v>842</v>
      </c>
      <c r="D12" s="54" t="s">
        <v>144</v>
      </c>
      <c r="E12" s="28">
        <v>45864</v>
      </c>
      <c r="F12" s="25">
        <f t="shared" ca="1" si="1"/>
        <v>334</v>
      </c>
      <c r="G12" s="56">
        <v>46147</v>
      </c>
      <c r="H12" s="36"/>
      <c r="I12" s="56">
        <v>46171</v>
      </c>
      <c r="J12" s="1"/>
      <c r="K12" s="1">
        <v>1.2</v>
      </c>
      <c r="L12" s="68">
        <f t="shared" si="2"/>
        <v>46192</v>
      </c>
      <c r="N12" s="1"/>
      <c r="O12" s="1"/>
      <c r="P12" s="1"/>
      <c r="Q12" s="1"/>
    </row>
    <row r="13" spans="2:17" x14ac:dyDescent="0.25">
      <c r="B13" s="48" t="s">
        <v>843</v>
      </c>
      <c r="C13" s="49" t="s">
        <v>844</v>
      </c>
      <c r="D13" s="54" t="s">
        <v>144</v>
      </c>
      <c r="E13" s="51">
        <v>45867</v>
      </c>
      <c r="F13" s="25">
        <f t="shared" ca="1" si="1"/>
        <v>331</v>
      </c>
      <c r="G13" s="56">
        <v>46147</v>
      </c>
      <c r="H13" s="36"/>
      <c r="I13" s="56">
        <v>46171</v>
      </c>
      <c r="J13" s="1"/>
      <c r="K13" s="1">
        <v>3.5</v>
      </c>
      <c r="L13" s="68">
        <f t="shared" si="2"/>
        <v>46192</v>
      </c>
      <c r="N13" s="1"/>
      <c r="O13" s="1"/>
      <c r="P13" s="1"/>
      <c r="Q13" s="1"/>
    </row>
    <row r="14" spans="2:17" x14ac:dyDescent="0.25">
      <c r="B14" s="48" t="s">
        <v>845</v>
      </c>
      <c r="C14" s="49" t="s">
        <v>846</v>
      </c>
      <c r="D14" s="54" t="s">
        <v>144</v>
      </c>
      <c r="E14" s="51">
        <v>45867</v>
      </c>
      <c r="F14" s="25">
        <f t="shared" ca="1" si="1"/>
        <v>331</v>
      </c>
      <c r="G14" s="56">
        <v>46147</v>
      </c>
      <c r="H14" s="36"/>
      <c r="I14" s="56">
        <v>46171</v>
      </c>
      <c r="J14" s="1"/>
      <c r="K14" s="1">
        <v>4.2</v>
      </c>
      <c r="L14" s="68">
        <f t="shared" si="2"/>
        <v>46192</v>
      </c>
      <c r="N14" s="1"/>
      <c r="O14" s="1"/>
      <c r="P14" s="1"/>
      <c r="Q14" s="1"/>
    </row>
    <row r="15" spans="2:17" x14ac:dyDescent="0.25">
      <c r="B15" s="48" t="s">
        <v>847</v>
      </c>
      <c r="C15" s="49" t="s">
        <v>848</v>
      </c>
      <c r="D15" s="54" t="s">
        <v>144</v>
      </c>
      <c r="E15" s="51">
        <v>45867</v>
      </c>
      <c r="F15" s="25">
        <f t="shared" ca="1" si="1"/>
        <v>331</v>
      </c>
      <c r="G15" s="56">
        <v>46147</v>
      </c>
      <c r="H15" s="36"/>
      <c r="I15" s="56">
        <v>46171</v>
      </c>
      <c r="J15" s="1"/>
      <c r="K15" s="1">
        <v>3.6</v>
      </c>
      <c r="L15" s="68">
        <f t="shared" si="2"/>
        <v>46192</v>
      </c>
      <c r="N15" s="1"/>
      <c r="O15" s="1"/>
      <c r="P15" s="1"/>
      <c r="Q15" s="1"/>
    </row>
    <row r="16" spans="2:17" x14ac:dyDescent="0.25">
      <c r="B16" s="48" t="s">
        <v>849</v>
      </c>
      <c r="C16" s="49" t="s">
        <v>850</v>
      </c>
      <c r="D16" s="54" t="s">
        <v>144</v>
      </c>
      <c r="E16" s="51">
        <v>45867</v>
      </c>
      <c r="F16" s="25">
        <f t="shared" ca="1" si="1"/>
        <v>331</v>
      </c>
      <c r="G16" s="56">
        <v>46147</v>
      </c>
      <c r="H16" s="36"/>
      <c r="I16" s="56">
        <v>46171</v>
      </c>
      <c r="J16" s="1"/>
      <c r="K16" s="1">
        <v>3.3</v>
      </c>
      <c r="L16" s="68">
        <f t="shared" si="2"/>
        <v>46192</v>
      </c>
      <c r="N16" s="1"/>
      <c r="O16" s="1"/>
      <c r="P16" s="1"/>
      <c r="Q16" s="1"/>
    </row>
    <row r="17" spans="2:17" x14ac:dyDescent="0.25">
      <c r="B17" s="48" t="s">
        <v>851</v>
      </c>
      <c r="C17" s="49" t="s">
        <v>852</v>
      </c>
      <c r="D17" s="54" t="s">
        <v>144</v>
      </c>
      <c r="E17" s="51">
        <v>45867</v>
      </c>
      <c r="F17" s="25">
        <f t="shared" ca="1" si="1"/>
        <v>331</v>
      </c>
      <c r="G17" s="56">
        <v>46148</v>
      </c>
      <c r="H17" s="36"/>
      <c r="I17" s="56">
        <v>46171</v>
      </c>
      <c r="J17" s="1"/>
      <c r="K17" s="1">
        <v>3.6</v>
      </c>
      <c r="L17" s="68">
        <f t="shared" si="2"/>
        <v>46192</v>
      </c>
      <c r="N17" s="1"/>
      <c r="O17" s="1"/>
      <c r="P17" s="1"/>
      <c r="Q17" s="1"/>
    </row>
    <row r="18" spans="2:17" x14ac:dyDescent="0.25">
      <c r="B18" s="48" t="s">
        <v>875</v>
      </c>
      <c r="C18" s="49" t="s">
        <v>876</v>
      </c>
      <c r="D18" s="54" t="s">
        <v>144</v>
      </c>
      <c r="E18" s="51">
        <v>45902</v>
      </c>
      <c r="F18" s="25">
        <f t="shared" ca="1" si="1"/>
        <v>296</v>
      </c>
      <c r="G18" s="56">
        <v>46148</v>
      </c>
      <c r="H18" s="36"/>
      <c r="I18" s="56">
        <v>46172</v>
      </c>
      <c r="J18" s="1"/>
      <c r="K18" s="1">
        <v>5.5</v>
      </c>
      <c r="L18" s="68">
        <f t="shared" ref="L18:L22" si="3">I18+21</f>
        <v>46193</v>
      </c>
      <c r="N18" s="1"/>
      <c r="O18" s="1"/>
      <c r="P18" s="1"/>
      <c r="Q18" s="1"/>
    </row>
    <row r="19" spans="2:17" x14ac:dyDescent="0.25">
      <c r="B19" s="48" t="s">
        <v>877</v>
      </c>
      <c r="C19" s="49" t="s">
        <v>878</v>
      </c>
      <c r="D19" s="54" t="s">
        <v>144</v>
      </c>
      <c r="E19" s="51">
        <v>45902</v>
      </c>
      <c r="F19" s="25">
        <f t="shared" ca="1" si="1"/>
        <v>296</v>
      </c>
      <c r="G19" s="56">
        <v>46148</v>
      </c>
      <c r="H19" s="36"/>
      <c r="I19" s="56">
        <v>46172</v>
      </c>
      <c r="J19" s="1"/>
      <c r="K19" s="1">
        <v>7.6</v>
      </c>
      <c r="L19" s="68">
        <f t="shared" si="3"/>
        <v>46193</v>
      </c>
      <c r="N19" s="1"/>
      <c r="O19" s="1"/>
      <c r="P19" s="1"/>
      <c r="Q19" s="1"/>
    </row>
    <row r="20" spans="2:17" x14ac:dyDescent="0.25">
      <c r="B20" s="48" t="s">
        <v>879</v>
      </c>
      <c r="C20" s="49" t="s">
        <v>880</v>
      </c>
      <c r="D20" s="54" t="s">
        <v>144</v>
      </c>
      <c r="E20" s="51">
        <v>45902</v>
      </c>
      <c r="F20" s="25">
        <f t="shared" ca="1" si="1"/>
        <v>296</v>
      </c>
      <c r="G20" s="56">
        <v>46148</v>
      </c>
      <c r="H20" s="36"/>
      <c r="I20" s="56">
        <v>46172</v>
      </c>
      <c r="J20" s="1"/>
      <c r="K20" s="1">
        <v>7.8</v>
      </c>
      <c r="L20" s="68">
        <f t="shared" si="3"/>
        <v>46193</v>
      </c>
      <c r="N20" s="1"/>
      <c r="O20" s="1"/>
      <c r="P20" s="1"/>
      <c r="Q20" s="1"/>
    </row>
    <row r="21" spans="2:17" x14ac:dyDescent="0.25">
      <c r="B21" s="48" t="s">
        <v>881</v>
      </c>
      <c r="C21" s="49" t="s">
        <v>882</v>
      </c>
      <c r="D21" s="54" t="s">
        <v>144</v>
      </c>
      <c r="E21" s="51">
        <v>45902</v>
      </c>
      <c r="F21" s="25">
        <f t="shared" ca="1" si="1"/>
        <v>296</v>
      </c>
      <c r="G21" s="56">
        <v>46148</v>
      </c>
      <c r="H21" s="36"/>
      <c r="I21" s="56">
        <v>46172</v>
      </c>
      <c r="J21" s="1"/>
      <c r="K21" s="1">
        <v>7.9</v>
      </c>
      <c r="L21" s="68">
        <f t="shared" si="3"/>
        <v>46193</v>
      </c>
      <c r="N21" s="1"/>
      <c r="O21" s="1"/>
      <c r="P21" s="1"/>
      <c r="Q21" s="1"/>
    </row>
    <row r="22" spans="2:17" x14ac:dyDescent="0.25">
      <c r="B22" s="48" t="s">
        <v>883</v>
      </c>
      <c r="C22" s="49" t="s">
        <v>884</v>
      </c>
      <c r="D22" s="54" t="s">
        <v>144</v>
      </c>
      <c r="E22" s="51">
        <v>45902</v>
      </c>
      <c r="F22" s="25">
        <f t="shared" ca="1" si="1"/>
        <v>296</v>
      </c>
      <c r="G22" s="56">
        <v>46148</v>
      </c>
      <c r="H22" s="36"/>
      <c r="I22" s="56">
        <v>46172</v>
      </c>
      <c r="J22" s="1"/>
      <c r="K22" s="1">
        <v>6.8</v>
      </c>
      <c r="L22" s="68">
        <f t="shared" si="3"/>
        <v>46193</v>
      </c>
      <c r="N22" s="1"/>
      <c r="O22" s="1"/>
      <c r="P22" s="1"/>
      <c r="Q22" s="1"/>
    </row>
    <row r="23" spans="2:17" x14ac:dyDescent="0.25">
      <c r="B23" s="48" t="s">
        <v>885</v>
      </c>
      <c r="C23" s="49" t="s">
        <v>886</v>
      </c>
      <c r="D23" s="54" t="s">
        <v>144</v>
      </c>
      <c r="E23" s="51">
        <v>45902</v>
      </c>
      <c r="F23" s="25">
        <f t="shared" ca="1" si="1"/>
        <v>296</v>
      </c>
      <c r="G23" s="56">
        <v>46149</v>
      </c>
      <c r="H23" s="36"/>
      <c r="I23" s="56">
        <v>46173</v>
      </c>
      <c r="J23" s="1"/>
      <c r="K23" s="1">
        <v>6.3</v>
      </c>
      <c r="L23" s="68">
        <f t="shared" ref="L23:L32" si="4">I23+21</f>
        <v>46194</v>
      </c>
      <c r="N23" s="1"/>
      <c r="O23" s="1"/>
      <c r="P23" s="1"/>
      <c r="Q23" s="1"/>
    </row>
    <row r="24" spans="2:17" x14ac:dyDescent="0.25">
      <c r="B24" s="48" t="s">
        <v>887</v>
      </c>
      <c r="C24" s="49" t="s">
        <v>888</v>
      </c>
      <c r="D24" s="54" t="s">
        <v>144</v>
      </c>
      <c r="E24" s="51">
        <v>45902</v>
      </c>
      <c r="F24" s="25">
        <f t="shared" ca="1" si="1"/>
        <v>296</v>
      </c>
      <c r="G24" s="56">
        <v>46149</v>
      </c>
      <c r="H24" s="36"/>
      <c r="I24" s="56">
        <v>46173</v>
      </c>
      <c r="J24" s="1"/>
      <c r="K24" s="1">
        <v>5.7</v>
      </c>
      <c r="L24" s="68">
        <f t="shared" si="4"/>
        <v>46194</v>
      </c>
      <c r="N24" s="1"/>
      <c r="O24" s="1"/>
      <c r="P24" s="1"/>
      <c r="Q24" s="1"/>
    </row>
    <row r="25" spans="2:17" x14ac:dyDescent="0.25">
      <c r="B25" s="48" t="s">
        <v>889</v>
      </c>
      <c r="C25" s="49" t="s">
        <v>890</v>
      </c>
      <c r="D25" s="54" t="s">
        <v>144</v>
      </c>
      <c r="E25" s="51">
        <v>45902</v>
      </c>
      <c r="F25" s="25">
        <f t="shared" ca="1" si="1"/>
        <v>296</v>
      </c>
      <c r="G25" s="56">
        <v>46149</v>
      </c>
      <c r="H25" s="36"/>
      <c r="I25" s="56">
        <v>46173</v>
      </c>
      <c r="J25" s="1"/>
      <c r="K25" s="1">
        <v>6.7</v>
      </c>
      <c r="L25" s="68">
        <f t="shared" si="4"/>
        <v>46194</v>
      </c>
      <c r="N25" s="1"/>
      <c r="O25" s="1"/>
      <c r="P25" s="1"/>
      <c r="Q25" s="1"/>
    </row>
    <row r="26" spans="2:17" x14ac:dyDescent="0.25">
      <c r="B26" s="48" t="s">
        <v>911</v>
      </c>
      <c r="C26" s="49" t="s">
        <v>912</v>
      </c>
      <c r="D26" s="54" t="s">
        <v>144</v>
      </c>
      <c r="E26" s="51">
        <v>45975</v>
      </c>
      <c r="F26" s="25">
        <f t="shared" ca="1" si="1"/>
        <v>223</v>
      </c>
      <c r="G26" s="56">
        <v>46141</v>
      </c>
      <c r="H26" s="36"/>
      <c r="I26" s="56">
        <v>46173</v>
      </c>
      <c r="J26" s="1"/>
      <c r="K26" s="1">
        <v>5.8</v>
      </c>
      <c r="L26" s="68">
        <f t="shared" si="4"/>
        <v>46194</v>
      </c>
      <c r="N26" s="1"/>
      <c r="O26" s="1"/>
      <c r="P26" s="1"/>
      <c r="Q26" s="1"/>
    </row>
    <row r="27" spans="2:17" x14ac:dyDescent="0.25">
      <c r="B27" s="48" t="s">
        <v>913</v>
      </c>
      <c r="C27" s="49" t="s">
        <v>914</v>
      </c>
      <c r="D27" s="54" t="s">
        <v>144</v>
      </c>
      <c r="E27" s="51">
        <v>45975</v>
      </c>
      <c r="F27" s="25">
        <f t="shared" ca="1" si="1"/>
        <v>223</v>
      </c>
      <c r="G27" s="56">
        <v>46141</v>
      </c>
      <c r="H27" s="36"/>
      <c r="I27" s="56">
        <v>46173</v>
      </c>
      <c r="J27" s="1"/>
      <c r="K27" s="1">
        <v>6.1</v>
      </c>
      <c r="L27" s="68">
        <f t="shared" si="4"/>
        <v>46194</v>
      </c>
      <c r="N27" s="1"/>
      <c r="O27" s="1"/>
      <c r="P27" s="1"/>
      <c r="Q27" s="1"/>
    </row>
    <row r="28" spans="2:17" x14ac:dyDescent="0.25">
      <c r="B28" s="48" t="s">
        <v>915</v>
      </c>
      <c r="C28" s="49" t="s">
        <v>916</v>
      </c>
      <c r="D28" s="54" t="s">
        <v>144</v>
      </c>
      <c r="E28" s="51">
        <v>45975</v>
      </c>
      <c r="F28" s="25">
        <f t="shared" ca="1" si="1"/>
        <v>223</v>
      </c>
      <c r="G28" s="56">
        <v>46141</v>
      </c>
      <c r="H28" s="36"/>
      <c r="I28" s="56">
        <v>46173</v>
      </c>
      <c r="J28" s="1"/>
      <c r="K28" s="1">
        <v>5</v>
      </c>
      <c r="L28" s="68">
        <f t="shared" si="4"/>
        <v>46194</v>
      </c>
      <c r="N28" s="1"/>
      <c r="O28" s="1"/>
      <c r="P28" s="1"/>
      <c r="Q28" s="1"/>
    </row>
    <row r="29" spans="2:17" x14ac:dyDescent="0.25">
      <c r="B29" s="48" t="s">
        <v>917</v>
      </c>
      <c r="C29" s="49" t="s">
        <v>918</v>
      </c>
      <c r="D29" s="54" t="s">
        <v>144</v>
      </c>
      <c r="E29" s="51">
        <v>45975</v>
      </c>
      <c r="F29" s="25">
        <f t="shared" ca="1" si="1"/>
        <v>223</v>
      </c>
      <c r="G29" s="56">
        <v>46140</v>
      </c>
      <c r="H29" s="36"/>
      <c r="I29" s="56">
        <v>46173</v>
      </c>
      <c r="J29" s="1"/>
      <c r="K29" s="1">
        <v>5.7</v>
      </c>
      <c r="L29" s="68">
        <f t="shared" si="4"/>
        <v>46194</v>
      </c>
      <c r="N29" s="1"/>
      <c r="O29" s="1"/>
      <c r="P29" s="1"/>
      <c r="Q29" s="1"/>
    </row>
    <row r="30" spans="2:17" x14ac:dyDescent="0.25">
      <c r="B30" s="48" t="s">
        <v>919</v>
      </c>
      <c r="C30" s="49" t="s">
        <v>920</v>
      </c>
      <c r="D30" s="54" t="s">
        <v>144</v>
      </c>
      <c r="E30" s="51">
        <v>45988</v>
      </c>
      <c r="F30" s="25">
        <f t="shared" ca="1" si="1"/>
        <v>210</v>
      </c>
      <c r="G30" s="56">
        <v>46140</v>
      </c>
      <c r="H30" s="36"/>
      <c r="I30" s="56">
        <v>46173</v>
      </c>
      <c r="J30" s="1"/>
      <c r="K30" s="1">
        <v>5.6</v>
      </c>
      <c r="L30" s="68">
        <f t="shared" si="4"/>
        <v>46194</v>
      </c>
      <c r="N30" s="1"/>
      <c r="O30" s="1"/>
      <c r="P30" s="1"/>
      <c r="Q30" s="1"/>
    </row>
    <row r="31" spans="2:17" x14ac:dyDescent="0.25">
      <c r="B31" s="48" t="s">
        <v>921</v>
      </c>
      <c r="C31" s="49" t="s">
        <v>922</v>
      </c>
      <c r="D31" s="54" t="s">
        <v>144</v>
      </c>
      <c r="E31" s="51">
        <v>45988</v>
      </c>
      <c r="F31" s="25">
        <f t="shared" ca="1" si="1"/>
        <v>210</v>
      </c>
      <c r="G31" s="56">
        <v>46140</v>
      </c>
      <c r="H31" s="36"/>
      <c r="I31" s="56">
        <v>46173</v>
      </c>
      <c r="J31" s="1"/>
      <c r="K31" s="1">
        <v>4.2</v>
      </c>
      <c r="L31" s="68">
        <f t="shared" si="4"/>
        <v>46194</v>
      </c>
      <c r="N31" s="1"/>
      <c r="O31" s="1"/>
      <c r="P31" s="1"/>
      <c r="Q31" s="1"/>
    </row>
    <row r="32" spans="2:17" x14ac:dyDescent="0.25">
      <c r="B32" s="48" t="s">
        <v>923</v>
      </c>
      <c r="C32" s="49" t="s">
        <v>924</v>
      </c>
      <c r="D32" s="54" t="s">
        <v>144</v>
      </c>
      <c r="E32" s="51">
        <v>45988</v>
      </c>
      <c r="F32" s="25">
        <f t="shared" ca="1" si="1"/>
        <v>210</v>
      </c>
      <c r="G32" s="56">
        <v>46140</v>
      </c>
      <c r="H32" s="36"/>
      <c r="I32" s="56">
        <v>46173</v>
      </c>
      <c r="J32" s="1"/>
      <c r="K32" s="1">
        <v>4.3</v>
      </c>
      <c r="L32" s="68">
        <f t="shared" si="4"/>
        <v>46194</v>
      </c>
      <c r="N32" s="1"/>
      <c r="O32" s="1"/>
      <c r="P32" s="1"/>
      <c r="Q32" s="1"/>
    </row>
    <row r="33" spans="2:17" x14ac:dyDescent="0.25">
      <c r="B33" s="59" t="s">
        <v>695</v>
      </c>
      <c r="C33" s="60" t="s">
        <v>696</v>
      </c>
      <c r="D33" s="54" t="s">
        <v>144</v>
      </c>
      <c r="E33" s="28">
        <v>45803</v>
      </c>
      <c r="F33" s="25">
        <f t="shared" ca="1" si="1"/>
        <v>395</v>
      </c>
      <c r="G33" s="56">
        <v>46149</v>
      </c>
      <c r="H33" s="36"/>
      <c r="I33" s="56">
        <v>46174</v>
      </c>
      <c r="J33" s="1"/>
      <c r="K33" s="1">
        <v>3</v>
      </c>
      <c r="L33" s="68">
        <f t="shared" ref="L33:L39" si="5">I33+21</f>
        <v>46195</v>
      </c>
      <c r="N33" s="1"/>
      <c r="O33" s="1"/>
      <c r="P33" s="1"/>
      <c r="Q33" s="1"/>
    </row>
    <row r="34" spans="2:17" x14ac:dyDescent="0.25">
      <c r="B34" s="59" t="s">
        <v>697</v>
      </c>
      <c r="C34" s="60" t="s">
        <v>698</v>
      </c>
      <c r="D34" s="54" t="s">
        <v>144</v>
      </c>
      <c r="E34" s="28">
        <v>45803</v>
      </c>
      <c r="F34" s="25">
        <f t="shared" ca="1" si="1"/>
        <v>395</v>
      </c>
      <c r="G34" s="56">
        <v>46149</v>
      </c>
      <c r="H34" s="36"/>
      <c r="I34" s="56">
        <v>46174</v>
      </c>
      <c r="J34" s="1"/>
      <c r="K34" s="1">
        <v>3.5</v>
      </c>
      <c r="L34" s="68">
        <f t="shared" si="5"/>
        <v>46195</v>
      </c>
      <c r="N34" s="1"/>
      <c r="O34" s="1"/>
      <c r="P34" s="1"/>
      <c r="Q34" s="1"/>
    </row>
    <row r="35" spans="2:17" x14ac:dyDescent="0.25">
      <c r="B35" s="59" t="s">
        <v>699</v>
      </c>
      <c r="C35" s="60" t="s">
        <v>700</v>
      </c>
      <c r="D35" s="54" t="s">
        <v>144</v>
      </c>
      <c r="E35" s="28">
        <v>45803</v>
      </c>
      <c r="F35" s="25">
        <f t="shared" ca="1" si="1"/>
        <v>395</v>
      </c>
      <c r="G35" s="56">
        <v>46149</v>
      </c>
      <c r="H35" s="36"/>
      <c r="I35" s="56">
        <v>46174</v>
      </c>
      <c r="J35" s="1"/>
      <c r="K35" s="1">
        <v>5.2</v>
      </c>
      <c r="L35" s="68">
        <f t="shared" si="5"/>
        <v>46195</v>
      </c>
      <c r="N35" s="1"/>
      <c r="O35" s="1"/>
      <c r="P35" s="1"/>
      <c r="Q35" s="1"/>
    </row>
    <row r="36" spans="2:17" x14ac:dyDescent="0.25">
      <c r="B36" s="59" t="s">
        <v>701</v>
      </c>
      <c r="C36" s="60" t="s">
        <v>702</v>
      </c>
      <c r="D36" s="54" t="s">
        <v>144</v>
      </c>
      <c r="E36" s="28">
        <v>45803</v>
      </c>
      <c r="F36" s="25">
        <f t="shared" ca="1" si="1"/>
        <v>395</v>
      </c>
      <c r="G36" s="56">
        <v>46149</v>
      </c>
      <c r="H36" s="36"/>
      <c r="I36" s="56">
        <v>46174</v>
      </c>
      <c r="J36" s="1"/>
      <c r="K36" s="1">
        <v>5</v>
      </c>
      <c r="L36" s="68">
        <f t="shared" si="5"/>
        <v>46195</v>
      </c>
      <c r="N36" s="1"/>
      <c r="O36" s="1"/>
      <c r="P36" s="1"/>
      <c r="Q36" s="1"/>
    </row>
    <row r="37" spans="2:17" x14ac:dyDescent="0.25">
      <c r="B37" s="59" t="s">
        <v>703</v>
      </c>
      <c r="C37" s="60" t="s">
        <v>704</v>
      </c>
      <c r="D37" s="54" t="s">
        <v>144</v>
      </c>
      <c r="E37" s="28">
        <v>45803</v>
      </c>
      <c r="F37" s="25">
        <f t="shared" ca="1" si="1"/>
        <v>395</v>
      </c>
      <c r="G37" s="56">
        <v>46149</v>
      </c>
      <c r="H37" s="36"/>
      <c r="I37" s="56">
        <v>46174</v>
      </c>
      <c r="J37" s="1"/>
      <c r="K37" s="1">
        <v>5.0999999999999996</v>
      </c>
      <c r="L37" s="68">
        <f t="shared" si="5"/>
        <v>46195</v>
      </c>
      <c r="N37" s="1"/>
      <c r="O37" s="1"/>
      <c r="P37" s="1"/>
      <c r="Q37" s="1"/>
    </row>
    <row r="38" spans="2:17" x14ac:dyDescent="0.25">
      <c r="B38" s="59" t="s">
        <v>705</v>
      </c>
      <c r="C38" s="60" t="s">
        <v>706</v>
      </c>
      <c r="D38" s="54" t="s">
        <v>144</v>
      </c>
      <c r="E38" s="28">
        <v>45803</v>
      </c>
      <c r="F38" s="25">
        <f t="shared" ca="1" si="1"/>
        <v>395</v>
      </c>
      <c r="G38" s="56">
        <v>46149</v>
      </c>
      <c r="H38" s="36"/>
      <c r="I38" s="56">
        <v>46174</v>
      </c>
      <c r="J38" s="1"/>
      <c r="K38" s="1">
        <v>4.9000000000000004</v>
      </c>
      <c r="L38" s="68">
        <f t="shared" si="5"/>
        <v>46195</v>
      </c>
      <c r="N38" s="1"/>
      <c r="O38" s="1"/>
      <c r="P38" s="1"/>
      <c r="Q38" s="1"/>
    </row>
    <row r="39" spans="2:17" x14ac:dyDescent="0.25">
      <c r="B39" s="59" t="s">
        <v>707</v>
      </c>
      <c r="C39" s="60" t="s">
        <v>708</v>
      </c>
      <c r="D39" s="54" t="s">
        <v>144</v>
      </c>
      <c r="E39" s="28">
        <v>45803</v>
      </c>
      <c r="F39" s="25">
        <f t="shared" ca="1" si="1"/>
        <v>395</v>
      </c>
      <c r="G39" s="56">
        <v>46149</v>
      </c>
      <c r="H39" s="36"/>
      <c r="I39" s="56">
        <v>46174</v>
      </c>
      <c r="J39" s="1"/>
      <c r="K39" s="1">
        <v>7.1</v>
      </c>
      <c r="L39" s="68">
        <f t="shared" si="5"/>
        <v>46195</v>
      </c>
      <c r="N39" s="1"/>
      <c r="O39" s="1"/>
      <c r="P39" s="1"/>
      <c r="Q39" s="1"/>
    </row>
    <row r="40" spans="2:17" x14ac:dyDescent="0.25">
      <c r="B40" s="59" t="s">
        <v>709</v>
      </c>
      <c r="C40" s="60" t="s">
        <v>710</v>
      </c>
      <c r="D40" s="54" t="s">
        <v>144</v>
      </c>
      <c r="E40" s="28">
        <v>45806</v>
      </c>
      <c r="F40" s="25">
        <f t="shared" ca="1" si="1"/>
        <v>392</v>
      </c>
      <c r="G40" s="56">
        <v>46149</v>
      </c>
      <c r="H40" s="36"/>
      <c r="I40" s="56">
        <v>46175</v>
      </c>
      <c r="J40" s="1"/>
      <c r="K40" s="1">
        <v>4.5</v>
      </c>
      <c r="L40" s="68">
        <f t="shared" ref="L40:L46" si="6">I40+21</f>
        <v>46196</v>
      </c>
      <c r="N40" s="1"/>
      <c r="O40" s="1"/>
      <c r="P40" s="1"/>
      <c r="Q40" s="1"/>
    </row>
    <row r="41" spans="2:17" x14ac:dyDescent="0.25">
      <c r="B41" s="59" t="s">
        <v>711</v>
      </c>
      <c r="C41" s="60" t="s">
        <v>712</v>
      </c>
      <c r="D41" s="54" t="s">
        <v>144</v>
      </c>
      <c r="E41" s="28">
        <v>45806</v>
      </c>
      <c r="F41" s="25">
        <f t="shared" ca="1" si="1"/>
        <v>392</v>
      </c>
      <c r="G41" s="56">
        <v>46150</v>
      </c>
      <c r="H41" s="36"/>
      <c r="I41" s="56">
        <v>46175</v>
      </c>
      <c r="J41" s="1"/>
      <c r="K41" s="1">
        <v>6.3</v>
      </c>
      <c r="L41" s="68">
        <f t="shared" si="6"/>
        <v>46196</v>
      </c>
      <c r="N41" s="1"/>
      <c r="O41" s="1"/>
      <c r="P41" s="1"/>
      <c r="Q41" s="1"/>
    </row>
    <row r="42" spans="2:17" x14ac:dyDescent="0.25">
      <c r="B42" s="59" t="s">
        <v>713</v>
      </c>
      <c r="C42" s="60" t="s">
        <v>714</v>
      </c>
      <c r="D42" s="54" t="s">
        <v>144</v>
      </c>
      <c r="E42" s="28">
        <v>45806</v>
      </c>
      <c r="F42" s="25">
        <f t="shared" ca="1" si="1"/>
        <v>392</v>
      </c>
      <c r="G42" s="56">
        <v>46150</v>
      </c>
      <c r="H42" s="36"/>
      <c r="I42" s="56">
        <v>46175</v>
      </c>
      <c r="J42" s="1"/>
      <c r="K42" s="1">
        <v>4.5999999999999996</v>
      </c>
      <c r="L42" s="68">
        <f t="shared" si="6"/>
        <v>46196</v>
      </c>
      <c r="N42" s="1"/>
      <c r="O42" s="1"/>
      <c r="P42" s="1"/>
      <c r="Q42" s="1"/>
    </row>
    <row r="43" spans="2:17" x14ac:dyDescent="0.25">
      <c r="B43" s="59" t="s">
        <v>715</v>
      </c>
      <c r="C43" s="60" t="s">
        <v>716</v>
      </c>
      <c r="D43" s="54" t="s">
        <v>144</v>
      </c>
      <c r="E43" s="28">
        <v>45806</v>
      </c>
      <c r="F43" s="25">
        <f t="shared" ca="1" si="1"/>
        <v>392</v>
      </c>
      <c r="G43" s="56">
        <v>46150</v>
      </c>
      <c r="H43" s="36"/>
      <c r="I43" s="56">
        <v>46175</v>
      </c>
      <c r="J43" s="1"/>
      <c r="K43" s="1">
        <v>3.4</v>
      </c>
      <c r="L43" s="68">
        <f t="shared" si="6"/>
        <v>46196</v>
      </c>
      <c r="N43" s="1"/>
      <c r="O43" s="1"/>
      <c r="P43" s="1"/>
      <c r="Q43" s="1"/>
    </row>
    <row r="44" spans="2:17" x14ac:dyDescent="0.25">
      <c r="B44" s="59" t="s">
        <v>717</v>
      </c>
      <c r="C44" s="60" t="s">
        <v>718</v>
      </c>
      <c r="D44" s="54" t="s">
        <v>144</v>
      </c>
      <c r="E44" s="28">
        <v>45806</v>
      </c>
      <c r="F44" s="25">
        <f t="shared" ca="1" si="1"/>
        <v>392</v>
      </c>
      <c r="G44" s="56">
        <v>46150</v>
      </c>
      <c r="H44" s="36"/>
      <c r="I44" s="56">
        <v>46175</v>
      </c>
      <c r="J44" s="1"/>
      <c r="K44" s="1">
        <v>4</v>
      </c>
      <c r="L44" s="68">
        <f t="shared" si="6"/>
        <v>46196</v>
      </c>
      <c r="N44" s="1"/>
      <c r="O44" s="1"/>
      <c r="P44" s="1"/>
      <c r="Q44" s="1"/>
    </row>
    <row r="45" spans="2:17" x14ac:dyDescent="0.25">
      <c r="B45" s="59" t="s">
        <v>719</v>
      </c>
      <c r="C45" s="60" t="s">
        <v>720</v>
      </c>
      <c r="D45" s="54" t="s">
        <v>144</v>
      </c>
      <c r="E45" s="28">
        <v>45806</v>
      </c>
      <c r="F45" s="25">
        <f t="shared" ca="1" si="1"/>
        <v>392</v>
      </c>
      <c r="G45" s="56">
        <v>46150</v>
      </c>
      <c r="H45" s="36"/>
      <c r="I45" s="56">
        <v>46175</v>
      </c>
      <c r="J45" s="1"/>
      <c r="K45" s="1">
        <v>3.6</v>
      </c>
      <c r="L45" s="68">
        <f t="shared" si="6"/>
        <v>46196</v>
      </c>
      <c r="N45" s="1"/>
      <c r="O45" s="1"/>
      <c r="P45" s="1"/>
      <c r="Q45" s="1"/>
    </row>
    <row r="46" spans="2:17" x14ac:dyDescent="0.25">
      <c r="B46" s="59" t="s">
        <v>721</v>
      </c>
      <c r="C46" s="60" t="s">
        <v>722</v>
      </c>
      <c r="D46" s="54" t="s">
        <v>144</v>
      </c>
      <c r="E46" s="28">
        <v>45806</v>
      </c>
      <c r="F46" s="25">
        <f t="shared" ca="1" si="1"/>
        <v>392</v>
      </c>
      <c r="G46" s="56">
        <v>46121</v>
      </c>
      <c r="H46" s="36"/>
      <c r="I46" s="56">
        <v>46175</v>
      </c>
      <c r="J46" s="1"/>
      <c r="K46" s="1">
        <v>3.1</v>
      </c>
      <c r="L46" s="68">
        <f t="shared" si="6"/>
        <v>46196</v>
      </c>
      <c r="N46" s="1"/>
      <c r="O46" s="1"/>
      <c r="P46" s="1"/>
      <c r="Q46" s="1"/>
    </row>
    <row r="47" spans="2:17" x14ac:dyDescent="0.25">
      <c r="B47" s="59" t="s">
        <v>925</v>
      </c>
      <c r="C47" s="60" t="s">
        <v>926</v>
      </c>
      <c r="D47" s="54" t="s">
        <v>144</v>
      </c>
      <c r="E47" s="51">
        <v>45989</v>
      </c>
      <c r="F47" s="25">
        <f t="shared" ca="1" si="1"/>
        <v>209</v>
      </c>
      <c r="G47" s="56">
        <v>46121</v>
      </c>
      <c r="H47" s="36"/>
      <c r="I47" s="56">
        <v>46176</v>
      </c>
      <c r="J47" s="1"/>
      <c r="K47" s="1">
        <v>8.6999999999999993</v>
      </c>
      <c r="L47" s="68">
        <f t="shared" ref="L47:L52" si="7">I47+21</f>
        <v>46197</v>
      </c>
      <c r="N47" s="1"/>
      <c r="O47" s="1"/>
      <c r="P47" s="1"/>
      <c r="Q47" s="1"/>
    </row>
    <row r="48" spans="2:17" x14ac:dyDescent="0.25">
      <c r="B48" s="59" t="s">
        <v>927</v>
      </c>
      <c r="C48" s="60" t="s">
        <v>928</v>
      </c>
      <c r="D48" s="54" t="s">
        <v>144</v>
      </c>
      <c r="E48" s="51">
        <v>45989</v>
      </c>
      <c r="F48" s="25">
        <f t="shared" ca="1" si="1"/>
        <v>209</v>
      </c>
      <c r="G48" s="56">
        <v>46121</v>
      </c>
      <c r="H48" s="36"/>
      <c r="I48" s="56">
        <v>46176</v>
      </c>
      <c r="J48" s="1"/>
      <c r="K48" s="1">
        <v>7.6</v>
      </c>
      <c r="L48" s="68">
        <f t="shared" si="7"/>
        <v>46197</v>
      </c>
      <c r="N48" s="1"/>
      <c r="O48" s="1"/>
      <c r="P48" s="1"/>
      <c r="Q48" s="1"/>
    </row>
    <row r="49" spans="2:17" x14ac:dyDescent="0.25">
      <c r="B49" s="59" t="s">
        <v>929</v>
      </c>
      <c r="C49" s="60" t="s">
        <v>930</v>
      </c>
      <c r="D49" s="54" t="s">
        <v>144</v>
      </c>
      <c r="E49" s="51">
        <v>45990</v>
      </c>
      <c r="F49" s="25">
        <f t="shared" ca="1" si="1"/>
        <v>208</v>
      </c>
      <c r="G49" s="56">
        <v>46122</v>
      </c>
      <c r="H49" s="36"/>
      <c r="I49" s="56">
        <v>46176</v>
      </c>
      <c r="J49" s="1"/>
      <c r="K49" s="1">
        <v>7.6</v>
      </c>
      <c r="L49" s="68">
        <f t="shared" si="7"/>
        <v>46197</v>
      </c>
      <c r="N49" s="1"/>
      <c r="O49" s="1"/>
      <c r="P49" s="1"/>
      <c r="Q49" s="1"/>
    </row>
    <row r="50" spans="2:17" x14ac:dyDescent="0.25">
      <c r="B50" s="59" t="s">
        <v>931</v>
      </c>
      <c r="C50" s="60" t="s">
        <v>932</v>
      </c>
      <c r="D50" s="54" t="s">
        <v>144</v>
      </c>
      <c r="E50" s="51">
        <v>45990</v>
      </c>
      <c r="F50" s="25">
        <f t="shared" ca="1" si="1"/>
        <v>208</v>
      </c>
      <c r="G50" s="56">
        <v>46122</v>
      </c>
      <c r="H50" s="36"/>
      <c r="I50" s="56">
        <v>46176</v>
      </c>
      <c r="J50" s="1"/>
      <c r="K50" s="1">
        <v>6.4</v>
      </c>
      <c r="L50" s="68">
        <f t="shared" si="7"/>
        <v>46197</v>
      </c>
      <c r="N50" s="1"/>
      <c r="O50" s="1"/>
      <c r="P50" s="1"/>
      <c r="Q50" s="1"/>
    </row>
    <row r="51" spans="2:17" x14ac:dyDescent="0.25">
      <c r="B51" s="59" t="s">
        <v>933</v>
      </c>
      <c r="C51" s="60" t="s">
        <v>934</v>
      </c>
      <c r="D51" s="54" t="s">
        <v>144</v>
      </c>
      <c r="E51" s="51">
        <v>45991</v>
      </c>
      <c r="F51" s="25">
        <f t="shared" ca="1" si="1"/>
        <v>207</v>
      </c>
      <c r="G51" s="56">
        <v>46122</v>
      </c>
      <c r="H51" s="36"/>
      <c r="I51" s="56">
        <v>46176</v>
      </c>
      <c r="J51" s="1"/>
      <c r="K51" s="1">
        <v>7.2</v>
      </c>
      <c r="L51" s="68">
        <f t="shared" si="7"/>
        <v>46197</v>
      </c>
      <c r="N51" s="1"/>
      <c r="O51" s="1"/>
      <c r="P51" s="1"/>
      <c r="Q51" s="1"/>
    </row>
    <row r="52" spans="2:17" x14ac:dyDescent="0.25">
      <c r="B52" s="59" t="s">
        <v>935</v>
      </c>
      <c r="C52" s="60" t="s">
        <v>936</v>
      </c>
      <c r="D52" s="54" t="s">
        <v>144</v>
      </c>
      <c r="E52" s="51">
        <v>45991</v>
      </c>
      <c r="F52" s="25">
        <f t="shared" ca="1" si="1"/>
        <v>207</v>
      </c>
      <c r="G52" s="56">
        <v>46122</v>
      </c>
      <c r="H52" s="36"/>
      <c r="I52" s="56">
        <v>46176</v>
      </c>
      <c r="J52" s="1"/>
      <c r="K52" s="1">
        <v>5.9</v>
      </c>
      <c r="L52" s="68">
        <f t="shared" si="7"/>
        <v>46197</v>
      </c>
      <c r="N52" s="1"/>
      <c r="O52" s="1"/>
      <c r="P52" s="1"/>
      <c r="Q52" s="1"/>
    </row>
    <row r="53" spans="2:17" x14ac:dyDescent="0.25">
      <c r="B53" s="59" t="s">
        <v>937</v>
      </c>
      <c r="C53" s="60" t="s">
        <v>938</v>
      </c>
      <c r="D53" s="54" t="s">
        <v>144</v>
      </c>
      <c r="E53" s="51">
        <v>45992</v>
      </c>
      <c r="F53" s="25">
        <f t="shared" ca="1" si="1"/>
        <v>206</v>
      </c>
      <c r="G53" s="56">
        <v>46122</v>
      </c>
      <c r="H53" s="36"/>
      <c r="I53" s="56">
        <v>46177</v>
      </c>
      <c r="J53" s="1"/>
      <c r="K53" s="1">
        <v>5.0999999999999996</v>
      </c>
      <c r="L53" s="68">
        <f t="shared" ref="L53:L59" si="8">I53+21</f>
        <v>46198</v>
      </c>
      <c r="N53" s="1"/>
      <c r="O53" s="1"/>
      <c r="P53" s="1"/>
      <c r="Q53" s="1"/>
    </row>
    <row r="54" spans="2:17" x14ac:dyDescent="0.25">
      <c r="B54" s="59" t="s">
        <v>939</v>
      </c>
      <c r="C54" s="60" t="s">
        <v>940</v>
      </c>
      <c r="D54" s="54" t="s">
        <v>144</v>
      </c>
      <c r="E54" s="51">
        <v>45992</v>
      </c>
      <c r="F54" s="25">
        <f t="shared" ca="1" si="1"/>
        <v>206</v>
      </c>
      <c r="G54" s="56">
        <v>46122</v>
      </c>
      <c r="H54" s="36"/>
      <c r="I54" s="56">
        <v>46177</v>
      </c>
      <c r="J54" s="1"/>
      <c r="K54" s="1">
        <v>5.3</v>
      </c>
      <c r="L54" s="68">
        <f t="shared" si="8"/>
        <v>46198</v>
      </c>
      <c r="N54" s="1"/>
      <c r="O54" s="1"/>
      <c r="P54" s="1"/>
      <c r="Q54" s="1"/>
    </row>
    <row r="55" spans="2:17" x14ac:dyDescent="0.25">
      <c r="B55" s="59" t="s">
        <v>941</v>
      </c>
      <c r="C55" s="60" t="s">
        <v>942</v>
      </c>
      <c r="D55" s="54" t="s">
        <v>144</v>
      </c>
      <c r="E55" s="51">
        <v>45993</v>
      </c>
      <c r="F55" s="25">
        <f t="shared" ca="1" si="1"/>
        <v>205</v>
      </c>
      <c r="G55" s="56">
        <v>46122</v>
      </c>
      <c r="H55" s="36"/>
      <c r="I55" s="56">
        <v>46177</v>
      </c>
      <c r="J55" s="1"/>
      <c r="K55" s="1">
        <v>5.9</v>
      </c>
      <c r="L55" s="68">
        <f t="shared" si="8"/>
        <v>46198</v>
      </c>
      <c r="N55" s="1"/>
      <c r="O55" s="1"/>
      <c r="P55" s="1"/>
      <c r="Q55" s="1"/>
    </row>
    <row r="56" spans="2:17" x14ac:dyDescent="0.25">
      <c r="B56" s="59" t="s">
        <v>943</v>
      </c>
      <c r="C56" s="60" t="s">
        <v>944</v>
      </c>
      <c r="D56" s="54" t="s">
        <v>144</v>
      </c>
      <c r="E56" s="51">
        <v>45993</v>
      </c>
      <c r="F56" s="25">
        <f t="shared" ca="1" si="1"/>
        <v>205</v>
      </c>
      <c r="G56" s="56">
        <v>46123</v>
      </c>
      <c r="H56" s="36"/>
      <c r="I56" s="56">
        <v>46177</v>
      </c>
      <c r="J56" s="1"/>
      <c r="K56" s="1">
        <v>5.8</v>
      </c>
      <c r="L56" s="68">
        <f t="shared" si="8"/>
        <v>46198</v>
      </c>
      <c r="N56" s="1"/>
      <c r="O56" s="1"/>
      <c r="P56" s="1"/>
      <c r="Q56" s="1"/>
    </row>
    <row r="57" spans="2:17" x14ac:dyDescent="0.25">
      <c r="B57" s="59" t="s">
        <v>945</v>
      </c>
      <c r="C57" s="60" t="s">
        <v>946</v>
      </c>
      <c r="D57" s="54" t="s">
        <v>144</v>
      </c>
      <c r="E57" s="51">
        <v>45995</v>
      </c>
      <c r="F57" s="25">
        <f t="shared" ca="1" si="1"/>
        <v>203</v>
      </c>
      <c r="G57" s="56">
        <v>46123</v>
      </c>
      <c r="H57" s="36"/>
      <c r="I57" s="56">
        <v>46177</v>
      </c>
      <c r="J57" s="1"/>
      <c r="K57" s="1">
        <v>4.9000000000000004</v>
      </c>
      <c r="L57" s="68">
        <f t="shared" si="8"/>
        <v>46198</v>
      </c>
      <c r="N57" s="1"/>
      <c r="O57" s="1"/>
      <c r="P57" s="1"/>
      <c r="Q57" s="1"/>
    </row>
    <row r="58" spans="2:17" x14ac:dyDescent="0.25">
      <c r="B58" s="59" t="s">
        <v>947</v>
      </c>
      <c r="C58" s="60" t="s">
        <v>948</v>
      </c>
      <c r="D58" s="54" t="s">
        <v>144</v>
      </c>
      <c r="E58" s="51">
        <v>45995</v>
      </c>
      <c r="F58" s="25">
        <f t="shared" ca="1" si="1"/>
        <v>203</v>
      </c>
      <c r="G58" s="56">
        <v>46123</v>
      </c>
      <c r="H58" s="36"/>
      <c r="I58" s="56">
        <v>46177</v>
      </c>
      <c r="J58" s="1"/>
      <c r="K58" s="1">
        <v>4.8</v>
      </c>
      <c r="L58" s="68">
        <f t="shared" si="8"/>
        <v>46198</v>
      </c>
      <c r="N58" s="1"/>
      <c r="O58" s="1"/>
      <c r="P58" s="1"/>
      <c r="Q58" s="1"/>
    </row>
    <row r="59" spans="2:17" x14ac:dyDescent="0.25">
      <c r="B59" s="59" t="s">
        <v>949</v>
      </c>
      <c r="C59" s="60" t="s">
        <v>950</v>
      </c>
      <c r="D59" s="54" t="s">
        <v>144</v>
      </c>
      <c r="E59" s="51">
        <v>45996</v>
      </c>
      <c r="F59" s="25">
        <f t="shared" ca="1" si="1"/>
        <v>202</v>
      </c>
      <c r="G59" s="56">
        <v>46123</v>
      </c>
      <c r="H59" s="36"/>
      <c r="I59" s="56">
        <v>46177</v>
      </c>
      <c r="J59" s="1"/>
      <c r="K59" s="1">
        <v>5.9</v>
      </c>
      <c r="L59" s="68">
        <f t="shared" si="8"/>
        <v>46198</v>
      </c>
      <c r="N59" s="1"/>
      <c r="O59" s="1"/>
      <c r="P59" s="1"/>
      <c r="Q59" s="1"/>
    </row>
    <row r="60" spans="2:17" x14ac:dyDescent="0.25">
      <c r="B60" s="59" t="s">
        <v>956</v>
      </c>
      <c r="C60" s="60" t="s">
        <v>957</v>
      </c>
      <c r="D60" s="54" t="s">
        <v>144</v>
      </c>
      <c r="E60" s="51">
        <v>45996</v>
      </c>
      <c r="F60" s="25">
        <f t="shared" ca="1" si="1"/>
        <v>202</v>
      </c>
      <c r="G60" s="56">
        <v>46123</v>
      </c>
      <c r="H60" s="36"/>
      <c r="I60" s="56">
        <v>46178</v>
      </c>
      <c r="J60" s="1"/>
      <c r="K60" s="1">
        <v>6.2</v>
      </c>
      <c r="L60" s="68">
        <f>I60+21</f>
        <v>46199</v>
      </c>
      <c r="N60" s="1"/>
      <c r="O60" s="1"/>
      <c r="P60" s="1"/>
      <c r="Q60" s="1"/>
    </row>
    <row r="61" spans="2:17" x14ac:dyDescent="0.25">
      <c r="B61" s="59" t="s">
        <v>958</v>
      </c>
      <c r="C61" s="60" t="s">
        <v>959</v>
      </c>
      <c r="D61" s="54" t="s">
        <v>144</v>
      </c>
      <c r="E61" s="51">
        <v>45996</v>
      </c>
      <c r="F61" s="25">
        <f t="shared" ca="1" si="1"/>
        <v>202</v>
      </c>
      <c r="G61" s="56">
        <v>46123</v>
      </c>
      <c r="H61" s="36"/>
      <c r="I61" s="56">
        <v>46178</v>
      </c>
      <c r="J61" s="1"/>
      <c r="K61" s="1">
        <v>7.2</v>
      </c>
      <c r="L61" s="68">
        <f t="shared" ref="L61:L66" si="9">I61+21</f>
        <v>46199</v>
      </c>
      <c r="N61" s="1"/>
      <c r="O61" s="1"/>
      <c r="P61" s="1"/>
      <c r="Q61" s="1"/>
    </row>
    <row r="62" spans="2:17" x14ac:dyDescent="0.25">
      <c r="B62" s="57" t="s">
        <v>960</v>
      </c>
      <c r="C62" s="58" t="s">
        <v>961</v>
      </c>
      <c r="D62" s="54" t="s">
        <v>144</v>
      </c>
      <c r="E62" s="51">
        <v>45997</v>
      </c>
      <c r="F62" s="25">
        <f t="shared" ca="1" si="1"/>
        <v>201</v>
      </c>
      <c r="G62" s="56">
        <v>46123</v>
      </c>
      <c r="H62" s="36"/>
      <c r="I62" s="56">
        <v>46178</v>
      </c>
      <c r="J62" s="1"/>
      <c r="K62" s="1">
        <v>6.6</v>
      </c>
      <c r="L62" s="68">
        <f t="shared" si="9"/>
        <v>46199</v>
      </c>
      <c r="N62" s="1"/>
      <c r="O62" s="1"/>
      <c r="P62" s="1"/>
      <c r="Q62" s="1"/>
    </row>
    <row r="63" spans="2:17" x14ac:dyDescent="0.25">
      <c r="B63" s="57" t="s">
        <v>962</v>
      </c>
      <c r="C63" s="58" t="s">
        <v>963</v>
      </c>
      <c r="D63" s="54" t="s">
        <v>144</v>
      </c>
      <c r="E63" s="51">
        <v>45997</v>
      </c>
      <c r="F63" s="25">
        <f t="shared" ca="1" si="1"/>
        <v>201</v>
      </c>
      <c r="G63" s="56">
        <v>46124</v>
      </c>
      <c r="H63" s="36"/>
      <c r="I63" s="56">
        <v>46178</v>
      </c>
      <c r="J63" s="1"/>
      <c r="K63" s="1">
        <v>6.7</v>
      </c>
      <c r="L63" s="68">
        <f t="shared" si="9"/>
        <v>46199</v>
      </c>
      <c r="N63" s="1"/>
      <c r="O63" s="1"/>
      <c r="P63" s="1"/>
      <c r="Q63" s="1"/>
    </row>
    <row r="64" spans="2:17" x14ac:dyDescent="0.25">
      <c r="B64" s="57" t="s">
        <v>964</v>
      </c>
      <c r="C64" s="58" t="s">
        <v>965</v>
      </c>
      <c r="D64" s="54" t="s">
        <v>144</v>
      </c>
      <c r="E64" s="51">
        <v>45997</v>
      </c>
      <c r="F64" s="25">
        <f t="shared" ca="1" si="1"/>
        <v>201</v>
      </c>
      <c r="G64" s="56">
        <v>46124</v>
      </c>
      <c r="H64" s="36"/>
      <c r="I64" s="56">
        <v>46178</v>
      </c>
      <c r="J64" s="1"/>
      <c r="K64" s="1">
        <v>7</v>
      </c>
      <c r="L64" s="68">
        <f t="shared" si="9"/>
        <v>46199</v>
      </c>
      <c r="N64" s="1"/>
      <c r="O64" s="1"/>
      <c r="P64" s="1"/>
      <c r="Q64" s="1"/>
    </row>
    <row r="65" spans="2:17" x14ac:dyDescent="0.25">
      <c r="B65" s="57" t="s">
        <v>966</v>
      </c>
      <c r="C65" s="58" t="s">
        <v>967</v>
      </c>
      <c r="D65" s="54" t="s">
        <v>144</v>
      </c>
      <c r="E65" s="51">
        <v>45998</v>
      </c>
      <c r="F65" s="25">
        <f t="shared" ca="1" si="1"/>
        <v>200</v>
      </c>
      <c r="G65" s="56">
        <v>46124</v>
      </c>
      <c r="H65" s="36"/>
      <c r="I65" s="56">
        <v>46178</v>
      </c>
      <c r="J65" s="1"/>
      <c r="K65" s="1">
        <v>7.1</v>
      </c>
      <c r="L65" s="68">
        <f t="shared" si="9"/>
        <v>46199</v>
      </c>
      <c r="N65" s="1"/>
      <c r="O65" s="1"/>
      <c r="P65" s="1"/>
      <c r="Q65" s="1"/>
    </row>
    <row r="66" spans="2:17" x14ac:dyDescent="0.25">
      <c r="B66" s="57" t="s">
        <v>968</v>
      </c>
      <c r="C66" s="58" t="s">
        <v>969</v>
      </c>
      <c r="D66" s="54" t="s">
        <v>144</v>
      </c>
      <c r="E66" s="51">
        <v>45998</v>
      </c>
      <c r="F66" s="25">
        <f t="shared" ca="1" si="1"/>
        <v>200</v>
      </c>
      <c r="G66" s="56">
        <v>46124</v>
      </c>
      <c r="H66" s="36"/>
      <c r="I66" s="56">
        <v>46178</v>
      </c>
      <c r="J66" s="1"/>
      <c r="K66" s="1">
        <v>7.3</v>
      </c>
      <c r="L66" s="68">
        <f t="shared" si="9"/>
        <v>46199</v>
      </c>
      <c r="N66" s="1"/>
      <c r="O66" s="1"/>
      <c r="P66" s="1"/>
      <c r="Q66" s="1"/>
    </row>
    <row r="67" spans="2:17" x14ac:dyDescent="0.25">
      <c r="B67" s="57" t="s">
        <v>970</v>
      </c>
      <c r="C67" s="58" t="s">
        <v>971</v>
      </c>
      <c r="D67" s="54" t="s">
        <v>144</v>
      </c>
      <c r="E67" s="51">
        <v>45999</v>
      </c>
      <c r="F67" s="25">
        <f t="shared" ca="1" si="1"/>
        <v>199</v>
      </c>
      <c r="G67" s="56">
        <v>46124</v>
      </c>
      <c r="H67" s="36"/>
      <c r="I67" s="1"/>
      <c r="J67" s="1"/>
      <c r="K67" s="1"/>
      <c r="L67" s="1"/>
      <c r="N67" s="1"/>
      <c r="O67" s="1"/>
      <c r="P67" s="1"/>
      <c r="Q67" s="1"/>
    </row>
    <row r="68" spans="2:17" x14ac:dyDescent="0.25">
      <c r="B68" s="57" t="s">
        <v>972</v>
      </c>
      <c r="C68" s="58" t="s">
        <v>973</v>
      </c>
      <c r="D68" s="54" t="s">
        <v>144</v>
      </c>
      <c r="E68" s="51">
        <v>45999</v>
      </c>
      <c r="F68" s="25">
        <f t="shared" ca="1" si="1"/>
        <v>199</v>
      </c>
      <c r="G68" s="56">
        <v>46124</v>
      </c>
      <c r="H68" s="36"/>
      <c r="I68" s="1"/>
      <c r="J68" s="1"/>
      <c r="K68" s="1"/>
      <c r="L68" s="1"/>
      <c r="N68" s="1"/>
      <c r="O68" s="1"/>
      <c r="P68" s="1"/>
      <c r="Q68" s="1"/>
    </row>
    <row r="69" spans="2:17" x14ac:dyDescent="0.25">
      <c r="B69" s="57" t="s">
        <v>974</v>
      </c>
      <c r="C69" s="58" t="s">
        <v>975</v>
      </c>
      <c r="D69" s="54" t="s">
        <v>144</v>
      </c>
      <c r="E69" s="51">
        <v>46000</v>
      </c>
      <c r="F69" s="25">
        <f t="shared" ca="1" si="1"/>
        <v>198</v>
      </c>
      <c r="G69" s="56">
        <v>46124</v>
      </c>
      <c r="H69" s="36"/>
      <c r="I69" s="1"/>
      <c r="J69" s="1"/>
      <c r="K69" s="1"/>
      <c r="L69" s="1"/>
      <c r="N69" s="1"/>
      <c r="O69" s="1"/>
      <c r="P69" s="1"/>
      <c r="Q69" s="1"/>
    </row>
    <row r="70" spans="2:17" x14ac:dyDescent="0.25">
      <c r="B70" s="57" t="s">
        <v>992</v>
      </c>
      <c r="C70" s="58" t="s">
        <v>993</v>
      </c>
      <c r="D70" s="54" t="s">
        <v>144</v>
      </c>
      <c r="E70" s="51">
        <v>46008</v>
      </c>
      <c r="F70" s="25">
        <f t="shared" ca="1" si="1"/>
        <v>190</v>
      </c>
      <c r="G70" s="56">
        <v>46124</v>
      </c>
      <c r="H70" s="36"/>
      <c r="I70" s="1"/>
      <c r="J70" s="1"/>
      <c r="K70" s="1"/>
      <c r="L70" s="1"/>
      <c r="N70" s="1"/>
      <c r="O70" s="1"/>
      <c r="P70" s="1"/>
      <c r="Q70" s="1"/>
    </row>
    <row r="71" spans="2:17" x14ac:dyDescent="0.25">
      <c r="B71" s="57" t="s">
        <v>994</v>
      </c>
      <c r="C71" s="58" t="s">
        <v>995</v>
      </c>
      <c r="D71" s="54" t="s">
        <v>144</v>
      </c>
      <c r="E71" s="51">
        <v>46009</v>
      </c>
      <c r="F71" s="25">
        <f t="shared" ca="1" si="1"/>
        <v>189</v>
      </c>
      <c r="G71" s="56">
        <v>46125</v>
      </c>
      <c r="H71" s="36"/>
      <c r="I71" s="1"/>
      <c r="J71" s="1"/>
      <c r="K71" s="1"/>
      <c r="L71" s="1"/>
      <c r="N71" s="1"/>
      <c r="O71" s="1"/>
      <c r="P71" s="1"/>
      <c r="Q71" s="1"/>
    </row>
    <row r="72" spans="2:17" x14ac:dyDescent="0.25">
      <c r="B72" s="57" t="s">
        <v>1107</v>
      </c>
      <c r="C72" s="58" t="s">
        <v>1108</v>
      </c>
      <c r="D72" s="54" t="s">
        <v>144</v>
      </c>
      <c r="E72" s="51">
        <v>46009</v>
      </c>
      <c r="F72" s="25">
        <f t="shared" ref="F72:F135" ca="1" si="10">$F$2-E72</f>
        <v>189</v>
      </c>
      <c r="G72" s="56">
        <v>46125</v>
      </c>
      <c r="H72" s="36"/>
      <c r="I72" s="1"/>
      <c r="J72" s="1"/>
      <c r="K72" s="1"/>
      <c r="L72" s="1"/>
      <c r="N72" s="1"/>
      <c r="O72" s="1"/>
      <c r="P72" s="1"/>
      <c r="Q72" s="1"/>
    </row>
    <row r="73" spans="2:17" x14ac:dyDescent="0.25">
      <c r="B73" s="57" t="s">
        <v>1109</v>
      </c>
      <c r="C73" s="58" t="s">
        <v>1110</v>
      </c>
      <c r="D73" s="54" t="s">
        <v>144</v>
      </c>
      <c r="E73" s="51">
        <v>46010</v>
      </c>
      <c r="F73" s="25">
        <f t="shared" ca="1" si="10"/>
        <v>188</v>
      </c>
      <c r="G73" s="56">
        <v>46125</v>
      </c>
      <c r="H73" s="36"/>
      <c r="I73" s="1"/>
      <c r="J73" s="1"/>
      <c r="K73" s="1"/>
      <c r="L73" s="1"/>
      <c r="N73" s="1"/>
      <c r="O73" s="1"/>
      <c r="P73" s="1"/>
      <c r="Q73" s="1"/>
    </row>
    <row r="74" spans="2:17" x14ac:dyDescent="0.25">
      <c r="B74" s="57" t="s">
        <v>1111</v>
      </c>
      <c r="C74" s="58" t="s">
        <v>1112</v>
      </c>
      <c r="D74" s="54" t="s">
        <v>144</v>
      </c>
      <c r="E74" s="51">
        <v>46011</v>
      </c>
      <c r="F74" s="25">
        <f t="shared" ca="1" si="10"/>
        <v>187</v>
      </c>
      <c r="G74" s="56">
        <v>46125</v>
      </c>
      <c r="H74" s="36"/>
      <c r="I74" s="1"/>
      <c r="J74" s="1"/>
      <c r="K74" s="1"/>
      <c r="L74" s="1"/>
      <c r="N74" s="1"/>
      <c r="O74" s="1"/>
      <c r="P74" s="1"/>
      <c r="Q74" s="1"/>
    </row>
    <row r="75" spans="2:17" x14ac:dyDescent="0.25">
      <c r="B75" s="57" t="s">
        <v>1113</v>
      </c>
      <c r="C75" s="58" t="s">
        <v>1114</v>
      </c>
      <c r="D75" s="54" t="s">
        <v>144</v>
      </c>
      <c r="E75" s="51">
        <v>46012</v>
      </c>
      <c r="F75" s="25">
        <f t="shared" ca="1" si="10"/>
        <v>186</v>
      </c>
      <c r="G75" s="56">
        <v>46125</v>
      </c>
      <c r="H75" s="36"/>
      <c r="I75" s="1"/>
      <c r="J75" s="1"/>
      <c r="K75" s="1"/>
      <c r="L75" s="1"/>
      <c r="N75" s="1"/>
      <c r="O75" s="1"/>
      <c r="P75" s="1"/>
      <c r="Q75" s="1"/>
    </row>
    <row r="76" spans="2:17" x14ac:dyDescent="0.25">
      <c r="B76" s="57" t="s">
        <v>1115</v>
      </c>
      <c r="C76" s="58" t="s">
        <v>1116</v>
      </c>
      <c r="D76" s="54" t="s">
        <v>144</v>
      </c>
      <c r="E76" s="51">
        <v>46014</v>
      </c>
      <c r="F76" s="25">
        <f t="shared" ca="1" si="10"/>
        <v>184</v>
      </c>
      <c r="G76" s="56">
        <v>46125</v>
      </c>
      <c r="H76" s="36"/>
      <c r="I76" s="1"/>
      <c r="J76" s="1"/>
      <c r="K76" s="1"/>
      <c r="L76" s="1"/>
      <c r="N76" s="1"/>
      <c r="O76" s="1"/>
      <c r="P76" s="1"/>
      <c r="Q76" s="1"/>
    </row>
    <row r="77" spans="2:17" x14ac:dyDescent="0.25">
      <c r="B77" s="57" t="s">
        <v>1117</v>
      </c>
      <c r="C77" s="58" t="s">
        <v>1118</v>
      </c>
      <c r="D77" s="54" t="s">
        <v>144</v>
      </c>
      <c r="E77" s="51">
        <v>46014</v>
      </c>
      <c r="F77" s="25">
        <f t="shared" ca="1" si="10"/>
        <v>184</v>
      </c>
      <c r="G77" s="56">
        <v>46125</v>
      </c>
      <c r="H77" s="36"/>
      <c r="I77" s="1"/>
      <c r="J77" s="1"/>
      <c r="K77" s="1"/>
      <c r="L77" s="1"/>
      <c r="N77" s="1"/>
      <c r="O77" s="1"/>
      <c r="P77" s="1"/>
      <c r="Q77" s="1"/>
    </row>
    <row r="78" spans="2:17" x14ac:dyDescent="0.25">
      <c r="B78" s="57" t="s">
        <v>1119</v>
      </c>
      <c r="C78" s="58" t="s">
        <v>1120</v>
      </c>
      <c r="D78" s="54" t="s">
        <v>144</v>
      </c>
      <c r="E78" s="51">
        <v>46015</v>
      </c>
      <c r="F78" s="25">
        <f t="shared" ca="1" si="10"/>
        <v>183</v>
      </c>
      <c r="G78" s="56">
        <v>46125</v>
      </c>
      <c r="H78" s="36"/>
      <c r="I78" s="1"/>
      <c r="J78" s="1"/>
      <c r="K78" s="1"/>
      <c r="L78" s="1"/>
      <c r="N78" s="1"/>
      <c r="O78" s="1"/>
      <c r="P78" s="1"/>
      <c r="Q78" s="1"/>
    </row>
    <row r="79" spans="2:17" x14ac:dyDescent="0.25">
      <c r="B79" s="57" t="s">
        <v>1121</v>
      </c>
      <c r="C79" s="58" t="s">
        <v>1122</v>
      </c>
      <c r="D79" s="54" t="s">
        <v>144</v>
      </c>
      <c r="E79" s="51">
        <v>46016</v>
      </c>
      <c r="F79" s="25">
        <f t="shared" ca="1" si="10"/>
        <v>182</v>
      </c>
      <c r="G79" s="56">
        <v>46126</v>
      </c>
      <c r="H79" s="36"/>
      <c r="I79" s="1"/>
      <c r="J79" s="1"/>
      <c r="K79" s="1"/>
      <c r="L79" s="1"/>
      <c r="N79" s="1"/>
      <c r="O79" s="1"/>
      <c r="P79" s="1"/>
      <c r="Q79" s="1"/>
    </row>
    <row r="80" spans="2:17" x14ac:dyDescent="0.25">
      <c r="B80" s="57" t="s">
        <v>1123</v>
      </c>
      <c r="C80" s="58" t="s">
        <v>1124</v>
      </c>
      <c r="D80" s="54" t="s">
        <v>144</v>
      </c>
      <c r="E80" s="51">
        <v>46017</v>
      </c>
      <c r="F80" s="25">
        <f t="shared" ca="1" si="10"/>
        <v>181</v>
      </c>
      <c r="G80" s="56">
        <v>46126</v>
      </c>
      <c r="H80" s="36"/>
      <c r="I80" s="1"/>
      <c r="J80" s="1"/>
      <c r="K80" s="1"/>
      <c r="L80" s="1"/>
      <c r="N80" s="1"/>
      <c r="O80" s="1"/>
      <c r="P80" s="1"/>
      <c r="Q80" s="1"/>
    </row>
    <row r="81" spans="2:17" x14ac:dyDescent="0.25">
      <c r="B81" s="57" t="s">
        <v>1125</v>
      </c>
      <c r="C81" s="58" t="s">
        <v>1126</v>
      </c>
      <c r="D81" s="54" t="s">
        <v>144</v>
      </c>
      <c r="E81" s="51">
        <v>46018</v>
      </c>
      <c r="F81" s="25">
        <f t="shared" ca="1" si="10"/>
        <v>180</v>
      </c>
      <c r="G81" s="56">
        <v>46126</v>
      </c>
      <c r="H81" s="36"/>
      <c r="I81" s="1"/>
      <c r="J81" s="1"/>
      <c r="K81" s="1"/>
      <c r="L81" s="1"/>
      <c r="N81" s="1"/>
      <c r="O81" s="1"/>
      <c r="P81" s="1"/>
      <c r="Q81" s="1"/>
    </row>
    <row r="82" spans="2:17" x14ac:dyDescent="0.25">
      <c r="B82" s="57" t="s">
        <v>1127</v>
      </c>
      <c r="C82" s="58" t="s">
        <v>1128</v>
      </c>
      <c r="D82" s="54" t="s">
        <v>144</v>
      </c>
      <c r="E82" s="51">
        <v>46018</v>
      </c>
      <c r="F82" s="25">
        <f t="shared" ca="1" si="10"/>
        <v>180</v>
      </c>
      <c r="G82" s="56">
        <v>46126</v>
      </c>
      <c r="H82" s="36"/>
      <c r="I82" s="1"/>
      <c r="J82" s="1"/>
      <c r="K82" s="1"/>
      <c r="L82" s="1"/>
      <c r="N82" s="1"/>
      <c r="O82" s="1"/>
      <c r="P82" s="1"/>
      <c r="Q82" s="1"/>
    </row>
    <row r="83" spans="2:17" x14ac:dyDescent="0.25">
      <c r="B83" s="57" t="s">
        <v>1129</v>
      </c>
      <c r="C83" s="58" t="s">
        <v>1130</v>
      </c>
      <c r="D83" s="54" t="s">
        <v>144</v>
      </c>
      <c r="E83" s="51">
        <v>46020</v>
      </c>
      <c r="F83" s="25">
        <f t="shared" ca="1" si="10"/>
        <v>178</v>
      </c>
      <c r="G83" s="56">
        <v>46126</v>
      </c>
      <c r="H83" s="36"/>
      <c r="I83" s="1"/>
      <c r="J83" s="1"/>
      <c r="K83" s="1"/>
      <c r="L83" s="1"/>
      <c r="N83" s="1"/>
      <c r="O83" s="1"/>
      <c r="P83" s="1"/>
      <c r="Q83" s="1"/>
    </row>
    <row r="84" spans="2:17" x14ac:dyDescent="0.25">
      <c r="B84" s="57" t="s">
        <v>1131</v>
      </c>
      <c r="C84" s="58" t="s">
        <v>1132</v>
      </c>
      <c r="D84" s="54" t="s">
        <v>144</v>
      </c>
      <c r="E84" s="51">
        <v>46021</v>
      </c>
      <c r="F84" s="25">
        <f t="shared" ca="1" si="10"/>
        <v>177</v>
      </c>
      <c r="G84" s="56">
        <v>46126</v>
      </c>
      <c r="H84" s="36"/>
      <c r="I84" s="1"/>
      <c r="J84" s="1"/>
      <c r="K84" s="1"/>
      <c r="L84" s="1"/>
      <c r="N84" s="1"/>
      <c r="O84" s="1"/>
      <c r="P84" s="1"/>
      <c r="Q84" s="1"/>
    </row>
    <row r="85" spans="2:17" x14ac:dyDescent="0.25">
      <c r="B85" s="61" t="s">
        <v>976</v>
      </c>
      <c r="C85" s="62" t="s">
        <v>977</v>
      </c>
      <c r="D85" s="54" t="s">
        <v>144</v>
      </c>
      <c r="E85" s="51">
        <v>46000</v>
      </c>
      <c r="F85" s="25">
        <f t="shared" ca="1" si="10"/>
        <v>198</v>
      </c>
      <c r="G85" s="56">
        <v>46126</v>
      </c>
      <c r="H85" s="36"/>
      <c r="I85" s="1"/>
      <c r="J85" s="1"/>
      <c r="K85" s="1"/>
      <c r="L85" s="1"/>
      <c r="N85" s="1"/>
      <c r="O85" s="1"/>
      <c r="P85" s="1"/>
      <c r="Q85" s="1"/>
    </row>
    <row r="86" spans="2:17" x14ac:dyDescent="0.25">
      <c r="B86" s="61" t="s">
        <v>978</v>
      </c>
      <c r="C86" s="62" t="s">
        <v>979</v>
      </c>
      <c r="D86" s="54" t="s">
        <v>144</v>
      </c>
      <c r="E86" s="51">
        <v>46000</v>
      </c>
      <c r="F86" s="25">
        <f t="shared" ca="1" si="10"/>
        <v>198</v>
      </c>
      <c r="G86" s="56">
        <v>46127</v>
      </c>
      <c r="H86" s="36"/>
      <c r="I86" s="1"/>
      <c r="J86" s="1"/>
      <c r="K86" s="1"/>
      <c r="L86" s="1"/>
      <c r="N86" s="1"/>
      <c r="O86" s="1"/>
      <c r="P86" s="1"/>
      <c r="Q86" s="1"/>
    </row>
    <row r="87" spans="2:17" x14ac:dyDescent="0.25">
      <c r="B87" s="61" t="s">
        <v>980</v>
      </c>
      <c r="C87" s="62" t="s">
        <v>981</v>
      </c>
      <c r="D87" s="54" t="s">
        <v>144</v>
      </c>
      <c r="E87" s="51">
        <v>46001</v>
      </c>
      <c r="F87" s="25">
        <f t="shared" ca="1" si="10"/>
        <v>197</v>
      </c>
      <c r="G87" s="56">
        <v>46127</v>
      </c>
      <c r="H87" s="36"/>
      <c r="I87" s="1"/>
      <c r="J87" s="1"/>
      <c r="K87" s="1"/>
      <c r="L87" s="1"/>
      <c r="N87" s="1"/>
      <c r="O87" s="1"/>
      <c r="P87" s="1"/>
      <c r="Q87" s="1"/>
    </row>
    <row r="88" spans="2:17" x14ac:dyDescent="0.25">
      <c r="B88" s="61" t="s">
        <v>982</v>
      </c>
      <c r="C88" s="62" t="s">
        <v>983</v>
      </c>
      <c r="D88" s="54" t="s">
        <v>144</v>
      </c>
      <c r="E88" s="51">
        <v>46001</v>
      </c>
      <c r="F88" s="25">
        <f t="shared" ca="1" si="10"/>
        <v>197</v>
      </c>
      <c r="G88" s="56">
        <v>46127</v>
      </c>
      <c r="H88" s="36"/>
      <c r="I88" s="1"/>
      <c r="J88" s="1"/>
      <c r="K88" s="1"/>
      <c r="L88" s="1"/>
      <c r="N88" s="1"/>
      <c r="O88" s="1"/>
      <c r="P88" s="1"/>
      <c r="Q88" s="1"/>
    </row>
    <row r="89" spans="2:17" x14ac:dyDescent="0.25">
      <c r="B89" s="61" t="s">
        <v>984</v>
      </c>
      <c r="C89" s="62" t="s">
        <v>985</v>
      </c>
      <c r="D89" s="54" t="s">
        <v>144</v>
      </c>
      <c r="E89" s="51">
        <v>46001</v>
      </c>
      <c r="F89" s="25">
        <f t="shared" ca="1" si="10"/>
        <v>197</v>
      </c>
      <c r="G89" s="56">
        <v>46127</v>
      </c>
      <c r="H89" s="36"/>
      <c r="I89" s="1"/>
      <c r="J89" s="1"/>
      <c r="K89" s="1"/>
      <c r="L89" s="1"/>
      <c r="N89" s="1"/>
      <c r="O89" s="1"/>
      <c r="P89" s="1"/>
      <c r="Q89" s="1"/>
    </row>
    <row r="90" spans="2:17" x14ac:dyDescent="0.25">
      <c r="B90" s="61" t="s">
        <v>986</v>
      </c>
      <c r="C90" s="62" t="s">
        <v>987</v>
      </c>
      <c r="D90" s="54" t="s">
        <v>144</v>
      </c>
      <c r="E90" s="51">
        <v>46003</v>
      </c>
      <c r="F90" s="25">
        <f t="shared" ca="1" si="10"/>
        <v>195</v>
      </c>
      <c r="G90" s="56">
        <v>46127</v>
      </c>
      <c r="H90" s="36"/>
      <c r="I90" s="1"/>
      <c r="J90" s="1"/>
      <c r="K90" s="1"/>
      <c r="L90" s="1"/>
      <c r="N90" s="1"/>
      <c r="O90" s="1"/>
      <c r="P90" s="1"/>
      <c r="Q90" s="1"/>
    </row>
    <row r="91" spans="2:17" x14ac:dyDescent="0.25">
      <c r="B91" s="61" t="s">
        <v>988</v>
      </c>
      <c r="C91" s="62" t="s">
        <v>989</v>
      </c>
      <c r="D91" s="54" t="s">
        <v>144</v>
      </c>
      <c r="E91" s="51">
        <v>46003</v>
      </c>
      <c r="F91" s="25">
        <f t="shared" ca="1" si="10"/>
        <v>195</v>
      </c>
      <c r="G91" s="56">
        <v>46127</v>
      </c>
      <c r="H91" s="36"/>
      <c r="I91" s="1"/>
      <c r="J91" s="1"/>
      <c r="K91" s="1"/>
      <c r="L91" s="1"/>
      <c r="N91" s="1"/>
      <c r="O91" s="1"/>
      <c r="P91" s="1"/>
      <c r="Q91" s="1"/>
    </row>
    <row r="92" spans="2:17" x14ac:dyDescent="0.25">
      <c r="B92" s="61" t="s">
        <v>990</v>
      </c>
      <c r="C92" s="62" t="s">
        <v>991</v>
      </c>
      <c r="D92" s="54" t="s">
        <v>144</v>
      </c>
      <c r="E92" s="51">
        <v>46003</v>
      </c>
      <c r="F92" s="25">
        <f t="shared" ca="1" si="10"/>
        <v>195</v>
      </c>
      <c r="G92" s="56">
        <v>46127</v>
      </c>
      <c r="H92" s="36"/>
      <c r="I92" s="1"/>
      <c r="J92" s="1"/>
      <c r="K92" s="1"/>
      <c r="L92" s="1"/>
      <c r="N92" s="1"/>
      <c r="O92" s="1"/>
      <c r="P92" s="1"/>
      <c r="Q92" s="1"/>
    </row>
    <row r="93" spans="2:17" x14ac:dyDescent="0.25">
      <c r="B93" s="61" t="s">
        <v>1133</v>
      </c>
      <c r="C93" s="62" t="s">
        <v>1134</v>
      </c>
      <c r="D93" s="54" t="s">
        <v>144</v>
      </c>
      <c r="E93" s="51">
        <v>46026</v>
      </c>
      <c r="F93" s="25">
        <f t="shared" ca="1" si="10"/>
        <v>172</v>
      </c>
      <c r="G93" s="56">
        <v>46128</v>
      </c>
      <c r="H93" s="36"/>
      <c r="I93" s="1"/>
      <c r="J93" s="1"/>
      <c r="K93" s="1"/>
      <c r="L93" s="1"/>
      <c r="N93" s="1"/>
      <c r="O93" s="1"/>
      <c r="P93" s="1"/>
      <c r="Q93" s="1"/>
    </row>
    <row r="94" spans="2:17" x14ac:dyDescent="0.25">
      <c r="B94" s="61" t="s">
        <v>1135</v>
      </c>
      <c r="C94" s="62" t="s">
        <v>1136</v>
      </c>
      <c r="D94" s="54" t="s">
        <v>144</v>
      </c>
      <c r="E94" s="51">
        <v>46026</v>
      </c>
      <c r="F94" s="25">
        <f t="shared" ca="1" si="10"/>
        <v>172</v>
      </c>
      <c r="G94" s="56">
        <v>46128</v>
      </c>
      <c r="H94" s="36"/>
      <c r="I94" s="1"/>
      <c r="J94" s="1"/>
      <c r="K94" s="1"/>
      <c r="L94" s="1"/>
      <c r="N94" s="1"/>
      <c r="O94" s="1"/>
      <c r="P94" s="1"/>
      <c r="Q94" s="1"/>
    </row>
    <row r="95" spans="2:17" x14ac:dyDescent="0.25">
      <c r="B95" s="61" t="s">
        <v>1137</v>
      </c>
      <c r="C95" s="62" t="s">
        <v>1138</v>
      </c>
      <c r="D95" s="54" t="s">
        <v>144</v>
      </c>
      <c r="E95" s="51">
        <v>46028</v>
      </c>
      <c r="F95" s="25">
        <f t="shared" ca="1" si="10"/>
        <v>170</v>
      </c>
      <c r="G95" s="56">
        <v>46128</v>
      </c>
      <c r="H95" s="36"/>
      <c r="I95" s="1"/>
      <c r="J95" s="1"/>
      <c r="K95" s="1"/>
      <c r="L95" s="1"/>
      <c r="N95" s="1"/>
      <c r="O95" s="1"/>
      <c r="P95" s="1"/>
      <c r="Q95" s="1"/>
    </row>
    <row r="96" spans="2:17" x14ac:dyDescent="0.25">
      <c r="B96" s="61" t="s">
        <v>1139</v>
      </c>
      <c r="C96" s="62" t="s">
        <v>1140</v>
      </c>
      <c r="D96" s="54" t="s">
        <v>144</v>
      </c>
      <c r="E96" s="51">
        <v>46028</v>
      </c>
      <c r="F96" s="25">
        <f t="shared" ca="1" si="10"/>
        <v>170</v>
      </c>
      <c r="G96" s="56">
        <v>46128</v>
      </c>
      <c r="H96" s="36"/>
      <c r="I96" s="1"/>
      <c r="J96" s="1"/>
      <c r="K96" s="1"/>
      <c r="L96" s="1"/>
      <c r="N96" s="1"/>
      <c r="O96" s="1"/>
      <c r="P96" s="1"/>
      <c r="Q96" s="1"/>
    </row>
    <row r="97" spans="2:17" x14ac:dyDescent="0.25">
      <c r="B97" s="61" t="s">
        <v>1141</v>
      </c>
      <c r="C97" s="62" t="s">
        <v>1142</v>
      </c>
      <c r="D97" s="54" t="s">
        <v>144</v>
      </c>
      <c r="E97" s="51">
        <v>46031</v>
      </c>
      <c r="F97" s="25">
        <f t="shared" ca="1" si="10"/>
        <v>167</v>
      </c>
      <c r="G97" s="56">
        <v>46128</v>
      </c>
      <c r="H97" s="36"/>
      <c r="I97" s="1"/>
      <c r="J97" s="1"/>
      <c r="K97" s="1"/>
      <c r="L97" s="1"/>
      <c r="N97" s="1"/>
      <c r="O97" s="1"/>
      <c r="P97" s="1"/>
      <c r="Q97" s="1"/>
    </row>
    <row r="98" spans="2:17" x14ac:dyDescent="0.25">
      <c r="B98" s="61" t="s">
        <v>1143</v>
      </c>
      <c r="C98" s="62" t="s">
        <v>1144</v>
      </c>
      <c r="D98" s="54" t="s">
        <v>144</v>
      </c>
      <c r="E98" s="51">
        <v>46031</v>
      </c>
      <c r="F98" s="25">
        <f t="shared" ca="1" si="10"/>
        <v>167</v>
      </c>
      <c r="G98" s="56">
        <v>46128</v>
      </c>
      <c r="H98" s="36"/>
      <c r="I98" s="1"/>
      <c r="J98" s="1"/>
      <c r="K98" s="1"/>
      <c r="L98" s="1"/>
      <c r="N98" s="1"/>
      <c r="O98" s="1"/>
      <c r="P98" s="1"/>
      <c r="Q98" s="1"/>
    </row>
    <row r="99" spans="2:17" x14ac:dyDescent="0.25">
      <c r="B99" s="61" t="s">
        <v>1209</v>
      </c>
      <c r="C99" s="62" t="s">
        <v>1210</v>
      </c>
      <c r="D99" s="54" t="s">
        <v>144</v>
      </c>
      <c r="E99" s="51">
        <v>46032</v>
      </c>
      <c r="F99" s="1">
        <f t="shared" ca="1" si="10"/>
        <v>166</v>
      </c>
      <c r="G99" s="56">
        <v>46128</v>
      </c>
      <c r="H99" s="36"/>
      <c r="I99" s="1"/>
      <c r="J99" s="1"/>
      <c r="K99" s="1"/>
      <c r="L99" s="1"/>
      <c r="N99" s="1"/>
      <c r="O99" s="1"/>
      <c r="P99" s="1"/>
      <c r="Q99" s="1"/>
    </row>
    <row r="100" spans="2:17" x14ac:dyDescent="0.25">
      <c r="B100" s="61" t="s">
        <v>1211</v>
      </c>
      <c r="C100" s="62" t="s">
        <v>1212</v>
      </c>
      <c r="D100" s="54" t="s">
        <v>144</v>
      </c>
      <c r="E100" s="51">
        <v>46032</v>
      </c>
      <c r="F100" s="1">
        <f t="shared" ca="1" si="10"/>
        <v>166</v>
      </c>
      <c r="G100" s="56">
        <v>46128</v>
      </c>
      <c r="H100" s="36"/>
      <c r="I100" s="1"/>
      <c r="J100" s="1"/>
      <c r="K100" s="1"/>
      <c r="L100" s="1"/>
      <c r="N100" s="1"/>
      <c r="O100" s="1"/>
      <c r="P100" s="1"/>
      <c r="Q100" s="1"/>
    </row>
    <row r="101" spans="2:17" x14ac:dyDescent="0.25">
      <c r="B101" s="61" t="s">
        <v>1213</v>
      </c>
      <c r="C101" s="62" t="s">
        <v>1214</v>
      </c>
      <c r="D101" s="54" t="s">
        <v>144</v>
      </c>
      <c r="E101" s="51">
        <v>46032</v>
      </c>
      <c r="F101" s="1">
        <f t="shared" ca="1" si="10"/>
        <v>166</v>
      </c>
      <c r="G101" s="56">
        <v>46129</v>
      </c>
      <c r="H101" s="36"/>
      <c r="I101" s="1"/>
      <c r="J101" s="1"/>
      <c r="K101" s="1"/>
      <c r="L101" s="1"/>
      <c r="N101" s="1"/>
      <c r="O101" s="1"/>
      <c r="P101" s="1"/>
      <c r="Q101" s="1"/>
    </row>
    <row r="102" spans="2:17" x14ac:dyDescent="0.25">
      <c r="B102" s="61" t="s">
        <v>1215</v>
      </c>
      <c r="C102" s="62" t="s">
        <v>1216</v>
      </c>
      <c r="D102" s="54" t="s">
        <v>144</v>
      </c>
      <c r="E102" s="51">
        <v>46032</v>
      </c>
      <c r="F102" s="1">
        <f t="shared" ca="1" si="10"/>
        <v>166</v>
      </c>
      <c r="G102" s="56">
        <v>46129</v>
      </c>
      <c r="H102" s="36"/>
      <c r="I102" s="1"/>
      <c r="J102" s="1"/>
      <c r="K102" s="1"/>
      <c r="L102" s="1"/>
      <c r="N102" s="1"/>
      <c r="O102" s="1"/>
      <c r="P102" s="1"/>
      <c r="Q102" s="1"/>
    </row>
    <row r="103" spans="2:17" x14ac:dyDescent="0.25">
      <c r="B103" s="61" t="s">
        <v>1217</v>
      </c>
      <c r="C103" s="62" t="s">
        <v>1218</v>
      </c>
      <c r="D103" s="54" t="s">
        <v>144</v>
      </c>
      <c r="E103" s="51">
        <v>46032</v>
      </c>
      <c r="F103" s="1">
        <f t="shared" ca="1" si="10"/>
        <v>166</v>
      </c>
      <c r="G103" s="56">
        <v>46129</v>
      </c>
      <c r="H103" s="36"/>
      <c r="I103" s="1"/>
      <c r="J103" s="1"/>
      <c r="K103" s="1"/>
      <c r="L103" s="1"/>
      <c r="N103" s="1"/>
      <c r="O103" s="1"/>
      <c r="P103" s="1"/>
      <c r="Q103" s="1"/>
    </row>
    <row r="104" spans="2:17" x14ac:dyDescent="0.25">
      <c r="B104" s="61" t="s">
        <v>1219</v>
      </c>
      <c r="C104" s="62" t="s">
        <v>1220</v>
      </c>
      <c r="D104" s="54" t="s">
        <v>144</v>
      </c>
      <c r="E104" s="51">
        <v>46032</v>
      </c>
      <c r="F104" s="1">
        <f t="shared" ca="1" si="10"/>
        <v>166</v>
      </c>
      <c r="G104" s="56">
        <v>46129</v>
      </c>
      <c r="H104" s="36"/>
      <c r="I104" s="1"/>
      <c r="J104" s="1"/>
      <c r="K104" s="1"/>
      <c r="L104" s="1"/>
      <c r="N104" s="1"/>
      <c r="O104" s="1"/>
      <c r="P104" s="1"/>
      <c r="Q104" s="1"/>
    </row>
    <row r="105" spans="2:17" x14ac:dyDescent="0.25">
      <c r="B105" s="61" t="s">
        <v>1221</v>
      </c>
      <c r="C105" s="62" t="s">
        <v>1222</v>
      </c>
      <c r="D105" s="54" t="s">
        <v>144</v>
      </c>
      <c r="E105" s="51">
        <v>46032</v>
      </c>
      <c r="F105" s="1">
        <f t="shared" ca="1" si="10"/>
        <v>166</v>
      </c>
      <c r="G105" s="56">
        <v>46129</v>
      </c>
      <c r="H105" s="36"/>
      <c r="I105" s="1"/>
      <c r="J105" s="1"/>
      <c r="K105" s="1"/>
      <c r="L105" s="1"/>
      <c r="N105" s="1"/>
      <c r="O105" s="1"/>
      <c r="P105" s="1"/>
      <c r="Q105" s="1"/>
    </row>
    <row r="106" spans="2:17" x14ac:dyDescent="0.25">
      <c r="B106" s="61" t="s">
        <v>1223</v>
      </c>
      <c r="C106" s="62" t="s">
        <v>1224</v>
      </c>
      <c r="D106" s="54" t="s">
        <v>144</v>
      </c>
      <c r="E106" s="51">
        <v>46032</v>
      </c>
      <c r="F106" s="1">
        <f t="shared" ca="1" si="10"/>
        <v>166</v>
      </c>
      <c r="G106" s="56">
        <v>46129</v>
      </c>
      <c r="H106" s="36"/>
      <c r="I106" s="1"/>
      <c r="J106" s="1"/>
      <c r="K106" s="1"/>
      <c r="L106" s="1"/>
      <c r="N106" s="1"/>
      <c r="O106" s="1"/>
      <c r="P106" s="1"/>
      <c r="Q106" s="1"/>
    </row>
    <row r="107" spans="2:17" x14ac:dyDescent="0.25">
      <c r="B107" s="61" t="s">
        <v>1225</v>
      </c>
      <c r="C107" s="62" t="s">
        <v>1226</v>
      </c>
      <c r="D107" s="54" t="s">
        <v>144</v>
      </c>
      <c r="E107" s="51">
        <v>46032</v>
      </c>
      <c r="F107" s="1">
        <f t="shared" ca="1" si="10"/>
        <v>166</v>
      </c>
      <c r="G107" s="56">
        <v>46129</v>
      </c>
      <c r="H107" s="36"/>
      <c r="I107" s="1"/>
      <c r="J107" s="1"/>
      <c r="K107" s="1"/>
      <c r="L107" s="1"/>
      <c r="N107" s="1"/>
      <c r="O107" s="1"/>
      <c r="P107" s="1"/>
      <c r="Q107" s="1"/>
    </row>
    <row r="108" spans="2:17" x14ac:dyDescent="0.25">
      <c r="B108" s="48" t="s">
        <v>785</v>
      </c>
      <c r="C108" s="49" t="s">
        <v>786</v>
      </c>
      <c r="D108" s="54" t="s">
        <v>144</v>
      </c>
      <c r="E108" s="51">
        <v>45848</v>
      </c>
      <c r="F108" s="25">
        <f t="shared" ca="1" si="10"/>
        <v>350</v>
      </c>
      <c r="G108" s="56">
        <v>46139</v>
      </c>
      <c r="H108" s="36"/>
      <c r="I108" s="1"/>
      <c r="J108" s="1"/>
      <c r="K108" s="1"/>
      <c r="L108" s="1"/>
      <c r="N108" s="1"/>
      <c r="O108" s="1"/>
      <c r="P108" s="1"/>
      <c r="Q108" s="1"/>
    </row>
    <row r="109" spans="2:17" x14ac:dyDescent="0.25">
      <c r="B109" s="48" t="s">
        <v>787</v>
      </c>
      <c r="C109" s="49" t="s">
        <v>788</v>
      </c>
      <c r="D109" s="54" t="s">
        <v>144</v>
      </c>
      <c r="E109" s="51">
        <v>45848</v>
      </c>
      <c r="F109" s="25">
        <f t="shared" ca="1" si="10"/>
        <v>350</v>
      </c>
      <c r="G109" s="56">
        <v>46139</v>
      </c>
      <c r="H109" s="36"/>
      <c r="I109" s="1"/>
      <c r="J109" s="1"/>
      <c r="K109" s="1"/>
      <c r="L109" s="1"/>
      <c r="N109" s="1"/>
      <c r="O109" s="1"/>
      <c r="P109" s="1"/>
      <c r="Q109" s="1"/>
    </row>
    <row r="110" spans="2:17" x14ac:dyDescent="0.25">
      <c r="B110" s="48" t="s">
        <v>789</v>
      </c>
      <c r="C110" s="49" t="s">
        <v>790</v>
      </c>
      <c r="D110" s="54" t="s">
        <v>144</v>
      </c>
      <c r="E110" s="51">
        <v>45848</v>
      </c>
      <c r="F110" s="25">
        <f t="shared" ca="1" si="10"/>
        <v>350</v>
      </c>
      <c r="G110" s="56">
        <v>46139</v>
      </c>
      <c r="H110" s="36"/>
      <c r="I110" s="1"/>
      <c r="J110" s="1"/>
      <c r="K110" s="1"/>
      <c r="L110" s="1"/>
      <c r="N110" s="1"/>
      <c r="O110" s="1"/>
      <c r="P110" s="1"/>
      <c r="Q110" s="1"/>
    </row>
    <row r="111" spans="2:17" x14ac:dyDescent="0.25">
      <c r="B111" s="48" t="s">
        <v>791</v>
      </c>
      <c r="C111" s="49" t="s">
        <v>792</v>
      </c>
      <c r="D111" s="54" t="s">
        <v>144</v>
      </c>
      <c r="E111" s="51">
        <v>45848</v>
      </c>
      <c r="F111" s="25">
        <f t="shared" ca="1" si="10"/>
        <v>350</v>
      </c>
      <c r="G111" s="56">
        <v>46139</v>
      </c>
      <c r="H111" s="36"/>
      <c r="I111" s="1"/>
      <c r="J111" s="1"/>
      <c r="K111" s="1"/>
      <c r="L111" s="1"/>
      <c r="N111" s="1"/>
      <c r="O111" s="1"/>
      <c r="P111" s="1"/>
      <c r="Q111" s="1"/>
    </row>
    <row r="112" spans="2:17" x14ac:dyDescent="0.25">
      <c r="B112" s="48" t="s">
        <v>793</v>
      </c>
      <c r="C112" s="49" t="s">
        <v>794</v>
      </c>
      <c r="D112" s="54" t="s">
        <v>144</v>
      </c>
      <c r="E112" s="51">
        <v>45848</v>
      </c>
      <c r="F112" s="25">
        <f t="shared" ca="1" si="10"/>
        <v>350</v>
      </c>
      <c r="G112" s="56">
        <v>46139</v>
      </c>
      <c r="H112" s="36"/>
      <c r="I112" s="1"/>
      <c r="J112" s="1"/>
      <c r="K112" s="1"/>
      <c r="L112" s="1"/>
      <c r="N112" s="1"/>
      <c r="O112" s="1"/>
      <c r="P112" s="1"/>
      <c r="Q112" s="1"/>
    </row>
    <row r="113" spans="2:17" x14ac:dyDescent="0.25">
      <c r="B113" s="48" t="s">
        <v>795</v>
      </c>
      <c r="C113" s="49" t="s">
        <v>796</v>
      </c>
      <c r="D113" s="54" t="s">
        <v>144</v>
      </c>
      <c r="E113" s="51">
        <v>45848</v>
      </c>
      <c r="F113" s="25">
        <f t="shared" ca="1" si="10"/>
        <v>350</v>
      </c>
      <c r="G113" s="56">
        <v>46139</v>
      </c>
      <c r="H113" s="36"/>
      <c r="I113" s="1"/>
      <c r="J113" s="1"/>
      <c r="K113" s="1"/>
      <c r="L113" s="1"/>
      <c r="N113" s="1"/>
      <c r="O113" s="1"/>
      <c r="P113" s="1"/>
      <c r="Q113" s="1"/>
    </row>
    <row r="114" spans="2:17" x14ac:dyDescent="0.25">
      <c r="B114" s="48" t="s">
        <v>797</v>
      </c>
      <c r="C114" s="49" t="s">
        <v>798</v>
      </c>
      <c r="D114" s="54" t="s">
        <v>144</v>
      </c>
      <c r="E114" s="51">
        <v>45848</v>
      </c>
      <c r="F114" s="25">
        <f t="shared" ca="1" si="10"/>
        <v>350</v>
      </c>
      <c r="G114" s="56">
        <v>46140</v>
      </c>
      <c r="H114" s="36"/>
      <c r="I114" s="1"/>
      <c r="J114" s="1"/>
      <c r="K114" s="1"/>
      <c r="L114" s="1"/>
      <c r="N114" s="1"/>
      <c r="O114" s="1"/>
      <c r="P114" s="1"/>
      <c r="Q114" s="1"/>
    </row>
    <row r="115" spans="2:17" x14ac:dyDescent="0.25">
      <c r="B115" s="48" t="s">
        <v>799</v>
      </c>
      <c r="C115" s="49" t="s">
        <v>800</v>
      </c>
      <c r="D115" s="54" t="s">
        <v>144</v>
      </c>
      <c r="E115" s="51">
        <v>45848</v>
      </c>
      <c r="F115" s="25">
        <f t="shared" ca="1" si="10"/>
        <v>350</v>
      </c>
      <c r="G115" s="56">
        <v>46140</v>
      </c>
      <c r="H115" s="36"/>
      <c r="I115" s="1"/>
      <c r="J115" s="1"/>
      <c r="K115" s="1"/>
      <c r="L115" s="1"/>
      <c r="N115" s="1"/>
      <c r="O115" s="1"/>
      <c r="P115" s="1"/>
      <c r="Q115" s="1"/>
    </row>
    <row r="116" spans="2:17" x14ac:dyDescent="0.25">
      <c r="B116" s="48" t="s">
        <v>811</v>
      </c>
      <c r="C116" s="49" t="s">
        <v>812</v>
      </c>
      <c r="D116" s="54" t="s">
        <v>144</v>
      </c>
      <c r="E116" s="28">
        <v>45856</v>
      </c>
      <c r="F116" s="25">
        <f t="shared" ca="1" si="10"/>
        <v>342</v>
      </c>
      <c r="G116" s="56">
        <v>46140</v>
      </c>
      <c r="H116" s="36"/>
      <c r="I116" s="1"/>
      <c r="J116" s="1"/>
      <c r="K116" s="1"/>
      <c r="L116" s="1"/>
      <c r="N116" s="1"/>
      <c r="O116" s="1"/>
      <c r="P116" s="1"/>
      <c r="Q116" s="1"/>
    </row>
    <row r="117" spans="2:17" x14ac:dyDescent="0.25">
      <c r="B117" s="48" t="s">
        <v>813</v>
      </c>
      <c r="C117" s="49" t="s">
        <v>814</v>
      </c>
      <c r="D117" s="54" t="s">
        <v>144</v>
      </c>
      <c r="E117" s="28">
        <v>45856</v>
      </c>
      <c r="F117" s="25">
        <f t="shared" ca="1" si="10"/>
        <v>342</v>
      </c>
      <c r="G117" s="56">
        <v>46140</v>
      </c>
      <c r="H117" s="36"/>
      <c r="I117" s="1"/>
      <c r="J117" s="1"/>
      <c r="K117" s="1"/>
      <c r="L117" s="1"/>
      <c r="N117" s="1"/>
      <c r="O117" s="1"/>
      <c r="P117" s="1"/>
      <c r="Q117" s="1"/>
    </row>
    <row r="118" spans="2:17" x14ac:dyDescent="0.25">
      <c r="B118" s="48" t="s">
        <v>815</v>
      </c>
      <c r="C118" s="49" t="s">
        <v>816</v>
      </c>
      <c r="D118" s="54" t="s">
        <v>144</v>
      </c>
      <c r="E118" s="28">
        <v>45856</v>
      </c>
      <c r="F118" s="25">
        <f t="shared" ca="1" si="10"/>
        <v>342</v>
      </c>
      <c r="G118" s="56">
        <v>46140</v>
      </c>
      <c r="H118" s="36"/>
      <c r="I118" s="1"/>
      <c r="J118" s="1"/>
      <c r="K118" s="1"/>
      <c r="L118" s="1"/>
      <c r="N118" s="1"/>
      <c r="O118" s="1"/>
      <c r="P118" s="1"/>
      <c r="Q118" s="1"/>
    </row>
    <row r="119" spans="2:17" x14ac:dyDescent="0.25">
      <c r="B119" s="48" t="s">
        <v>817</v>
      </c>
      <c r="C119" s="49" t="s">
        <v>818</v>
      </c>
      <c r="D119" s="54" t="s">
        <v>144</v>
      </c>
      <c r="E119" s="28">
        <v>45856</v>
      </c>
      <c r="F119" s="25">
        <f t="shared" ca="1" si="10"/>
        <v>342</v>
      </c>
      <c r="G119" s="56">
        <v>46140</v>
      </c>
      <c r="H119" s="36"/>
      <c r="I119" s="1"/>
      <c r="J119" s="1"/>
      <c r="K119" s="1"/>
      <c r="L119" s="1"/>
      <c r="N119" s="1"/>
      <c r="O119" s="1"/>
      <c r="P119" s="1"/>
      <c r="Q119" s="1"/>
    </row>
    <row r="120" spans="2:17" x14ac:dyDescent="0.25">
      <c r="B120" s="48" t="s">
        <v>819</v>
      </c>
      <c r="C120" s="49" t="s">
        <v>820</v>
      </c>
      <c r="D120" s="54" t="s">
        <v>144</v>
      </c>
      <c r="E120" s="28">
        <v>45856</v>
      </c>
      <c r="F120" s="25">
        <f t="shared" ca="1" si="10"/>
        <v>342</v>
      </c>
      <c r="G120" s="56">
        <v>46141</v>
      </c>
      <c r="H120" s="36"/>
      <c r="I120" s="1"/>
      <c r="J120" s="1"/>
      <c r="K120" s="1"/>
      <c r="L120" s="1"/>
      <c r="N120" s="1"/>
      <c r="O120" s="1"/>
      <c r="P120" s="1"/>
      <c r="Q120" s="1"/>
    </row>
    <row r="121" spans="2:17" x14ac:dyDescent="0.25">
      <c r="B121" s="48" t="s">
        <v>821</v>
      </c>
      <c r="C121" s="49" t="s">
        <v>822</v>
      </c>
      <c r="D121" s="54" t="s">
        <v>144</v>
      </c>
      <c r="E121" s="28">
        <v>45856</v>
      </c>
      <c r="F121" s="25">
        <f t="shared" ca="1" si="10"/>
        <v>342</v>
      </c>
      <c r="G121" s="56">
        <v>46141</v>
      </c>
      <c r="H121" s="36"/>
      <c r="I121" s="1"/>
      <c r="J121" s="1"/>
      <c r="K121" s="1"/>
      <c r="L121" s="1"/>
      <c r="N121" s="1"/>
      <c r="O121" s="1"/>
      <c r="P121" s="1"/>
      <c r="Q121" s="1"/>
    </row>
    <row r="122" spans="2:17" x14ac:dyDescent="0.25">
      <c r="B122" s="48" t="s">
        <v>823</v>
      </c>
      <c r="C122" s="49" t="s">
        <v>824</v>
      </c>
      <c r="D122" s="54" t="s">
        <v>144</v>
      </c>
      <c r="E122" s="28">
        <v>45856</v>
      </c>
      <c r="F122" s="25">
        <f t="shared" ca="1" si="10"/>
        <v>342</v>
      </c>
      <c r="G122" s="56">
        <v>46141</v>
      </c>
      <c r="H122" s="36"/>
      <c r="I122" s="1"/>
      <c r="J122" s="1"/>
      <c r="K122" s="1"/>
      <c r="L122" s="1"/>
      <c r="N122" s="1"/>
      <c r="O122" s="1"/>
      <c r="P122" s="1"/>
      <c r="Q122" s="1"/>
    </row>
    <row r="123" spans="2:17" x14ac:dyDescent="0.25">
      <c r="B123" s="48" t="s">
        <v>825</v>
      </c>
      <c r="C123" s="49" t="s">
        <v>826</v>
      </c>
      <c r="D123" s="54" t="s">
        <v>144</v>
      </c>
      <c r="E123" s="28">
        <v>45856</v>
      </c>
      <c r="F123" s="25">
        <f t="shared" ca="1" si="10"/>
        <v>342</v>
      </c>
      <c r="G123" s="56">
        <v>46141</v>
      </c>
      <c r="H123" s="36"/>
      <c r="I123" s="1"/>
      <c r="J123" s="1"/>
      <c r="K123" s="1"/>
      <c r="L123" s="1"/>
      <c r="N123" s="1"/>
      <c r="O123" s="1"/>
      <c r="P123" s="1"/>
      <c r="Q123" s="1"/>
    </row>
    <row r="124" spans="2:17" x14ac:dyDescent="0.25">
      <c r="B124" s="48" t="s">
        <v>827</v>
      </c>
      <c r="C124" s="49" t="s">
        <v>828</v>
      </c>
      <c r="D124" s="54" t="s">
        <v>144</v>
      </c>
      <c r="E124" s="28">
        <v>45856</v>
      </c>
      <c r="F124" s="25">
        <f t="shared" ca="1" si="10"/>
        <v>342</v>
      </c>
      <c r="G124" s="56">
        <v>46141</v>
      </c>
      <c r="H124" s="36"/>
      <c r="I124" s="1"/>
      <c r="J124" s="1"/>
      <c r="K124" s="1"/>
      <c r="L124" s="1"/>
      <c r="N124" s="1"/>
      <c r="O124" s="1"/>
      <c r="P124" s="1"/>
      <c r="Q124" s="1"/>
    </row>
    <row r="125" spans="2:17" x14ac:dyDescent="0.25">
      <c r="B125" s="48" t="s">
        <v>829</v>
      </c>
      <c r="C125" s="49" t="s">
        <v>830</v>
      </c>
      <c r="D125" s="54" t="s">
        <v>144</v>
      </c>
      <c r="E125" s="28">
        <v>45856</v>
      </c>
      <c r="F125" s="25">
        <f t="shared" ca="1" si="10"/>
        <v>342</v>
      </c>
      <c r="G125" s="56">
        <v>46141</v>
      </c>
      <c r="H125" s="36"/>
      <c r="I125" s="1"/>
      <c r="J125" s="1"/>
      <c r="K125" s="1"/>
      <c r="L125" s="1"/>
      <c r="N125" s="1"/>
      <c r="O125" s="1"/>
      <c r="P125" s="1"/>
      <c r="Q125" s="1"/>
    </row>
    <row r="126" spans="2:17" x14ac:dyDescent="0.25">
      <c r="B126" s="48" t="s">
        <v>831</v>
      </c>
      <c r="C126" s="49" t="s">
        <v>832</v>
      </c>
      <c r="D126" s="54" t="s">
        <v>144</v>
      </c>
      <c r="E126" s="28">
        <v>45856</v>
      </c>
      <c r="F126" s="25">
        <f t="shared" ca="1" si="10"/>
        <v>342</v>
      </c>
      <c r="G126" s="56">
        <v>46140</v>
      </c>
      <c r="H126" s="36"/>
      <c r="I126" s="1"/>
      <c r="J126" s="1"/>
      <c r="K126" s="1"/>
      <c r="L126" s="1"/>
      <c r="N126" s="1"/>
      <c r="O126" s="1"/>
      <c r="P126" s="1"/>
      <c r="Q126" s="1"/>
    </row>
    <row r="127" spans="2:17" x14ac:dyDescent="0.25">
      <c r="B127" s="59" t="s">
        <v>757</v>
      </c>
      <c r="C127" s="60" t="s">
        <v>758</v>
      </c>
      <c r="D127" s="54" t="s">
        <v>144</v>
      </c>
      <c r="E127" s="51">
        <v>45841</v>
      </c>
      <c r="F127" s="25">
        <f t="shared" ca="1" si="10"/>
        <v>357</v>
      </c>
      <c r="G127" s="56">
        <v>46135</v>
      </c>
      <c r="H127" s="36"/>
      <c r="I127" s="1"/>
      <c r="J127" s="1"/>
      <c r="K127" s="1"/>
      <c r="L127" s="1"/>
      <c r="N127" s="1"/>
      <c r="O127" s="1"/>
      <c r="P127" s="1"/>
      <c r="Q127" s="1"/>
    </row>
    <row r="128" spans="2:17" x14ac:dyDescent="0.25">
      <c r="B128" s="59" t="s">
        <v>759</v>
      </c>
      <c r="C128" s="60" t="s">
        <v>760</v>
      </c>
      <c r="D128" s="54" t="s">
        <v>144</v>
      </c>
      <c r="E128" s="51">
        <v>45841</v>
      </c>
      <c r="F128" s="25">
        <f t="shared" ca="1" si="10"/>
        <v>357</v>
      </c>
      <c r="G128" s="56">
        <v>46135</v>
      </c>
      <c r="H128" s="36"/>
      <c r="I128" s="1"/>
      <c r="J128" s="1"/>
      <c r="K128" s="1"/>
      <c r="L128" s="1"/>
      <c r="N128" s="1"/>
      <c r="O128" s="1"/>
      <c r="P128" s="1"/>
      <c r="Q128" s="1"/>
    </row>
    <row r="129" spans="2:17" x14ac:dyDescent="0.25">
      <c r="B129" s="59" t="s">
        <v>761</v>
      </c>
      <c r="C129" s="60" t="s">
        <v>762</v>
      </c>
      <c r="D129" s="54" t="s">
        <v>144</v>
      </c>
      <c r="E129" s="51">
        <v>45841</v>
      </c>
      <c r="F129" s="25">
        <f t="shared" ca="1" si="10"/>
        <v>357</v>
      </c>
      <c r="G129" s="56">
        <v>46135</v>
      </c>
      <c r="H129" s="36"/>
      <c r="I129" s="1"/>
      <c r="J129" s="1"/>
      <c r="K129" s="1"/>
      <c r="L129" s="1"/>
      <c r="N129" s="1"/>
      <c r="O129" s="1"/>
      <c r="P129" s="1"/>
      <c r="Q129" s="1"/>
    </row>
    <row r="130" spans="2:17" x14ac:dyDescent="0.25">
      <c r="B130" s="59" t="s">
        <v>763</v>
      </c>
      <c r="C130" s="60" t="s">
        <v>764</v>
      </c>
      <c r="D130" s="54" t="s">
        <v>144</v>
      </c>
      <c r="E130" s="51">
        <v>45841</v>
      </c>
      <c r="F130" s="25">
        <f t="shared" ca="1" si="10"/>
        <v>357</v>
      </c>
      <c r="G130" s="56">
        <v>46135</v>
      </c>
      <c r="H130" s="36"/>
      <c r="I130" s="1"/>
      <c r="J130" s="1"/>
      <c r="K130" s="1"/>
      <c r="L130" s="1"/>
      <c r="N130" s="1"/>
      <c r="O130" s="1"/>
      <c r="P130" s="1"/>
      <c r="Q130" s="1"/>
    </row>
    <row r="131" spans="2:17" x14ac:dyDescent="0.25">
      <c r="B131" s="59" t="s">
        <v>765</v>
      </c>
      <c r="C131" s="60" t="s">
        <v>766</v>
      </c>
      <c r="D131" s="54" t="s">
        <v>144</v>
      </c>
      <c r="E131" s="51">
        <v>45841</v>
      </c>
      <c r="F131" s="25">
        <f t="shared" ca="1" si="10"/>
        <v>357</v>
      </c>
      <c r="G131" s="56">
        <v>46135</v>
      </c>
      <c r="H131" s="36"/>
      <c r="I131" s="1"/>
      <c r="J131" s="1"/>
      <c r="K131" s="1"/>
      <c r="L131" s="1"/>
      <c r="N131" s="1"/>
      <c r="O131" s="1"/>
      <c r="P131" s="1"/>
      <c r="Q131" s="1"/>
    </row>
    <row r="132" spans="2:17" x14ac:dyDescent="0.25">
      <c r="B132" s="59" t="s">
        <v>767</v>
      </c>
      <c r="C132" s="60" t="s">
        <v>768</v>
      </c>
      <c r="D132" s="54" t="s">
        <v>144</v>
      </c>
      <c r="E132" s="51">
        <v>45841</v>
      </c>
      <c r="F132" s="25">
        <f t="shared" ca="1" si="10"/>
        <v>357</v>
      </c>
      <c r="G132" s="56">
        <v>46136</v>
      </c>
      <c r="H132" s="36"/>
      <c r="I132" s="1"/>
      <c r="J132" s="1"/>
      <c r="K132" s="1"/>
      <c r="L132" s="1"/>
      <c r="N132" s="1"/>
      <c r="O132" s="1"/>
      <c r="P132" s="1"/>
      <c r="Q132" s="1"/>
    </row>
    <row r="133" spans="2:17" x14ac:dyDescent="0.25">
      <c r="B133" s="59" t="s">
        <v>769</v>
      </c>
      <c r="C133" s="60" t="s">
        <v>770</v>
      </c>
      <c r="D133" s="54" t="s">
        <v>144</v>
      </c>
      <c r="E133" s="51">
        <v>45841</v>
      </c>
      <c r="F133" s="25">
        <f t="shared" ca="1" si="10"/>
        <v>357</v>
      </c>
      <c r="G133" s="56">
        <v>46136</v>
      </c>
      <c r="H133" s="36"/>
      <c r="I133" s="1"/>
      <c r="J133" s="1"/>
      <c r="K133" s="1"/>
      <c r="L133" s="1"/>
      <c r="N133" s="1"/>
      <c r="O133" s="1"/>
      <c r="P133" s="1"/>
      <c r="Q133" s="1"/>
    </row>
    <row r="134" spans="2:17" x14ac:dyDescent="0.25">
      <c r="B134" s="59" t="s">
        <v>771</v>
      </c>
      <c r="C134" s="60" t="s">
        <v>772</v>
      </c>
      <c r="D134" s="54" t="s">
        <v>144</v>
      </c>
      <c r="E134" s="51">
        <v>45844</v>
      </c>
      <c r="F134" s="25">
        <f t="shared" ca="1" si="10"/>
        <v>354</v>
      </c>
      <c r="G134" s="56">
        <v>46136</v>
      </c>
      <c r="H134" s="36"/>
      <c r="I134" s="1"/>
      <c r="J134" s="1"/>
      <c r="K134" s="1"/>
      <c r="L134" s="1"/>
      <c r="N134" s="1"/>
      <c r="O134" s="1"/>
      <c r="P134" s="1"/>
      <c r="Q134" s="1"/>
    </row>
    <row r="135" spans="2:17" x14ac:dyDescent="0.25">
      <c r="B135" s="59" t="s">
        <v>773</v>
      </c>
      <c r="C135" s="60" t="s">
        <v>774</v>
      </c>
      <c r="D135" s="54" t="s">
        <v>144</v>
      </c>
      <c r="E135" s="51">
        <v>45844</v>
      </c>
      <c r="F135" s="25">
        <f t="shared" ca="1" si="10"/>
        <v>354</v>
      </c>
      <c r="G135" s="56">
        <v>46136</v>
      </c>
      <c r="H135" s="36"/>
      <c r="I135" s="1"/>
      <c r="J135" s="1"/>
      <c r="K135" s="1"/>
      <c r="L135" s="1"/>
      <c r="N135" s="1"/>
      <c r="O135" s="1"/>
      <c r="P135" s="1"/>
      <c r="Q135" s="1"/>
    </row>
    <row r="136" spans="2:17" x14ac:dyDescent="0.25">
      <c r="B136" s="59" t="s">
        <v>775</v>
      </c>
      <c r="C136" s="60" t="s">
        <v>776</v>
      </c>
      <c r="D136" s="54" t="s">
        <v>144</v>
      </c>
      <c r="E136" s="51">
        <v>45844</v>
      </c>
      <c r="F136" s="25">
        <f t="shared" ref="F136:F199" ca="1" si="11">$F$2-E136</f>
        <v>354</v>
      </c>
      <c r="G136" s="56">
        <v>46136</v>
      </c>
      <c r="H136" s="36"/>
      <c r="I136" s="1"/>
      <c r="J136" s="1"/>
      <c r="K136" s="1"/>
      <c r="L136" s="1"/>
      <c r="N136" s="1"/>
      <c r="O136" s="1"/>
      <c r="P136" s="1"/>
      <c r="Q136" s="1"/>
    </row>
    <row r="137" spans="2:17" x14ac:dyDescent="0.25">
      <c r="B137" s="59" t="s">
        <v>777</v>
      </c>
      <c r="C137" s="60" t="s">
        <v>778</v>
      </c>
      <c r="D137" s="54" t="s">
        <v>144</v>
      </c>
      <c r="E137" s="51">
        <v>45844</v>
      </c>
      <c r="F137" s="25">
        <f t="shared" ca="1" si="11"/>
        <v>354</v>
      </c>
      <c r="G137" s="56">
        <v>46136</v>
      </c>
      <c r="H137" s="36"/>
      <c r="I137" s="1"/>
      <c r="J137" s="1"/>
      <c r="K137" s="1"/>
      <c r="L137" s="1"/>
      <c r="N137" s="1"/>
      <c r="O137" s="1"/>
      <c r="P137" s="1"/>
      <c r="Q137" s="1"/>
    </row>
    <row r="138" spans="2:17" x14ac:dyDescent="0.25">
      <c r="B138" s="59" t="s">
        <v>779</v>
      </c>
      <c r="C138" s="60" t="s">
        <v>780</v>
      </c>
      <c r="D138" s="54" t="s">
        <v>144</v>
      </c>
      <c r="E138" s="51">
        <v>45844</v>
      </c>
      <c r="F138" s="25">
        <f t="shared" ca="1" si="11"/>
        <v>354</v>
      </c>
      <c r="G138" s="56">
        <v>46136</v>
      </c>
      <c r="H138" s="36"/>
      <c r="I138" s="1"/>
      <c r="J138" s="1"/>
      <c r="K138" s="1"/>
      <c r="L138" s="1"/>
      <c r="N138" s="1"/>
      <c r="O138" s="1"/>
      <c r="P138" s="1"/>
      <c r="Q138" s="1"/>
    </row>
    <row r="139" spans="2:17" x14ac:dyDescent="0.25">
      <c r="B139" s="59" t="s">
        <v>781</v>
      </c>
      <c r="C139" s="60" t="s">
        <v>782</v>
      </c>
      <c r="D139" s="54" t="s">
        <v>144</v>
      </c>
      <c r="E139" s="51">
        <v>45844</v>
      </c>
      <c r="F139" s="25">
        <f t="shared" ca="1" si="11"/>
        <v>354</v>
      </c>
      <c r="G139" s="56">
        <v>46137</v>
      </c>
      <c r="H139" s="36"/>
      <c r="I139" s="1"/>
      <c r="J139" s="1"/>
      <c r="K139" s="1"/>
      <c r="L139" s="1"/>
      <c r="N139" s="1"/>
      <c r="O139" s="1"/>
      <c r="P139" s="1"/>
      <c r="Q139" s="1"/>
    </row>
    <row r="140" spans="2:17" x14ac:dyDescent="0.25">
      <c r="B140" s="59" t="s">
        <v>783</v>
      </c>
      <c r="C140" s="60" t="s">
        <v>784</v>
      </c>
      <c r="D140" s="54" t="s">
        <v>144</v>
      </c>
      <c r="E140" s="51">
        <v>45844</v>
      </c>
      <c r="F140" s="25">
        <f t="shared" ca="1" si="11"/>
        <v>354</v>
      </c>
      <c r="G140" s="56">
        <v>46137</v>
      </c>
      <c r="H140" s="36"/>
      <c r="I140" s="1"/>
      <c r="J140" s="1"/>
      <c r="K140" s="1"/>
      <c r="L140" s="1"/>
      <c r="N140" s="1"/>
      <c r="O140" s="1"/>
      <c r="P140" s="1"/>
      <c r="Q140" s="1"/>
    </row>
    <row r="141" spans="2:17" x14ac:dyDescent="0.25">
      <c r="B141" s="59" t="s">
        <v>801</v>
      </c>
      <c r="C141" s="60" t="s">
        <v>802</v>
      </c>
      <c r="D141" s="54" t="s">
        <v>144</v>
      </c>
      <c r="E141" s="51">
        <v>45848</v>
      </c>
      <c r="F141" s="25">
        <f t="shared" ca="1" si="11"/>
        <v>350</v>
      </c>
      <c r="G141" s="56">
        <v>46137</v>
      </c>
      <c r="H141" s="36"/>
      <c r="I141" s="1"/>
      <c r="J141" s="1"/>
      <c r="K141" s="1"/>
      <c r="L141" s="1"/>
      <c r="N141" s="1"/>
      <c r="O141" s="1"/>
      <c r="P141" s="1"/>
      <c r="Q141" s="1"/>
    </row>
    <row r="142" spans="2:17" x14ac:dyDescent="0.25">
      <c r="B142" s="59" t="s">
        <v>803</v>
      </c>
      <c r="C142" s="60" t="s">
        <v>804</v>
      </c>
      <c r="D142" s="54" t="s">
        <v>144</v>
      </c>
      <c r="E142" s="51">
        <v>45848</v>
      </c>
      <c r="F142" s="25">
        <f t="shared" ca="1" si="11"/>
        <v>350</v>
      </c>
      <c r="G142" s="56">
        <v>46138</v>
      </c>
      <c r="H142" s="36"/>
      <c r="I142" s="1"/>
      <c r="J142" s="1"/>
      <c r="K142" s="1"/>
      <c r="L142" s="1"/>
      <c r="N142" s="1"/>
      <c r="O142" s="1"/>
      <c r="P142" s="1"/>
      <c r="Q142" s="1"/>
    </row>
    <row r="143" spans="2:17" x14ac:dyDescent="0.25">
      <c r="B143" s="59" t="s">
        <v>805</v>
      </c>
      <c r="C143" s="60" t="s">
        <v>806</v>
      </c>
      <c r="D143" s="54" t="s">
        <v>144</v>
      </c>
      <c r="E143" s="51">
        <v>45848</v>
      </c>
      <c r="F143" s="25">
        <f t="shared" ca="1" si="11"/>
        <v>350</v>
      </c>
      <c r="G143" s="56">
        <v>46138</v>
      </c>
      <c r="H143" s="36"/>
      <c r="I143" s="1"/>
      <c r="J143" s="1"/>
      <c r="K143" s="1"/>
      <c r="L143" s="1"/>
      <c r="N143" s="1"/>
      <c r="O143" s="1"/>
      <c r="P143" s="1"/>
      <c r="Q143" s="1"/>
    </row>
    <row r="144" spans="2:17" x14ac:dyDescent="0.25">
      <c r="B144" s="59" t="s">
        <v>807</v>
      </c>
      <c r="C144" s="60" t="s">
        <v>808</v>
      </c>
      <c r="D144" s="54" t="s">
        <v>144</v>
      </c>
      <c r="E144" s="51">
        <v>45848</v>
      </c>
      <c r="F144" s="25">
        <f t="shared" ca="1" si="11"/>
        <v>350</v>
      </c>
      <c r="G144" s="56">
        <v>46138</v>
      </c>
      <c r="H144" s="36"/>
      <c r="I144" s="1"/>
      <c r="J144" s="1"/>
      <c r="K144" s="1"/>
      <c r="L144" s="1"/>
      <c r="N144" s="1"/>
      <c r="O144" s="1"/>
      <c r="P144" s="1"/>
      <c r="Q144" s="1"/>
    </row>
    <row r="145" spans="2:17" x14ac:dyDescent="0.25">
      <c r="B145" s="59" t="s">
        <v>809</v>
      </c>
      <c r="C145" s="60" t="s">
        <v>810</v>
      </c>
      <c r="D145" s="54" t="s">
        <v>144</v>
      </c>
      <c r="E145" s="51">
        <v>45848</v>
      </c>
      <c r="F145" s="25">
        <f t="shared" ca="1" si="11"/>
        <v>350</v>
      </c>
      <c r="G145" s="56">
        <v>46138</v>
      </c>
      <c r="H145" s="36"/>
      <c r="I145" s="1"/>
      <c r="J145" s="1"/>
      <c r="K145" s="1"/>
      <c r="L145" s="1"/>
      <c r="N145" s="1"/>
      <c r="O145" s="1"/>
      <c r="P145" s="1"/>
      <c r="Q145" s="1"/>
    </row>
    <row r="146" spans="2:17" x14ac:dyDescent="0.25">
      <c r="B146" s="57" t="s">
        <v>723</v>
      </c>
      <c r="C146" s="58" t="s">
        <v>724</v>
      </c>
      <c r="D146" s="54" t="s">
        <v>144</v>
      </c>
      <c r="E146" s="51">
        <v>45835</v>
      </c>
      <c r="F146" s="25">
        <f t="shared" ca="1" si="11"/>
        <v>363</v>
      </c>
      <c r="G146" s="56">
        <v>46132</v>
      </c>
      <c r="H146" s="36"/>
      <c r="I146" s="1"/>
      <c r="J146" s="1"/>
      <c r="K146" s="1"/>
      <c r="L146" s="1"/>
      <c r="N146" s="1"/>
      <c r="O146" s="1"/>
      <c r="P146" s="1"/>
      <c r="Q146" s="1"/>
    </row>
    <row r="147" spans="2:17" x14ac:dyDescent="0.25">
      <c r="B147" s="57" t="s">
        <v>725</v>
      </c>
      <c r="C147" s="58" t="s">
        <v>726</v>
      </c>
      <c r="D147" s="54" t="s">
        <v>144</v>
      </c>
      <c r="E147" s="51">
        <v>45835</v>
      </c>
      <c r="F147" s="25">
        <f t="shared" ca="1" si="11"/>
        <v>363</v>
      </c>
      <c r="G147" s="56">
        <v>46132</v>
      </c>
      <c r="H147" s="36"/>
      <c r="I147" s="1"/>
      <c r="J147" s="1"/>
      <c r="K147" s="1"/>
      <c r="L147" s="1"/>
      <c r="N147" s="1"/>
      <c r="O147" s="1"/>
      <c r="P147" s="1"/>
      <c r="Q147" s="1"/>
    </row>
    <row r="148" spans="2:17" x14ac:dyDescent="0.25">
      <c r="B148" s="57" t="s">
        <v>727</v>
      </c>
      <c r="C148" s="58" t="s">
        <v>728</v>
      </c>
      <c r="D148" s="54" t="s">
        <v>144</v>
      </c>
      <c r="E148" s="51">
        <v>45835</v>
      </c>
      <c r="F148" s="25">
        <f t="shared" ca="1" si="11"/>
        <v>363</v>
      </c>
      <c r="G148" s="56">
        <v>46133</v>
      </c>
      <c r="H148" s="36"/>
      <c r="I148" s="1"/>
      <c r="J148" s="1"/>
      <c r="K148" s="1"/>
      <c r="L148" s="1"/>
      <c r="N148" s="1"/>
      <c r="O148" s="1"/>
      <c r="P148" s="1"/>
      <c r="Q148" s="1"/>
    </row>
    <row r="149" spans="2:17" x14ac:dyDescent="0.25">
      <c r="B149" s="57" t="s">
        <v>729</v>
      </c>
      <c r="C149" s="58" t="s">
        <v>730</v>
      </c>
      <c r="D149" s="54" t="s">
        <v>144</v>
      </c>
      <c r="E149" s="51">
        <v>45835</v>
      </c>
      <c r="F149" s="25">
        <f t="shared" ca="1" si="11"/>
        <v>363</v>
      </c>
      <c r="G149" s="56">
        <v>46133</v>
      </c>
      <c r="H149" s="36"/>
      <c r="I149" s="1"/>
      <c r="J149" s="1"/>
      <c r="K149" s="1"/>
      <c r="L149" s="1"/>
      <c r="N149" s="1"/>
      <c r="O149" s="1"/>
      <c r="P149" s="1"/>
      <c r="Q149" s="1"/>
    </row>
    <row r="150" spans="2:17" x14ac:dyDescent="0.25">
      <c r="B150" s="57" t="s">
        <v>731</v>
      </c>
      <c r="C150" s="58" t="s">
        <v>732</v>
      </c>
      <c r="D150" s="54" t="s">
        <v>144</v>
      </c>
      <c r="E150" s="51">
        <v>45835</v>
      </c>
      <c r="F150" s="25">
        <f t="shared" ca="1" si="11"/>
        <v>363</v>
      </c>
      <c r="G150" s="56">
        <v>46133</v>
      </c>
      <c r="H150" s="36"/>
      <c r="I150" s="1"/>
      <c r="J150" s="1"/>
      <c r="K150" s="1"/>
      <c r="L150" s="1"/>
      <c r="N150" s="1"/>
      <c r="O150" s="1"/>
      <c r="P150" s="1"/>
      <c r="Q150" s="1"/>
    </row>
    <row r="151" spans="2:17" x14ac:dyDescent="0.25">
      <c r="B151" s="57" t="s">
        <v>733</v>
      </c>
      <c r="C151" s="58" t="s">
        <v>734</v>
      </c>
      <c r="D151" s="54" t="s">
        <v>144</v>
      </c>
      <c r="E151" s="51">
        <v>45835</v>
      </c>
      <c r="F151" s="25">
        <f t="shared" ca="1" si="11"/>
        <v>363</v>
      </c>
      <c r="G151" s="56">
        <v>46133</v>
      </c>
      <c r="H151" s="36"/>
      <c r="I151" s="1"/>
      <c r="J151" s="1"/>
      <c r="K151" s="1"/>
      <c r="L151" s="1"/>
      <c r="N151" s="1"/>
      <c r="O151" s="1"/>
      <c r="P151" s="1"/>
      <c r="Q151" s="1"/>
    </row>
    <row r="152" spans="2:17" x14ac:dyDescent="0.25">
      <c r="B152" s="57" t="s">
        <v>735</v>
      </c>
      <c r="C152" s="58" t="s">
        <v>736</v>
      </c>
      <c r="D152" s="54" t="s">
        <v>144</v>
      </c>
      <c r="E152" s="51">
        <v>45835</v>
      </c>
      <c r="F152" s="25">
        <f t="shared" ca="1" si="11"/>
        <v>363</v>
      </c>
      <c r="G152" s="56">
        <v>46133</v>
      </c>
      <c r="H152" s="36"/>
      <c r="I152" s="1"/>
      <c r="J152" s="1"/>
      <c r="K152" s="1"/>
      <c r="L152" s="1"/>
      <c r="N152" s="1"/>
      <c r="O152" s="1"/>
      <c r="P152" s="1"/>
      <c r="Q152" s="1"/>
    </row>
    <row r="153" spans="2:17" x14ac:dyDescent="0.25">
      <c r="B153" s="57" t="s">
        <v>737</v>
      </c>
      <c r="C153" s="58" t="s">
        <v>738</v>
      </c>
      <c r="D153" s="54" t="s">
        <v>144</v>
      </c>
      <c r="E153" s="51">
        <v>45835</v>
      </c>
      <c r="F153" s="25">
        <f t="shared" ca="1" si="11"/>
        <v>363</v>
      </c>
      <c r="G153" s="56">
        <v>46133</v>
      </c>
      <c r="H153" s="36"/>
      <c r="I153" s="1"/>
      <c r="J153" s="1"/>
      <c r="K153" s="1"/>
      <c r="L153" s="1"/>
      <c r="N153" s="1"/>
      <c r="O153" s="1"/>
      <c r="P153" s="1"/>
      <c r="Q153" s="1"/>
    </row>
    <row r="154" spans="2:17" x14ac:dyDescent="0.25">
      <c r="B154" s="57" t="s">
        <v>739</v>
      </c>
      <c r="C154" s="58" t="s">
        <v>740</v>
      </c>
      <c r="D154" s="54" t="s">
        <v>144</v>
      </c>
      <c r="E154" s="51">
        <v>45835</v>
      </c>
      <c r="F154" s="25">
        <f t="shared" ca="1" si="11"/>
        <v>363</v>
      </c>
      <c r="G154" s="56">
        <v>46134</v>
      </c>
      <c r="H154" s="36"/>
      <c r="I154" s="1"/>
      <c r="J154" s="1"/>
      <c r="K154" s="1"/>
      <c r="L154" s="1"/>
      <c r="N154" s="1"/>
      <c r="O154" s="1"/>
      <c r="P154" s="1"/>
      <c r="Q154" s="1"/>
    </row>
    <row r="155" spans="2:17" x14ac:dyDescent="0.25">
      <c r="B155" s="57" t="s">
        <v>741</v>
      </c>
      <c r="C155" s="58" t="s">
        <v>742</v>
      </c>
      <c r="D155" s="54" t="s">
        <v>144</v>
      </c>
      <c r="E155" s="51">
        <v>45835</v>
      </c>
      <c r="F155" s="25">
        <f t="shared" ca="1" si="11"/>
        <v>363</v>
      </c>
      <c r="G155" s="56">
        <v>46134</v>
      </c>
      <c r="H155" s="36"/>
      <c r="I155" s="1"/>
      <c r="J155" s="1"/>
      <c r="K155" s="1"/>
      <c r="L155" s="1"/>
      <c r="N155" s="1"/>
      <c r="O155" s="1"/>
      <c r="P155" s="1"/>
      <c r="Q155" s="1"/>
    </row>
    <row r="156" spans="2:17" x14ac:dyDescent="0.25">
      <c r="B156" s="57" t="s">
        <v>743</v>
      </c>
      <c r="C156" s="58" t="s">
        <v>744</v>
      </c>
      <c r="D156" s="54" t="s">
        <v>144</v>
      </c>
      <c r="E156" s="51">
        <v>45835</v>
      </c>
      <c r="F156" s="25">
        <f t="shared" ca="1" si="11"/>
        <v>363</v>
      </c>
      <c r="G156" s="56">
        <v>46134</v>
      </c>
      <c r="H156" s="36"/>
      <c r="I156" s="1"/>
      <c r="J156" s="1"/>
      <c r="K156" s="1"/>
      <c r="L156" s="1"/>
      <c r="N156" s="1"/>
      <c r="O156" s="1"/>
      <c r="P156" s="1"/>
      <c r="Q156" s="1"/>
    </row>
    <row r="157" spans="2:17" x14ac:dyDescent="0.25">
      <c r="B157" s="57" t="s">
        <v>745</v>
      </c>
      <c r="C157" s="58" t="s">
        <v>746</v>
      </c>
      <c r="D157" s="54" t="s">
        <v>144</v>
      </c>
      <c r="E157" s="51">
        <v>45835</v>
      </c>
      <c r="F157" s="25">
        <f t="shared" ca="1" si="11"/>
        <v>363</v>
      </c>
      <c r="G157" s="56">
        <v>46134</v>
      </c>
      <c r="H157" s="36"/>
      <c r="I157" s="1"/>
      <c r="J157" s="1"/>
      <c r="K157" s="1"/>
      <c r="L157" s="1"/>
      <c r="N157" s="1"/>
      <c r="O157" s="1"/>
      <c r="P157" s="1"/>
      <c r="Q157" s="1"/>
    </row>
    <row r="158" spans="2:17" x14ac:dyDescent="0.25">
      <c r="B158" s="57" t="s">
        <v>747</v>
      </c>
      <c r="C158" s="58" t="s">
        <v>748</v>
      </c>
      <c r="D158" s="54" t="s">
        <v>144</v>
      </c>
      <c r="E158" s="51">
        <v>45835</v>
      </c>
      <c r="F158" s="25">
        <f t="shared" ca="1" si="11"/>
        <v>363</v>
      </c>
      <c r="G158" s="56">
        <v>46134</v>
      </c>
      <c r="H158" s="36"/>
      <c r="I158" s="1"/>
      <c r="J158" s="1"/>
      <c r="K158" s="1"/>
      <c r="L158" s="1"/>
      <c r="N158" s="1"/>
      <c r="O158" s="1"/>
      <c r="P158" s="1"/>
      <c r="Q158" s="1"/>
    </row>
    <row r="159" spans="2:17" x14ac:dyDescent="0.25">
      <c r="B159" s="57" t="s">
        <v>749</v>
      </c>
      <c r="C159" s="58" t="s">
        <v>750</v>
      </c>
      <c r="D159" s="54" t="s">
        <v>144</v>
      </c>
      <c r="E159" s="51">
        <v>45835</v>
      </c>
      <c r="F159" s="25">
        <f t="shared" ca="1" si="11"/>
        <v>363</v>
      </c>
      <c r="G159" s="56">
        <v>46134</v>
      </c>
      <c r="H159" s="36"/>
      <c r="I159" s="1"/>
      <c r="J159" s="1"/>
      <c r="K159" s="1"/>
      <c r="L159" s="1"/>
      <c r="N159" s="1"/>
      <c r="O159" s="1"/>
      <c r="P159" s="1"/>
      <c r="Q159" s="1"/>
    </row>
    <row r="160" spans="2:17" x14ac:dyDescent="0.25">
      <c r="B160" s="57" t="s">
        <v>751</v>
      </c>
      <c r="C160" s="58" t="s">
        <v>752</v>
      </c>
      <c r="D160" s="54" t="s">
        <v>144</v>
      </c>
      <c r="E160" s="51">
        <v>45835</v>
      </c>
      <c r="F160" s="25">
        <f t="shared" ca="1" si="11"/>
        <v>363</v>
      </c>
      <c r="G160" s="56">
        <v>46134</v>
      </c>
      <c r="H160" s="36"/>
      <c r="I160" s="1"/>
      <c r="J160" s="1"/>
      <c r="K160" s="1"/>
      <c r="L160" s="1"/>
      <c r="N160" s="1"/>
      <c r="O160" s="1"/>
      <c r="P160" s="1"/>
      <c r="Q160" s="1"/>
    </row>
    <row r="161" spans="2:17" x14ac:dyDescent="0.25">
      <c r="B161" s="57" t="s">
        <v>753</v>
      </c>
      <c r="C161" s="58" t="s">
        <v>754</v>
      </c>
      <c r="D161" s="54" t="s">
        <v>144</v>
      </c>
      <c r="E161" s="51">
        <v>45835</v>
      </c>
      <c r="F161" s="25">
        <f t="shared" ca="1" si="11"/>
        <v>363</v>
      </c>
      <c r="G161" s="56">
        <v>46135</v>
      </c>
      <c r="H161" s="36"/>
      <c r="I161" s="1"/>
      <c r="J161" s="1"/>
      <c r="K161" s="1"/>
      <c r="L161" s="1"/>
      <c r="N161" s="1"/>
      <c r="O161" s="1"/>
      <c r="P161" s="1"/>
      <c r="Q161" s="1"/>
    </row>
    <row r="162" spans="2:17" x14ac:dyDescent="0.25">
      <c r="B162" s="57" t="s">
        <v>755</v>
      </c>
      <c r="C162" s="58" t="s">
        <v>756</v>
      </c>
      <c r="D162" s="54" t="s">
        <v>144</v>
      </c>
      <c r="E162" s="51">
        <v>45835</v>
      </c>
      <c r="F162" s="25">
        <f t="shared" ca="1" si="11"/>
        <v>363</v>
      </c>
      <c r="G162" s="56">
        <v>46135</v>
      </c>
      <c r="H162" s="36"/>
      <c r="I162" s="1"/>
      <c r="J162" s="1"/>
      <c r="K162" s="1"/>
      <c r="L162" s="1"/>
      <c r="N162" s="1"/>
      <c r="O162" s="1"/>
      <c r="P162" s="1"/>
      <c r="Q162" s="1"/>
    </row>
    <row r="163" spans="2:17" x14ac:dyDescent="0.25">
      <c r="B163" s="57" t="s">
        <v>951</v>
      </c>
      <c r="C163" s="58" t="s">
        <v>952</v>
      </c>
      <c r="D163" s="63" t="s">
        <v>953</v>
      </c>
      <c r="E163" s="28">
        <v>45872</v>
      </c>
      <c r="F163" s="1">
        <f t="shared" ca="1" si="11"/>
        <v>326</v>
      </c>
      <c r="G163" s="1"/>
      <c r="I163" s="1"/>
      <c r="J163" s="1"/>
      <c r="K163" s="1"/>
      <c r="L163" s="1"/>
      <c r="N163" s="1"/>
      <c r="O163" s="1"/>
      <c r="P163" s="1"/>
      <c r="Q163" s="1"/>
    </row>
    <row r="164" spans="2:17" x14ac:dyDescent="0.25">
      <c r="B164" s="57" t="s">
        <v>954</v>
      </c>
      <c r="C164" s="58" t="s">
        <v>955</v>
      </c>
      <c r="D164" s="63" t="s">
        <v>953</v>
      </c>
      <c r="E164" s="28">
        <v>45872</v>
      </c>
      <c r="F164" s="1">
        <f t="shared" ca="1" si="11"/>
        <v>326</v>
      </c>
      <c r="G164" s="1"/>
      <c r="I164" s="1"/>
      <c r="J164" s="1"/>
      <c r="K164" s="1"/>
      <c r="L164" s="1"/>
      <c r="N164" s="1"/>
      <c r="O164" s="1"/>
      <c r="P164" s="1"/>
      <c r="Q164" s="1"/>
    </row>
    <row r="165" spans="2:17" x14ac:dyDescent="0.25">
      <c r="B165" s="61" t="s">
        <v>891</v>
      </c>
      <c r="C165" s="62" t="s">
        <v>892</v>
      </c>
      <c r="D165" s="54" t="s">
        <v>144</v>
      </c>
      <c r="E165" s="28">
        <v>45904</v>
      </c>
      <c r="F165" s="25">
        <f t="shared" ca="1" si="11"/>
        <v>294</v>
      </c>
      <c r="G165" s="56">
        <v>46129</v>
      </c>
      <c r="H165" s="36"/>
      <c r="I165" s="1"/>
      <c r="J165" s="1"/>
      <c r="K165" s="1"/>
      <c r="L165" s="1"/>
      <c r="N165" s="1"/>
      <c r="O165" s="1"/>
      <c r="P165" s="1"/>
      <c r="Q165" s="1"/>
    </row>
    <row r="166" spans="2:17" x14ac:dyDescent="0.25">
      <c r="B166" s="61" t="s">
        <v>893</v>
      </c>
      <c r="C166" s="62" t="s">
        <v>894</v>
      </c>
      <c r="D166" s="54" t="s">
        <v>144</v>
      </c>
      <c r="E166" s="28">
        <v>45904</v>
      </c>
      <c r="F166" s="25">
        <f t="shared" ca="1" si="11"/>
        <v>294</v>
      </c>
      <c r="G166" s="56">
        <v>46130</v>
      </c>
      <c r="H166" s="36"/>
      <c r="I166" s="1"/>
      <c r="J166" s="1"/>
      <c r="K166" s="1"/>
      <c r="L166" s="1"/>
      <c r="N166" s="1"/>
      <c r="O166" s="1"/>
      <c r="P166" s="1"/>
      <c r="Q166" s="1"/>
    </row>
    <row r="167" spans="2:17" x14ac:dyDescent="0.25">
      <c r="B167" s="61" t="s">
        <v>895</v>
      </c>
      <c r="C167" s="62" t="s">
        <v>896</v>
      </c>
      <c r="D167" s="54" t="s">
        <v>144</v>
      </c>
      <c r="E167" s="28">
        <v>45904</v>
      </c>
      <c r="F167" s="25">
        <f t="shared" ca="1" si="11"/>
        <v>294</v>
      </c>
      <c r="G167" s="56">
        <v>46130</v>
      </c>
      <c r="H167" s="36"/>
      <c r="I167" s="1"/>
      <c r="J167" s="1"/>
      <c r="K167" s="1"/>
      <c r="L167" s="1"/>
      <c r="N167" s="1"/>
      <c r="O167" s="1"/>
      <c r="P167" s="1"/>
      <c r="Q167" s="1"/>
    </row>
    <row r="168" spans="2:17" x14ac:dyDescent="0.25">
      <c r="B168" s="61" t="s">
        <v>897</v>
      </c>
      <c r="C168" s="62" t="s">
        <v>898</v>
      </c>
      <c r="D168" s="54" t="s">
        <v>144</v>
      </c>
      <c r="E168" s="28">
        <v>45904</v>
      </c>
      <c r="F168" s="25">
        <f t="shared" ca="1" si="11"/>
        <v>294</v>
      </c>
      <c r="G168" s="56">
        <v>46130</v>
      </c>
      <c r="H168" s="36"/>
      <c r="I168" s="1"/>
      <c r="J168" s="1"/>
      <c r="K168" s="1"/>
      <c r="L168" s="1"/>
      <c r="N168" s="1"/>
      <c r="O168" s="1"/>
      <c r="P168" s="1"/>
      <c r="Q168" s="1"/>
    </row>
    <row r="169" spans="2:17" x14ac:dyDescent="0.25">
      <c r="B169" s="61" t="s">
        <v>899</v>
      </c>
      <c r="C169" s="62" t="s">
        <v>900</v>
      </c>
      <c r="D169" s="54" t="s">
        <v>144</v>
      </c>
      <c r="E169" s="28">
        <v>45904</v>
      </c>
      <c r="F169" s="25">
        <f t="shared" ca="1" si="11"/>
        <v>294</v>
      </c>
      <c r="G169" s="56">
        <v>46130</v>
      </c>
      <c r="H169" s="36"/>
      <c r="I169" s="1"/>
      <c r="J169" s="1"/>
      <c r="K169" s="1"/>
      <c r="L169" s="1"/>
      <c r="N169" s="1"/>
      <c r="O169" s="1"/>
      <c r="P169" s="1"/>
      <c r="Q169" s="1"/>
    </row>
    <row r="170" spans="2:17" x14ac:dyDescent="0.25">
      <c r="B170" s="61" t="s">
        <v>901</v>
      </c>
      <c r="C170" s="62" t="s">
        <v>902</v>
      </c>
      <c r="D170" s="54" t="s">
        <v>144</v>
      </c>
      <c r="E170" s="28">
        <v>45904</v>
      </c>
      <c r="F170" s="25">
        <f t="shared" ca="1" si="11"/>
        <v>294</v>
      </c>
      <c r="G170" s="56">
        <v>46130</v>
      </c>
      <c r="H170" s="36"/>
      <c r="I170" s="1"/>
      <c r="J170" s="1"/>
      <c r="K170" s="1"/>
      <c r="L170" s="1"/>
      <c r="N170" s="1"/>
      <c r="O170" s="1"/>
      <c r="P170" s="1"/>
      <c r="Q170" s="1"/>
    </row>
    <row r="171" spans="2:17" x14ac:dyDescent="0.25">
      <c r="B171" s="61" t="s">
        <v>903</v>
      </c>
      <c r="C171" s="62" t="s">
        <v>904</v>
      </c>
      <c r="D171" s="54" t="s">
        <v>144</v>
      </c>
      <c r="E171" s="28">
        <v>45904</v>
      </c>
      <c r="F171" s="25">
        <f t="shared" ca="1" si="11"/>
        <v>294</v>
      </c>
      <c r="G171" s="56">
        <v>46130</v>
      </c>
      <c r="H171" s="36"/>
      <c r="I171" s="1"/>
      <c r="J171" s="1"/>
      <c r="K171" s="1"/>
      <c r="L171" s="1"/>
      <c r="N171" s="1"/>
      <c r="O171" s="1"/>
      <c r="P171" s="1"/>
      <c r="Q171" s="1"/>
    </row>
    <row r="172" spans="2:17" x14ac:dyDescent="0.25">
      <c r="B172" s="61" t="s">
        <v>905</v>
      </c>
      <c r="C172" s="62" t="s">
        <v>906</v>
      </c>
      <c r="D172" s="54" t="s">
        <v>144</v>
      </c>
      <c r="E172" s="28">
        <v>45904</v>
      </c>
      <c r="F172" s="25">
        <f t="shared" ca="1" si="11"/>
        <v>294</v>
      </c>
      <c r="G172" s="56">
        <v>46131</v>
      </c>
      <c r="H172" s="36"/>
      <c r="I172" s="1"/>
      <c r="J172" s="1"/>
      <c r="K172" s="1"/>
      <c r="L172" s="1"/>
      <c r="N172" s="1"/>
      <c r="O172" s="1"/>
      <c r="P172" s="1"/>
      <c r="Q172" s="1"/>
    </row>
    <row r="173" spans="2:17" x14ac:dyDescent="0.25">
      <c r="B173" s="61" t="s">
        <v>907</v>
      </c>
      <c r="C173" s="62" t="s">
        <v>908</v>
      </c>
      <c r="D173" s="54" t="s">
        <v>144</v>
      </c>
      <c r="E173" s="28">
        <v>45904</v>
      </c>
      <c r="F173" s="25">
        <f t="shared" ca="1" si="11"/>
        <v>294</v>
      </c>
      <c r="G173" s="56">
        <v>46131</v>
      </c>
      <c r="H173" s="36"/>
      <c r="I173" s="1"/>
      <c r="J173" s="1"/>
      <c r="K173" s="1"/>
      <c r="L173" s="1"/>
      <c r="N173" s="1"/>
      <c r="O173" s="1"/>
      <c r="P173" s="1"/>
      <c r="Q173" s="1"/>
    </row>
    <row r="174" spans="2:17" x14ac:dyDescent="0.25">
      <c r="B174" s="61" t="s">
        <v>909</v>
      </c>
      <c r="C174" s="62" t="s">
        <v>910</v>
      </c>
      <c r="D174" s="54" t="s">
        <v>144</v>
      </c>
      <c r="E174" s="28">
        <v>45904</v>
      </c>
      <c r="F174" s="25">
        <f t="shared" ca="1" si="11"/>
        <v>294</v>
      </c>
      <c r="G174" s="56">
        <v>46131</v>
      </c>
      <c r="H174" s="36"/>
      <c r="I174" s="1"/>
      <c r="J174" s="1"/>
      <c r="K174" s="1"/>
      <c r="L174" s="1"/>
      <c r="N174" s="1"/>
      <c r="O174" s="1"/>
      <c r="P174" s="1"/>
      <c r="Q174" s="1"/>
    </row>
    <row r="175" spans="2:17" x14ac:dyDescent="0.25">
      <c r="B175" s="61" t="s">
        <v>853</v>
      </c>
      <c r="C175" s="62" t="s">
        <v>854</v>
      </c>
      <c r="D175" s="54" t="s">
        <v>144</v>
      </c>
      <c r="E175" s="51">
        <v>45871</v>
      </c>
      <c r="F175" s="25">
        <f t="shared" ca="1" si="11"/>
        <v>327</v>
      </c>
      <c r="G175" s="56">
        <v>46131</v>
      </c>
      <c r="H175" s="36"/>
      <c r="I175" s="1"/>
      <c r="J175" s="1"/>
      <c r="K175" s="1"/>
      <c r="L175" s="1"/>
      <c r="N175" s="1"/>
      <c r="O175" s="1"/>
      <c r="P175" s="1"/>
      <c r="Q175" s="1"/>
    </row>
    <row r="176" spans="2:17" x14ac:dyDescent="0.25">
      <c r="B176" s="61" t="s">
        <v>855</v>
      </c>
      <c r="C176" s="62" t="s">
        <v>856</v>
      </c>
      <c r="D176" s="54" t="s">
        <v>144</v>
      </c>
      <c r="E176" s="51">
        <v>45871</v>
      </c>
      <c r="F176" s="25">
        <f t="shared" ca="1" si="11"/>
        <v>327</v>
      </c>
      <c r="G176" s="56">
        <v>46131</v>
      </c>
      <c r="H176" s="36"/>
      <c r="I176" s="1"/>
      <c r="J176" s="1"/>
      <c r="K176" s="1"/>
      <c r="L176" s="1"/>
      <c r="N176" s="1"/>
      <c r="O176" s="1"/>
      <c r="P176" s="1"/>
      <c r="Q176" s="1"/>
    </row>
    <row r="177" spans="2:17" x14ac:dyDescent="0.25">
      <c r="B177" s="61" t="s">
        <v>857</v>
      </c>
      <c r="C177" s="62" t="s">
        <v>858</v>
      </c>
      <c r="D177" s="54" t="s">
        <v>144</v>
      </c>
      <c r="E177" s="51">
        <v>45871</v>
      </c>
      <c r="F177" s="25">
        <f t="shared" ca="1" si="11"/>
        <v>327</v>
      </c>
      <c r="G177" s="56">
        <v>46131</v>
      </c>
      <c r="H177" s="36"/>
      <c r="I177" s="1"/>
      <c r="J177" s="1"/>
      <c r="K177" s="1"/>
      <c r="L177" s="1"/>
      <c r="N177" s="1"/>
      <c r="O177" s="1"/>
      <c r="P177" s="1"/>
      <c r="Q177" s="1"/>
    </row>
    <row r="178" spans="2:17" x14ac:dyDescent="0.25">
      <c r="B178" s="61" t="s">
        <v>859</v>
      </c>
      <c r="C178" s="62" t="s">
        <v>860</v>
      </c>
      <c r="D178" s="54" t="s">
        <v>144</v>
      </c>
      <c r="E178" s="51">
        <v>45871</v>
      </c>
      <c r="F178" s="25">
        <f t="shared" ca="1" si="11"/>
        <v>327</v>
      </c>
      <c r="G178" s="56">
        <v>46131</v>
      </c>
      <c r="H178" s="36"/>
      <c r="I178" s="1"/>
      <c r="J178" s="1"/>
      <c r="K178" s="1"/>
      <c r="L178" s="1"/>
      <c r="N178" s="1"/>
      <c r="O178" s="1"/>
      <c r="P178" s="1"/>
      <c r="Q178" s="1"/>
    </row>
    <row r="179" spans="2:17" x14ac:dyDescent="0.25">
      <c r="B179" s="61" t="s">
        <v>861</v>
      </c>
      <c r="C179" s="62" t="s">
        <v>862</v>
      </c>
      <c r="D179" s="54" t="s">
        <v>144</v>
      </c>
      <c r="E179" s="51">
        <v>45871</v>
      </c>
      <c r="F179" s="25">
        <f t="shared" ca="1" si="11"/>
        <v>327</v>
      </c>
      <c r="G179" s="56">
        <v>46131</v>
      </c>
      <c r="H179" s="36"/>
      <c r="I179" s="1"/>
      <c r="J179" s="1"/>
      <c r="K179" s="1"/>
      <c r="L179" s="1"/>
      <c r="N179" s="1"/>
      <c r="O179" s="1"/>
      <c r="P179" s="1"/>
      <c r="Q179" s="1"/>
    </row>
    <row r="180" spans="2:17" x14ac:dyDescent="0.25">
      <c r="B180" s="61" t="s">
        <v>863</v>
      </c>
      <c r="C180" s="62" t="s">
        <v>864</v>
      </c>
      <c r="D180" s="54" t="s">
        <v>144</v>
      </c>
      <c r="E180" s="51">
        <v>45871</v>
      </c>
      <c r="F180" s="25">
        <f t="shared" ca="1" si="11"/>
        <v>327</v>
      </c>
      <c r="G180" s="56">
        <v>46132</v>
      </c>
      <c r="H180" s="36"/>
      <c r="I180" s="1"/>
      <c r="J180" s="1"/>
      <c r="K180" s="1"/>
      <c r="L180" s="1"/>
      <c r="N180" s="1"/>
      <c r="O180" s="1"/>
      <c r="P180" s="1"/>
      <c r="Q180" s="1"/>
    </row>
    <row r="181" spans="2:17" x14ac:dyDescent="0.25">
      <c r="B181" s="61" t="s">
        <v>865</v>
      </c>
      <c r="C181" s="62" t="s">
        <v>866</v>
      </c>
      <c r="D181" s="54" t="s">
        <v>144</v>
      </c>
      <c r="E181" s="51">
        <v>45871</v>
      </c>
      <c r="F181" s="25">
        <f t="shared" ca="1" si="11"/>
        <v>327</v>
      </c>
      <c r="G181" s="56">
        <v>46132</v>
      </c>
      <c r="H181" s="36"/>
      <c r="I181" s="1"/>
      <c r="J181" s="1"/>
      <c r="K181" s="1"/>
      <c r="L181" s="1"/>
      <c r="N181" s="1"/>
      <c r="O181" s="1"/>
      <c r="P181" s="1"/>
      <c r="Q181" s="1"/>
    </row>
    <row r="182" spans="2:17" x14ac:dyDescent="0.25">
      <c r="B182" s="61" t="s">
        <v>867</v>
      </c>
      <c r="C182" s="62" t="s">
        <v>868</v>
      </c>
      <c r="D182" s="54" t="s">
        <v>144</v>
      </c>
      <c r="E182" s="51">
        <v>45871</v>
      </c>
      <c r="F182" s="25">
        <f t="shared" ca="1" si="11"/>
        <v>327</v>
      </c>
      <c r="G182" s="56">
        <v>46132</v>
      </c>
      <c r="H182" s="36"/>
      <c r="I182" s="1"/>
      <c r="J182" s="1"/>
      <c r="K182" s="1"/>
      <c r="L182" s="1"/>
      <c r="N182" s="1"/>
      <c r="O182" s="1"/>
      <c r="P182" s="1"/>
      <c r="Q182" s="1"/>
    </row>
    <row r="183" spans="2:17" x14ac:dyDescent="0.25">
      <c r="B183" s="61" t="s">
        <v>869</v>
      </c>
      <c r="C183" s="62" t="s">
        <v>870</v>
      </c>
      <c r="D183" s="54" t="s">
        <v>144</v>
      </c>
      <c r="E183" s="51">
        <v>45871</v>
      </c>
      <c r="F183" s="25">
        <f t="shared" ca="1" si="11"/>
        <v>327</v>
      </c>
      <c r="G183" s="56">
        <v>46132</v>
      </c>
      <c r="H183" s="36"/>
      <c r="I183" s="1"/>
      <c r="J183" s="1"/>
      <c r="K183" s="1"/>
      <c r="L183" s="1"/>
      <c r="N183" s="1"/>
      <c r="O183" s="1"/>
      <c r="P183" s="1"/>
      <c r="Q183" s="1"/>
    </row>
    <row r="184" spans="2:17" x14ac:dyDescent="0.25">
      <c r="B184" s="61" t="s">
        <v>871</v>
      </c>
      <c r="C184" s="62" t="s">
        <v>872</v>
      </c>
      <c r="D184" s="54" t="s">
        <v>144</v>
      </c>
      <c r="E184" s="51">
        <v>45871</v>
      </c>
      <c r="F184" s="25">
        <f t="shared" ca="1" si="11"/>
        <v>327</v>
      </c>
      <c r="G184" s="56">
        <v>46132</v>
      </c>
      <c r="H184" s="36"/>
      <c r="I184" s="1"/>
      <c r="J184" s="1"/>
      <c r="K184" s="1"/>
      <c r="L184" s="1"/>
      <c r="N184" s="1"/>
      <c r="O184" s="1"/>
      <c r="P184" s="1"/>
      <c r="Q184" s="1"/>
    </row>
    <row r="185" spans="2:17" x14ac:dyDescent="0.25">
      <c r="B185" s="61" t="s">
        <v>996</v>
      </c>
      <c r="C185" s="62" t="s">
        <v>997</v>
      </c>
      <c r="D185" s="64"/>
      <c r="E185" s="28">
        <v>46124</v>
      </c>
      <c r="F185" s="1">
        <f t="shared" ca="1" si="11"/>
        <v>74</v>
      </c>
      <c r="G185" s="1"/>
      <c r="I185" s="1"/>
      <c r="J185" s="1"/>
      <c r="K185" s="1"/>
      <c r="L185" s="1"/>
      <c r="N185" s="1"/>
      <c r="O185" s="1"/>
      <c r="P185" s="1"/>
      <c r="Q185" s="1"/>
    </row>
    <row r="186" spans="2:17" x14ac:dyDescent="0.25">
      <c r="B186" s="61" t="s">
        <v>998</v>
      </c>
      <c r="C186" s="62" t="s">
        <v>999</v>
      </c>
      <c r="D186" s="64"/>
      <c r="E186" s="28">
        <v>46124</v>
      </c>
      <c r="F186" s="1">
        <f t="shared" ca="1" si="11"/>
        <v>74</v>
      </c>
      <c r="G186" s="1"/>
      <c r="I186" s="1"/>
      <c r="J186" s="1"/>
      <c r="K186" s="1"/>
      <c r="L186" s="1"/>
      <c r="N186" s="1"/>
      <c r="O186" s="1"/>
      <c r="P186" s="1"/>
      <c r="Q186" s="1"/>
    </row>
    <row r="187" spans="2:17" x14ac:dyDescent="0.25">
      <c r="B187" s="61" t="s">
        <v>1000</v>
      </c>
      <c r="C187" s="62" t="s">
        <v>1001</v>
      </c>
      <c r="D187" s="64"/>
      <c r="E187" s="28">
        <v>46124</v>
      </c>
      <c r="F187" s="1">
        <f t="shared" ca="1" si="11"/>
        <v>74</v>
      </c>
      <c r="G187" s="1"/>
      <c r="I187" s="1"/>
      <c r="J187" s="1"/>
      <c r="K187" s="1"/>
      <c r="L187" s="1"/>
      <c r="N187" s="1"/>
      <c r="O187" s="1"/>
      <c r="P187" s="1"/>
      <c r="Q187" s="1"/>
    </row>
    <row r="188" spans="2:17" x14ac:dyDescent="0.25">
      <c r="B188" s="61" t="s">
        <v>1002</v>
      </c>
      <c r="C188" s="62" t="s">
        <v>1003</v>
      </c>
      <c r="D188" s="64"/>
      <c r="E188" s="28">
        <v>46125</v>
      </c>
      <c r="F188" s="1">
        <f t="shared" ca="1" si="11"/>
        <v>73</v>
      </c>
      <c r="G188" s="1"/>
      <c r="I188" s="1"/>
      <c r="J188" s="1"/>
      <c r="K188" s="1"/>
      <c r="L188" s="1"/>
      <c r="N188" s="1"/>
      <c r="O188" s="1"/>
      <c r="P188" s="1"/>
      <c r="Q188" s="1"/>
    </row>
    <row r="189" spans="2:17" x14ac:dyDescent="0.25">
      <c r="B189" s="61" t="s">
        <v>1004</v>
      </c>
      <c r="C189" s="62" t="s">
        <v>1005</v>
      </c>
      <c r="D189" s="64"/>
      <c r="E189" s="28">
        <v>46125</v>
      </c>
      <c r="F189" s="1">
        <f t="shared" ca="1" si="11"/>
        <v>73</v>
      </c>
      <c r="G189" s="1"/>
      <c r="I189" s="1"/>
      <c r="J189" s="1"/>
      <c r="K189" s="1"/>
      <c r="L189" s="1"/>
      <c r="N189" s="1"/>
      <c r="O189" s="1"/>
      <c r="P189" s="1"/>
      <c r="Q189" s="1"/>
    </row>
    <row r="190" spans="2:17" x14ac:dyDescent="0.25">
      <c r="B190" s="61" t="s">
        <v>1006</v>
      </c>
      <c r="C190" s="62" t="s">
        <v>1007</v>
      </c>
      <c r="D190" s="64"/>
      <c r="E190" s="28">
        <v>46125</v>
      </c>
      <c r="F190" s="1">
        <f t="shared" ca="1" si="11"/>
        <v>73</v>
      </c>
      <c r="G190" s="1"/>
      <c r="I190" s="1"/>
      <c r="J190" s="1"/>
      <c r="K190" s="1"/>
      <c r="L190" s="1"/>
      <c r="N190" s="1"/>
      <c r="O190" s="1"/>
      <c r="P190" s="1"/>
      <c r="Q190" s="1"/>
    </row>
    <row r="191" spans="2:17" x14ac:dyDescent="0.25">
      <c r="B191" s="61" t="s">
        <v>1008</v>
      </c>
      <c r="C191" s="62" t="s">
        <v>1009</v>
      </c>
      <c r="D191" s="64"/>
      <c r="E191" s="28">
        <v>46125</v>
      </c>
      <c r="F191" s="1">
        <f t="shared" ca="1" si="11"/>
        <v>73</v>
      </c>
      <c r="G191" s="1"/>
      <c r="I191" s="1"/>
      <c r="J191" s="1"/>
      <c r="K191" s="1"/>
      <c r="L191" s="1"/>
      <c r="N191" s="1"/>
      <c r="O191" s="1"/>
      <c r="P191" s="1"/>
      <c r="Q191" s="1"/>
    </row>
    <row r="192" spans="2:17" x14ac:dyDescent="0.25">
      <c r="B192" s="61" t="s">
        <v>1010</v>
      </c>
      <c r="C192" s="62" t="s">
        <v>1011</v>
      </c>
      <c r="D192" s="64"/>
      <c r="E192" s="28">
        <v>46125</v>
      </c>
      <c r="F192" s="1">
        <f t="shared" ca="1" si="11"/>
        <v>73</v>
      </c>
      <c r="G192" s="1"/>
      <c r="I192" s="1"/>
      <c r="J192" s="1"/>
      <c r="K192" s="1"/>
      <c r="L192" s="1"/>
      <c r="N192" s="1"/>
      <c r="O192" s="1"/>
      <c r="P192" s="1"/>
      <c r="Q192" s="1"/>
    </row>
    <row r="193" spans="2:17" x14ac:dyDescent="0.25">
      <c r="B193" s="61" t="s">
        <v>1012</v>
      </c>
      <c r="C193" s="62" t="s">
        <v>1013</v>
      </c>
      <c r="D193" s="64"/>
      <c r="E193" s="28">
        <v>46125</v>
      </c>
      <c r="F193" s="1">
        <f t="shared" ca="1" si="11"/>
        <v>73</v>
      </c>
      <c r="G193" s="1"/>
      <c r="I193" s="1"/>
      <c r="J193" s="1"/>
      <c r="K193" s="1"/>
      <c r="L193" s="1"/>
      <c r="N193" s="1"/>
      <c r="O193" s="1"/>
      <c r="P193" s="1"/>
      <c r="Q193" s="1"/>
    </row>
    <row r="194" spans="2:17" x14ac:dyDescent="0.25">
      <c r="B194" s="61" t="s">
        <v>1014</v>
      </c>
      <c r="C194" s="62" t="s">
        <v>1015</v>
      </c>
      <c r="D194" s="64"/>
      <c r="E194" s="28">
        <v>46125</v>
      </c>
      <c r="F194" s="1">
        <f t="shared" ca="1" si="11"/>
        <v>73</v>
      </c>
      <c r="G194" s="1"/>
      <c r="I194" s="1"/>
      <c r="J194" s="1"/>
      <c r="K194" s="1"/>
      <c r="L194" s="1"/>
      <c r="N194" s="1"/>
      <c r="O194" s="1"/>
      <c r="P194" s="1"/>
      <c r="Q194" s="1"/>
    </row>
    <row r="195" spans="2:17" x14ac:dyDescent="0.25">
      <c r="B195" s="48" t="s">
        <v>1016</v>
      </c>
      <c r="C195" s="49" t="s">
        <v>1017</v>
      </c>
      <c r="D195" s="64"/>
      <c r="E195" s="28">
        <v>46145</v>
      </c>
      <c r="F195" s="1">
        <f t="shared" ca="1" si="11"/>
        <v>53</v>
      </c>
      <c r="G195" s="1"/>
      <c r="I195" s="1"/>
      <c r="J195" s="1"/>
      <c r="K195" s="1"/>
      <c r="L195" s="1"/>
      <c r="N195" s="1"/>
      <c r="O195" s="1"/>
      <c r="P195" s="1"/>
      <c r="Q195" s="1"/>
    </row>
    <row r="196" spans="2:17" x14ac:dyDescent="0.25">
      <c r="B196" s="48" t="s">
        <v>1018</v>
      </c>
      <c r="C196" s="49" t="s">
        <v>1019</v>
      </c>
      <c r="D196" s="64"/>
      <c r="E196" s="28">
        <v>46145</v>
      </c>
      <c r="F196" s="1">
        <f t="shared" ca="1" si="11"/>
        <v>53</v>
      </c>
      <c r="G196" s="1"/>
      <c r="I196" s="1"/>
      <c r="J196" s="1"/>
      <c r="K196" s="1"/>
      <c r="L196" s="1"/>
      <c r="N196" s="1"/>
      <c r="O196" s="1"/>
      <c r="P196" s="1"/>
      <c r="Q196" s="1"/>
    </row>
    <row r="197" spans="2:17" x14ac:dyDescent="0.25">
      <c r="B197" s="48" t="s">
        <v>1020</v>
      </c>
      <c r="C197" s="49" t="s">
        <v>1021</v>
      </c>
      <c r="D197" s="64"/>
      <c r="E197" s="28">
        <v>46145</v>
      </c>
      <c r="F197" s="1">
        <f t="shared" ca="1" si="11"/>
        <v>53</v>
      </c>
      <c r="G197" s="1"/>
      <c r="I197" s="1"/>
      <c r="J197" s="1"/>
      <c r="K197" s="1"/>
      <c r="L197" s="1"/>
      <c r="N197" s="1"/>
      <c r="O197" s="1"/>
      <c r="P197" s="1"/>
      <c r="Q197" s="1"/>
    </row>
    <row r="198" spans="2:17" x14ac:dyDescent="0.25">
      <c r="B198" s="48" t="s">
        <v>1022</v>
      </c>
      <c r="C198" s="49" t="s">
        <v>1023</v>
      </c>
      <c r="D198" s="64"/>
      <c r="E198" s="28">
        <v>46145</v>
      </c>
      <c r="F198" s="1">
        <f t="shared" ca="1" si="11"/>
        <v>53</v>
      </c>
      <c r="G198" s="1"/>
      <c r="I198" s="1"/>
      <c r="J198" s="1"/>
      <c r="K198" s="1"/>
      <c r="L198" s="1"/>
      <c r="N198" s="1"/>
      <c r="O198" s="1"/>
      <c r="P198" s="1"/>
      <c r="Q198" s="1"/>
    </row>
    <row r="199" spans="2:17" x14ac:dyDescent="0.25">
      <c r="B199" s="48" t="s">
        <v>1024</v>
      </c>
      <c r="C199" s="49" t="s">
        <v>1025</v>
      </c>
      <c r="D199" s="64"/>
      <c r="E199" s="28">
        <v>46145</v>
      </c>
      <c r="F199" s="1">
        <f t="shared" ca="1" si="11"/>
        <v>53</v>
      </c>
      <c r="G199" s="1"/>
      <c r="I199" s="1"/>
      <c r="J199" s="1"/>
      <c r="K199" s="1"/>
      <c r="L199" s="1"/>
      <c r="N199" s="1"/>
      <c r="O199" s="1"/>
      <c r="P199" s="1"/>
      <c r="Q199" s="1"/>
    </row>
    <row r="200" spans="2:17" x14ac:dyDescent="0.25">
      <c r="B200" s="48" t="s">
        <v>1026</v>
      </c>
      <c r="C200" s="49" t="s">
        <v>1027</v>
      </c>
      <c r="D200" s="64"/>
      <c r="E200" s="28">
        <v>46145</v>
      </c>
      <c r="F200" s="1">
        <f t="shared" ref="F200:F263" ca="1" si="12">$F$2-E200</f>
        <v>53</v>
      </c>
      <c r="G200" s="1"/>
      <c r="I200" s="1"/>
      <c r="J200" s="1"/>
      <c r="K200" s="1"/>
      <c r="L200" s="1"/>
      <c r="N200" s="1"/>
      <c r="O200" s="1"/>
      <c r="P200" s="1"/>
      <c r="Q200" s="1"/>
    </row>
    <row r="201" spans="2:17" x14ac:dyDescent="0.25">
      <c r="B201" s="48" t="s">
        <v>1028</v>
      </c>
      <c r="C201" s="49" t="s">
        <v>1029</v>
      </c>
      <c r="D201" s="64"/>
      <c r="E201" s="28">
        <v>46145</v>
      </c>
      <c r="F201" s="1">
        <f t="shared" ca="1" si="12"/>
        <v>53</v>
      </c>
      <c r="G201" s="1"/>
      <c r="I201" s="1"/>
      <c r="J201" s="1"/>
      <c r="K201" s="1"/>
      <c r="L201" s="1"/>
      <c r="N201" s="1"/>
      <c r="O201" s="1"/>
      <c r="P201" s="1"/>
      <c r="Q201" s="1"/>
    </row>
    <row r="202" spans="2:17" x14ac:dyDescent="0.25">
      <c r="B202" s="48" t="s">
        <v>1030</v>
      </c>
      <c r="C202" s="49" t="s">
        <v>1031</v>
      </c>
      <c r="D202" s="64"/>
      <c r="E202" s="28">
        <v>46146</v>
      </c>
      <c r="F202" s="1">
        <f t="shared" ca="1" si="12"/>
        <v>52</v>
      </c>
      <c r="G202" s="1"/>
      <c r="I202" s="1"/>
      <c r="J202" s="1"/>
      <c r="K202" s="1"/>
      <c r="L202" s="1"/>
      <c r="N202" s="1"/>
      <c r="O202" s="1"/>
      <c r="P202" s="1"/>
      <c r="Q202" s="1"/>
    </row>
    <row r="203" spans="2:17" x14ac:dyDescent="0.25">
      <c r="B203" s="48" t="s">
        <v>1032</v>
      </c>
      <c r="C203" s="49" t="s">
        <v>1033</v>
      </c>
      <c r="D203" s="64"/>
      <c r="E203" s="28">
        <v>46146</v>
      </c>
      <c r="F203" s="1">
        <f t="shared" ca="1" si="12"/>
        <v>52</v>
      </c>
      <c r="G203" s="1"/>
      <c r="I203" s="1"/>
      <c r="J203" s="1"/>
      <c r="K203" s="1"/>
      <c r="L203" s="1"/>
      <c r="N203" s="1"/>
      <c r="O203" s="1"/>
      <c r="P203" s="1"/>
      <c r="Q203" s="1"/>
    </row>
    <row r="204" spans="2:17" x14ac:dyDescent="0.25">
      <c r="B204" s="48" t="s">
        <v>1034</v>
      </c>
      <c r="C204" s="49" t="s">
        <v>1035</v>
      </c>
      <c r="D204" s="64"/>
      <c r="E204" s="28">
        <v>46146</v>
      </c>
      <c r="F204" s="1">
        <f t="shared" ca="1" si="12"/>
        <v>52</v>
      </c>
      <c r="G204" s="1"/>
      <c r="I204" s="1"/>
      <c r="J204" s="1"/>
      <c r="K204" s="1"/>
      <c r="L204" s="1"/>
      <c r="N204" s="1"/>
      <c r="O204" s="1"/>
      <c r="P204" s="1"/>
      <c r="Q204" s="1"/>
    </row>
    <row r="205" spans="2:17" x14ac:dyDescent="0.25">
      <c r="B205" s="48" t="s">
        <v>1036</v>
      </c>
      <c r="C205" s="49" t="s">
        <v>1037</v>
      </c>
      <c r="D205" s="64"/>
      <c r="E205" s="28">
        <v>46146</v>
      </c>
      <c r="F205" s="1">
        <f t="shared" ca="1" si="12"/>
        <v>52</v>
      </c>
      <c r="G205" s="1"/>
      <c r="I205" s="1"/>
      <c r="J205" s="1"/>
      <c r="K205" s="1"/>
      <c r="L205" s="1"/>
      <c r="N205" s="1"/>
      <c r="O205" s="1"/>
      <c r="P205" s="1"/>
      <c r="Q205" s="1"/>
    </row>
    <row r="206" spans="2:17" x14ac:dyDescent="0.25">
      <c r="B206" s="48" t="s">
        <v>1038</v>
      </c>
      <c r="C206" s="49" t="s">
        <v>1039</v>
      </c>
      <c r="D206" s="64"/>
      <c r="E206" s="28">
        <v>46146</v>
      </c>
      <c r="F206" s="1">
        <f t="shared" ca="1" si="12"/>
        <v>52</v>
      </c>
      <c r="G206" s="1"/>
      <c r="I206" s="1"/>
      <c r="J206" s="1"/>
      <c r="K206" s="1"/>
      <c r="L206" s="1"/>
      <c r="N206" s="1"/>
      <c r="O206" s="1"/>
      <c r="P206" s="1"/>
      <c r="Q206" s="1"/>
    </row>
    <row r="207" spans="2:17" x14ac:dyDescent="0.25">
      <c r="B207" s="48" t="s">
        <v>1040</v>
      </c>
      <c r="C207" s="49" t="s">
        <v>1041</v>
      </c>
      <c r="D207" s="64"/>
      <c r="E207" s="28">
        <v>46146</v>
      </c>
      <c r="F207" s="1">
        <f t="shared" ca="1" si="12"/>
        <v>52</v>
      </c>
      <c r="G207" s="1"/>
      <c r="I207" s="1"/>
      <c r="J207" s="1"/>
      <c r="K207" s="1"/>
      <c r="L207" s="1"/>
      <c r="N207" s="1"/>
      <c r="O207" s="1"/>
      <c r="P207" s="1"/>
      <c r="Q207" s="1"/>
    </row>
    <row r="208" spans="2:17" x14ac:dyDescent="0.25">
      <c r="B208" s="48" t="s">
        <v>1042</v>
      </c>
      <c r="C208" s="49" t="s">
        <v>1043</v>
      </c>
      <c r="D208" s="64"/>
      <c r="E208" s="28">
        <v>46146</v>
      </c>
      <c r="F208" s="1">
        <f t="shared" ca="1" si="12"/>
        <v>52</v>
      </c>
      <c r="G208" s="1"/>
      <c r="I208" s="1"/>
      <c r="J208" s="1"/>
      <c r="K208" s="1"/>
      <c r="L208" s="1"/>
      <c r="N208" s="1"/>
      <c r="O208" s="1"/>
      <c r="P208" s="1"/>
      <c r="Q208" s="1"/>
    </row>
    <row r="209" spans="2:17" x14ac:dyDescent="0.25">
      <c r="B209" s="48" t="s">
        <v>1044</v>
      </c>
      <c r="C209" s="49" t="s">
        <v>1045</v>
      </c>
      <c r="D209" s="64"/>
      <c r="E209" s="28">
        <v>46147</v>
      </c>
      <c r="F209" s="1">
        <f t="shared" ca="1" si="12"/>
        <v>51</v>
      </c>
      <c r="G209" s="1"/>
      <c r="I209" s="1"/>
      <c r="J209" s="1"/>
      <c r="K209" s="1"/>
      <c r="L209" s="1"/>
      <c r="N209" s="1"/>
      <c r="O209" s="1"/>
      <c r="P209" s="1"/>
      <c r="Q209" s="1"/>
    </row>
    <row r="210" spans="2:17" x14ac:dyDescent="0.25">
      <c r="B210" s="48" t="s">
        <v>1046</v>
      </c>
      <c r="C210" s="49" t="s">
        <v>1047</v>
      </c>
      <c r="D210" s="64"/>
      <c r="E210" s="28">
        <v>46147</v>
      </c>
      <c r="F210" s="1">
        <f t="shared" ca="1" si="12"/>
        <v>51</v>
      </c>
      <c r="G210" s="1"/>
      <c r="I210" s="1"/>
      <c r="J210" s="1"/>
      <c r="K210" s="1"/>
      <c r="L210" s="1"/>
      <c r="N210" s="1"/>
      <c r="O210" s="1"/>
      <c r="P210" s="1"/>
      <c r="Q210" s="1"/>
    </row>
    <row r="211" spans="2:17" x14ac:dyDescent="0.25">
      <c r="B211" s="48" t="s">
        <v>1048</v>
      </c>
      <c r="C211" s="49" t="s">
        <v>1049</v>
      </c>
      <c r="D211" s="64"/>
      <c r="E211" s="28">
        <v>46147</v>
      </c>
      <c r="F211" s="1">
        <f t="shared" ca="1" si="12"/>
        <v>51</v>
      </c>
      <c r="G211" s="1"/>
      <c r="I211" s="1"/>
      <c r="J211" s="1"/>
      <c r="K211" s="1"/>
      <c r="L211" s="1"/>
      <c r="N211" s="1"/>
      <c r="O211" s="1"/>
      <c r="P211" s="1"/>
      <c r="Q211" s="1"/>
    </row>
    <row r="212" spans="2:17" x14ac:dyDescent="0.25">
      <c r="B212" s="48" t="s">
        <v>1050</v>
      </c>
      <c r="C212" s="49" t="s">
        <v>1051</v>
      </c>
      <c r="D212" s="64"/>
      <c r="E212" s="28">
        <v>46147</v>
      </c>
      <c r="F212" s="1">
        <f t="shared" ca="1" si="12"/>
        <v>51</v>
      </c>
      <c r="G212" s="1"/>
      <c r="I212" s="1"/>
      <c r="J212" s="1"/>
      <c r="K212" s="1"/>
      <c r="L212" s="1"/>
      <c r="N212" s="1"/>
      <c r="O212" s="1"/>
      <c r="P212" s="1"/>
      <c r="Q212" s="1"/>
    </row>
    <row r="213" spans="2:17" x14ac:dyDescent="0.25">
      <c r="B213" s="48" t="s">
        <v>1052</v>
      </c>
      <c r="C213" s="49" t="s">
        <v>1053</v>
      </c>
      <c r="D213" s="64"/>
      <c r="E213" s="28">
        <v>46147</v>
      </c>
      <c r="F213" s="1">
        <f t="shared" ca="1" si="12"/>
        <v>51</v>
      </c>
      <c r="G213" s="1"/>
      <c r="I213" s="1"/>
      <c r="J213" s="1"/>
      <c r="K213" s="1"/>
      <c r="L213" s="1"/>
      <c r="N213" s="1"/>
      <c r="O213" s="1"/>
      <c r="P213" s="1"/>
      <c r="Q213" s="1"/>
    </row>
    <row r="214" spans="2:17" x14ac:dyDescent="0.25">
      <c r="B214" s="48" t="s">
        <v>1054</v>
      </c>
      <c r="C214" s="49" t="s">
        <v>1055</v>
      </c>
      <c r="D214" s="64"/>
      <c r="E214" s="28">
        <v>46147</v>
      </c>
      <c r="F214" s="1">
        <f t="shared" ca="1" si="12"/>
        <v>51</v>
      </c>
      <c r="G214" s="1"/>
      <c r="I214" s="1"/>
      <c r="J214" s="1"/>
      <c r="K214" s="1"/>
      <c r="L214" s="1"/>
      <c r="N214" s="1"/>
      <c r="O214" s="1"/>
      <c r="P214" s="1"/>
      <c r="Q214" s="1"/>
    </row>
    <row r="215" spans="2:17" x14ac:dyDescent="0.25">
      <c r="B215" s="59" t="s">
        <v>1056</v>
      </c>
      <c r="C215" s="60" t="s">
        <v>1057</v>
      </c>
      <c r="D215" s="64"/>
      <c r="E215" s="28">
        <v>46147</v>
      </c>
      <c r="F215" s="1">
        <f t="shared" ca="1" si="12"/>
        <v>51</v>
      </c>
      <c r="G215" s="1"/>
      <c r="I215" s="1"/>
      <c r="J215" s="1"/>
      <c r="K215" s="1"/>
      <c r="L215" s="1"/>
      <c r="N215" s="1"/>
      <c r="O215" s="1"/>
      <c r="P215" s="1"/>
      <c r="Q215" s="1"/>
    </row>
    <row r="216" spans="2:17" x14ac:dyDescent="0.25">
      <c r="B216" s="59" t="s">
        <v>1058</v>
      </c>
      <c r="C216" s="60" t="s">
        <v>1059</v>
      </c>
      <c r="D216" s="65"/>
      <c r="E216" s="51">
        <v>45938</v>
      </c>
      <c r="F216" s="1">
        <f t="shared" ca="1" si="12"/>
        <v>260</v>
      </c>
      <c r="G216" s="1"/>
      <c r="I216" s="1"/>
      <c r="J216" s="1"/>
      <c r="K216" s="1"/>
      <c r="L216" s="1"/>
      <c r="N216" s="1"/>
      <c r="O216" s="1"/>
      <c r="P216" s="1"/>
      <c r="Q216" s="1"/>
    </row>
    <row r="217" spans="2:17" x14ac:dyDescent="0.25">
      <c r="B217" s="59" t="s">
        <v>1060</v>
      </c>
      <c r="C217" s="60" t="s">
        <v>1061</v>
      </c>
      <c r="D217" s="65"/>
      <c r="E217" s="51">
        <v>45938</v>
      </c>
      <c r="F217" s="1">
        <f t="shared" ca="1" si="12"/>
        <v>260</v>
      </c>
      <c r="G217" s="1"/>
      <c r="I217" s="1"/>
      <c r="J217" s="1"/>
      <c r="K217" s="1"/>
      <c r="L217" s="1"/>
      <c r="N217" s="1"/>
      <c r="O217" s="1"/>
      <c r="P217" s="1"/>
      <c r="Q217" s="1"/>
    </row>
    <row r="218" spans="2:17" x14ac:dyDescent="0.25">
      <c r="B218" s="59" t="s">
        <v>1062</v>
      </c>
      <c r="C218" s="60" t="s">
        <v>1063</v>
      </c>
      <c r="D218" s="65"/>
      <c r="E218" s="51">
        <v>45938</v>
      </c>
      <c r="F218" s="1">
        <f t="shared" ca="1" si="12"/>
        <v>260</v>
      </c>
      <c r="G218" s="1"/>
      <c r="I218" s="1"/>
      <c r="J218" s="1"/>
      <c r="K218" s="1"/>
      <c r="L218" s="1"/>
      <c r="N218" s="1"/>
      <c r="O218" s="1"/>
      <c r="P218" s="1"/>
      <c r="Q218" s="1"/>
    </row>
    <row r="219" spans="2:17" x14ac:dyDescent="0.25">
      <c r="B219" s="59" t="s">
        <v>1064</v>
      </c>
      <c r="C219" s="60" t="s">
        <v>1065</v>
      </c>
      <c r="D219" s="65"/>
      <c r="E219" s="28">
        <v>45921</v>
      </c>
      <c r="F219" s="1">
        <f t="shared" ca="1" si="12"/>
        <v>277</v>
      </c>
      <c r="G219" s="1"/>
      <c r="I219" s="1"/>
      <c r="J219" s="1"/>
      <c r="K219" s="1"/>
      <c r="L219" s="1"/>
      <c r="N219" s="1"/>
      <c r="O219" s="1"/>
      <c r="P219" s="1"/>
      <c r="Q219" s="1"/>
    </row>
    <row r="220" spans="2:17" x14ac:dyDescent="0.25">
      <c r="B220" s="59" t="s">
        <v>1066</v>
      </c>
      <c r="C220" s="60" t="s">
        <v>1067</v>
      </c>
      <c r="D220" s="65"/>
      <c r="E220" s="28">
        <v>45921</v>
      </c>
      <c r="F220" s="1">
        <f t="shared" ca="1" si="12"/>
        <v>277</v>
      </c>
      <c r="G220" s="1"/>
      <c r="I220" s="1"/>
      <c r="J220" s="1"/>
      <c r="K220" s="1"/>
      <c r="L220" s="1"/>
      <c r="N220" s="1"/>
      <c r="O220" s="1"/>
      <c r="P220" s="1"/>
      <c r="Q220" s="1"/>
    </row>
    <row r="221" spans="2:17" x14ac:dyDescent="0.25">
      <c r="B221" s="59" t="s">
        <v>1068</v>
      </c>
      <c r="C221" s="60" t="s">
        <v>1069</v>
      </c>
      <c r="D221" s="65"/>
      <c r="E221" s="28">
        <v>45921</v>
      </c>
      <c r="F221" s="1">
        <f t="shared" ca="1" si="12"/>
        <v>277</v>
      </c>
      <c r="G221" s="1"/>
      <c r="I221" s="1"/>
      <c r="J221" s="1"/>
      <c r="K221" s="1"/>
      <c r="L221" s="1"/>
      <c r="N221" s="1"/>
      <c r="O221" s="1"/>
      <c r="P221" s="1"/>
      <c r="Q221" s="1"/>
    </row>
    <row r="222" spans="2:17" x14ac:dyDescent="0.25">
      <c r="B222" s="59" t="s">
        <v>1070</v>
      </c>
      <c r="C222" s="60" t="s">
        <v>1071</v>
      </c>
      <c r="D222" s="65"/>
      <c r="E222" s="28">
        <v>45921</v>
      </c>
      <c r="F222" s="1">
        <f t="shared" ca="1" si="12"/>
        <v>277</v>
      </c>
      <c r="G222" s="1"/>
      <c r="I222" s="1"/>
      <c r="J222" s="1"/>
      <c r="K222" s="1"/>
      <c r="L222" s="1"/>
      <c r="N222" s="1"/>
      <c r="O222" s="1"/>
      <c r="P222" s="1"/>
      <c r="Q222" s="1"/>
    </row>
    <row r="223" spans="2:17" x14ac:dyDescent="0.25">
      <c r="B223" s="59" t="s">
        <v>1072</v>
      </c>
      <c r="C223" s="60" t="s">
        <v>1073</v>
      </c>
      <c r="D223" s="65"/>
      <c r="E223" s="28">
        <v>45905</v>
      </c>
      <c r="F223" s="1">
        <f t="shared" ca="1" si="12"/>
        <v>293</v>
      </c>
      <c r="G223" s="1"/>
      <c r="I223" s="1"/>
      <c r="J223" s="1"/>
      <c r="K223" s="1"/>
      <c r="L223" s="1"/>
      <c r="N223" s="1"/>
      <c r="O223" s="1"/>
      <c r="P223" s="1"/>
      <c r="Q223" s="1"/>
    </row>
    <row r="224" spans="2:17" x14ac:dyDescent="0.25">
      <c r="B224" s="59" t="s">
        <v>1074</v>
      </c>
      <c r="C224" s="60" t="s">
        <v>1075</v>
      </c>
      <c r="D224" s="65"/>
      <c r="E224" s="28">
        <v>45905</v>
      </c>
      <c r="F224" s="1">
        <f t="shared" ca="1" si="12"/>
        <v>293</v>
      </c>
      <c r="G224" s="1"/>
      <c r="I224" s="1"/>
      <c r="J224" s="1"/>
      <c r="K224" s="1"/>
      <c r="L224" s="1"/>
      <c r="N224" s="1"/>
      <c r="O224" s="1"/>
      <c r="P224" s="1"/>
      <c r="Q224" s="1"/>
    </row>
    <row r="225" spans="2:17" x14ac:dyDescent="0.25">
      <c r="B225" s="59" t="s">
        <v>1076</v>
      </c>
      <c r="C225" s="60" t="s">
        <v>1077</v>
      </c>
      <c r="D225" s="65"/>
      <c r="E225" s="28">
        <v>45905</v>
      </c>
      <c r="F225" s="1">
        <f t="shared" ca="1" si="12"/>
        <v>293</v>
      </c>
      <c r="G225" s="1"/>
      <c r="I225" s="1"/>
      <c r="J225" s="1"/>
      <c r="K225" s="1"/>
      <c r="L225" s="1"/>
      <c r="N225" s="1"/>
      <c r="O225" s="1"/>
      <c r="P225" s="1"/>
      <c r="Q225" s="1"/>
    </row>
    <row r="226" spans="2:17" x14ac:dyDescent="0.25">
      <c r="B226" s="59" t="s">
        <v>1078</v>
      </c>
      <c r="C226" s="60" t="s">
        <v>1079</v>
      </c>
      <c r="D226" s="65"/>
      <c r="E226" s="28">
        <v>45905</v>
      </c>
      <c r="F226" s="1">
        <f t="shared" ca="1" si="12"/>
        <v>293</v>
      </c>
      <c r="G226" s="1"/>
      <c r="I226" s="1"/>
      <c r="J226" s="1"/>
      <c r="K226" s="1"/>
      <c r="L226" s="1"/>
      <c r="N226" s="1"/>
      <c r="O226" s="1"/>
      <c r="P226" s="1"/>
      <c r="Q226" s="1"/>
    </row>
    <row r="227" spans="2:17" x14ac:dyDescent="0.25">
      <c r="B227" s="59" t="s">
        <v>1080</v>
      </c>
      <c r="C227" s="60" t="s">
        <v>1081</v>
      </c>
      <c r="D227" s="65"/>
      <c r="E227" s="28">
        <v>45905</v>
      </c>
      <c r="F227" s="1">
        <f t="shared" ca="1" si="12"/>
        <v>293</v>
      </c>
      <c r="G227" s="1"/>
      <c r="I227" s="1"/>
      <c r="J227" s="1"/>
      <c r="K227" s="1"/>
      <c r="L227" s="1"/>
      <c r="N227" s="1"/>
      <c r="O227" s="1"/>
      <c r="P227" s="1"/>
      <c r="Q227" s="1"/>
    </row>
    <row r="228" spans="2:17" x14ac:dyDescent="0.25">
      <c r="B228" s="59" t="s">
        <v>1082</v>
      </c>
      <c r="C228" s="60" t="s">
        <v>1083</v>
      </c>
      <c r="D228" s="65"/>
      <c r="E228" s="28">
        <v>45887</v>
      </c>
      <c r="F228" s="1">
        <f t="shared" ca="1" si="12"/>
        <v>311</v>
      </c>
      <c r="G228" s="1"/>
      <c r="I228" s="1"/>
      <c r="J228" s="1"/>
      <c r="K228" s="1"/>
      <c r="L228" s="1"/>
      <c r="N228" s="1"/>
      <c r="O228" s="1"/>
      <c r="P228" s="1"/>
      <c r="Q228" s="1"/>
    </row>
    <row r="229" spans="2:17" x14ac:dyDescent="0.25">
      <c r="B229" s="59" t="s">
        <v>1084</v>
      </c>
      <c r="C229" s="60" t="s">
        <v>1085</v>
      </c>
      <c r="D229" s="65"/>
      <c r="E229" s="28">
        <v>45887</v>
      </c>
      <c r="F229" s="1">
        <f t="shared" ca="1" si="12"/>
        <v>311</v>
      </c>
      <c r="G229" s="1"/>
      <c r="I229" s="1"/>
      <c r="J229" s="1"/>
      <c r="K229" s="1"/>
      <c r="L229" s="1"/>
      <c r="N229" s="1"/>
      <c r="O229" s="1"/>
      <c r="P229" s="1"/>
      <c r="Q229" s="1"/>
    </row>
    <row r="230" spans="2:17" x14ac:dyDescent="0.25">
      <c r="B230" s="59" t="s">
        <v>1086</v>
      </c>
      <c r="C230" s="60" t="s">
        <v>1087</v>
      </c>
      <c r="D230" s="65"/>
      <c r="E230" s="28">
        <v>45887</v>
      </c>
      <c r="F230" s="1">
        <f t="shared" ca="1" si="12"/>
        <v>311</v>
      </c>
      <c r="G230" s="1"/>
      <c r="I230" s="1"/>
      <c r="J230" s="1"/>
      <c r="K230" s="1"/>
      <c r="L230" s="1"/>
      <c r="N230" s="1"/>
      <c r="O230" s="1"/>
      <c r="P230" s="1"/>
      <c r="Q230" s="1"/>
    </row>
    <row r="231" spans="2:17" x14ac:dyDescent="0.25">
      <c r="B231" s="59" t="s">
        <v>1088</v>
      </c>
      <c r="C231" s="60" t="s">
        <v>1089</v>
      </c>
      <c r="D231" s="65"/>
      <c r="E231" s="28">
        <v>45887</v>
      </c>
      <c r="F231" s="1">
        <f t="shared" ca="1" si="12"/>
        <v>311</v>
      </c>
      <c r="G231" s="1"/>
      <c r="I231" s="1"/>
      <c r="J231" s="1"/>
      <c r="K231" s="1"/>
      <c r="L231" s="1"/>
      <c r="N231" s="1"/>
      <c r="O231" s="1"/>
      <c r="P231" s="1"/>
      <c r="Q231" s="1"/>
    </row>
    <row r="232" spans="2:17" x14ac:dyDescent="0.25">
      <c r="B232" s="59" t="s">
        <v>1090</v>
      </c>
      <c r="C232" s="60" t="s">
        <v>1091</v>
      </c>
      <c r="D232" s="65"/>
      <c r="E232" s="28">
        <v>45850</v>
      </c>
      <c r="F232" s="1">
        <f t="shared" ca="1" si="12"/>
        <v>348</v>
      </c>
      <c r="G232" s="1"/>
      <c r="I232" s="1"/>
      <c r="J232" s="1"/>
      <c r="K232" s="1"/>
      <c r="L232" s="1"/>
      <c r="N232" s="1"/>
      <c r="O232" s="1"/>
      <c r="P232" s="1"/>
      <c r="Q232" s="1"/>
    </row>
    <row r="233" spans="2:17" x14ac:dyDescent="0.25">
      <c r="B233" s="59" t="s">
        <v>1092</v>
      </c>
      <c r="C233" s="60" t="s">
        <v>1093</v>
      </c>
      <c r="D233" s="65"/>
      <c r="E233" s="28">
        <v>45850</v>
      </c>
      <c r="F233" s="1">
        <f t="shared" ca="1" si="12"/>
        <v>348</v>
      </c>
      <c r="G233" s="1"/>
      <c r="I233" s="1"/>
      <c r="J233" s="1"/>
      <c r="K233" s="1"/>
      <c r="L233" s="1"/>
      <c r="N233" s="1"/>
      <c r="O233" s="1"/>
      <c r="P233" s="1"/>
      <c r="Q233" s="1"/>
    </row>
    <row r="234" spans="2:17" x14ac:dyDescent="0.25">
      <c r="B234" s="59" t="s">
        <v>1094</v>
      </c>
      <c r="C234" s="60" t="s">
        <v>1095</v>
      </c>
      <c r="D234" s="65"/>
      <c r="E234" s="28">
        <v>45850</v>
      </c>
      <c r="F234" s="1">
        <f t="shared" ca="1" si="12"/>
        <v>348</v>
      </c>
      <c r="G234" s="1"/>
      <c r="I234" s="1"/>
      <c r="J234" s="1"/>
      <c r="K234" s="1"/>
      <c r="L234" s="1"/>
      <c r="N234" s="1"/>
      <c r="O234" s="1"/>
      <c r="P234" s="1"/>
      <c r="Q234" s="1"/>
    </row>
    <row r="235" spans="2:17" x14ac:dyDescent="0.25">
      <c r="B235" s="59" t="s">
        <v>1096</v>
      </c>
      <c r="C235" s="60" t="s">
        <v>1097</v>
      </c>
      <c r="D235" s="65"/>
      <c r="E235" s="28">
        <v>45823</v>
      </c>
      <c r="F235" s="1">
        <f t="shared" ca="1" si="12"/>
        <v>375</v>
      </c>
      <c r="G235" s="1"/>
      <c r="I235" s="1"/>
      <c r="J235" s="1"/>
      <c r="K235" s="1"/>
      <c r="L235" s="1"/>
      <c r="N235" s="1"/>
      <c r="O235" s="1"/>
      <c r="P235" s="1"/>
      <c r="Q235" s="1"/>
    </row>
    <row r="236" spans="2:17" x14ac:dyDescent="0.25">
      <c r="B236" s="59" t="s">
        <v>1098</v>
      </c>
      <c r="C236" s="60" t="s">
        <v>1099</v>
      </c>
      <c r="D236" s="50" t="s">
        <v>137</v>
      </c>
      <c r="E236" s="28">
        <v>45951</v>
      </c>
      <c r="F236" s="1">
        <f t="shared" ca="1" si="12"/>
        <v>247</v>
      </c>
      <c r="G236" s="1"/>
      <c r="I236" s="1"/>
      <c r="J236" s="1"/>
      <c r="K236" s="1"/>
      <c r="L236" s="1"/>
      <c r="N236" s="1"/>
      <c r="O236" s="1"/>
      <c r="P236" s="1"/>
      <c r="Q236" s="1"/>
    </row>
    <row r="237" spans="2:17" x14ac:dyDescent="0.25">
      <c r="B237" s="59" t="s">
        <v>1100</v>
      </c>
      <c r="C237" s="60" t="s">
        <v>1101</v>
      </c>
      <c r="D237" s="50" t="s">
        <v>137</v>
      </c>
      <c r="E237" s="28">
        <v>45951</v>
      </c>
      <c r="F237" s="1">
        <f t="shared" ca="1" si="12"/>
        <v>247</v>
      </c>
      <c r="G237" s="1"/>
      <c r="I237" s="1"/>
      <c r="J237" s="1"/>
      <c r="K237" s="1"/>
      <c r="L237" s="1"/>
      <c r="N237" s="1"/>
      <c r="O237" s="1"/>
      <c r="P237" s="1"/>
      <c r="Q237" s="1"/>
    </row>
    <row r="238" spans="2:17" x14ac:dyDescent="0.25">
      <c r="B238" s="57" t="s">
        <v>1102</v>
      </c>
      <c r="C238" s="58" t="s">
        <v>1103</v>
      </c>
      <c r="D238" s="2" t="s">
        <v>1104</v>
      </c>
      <c r="E238" s="28">
        <v>46036</v>
      </c>
      <c r="F238" s="1">
        <f t="shared" ca="1" si="12"/>
        <v>162</v>
      </c>
      <c r="G238" s="1"/>
      <c r="I238" s="1"/>
      <c r="J238" s="1"/>
      <c r="K238" s="1"/>
      <c r="L238" s="1"/>
      <c r="N238" s="1"/>
      <c r="O238" s="1"/>
      <c r="P238" s="1"/>
      <c r="Q238" s="1"/>
    </row>
    <row r="239" spans="2:17" x14ac:dyDescent="0.25">
      <c r="B239" s="57" t="s">
        <v>1105</v>
      </c>
      <c r="C239" s="58" t="s">
        <v>1106</v>
      </c>
      <c r="D239" s="2" t="s">
        <v>1104</v>
      </c>
      <c r="E239" s="28">
        <v>46036</v>
      </c>
      <c r="F239" s="1">
        <f t="shared" ca="1" si="12"/>
        <v>162</v>
      </c>
      <c r="G239" s="1"/>
      <c r="I239" s="1"/>
      <c r="J239" s="1"/>
      <c r="K239" s="1"/>
      <c r="L239" s="1"/>
      <c r="N239" s="1"/>
      <c r="O239" s="1"/>
      <c r="P239" s="1"/>
      <c r="Q239" s="1"/>
    </row>
    <row r="240" spans="2:17" x14ac:dyDescent="0.25">
      <c r="B240" s="57" t="s">
        <v>671</v>
      </c>
      <c r="C240" s="58" t="s">
        <v>672</v>
      </c>
      <c r="D240" s="54" t="s">
        <v>144</v>
      </c>
      <c r="E240" s="28">
        <v>45798</v>
      </c>
      <c r="F240" s="25">
        <f t="shared" ca="1" si="12"/>
        <v>400</v>
      </c>
      <c r="G240" s="56">
        <v>46143</v>
      </c>
      <c r="H240" s="36"/>
      <c r="I240" s="1"/>
      <c r="J240" s="1"/>
      <c r="K240" s="1"/>
      <c r="L240" s="1"/>
      <c r="N240" s="1"/>
      <c r="O240" s="1"/>
      <c r="P240" s="1"/>
      <c r="Q240" s="1"/>
    </row>
    <row r="241" spans="2:17" x14ac:dyDescent="0.25">
      <c r="B241" s="57" t="s">
        <v>673</v>
      </c>
      <c r="C241" s="58" t="s">
        <v>674</v>
      </c>
      <c r="D241" s="54" t="s">
        <v>144</v>
      </c>
      <c r="E241" s="28">
        <v>45798</v>
      </c>
      <c r="F241" s="25">
        <f t="shared" ca="1" si="12"/>
        <v>400</v>
      </c>
      <c r="G241" s="56">
        <v>46143</v>
      </c>
      <c r="H241" s="36"/>
      <c r="I241" s="1"/>
      <c r="J241" s="1"/>
      <c r="K241" s="1"/>
      <c r="L241" s="1"/>
      <c r="N241" s="1"/>
      <c r="O241" s="1"/>
      <c r="P241" s="1"/>
      <c r="Q241" s="1"/>
    </row>
    <row r="242" spans="2:17" x14ac:dyDescent="0.25">
      <c r="B242" s="57" t="s">
        <v>675</v>
      </c>
      <c r="C242" s="58" t="s">
        <v>676</v>
      </c>
      <c r="D242" s="54" t="s">
        <v>144</v>
      </c>
      <c r="E242" s="28">
        <v>45798</v>
      </c>
      <c r="F242" s="25">
        <f t="shared" ca="1" si="12"/>
        <v>400</v>
      </c>
      <c r="G242" s="56">
        <v>46143</v>
      </c>
      <c r="H242" s="36"/>
      <c r="I242" s="1"/>
      <c r="J242" s="1"/>
      <c r="K242" s="1"/>
      <c r="L242" s="1"/>
      <c r="N242" s="1"/>
      <c r="O242" s="1"/>
      <c r="P242" s="1"/>
      <c r="Q242" s="1"/>
    </row>
    <row r="243" spans="2:17" x14ac:dyDescent="0.25">
      <c r="B243" s="57" t="s">
        <v>677</v>
      </c>
      <c r="C243" s="58" t="s">
        <v>678</v>
      </c>
      <c r="D243" s="54" t="s">
        <v>144</v>
      </c>
      <c r="E243" s="28">
        <v>45798</v>
      </c>
      <c r="F243" s="25">
        <f t="shared" ca="1" si="12"/>
        <v>400</v>
      </c>
      <c r="G243" s="56">
        <v>46143</v>
      </c>
      <c r="H243" s="36"/>
      <c r="I243" s="1"/>
      <c r="J243" s="1"/>
      <c r="K243" s="1"/>
      <c r="L243" s="1"/>
      <c r="N243" s="1"/>
      <c r="O243" s="1"/>
      <c r="P243" s="1"/>
      <c r="Q243" s="1"/>
    </row>
    <row r="244" spans="2:17" x14ac:dyDescent="0.25">
      <c r="B244" s="57" t="s">
        <v>679</v>
      </c>
      <c r="C244" s="58" t="s">
        <v>680</v>
      </c>
      <c r="D244" s="54" t="s">
        <v>144</v>
      </c>
      <c r="E244" s="28">
        <v>45798</v>
      </c>
      <c r="F244" s="25">
        <f t="shared" ca="1" si="12"/>
        <v>400</v>
      </c>
      <c r="G244" s="56">
        <v>46143</v>
      </c>
      <c r="H244" s="36"/>
      <c r="I244" s="1"/>
      <c r="J244" s="1"/>
      <c r="K244" s="1"/>
      <c r="L244" s="1"/>
      <c r="N244" s="1"/>
      <c r="O244" s="1"/>
      <c r="P244" s="1"/>
      <c r="Q244" s="1"/>
    </row>
    <row r="245" spans="2:17" x14ac:dyDescent="0.25">
      <c r="B245" s="57" t="s">
        <v>681</v>
      </c>
      <c r="C245" s="58" t="s">
        <v>682</v>
      </c>
      <c r="D245" s="54" t="s">
        <v>144</v>
      </c>
      <c r="E245" s="28">
        <v>45800</v>
      </c>
      <c r="F245" s="25">
        <f t="shared" ca="1" si="12"/>
        <v>398</v>
      </c>
      <c r="G245" s="56">
        <v>46144</v>
      </c>
      <c r="H245" s="36"/>
      <c r="I245" s="1"/>
      <c r="J245" s="1"/>
      <c r="K245" s="1"/>
      <c r="L245" s="1"/>
      <c r="N245" s="1"/>
      <c r="O245" s="1"/>
      <c r="P245" s="1"/>
      <c r="Q245" s="1"/>
    </row>
    <row r="246" spans="2:17" x14ac:dyDescent="0.25">
      <c r="B246" s="57" t="s">
        <v>683</v>
      </c>
      <c r="C246" s="58" t="s">
        <v>684</v>
      </c>
      <c r="D246" s="54" t="s">
        <v>144</v>
      </c>
      <c r="E246" s="28">
        <v>45800</v>
      </c>
      <c r="F246" s="25">
        <f t="shared" ca="1" si="12"/>
        <v>398</v>
      </c>
      <c r="G246" s="56">
        <v>46144</v>
      </c>
      <c r="H246" s="36"/>
      <c r="I246" s="1"/>
      <c r="J246" s="1"/>
      <c r="K246" s="1"/>
      <c r="L246" s="1"/>
      <c r="N246" s="1"/>
      <c r="O246" s="1"/>
      <c r="P246" s="1"/>
      <c r="Q246" s="1"/>
    </row>
    <row r="247" spans="2:17" x14ac:dyDescent="0.25">
      <c r="B247" s="57" t="s">
        <v>685</v>
      </c>
      <c r="C247" s="58" t="s">
        <v>686</v>
      </c>
      <c r="D247" s="54" t="s">
        <v>144</v>
      </c>
      <c r="E247" s="28">
        <v>45800</v>
      </c>
      <c r="F247" s="25">
        <f t="shared" ca="1" si="12"/>
        <v>398</v>
      </c>
      <c r="G247" s="56">
        <v>46144</v>
      </c>
      <c r="H247" s="36"/>
      <c r="I247" s="1"/>
      <c r="J247" s="1"/>
      <c r="K247" s="1"/>
      <c r="L247" s="1"/>
      <c r="N247" s="1"/>
      <c r="O247" s="1"/>
      <c r="P247" s="1"/>
      <c r="Q247" s="1"/>
    </row>
    <row r="248" spans="2:17" x14ac:dyDescent="0.25">
      <c r="B248" s="57" t="s">
        <v>687</v>
      </c>
      <c r="C248" s="58" t="s">
        <v>688</v>
      </c>
      <c r="D248" s="54" t="s">
        <v>144</v>
      </c>
      <c r="E248" s="28">
        <v>45800</v>
      </c>
      <c r="F248" s="25">
        <f t="shared" ca="1" si="12"/>
        <v>398</v>
      </c>
      <c r="G248" s="56">
        <v>46144</v>
      </c>
      <c r="H248" s="36"/>
      <c r="I248" s="1"/>
      <c r="J248" s="1"/>
      <c r="K248" s="1"/>
      <c r="L248" s="1"/>
      <c r="N248" s="1"/>
      <c r="O248" s="1"/>
      <c r="P248" s="1"/>
      <c r="Q248" s="1"/>
    </row>
    <row r="249" spans="2:17" x14ac:dyDescent="0.25">
      <c r="B249" s="57" t="s">
        <v>689</v>
      </c>
      <c r="C249" s="58" t="s">
        <v>690</v>
      </c>
      <c r="D249" s="54" t="s">
        <v>144</v>
      </c>
      <c r="E249" s="28">
        <v>45800</v>
      </c>
      <c r="F249" s="25">
        <f t="shared" ca="1" si="12"/>
        <v>398</v>
      </c>
      <c r="G249" s="56">
        <v>46144</v>
      </c>
      <c r="H249" s="36"/>
      <c r="I249" s="1"/>
      <c r="J249" s="1"/>
      <c r="K249" s="1"/>
      <c r="L249" s="1"/>
      <c r="N249" s="1"/>
      <c r="O249" s="1"/>
      <c r="P249" s="1"/>
      <c r="Q249" s="1"/>
    </row>
    <row r="250" spans="2:17" x14ac:dyDescent="0.25">
      <c r="B250" s="57" t="s">
        <v>691</v>
      </c>
      <c r="C250" s="58" t="s">
        <v>692</v>
      </c>
      <c r="D250" s="54" t="s">
        <v>144</v>
      </c>
      <c r="E250" s="28">
        <v>45800</v>
      </c>
      <c r="F250" s="25">
        <f t="shared" ca="1" si="12"/>
        <v>398</v>
      </c>
      <c r="G250" s="56">
        <v>46145</v>
      </c>
      <c r="H250" s="36"/>
      <c r="I250" s="1"/>
      <c r="J250" s="1"/>
      <c r="K250" s="1"/>
      <c r="L250" s="1"/>
      <c r="N250" s="1"/>
      <c r="O250" s="1"/>
      <c r="P250" s="1"/>
      <c r="Q250" s="1"/>
    </row>
    <row r="251" spans="2:17" x14ac:dyDescent="0.25">
      <c r="B251" s="57" t="s">
        <v>693</v>
      </c>
      <c r="C251" s="58" t="s">
        <v>694</v>
      </c>
      <c r="D251" s="54" t="s">
        <v>144</v>
      </c>
      <c r="E251" s="28">
        <v>45800</v>
      </c>
      <c r="F251" s="25">
        <f t="shared" ca="1" si="12"/>
        <v>398</v>
      </c>
      <c r="G251" s="56">
        <v>46145</v>
      </c>
      <c r="H251" s="36"/>
      <c r="I251" s="1"/>
      <c r="J251" s="1"/>
      <c r="K251" s="1"/>
      <c r="L251" s="1"/>
      <c r="N251" s="1"/>
      <c r="O251" s="1"/>
      <c r="P251" s="1"/>
      <c r="Q251" s="1"/>
    </row>
    <row r="252" spans="2:17" x14ac:dyDescent="0.25">
      <c r="B252" s="57" t="s">
        <v>667</v>
      </c>
      <c r="C252" s="58" t="s">
        <v>668</v>
      </c>
      <c r="D252" s="54" t="s">
        <v>144</v>
      </c>
      <c r="E252" s="28">
        <v>45796</v>
      </c>
      <c r="F252" s="25">
        <f t="shared" ca="1" si="12"/>
        <v>402</v>
      </c>
      <c r="G252" s="56">
        <v>46145</v>
      </c>
      <c r="H252" s="36"/>
      <c r="I252" s="1"/>
      <c r="J252" s="1"/>
      <c r="K252" s="1"/>
      <c r="L252" s="1"/>
      <c r="N252" s="1"/>
      <c r="O252" s="1"/>
      <c r="P252" s="1"/>
      <c r="Q252" s="1"/>
    </row>
    <row r="253" spans="2:17" x14ac:dyDescent="0.25">
      <c r="B253" s="57" t="s">
        <v>669</v>
      </c>
      <c r="C253" s="58" t="s">
        <v>670</v>
      </c>
      <c r="D253" s="54" t="s">
        <v>144</v>
      </c>
      <c r="E253" s="28">
        <v>45796</v>
      </c>
      <c r="F253" s="25">
        <f t="shared" ca="1" si="12"/>
        <v>402</v>
      </c>
      <c r="G253" s="56">
        <v>46145</v>
      </c>
      <c r="H253" s="36"/>
      <c r="I253" s="1"/>
      <c r="J253" s="1"/>
      <c r="K253" s="1"/>
      <c r="L253" s="1"/>
      <c r="N253" s="1"/>
      <c r="O253" s="1"/>
      <c r="P253" s="1"/>
      <c r="Q253" s="1"/>
    </row>
    <row r="254" spans="2:17" x14ac:dyDescent="0.25">
      <c r="B254" s="57" t="s">
        <v>659</v>
      </c>
      <c r="C254" s="58" t="s">
        <v>660</v>
      </c>
      <c r="D254" s="54" t="s">
        <v>144</v>
      </c>
      <c r="E254" s="28">
        <v>45792</v>
      </c>
      <c r="F254" s="55">
        <f t="shared" ca="1" si="12"/>
        <v>406</v>
      </c>
      <c r="G254" s="56">
        <v>46145</v>
      </c>
      <c r="H254" s="36"/>
      <c r="I254" s="1"/>
      <c r="J254" s="1"/>
      <c r="K254" s="1"/>
      <c r="L254" s="1"/>
      <c r="N254" s="1"/>
      <c r="O254" s="1"/>
      <c r="P254" s="1"/>
      <c r="Q254" s="1"/>
    </row>
    <row r="255" spans="2:17" x14ac:dyDescent="0.25">
      <c r="B255" s="57" t="s">
        <v>661</v>
      </c>
      <c r="C255" s="58" t="s">
        <v>662</v>
      </c>
      <c r="D255" s="54" t="s">
        <v>144</v>
      </c>
      <c r="E255" s="28">
        <v>45792</v>
      </c>
      <c r="F255" s="55">
        <f t="shared" ca="1" si="12"/>
        <v>406</v>
      </c>
      <c r="G255" s="56">
        <v>46145</v>
      </c>
      <c r="H255" s="36"/>
      <c r="I255" s="1"/>
      <c r="J255" s="1"/>
      <c r="K255" s="1"/>
      <c r="L255" s="1"/>
      <c r="N255" s="1"/>
      <c r="O255" s="1"/>
      <c r="P255" s="1"/>
      <c r="Q255" s="1"/>
    </row>
    <row r="256" spans="2:17" x14ac:dyDescent="0.25">
      <c r="B256" s="57" t="s">
        <v>663</v>
      </c>
      <c r="C256" s="58" t="s">
        <v>664</v>
      </c>
      <c r="D256" s="54" t="s">
        <v>144</v>
      </c>
      <c r="E256" s="28">
        <v>45792</v>
      </c>
      <c r="F256" s="55">
        <f t="shared" ca="1" si="12"/>
        <v>406</v>
      </c>
      <c r="G256" s="56">
        <v>46146</v>
      </c>
      <c r="H256" s="36"/>
      <c r="I256" s="1"/>
      <c r="J256" s="1"/>
      <c r="K256" s="1"/>
      <c r="L256" s="1"/>
      <c r="N256" s="1"/>
      <c r="O256" s="1"/>
      <c r="P256" s="1"/>
      <c r="Q256" s="1"/>
    </row>
    <row r="257" spans="2:17" x14ac:dyDescent="0.25">
      <c r="B257" s="57" t="s">
        <v>665</v>
      </c>
      <c r="C257" s="58" t="s">
        <v>666</v>
      </c>
      <c r="D257" s="54" t="s">
        <v>144</v>
      </c>
      <c r="E257" s="28">
        <v>45792</v>
      </c>
      <c r="F257" s="55">
        <f t="shared" ca="1" si="12"/>
        <v>406</v>
      </c>
      <c r="G257" s="56">
        <v>46146</v>
      </c>
      <c r="H257" s="36"/>
      <c r="I257" s="1"/>
      <c r="J257" s="1"/>
      <c r="K257" s="1"/>
      <c r="L257" s="1"/>
      <c r="N257" s="1"/>
      <c r="O257" s="1"/>
      <c r="P257" s="1"/>
      <c r="Q257" s="1"/>
    </row>
    <row r="258" spans="2:17" x14ac:dyDescent="0.25">
      <c r="B258" s="57" t="s">
        <v>873</v>
      </c>
      <c r="C258" s="58" t="s">
        <v>874</v>
      </c>
      <c r="D258" s="54" t="s">
        <v>144</v>
      </c>
      <c r="E258" s="28">
        <v>45883</v>
      </c>
      <c r="F258" s="25">
        <f t="shared" ca="1" si="12"/>
        <v>315</v>
      </c>
      <c r="G258" s="56">
        <v>46146</v>
      </c>
      <c r="H258" s="36"/>
      <c r="I258" s="1"/>
      <c r="J258" s="1"/>
      <c r="K258" s="1"/>
      <c r="L258" s="1"/>
      <c r="N258" s="1"/>
      <c r="O258" s="1"/>
      <c r="P258" s="1"/>
      <c r="Q258" s="1"/>
    </row>
    <row r="259" spans="2:17" x14ac:dyDescent="0.25">
      <c r="B259" s="61" t="s">
        <v>1145</v>
      </c>
      <c r="C259" s="62" t="s">
        <v>1146</v>
      </c>
      <c r="D259" s="64"/>
      <c r="E259" s="28">
        <v>46143</v>
      </c>
      <c r="F259" s="1">
        <f t="shared" ca="1" si="12"/>
        <v>55</v>
      </c>
      <c r="G259" s="1"/>
      <c r="I259" s="1"/>
      <c r="J259" s="1"/>
      <c r="K259" s="1"/>
      <c r="L259" s="1"/>
      <c r="N259" s="1"/>
      <c r="O259" s="1"/>
      <c r="P259" s="1"/>
      <c r="Q259" s="1"/>
    </row>
    <row r="260" spans="2:17" x14ac:dyDescent="0.25">
      <c r="B260" s="61" t="s">
        <v>1147</v>
      </c>
      <c r="C260" s="62" t="s">
        <v>1148</v>
      </c>
      <c r="D260" s="64"/>
      <c r="E260" s="28">
        <v>46143</v>
      </c>
      <c r="F260" s="1">
        <f t="shared" ca="1" si="12"/>
        <v>55</v>
      </c>
      <c r="G260" s="1"/>
      <c r="I260" s="1"/>
      <c r="J260" s="1"/>
      <c r="K260" s="1"/>
      <c r="L260" s="1"/>
      <c r="N260" s="1"/>
      <c r="O260" s="1"/>
      <c r="P260" s="1"/>
      <c r="Q260" s="1"/>
    </row>
    <row r="261" spans="2:17" x14ac:dyDescent="0.25">
      <c r="B261" s="61" t="s">
        <v>1149</v>
      </c>
      <c r="C261" s="62" t="s">
        <v>1150</v>
      </c>
      <c r="D261" s="64"/>
      <c r="E261" s="28">
        <v>46143</v>
      </c>
      <c r="F261" s="1">
        <f t="shared" ca="1" si="12"/>
        <v>55</v>
      </c>
      <c r="G261" s="1"/>
      <c r="I261" s="1"/>
      <c r="J261" s="1"/>
      <c r="K261" s="1"/>
      <c r="L261" s="1"/>
      <c r="N261" s="1"/>
      <c r="O261" s="1"/>
      <c r="P261" s="1"/>
      <c r="Q261" s="1"/>
    </row>
    <row r="262" spans="2:17" x14ac:dyDescent="0.25">
      <c r="B262" s="61" t="s">
        <v>1151</v>
      </c>
      <c r="C262" s="62" t="s">
        <v>1152</v>
      </c>
      <c r="D262" s="64"/>
      <c r="E262" s="28">
        <v>46143</v>
      </c>
      <c r="F262" s="1">
        <f t="shared" ca="1" si="12"/>
        <v>55</v>
      </c>
      <c r="G262" s="1"/>
      <c r="I262" s="1"/>
      <c r="J262" s="1"/>
      <c r="K262" s="1"/>
      <c r="L262" s="1"/>
      <c r="N262" s="1"/>
      <c r="O262" s="1"/>
      <c r="P262" s="1"/>
      <c r="Q262" s="1"/>
    </row>
    <row r="263" spans="2:17" x14ac:dyDescent="0.25">
      <c r="B263" s="61" t="s">
        <v>1153</v>
      </c>
      <c r="C263" s="62" t="s">
        <v>1154</v>
      </c>
      <c r="D263" s="64"/>
      <c r="E263" s="28">
        <v>46144</v>
      </c>
      <c r="F263" s="1">
        <f t="shared" ca="1" si="12"/>
        <v>54</v>
      </c>
      <c r="G263" s="1"/>
      <c r="I263" s="1"/>
      <c r="J263" s="1"/>
      <c r="K263" s="1"/>
      <c r="L263" s="1"/>
      <c r="N263" s="1"/>
      <c r="O263" s="1"/>
      <c r="P263" s="1"/>
      <c r="Q263" s="1"/>
    </row>
    <row r="264" spans="2:17" x14ac:dyDescent="0.25">
      <c r="B264" s="61" t="s">
        <v>1155</v>
      </c>
      <c r="C264" s="62" t="s">
        <v>1156</v>
      </c>
      <c r="D264" s="64"/>
      <c r="E264" s="28">
        <v>46144</v>
      </c>
      <c r="F264" s="1">
        <f t="shared" ref="F264:F301" ca="1" si="13">$F$2-E264</f>
        <v>54</v>
      </c>
      <c r="G264" s="1"/>
      <c r="I264" s="1"/>
      <c r="J264" s="1"/>
      <c r="K264" s="1"/>
      <c r="L264" s="1"/>
      <c r="N264" s="1"/>
      <c r="O264" s="1"/>
      <c r="P264" s="1"/>
      <c r="Q264" s="1"/>
    </row>
    <row r="265" spans="2:17" x14ac:dyDescent="0.25">
      <c r="B265" s="61" t="s">
        <v>1157</v>
      </c>
      <c r="C265" s="62" t="s">
        <v>1158</v>
      </c>
      <c r="D265" s="64"/>
      <c r="E265" s="28">
        <v>46144</v>
      </c>
      <c r="F265" s="1">
        <f t="shared" ca="1" si="13"/>
        <v>54</v>
      </c>
      <c r="G265" s="1"/>
      <c r="I265" s="1"/>
      <c r="J265" s="1"/>
      <c r="K265" s="1"/>
      <c r="L265" s="1"/>
      <c r="N265" s="1"/>
      <c r="O265" s="1"/>
      <c r="P265" s="1"/>
      <c r="Q265" s="1"/>
    </row>
    <row r="266" spans="2:17" x14ac:dyDescent="0.25">
      <c r="B266" s="61" t="s">
        <v>1159</v>
      </c>
      <c r="C266" s="62" t="s">
        <v>1160</v>
      </c>
      <c r="D266" s="64"/>
      <c r="E266" s="28">
        <v>46144</v>
      </c>
      <c r="F266" s="1">
        <f t="shared" ca="1" si="13"/>
        <v>54</v>
      </c>
      <c r="G266" s="1"/>
      <c r="I266" s="1"/>
      <c r="J266" s="1"/>
      <c r="K266" s="1"/>
      <c r="L266" s="1"/>
      <c r="N266" s="1"/>
      <c r="O266" s="1"/>
      <c r="P266" s="1"/>
      <c r="Q266" s="1"/>
    </row>
    <row r="267" spans="2:17" x14ac:dyDescent="0.25">
      <c r="B267" s="61" t="s">
        <v>1161</v>
      </c>
      <c r="C267" s="62" t="s">
        <v>1162</v>
      </c>
      <c r="D267" s="64"/>
      <c r="E267" s="28">
        <v>46144</v>
      </c>
      <c r="F267" s="1">
        <f t="shared" ca="1" si="13"/>
        <v>54</v>
      </c>
      <c r="G267" s="1"/>
      <c r="I267" s="1"/>
      <c r="J267" s="1"/>
      <c r="K267" s="1"/>
      <c r="L267" s="1"/>
      <c r="N267" s="1"/>
      <c r="O267" s="1"/>
      <c r="P267" s="1"/>
      <c r="Q267" s="1"/>
    </row>
    <row r="268" spans="2:17" x14ac:dyDescent="0.25">
      <c r="B268" s="61" t="s">
        <v>1163</v>
      </c>
      <c r="C268" s="62" t="s">
        <v>1164</v>
      </c>
      <c r="D268" s="64"/>
      <c r="E268" s="28">
        <v>46144</v>
      </c>
      <c r="F268" s="1">
        <f t="shared" ca="1" si="13"/>
        <v>54</v>
      </c>
      <c r="G268" s="1"/>
      <c r="I268" s="1"/>
      <c r="J268" s="1"/>
      <c r="K268" s="1"/>
      <c r="L268" s="1"/>
      <c r="N268" s="1"/>
      <c r="O268" s="1"/>
      <c r="P268" s="1"/>
      <c r="Q268" s="1"/>
    </row>
    <row r="269" spans="2:17" x14ac:dyDescent="0.25">
      <c r="B269" s="63" t="s">
        <v>1165</v>
      </c>
      <c r="C269" s="66" t="s">
        <v>1166</v>
      </c>
      <c r="D269" s="65" t="s">
        <v>136</v>
      </c>
      <c r="E269" s="28">
        <v>46135</v>
      </c>
      <c r="F269" s="1">
        <f t="shared" ca="1" si="13"/>
        <v>63</v>
      </c>
      <c r="G269" s="1"/>
      <c r="I269" s="1"/>
      <c r="J269" s="1"/>
      <c r="K269" s="1"/>
      <c r="L269" s="1"/>
      <c r="N269" s="1"/>
      <c r="O269" s="1"/>
      <c r="P269" s="1"/>
      <c r="Q269" s="1"/>
    </row>
    <row r="270" spans="2:17" x14ac:dyDescent="0.25">
      <c r="B270" s="63" t="s">
        <v>1167</v>
      </c>
      <c r="C270" s="66" t="s">
        <v>1168</v>
      </c>
      <c r="D270" s="50" t="s">
        <v>137</v>
      </c>
      <c r="E270" s="28">
        <v>46130</v>
      </c>
      <c r="F270" s="1">
        <f t="shared" ca="1" si="13"/>
        <v>68</v>
      </c>
      <c r="G270" s="1"/>
      <c r="I270" s="1"/>
      <c r="J270" s="1"/>
      <c r="K270" s="1"/>
      <c r="L270" s="1"/>
      <c r="N270" s="1"/>
      <c r="O270" s="1"/>
      <c r="P270" s="1"/>
      <c r="Q270" s="1"/>
    </row>
    <row r="271" spans="2:17" x14ac:dyDescent="0.25">
      <c r="B271" s="63" t="s">
        <v>1169</v>
      </c>
      <c r="C271" s="66" t="s">
        <v>1170</v>
      </c>
      <c r="D271" s="2" t="s">
        <v>1104</v>
      </c>
      <c r="E271" s="28">
        <v>46130</v>
      </c>
      <c r="F271" s="1">
        <f t="shared" ca="1" si="13"/>
        <v>68</v>
      </c>
      <c r="G271" s="1"/>
      <c r="I271" s="1"/>
      <c r="J271" s="1"/>
      <c r="K271" s="1"/>
      <c r="L271" s="1"/>
      <c r="N271" s="1"/>
      <c r="O271" s="1"/>
      <c r="P271" s="1"/>
      <c r="Q271" s="1"/>
    </row>
    <row r="272" spans="2:17" x14ac:dyDescent="0.25">
      <c r="B272" s="63" t="s">
        <v>1171</v>
      </c>
      <c r="C272" s="66" t="s">
        <v>1172</v>
      </c>
      <c r="D272" s="2" t="s">
        <v>1104</v>
      </c>
      <c r="E272" s="28">
        <v>46130</v>
      </c>
      <c r="F272" s="1">
        <f t="shared" ca="1" si="13"/>
        <v>68</v>
      </c>
      <c r="G272" s="1"/>
      <c r="I272" s="1"/>
      <c r="J272" s="1"/>
      <c r="K272" s="1"/>
      <c r="L272" s="1"/>
      <c r="N272" s="1"/>
      <c r="O272" s="1"/>
      <c r="P272" s="1"/>
      <c r="Q272" s="1"/>
    </row>
    <row r="273" spans="2:17" x14ac:dyDescent="0.25">
      <c r="B273" s="63" t="s">
        <v>1173</v>
      </c>
      <c r="C273" s="66" t="s">
        <v>1174</v>
      </c>
      <c r="D273" s="65" t="s">
        <v>136</v>
      </c>
      <c r="E273" s="28">
        <v>46135</v>
      </c>
      <c r="F273" s="1">
        <f t="shared" ca="1" si="13"/>
        <v>63</v>
      </c>
      <c r="G273" s="1"/>
      <c r="I273" s="1"/>
      <c r="J273" s="1"/>
      <c r="K273" s="1"/>
      <c r="L273" s="1"/>
      <c r="N273" s="1"/>
      <c r="O273" s="1"/>
      <c r="P273" s="1"/>
      <c r="Q273" s="1"/>
    </row>
    <row r="274" spans="2:17" x14ac:dyDescent="0.25">
      <c r="B274" s="63" t="s">
        <v>1175</v>
      </c>
      <c r="C274" s="66" t="s">
        <v>1176</v>
      </c>
      <c r="D274" s="65" t="s">
        <v>136</v>
      </c>
      <c r="E274" s="28">
        <v>46135</v>
      </c>
      <c r="F274" s="1">
        <f t="shared" ca="1" si="13"/>
        <v>63</v>
      </c>
      <c r="G274" s="1"/>
      <c r="I274" s="1"/>
      <c r="J274" s="1"/>
      <c r="K274" s="1"/>
      <c r="L274" s="1"/>
      <c r="N274" s="1"/>
      <c r="O274" s="1"/>
      <c r="P274" s="1"/>
      <c r="Q274" s="1"/>
    </row>
    <row r="275" spans="2:17" x14ac:dyDescent="0.25">
      <c r="B275" s="63" t="s">
        <v>1177</v>
      </c>
      <c r="C275" s="66" t="s">
        <v>1178</v>
      </c>
      <c r="D275" s="65" t="s">
        <v>136</v>
      </c>
      <c r="E275" s="28">
        <v>46135</v>
      </c>
      <c r="F275" s="1">
        <f t="shared" ca="1" si="13"/>
        <v>63</v>
      </c>
      <c r="G275" s="1"/>
      <c r="I275" s="1"/>
      <c r="J275" s="1"/>
      <c r="K275" s="1"/>
      <c r="L275" s="1"/>
      <c r="N275" s="1"/>
      <c r="O275" s="1"/>
      <c r="P275" s="1"/>
      <c r="Q275" s="1"/>
    </row>
    <row r="276" spans="2:17" x14ac:dyDescent="0.25">
      <c r="B276" s="63" t="s">
        <v>1179</v>
      </c>
      <c r="C276" s="66" t="s">
        <v>1180</v>
      </c>
      <c r="D276" s="65" t="s">
        <v>136</v>
      </c>
      <c r="E276" s="28">
        <v>46138</v>
      </c>
      <c r="F276" s="1">
        <f t="shared" ca="1" si="13"/>
        <v>60</v>
      </c>
      <c r="G276" s="1"/>
      <c r="I276" s="1"/>
      <c r="J276" s="1"/>
      <c r="K276" s="1"/>
      <c r="L276" s="1"/>
      <c r="N276" s="1"/>
      <c r="O276" s="1"/>
      <c r="P276" s="1"/>
      <c r="Q276" s="1"/>
    </row>
    <row r="277" spans="2:17" x14ac:dyDescent="0.25">
      <c r="B277" s="63" t="s">
        <v>1181</v>
      </c>
      <c r="C277" s="66" t="s">
        <v>1182</v>
      </c>
      <c r="D277" s="65" t="s">
        <v>136</v>
      </c>
      <c r="E277" s="28">
        <v>46138</v>
      </c>
      <c r="F277" s="1">
        <f t="shared" ca="1" si="13"/>
        <v>60</v>
      </c>
      <c r="G277" s="1"/>
      <c r="I277" s="1"/>
      <c r="J277" s="1"/>
      <c r="K277" s="1"/>
      <c r="L277" s="1"/>
      <c r="N277" s="1"/>
      <c r="O277" s="1"/>
      <c r="P277" s="1"/>
      <c r="Q277" s="1"/>
    </row>
    <row r="278" spans="2:17" x14ac:dyDescent="0.25">
      <c r="B278" s="63" t="s">
        <v>1183</v>
      </c>
      <c r="C278" s="66" t="s">
        <v>1184</v>
      </c>
      <c r="D278" s="65" t="s">
        <v>136</v>
      </c>
      <c r="E278" s="28">
        <v>46138</v>
      </c>
      <c r="F278" s="1">
        <f t="shared" ca="1" si="13"/>
        <v>60</v>
      </c>
      <c r="G278" s="1"/>
      <c r="I278" s="1"/>
      <c r="J278" s="1"/>
      <c r="K278" s="1"/>
      <c r="L278" s="1"/>
      <c r="N278" s="1"/>
      <c r="O278" s="1"/>
      <c r="P278" s="1"/>
      <c r="Q278" s="1"/>
    </row>
    <row r="279" spans="2:17" x14ac:dyDescent="0.25">
      <c r="B279" s="63" t="s">
        <v>1185</v>
      </c>
      <c r="C279" s="66" t="s">
        <v>1186</v>
      </c>
      <c r="D279" s="65" t="s">
        <v>136</v>
      </c>
      <c r="E279" s="28">
        <v>46126</v>
      </c>
      <c r="F279" s="1">
        <f t="shared" ca="1" si="13"/>
        <v>72</v>
      </c>
      <c r="G279" s="1"/>
      <c r="I279" s="1"/>
      <c r="J279" s="1"/>
      <c r="K279" s="1"/>
      <c r="L279" s="1"/>
      <c r="N279" s="1"/>
      <c r="O279" s="1"/>
      <c r="P279" s="1"/>
      <c r="Q279" s="1"/>
    </row>
    <row r="280" spans="2:17" x14ac:dyDescent="0.25">
      <c r="B280" s="63" t="s">
        <v>1187</v>
      </c>
      <c r="C280" s="66" t="s">
        <v>1188</v>
      </c>
      <c r="D280" s="65" t="s">
        <v>136</v>
      </c>
      <c r="E280" s="28">
        <v>46126</v>
      </c>
      <c r="F280" s="1">
        <f t="shared" ca="1" si="13"/>
        <v>72</v>
      </c>
      <c r="G280" s="1"/>
      <c r="I280" s="1"/>
      <c r="J280" s="1"/>
      <c r="K280" s="1"/>
      <c r="L280" s="1"/>
      <c r="N280" s="1"/>
      <c r="O280" s="1"/>
      <c r="P280" s="1"/>
      <c r="Q280" s="1"/>
    </row>
    <row r="281" spans="2:17" x14ac:dyDescent="0.25">
      <c r="B281" s="63" t="s">
        <v>1189</v>
      </c>
      <c r="C281" s="66" t="s">
        <v>1190</v>
      </c>
      <c r="D281" s="65" t="s">
        <v>136</v>
      </c>
      <c r="E281" s="28">
        <v>46126</v>
      </c>
      <c r="F281" s="1">
        <f t="shared" ca="1" si="13"/>
        <v>72</v>
      </c>
      <c r="G281" s="1"/>
      <c r="I281" s="1"/>
      <c r="J281" s="1"/>
      <c r="K281" s="1"/>
      <c r="L281" s="1"/>
      <c r="N281" s="1"/>
      <c r="O281" s="1"/>
      <c r="P281" s="1"/>
      <c r="Q281" s="1"/>
    </row>
    <row r="282" spans="2:17" x14ac:dyDescent="0.25">
      <c r="B282" s="52" t="s">
        <v>1191</v>
      </c>
      <c r="C282" s="53" t="s">
        <v>1192</v>
      </c>
      <c r="D282" s="50" t="s">
        <v>137</v>
      </c>
      <c r="E282" s="28">
        <v>46063</v>
      </c>
      <c r="F282" s="1">
        <f t="shared" ca="1" si="13"/>
        <v>135</v>
      </c>
      <c r="G282" s="1"/>
      <c r="I282" s="1"/>
      <c r="J282" s="1"/>
      <c r="K282" s="1"/>
      <c r="L282" s="1"/>
      <c r="N282" s="1"/>
      <c r="O282" s="1"/>
      <c r="P282" s="1"/>
      <c r="Q282" s="1"/>
    </row>
    <row r="283" spans="2:17" x14ac:dyDescent="0.25">
      <c r="B283" s="52" t="s">
        <v>1193</v>
      </c>
      <c r="C283" s="53" t="s">
        <v>1194</v>
      </c>
      <c r="D283" s="50" t="s">
        <v>137</v>
      </c>
      <c r="E283" s="28">
        <v>46063</v>
      </c>
      <c r="F283" s="1">
        <f t="shared" ca="1" si="13"/>
        <v>135</v>
      </c>
      <c r="G283" s="1"/>
      <c r="I283" s="1"/>
      <c r="J283" s="1"/>
      <c r="K283" s="1"/>
      <c r="L283" s="1"/>
      <c r="N283" s="1"/>
      <c r="O283" s="1"/>
      <c r="P283" s="1"/>
      <c r="Q283" s="1"/>
    </row>
    <row r="284" spans="2:17" x14ac:dyDescent="0.25">
      <c r="B284" s="52" t="s">
        <v>1195</v>
      </c>
      <c r="C284" s="53" t="s">
        <v>1196</v>
      </c>
      <c r="D284" s="50" t="s">
        <v>137</v>
      </c>
      <c r="E284" s="28">
        <v>46061</v>
      </c>
      <c r="F284" s="1">
        <f t="shared" ca="1" si="13"/>
        <v>137</v>
      </c>
      <c r="G284" s="1"/>
      <c r="I284" s="1"/>
      <c r="J284" s="1"/>
      <c r="K284" s="1"/>
      <c r="L284" s="1"/>
      <c r="N284" s="1"/>
      <c r="O284" s="1"/>
      <c r="P284" s="1"/>
      <c r="Q284" s="1"/>
    </row>
    <row r="285" spans="2:17" x14ac:dyDescent="0.25">
      <c r="B285" s="52" t="s">
        <v>1197</v>
      </c>
      <c r="C285" s="53" t="s">
        <v>1198</v>
      </c>
      <c r="D285" s="50" t="s">
        <v>137</v>
      </c>
      <c r="E285" s="28">
        <v>46061</v>
      </c>
      <c r="F285" s="1">
        <f t="shared" ca="1" si="13"/>
        <v>137</v>
      </c>
      <c r="G285" s="1"/>
      <c r="I285" s="1"/>
      <c r="J285" s="1"/>
      <c r="K285" s="1"/>
      <c r="L285" s="1"/>
      <c r="N285" s="1"/>
      <c r="O285" s="1"/>
      <c r="P285" s="1"/>
      <c r="Q285" s="1"/>
    </row>
    <row r="286" spans="2:17" x14ac:dyDescent="0.25">
      <c r="B286" s="52" t="s">
        <v>1199</v>
      </c>
      <c r="C286" s="53" t="s">
        <v>1200</v>
      </c>
      <c r="D286" s="50" t="s">
        <v>137</v>
      </c>
      <c r="E286" s="28">
        <v>46061</v>
      </c>
      <c r="F286" s="1">
        <f t="shared" ca="1" si="13"/>
        <v>137</v>
      </c>
      <c r="G286" s="1"/>
      <c r="I286" s="1"/>
      <c r="J286" s="1"/>
      <c r="K286" s="1"/>
      <c r="L286" s="1"/>
      <c r="N286" s="1"/>
      <c r="O286" s="1"/>
      <c r="P286" s="1"/>
      <c r="Q286" s="1"/>
    </row>
    <row r="287" spans="2:17" x14ac:dyDescent="0.25">
      <c r="B287" s="52" t="s">
        <v>1201</v>
      </c>
      <c r="C287" s="53" t="s">
        <v>1202</v>
      </c>
      <c r="D287" s="50" t="s">
        <v>137</v>
      </c>
      <c r="E287" s="28">
        <v>46061</v>
      </c>
      <c r="F287" s="1">
        <f t="shared" ca="1" si="13"/>
        <v>137</v>
      </c>
      <c r="G287" s="1"/>
      <c r="I287" s="1"/>
      <c r="J287" s="1"/>
      <c r="K287" s="1"/>
      <c r="L287" s="1"/>
      <c r="N287" s="1"/>
      <c r="O287" s="1"/>
      <c r="P287" s="1"/>
      <c r="Q287" s="1"/>
    </row>
    <row r="288" spans="2:17" x14ac:dyDescent="0.25">
      <c r="B288" s="52" t="s">
        <v>1203</v>
      </c>
      <c r="C288" s="53" t="s">
        <v>1204</v>
      </c>
      <c r="D288" s="2" t="s">
        <v>1104</v>
      </c>
      <c r="E288" s="28">
        <v>46058</v>
      </c>
      <c r="F288" s="1">
        <f t="shared" ca="1" si="13"/>
        <v>140</v>
      </c>
      <c r="G288" s="1"/>
      <c r="I288" s="1"/>
      <c r="J288" s="1"/>
      <c r="K288" s="1"/>
      <c r="L288" s="1"/>
      <c r="N288" s="1"/>
      <c r="O288" s="1"/>
      <c r="P288" s="1"/>
      <c r="Q288" s="1"/>
    </row>
    <row r="289" spans="2:17" x14ac:dyDescent="0.25">
      <c r="B289" s="52" t="s">
        <v>1205</v>
      </c>
      <c r="C289" s="53" t="s">
        <v>1206</v>
      </c>
      <c r="D289" s="2" t="s">
        <v>1104</v>
      </c>
      <c r="E289" s="28">
        <v>46058</v>
      </c>
      <c r="F289" s="1">
        <f t="shared" ca="1" si="13"/>
        <v>140</v>
      </c>
      <c r="G289" s="1"/>
      <c r="I289" s="1"/>
      <c r="J289" s="1"/>
      <c r="K289" s="1"/>
      <c r="L289" s="1"/>
      <c r="N289" s="1"/>
      <c r="O289" s="1"/>
      <c r="P289" s="1"/>
      <c r="Q289" s="1"/>
    </row>
    <row r="290" spans="2:17" x14ac:dyDescent="0.25">
      <c r="B290" s="52" t="s">
        <v>1207</v>
      </c>
      <c r="C290" s="53" t="s">
        <v>1208</v>
      </c>
      <c r="D290" s="2" t="s">
        <v>1104</v>
      </c>
      <c r="E290" s="28">
        <v>46058</v>
      </c>
      <c r="F290" s="1">
        <f t="shared" ca="1" si="13"/>
        <v>140</v>
      </c>
      <c r="G290" s="1"/>
      <c r="I290" s="56">
        <v>46178</v>
      </c>
      <c r="J290" s="1"/>
      <c r="K290" s="1">
        <v>3.1</v>
      </c>
      <c r="L290" s="68">
        <f>I290+21</f>
        <v>46199</v>
      </c>
      <c r="N290" s="1"/>
      <c r="O290" s="1"/>
      <c r="P290" s="1"/>
      <c r="Q290" s="1"/>
    </row>
    <row r="291" spans="2:17" x14ac:dyDescent="0.25">
      <c r="B291" s="52" t="s">
        <v>641</v>
      </c>
      <c r="C291" s="53" t="s">
        <v>642</v>
      </c>
      <c r="D291" s="54" t="s">
        <v>144</v>
      </c>
      <c r="E291" s="28"/>
      <c r="F291" s="55">
        <f t="shared" ca="1" si="13"/>
        <v>46198</v>
      </c>
      <c r="G291" s="56"/>
      <c r="H291" s="36"/>
      <c r="I291" s="1"/>
      <c r="J291" s="1"/>
      <c r="K291" s="1"/>
      <c r="L291" s="1"/>
      <c r="N291" s="1"/>
      <c r="O291" s="1"/>
      <c r="P291" s="1"/>
      <c r="Q291" s="1"/>
    </row>
    <row r="292" spans="2:17" x14ac:dyDescent="0.25">
      <c r="B292" s="52" t="s">
        <v>643</v>
      </c>
      <c r="C292" s="53" t="s">
        <v>644</v>
      </c>
      <c r="D292" s="54" t="s">
        <v>144</v>
      </c>
      <c r="E292" s="28"/>
      <c r="F292" s="55">
        <f t="shared" ca="1" si="13"/>
        <v>46198</v>
      </c>
      <c r="G292" s="56"/>
      <c r="H292" s="36"/>
      <c r="I292" s="1"/>
      <c r="J292" s="1"/>
      <c r="K292" s="1"/>
      <c r="L292" s="1"/>
      <c r="N292" s="1"/>
      <c r="O292" s="1"/>
      <c r="P292" s="1"/>
      <c r="Q292" s="1"/>
    </row>
    <row r="293" spans="2:17" x14ac:dyDescent="0.25">
      <c r="B293" s="52" t="s">
        <v>645</v>
      </c>
      <c r="C293" s="53" t="s">
        <v>646</v>
      </c>
      <c r="D293" s="54" t="s">
        <v>144</v>
      </c>
      <c r="E293" s="28"/>
      <c r="F293" s="55">
        <f t="shared" ca="1" si="13"/>
        <v>46198</v>
      </c>
      <c r="G293" s="56"/>
      <c r="H293" s="36"/>
      <c r="I293" s="1"/>
      <c r="J293" s="1"/>
      <c r="K293" s="1"/>
      <c r="L293" s="1"/>
      <c r="N293" s="1"/>
      <c r="O293" s="1"/>
      <c r="P293" s="1"/>
      <c r="Q293" s="1"/>
    </row>
    <row r="294" spans="2:17" x14ac:dyDescent="0.25">
      <c r="B294" s="52" t="s">
        <v>647</v>
      </c>
      <c r="C294" s="53" t="s">
        <v>648</v>
      </c>
      <c r="D294" s="54" t="s">
        <v>144</v>
      </c>
      <c r="E294" s="28"/>
      <c r="F294" s="55">
        <f t="shared" ca="1" si="13"/>
        <v>46198</v>
      </c>
      <c r="G294" s="56"/>
      <c r="H294" s="36"/>
      <c r="I294" s="1"/>
      <c r="J294" s="1"/>
      <c r="K294" s="1"/>
      <c r="L294" s="1"/>
      <c r="N294" s="1"/>
      <c r="O294" s="1"/>
      <c r="P294" s="1"/>
      <c r="Q294" s="1"/>
    </row>
    <row r="295" spans="2:17" x14ac:dyDescent="0.25">
      <c r="B295" s="52" t="s">
        <v>649</v>
      </c>
      <c r="C295" s="53" t="s">
        <v>650</v>
      </c>
      <c r="D295" s="54" t="s">
        <v>144</v>
      </c>
      <c r="E295" s="28"/>
      <c r="F295" s="55">
        <f t="shared" ca="1" si="13"/>
        <v>46198</v>
      </c>
      <c r="G295" s="56"/>
      <c r="H295" s="36"/>
      <c r="I295" s="1"/>
      <c r="J295" s="1"/>
      <c r="K295" s="1"/>
      <c r="L295" s="1"/>
      <c r="N295" s="1"/>
      <c r="O295" s="1"/>
      <c r="P295" s="1"/>
      <c r="Q295" s="1"/>
    </row>
    <row r="296" spans="2:17" x14ac:dyDescent="0.25">
      <c r="B296" s="52" t="s">
        <v>651</v>
      </c>
      <c r="C296" s="53" t="s">
        <v>652</v>
      </c>
      <c r="D296" s="54" t="s">
        <v>144</v>
      </c>
      <c r="E296" s="28"/>
      <c r="F296" s="55">
        <f t="shared" ca="1" si="13"/>
        <v>46198</v>
      </c>
      <c r="G296" s="56"/>
      <c r="H296" s="36"/>
      <c r="I296" s="1"/>
      <c r="J296" s="1"/>
      <c r="K296" s="1"/>
      <c r="L296" s="1"/>
      <c r="N296" s="1"/>
      <c r="O296" s="1"/>
      <c r="P296" s="1"/>
      <c r="Q296" s="1"/>
    </row>
    <row r="297" spans="2:17" x14ac:dyDescent="0.25">
      <c r="B297" s="52" t="s">
        <v>653</v>
      </c>
      <c r="C297" s="53" t="s">
        <v>654</v>
      </c>
      <c r="D297" s="54" t="s">
        <v>144</v>
      </c>
      <c r="E297" s="28"/>
      <c r="F297" s="55">
        <f t="shared" ca="1" si="13"/>
        <v>46198</v>
      </c>
      <c r="G297" s="56"/>
      <c r="H297" s="36"/>
      <c r="I297" s="1"/>
      <c r="J297" s="1"/>
      <c r="K297" s="1"/>
      <c r="L297" s="1"/>
      <c r="N297" s="1"/>
      <c r="O297" s="1"/>
      <c r="P297" s="1"/>
      <c r="Q297" s="1"/>
    </row>
    <row r="298" spans="2:17" x14ac:dyDescent="0.25">
      <c r="B298" s="52" t="s">
        <v>655</v>
      </c>
      <c r="C298" s="53" t="s">
        <v>656</v>
      </c>
      <c r="D298" s="54" t="s">
        <v>144</v>
      </c>
      <c r="E298" s="28"/>
      <c r="F298" s="55">
        <f t="shared" ca="1" si="13"/>
        <v>46198</v>
      </c>
      <c r="G298" s="56"/>
      <c r="H298" s="36"/>
      <c r="I298" s="1"/>
      <c r="J298" s="1"/>
      <c r="K298" s="1"/>
      <c r="L298" s="1"/>
      <c r="N298" s="1"/>
      <c r="O298" s="1"/>
      <c r="P298" s="1"/>
      <c r="Q298" s="1"/>
    </row>
    <row r="299" spans="2:17" x14ac:dyDescent="0.25">
      <c r="B299" s="52" t="s">
        <v>657</v>
      </c>
      <c r="C299" s="53" t="s">
        <v>658</v>
      </c>
      <c r="D299" s="54" t="s">
        <v>144</v>
      </c>
      <c r="E299" s="28"/>
      <c r="F299" s="55">
        <f t="shared" ca="1" si="13"/>
        <v>46198</v>
      </c>
      <c r="G299" s="56"/>
      <c r="H299" s="36"/>
      <c r="I299" s="1"/>
      <c r="J299" s="1"/>
      <c r="K299" s="1"/>
      <c r="L299" s="1"/>
      <c r="N299" s="1"/>
      <c r="O299" s="1"/>
      <c r="P299" s="1"/>
      <c r="Q299" s="1"/>
    </row>
    <row r="300" spans="2:17" x14ac:dyDescent="0.25">
      <c r="B300" s="52" t="s">
        <v>1227</v>
      </c>
      <c r="C300" s="53" t="s">
        <v>1228</v>
      </c>
      <c r="D300" s="2" t="s">
        <v>1104</v>
      </c>
      <c r="E300" s="28">
        <v>46065</v>
      </c>
      <c r="F300" s="1">
        <f t="shared" ca="1" si="13"/>
        <v>133</v>
      </c>
      <c r="G300" s="1"/>
      <c r="I300" s="1"/>
      <c r="J300" s="1"/>
      <c r="K300" s="1"/>
      <c r="L300" s="1"/>
      <c r="N300" s="1"/>
      <c r="O300" s="1"/>
      <c r="P300" s="1"/>
      <c r="Q300" s="1"/>
    </row>
    <row r="301" spans="2:17" x14ac:dyDescent="0.25">
      <c r="B301" s="52" t="s">
        <v>1229</v>
      </c>
      <c r="C301" s="53" t="s">
        <v>1230</v>
      </c>
      <c r="D301" s="2" t="s">
        <v>1104</v>
      </c>
      <c r="E301" s="28">
        <v>46065</v>
      </c>
      <c r="F301" s="1">
        <f t="shared" ca="1" si="13"/>
        <v>133</v>
      </c>
      <c r="G301" s="1"/>
      <c r="I301" s="1"/>
      <c r="J301" s="1"/>
      <c r="K301" s="1"/>
      <c r="L301" s="1"/>
      <c r="N301" s="1"/>
      <c r="O301" s="1"/>
      <c r="P301" s="1"/>
      <c r="Q301" s="1"/>
    </row>
  </sheetData>
  <sortState xmlns:xlrd2="http://schemas.microsoft.com/office/spreadsheetml/2017/richdata2" ref="B8:G301">
    <sortCondition ref="B6:B301"/>
  </sortState>
  <mergeCells count="3">
    <mergeCell ref="B2:E2"/>
    <mergeCell ref="I3:L3"/>
    <mergeCell ref="N3:Q3"/>
  </mergeCells>
  <conditionalFormatting sqref="D6:D301">
    <cfRule type="containsBlanks" dxfId="69" priority="2">
      <formula>LEN(TRIM(D6))=0</formula>
    </cfRule>
  </conditionalFormatting>
  <conditionalFormatting sqref="E292:E293">
    <cfRule type="containsBlanks" dxfId="68" priority="1">
      <formula>LEN(TRIM(E292))=0</formula>
    </cfRule>
  </conditionalFormatting>
  <pageMargins left="0.7" right="0.7" top="0.75" bottom="0.75" header="0.3" footer="0.3"/>
  <pageSetup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Plan Maps. AUG</vt:lpstr>
      <vt:lpstr>dash</vt:lpstr>
      <vt:lpstr>Basil</vt:lpstr>
      <vt:lpstr>'Plan Maps. AUG'!Print_Area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2026-06-25T16:05:17Z</dcterms:modified>
</cp:coreProperties>
</file>