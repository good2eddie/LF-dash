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AAB9857E-FC5D-4D7A-8927-F897DE6ABE9C}" xr6:coauthVersionLast="47" xr6:coauthVersionMax="47" xr10:uidLastSave="{00000000-0000-0000-0000-000000000000}"/>
  <bookViews>
    <workbookView xWindow="-120" yWindow="-120" windowWidth="29040" windowHeight="15720" firstSheet="1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dash!$A$2:$N$429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9" i="3" l="1"/>
  <c r="G429" i="3"/>
  <c r="F429" i="3"/>
  <c r="E429" i="3"/>
  <c r="D429" i="3"/>
  <c r="C429" i="3"/>
  <c r="H428" i="3"/>
  <c r="G428" i="3"/>
  <c r="F428" i="3"/>
  <c r="E428" i="3"/>
  <c r="D428" i="3"/>
  <c r="C428" i="3"/>
  <c r="H427" i="3"/>
  <c r="G427" i="3"/>
  <c r="F427" i="3"/>
  <c r="E427" i="3"/>
  <c r="D427" i="3"/>
  <c r="C427" i="3"/>
  <c r="H426" i="3"/>
  <c r="G426" i="3"/>
  <c r="F426" i="3"/>
  <c r="E426" i="3"/>
  <c r="D426" i="3"/>
  <c r="C426" i="3"/>
  <c r="H425" i="3"/>
  <c r="G425" i="3"/>
  <c r="F425" i="3"/>
  <c r="E425" i="3"/>
  <c r="D425" i="3"/>
  <c r="C425" i="3"/>
  <c r="H424" i="3"/>
  <c r="G424" i="3"/>
  <c r="F424" i="3"/>
  <c r="E424" i="3"/>
  <c r="D424" i="3"/>
  <c r="C424" i="3"/>
  <c r="H423" i="3"/>
  <c r="G423" i="3"/>
  <c r="F423" i="3"/>
  <c r="E423" i="3"/>
  <c r="D423" i="3"/>
  <c r="C423" i="3"/>
  <c r="M260" i="3"/>
  <c r="M259" i="3"/>
  <c r="M258" i="3"/>
  <c r="M257" i="3"/>
  <c r="J260" i="3"/>
  <c r="J259" i="3"/>
  <c r="J258" i="3"/>
  <c r="J257" i="3"/>
  <c r="M256" i="3"/>
  <c r="M255" i="3"/>
  <c r="J256" i="3"/>
  <c r="J255" i="3"/>
  <c r="M249" i="3"/>
  <c r="M248" i="3"/>
  <c r="J249" i="3"/>
  <c r="J248" i="3"/>
  <c r="H422" i="3"/>
  <c r="G422" i="3"/>
  <c r="F422" i="3"/>
  <c r="E422" i="3"/>
  <c r="D422" i="3"/>
  <c r="C422" i="3"/>
  <c r="H421" i="3"/>
  <c r="G421" i="3"/>
  <c r="F421" i="3"/>
  <c r="E421" i="3"/>
  <c r="D421" i="3"/>
  <c r="C421" i="3"/>
  <c r="H420" i="3"/>
  <c r="G420" i="3"/>
  <c r="F420" i="3"/>
  <c r="E420" i="3"/>
  <c r="D420" i="3"/>
  <c r="C420" i="3"/>
  <c r="H419" i="3"/>
  <c r="G419" i="3"/>
  <c r="F419" i="3"/>
  <c r="E419" i="3"/>
  <c r="D419" i="3"/>
  <c r="C419" i="3"/>
  <c r="H418" i="3"/>
  <c r="G418" i="3"/>
  <c r="F418" i="3"/>
  <c r="E418" i="3"/>
  <c r="D418" i="3"/>
  <c r="C418" i="3"/>
  <c r="H417" i="3"/>
  <c r="G417" i="3"/>
  <c r="F417" i="3"/>
  <c r="E417" i="3"/>
  <c r="D417" i="3"/>
  <c r="C417" i="3"/>
  <c r="H416" i="3"/>
  <c r="G416" i="3"/>
  <c r="F416" i="3"/>
  <c r="E416" i="3"/>
  <c r="D416" i="3"/>
  <c r="C416" i="3"/>
  <c r="M251" i="3" l="1"/>
  <c r="M250" i="3"/>
  <c r="J251" i="3"/>
  <c r="J250" i="3"/>
  <c r="M247" i="3"/>
  <c r="M246" i="3"/>
  <c r="M238" i="3"/>
  <c r="J247" i="3"/>
  <c r="J246" i="3"/>
  <c r="J238" i="3"/>
  <c r="J240" i="3"/>
  <c r="M240" i="3"/>
  <c r="J237" i="3"/>
  <c r="M237" i="3"/>
  <c r="M239" i="3"/>
  <c r="J239" i="3"/>
  <c r="M236" i="3"/>
  <c r="J236" i="3"/>
  <c r="H415" i="3"/>
  <c r="G415" i="3"/>
  <c r="F415" i="3"/>
  <c r="E415" i="3"/>
  <c r="D415" i="3"/>
  <c r="C415" i="3"/>
  <c r="H414" i="3"/>
  <c r="G414" i="3"/>
  <c r="F414" i="3"/>
  <c r="E414" i="3"/>
  <c r="D414" i="3"/>
  <c r="C414" i="3"/>
  <c r="H413" i="3"/>
  <c r="G413" i="3"/>
  <c r="F413" i="3"/>
  <c r="E413" i="3"/>
  <c r="D413" i="3"/>
  <c r="C413" i="3"/>
  <c r="H412" i="3"/>
  <c r="G412" i="3"/>
  <c r="F412" i="3"/>
  <c r="E412" i="3"/>
  <c r="D412" i="3"/>
  <c r="C412" i="3"/>
  <c r="H411" i="3"/>
  <c r="G411" i="3"/>
  <c r="F411" i="3"/>
  <c r="E411" i="3"/>
  <c r="D411" i="3"/>
  <c r="C411" i="3"/>
  <c r="H410" i="3"/>
  <c r="G410" i="3"/>
  <c r="F410" i="3"/>
  <c r="E410" i="3"/>
  <c r="D410" i="3"/>
  <c r="C410" i="3"/>
  <c r="H409" i="3"/>
  <c r="G409" i="3"/>
  <c r="F409" i="3"/>
  <c r="E409" i="3"/>
  <c r="D409" i="3"/>
  <c r="C409" i="3"/>
  <c r="M254" i="3"/>
  <c r="M253" i="3"/>
  <c r="M252" i="3"/>
  <c r="M245" i="3"/>
  <c r="M244" i="3"/>
  <c r="M243" i="3"/>
  <c r="M242" i="3"/>
  <c r="M241" i="3"/>
  <c r="M235" i="3"/>
  <c r="M234" i="3"/>
  <c r="M233" i="3"/>
  <c r="M232" i="3"/>
  <c r="M231" i="3"/>
  <c r="J254" i="3"/>
  <c r="J253" i="3"/>
  <c r="J252" i="3"/>
  <c r="J245" i="3"/>
  <c r="J244" i="3"/>
  <c r="J243" i="3"/>
  <c r="J242" i="3"/>
  <c r="J241" i="3"/>
  <c r="J235" i="3"/>
  <c r="J234" i="3"/>
  <c r="J233" i="3"/>
  <c r="J232" i="3"/>
  <c r="J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H408" i="3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<sst xmlns="http://schemas.openxmlformats.org/spreadsheetml/2006/main" count="6440" uniqueCount="1145">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</sst>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29"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7">
        <f ca="1">TODAY()</f>
        <v>46022</v>
      </c>
      <c r="C1" s="87"/>
      <c r="D1" s="87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35</v>
      </c>
      <c r="R6" s="25">
        <f t="shared" ca="1" si="1"/>
        <v>35</v>
      </c>
      <c r="S6" s="25">
        <f t="shared" ca="1" si="1"/>
        <v>35</v>
      </c>
      <c r="T6" s="25">
        <f t="shared" ca="1" si="1"/>
        <v>35</v>
      </c>
      <c r="U6" s="25">
        <f t="shared" ca="1" si="1"/>
        <v>36</v>
      </c>
      <c r="V6" s="25">
        <f ca="1">IF(V7="","",$B$1-V7)</f>
        <v>36</v>
      </c>
      <c r="W6" s="25">
        <f ca="1">IF(W7="","",$B$1-W7)</f>
        <v>36</v>
      </c>
      <c r="X6" s="25">
        <f ca="1">IF(X7="","",$B$1-X7)</f>
        <v>36</v>
      </c>
      <c r="Y6" s="55"/>
    </row>
    <row r="7" spans="1:25" ht="38.25" customHeight="1" x14ac:dyDescent="0.25">
      <c r="B7" s="88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9"/>
      <c r="Y8" s="55"/>
    </row>
    <row r="9" spans="1:25" x14ac:dyDescent="0.25">
      <c r="B9" s="89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0"/>
      <c r="C10" s="31">
        <f t="shared" ref="C10:H10" ca="1" si="2">IF(C11="","",$B$1-C11)</f>
        <v>40</v>
      </c>
      <c r="D10" s="25">
        <f t="shared" ca="1" si="2"/>
        <v>40</v>
      </c>
      <c r="E10" s="25">
        <f t="shared" ca="1" si="2"/>
        <v>40</v>
      </c>
      <c r="F10" s="25">
        <f t="shared" ca="1" si="2"/>
        <v>40</v>
      </c>
      <c r="G10" s="25">
        <f t="shared" ca="1" si="2"/>
        <v>40</v>
      </c>
      <c r="H10" s="25">
        <f t="shared" ca="1" si="2"/>
        <v>40</v>
      </c>
      <c r="J10" s="25">
        <f t="shared" ref="J10:P10" ca="1" si="3">IF(J11="","",$B$1-J11)</f>
        <v>40</v>
      </c>
      <c r="K10" s="25">
        <f t="shared" ca="1" si="3"/>
        <v>38</v>
      </c>
      <c r="L10" s="25">
        <f t="shared" ca="1" si="3"/>
        <v>38</v>
      </c>
      <c r="M10" s="25">
        <f t="shared" ca="1" si="3"/>
        <v>38</v>
      </c>
      <c r="N10" s="25">
        <f t="shared" ca="1" si="3"/>
        <v>38</v>
      </c>
      <c r="O10" s="25">
        <f t="shared" ca="1" si="3"/>
        <v>38</v>
      </c>
      <c r="P10" s="25">
        <f t="shared" ca="1" si="3"/>
        <v>38</v>
      </c>
      <c r="R10" s="25">
        <f t="shared" ref="R10:W10" ca="1" si="4">IF(R11="","",$B$1-R11)</f>
        <v>38</v>
      </c>
      <c r="S10" s="25">
        <f t="shared" ca="1" si="4"/>
        <v>37</v>
      </c>
      <c r="T10" s="25">
        <f t="shared" ca="1" si="4"/>
        <v>37</v>
      </c>
      <c r="U10" s="25">
        <f t="shared" ca="1" si="4"/>
        <v>36</v>
      </c>
      <c r="V10" s="25">
        <f t="shared" ca="1" si="4"/>
        <v>36</v>
      </c>
      <c r="W10" s="25">
        <f t="shared" ca="1" si="4"/>
        <v>36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41</v>
      </c>
      <c r="D14" s="25">
        <f t="shared" ca="1" si="5"/>
        <v>41</v>
      </c>
      <c r="E14" s="25">
        <f t="shared" ca="1" si="5"/>
        <v>41</v>
      </c>
      <c r="F14" s="25">
        <f t="shared" ca="1" si="5"/>
        <v>41</v>
      </c>
      <c r="G14" s="25">
        <f t="shared" ca="1" si="5"/>
        <v>41</v>
      </c>
      <c r="H14" s="25">
        <f t="shared" ca="1" si="5"/>
        <v>41</v>
      </c>
      <c r="J14" s="25">
        <f t="shared" ref="J14:P14" ca="1" si="6">IF(J15="","",$B$1-J15)</f>
        <v>41</v>
      </c>
      <c r="K14" s="25">
        <f t="shared" ca="1" si="6"/>
        <v>39</v>
      </c>
      <c r="L14" s="25">
        <f t="shared" ca="1" si="6"/>
        <v>39</v>
      </c>
      <c r="M14" s="25">
        <f t="shared" ca="1" si="6"/>
        <v>39</v>
      </c>
      <c r="N14" s="25">
        <f t="shared" ca="1" si="6"/>
        <v>39</v>
      </c>
      <c r="O14" s="25">
        <f t="shared" ca="1" si="6"/>
        <v>39</v>
      </c>
      <c r="P14" s="25">
        <f t="shared" ca="1" si="6"/>
        <v>39</v>
      </c>
      <c r="R14" s="25">
        <f t="shared" ref="R14:W14" ca="1" si="7">IF(R15="","",$B$1-R15)</f>
        <v>39</v>
      </c>
      <c r="S14" s="25">
        <f t="shared" ca="1" si="7"/>
        <v>37</v>
      </c>
      <c r="T14" s="25">
        <f t="shared" ca="1" si="7"/>
        <v>37</v>
      </c>
      <c r="U14" s="25">
        <f t="shared" ca="1" si="7"/>
        <v>37</v>
      </c>
      <c r="V14" s="25">
        <f t="shared" ca="1" si="7"/>
        <v>37</v>
      </c>
      <c r="W14" s="25">
        <f t="shared" ca="1" si="7"/>
        <v>37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54</v>
      </c>
      <c r="K20" s="25">
        <f ca="1">IF(K21="","",$B$1-K21)</f>
        <v>54</v>
      </c>
      <c r="X20" s="25"/>
      <c r="AF20" s="25"/>
      <c r="AG20" s="25"/>
      <c r="AH20" s="25">
        <f ca="1">IF(AH21="","",$B$1-AH21)</f>
        <v>54</v>
      </c>
      <c r="AI20" s="25">
        <f ca="1">IF(AI21="","",$B$1-AI21)</f>
        <v>54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57</v>
      </c>
      <c r="G24" s="25">
        <f t="shared" ca="1" si="8"/>
        <v>57</v>
      </c>
      <c r="H24" s="25">
        <f t="shared" ca="1" si="8"/>
        <v>57</v>
      </c>
      <c r="J24" s="25">
        <f ca="1">IF(J25="","",$B$1-J25)</f>
        <v>57</v>
      </c>
      <c r="K24" s="25">
        <f t="shared" ref="K24:AI24" ca="1" si="9">IF(K25="","",$B$1-K25)</f>
        <v>30</v>
      </c>
      <c r="L24" s="25">
        <f t="shared" ca="1" si="9"/>
        <v>30</v>
      </c>
      <c r="M24" s="25">
        <f t="shared" ca="1" si="9"/>
        <v>30</v>
      </c>
      <c r="N24" s="25">
        <f t="shared" ca="1" si="9"/>
        <v>31</v>
      </c>
      <c r="O24" s="25">
        <f t="shared" ca="1" si="9"/>
        <v>31</v>
      </c>
      <c r="P24" s="25">
        <f t="shared" ca="1" si="9"/>
        <v>31</v>
      </c>
      <c r="R24" s="25">
        <f t="shared" ca="1" si="9"/>
        <v>31</v>
      </c>
      <c r="S24" s="25">
        <f t="shared" ca="1" si="9"/>
        <v>28</v>
      </c>
      <c r="T24" s="25">
        <f t="shared" ca="1" si="9"/>
        <v>28</v>
      </c>
      <c r="U24" s="25">
        <f t="shared" ca="1" si="9"/>
        <v>28</v>
      </c>
      <c r="V24" s="25">
        <f t="shared" ca="1" si="9"/>
        <v>28</v>
      </c>
      <c r="W24" s="25">
        <f t="shared" ca="1" si="9"/>
        <v>28</v>
      </c>
      <c r="X24" s="25">
        <f t="shared" ca="1" si="9"/>
        <v>28</v>
      </c>
      <c r="Z24" s="25">
        <f t="shared" ca="1" si="9"/>
        <v>58</v>
      </c>
      <c r="AA24" s="25">
        <f t="shared" ca="1" si="9"/>
        <v>55</v>
      </c>
      <c r="AB24" s="25">
        <f t="shared" ca="1" si="9"/>
        <v>55</v>
      </c>
      <c r="AC24" s="25">
        <f t="shared" ca="1" si="9"/>
        <v>55</v>
      </c>
      <c r="AD24" s="25">
        <f t="shared" ca="1" si="9"/>
        <v>55</v>
      </c>
      <c r="AE24" s="25">
        <f t="shared" ca="1" si="9"/>
        <v>55</v>
      </c>
      <c r="AF24" s="25">
        <f t="shared" ca="1" si="9"/>
        <v>55</v>
      </c>
      <c r="AG24" s="25">
        <f t="shared" ca="1" si="9"/>
        <v>55</v>
      </c>
      <c r="AH24" s="25">
        <f t="shared" ca="1" si="9"/>
        <v>54</v>
      </c>
      <c r="AI24" s="25">
        <f t="shared" ca="1" si="9"/>
        <v>54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42</v>
      </c>
      <c r="D28" s="25">
        <f t="shared" ca="1" si="10"/>
        <v>42</v>
      </c>
      <c r="E28" s="25">
        <f t="shared" ca="1" si="10"/>
        <v>42</v>
      </c>
      <c r="F28" s="25">
        <f t="shared" ca="1" si="10"/>
        <v>42</v>
      </c>
      <c r="G28" s="25">
        <f t="shared" ca="1" si="10"/>
        <v>42</v>
      </c>
      <c r="H28" s="25">
        <f t="shared" ca="1" si="10"/>
        <v>42</v>
      </c>
      <c r="J28" s="25">
        <f ca="1">IF(J29="","",$B$1-J29)</f>
        <v>42</v>
      </c>
      <c r="K28" s="25">
        <f t="shared" ref="K28:P28" ca="1" si="11">IF(K29="","",$B$1-K29)</f>
        <v>35</v>
      </c>
      <c r="L28" s="25">
        <f t="shared" ca="1" si="11"/>
        <v>35</v>
      </c>
      <c r="M28" s="25">
        <f t="shared" ca="1" si="11"/>
        <v>35</v>
      </c>
      <c r="N28" s="25">
        <f t="shared" ca="1" si="11"/>
        <v>35</v>
      </c>
      <c r="O28" s="25">
        <f t="shared" ca="1" si="11"/>
        <v>34</v>
      </c>
      <c r="P28" s="25">
        <f t="shared" ca="1" si="11"/>
        <v>34</v>
      </c>
      <c r="R28" s="25">
        <f t="shared" ref="R28:X28" ca="1" si="12">IF(R29="","",$B$1-R29)</f>
        <v>34</v>
      </c>
      <c r="S28" s="25">
        <f ca="1">IF(S29="","",$B$1-S29)</f>
        <v>30</v>
      </c>
      <c r="T28" s="25">
        <f ca="1">IF(T29="","",$B$1-T29)</f>
        <v>30</v>
      </c>
      <c r="U28" s="25">
        <f ca="1">IF(U29="","",$B$1-U29)</f>
        <v>30</v>
      </c>
      <c r="V28" s="25">
        <f ca="1">IF(V29="","",$B$1-V29)</f>
        <v>30</v>
      </c>
      <c r="W28" s="25">
        <f t="shared" ca="1" si="12"/>
        <v>28</v>
      </c>
      <c r="X28" s="25">
        <f t="shared" ca="1" si="12"/>
        <v>28</v>
      </c>
      <c r="Z28" s="25">
        <f t="shared" ref="Z28:AI28" ca="1" si="13">IF(Z29="","",$B$1-Z29)</f>
        <v>28</v>
      </c>
      <c r="AA28" s="25">
        <f t="shared" ca="1" si="13"/>
        <v>56</v>
      </c>
      <c r="AB28" s="25">
        <f t="shared" ca="1" si="13"/>
        <v>56</v>
      </c>
      <c r="AC28" s="25">
        <f t="shared" ca="1" si="13"/>
        <v>56</v>
      </c>
      <c r="AD28" s="25">
        <f t="shared" ca="1" si="13"/>
        <v>56</v>
      </c>
      <c r="AE28" s="25">
        <f t="shared" ca="1" si="13"/>
        <v>56</v>
      </c>
      <c r="AF28" s="25">
        <f t="shared" ca="1" si="13"/>
        <v>56</v>
      </c>
      <c r="AG28" s="25">
        <f t="shared" ca="1" si="13"/>
        <v>56</v>
      </c>
      <c r="AH28" s="25">
        <f t="shared" ca="1" si="13"/>
        <v>54</v>
      </c>
      <c r="AI28" s="25">
        <f t="shared" ca="1" si="13"/>
        <v>54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1" t="s">
        <v>184</v>
      </c>
      <c r="I30" s="92"/>
      <c r="J30" s="93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7">
        <v>45978</v>
      </c>
      <c r="C36" s="87"/>
      <c r="D36" s="87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50</v>
      </c>
      <c r="D41" s="25">
        <f t="shared" ca="1" si="14"/>
        <v>50</v>
      </c>
      <c r="E41" s="25">
        <f t="shared" ca="1" si="14"/>
        <v>50</v>
      </c>
      <c r="F41" s="25">
        <f t="shared" ca="1" si="14"/>
        <v>50</v>
      </c>
      <c r="G41" s="25">
        <f t="shared" ca="1" si="14"/>
        <v>49</v>
      </c>
      <c r="H41" s="25">
        <f t="shared" ca="1" si="14"/>
        <v>49</v>
      </c>
      <c r="J41" s="25">
        <f t="shared" ca="1" si="14"/>
        <v>49</v>
      </c>
      <c r="K41" s="25">
        <f t="shared" ca="1" si="14"/>
        <v>49</v>
      </c>
      <c r="L41" s="25">
        <f t="shared" ca="1" si="14"/>
        <v>49</v>
      </c>
      <c r="M41" s="25">
        <f t="shared" ca="1" si="14"/>
        <v>49</v>
      </c>
      <c r="N41" s="25">
        <f t="shared" ca="1" si="14"/>
        <v>49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52</v>
      </c>
      <c r="D45" s="25">
        <f ca="1">IF(D46="","",$B$1-D46)</f>
        <v>52</v>
      </c>
      <c r="E45" s="25">
        <f ca="1">IF(E46="","",$B$1-E46)</f>
        <v>51</v>
      </c>
      <c r="F45" s="25">
        <f ca="1">IF(F46="","",$B$1-F46)</f>
        <v>51</v>
      </c>
      <c r="H45" s="25">
        <f ca="1">IF(H46="","",$B$1-H46)</f>
        <v>51</v>
      </c>
      <c r="J45" s="25">
        <f t="shared" ref="J45:P45" ca="1" si="15">IF(J46="","",$B$1-J46)</f>
        <v>51</v>
      </c>
      <c r="K45" s="25">
        <f t="shared" ca="1" si="15"/>
        <v>51</v>
      </c>
      <c r="L45" s="25">
        <f t="shared" ca="1" si="15"/>
        <v>51</v>
      </c>
      <c r="M45" s="25">
        <f t="shared" ca="1" si="15"/>
        <v>51</v>
      </c>
      <c r="N45" s="25">
        <f t="shared" ca="1" si="15"/>
        <v>50</v>
      </c>
      <c r="O45" s="25">
        <f t="shared" ca="1" si="15"/>
        <v>50</v>
      </c>
      <c r="P45" s="25">
        <f t="shared" ca="1" si="15"/>
        <v>50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53</v>
      </c>
      <c r="D49" s="25">
        <f ca="1">IF(D50="","",$B$1-D50)</f>
        <v>53</v>
      </c>
      <c r="E49" s="25">
        <f ca="1">IF(E50="","",$B$1-E50)</f>
        <v>53</v>
      </c>
      <c r="F49" s="25">
        <f ca="1">IF(F50="","",$B$1-F50)</f>
        <v>53</v>
      </c>
      <c r="H49" s="25">
        <f ca="1">IF(H50="","",$B$1-H50)</f>
        <v>53</v>
      </c>
      <c r="J49" s="25">
        <f t="shared" ref="J49:P49" ca="1" si="16">IF(J50="","",$B$1-J50)</f>
        <v>53</v>
      </c>
      <c r="K49" s="25">
        <f t="shared" ca="1" si="16"/>
        <v>53</v>
      </c>
      <c r="L49" s="25">
        <f t="shared" ca="1" si="16"/>
        <v>52</v>
      </c>
      <c r="M49" s="25">
        <f t="shared" ca="1" si="16"/>
        <v>52</v>
      </c>
      <c r="N49" s="25">
        <f t="shared" ca="1" si="16"/>
        <v>52</v>
      </c>
      <c r="O49" s="25">
        <f t="shared" ca="1" si="16"/>
        <v>52</v>
      </c>
      <c r="P49" s="25">
        <f t="shared" ca="1" si="16"/>
        <v>52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1" t="s">
        <v>184</v>
      </c>
      <c r="G51" s="92"/>
      <c r="H51" s="93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45</v>
      </c>
      <c r="D58" s="25">
        <f t="shared" ca="1" si="17"/>
        <v>45</v>
      </c>
      <c r="E58" s="25">
        <f t="shared" ca="1" si="17"/>
        <v>45</v>
      </c>
      <c r="F58" s="25">
        <f t="shared" ca="1" si="17"/>
        <v>45</v>
      </c>
      <c r="G58" s="25">
        <f t="shared" ca="1" si="17"/>
        <v>45</v>
      </c>
      <c r="H58" s="25">
        <f t="shared" ca="1" si="17"/>
        <v>45</v>
      </c>
      <c r="J58" s="25">
        <f t="shared" ref="J58:P58" ca="1" si="18">IF(J59="","",$B$1-J59)</f>
        <v>45</v>
      </c>
      <c r="K58" s="25">
        <f t="shared" ca="1" si="18"/>
        <v>44</v>
      </c>
      <c r="L58" s="25">
        <f t="shared" ca="1" si="18"/>
        <v>44</v>
      </c>
      <c r="M58" s="25">
        <f t="shared" ca="1" si="18"/>
        <v>44</v>
      </c>
      <c r="N58" s="25">
        <f t="shared" ca="1" si="18"/>
        <v>44</v>
      </c>
      <c r="O58" s="25">
        <f t="shared" ca="1" si="18"/>
        <v>44</v>
      </c>
      <c r="P58" s="25">
        <f t="shared" ca="1" si="18"/>
        <v>44</v>
      </c>
      <c r="R58" s="25">
        <f t="shared" ref="R58:X58" ca="1" si="19">IF(R59="","",$B$1-R59)</f>
        <v>44</v>
      </c>
      <c r="S58" s="25">
        <f t="shared" ca="1" si="19"/>
        <v>43</v>
      </c>
      <c r="T58" s="25">
        <f t="shared" ca="1" si="19"/>
        <v>43</v>
      </c>
      <c r="U58" s="25">
        <f t="shared" ca="1" si="19"/>
        <v>43</v>
      </c>
      <c r="V58" s="25">
        <f t="shared" ca="1" si="19"/>
        <v>43</v>
      </c>
      <c r="W58" s="25">
        <f t="shared" ca="1" si="19"/>
        <v>43</v>
      </c>
      <c r="X58" s="25">
        <f t="shared" ca="1" si="19"/>
        <v>43</v>
      </c>
      <c r="Z58" s="25">
        <f ca="1">IF(Z59="","",$B$1-Z59)</f>
        <v>43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8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9"/>
      <c r="AC60" s="55"/>
    </row>
    <row r="61" spans="1:29" x14ac:dyDescent="0.25">
      <c r="B61" s="89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0"/>
      <c r="C62" s="25" t="str">
        <f t="shared" ref="C62:H62" si="20">IF(C63="","",$B$1-C63)</f>
        <v/>
      </c>
      <c r="D62" s="25">
        <f t="shared" ca="1" si="20"/>
        <v>46</v>
      </c>
      <c r="E62" s="25">
        <f t="shared" ca="1" si="20"/>
        <v>46</v>
      </c>
      <c r="F62" s="25">
        <f t="shared" ca="1" si="20"/>
        <v>46</v>
      </c>
      <c r="G62" s="25">
        <f t="shared" ca="1" si="20"/>
        <v>46</v>
      </c>
      <c r="H62" s="25">
        <f t="shared" ca="1" si="20"/>
        <v>46</v>
      </c>
      <c r="J62" s="25">
        <f t="shared" ref="J62:P62" ca="1" si="21">IF(J63="","",$B$1-J63)</f>
        <v>46</v>
      </c>
      <c r="K62" s="25">
        <f t="shared" ca="1" si="21"/>
        <v>46</v>
      </c>
      <c r="L62" s="25">
        <f t="shared" ca="1" si="21"/>
        <v>46</v>
      </c>
      <c r="M62" s="25">
        <f t="shared" ca="1" si="21"/>
        <v>47</v>
      </c>
      <c r="N62" s="25">
        <f t="shared" ca="1" si="21"/>
        <v>47</v>
      </c>
      <c r="O62" s="25">
        <f t="shared" ca="1" si="21"/>
        <v>47</v>
      </c>
      <c r="P62" s="25">
        <f t="shared" ca="1" si="21"/>
        <v>47</v>
      </c>
      <c r="R62" s="25">
        <f t="shared" ref="R62:X62" ca="1" si="22">IF(R63="","",$B$1-R63)</f>
        <v>47</v>
      </c>
      <c r="S62" s="25">
        <f t="shared" ca="1" si="22"/>
        <v>47</v>
      </c>
      <c r="T62" s="25">
        <f t="shared" ca="1" si="22"/>
        <v>47</v>
      </c>
      <c r="U62" s="25">
        <f t="shared" ca="1" si="22"/>
        <v>48</v>
      </c>
      <c r="V62" s="25">
        <f t="shared" ca="1" si="22"/>
        <v>48</v>
      </c>
      <c r="W62" s="25">
        <f t="shared" ca="1" si="22"/>
        <v>48</v>
      </c>
      <c r="X62" s="25">
        <f t="shared" ca="1" si="22"/>
        <v>48</v>
      </c>
      <c r="Z62" s="25">
        <f ca="1">IF(Z63="","",$B$1-Z63)</f>
        <v>48</v>
      </c>
      <c r="AA62" s="25">
        <f ca="1">IF(AA63="","",$B$1-AA63)</f>
        <v>48</v>
      </c>
      <c r="AB62" s="25">
        <f ca="1">IF(AB63="","",$B$1-AB63)</f>
        <v>48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31</v>
      </c>
      <c r="D71" s="25">
        <f t="shared" ca="1" si="23"/>
        <v>31</v>
      </c>
      <c r="E71" s="25">
        <f t="shared" ca="1" si="23"/>
        <v>31</v>
      </c>
      <c r="F71" s="25">
        <f t="shared" ca="1" si="23"/>
        <v>32</v>
      </c>
      <c r="G71" s="25">
        <f t="shared" ca="1" si="23"/>
        <v>32</v>
      </c>
      <c r="H71" s="25">
        <f t="shared" ca="1" si="23"/>
        <v>32</v>
      </c>
      <c r="J71" s="25">
        <f ca="1">IF(J72="","",$B$1-J72)</f>
        <v>32</v>
      </c>
      <c r="K71" s="25">
        <f t="shared" ref="K71:P71" ca="1" si="24">IF(K72="","",$B$1-K72)</f>
        <v>32</v>
      </c>
      <c r="L71" s="25">
        <f t="shared" ca="1" si="24"/>
        <v>32</v>
      </c>
      <c r="M71" s="25">
        <f t="shared" ca="1" si="24"/>
        <v>32</v>
      </c>
      <c r="N71" s="25">
        <f t="shared" ca="1" si="24"/>
        <v>33</v>
      </c>
      <c r="O71" s="25">
        <f t="shared" ca="1" si="24"/>
        <v>33</v>
      </c>
      <c r="P71" s="25">
        <f t="shared" ca="1" si="24"/>
        <v>33</v>
      </c>
      <c r="R71" s="25">
        <f t="shared" ref="R71:X71" ca="1" si="25">IF(R72="","",$B$1-R72)</f>
        <v>33</v>
      </c>
      <c r="S71" s="25">
        <f t="shared" ca="1" si="25"/>
        <v>33</v>
      </c>
      <c r="T71" s="25">
        <f t="shared" ca="1" si="25"/>
        <v>33</v>
      </c>
      <c r="U71" s="25">
        <f t="shared" ca="1" si="25"/>
        <v>33</v>
      </c>
      <c r="V71" s="25">
        <f t="shared" ca="1" si="25"/>
        <v>34</v>
      </c>
      <c r="W71" s="25">
        <f t="shared" ca="1" si="25"/>
        <v>34</v>
      </c>
      <c r="X71" s="25">
        <f t="shared" ca="1" si="25"/>
        <v>34</v>
      </c>
      <c r="Z71" s="25">
        <f ca="1">IF(Z72="","",$B$1-Z72)</f>
        <v>34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4" t="s">
        <v>196</v>
      </c>
    </row>
    <row r="73" spans="1:28" x14ac:dyDescent="0.25">
      <c r="B73" s="54"/>
      <c r="AB73" s="85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5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6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28" priority="123">
      <formula>LEN(TRIM(C72))=0</formula>
    </cfRule>
    <cfRule type="notContainsBlanks" dxfId="1227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26" priority="89">
      <formula>LEN(TRIM(C42))=0</formula>
    </cfRule>
    <cfRule type="notContainsBlanks" dxfId="1225" priority="90">
      <formula>LEN(TRIM(C42))&gt;0</formula>
    </cfRule>
    <cfRule type="containsBlanks" dxfId="1224" priority="91">
      <formula>LEN(TRIM(C42))=0</formula>
    </cfRule>
    <cfRule type="notContainsBlanks" dxfId="1223" priority="92">
      <formula>LEN(TRIM(C42))&gt;0</formula>
    </cfRule>
  </conditionalFormatting>
  <conditionalFormatting sqref="C46:F46">
    <cfRule type="containsBlanks" dxfId="1222" priority="103">
      <formula>LEN(TRIM(C46))=0</formula>
    </cfRule>
    <cfRule type="notContainsBlanks" dxfId="1221" priority="104">
      <formula>LEN(TRIM(C46))&gt;0</formula>
    </cfRule>
  </conditionalFormatting>
  <conditionalFormatting sqref="C50:F50">
    <cfRule type="containsBlanks" dxfId="1220" priority="243">
      <formula>LEN(TRIM(C50))=0</formula>
    </cfRule>
    <cfRule type="notContainsBlanks" dxfId="1219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218" priority="190">
      <formula>LEN(TRIM(C7))=0</formula>
    </cfRule>
    <cfRule type="notContainsBlanks" dxfId="1217" priority="191">
      <formula>LEN(TRIM(C7))&gt;0</formula>
    </cfRule>
  </conditionalFormatting>
  <conditionalFormatting sqref="C11:H11">
    <cfRule type="containsBlanks" dxfId="1216" priority="236">
      <formula>LEN(TRIM(C11))=0</formula>
    </cfRule>
    <cfRule type="notContainsBlanks" dxfId="1215" priority="237">
      <formula>LEN(TRIM(C11))&gt;0</formula>
    </cfRule>
  </conditionalFormatting>
  <conditionalFormatting sqref="C15:H15">
    <cfRule type="containsBlanks" dxfId="1214" priority="55">
      <formula>LEN(TRIM(C15))=0</formula>
    </cfRule>
    <cfRule type="notContainsBlanks" dxfId="1213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12" priority="151">
      <formula>LEN(TRIM(C25))=0</formula>
    </cfRule>
    <cfRule type="notContainsBlanks" dxfId="1211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210" priority="57">
      <formula>LEN(TRIM(C29))=0</formula>
    </cfRule>
    <cfRule type="notContainsBlanks" dxfId="1209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208" priority="93">
      <formula>LEN(TRIM(C42))=0</formula>
    </cfRule>
    <cfRule type="notContainsBlanks" dxfId="1207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06" priority="157">
      <formula>LEN(TRIM(C59))=0</formula>
    </cfRule>
    <cfRule type="notContainsBlanks" dxfId="1205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204" priority="73">
      <formula>LEN(TRIM(C63))=0</formula>
    </cfRule>
    <cfRule type="notContainsBlanks" dxfId="1203" priority="74">
      <formula>LEN(TRIM(C63))&gt;0</formula>
    </cfRule>
  </conditionalFormatting>
  <conditionalFormatting sqref="C72:H72">
    <cfRule type="containsBlanks" dxfId="1202" priority="9">
      <formula>LEN(TRIM(C72))=0</formula>
    </cfRule>
    <cfRule type="notContainsBlanks" dxfId="1201" priority="10">
      <formula>LEN(TRIM(C72))&gt;0</formula>
    </cfRule>
  </conditionalFormatting>
  <conditionalFormatting sqref="C76:H76">
    <cfRule type="containsBlanks" dxfId="1200" priority="188">
      <formula>LEN(TRIM(C76))=0</formula>
    </cfRule>
    <cfRule type="notContainsBlanks" dxfId="1199" priority="189">
      <formula>LEN(TRIM(C76))&gt;0</formula>
    </cfRule>
  </conditionalFormatting>
  <conditionalFormatting sqref="D63:H63">
    <cfRule type="containsBlanks" dxfId="1198" priority="71">
      <formula>LEN(TRIM(D63))=0</formula>
    </cfRule>
    <cfRule type="notContainsBlanks" dxfId="1197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96" priority="222">
      <formula>LEN(TRIM(E46))=0</formula>
    </cfRule>
    <cfRule type="notContainsBlanks" dxfId="1195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194" priority="7">
      <formula>LEN(TRIM(F72))=0</formula>
    </cfRule>
    <cfRule type="notContainsBlanks" dxfId="1193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192" priority="176">
      <formula>LEN(TRIM(G42))=0</formula>
    </cfRule>
    <cfRule type="notContainsBlanks" dxfId="1191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190" priority="99">
      <formula>LEN(TRIM(H46))=0</formula>
    </cfRule>
    <cfRule type="notContainsBlanks" dxfId="1189" priority="100">
      <formula>LEN(TRIM(H46))&gt;0</formula>
    </cfRule>
    <cfRule type="containsBlanks" dxfId="1188" priority="101">
      <formula>LEN(TRIM(H46))=0</formula>
    </cfRule>
    <cfRule type="notContainsBlanks" dxfId="1187" priority="102">
      <formula>LEN(TRIM(H46))&gt;0</formula>
    </cfRule>
  </conditionalFormatting>
  <conditionalFormatting sqref="H50">
    <cfRule type="containsBlanks" dxfId="1186" priority="107">
      <formula>LEN(TRIM(H50))=0</formula>
    </cfRule>
    <cfRule type="notContainsBlanks" dxfId="1185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84" priority="214">
      <formula>LEN(TRIM(J72))=0</formula>
    </cfRule>
    <cfRule type="notContainsBlanks" dxfId="1183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82" priority="109">
      <formula>LEN(TRIM(J21))=0</formula>
    </cfRule>
    <cfRule type="notContainsBlanks" dxfId="1181" priority="110">
      <formula>LEN(TRIM(J21))&gt;0</formula>
    </cfRule>
  </conditionalFormatting>
  <conditionalFormatting sqref="J63:L63">
    <cfRule type="containsBlanks" dxfId="1180" priority="155">
      <formula>LEN(TRIM(J63))=0</formula>
    </cfRule>
    <cfRule type="notContainsBlanks" dxfId="1179" priority="156">
      <formula>LEN(TRIM(J63))&gt;0</formula>
    </cfRule>
  </conditionalFormatting>
  <conditionalFormatting sqref="J46:M46">
    <cfRule type="containsBlanks" dxfId="1178" priority="95">
      <formula>LEN(TRIM(J46))=0</formula>
    </cfRule>
    <cfRule type="notContainsBlanks" dxfId="1177" priority="96">
      <formula>LEN(TRIM(J46))&gt;0</formula>
    </cfRule>
  </conditionalFormatting>
  <conditionalFormatting sqref="J72:M72">
    <cfRule type="containsBlanks" dxfId="1176" priority="127">
      <formula>LEN(TRIM(J72))=0</formula>
    </cfRule>
    <cfRule type="notContainsBlanks" dxfId="1175" priority="128">
      <formula>LEN(TRIM(J72))&gt;0</formula>
    </cfRule>
  </conditionalFormatting>
  <conditionalFormatting sqref="J42:N42">
    <cfRule type="containsBlanks" dxfId="1174" priority="85">
      <formula>LEN(TRIM(J42))=0</formula>
    </cfRule>
    <cfRule type="notContainsBlanks" dxfId="1173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72" priority="149">
      <formula>LEN(TRIM(J7))=0</formula>
    </cfRule>
    <cfRule type="notContainsBlanks" dxfId="1171" priority="150">
      <formula>LEN(TRIM(J7))&gt;0</formula>
    </cfRule>
  </conditionalFormatting>
  <conditionalFormatting sqref="J11:P11">
    <cfRule type="containsBlanks" dxfId="1170" priority="51">
      <formula>LEN(TRIM(J11))=0</formula>
    </cfRule>
    <cfRule type="notContainsBlanks" dxfId="1169" priority="52">
      <formula>LEN(TRIM(J11))&gt;0</formula>
    </cfRule>
  </conditionalFormatting>
  <conditionalFormatting sqref="J15:P15">
    <cfRule type="containsBlanks" dxfId="1168" priority="53">
      <formula>LEN(TRIM(J15))=0</formula>
    </cfRule>
    <cfRule type="notContainsBlanks" dxfId="1167" priority="54">
      <formula>LEN(TRIM(J15))&gt;0</formula>
    </cfRule>
  </conditionalFormatting>
  <conditionalFormatting sqref="J25:P25">
    <cfRule type="containsBlanks" dxfId="1166" priority="5">
      <formula>LEN(TRIM(J25))=0</formula>
    </cfRule>
    <cfRule type="notContainsBlanks" dxfId="1165" priority="6">
      <formula>LEN(TRIM(J25))&gt;0</formula>
    </cfRule>
  </conditionalFormatting>
  <conditionalFormatting sqref="J29:P29">
    <cfRule type="containsBlanks" dxfId="1164" priority="15">
      <formula>LEN(TRIM(J29))=0</formula>
    </cfRule>
    <cfRule type="notContainsBlanks" dxfId="1163" priority="16">
      <formula>LEN(TRIM(J29))&gt;0</formula>
    </cfRule>
  </conditionalFormatting>
  <conditionalFormatting sqref="J42:P42">
    <cfRule type="containsBlanks" dxfId="1162" priority="87">
      <formula>LEN(TRIM(J42))=0</formula>
    </cfRule>
    <cfRule type="notContainsBlanks" dxfId="1161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60" priority="97">
      <formula>LEN(TRIM(J46))=0</formula>
    </cfRule>
    <cfRule type="notContainsBlanks" dxfId="1159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158" priority="105">
      <formula>LEN(TRIM(J50))=0</formula>
    </cfRule>
    <cfRule type="notContainsBlanks" dxfId="1157" priority="106">
      <formula>LEN(TRIM(J50))&gt;0</formula>
    </cfRule>
  </conditionalFormatting>
  <conditionalFormatting sqref="J59:P59">
    <cfRule type="containsBlanks" dxfId="1156" priority="69">
      <formula>LEN(TRIM(J59))=0</formula>
    </cfRule>
    <cfRule type="notContainsBlanks" dxfId="1155" priority="70">
      <formula>LEN(TRIM(J59))&gt;0</formula>
    </cfRule>
  </conditionalFormatting>
  <conditionalFormatting sqref="J63:P63">
    <cfRule type="containsBlanks" dxfId="1154" priority="77">
      <formula>LEN(TRIM(J63))=0</formula>
    </cfRule>
    <cfRule type="notContainsBlanks" dxfId="1153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152" priority="11">
      <formula>LEN(TRIM(J72))=0</formula>
    </cfRule>
    <cfRule type="notContainsBlanks" dxfId="1151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150" priority="186">
      <formula>LEN(TRIM(J76))=0</formula>
    </cfRule>
    <cfRule type="notContainsBlanks" dxfId="1149" priority="187">
      <formula>LEN(TRIM(J76))&gt;0</formula>
    </cfRule>
  </conditionalFormatting>
  <conditionalFormatting sqref="K11:P11">
    <cfRule type="containsBlanks" dxfId="1148" priority="153">
      <formula>LEN(TRIM(K11))=0</formula>
    </cfRule>
    <cfRule type="notContainsBlanks" dxfId="1147" priority="154">
      <formula>LEN(TRIM(K11))&gt;0</formula>
    </cfRule>
  </conditionalFormatting>
  <conditionalFormatting sqref="K59:P59">
    <cfRule type="containsBlanks" dxfId="1146" priority="159">
      <formula>LEN(TRIM(K59))=0</formula>
    </cfRule>
    <cfRule type="notContainsBlanks" dxfId="1145" priority="160">
      <formula>LEN(TRIM(K59))&gt;0</formula>
    </cfRule>
    <cfRule type="containsBlanks" dxfId="1144" priority="161">
      <formula>LEN(TRIM(K59))=0</formula>
    </cfRule>
    <cfRule type="notContainsBlanks" dxfId="1143" priority="162">
      <formula>LEN(TRIM(K59))&gt;0</formula>
    </cfRule>
  </conditionalFormatting>
  <conditionalFormatting sqref="L76:P76">
    <cfRule type="containsBlanks" dxfId="1142" priority="199">
      <formula>LEN(TRIM(L76))=0</formula>
    </cfRule>
    <cfRule type="notContainsBlanks" dxfId="1141" priority="200">
      <formula>LEN(TRIM(L76))&gt;0</formula>
    </cfRule>
  </conditionalFormatting>
  <conditionalFormatting sqref="M50:P50">
    <cfRule type="containsBlanks" dxfId="1140" priority="226">
      <formula>LEN(TRIM(M50))=0</formula>
    </cfRule>
    <cfRule type="notContainsBlanks" dxfId="1139" priority="227">
      <formula>LEN(TRIM(M50))&gt;0</formula>
    </cfRule>
  </conditionalFormatting>
  <conditionalFormatting sqref="M63:P63">
    <cfRule type="containsBlanks" dxfId="1138" priority="75">
      <formula>LEN(TRIM(M63))=0</formula>
    </cfRule>
    <cfRule type="notContainsBlanks" dxfId="1137" priority="76">
      <formula>LEN(TRIM(M63))&gt;0</formula>
    </cfRule>
  </conditionalFormatting>
  <conditionalFormatting sqref="N46:P46">
    <cfRule type="containsBlanks" dxfId="1136" priority="178">
      <formula>LEN(TRIM(N46))=0</formula>
    </cfRule>
    <cfRule type="notContainsBlanks" dxfId="1135" priority="179">
      <formula>LEN(TRIM(N46))&gt;0</formula>
    </cfRule>
    <cfRule type="containsBlanks" dxfId="1134" priority="220">
      <formula>LEN(TRIM(N46))=0</formula>
    </cfRule>
    <cfRule type="notContainsBlanks" dxfId="1133" priority="221">
      <formula>LEN(TRIM(N46))&gt;0</formula>
    </cfRule>
  </conditionalFormatting>
  <conditionalFormatting sqref="O46:P46">
    <cfRule type="containsBlanks" dxfId="1132" priority="224">
      <formula>LEN(TRIM(O46))=0</formula>
    </cfRule>
    <cfRule type="notContainsBlanks" dxfId="1131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130" priority="145">
      <formula>LEN(TRIM(P7))=0</formula>
    </cfRule>
    <cfRule type="notContainsBlanks" dxfId="1129" priority="146">
      <formula>LEN(TRIM(P7))&gt;0</formula>
    </cfRule>
    <cfRule type="containsBlanks" dxfId="1128" priority="147">
      <formula>LEN(TRIM(P7))=0</formula>
    </cfRule>
    <cfRule type="notContainsBlanks" dxfId="1127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26" priority="48">
      <formula>LEN(TRIM(R11))&gt;0</formula>
    </cfRule>
  </conditionalFormatting>
  <conditionalFormatting sqref="R15">
    <cfRule type="containsBlanks" dxfId="1125" priority="49">
      <formula>LEN(TRIM(R15))=0</formula>
    </cfRule>
    <cfRule type="notContainsBlanks" dxfId="1124" priority="50">
      <formula>LEN(TRIM(R15))&gt;0</formula>
    </cfRule>
  </conditionalFormatting>
  <conditionalFormatting sqref="R59">
    <cfRule type="containsBlanks" dxfId="1123" priority="63">
      <formula>LEN(TRIM(R59))=0</formula>
    </cfRule>
    <cfRule type="notContainsBlanks" dxfId="1122" priority="64">
      <formula>LEN(TRIM(R59))&gt;0</formula>
    </cfRule>
    <cfRule type="containsBlanks" dxfId="1121" priority="65">
      <formula>LEN(TRIM(R59))=0</formula>
    </cfRule>
    <cfRule type="notContainsBlanks" dxfId="1120" priority="66">
      <formula>LEN(TRIM(R59))&gt;0</formula>
    </cfRule>
  </conditionalFormatting>
  <conditionalFormatting sqref="R72">
    <cfRule type="containsBlanks" dxfId="1119" priority="212">
      <formula>LEN(TRIM(R72))=0</formula>
    </cfRule>
    <cfRule type="notContainsBlanks" dxfId="1118" priority="213">
      <formula>LEN(TRIM(R72))&gt;0</formula>
    </cfRule>
  </conditionalFormatting>
  <conditionalFormatting sqref="R63:S63">
    <cfRule type="containsBlanks" dxfId="1117" priority="166">
      <formula>LEN(TRIM(R63))=0</formula>
    </cfRule>
    <cfRule type="notContainsBlanks" dxfId="1116" priority="167">
      <formula>LEN(TRIM(R63))&gt;0</formula>
    </cfRule>
  </conditionalFormatting>
  <conditionalFormatting sqref="R76:S76">
    <cfRule type="containsBlanks" dxfId="1115" priority="182">
      <formula>LEN(TRIM(R76))=0</formula>
    </cfRule>
    <cfRule type="notContainsBlanks" dxfId="1114" priority="183">
      <formula>LEN(TRIM(R76))&gt;0</formula>
    </cfRule>
  </conditionalFormatting>
  <conditionalFormatting sqref="R7:T7">
    <cfRule type="containsBlanks" dxfId="1113" priority="17">
      <formula>LEN(TRIM(R7))=0</formula>
    </cfRule>
    <cfRule type="notContainsBlanks" dxfId="1112" priority="18">
      <formula>LEN(TRIM(R7))&gt;0</formula>
    </cfRule>
    <cfRule type="containsBlanks" dxfId="1111" priority="19">
      <formula>LEN(TRIM(R7))=0</formula>
    </cfRule>
    <cfRule type="notContainsBlanks" dxfId="1110" priority="20">
      <formula>LEN(TRIM(R7))&gt;0</formula>
    </cfRule>
  </conditionalFormatting>
  <conditionalFormatting sqref="R11:T11">
    <cfRule type="containsBlanks" dxfId="1109" priority="41">
      <formula>LEN(TRIM(R11))=0</formula>
    </cfRule>
    <cfRule type="notContainsBlanks" dxfId="1108" priority="42">
      <formula>LEN(TRIM(R11))&gt;0</formula>
    </cfRule>
  </conditionalFormatting>
  <conditionalFormatting sqref="R63:T63">
    <cfRule type="containsBlanks" dxfId="1107" priority="168">
      <formula>LEN(TRIM(R63))=0</formula>
    </cfRule>
    <cfRule type="notContainsBlanks" dxfId="1106" priority="169">
      <formula>LEN(TRIM(R63))&gt;0</formula>
    </cfRule>
    <cfRule type="containsBlanks" dxfId="1105" priority="174">
      <formula>LEN(TRIM(R63))=0</formula>
    </cfRule>
    <cfRule type="notContainsBlanks" dxfId="1104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03" priority="21">
      <formula>LEN(TRIM(R7))=0</formula>
    </cfRule>
    <cfRule type="notContainsBlanks" dxfId="1102" priority="22">
      <formula>LEN(TRIM(R7))&gt;0</formula>
    </cfRule>
  </conditionalFormatting>
  <conditionalFormatting sqref="R25:X25">
    <cfRule type="containsBlanks" dxfId="1101" priority="33">
      <formula>LEN(TRIM(R25))=0</formula>
    </cfRule>
    <cfRule type="notContainsBlanks" dxfId="1100" priority="34">
      <formula>LEN(TRIM(R25))&gt;0</formula>
    </cfRule>
  </conditionalFormatting>
  <conditionalFormatting sqref="R29:X29">
    <cfRule type="containsBlanks" dxfId="1099" priority="3">
      <formula>LEN(TRIM(R29))=0</formula>
    </cfRule>
    <cfRule type="notContainsBlanks" dxfId="1098" priority="4">
      <formula>LEN(TRIM(R29))&gt;0</formula>
    </cfRule>
  </conditionalFormatting>
  <conditionalFormatting sqref="R59:X59">
    <cfRule type="containsBlanks" dxfId="1097" priority="67">
      <formula>LEN(TRIM(R59))=0</formula>
    </cfRule>
    <cfRule type="notContainsBlanks" dxfId="1096" priority="68">
      <formula>LEN(TRIM(R59))&gt;0</formula>
    </cfRule>
  </conditionalFormatting>
  <conditionalFormatting sqref="R72:X72">
    <cfRule type="containsBlanks" dxfId="1095" priority="13">
      <formula>LEN(TRIM(R72))=0</formula>
    </cfRule>
    <cfRule type="notContainsBlanks" dxfId="1094" priority="14">
      <formula>LEN(TRIM(R72))&gt;0</formula>
    </cfRule>
  </conditionalFormatting>
  <conditionalFormatting sqref="R76:X76">
    <cfRule type="containsBlanks" dxfId="1093" priority="184">
      <formula>LEN(TRIM(R76))=0</formula>
    </cfRule>
    <cfRule type="notContainsBlanks" dxfId="1092" priority="185">
      <formula>LEN(TRIM(R76))&gt;0</formula>
    </cfRule>
  </conditionalFormatting>
  <conditionalFormatting sqref="S15:W15">
    <cfRule type="containsBlanks" dxfId="1091" priority="205">
      <formula>LEN(TRIM(S15))=0</formula>
    </cfRule>
    <cfRule type="notContainsBlanks" dxfId="1090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89" priority="164">
      <formula>LEN(TRIM(S59))=0</formula>
    </cfRule>
    <cfRule type="notContainsBlanks" dxfId="1088" priority="165">
      <formula>LEN(TRIM(S59))&gt;0</formula>
    </cfRule>
  </conditionalFormatting>
  <conditionalFormatting sqref="U11:X11 R11">
    <cfRule type="containsBlanks" dxfId="1087" priority="47">
      <formula>LEN(TRIM(R11))=0</formula>
    </cfRule>
  </conditionalFormatting>
  <conditionalFormatting sqref="U63:X63">
    <cfRule type="containsBlanks" dxfId="1086" priority="79">
      <formula>LEN(TRIM(U63))=0</formula>
    </cfRule>
    <cfRule type="notContainsBlanks" dxfId="1085" priority="80">
      <formula>LEN(TRIM(U63))&gt;0</formula>
    </cfRule>
    <cfRule type="containsBlanks" dxfId="1084" priority="81">
      <formula>LEN(TRIM(U63))=0</formula>
    </cfRule>
    <cfRule type="notContainsBlanks" dxfId="1083" priority="82">
      <formula>LEN(TRIM(U63))&gt;0</formula>
    </cfRule>
    <cfRule type="containsBlanks" dxfId="1082" priority="83">
      <formula>LEN(TRIM(U63))=0</formula>
    </cfRule>
    <cfRule type="notContainsBlanks" dxfId="1081" priority="84">
      <formula>LEN(TRIM(U63))&gt;0</formula>
    </cfRule>
  </conditionalFormatting>
  <conditionalFormatting sqref="V11:W11">
    <cfRule type="containsBlanks" dxfId="1080" priority="43">
      <formula>LEN(TRIM(V11))=0</formula>
    </cfRule>
    <cfRule type="notContainsBlanks" dxfId="1079" priority="44">
      <formula>LEN(TRIM(V11))&gt;0</formula>
    </cfRule>
  </conditionalFormatting>
  <conditionalFormatting sqref="W15:X15">
    <cfRule type="containsBlanks" dxfId="1078" priority="195">
      <formula>LEN(TRIM(W15))=0</formula>
    </cfRule>
    <cfRule type="notContainsBlanks" dxfId="1077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076" priority="207">
      <formula>LEN(TRIM(W33))=0</formula>
    </cfRule>
    <cfRule type="notContainsBlanks" dxfId="1075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74" priority="276">
      <formula>LEN(TRIM(X21))=0</formula>
    </cfRule>
    <cfRule type="notContainsBlanks" dxfId="1073" priority="277">
      <formula>LEN(TRIM(X21))&gt;0</formula>
    </cfRule>
    <cfRule type="containsBlanks" dxfId="1072" priority="278">
      <formula>LEN(TRIM(X21))=0</formula>
    </cfRule>
    <cfRule type="notContainsBlanks" dxfId="1071" priority="279">
      <formula>LEN(TRIM(X21))&gt;0</formula>
    </cfRule>
    <cfRule type="containsBlanks" dxfId="1070" priority="280">
      <formula>LEN(TRIM(X21))=0</formula>
    </cfRule>
    <cfRule type="notContainsBlanks" dxfId="1069" priority="281">
      <formula>LEN(TRIM(X21))&gt;0</formula>
    </cfRule>
    <cfRule type="containsBlanks" dxfId="1068" priority="282">
      <formula>LEN(TRIM(X21))=0</formula>
    </cfRule>
    <cfRule type="notContainsBlanks" dxfId="1067" priority="283">
      <formula>LEN(TRIM(X21))&gt;0</formula>
    </cfRule>
    <cfRule type="containsBlanks" dxfId="1066" priority="284">
      <formula>LEN(TRIM(X21))=0</formula>
    </cfRule>
    <cfRule type="notContainsBlanks" dxfId="1065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64" priority="59">
      <formula>LEN(TRIM(Z59))=0</formula>
    </cfRule>
    <cfRule type="notContainsBlanks" dxfId="1063" priority="60">
      <formula>LEN(TRIM(Z59))&gt;0</formula>
    </cfRule>
  </conditionalFormatting>
  <conditionalFormatting sqref="Z72">
    <cfRule type="containsBlanks" dxfId="1062" priority="129">
      <formula>LEN(TRIM(Z72))=0</formula>
    </cfRule>
    <cfRule type="notContainsBlanks" dxfId="1061" priority="130">
      <formula>LEN(TRIM(Z72))&gt;0</formula>
    </cfRule>
  </conditionalFormatting>
  <conditionalFormatting sqref="Z76">
    <cfRule type="containsBlanks" dxfId="1060" priority="210">
      <formula>LEN(TRIM(Z76))=0</formula>
    </cfRule>
    <cfRule type="notContainsBlanks" dxfId="1059" priority="211">
      <formula>LEN(TRIM(Z76))&gt;0</formula>
    </cfRule>
  </conditionalFormatting>
  <conditionalFormatting sqref="Z63:AA63">
    <cfRule type="containsBlanks" dxfId="1058" priority="170">
      <formula>LEN(TRIM(Z63))=0</formula>
    </cfRule>
    <cfRule type="notContainsBlanks" dxfId="1057" priority="171">
      <formula>LEN(TRIM(Z63))&gt;0</formula>
    </cfRule>
  </conditionalFormatting>
  <conditionalFormatting sqref="Z59:AB59">
    <cfRule type="containsBlanks" dxfId="1056" priority="61">
      <formula>LEN(TRIM(Z59))=0</formula>
    </cfRule>
    <cfRule type="notContainsBlanks" dxfId="1055" priority="62">
      <formula>LEN(TRIM(Z59))&gt;0</formula>
    </cfRule>
  </conditionalFormatting>
  <conditionalFormatting sqref="Z63:AB63">
    <cfRule type="containsBlanks" dxfId="1054" priority="172">
      <formula>LEN(TRIM(Z63))=0</formula>
    </cfRule>
    <cfRule type="notContainsBlanks" dxfId="1053" priority="173">
      <formula>LEN(TRIM(Z63))&gt;0</formula>
    </cfRule>
    <cfRule type="containsBlanks" dxfId="1052" priority="180">
      <formula>LEN(TRIM(Z63))=0</formula>
    </cfRule>
    <cfRule type="notContainsBlanks" dxfId="1051" priority="181">
      <formula>LEN(TRIM(Z63))&gt;0</formula>
    </cfRule>
  </conditionalFormatting>
  <conditionalFormatting sqref="Z25:AI25">
    <cfRule type="containsBlanks" dxfId="1050" priority="115">
      <formula>LEN(TRIM(Z25))=0</formula>
    </cfRule>
    <cfRule type="notContainsBlanks" dxfId="1049" priority="116">
      <formula>LEN(TRIM(Z25))&gt;0</formula>
    </cfRule>
  </conditionalFormatting>
  <conditionalFormatting sqref="Z29:AI29">
    <cfRule type="containsBlanks" dxfId="1048" priority="1">
      <formula>LEN(TRIM(Z29))=0</formula>
    </cfRule>
    <cfRule type="notContainsBlanks" dxfId="1047" priority="2">
      <formula>LEN(TRIM(Z29))&gt;0</formula>
    </cfRule>
  </conditionalFormatting>
  <conditionalFormatting sqref="AA59:AB59">
    <cfRule type="containsBlanks" dxfId="1046" priority="141">
      <formula>LEN(TRIM(AA59))=0</formula>
    </cfRule>
    <cfRule type="notContainsBlanks" dxfId="1045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44" priority="268">
      <formula>LEN(TRIM(AF21))=0</formula>
    </cfRule>
    <cfRule type="notContainsBlanks" dxfId="1043" priority="269">
      <formula>LEN(TRIM(AF21))&gt;0</formula>
    </cfRule>
    <cfRule type="containsBlanks" dxfId="1042" priority="270">
      <formula>LEN(TRIM(AF21))=0</formula>
    </cfRule>
    <cfRule type="notContainsBlanks" dxfId="1041" priority="271">
      <formula>LEN(TRIM(AF21))&gt;0</formula>
    </cfRule>
    <cfRule type="containsBlanks" dxfId="1040" priority="272">
      <formula>LEN(TRIM(AF21))=0</formula>
    </cfRule>
    <cfRule type="notContainsBlanks" dxfId="1039" priority="273">
      <formula>LEN(TRIM(AF21))&gt;0</formula>
    </cfRule>
    <cfRule type="containsBlanks" dxfId="1038" priority="274">
      <formula>LEN(TRIM(AF21))=0</formula>
    </cfRule>
    <cfRule type="notContainsBlanks" dxfId="1037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1036" priority="111">
      <formula>LEN(TRIM(AF21))=0</formula>
    </cfRule>
    <cfRule type="notContainsBlanks" dxfId="1035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34" priority="286">
      <formula>LEN(TRIM(AG33))=0</formula>
    </cfRule>
    <cfRule type="notContainsBlanks" dxfId="1033" priority="287">
      <formula>LEN(TRIM(AG33))&gt;0</formula>
    </cfRule>
    <cfRule type="containsBlanks" dxfId="1032" priority="288">
      <formula>LEN(TRIM(AG33))=0</formula>
    </cfRule>
    <cfRule type="notContainsBlanks" dxfId="1031" priority="289">
      <formula>LEN(TRIM(AG33))&gt;0</formula>
    </cfRule>
    <cfRule type="containsBlanks" dxfId="1030" priority="290">
      <formula>LEN(TRIM(AG33))=0</formula>
    </cfRule>
    <cfRule type="notContainsBlanks" dxfId="1029" priority="291">
      <formula>LEN(TRIM(AG33))&gt;0</formula>
    </cfRule>
    <cfRule type="containsBlanks" dxfId="1028" priority="292">
      <formula>LEN(TRIM(AG33))=0</formula>
    </cfRule>
    <cfRule type="notContainsBlanks" dxfId="1027" priority="293">
      <formula>LEN(TRIM(AG33))&gt;0</formula>
    </cfRule>
    <cfRule type="containsBlanks" dxfId="1026" priority="294">
      <formula>LEN(TRIM(AG33))=0</formula>
    </cfRule>
    <cfRule type="notContainsBlanks" dxfId="1025" priority="295">
      <formula>LEN(TRIM(AG33))&gt;0</formula>
    </cfRule>
    <cfRule type="containsBlanks" dxfId="1024" priority="296">
      <formula>LEN(TRIM(AG33))=0</formula>
    </cfRule>
    <cfRule type="notContainsBlanks" dxfId="1023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X66" activePane="bottomRight" state="frozen"/>
      <selection pane="topRight" activeCell="C1" sqref="C1"/>
      <selection pane="bottomLeft" activeCell="A14" sqref="A14"/>
      <selection pane="bottomRight" activeCell="BR82" sqref="BR82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6">
        <v>45695</v>
      </c>
      <c r="B1" s="96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7" t="s">
        <v>3</v>
      </c>
      <c r="C8" s="98"/>
      <c r="D8" s="98"/>
      <c r="E8" s="98"/>
      <c r="F8" s="98"/>
      <c r="G8" s="98"/>
      <c r="H8" s="98"/>
      <c r="I8" s="98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99" t="s">
        <v>4</v>
      </c>
      <c r="C9" s="100"/>
      <c r="D9" s="100"/>
      <c r="E9" s="100"/>
      <c r="F9" s="100"/>
      <c r="G9" s="100"/>
      <c r="H9" s="100"/>
      <c r="I9" s="100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1" t="s">
        <v>5</v>
      </c>
      <c r="C10" s="102"/>
      <c r="D10" s="102"/>
      <c r="E10" s="102"/>
      <c r="F10" s="102"/>
      <c r="G10" s="102"/>
      <c r="H10" s="102"/>
      <c r="I10" s="102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3" t="s">
        <v>6</v>
      </c>
      <c r="C11" s="104"/>
      <c r="D11" s="104"/>
      <c r="E11" s="104"/>
      <c r="F11" s="104"/>
      <c r="G11" s="104"/>
      <c r="H11" s="104"/>
      <c r="I11" s="104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4" t="s">
        <v>7</v>
      </c>
      <c r="C12" s="95"/>
      <c r="D12" s="95"/>
      <c r="E12" s="95"/>
      <c r="F12" s="95"/>
      <c r="G12" s="95"/>
      <c r="H12" s="95"/>
      <c r="I12" s="95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22" priority="911">
      <formula>LEN(TRIM(E14))=0</formula>
    </cfRule>
  </conditionalFormatting>
  <conditionalFormatting sqref="J114:J119 BT207:BV213 AW168:BA174 BZ168:CP174">
    <cfRule type="containsText" dxfId="1021" priority="906" operator="containsText" text="T">
      <formula>NOT(ISERROR(SEARCH("T",J114)))</formula>
    </cfRule>
  </conditionalFormatting>
  <conditionalFormatting sqref="J120:M126">
    <cfRule type="containsText" dxfId="1020" priority="447" operator="containsText" text="T">
      <formula>NOT(ISERROR(SEARCH("T",J120)))</formula>
    </cfRule>
  </conditionalFormatting>
  <conditionalFormatting sqref="J113:T113">
    <cfRule type="containsText" dxfId="1019" priority="898" operator="containsText" text="17">
      <formula>NOT(ISERROR(SEARCH("17",J113)))</formula>
    </cfRule>
    <cfRule type="containsText" dxfId="1018" priority="899" operator="containsText" text="T">
      <formula>NOT(ISERROR(SEARCH("T",J113)))</formula>
    </cfRule>
  </conditionalFormatting>
  <conditionalFormatting sqref="J67:X68 BT207:BV213">
    <cfRule type="containsText" dxfId="1017" priority="843" operator="containsText" text="17">
      <formula>NOT(ISERROR(SEARCH("17",J67)))</formula>
    </cfRule>
  </conditionalFormatting>
  <conditionalFormatting sqref="J97:X98">
    <cfRule type="containsText" dxfId="1016" priority="833" operator="containsText" text="17">
      <formula>NOT(ISERROR(SEARCH("17",J97)))</formula>
    </cfRule>
  </conditionalFormatting>
  <conditionalFormatting sqref="J67:Z68">
    <cfRule type="containsText" dxfId="1015" priority="837" operator="containsText" text="T">
      <formula>NOT(ISERROR(SEARCH("T",J67)))</formula>
    </cfRule>
  </conditionalFormatting>
  <conditionalFormatting sqref="J97:Z98">
    <cfRule type="containsText" dxfId="1014" priority="827" operator="containsText" text="T">
      <formula>NOT(ISERROR(SEARCH("T",J97)))</formula>
    </cfRule>
  </conditionalFormatting>
  <conditionalFormatting sqref="J127:Z130">
    <cfRule type="containsText" dxfId="1013" priority="807" operator="containsText" text="T">
      <formula>NOT(ISERROR(SEARCH("T",J127)))</formula>
    </cfRule>
  </conditionalFormatting>
  <conditionalFormatting sqref="J114:AD119 J113:R113">
    <cfRule type="containsText" dxfId="1012" priority="905" operator="containsText" text="17">
      <formula>NOT(ISERROR(SEARCH("17",J113)))</formula>
    </cfRule>
  </conditionalFormatting>
  <conditionalFormatting sqref="J48:AO49">
    <cfRule type="containsText" dxfId="1011" priority="580" operator="containsText" text="17">
      <formula>NOT(ISERROR(SEARCH("17",J48)))</formula>
    </cfRule>
  </conditionalFormatting>
  <conditionalFormatting sqref="J63:AP66">
    <cfRule type="containsText" dxfId="1010" priority="560" operator="containsText" text="17">
      <formula>NOT(ISERROR(SEARCH("17",J63)))</formula>
    </cfRule>
  </conditionalFormatting>
  <conditionalFormatting sqref="J48:AQ49">
    <cfRule type="containsText" dxfId="1009" priority="574" operator="containsText" text="T">
      <formula>NOT(ISERROR(SEARCH("T",J48)))</formula>
    </cfRule>
  </conditionalFormatting>
  <conditionalFormatting sqref="J59:AQ62">
    <cfRule type="containsText" dxfId="1008" priority="546" operator="containsText" text="17">
      <formula>NOT(ISERROR(SEARCH("17",J59)))</formula>
    </cfRule>
  </conditionalFormatting>
  <conditionalFormatting sqref="J86:AQ89">
    <cfRule type="containsText" dxfId="1007" priority="536" operator="containsText" text="17">
      <formula>NOT(ISERROR(SEARCH("17",J86)))</formula>
    </cfRule>
  </conditionalFormatting>
  <conditionalFormatting sqref="J50:AR53">
    <cfRule type="containsText" dxfId="1006" priority="564" operator="containsText" text="T">
      <formula>NOT(ISERROR(SEARCH("T",J50)))</formula>
    </cfRule>
  </conditionalFormatting>
  <conditionalFormatting sqref="J63:AR66">
    <cfRule type="containsText" dxfId="1005" priority="554" operator="containsText" text="T">
      <formula>NOT(ISERROR(SEARCH("T",J63)))</formula>
    </cfRule>
  </conditionalFormatting>
  <conditionalFormatting sqref="J83:AR85">
    <cfRule type="containsText" dxfId="1004" priority="526" operator="containsText" text="17">
      <formula>NOT(ISERROR(SEARCH("17",J83)))</formula>
    </cfRule>
  </conditionalFormatting>
  <conditionalFormatting sqref="J214:AR217">
    <cfRule type="containsText" dxfId="1003" priority="516" operator="containsText" text="17">
      <formula>NOT(ISERROR(SEARCH("17",J214)))</formula>
    </cfRule>
  </conditionalFormatting>
  <conditionalFormatting sqref="J59:AS62">
    <cfRule type="containsText" dxfId="1002" priority="540" operator="containsText" text="T">
      <formula>NOT(ISERROR(SEARCH("T",J59)))</formula>
    </cfRule>
  </conditionalFormatting>
  <conditionalFormatting sqref="J86:AS89">
    <cfRule type="containsText" dxfId="1001" priority="530" operator="containsText" text="T">
      <formula>NOT(ISERROR(SEARCH("T",J86)))</formula>
    </cfRule>
  </conditionalFormatting>
  <conditionalFormatting sqref="J218:AS224">
    <cfRule type="containsText" dxfId="1000" priority="506" operator="containsText" text="17">
      <formula>NOT(ISERROR(SEARCH("17",J218)))</formula>
    </cfRule>
  </conditionalFormatting>
  <conditionalFormatting sqref="J83:AT85">
    <cfRule type="containsText" dxfId="999" priority="520" operator="containsText" text="T">
      <formula>NOT(ISERROR(SEARCH("T",J83)))</formula>
    </cfRule>
  </conditionalFormatting>
  <conditionalFormatting sqref="J214:AT217">
    <cfRule type="containsText" dxfId="998" priority="510" operator="containsText" text="T">
      <formula>NOT(ISERROR(SEARCH("T",J214)))</formula>
    </cfRule>
  </conditionalFormatting>
  <conditionalFormatting sqref="J225:AT231">
    <cfRule type="containsText" dxfId="997" priority="496" operator="containsText" text="17">
      <formula>NOT(ISERROR(SEARCH("17",J225)))</formula>
    </cfRule>
  </conditionalFormatting>
  <conditionalFormatting sqref="J218:AU224">
    <cfRule type="containsText" dxfId="996" priority="500" operator="containsText" text="T">
      <formula>NOT(ISERROR(SEARCH("T",J218)))</formula>
    </cfRule>
  </conditionalFormatting>
  <conditionalFormatting sqref="J232:AU234">
    <cfRule type="containsText" dxfId="995" priority="486" operator="containsText" text="17">
      <formula>NOT(ISERROR(SEARCH("17",J232)))</formula>
    </cfRule>
  </conditionalFormatting>
  <conditionalFormatting sqref="J225:AV231">
    <cfRule type="containsText" dxfId="994" priority="490" operator="containsText" text="T">
      <formula>NOT(ISERROR(SEARCH("T",J225)))</formula>
    </cfRule>
  </conditionalFormatting>
  <conditionalFormatting sqref="J232:AW234">
    <cfRule type="containsText" dxfId="993" priority="480" operator="containsText" text="T">
      <formula>NOT(ISERROR(SEARCH("T",J232)))</formula>
    </cfRule>
  </conditionalFormatting>
  <conditionalFormatting sqref="J33:CP33">
    <cfRule type="containsText" dxfId="992" priority="1058" operator="containsText" text="T">
      <formula>NOT(ISERROR(SEARCH("T",J33)))</formula>
    </cfRule>
  </conditionalFormatting>
  <conditionalFormatting sqref="K77:K82">
    <cfRule type="containsText" dxfId="991" priority="893" operator="containsText" text="T">
      <formula>NOT(ISERROR(SEARCH("T",K77)))</formula>
    </cfRule>
  </conditionalFormatting>
  <conditionalFormatting sqref="K76:U76">
    <cfRule type="containsText" dxfId="990" priority="885" operator="containsText" text="17">
      <formula>NOT(ISERROR(SEARCH("17",K76)))</formula>
    </cfRule>
    <cfRule type="containsText" dxfId="989" priority="886" operator="containsText" text="T">
      <formula>NOT(ISERROR(SEARCH("T",K76)))</formula>
    </cfRule>
  </conditionalFormatting>
  <conditionalFormatting sqref="K77:AE82 K76:S76">
    <cfRule type="containsText" dxfId="988" priority="892" operator="containsText" text="17">
      <formula>NOT(ISERROR(SEARCH("17",K76)))</formula>
    </cfRule>
  </conditionalFormatting>
  <conditionalFormatting sqref="L107:L112">
    <cfRule type="containsText" dxfId="987" priority="880" operator="containsText" text="T">
      <formula>NOT(ISERROR(SEARCH("T",L107)))</formula>
    </cfRule>
  </conditionalFormatting>
  <conditionalFormatting sqref="L106:V106">
    <cfRule type="containsText" dxfId="986" priority="872" operator="containsText" text="17">
      <formula>NOT(ISERROR(SEARCH("17",L106)))</formula>
    </cfRule>
    <cfRule type="containsText" dxfId="985" priority="873" operator="containsText" text="T">
      <formula>NOT(ISERROR(SEARCH("T",L106)))</formula>
    </cfRule>
  </conditionalFormatting>
  <conditionalFormatting sqref="L107:AF112 L106:T106">
    <cfRule type="containsText" dxfId="984" priority="879" operator="containsText" text="17">
      <formula>NOT(ISERROR(SEARCH("17",L106)))</formula>
    </cfRule>
  </conditionalFormatting>
  <conditionalFormatting sqref="M120:AG126 AJ120:AJ126">
    <cfRule type="containsText" dxfId="983" priority="444" operator="containsText" text="T">
      <formula>NOT(ISERROR(SEARCH("T",M120)))</formula>
    </cfRule>
  </conditionalFormatting>
  <conditionalFormatting sqref="M120:AG126">
    <cfRule type="containsText" dxfId="982" priority="446" operator="containsText" text="17">
      <formula>NOT(ISERROR(SEARCH("17",M120)))</formula>
    </cfRule>
  </conditionalFormatting>
  <conditionalFormatting sqref="N70:N75">
    <cfRule type="containsText" dxfId="981" priority="867" operator="containsText" text="T">
      <formula>NOT(ISERROR(SEARCH("T",N70)))</formula>
    </cfRule>
  </conditionalFormatting>
  <conditionalFormatting sqref="N69:X69">
    <cfRule type="containsText" dxfId="980" priority="859" operator="containsText" text="17">
      <formula>NOT(ISERROR(SEARCH("17",N69)))</formula>
    </cfRule>
    <cfRule type="containsText" dxfId="979" priority="860" operator="containsText" text="T">
      <formula>NOT(ISERROR(SEARCH("T",N69)))</formula>
    </cfRule>
  </conditionalFormatting>
  <conditionalFormatting sqref="N70:AH75 N69:V69">
    <cfRule type="containsText" dxfId="978" priority="866" operator="containsText" text="17">
      <formula>NOT(ISERROR(SEARCH("17",N69)))</formula>
    </cfRule>
  </conditionalFormatting>
  <conditionalFormatting sqref="O100:O105">
    <cfRule type="containsText" dxfId="977" priority="854" operator="containsText" text="T">
      <formula>NOT(ISERROR(SEARCH("T",O100)))</formula>
    </cfRule>
  </conditionalFormatting>
  <conditionalFormatting sqref="O99:Y99">
    <cfRule type="containsText" dxfId="976" priority="846" operator="containsText" text="17">
      <formula>NOT(ISERROR(SEARCH("17",O99)))</formula>
    </cfRule>
    <cfRule type="containsText" dxfId="975" priority="847" operator="containsText" text="T">
      <formula>NOT(ISERROR(SEARCH("T",O99)))</formula>
    </cfRule>
  </conditionalFormatting>
  <conditionalFormatting sqref="O100:AI105 O99:W99">
    <cfRule type="containsText" dxfId="974" priority="853" operator="containsText" text="17">
      <formula>NOT(ISERROR(SEARCH("17",O99)))</formula>
    </cfRule>
  </conditionalFormatting>
  <conditionalFormatting sqref="P67:Z68">
    <cfRule type="containsText" dxfId="973" priority="836" operator="containsText" text="17">
      <formula>NOT(ISERROR(SEARCH("17",P67)))</formula>
    </cfRule>
  </conditionalFormatting>
  <conditionalFormatting sqref="P97:Z98">
    <cfRule type="containsText" dxfId="972" priority="826" operator="containsText" text="17">
      <formula>NOT(ISERROR(SEARCH("17",P97)))</formula>
    </cfRule>
  </conditionalFormatting>
  <conditionalFormatting sqref="P127:Z130">
    <cfRule type="containsText" dxfId="971" priority="806" operator="containsText" text="17">
      <formula>NOT(ISERROR(SEARCH("17",P127)))</formula>
    </cfRule>
  </conditionalFormatting>
  <conditionalFormatting sqref="Q132:Q137">
    <cfRule type="containsText" dxfId="970" priority="801" operator="containsText" text="T">
      <formula>NOT(ISERROR(SEARCH("T",Q132)))</formula>
    </cfRule>
  </conditionalFormatting>
  <conditionalFormatting sqref="Q131:AA131">
    <cfRule type="containsText" dxfId="969" priority="793" operator="containsText" text="17">
      <formula>NOT(ISERROR(SEARCH("17",Q131)))</formula>
    </cfRule>
    <cfRule type="containsText" dxfId="968" priority="794" operator="containsText" text="T">
      <formula>NOT(ISERROR(SEARCH("T",Q131)))</formula>
    </cfRule>
  </conditionalFormatting>
  <conditionalFormatting sqref="Q132:AK137 Q131:Y131">
    <cfRule type="containsText" dxfId="967" priority="800" operator="containsText" text="17">
      <formula>NOT(ISERROR(SEARCH("17",Q131)))</formula>
    </cfRule>
  </conditionalFormatting>
  <conditionalFormatting sqref="R139:R144">
    <cfRule type="containsText" dxfId="966" priority="788" operator="containsText" text="T">
      <formula>NOT(ISERROR(SEARCH("T",R139)))</formula>
    </cfRule>
  </conditionalFormatting>
  <conditionalFormatting sqref="R138:AB138">
    <cfRule type="containsText" dxfId="965" priority="780" operator="containsText" text="17">
      <formula>NOT(ISERROR(SEARCH("17",R138)))</formula>
    </cfRule>
    <cfRule type="containsText" dxfId="964" priority="781" operator="containsText" text="T">
      <formula>NOT(ISERROR(SEARCH("T",R138)))</formula>
    </cfRule>
  </conditionalFormatting>
  <conditionalFormatting sqref="R139:AL144 R138:Z138">
    <cfRule type="containsText" dxfId="963" priority="787" operator="containsText" text="17">
      <formula>NOT(ISERROR(SEARCH("17",R138)))</formula>
    </cfRule>
  </conditionalFormatting>
  <conditionalFormatting sqref="S146:S151">
    <cfRule type="containsText" dxfId="962" priority="775" operator="containsText" text="T">
      <formula>NOT(ISERROR(SEARCH("T",S146)))</formula>
    </cfRule>
  </conditionalFormatting>
  <conditionalFormatting sqref="S145:AC145">
    <cfRule type="containsText" dxfId="961" priority="767" operator="containsText" text="17">
      <formula>NOT(ISERROR(SEARCH("17",S145)))</formula>
    </cfRule>
    <cfRule type="containsText" dxfId="960" priority="768" operator="containsText" text="T">
      <formula>NOT(ISERROR(SEARCH("T",S145)))</formula>
    </cfRule>
  </conditionalFormatting>
  <conditionalFormatting sqref="S146:AM151 S145:AA145">
    <cfRule type="containsText" dxfId="959" priority="774" operator="containsText" text="17">
      <formula>NOT(ISERROR(SEARCH("17",S145)))</formula>
    </cfRule>
  </conditionalFormatting>
  <conditionalFormatting sqref="T153:T158">
    <cfRule type="containsText" dxfId="958" priority="762" operator="containsText" text="T">
      <formula>NOT(ISERROR(SEARCH("T",T153)))</formula>
    </cfRule>
  </conditionalFormatting>
  <conditionalFormatting sqref="T152:AD152">
    <cfRule type="containsText" dxfId="957" priority="754" operator="containsText" text="17">
      <formula>NOT(ISERROR(SEARCH("17",T152)))</formula>
    </cfRule>
    <cfRule type="containsText" dxfId="956" priority="755" operator="containsText" text="T">
      <formula>NOT(ISERROR(SEARCH("T",T152)))</formula>
    </cfRule>
  </conditionalFormatting>
  <conditionalFormatting sqref="T153:AN158 T152:AB152">
    <cfRule type="containsText" dxfId="955" priority="761" operator="containsText" text="17">
      <formula>NOT(ISERROR(SEARCH("17",T152)))</formula>
    </cfRule>
  </conditionalFormatting>
  <conditionalFormatting sqref="U160:U165">
    <cfRule type="containsText" dxfId="954" priority="749" operator="containsText" text="T">
      <formula>NOT(ISERROR(SEARCH("T",U160)))</formula>
    </cfRule>
  </conditionalFormatting>
  <conditionalFormatting sqref="U113:AA113">
    <cfRule type="containsText" dxfId="953" priority="907" operator="containsText" text="17">
      <formula>NOT(ISERROR(SEARCH("17",U113)))</formula>
    </cfRule>
    <cfRule type="containsText" dxfId="952" priority="908" operator="containsText" text="T">
      <formula>NOT(ISERROR(SEARCH("T",U113)))</formula>
    </cfRule>
  </conditionalFormatting>
  <conditionalFormatting sqref="U159:AE159">
    <cfRule type="containsText" dxfId="951" priority="741" operator="containsText" text="17">
      <formula>NOT(ISERROR(SEARCH("17",U159)))</formula>
    </cfRule>
    <cfRule type="containsText" dxfId="950" priority="742" operator="containsText" text="T">
      <formula>NOT(ISERROR(SEARCH("T",U159)))</formula>
    </cfRule>
  </conditionalFormatting>
  <conditionalFormatting sqref="U160:AO165 U159:AC159">
    <cfRule type="containsText" dxfId="949" priority="748" operator="containsText" text="17">
      <formula>NOT(ISERROR(SEARCH("17",U159)))</formula>
    </cfRule>
  </conditionalFormatting>
  <conditionalFormatting sqref="V113">
    <cfRule type="containsText" dxfId="948" priority="903" operator="containsText" text="17">
      <formula>NOT(ISERROR(SEARCH("17",V113)))</formula>
    </cfRule>
    <cfRule type="containsText" dxfId="947" priority="904" operator="containsText" text="T">
      <formula>NOT(ISERROR(SEARCH("T",V113)))</formula>
    </cfRule>
  </conditionalFormatting>
  <conditionalFormatting sqref="V208:V213">
    <cfRule type="containsText" dxfId="946" priority="736" operator="containsText" text="T">
      <formula>NOT(ISERROR(SEARCH("T",V208)))</formula>
    </cfRule>
  </conditionalFormatting>
  <conditionalFormatting sqref="V76:AB76">
    <cfRule type="containsText" dxfId="945" priority="894" operator="containsText" text="17">
      <formula>NOT(ISERROR(SEARCH("17",V76)))</formula>
    </cfRule>
    <cfRule type="containsText" dxfId="944" priority="895" operator="containsText" text="T">
      <formula>NOT(ISERROR(SEARCH("T",V76)))</formula>
    </cfRule>
  </conditionalFormatting>
  <conditionalFormatting sqref="V207:AF207">
    <cfRule type="containsText" dxfId="943" priority="728" operator="containsText" text="17">
      <formula>NOT(ISERROR(SEARCH("17",V207)))</formula>
    </cfRule>
    <cfRule type="containsText" dxfId="942" priority="729" operator="containsText" text="T">
      <formula>NOT(ISERROR(SEARCH("T",V207)))</formula>
    </cfRule>
  </conditionalFormatting>
  <conditionalFormatting sqref="V208:AP213 V207:AD207">
    <cfRule type="containsText" dxfId="941" priority="735" operator="containsText" text="17">
      <formula>NOT(ISERROR(SEARCH("17",V207)))</formula>
    </cfRule>
  </conditionalFormatting>
  <conditionalFormatting sqref="W76">
    <cfRule type="containsText" dxfId="940" priority="890" operator="containsText" text="17">
      <formula>NOT(ISERROR(SEARCH("17",W76)))</formula>
    </cfRule>
    <cfRule type="containsText" dxfId="939" priority="891" operator="containsText" text="T">
      <formula>NOT(ISERROR(SEARCH("T",W76)))</formula>
    </cfRule>
  </conditionalFormatting>
  <conditionalFormatting sqref="W201:W206">
    <cfRule type="containsText" dxfId="938" priority="723" operator="containsText" text="T">
      <formula>NOT(ISERROR(SEARCH("T",W201)))</formula>
    </cfRule>
  </conditionalFormatting>
  <conditionalFormatting sqref="W106:AC106">
    <cfRule type="containsText" dxfId="937" priority="881" operator="containsText" text="17">
      <formula>NOT(ISERROR(SEARCH("17",W106)))</formula>
    </cfRule>
    <cfRule type="containsText" dxfId="936" priority="882" operator="containsText" text="T">
      <formula>NOT(ISERROR(SEARCH("T",W106)))</formula>
    </cfRule>
  </conditionalFormatting>
  <conditionalFormatting sqref="W200:AG200">
    <cfRule type="containsText" dxfId="935" priority="715" operator="containsText" text="17">
      <formula>NOT(ISERROR(SEARCH("17",W200)))</formula>
    </cfRule>
    <cfRule type="containsText" dxfId="934" priority="716" operator="containsText" text="T">
      <formula>NOT(ISERROR(SEARCH("T",W200)))</formula>
    </cfRule>
  </conditionalFormatting>
  <conditionalFormatting sqref="W201:AQ206 W200:AE200">
    <cfRule type="containsText" dxfId="933" priority="722" operator="containsText" text="17">
      <formula>NOT(ISERROR(SEARCH("17",W200)))</formula>
    </cfRule>
  </conditionalFormatting>
  <conditionalFormatting sqref="X106">
    <cfRule type="containsText" dxfId="932" priority="877" operator="containsText" text="17">
      <formula>NOT(ISERROR(SEARCH("17",X106)))</formula>
    </cfRule>
    <cfRule type="containsText" dxfId="931" priority="878" operator="containsText" text="T">
      <formula>NOT(ISERROR(SEARCH("T",X106)))</formula>
    </cfRule>
  </conditionalFormatting>
  <conditionalFormatting sqref="X194:X199">
    <cfRule type="containsText" dxfId="930" priority="710" operator="containsText" text="T">
      <formula>NOT(ISERROR(SEARCH("T",X194)))</formula>
    </cfRule>
  </conditionalFormatting>
  <conditionalFormatting sqref="X192:AH193">
    <cfRule type="containsText" dxfId="929" priority="697" operator="containsText" text="17">
      <formula>NOT(ISERROR(SEARCH("17",X192)))</formula>
    </cfRule>
    <cfRule type="containsText" dxfId="928" priority="698" operator="containsText" text="T">
      <formula>NOT(ISERROR(SEARCH("T",X192)))</formula>
    </cfRule>
  </conditionalFormatting>
  <conditionalFormatting sqref="Y169:Y174">
    <cfRule type="containsText" dxfId="927" priority="692" operator="containsText" text="T">
      <formula>NOT(ISERROR(SEARCH("T",Y169)))</formula>
    </cfRule>
  </conditionalFormatting>
  <conditionalFormatting sqref="Y69:AE69">
    <cfRule type="containsText" dxfId="926" priority="868" operator="containsText" text="17">
      <formula>NOT(ISERROR(SEARCH("17",Y69)))</formula>
    </cfRule>
    <cfRule type="containsText" dxfId="925" priority="869" operator="containsText" text="T">
      <formula>NOT(ISERROR(SEARCH("T",Y69)))</formula>
    </cfRule>
  </conditionalFormatting>
  <conditionalFormatting sqref="Y168:AI168">
    <cfRule type="containsText" dxfId="924" priority="684" operator="containsText" text="17">
      <formula>NOT(ISERROR(SEARCH("17",Y168)))</formula>
    </cfRule>
    <cfRule type="containsText" dxfId="923" priority="685" operator="containsText" text="T">
      <formula>NOT(ISERROR(SEARCH("T",Y168)))</formula>
    </cfRule>
  </conditionalFormatting>
  <conditionalFormatting sqref="Y169:AS174 Y168:AG168">
    <cfRule type="containsText" dxfId="922" priority="691" operator="containsText" text="17">
      <formula>NOT(ISERROR(SEARCH("17",Y168)))</formula>
    </cfRule>
  </conditionalFormatting>
  <conditionalFormatting sqref="Z69">
    <cfRule type="containsText" dxfId="921" priority="864" operator="containsText" text="17">
      <formula>NOT(ISERROR(SEARCH("17",Z69)))</formula>
    </cfRule>
    <cfRule type="containsText" dxfId="920" priority="865" operator="containsText" text="T">
      <formula>NOT(ISERROR(SEARCH("T",Z69)))</formula>
    </cfRule>
  </conditionalFormatting>
  <conditionalFormatting sqref="Z176:Z181">
    <cfRule type="containsText" dxfId="919" priority="679" operator="containsText" text="T">
      <formula>NOT(ISERROR(SEARCH("T",Z176)))</formula>
    </cfRule>
  </conditionalFormatting>
  <conditionalFormatting sqref="Z99:AF99">
    <cfRule type="containsText" dxfId="918" priority="855" operator="containsText" text="17">
      <formula>NOT(ISERROR(SEARCH("17",Z99)))</formula>
    </cfRule>
    <cfRule type="containsText" dxfId="917" priority="856" operator="containsText" text="T">
      <formula>NOT(ISERROR(SEARCH("T",Z99)))</formula>
    </cfRule>
  </conditionalFormatting>
  <conditionalFormatting sqref="Z175:AJ175">
    <cfRule type="containsText" dxfId="916" priority="671" operator="containsText" text="17">
      <formula>NOT(ISERROR(SEARCH("17",Z175)))</formula>
    </cfRule>
    <cfRule type="containsText" dxfId="915" priority="672" operator="containsText" text="T">
      <formula>NOT(ISERROR(SEARCH("T",Z175)))</formula>
    </cfRule>
  </conditionalFormatting>
  <conditionalFormatting sqref="Z176:AT181 Z175:AH175">
    <cfRule type="containsText" dxfId="914" priority="678" operator="containsText" text="17">
      <formula>NOT(ISERROR(SEARCH("17",Z175)))</formula>
    </cfRule>
  </conditionalFormatting>
  <conditionalFormatting sqref="AA99">
    <cfRule type="containsText" dxfId="913" priority="851" operator="containsText" text="17">
      <formula>NOT(ISERROR(SEARCH("17",AA99)))</formula>
    </cfRule>
    <cfRule type="containsText" dxfId="912" priority="852" operator="containsText" text="T">
      <formula>NOT(ISERROR(SEARCH("T",AA99)))</formula>
    </cfRule>
  </conditionalFormatting>
  <conditionalFormatting sqref="AA113 AE113:AG113 J114:AD119 AG114:AG119">
    <cfRule type="containsText" dxfId="911" priority="900" operator="containsText" text="T">
      <formula>NOT(ISERROR(SEARCH("T",J113)))</formula>
    </cfRule>
  </conditionalFormatting>
  <conditionalFormatting sqref="AA183:AA190">
    <cfRule type="containsText" dxfId="910" priority="666" operator="containsText" text="T">
      <formula>NOT(ISERROR(SEARCH("T",AA183)))</formula>
    </cfRule>
  </conditionalFormatting>
  <conditionalFormatting sqref="AA113:AB113 AE113:AG113 AG114:AG119">
    <cfRule type="containsText" dxfId="909" priority="901" operator="containsText" text="17">
      <formula>NOT(ISERROR(SEARCH("17",AA113)))</formula>
    </cfRule>
  </conditionalFormatting>
  <conditionalFormatting sqref="AA67:AG68">
    <cfRule type="containsText" dxfId="908" priority="844" operator="containsText" text="17">
      <formula>NOT(ISERROR(SEARCH("17",AA67)))</formula>
    </cfRule>
    <cfRule type="containsText" dxfId="907" priority="845" operator="containsText" text="T">
      <formula>NOT(ISERROR(SEARCH("T",AA67)))</formula>
    </cfRule>
  </conditionalFormatting>
  <conditionalFormatting sqref="AA97:AG98">
    <cfRule type="containsText" dxfId="906" priority="834" operator="containsText" text="17">
      <formula>NOT(ISERROR(SEARCH("17",AA97)))</formula>
    </cfRule>
    <cfRule type="containsText" dxfId="905" priority="835" operator="containsText" text="T">
      <formula>NOT(ISERROR(SEARCH("T",AA97)))</formula>
    </cfRule>
  </conditionalFormatting>
  <conditionalFormatting sqref="AA127:AG130">
    <cfRule type="containsText" dxfId="904" priority="814" operator="containsText" text="17">
      <formula>NOT(ISERROR(SEARCH("17",AA127)))</formula>
    </cfRule>
    <cfRule type="containsText" dxfId="903" priority="815" operator="containsText" text="T">
      <formula>NOT(ISERROR(SEARCH("T",AA127)))</formula>
    </cfRule>
  </conditionalFormatting>
  <conditionalFormatting sqref="AA182:AK182">
    <cfRule type="containsText" dxfId="902" priority="658" operator="containsText" text="17">
      <formula>NOT(ISERROR(SEARCH("17",AA182)))</formula>
    </cfRule>
    <cfRule type="containsText" dxfId="901" priority="659" operator="containsText" text="T">
      <formula>NOT(ISERROR(SEARCH("T",AA182)))</formula>
    </cfRule>
  </conditionalFormatting>
  <conditionalFormatting sqref="AA183:AU190 AA182:AI182">
    <cfRule type="containsText" dxfId="900" priority="665" operator="containsText" text="17">
      <formula>NOT(ISERROR(SEARCH("17",AA182)))</formula>
    </cfRule>
  </conditionalFormatting>
  <conditionalFormatting sqref="AB67:AB68">
    <cfRule type="containsText" dxfId="899" priority="841" operator="containsText" text="17">
      <formula>NOT(ISERROR(SEARCH("17",AB67)))</formula>
    </cfRule>
    <cfRule type="containsText" dxfId="898" priority="842" operator="containsText" text="T">
      <formula>NOT(ISERROR(SEARCH("T",AB67)))</formula>
    </cfRule>
  </conditionalFormatting>
  <conditionalFormatting sqref="AB76 AF76:AH76 K77:AE82 AH77:AH82">
    <cfRule type="containsText" dxfId="897" priority="887" operator="containsText" text="T">
      <formula>NOT(ISERROR(SEARCH("T",K76)))</formula>
    </cfRule>
  </conditionalFormatting>
  <conditionalFormatting sqref="AB91:AB96">
    <cfRule type="containsText" dxfId="896" priority="653" operator="containsText" text="T">
      <formula>NOT(ISERROR(SEARCH("T",AB91)))</formula>
    </cfRule>
  </conditionalFormatting>
  <conditionalFormatting sqref="AB97:AB98">
    <cfRule type="containsText" dxfId="895" priority="831" operator="containsText" text="17">
      <formula>NOT(ISERROR(SEARCH("17",AB97)))</formula>
    </cfRule>
    <cfRule type="containsText" dxfId="894" priority="832" operator="containsText" text="T">
      <formula>NOT(ISERROR(SEARCH("T",AB97)))</formula>
    </cfRule>
  </conditionalFormatting>
  <conditionalFormatting sqref="AB113">
    <cfRule type="containsText" dxfId="893" priority="902" operator="containsText" text="T">
      <formula>NOT(ISERROR(SEARCH("T",AB113)))</formula>
    </cfRule>
  </conditionalFormatting>
  <conditionalFormatting sqref="AB127:AB130">
    <cfRule type="containsText" dxfId="892" priority="811" operator="containsText" text="17">
      <formula>NOT(ISERROR(SEARCH("17",AB127)))</formula>
    </cfRule>
    <cfRule type="containsText" dxfId="891" priority="812" operator="containsText" text="T">
      <formula>NOT(ISERROR(SEARCH("T",AB127)))</formula>
    </cfRule>
  </conditionalFormatting>
  <conditionalFormatting sqref="AB76:AC76 AF76:AH76 AH77:AH82">
    <cfRule type="containsText" dxfId="890" priority="888" operator="containsText" text="17">
      <formula>NOT(ISERROR(SEARCH("17",AB76)))</formula>
    </cfRule>
  </conditionalFormatting>
  <conditionalFormatting sqref="AB131:AH131">
    <cfRule type="containsText" dxfId="889" priority="802" operator="containsText" text="17">
      <formula>NOT(ISERROR(SEARCH("17",AB131)))</formula>
    </cfRule>
    <cfRule type="containsText" dxfId="888" priority="803" operator="containsText" text="T">
      <formula>NOT(ISERROR(SEARCH("T",AB131)))</formula>
    </cfRule>
  </conditionalFormatting>
  <conditionalFormatting sqref="AB90:AL90">
    <cfRule type="containsText" dxfId="887" priority="645" operator="containsText" text="17">
      <formula>NOT(ISERROR(SEARCH("17",AB90)))</formula>
    </cfRule>
    <cfRule type="containsText" dxfId="886" priority="646" operator="containsText" text="T">
      <formula>NOT(ISERROR(SEARCH("T",AB90)))</formula>
    </cfRule>
  </conditionalFormatting>
  <conditionalFormatting sqref="AB91:AV96 AB90:AJ90">
    <cfRule type="containsText" dxfId="885" priority="652" operator="containsText" text="17">
      <formula>NOT(ISERROR(SEARCH("17",AB90)))</formula>
    </cfRule>
  </conditionalFormatting>
  <conditionalFormatting sqref="AC15:AC20">
    <cfRule type="containsText" dxfId="884" priority="640" operator="containsText" text="T">
      <formula>NOT(ISERROR(SEARCH("T",AC15)))</formula>
    </cfRule>
  </conditionalFormatting>
  <conditionalFormatting sqref="AC76">
    <cfRule type="containsText" dxfId="883" priority="889" operator="containsText" text="T">
      <formula>NOT(ISERROR(SEARCH("T",AC76)))</formula>
    </cfRule>
  </conditionalFormatting>
  <conditionalFormatting sqref="AC106 L107:AF112 AI107:AI112">
    <cfRule type="containsText" dxfId="882" priority="874" operator="containsText" text="T">
      <formula>NOT(ISERROR(SEARCH("T",L106)))</formula>
    </cfRule>
  </conditionalFormatting>
  <conditionalFormatting sqref="AC131">
    <cfRule type="containsText" dxfId="881" priority="798" operator="containsText" text="17">
      <formula>NOT(ISERROR(SEARCH("17",AC131)))</formula>
    </cfRule>
    <cfRule type="containsText" dxfId="880" priority="799" operator="containsText" text="T">
      <formula>NOT(ISERROR(SEARCH("T",AC131)))</formula>
    </cfRule>
  </conditionalFormatting>
  <conditionalFormatting sqref="AC106:AD106 AI107:AI112">
    <cfRule type="containsText" dxfId="879" priority="875" operator="containsText" text="17">
      <formula>NOT(ISERROR(SEARCH("17",AC106)))</formula>
    </cfRule>
  </conditionalFormatting>
  <conditionalFormatting sqref="AC138:AI138">
    <cfRule type="containsText" dxfId="878" priority="789" operator="containsText" text="17">
      <formula>NOT(ISERROR(SEARCH("17",AC138)))</formula>
    </cfRule>
    <cfRule type="containsText" dxfId="877" priority="790" operator="containsText" text="T">
      <formula>NOT(ISERROR(SEARCH("T",AC138)))</formula>
    </cfRule>
  </conditionalFormatting>
  <conditionalFormatting sqref="AC14:AM14">
    <cfRule type="containsText" dxfId="876" priority="632" operator="containsText" text="17">
      <formula>NOT(ISERROR(SEARCH("17",AC14)))</formula>
    </cfRule>
    <cfRule type="containsText" dxfId="875" priority="633" operator="containsText" text="T">
      <formula>NOT(ISERROR(SEARCH("T",AC14)))</formula>
    </cfRule>
  </conditionalFormatting>
  <conditionalFormatting sqref="AC15:AW20 AC14:AK14">
    <cfRule type="containsText" dxfId="874" priority="639" operator="containsText" text="17">
      <formula>NOT(ISERROR(SEARCH("17",AC14)))</formula>
    </cfRule>
  </conditionalFormatting>
  <conditionalFormatting sqref="AD35:AD40">
    <cfRule type="containsText" dxfId="873" priority="627" operator="containsText" text="T">
      <formula>NOT(ISERROR(SEARCH("T",AD35)))</formula>
    </cfRule>
  </conditionalFormatting>
  <conditionalFormatting sqref="AD106">
    <cfRule type="containsText" dxfId="872" priority="876" operator="containsText" text="T">
      <formula>NOT(ISERROR(SEARCH("T",AD106)))</formula>
    </cfRule>
  </conditionalFormatting>
  <conditionalFormatting sqref="AD138">
    <cfRule type="containsText" dxfId="871" priority="785" operator="containsText" text="17">
      <formula>NOT(ISERROR(SEARCH("17",AD138)))</formula>
    </cfRule>
    <cfRule type="containsText" dxfId="870" priority="786" operator="containsText" text="T">
      <formula>NOT(ISERROR(SEARCH("T",AD138)))</formula>
    </cfRule>
  </conditionalFormatting>
  <conditionalFormatting sqref="AD145:AJ145">
    <cfRule type="containsText" dxfId="869" priority="776" operator="containsText" text="17">
      <formula>NOT(ISERROR(SEARCH("17",AD145)))</formula>
    </cfRule>
    <cfRule type="containsText" dxfId="868" priority="777" operator="containsText" text="T">
      <formula>NOT(ISERROR(SEARCH("T",AD145)))</formula>
    </cfRule>
  </conditionalFormatting>
  <conditionalFormatting sqref="AD34:AN34">
    <cfRule type="containsText" dxfId="867" priority="619" operator="containsText" text="17">
      <formula>NOT(ISERROR(SEARCH("17",AD34)))</formula>
    </cfRule>
    <cfRule type="containsText" dxfId="866" priority="620" operator="containsText" text="T">
      <formula>NOT(ISERROR(SEARCH("T",AD34)))</formula>
    </cfRule>
  </conditionalFormatting>
  <conditionalFormatting sqref="AD35:AX40 AD34:AL34">
    <cfRule type="containsText" dxfId="865" priority="626" operator="containsText" text="17">
      <formula>NOT(ISERROR(SEARCH("17",AD34)))</formula>
    </cfRule>
  </conditionalFormatting>
  <conditionalFormatting sqref="AE22:AE27">
    <cfRule type="containsText" dxfId="864" priority="614" operator="containsText" text="T">
      <formula>NOT(ISERROR(SEARCH("T",AE22)))</formula>
    </cfRule>
  </conditionalFormatting>
  <conditionalFormatting sqref="AE69 AI69:AK69 N70:AH75 AK70:AK75">
    <cfRule type="containsText" dxfId="863" priority="861" operator="containsText" text="T">
      <formula>NOT(ISERROR(SEARCH("T",N69)))</formula>
    </cfRule>
  </conditionalFormatting>
  <conditionalFormatting sqref="AE145">
    <cfRule type="containsText" dxfId="862" priority="772" operator="containsText" text="17">
      <formula>NOT(ISERROR(SEARCH("17",AE145)))</formula>
    </cfRule>
    <cfRule type="containsText" dxfId="861" priority="773" operator="containsText" text="T">
      <formula>NOT(ISERROR(SEARCH("T",AE145)))</formula>
    </cfRule>
  </conditionalFormatting>
  <conditionalFormatting sqref="AE69:AF69 AI69:AK69 AK70:AK75">
    <cfRule type="containsText" dxfId="860" priority="862" operator="containsText" text="17">
      <formula>NOT(ISERROR(SEARCH("17",AE69)))</formula>
    </cfRule>
  </conditionalFormatting>
  <conditionalFormatting sqref="AE152:AK152">
    <cfRule type="containsText" dxfId="859" priority="763" operator="containsText" text="17">
      <formula>NOT(ISERROR(SEARCH("17",AE152)))</formula>
    </cfRule>
    <cfRule type="containsText" dxfId="858" priority="764" operator="containsText" text="T">
      <formula>NOT(ISERROR(SEARCH("T",AE152)))</formula>
    </cfRule>
  </conditionalFormatting>
  <conditionalFormatting sqref="AE21:AO21">
    <cfRule type="containsText" dxfId="857" priority="606" operator="containsText" text="17">
      <formula>NOT(ISERROR(SEARCH("17",AE21)))</formula>
    </cfRule>
    <cfRule type="containsText" dxfId="856" priority="607" operator="containsText" text="T">
      <formula>NOT(ISERROR(SEARCH("T",AE21)))</formula>
    </cfRule>
  </conditionalFormatting>
  <conditionalFormatting sqref="AE22:AY27 AE21:AM21">
    <cfRule type="containsText" dxfId="855" priority="613" operator="containsText" text="17">
      <formula>NOT(ISERROR(SEARCH("17",AE21)))</formula>
    </cfRule>
  </conditionalFormatting>
  <conditionalFormatting sqref="AF42:AF47">
    <cfRule type="containsText" dxfId="854" priority="601" operator="containsText" text="T">
      <formula>NOT(ISERROR(SEARCH("T",AF42)))</formula>
    </cfRule>
  </conditionalFormatting>
  <conditionalFormatting sqref="AF69">
    <cfRule type="containsText" dxfId="853" priority="863" operator="containsText" text="T">
      <formula>NOT(ISERROR(SEARCH("T",AF69)))</formula>
    </cfRule>
  </conditionalFormatting>
  <conditionalFormatting sqref="AF99 AJ99:AL99 O100:AI105 AL100:AL105">
    <cfRule type="containsText" dxfId="852" priority="848" operator="containsText" text="T">
      <formula>NOT(ISERROR(SEARCH("T",O99)))</formula>
    </cfRule>
  </conditionalFormatting>
  <conditionalFormatting sqref="AF152">
    <cfRule type="containsText" dxfId="851" priority="759" operator="containsText" text="17">
      <formula>NOT(ISERROR(SEARCH("17",AF152)))</formula>
    </cfRule>
    <cfRule type="containsText" dxfId="850" priority="760" operator="containsText" text="T">
      <formula>NOT(ISERROR(SEARCH("T",AF152)))</formula>
    </cfRule>
  </conditionalFormatting>
  <conditionalFormatting sqref="AF99:AG99 AJ99:AL99 AL100:AL105">
    <cfRule type="containsText" dxfId="849" priority="849" operator="containsText" text="17">
      <formula>NOT(ISERROR(SEARCH("17",AF99)))</formula>
    </cfRule>
  </conditionalFormatting>
  <conditionalFormatting sqref="AF159:AL159">
    <cfRule type="containsText" dxfId="848" priority="750" operator="containsText" text="17">
      <formula>NOT(ISERROR(SEARCH("17",AF159)))</formula>
    </cfRule>
    <cfRule type="containsText" dxfId="847" priority="751" operator="containsText" text="T">
      <formula>NOT(ISERROR(SEARCH("T",AF159)))</formula>
    </cfRule>
  </conditionalFormatting>
  <conditionalFormatting sqref="AF41:AP41">
    <cfRule type="containsText" dxfId="846" priority="593" operator="containsText" text="17">
      <formula>NOT(ISERROR(SEARCH("17",AF41)))</formula>
    </cfRule>
    <cfRule type="containsText" dxfId="845" priority="594" operator="containsText" text="T">
      <formula>NOT(ISERROR(SEARCH("T",AF41)))</formula>
    </cfRule>
  </conditionalFormatting>
  <conditionalFormatting sqref="AF42:AZ47 AF41:AN41">
    <cfRule type="containsText" dxfId="844" priority="600" operator="containsText" text="17">
      <formula>NOT(ISERROR(SEARCH("17",AF41)))</formula>
    </cfRule>
  </conditionalFormatting>
  <conditionalFormatting sqref="AG67:AG68">
    <cfRule type="containsText" dxfId="843" priority="838" operator="containsText" text="T">
      <formula>NOT(ISERROR(SEARCH("T",AG67)))</formula>
    </cfRule>
  </conditionalFormatting>
  <conditionalFormatting sqref="AG97:AG98">
    <cfRule type="containsText" dxfId="842" priority="828" operator="containsText" text="T">
      <formula>NOT(ISERROR(SEARCH("T",AG97)))</formula>
    </cfRule>
  </conditionalFormatting>
  <conditionalFormatting sqref="AG99">
    <cfRule type="containsText" dxfId="841" priority="850" operator="containsText" text="T">
      <formula>NOT(ISERROR(SEARCH("T",AG99)))</formula>
    </cfRule>
  </conditionalFormatting>
  <conditionalFormatting sqref="AG114:AG119">
    <cfRule type="containsText" dxfId="840" priority="910" operator="containsText" text="T">
      <formula>NOT(ISERROR(SEARCH("T",AG114)))</formula>
    </cfRule>
  </conditionalFormatting>
  <conditionalFormatting sqref="AG127:AG130 AK127:AM130">
    <cfRule type="containsText" dxfId="839" priority="808" operator="containsText" text="T">
      <formula>NOT(ISERROR(SEARCH("T",AG127)))</formula>
    </cfRule>
  </conditionalFormatting>
  <conditionalFormatting sqref="AG159">
    <cfRule type="containsText" dxfId="838" priority="746" operator="containsText" text="17">
      <formula>NOT(ISERROR(SEARCH("17",AG159)))</formula>
    </cfRule>
    <cfRule type="containsText" dxfId="837" priority="747" operator="containsText" text="T">
      <formula>NOT(ISERROR(SEARCH("T",AG159)))</formula>
    </cfRule>
  </conditionalFormatting>
  <conditionalFormatting sqref="AG67:AH68">
    <cfRule type="containsText" dxfId="836" priority="839" operator="containsText" text="17">
      <formula>NOT(ISERROR(SEARCH("17",AG67)))</formula>
    </cfRule>
  </conditionalFormatting>
  <conditionalFormatting sqref="AG97:AH98">
    <cfRule type="containsText" dxfId="835" priority="829" operator="containsText" text="17">
      <formula>NOT(ISERROR(SEARCH("17",AG97)))</formula>
    </cfRule>
  </conditionalFormatting>
  <conditionalFormatting sqref="AG127:AH130 AK127:AM130">
    <cfRule type="containsText" dxfId="834" priority="809" operator="containsText" text="17">
      <formula>NOT(ISERROR(SEARCH("17",AG127)))</formula>
    </cfRule>
  </conditionalFormatting>
  <conditionalFormatting sqref="AG207:AM207">
    <cfRule type="containsText" dxfId="833" priority="737" operator="containsText" text="17">
      <formula>NOT(ISERROR(SEARCH("17",AG207)))</formula>
    </cfRule>
    <cfRule type="containsText" dxfId="832" priority="738" operator="containsText" text="T">
      <formula>NOT(ISERROR(SEARCH("T",AG207)))</formula>
    </cfRule>
  </conditionalFormatting>
  <conditionalFormatting sqref="AG28:AO32">
    <cfRule type="containsText" dxfId="831" priority="590" operator="containsText" text="17">
      <formula>NOT(ISERROR(SEARCH("17",AG28)))</formula>
    </cfRule>
  </conditionalFormatting>
  <conditionalFormatting sqref="AG28:AQ32">
    <cfRule type="containsText" dxfId="830" priority="583" operator="containsText" text="17">
      <formula>NOT(ISERROR(SEARCH("17",AG28)))</formula>
    </cfRule>
    <cfRule type="containsText" dxfId="829" priority="584" operator="containsText" text="T">
      <formula>NOT(ISERROR(SEARCH("T",AG28)))</formula>
    </cfRule>
  </conditionalFormatting>
  <conditionalFormatting sqref="AG48:AQ49">
    <cfRule type="containsText" dxfId="828" priority="573" operator="containsText" text="17">
      <formula>NOT(ISERROR(SEARCH("17",AG48)))</formula>
    </cfRule>
  </conditionalFormatting>
  <conditionalFormatting sqref="AG106:AY106">
    <cfRule type="containsText" dxfId="827" priority="411" operator="containsText" text="17">
      <formula>NOT(ISERROR(SEARCH("17",AG106)))</formula>
    </cfRule>
  </conditionalFormatting>
  <conditionalFormatting sqref="AG106:BA106">
    <cfRule type="containsText" dxfId="826" priority="405" operator="containsText" text="T">
      <formula>NOT(ISERROR(SEARCH("T",AG106)))</formula>
    </cfRule>
  </conditionalFormatting>
  <conditionalFormatting sqref="AH67:AH68">
    <cfRule type="containsText" dxfId="825" priority="840" operator="containsText" text="T">
      <formula>NOT(ISERROR(SEARCH("T",AH67)))</formula>
    </cfRule>
  </conditionalFormatting>
  <conditionalFormatting sqref="AH77:AH82">
    <cfRule type="containsText" dxfId="824" priority="897" operator="containsText" text="T">
      <formula>NOT(ISERROR(SEARCH("T",AH77)))</formula>
    </cfRule>
  </conditionalFormatting>
  <conditionalFormatting sqref="AH97:AH98">
    <cfRule type="containsText" dxfId="823" priority="830" operator="containsText" text="T">
      <formula>NOT(ISERROR(SEARCH("T",AH97)))</formula>
    </cfRule>
  </conditionalFormatting>
  <conditionalFormatting sqref="AH127:AH130">
    <cfRule type="containsText" dxfId="822" priority="810" operator="containsText" text="T">
      <formula>NOT(ISERROR(SEARCH("T",AH127)))</formula>
    </cfRule>
  </conditionalFormatting>
  <conditionalFormatting sqref="AH131 AL131:AN131 Q132:AK137 AN132:AN137">
    <cfRule type="containsText" dxfId="821" priority="795" operator="containsText" text="T">
      <formula>NOT(ISERROR(SEARCH("T",Q131)))</formula>
    </cfRule>
  </conditionalFormatting>
  <conditionalFormatting sqref="AH207">
    <cfRule type="containsText" dxfId="820" priority="733" operator="containsText" text="17">
      <formula>NOT(ISERROR(SEARCH("17",AH207)))</formula>
    </cfRule>
    <cfRule type="containsText" dxfId="819" priority="734" operator="containsText" text="T">
      <formula>NOT(ISERROR(SEARCH("T",AH207)))</formula>
    </cfRule>
  </conditionalFormatting>
  <conditionalFormatting sqref="AH131:AI131 AL131:AN131 AN132:AN137">
    <cfRule type="containsText" dxfId="818" priority="796" operator="containsText" text="17">
      <formula>NOT(ISERROR(SEARCH("17",AH131)))</formula>
    </cfRule>
  </conditionalFormatting>
  <conditionalFormatting sqref="AH200:AN200">
    <cfRule type="containsText" dxfId="817" priority="724" operator="containsText" text="17">
      <formula>NOT(ISERROR(SEARCH("17",AH200)))</formula>
    </cfRule>
    <cfRule type="containsText" dxfId="816" priority="725" operator="containsText" text="T">
      <formula>NOT(ISERROR(SEARCH("T",AH200)))</formula>
    </cfRule>
  </conditionalFormatting>
  <conditionalFormatting sqref="AH50:AP53">
    <cfRule type="containsText" dxfId="815" priority="570" operator="containsText" text="17">
      <formula>NOT(ISERROR(SEARCH("17",AH50)))</formula>
    </cfRule>
  </conditionalFormatting>
  <conditionalFormatting sqref="AH50:AR53">
    <cfRule type="containsText" dxfId="814" priority="563" operator="containsText" text="17">
      <formula>NOT(ISERROR(SEARCH("17",AH50)))</formula>
    </cfRule>
  </conditionalFormatting>
  <conditionalFormatting sqref="AH63:AR66">
    <cfRule type="containsText" dxfId="813" priority="553" operator="containsText" text="17">
      <formula>NOT(ISERROR(SEARCH("17",AH63)))</formula>
    </cfRule>
  </conditionalFormatting>
  <conditionalFormatting sqref="AH113:AU116">
    <cfRule type="containsText" dxfId="812" priority="476" operator="containsText" text="17">
      <formula>NOT(ISERROR(SEARCH("17",AH113)))</formula>
    </cfRule>
  </conditionalFormatting>
  <conditionalFormatting sqref="AH117:AV119">
    <cfRule type="containsText" dxfId="811" priority="466" operator="containsText" text="17">
      <formula>NOT(ISERROR(SEARCH("17",AH117)))</formula>
    </cfRule>
  </conditionalFormatting>
  <conditionalFormatting sqref="AH113:AW116">
    <cfRule type="containsText" dxfId="810" priority="470" operator="containsText" text="T">
      <formula>NOT(ISERROR(SEARCH("T",AH113)))</formula>
    </cfRule>
  </conditionalFormatting>
  <conditionalFormatting sqref="AH117:AX119">
    <cfRule type="containsText" dxfId="809" priority="460" operator="containsText" text="T">
      <formula>NOT(ISERROR(SEARCH("T",AH117)))</formula>
    </cfRule>
  </conditionalFormatting>
  <conditionalFormatting sqref="AI131">
    <cfRule type="containsText" dxfId="808" priority="797" operator="containsText" text="T">
      <formula>NOT(ISERROR(SEARCH("T",AI131)))</formula>
    </cfRule>
  </conditionalFormatting>
  <conditionalFormatting sqref="AI138 AM138:AO138 R139:AL144 AO139:AO144">
    <cfRule type="containsText" dxfId="807" priority="782" operator="containsText" text="T">
      <formula>NOT(ISERROR(SEARCH("T",R138)))</formula>
    </cfRule>
  </conditionalFormatting>
  <conditionalFormatting sqref="AI200">
    <cfRule type="containsText" dxfId="806" priority="720" operator="containsText" text="17">
      <formula>NOT(ISERROR(SEARCH("17",AI200)))</formula>
    </cfRule>
    <cfRule type="containsText" dxfId="805" priority="721" operator="containsText" text="T">
      <formula>NOT(ISERROR(SEARCH("T",AI200)))</formula>
    </cfRule>
  </conditionalFormatting>
  <conditionalFormatting sqref="AI138:AJ138 AM138:AO138 AO139:AO144">
    <cfRule type="containsText" dxfId="804" priority="783" operator="containsText" text="17">
      <formula>NOT(ISERROR(SEARCH("17",AI138)))</formula>
    </cfRule>
  </conditionalFormatting>
  <conditionalFormatting sqref="AI107:AO112">
    <cfRule type="containsText" dxfId="803" priority="884" operator="containsText" text="T">
      <formula>NOT(ISERROR(SEARCH("T",AI107)))</formula>
    </cfRule>
  </conditionalFormatting>
  <conditionalFormatting sqref="AI192:AO192">
    <cfRule type="containsText" dxfId="802" priority="701" operator="containsText" text="T">
      <formula>NOT(ISERROR(SEARCH("T",AI192)))</formula>
    </cfRule>
  </conditionalFormatting>
  <conditionalFormatting sqref="AI193:AO193">
    <cfRule type="containsText" dxfId="801" priority="711" operator="containsText" text="17">
      <formula>NOT(ISERROR(SEARCH("17",AI193)))</formula>
    </cfRule>
    <cfRule type="containsText" dxfId="800" priority="712" operator="containsText" text="T">
      <formula>NOT(ISERROR(SEARCH("T",AI193)))</formula>
    </cfRule>
  </conditionalFormatting>
  <conditionalFormatting sqref="AI192:AP192 AS192:AU192">
    <cfRule type="containsText" dxfId="799" priority="699" operator="containsText" text="17">
      <formula>NOT(ISERROR(SEARCH("17",AI192)))</formula>
    </cfRule>
  </conditionalFormatting>
  <conditionalFormatting sqref="AI59:AS62">
    <cfRule type="containsText" dxfId="798" priority="539" operator="containsText" text="17">
      <formula>NOT(ISERROR(SEARCH("17",AI59)))</formula>
    </cfRule>
  </conditionalFormatting>
  <conditionalFormatting sqref="AI86:AS89">
    <cfRule type="containsText" dxfId="797" priority="529" operator="containsText" text="17">
      <formula>NOT(ISERROR(SEARCH("17",AI86)))</formula>
    </cfRule>
  </conditionalFormatting>
  <conditionalFormatting sqref="AI79:AV82">
    <cfRule type="containsText" dxfId="796" priority="456" operator="containsText" text="17">
      <formula>NOT(ISERROR(SEARCH("17",AI79)))</formula>
    </cfRule>
  </conditionalFormatting>
  <conditionalFormatting sqref="AI76:AX78">
    <cfRule type="containsText" dxfId="795" priority="431" operator="containsText" text="17">
      <formula>NOT(ISERROR(SEARCH("17",AI76)))</formula>
    </cfRule>
  </conditionalFormatting>
  <conditionalFormatting sqref="AI79:AX82">
    <cfRule type="containsText" dxfId="794" priority="450" operator="containsText" text="T">
      <formula>NOT(ISERROR(SEARCH("T",AI79)))</formula>
    </cfRule>
  </conditionalFormatting>
  <conditionalFormatting sqref="AI76:AZ78">
    <cfRule type="containsText" dxfId="793" priority="425" operator="containsText" text="T">
      <formula>NOT(ISERROR(SEARCH("T",AI76)))</formula>
    </cfRule>
  </conditionalFormatting>
  <conditionalFormatting sqref="AJ120:AJ126">
    <cfRule type="containsText" dxfId="792" priority="445" operator="containsText" text="17">
      <formula>NOT(ISERROR(SEARCH("17",AJ120)))</formula>
    </cfRule>
    <cfRule type="containsText" dxfId="791" priority="448" operator="containsText" text="T">
      <formula>NOT(ISERROR(SEARCH("T",AJ120)))</formula>
    </cfRule>
  </conditionalFormatting>
  <conditionalFormatting sqref="AJ138">
    <cfRule type="containsText" dxfId="790" priority="784" operator="containsText" text="T">
      <formula>NOT(ISERROR(SEARCH("T",AJ138)))</formula>
    </cfRule>
  </conditionalFormatting>
  <conditionalFormatting sqref="AJ145 AN145:AP145 S146:AM151 AP146:AP151">
    <cfRule type="containsText" dxfId="789" priority="769" operator="containsText" text="T">
      <formula>NOT(ISERROR(SEARCH("T",S145)))</formula>
    </cfRule>
  </conditionalFormatting>
  <conditionalFormatting sqref="AJ192:AJ193">
    <cfRule type="containsText" dxfId="788" priority="707" operator="containsText" text="17">
      <formula>NOT(ISERROR(SEARCH("17",AJ192)))</formula>
    </cfRule>
    <cfRule type="containsText" dxfId="787" priority="708" operator="containsText" text="T">
      <formula>NOT(ISERROR(SEARCH("T",AJ192)))</formula>
    </cfRule>
  </conditionalFormatting>
  <conditionalFormatting sqref="AJ145:AK145 AN145:AP145 AP146:AP151">
    <cfRule type="containsText" dxfId="786" priority="770" operator="containsText" text="17">
      <formula>NOT(ISERROR(SEARCH("17",AJ145)))</formula>
    </cfRule>
  </conditionalFormatting>
  <conditionalFormatting sqref="AJ168:AP168">
    <cfRule type="containsText" dxfId="785" priority="693" operator="containsText" text="17">
      <formula>NOT(ISERROR(SEARCH("17",AJ168)))</formula>
    </cfRule>
    <cfRule type="containsText" dxfId="784" priority="694" operator="containsText" text="T">
      <formula>NOT(ISERROR(SEARCH("T",AJ168)))</formula>
    </cfRule>
  </conditionalFormatting>
  <conditionalFormatting sqref="AJ83:AT85">
    <cfRule type="containsText" dxfId="783" priority="519" operator="containsText" text="17">
      <formula>NOT(ISERROR(SEARCH("17",AJ83)))</formula>
    </cfRule>
  </conditionalFormatting>
  <conditionalFormatting sqref="AJ214:AT217">
    <cfRule type="containsText" dxfId="782" priority="509" operator="containsText" text="17">
      <formula>NOT(ISERROR(SEARCH("17",AJ214)))</formula>
    </cfRule>
  </conditionalFormatting>
  <conditionalFormatting sqref="AK70:AK75">
    <cfRule type="containsText" dxfId="781" priority="871" operator="containsText" text="T">
      <formula>NOT(ISERROR(SEARCH("T",AK70)))</formula>
    </cfRule>
  </conditionalFormatting>
  <conditionalFormatting sqref="AK129:AK130 P127:X130">
    <cfRule type="containsText" dxfId="780" priority="813" operator="containsText" text="17">
      <formula>NOT(ISERROR(SEARCH("17",P127)))</formula>
    </cfRule>
  </conditionalFormatting>
  <conditionalFormatting sqref="AK145">
    <cfRule type="containsText" dxfId="779" priority="771" operator="containsText" text="T">
      <formula>NOT(ISERROR(SEARCH("T",AK145)))</formula>
    </cfRule>
  </conditionalFormatting>
  <conditionalFormatting sqref="AK152 AO152:AQ152 T153:AN158 AQ153:AQ158">
    <cfRule type="containsText" dxfId="778" priority="756" operator="containsText" text="T">
      <formula>NOT(ISERROR(SEARCH("T",T152)))</formula>
    </cfRule>
  </conditionalFormatting>
  <conditionalFormatting sqref="AK168">
    <cfRule type="containsText" dxfId="777" priority="689" operator="containsText" text="17">
      <formula>NOT(ISERROR(SEARCH("17",AK168)))</formula>
    </cfRule>
    <cfRule type="containsText" dxfId="776" priority="690" operator="containsText" text="T">
      <formula>NOT(ISERROR(SEARCH("T",AK168)))</formula>
    </cfRule>
  </conditionalFormatting>
  <conditionalFormatting sqref="AK152:AL152 AO152:AQ152 AQ153:AQ158">
    <cfRule type="containsText" dxfId="775" priority="757" operator="containsText" text="17">
      <formula>NOT(ISERROR(SEARCH("17",AK152)))</formula>
    </cfRule>
  </conditionalFormatting>
  <conditionalFormatting sqref="AK175:AQ175">
    <cfRule type="containsText" dxfId="774" priority="680" operator="containsText" text="17">
      <formula>NOT(ISERROR(SEARCH("17",AK175)))</formula>
    </cfRule>
    <cfRule type="containsText" dxfId="773" priority="681" operator="containsText" text="T">
      <formula>NOT(ISERROR(SEARCH("T",AK175)))</formula>
    </cfRule>
  </conditionalFormatting>
  <conditionalFormatting sqref="AK218:AU224">
    <cfRule type="containsText" dxfId="772" priority="499" operator="containsText" text="17">
      <formula>NOT(ISERROR(SEARCH("17",AK218)))</formula>
    </cfRule>
  </conditionalFormatting>
  <conditionalFormatting sqref="AK120:AY120">
    <cfRule type="containsText" dxfId="771" priority="391" operator="containsText" text="17">
      <formula>NOT(ISERROR(SEARCH("17",AK120)))</formula>
    </cfRule>
  </conditionalFormatting>
  <conditionalFormatting sqref="AK122:AY122">
    <cfRule type="containsText" dxfId="770" priority="381" operator="containsText" text="17">
      <formula>NOT(ISERROR(SEARCH("17",AK122)))</formula>
    </cfRule>
  </conditionalFormatting>
  <conditionalFormatting sqref="AK124:AY126">
    <cfRule type="containsText" dxfId="769" priority="401" operator="containsText" text="17">
      <formula>NOT(ISERROR(SEARCH("17",AK124)))</formula>
    </cfRule>
  </conditionalFormatting>
  <conditionalFormatting sqref="AK121:AZ121">
    <cfRule type="containsText" dxfId="768" priority="361" operator="containsText" text="17">
      <formula>NOT(ISERROR(SEARCH("17",AK121)))</formula>
    </cfRule>
  </conditionalFormatting>
  <conditionalFormatting sqref="AK123:AZ123">
    <cfRule type="containsText" dxfId="767" priority="351" operator="containsText" text="17">
      <formula>NOT(ISERROR(SEARCH("17",AK123)))</formula>
    </cfRule>
  </conditionalFormatting>
  <conditionalFormatting sqref="AK67:BA68">
    <cfRule type="containsText" dxfId="766" priority="311" operator="containsText" text="17">
      <formula>NOT(ISERROR(SEARCH("17",AK67)))</formula>
    </cfRule>
  </conditionalFormatting>
  <conditionalFormatting sqref="AK120:BA120">
    <cfRule type="containsText" dxfId="765" priority="385" operator="containsText" text="T">
      <formula>NOT(ISERROR(SEARCH("T",AK120)))</formula>
    </cfRule>
  </conditionalFormatting>
  <conditionalFormatting sqref="AK122:BA122">
    <cfRule type="containsText" dxfId="764" priority="375" operator="containsText" text="T">
      <formula>NOT(ISERROR(SEARCH("T",AK122)))</formula>
    </cfRule>
  </conditionalFormatting>
  <conditionalFormatting sqref="AK124:BA126">
    <cfRule type="containsText" dxfId="763" priority="395" operator="containsText" text="T">
      <formula>NOT(ISERROR(SEARCH("T",AK124)))</formula>
    </cfRule>
  </conditionalFormatting>
  <conditionalFormatting sqref="AK97:BB98">
    <cfRule type="containsText" dxfId="762" priority="301" operator="containsText" text="17">
      <formula>NOT(ISERROR(SEARCH("17",AK97)))</formula>
    </cfRule>
  </conditionalFormatting>
  <conditionalFormatting sqref="AK121:BB121">
    <cfRule type="containsText" dxfId="761" priority="355" operator="containsText" text="T">
      <formula>NOT(ISERROR(SEARCH("T",AK121)))</formula>
    </cfRule>
  </conditionalFormatting>
  <conditionalFormatting sqref="AK123:BB123">
    <cfRule type="containsText" dxfId="760" priority="345" operator="containsText" text="T">
      <formula>NOT(ISERROR(SEARCH("T",AK123)))</formula>
    </cfRule>
  </conditionalFormatting>
  <conditionalFormatting sqref="AK67:BC68">
    <cfRule type="containsText" dxfId="759" priority="305" operator="containsText" text="T">
      <formula>NOT(ISERROR(SEARCH("T",AK67)))</formula>
    </cfRule>
  </conditionalFormatting>
  <conditionalFormatting sqref="AK97:BD98">
    <cfRule type="containsText" dxfId="758" priority="295" operator="containsText" text="T">
      <formula>NOT(ISERROR(SEARCH("T",AK97)))</formula>
    </cfRule>
  </conditionalFormatting>
  <conditionalFormatting sqref="AL100:AL105">
    <cfRule type="containsText" dxfId="757" priority="858" operator="containsText" text="T">
      <formula>NOT(ISERROR(SEARCH("T",AL100)))</formula>
    </cfRule>
  </conditionalFormatting>
  <conditionalFormatting sqref="AL152">
    <cfRule type="containsText" dxfId="756" priority="758" operator="containsText" text="T">
      <formula>NOT(ISERROR(SEARCH("T",AL152)))</formula>
    </cfRule>
  </conditionalFormatting>
  <conditionalFormatting sqref="AL159 AP159:AR159 U160:AO165 AR160:AR165">
    <cfRule type="containsText" dxfId="755" priority="743" operator="containsText" text="T">
      <formula>NOT(ISERROR(SEARCH("T",U159)))</formula>
    </cfRule>
  </conditionalFormatting>
  <conditionalFormatting sqref="AL175">
    <cfRule type="containsText" dxfId="754" priority="676" operator="containsText" text="17">
      <formula>NOT(ISERROR(SEARCH("17",AL175)))</formula>
    </cfRule>
    <cfRule type="containsText" dxfId="753" priority="677" operator="containsText" text="T">
      <formula>NOT(ISERROR(SEARCH("T",AL175)))</formula>
    </cfRule>
  </conditionalFormatting>
  <conditionalFormatting sqref="AL159:AM159 AP159:AR159 AR160:AR165">
    <cfRule type="containsText" dxfId="752" priority="744" operator="containsText" text="17">
      <formula>NOT(ISERROR(SEARCH("17",AL159)))</formula>
    </cfRule>
  </conditionalFormatting>
  <conditionalFormatting sqref="AL182:AR182">
    <cfRule type="containsText" dxfId="751" priority="667" operator="containsText" text="17">
      <formula>NOT(ISERROR(SEARCH("17",AL182)))</formula>
    </cfRule>
    <cfRule type="containsText" dxfId="750" priority="668" operator="containsText" text="T">
      <formula>NOT(ISERROR(SEARCH("T",AL182)))</formula>
    </cfRule>
  </conditionalFormatting>
  <conditionalFormatting sqref="AL225:AV231">
    <cfRule type="containsText" dxfId="749" priority="489" operator="containsText" text="17">
      <formula>NOT(ISERROR(SEARCH("17",AL225)))</formula>
    </cfRule>
  </conditionalFormatting>
  <conditionalFormatting sqref="AL72:AY75">
    <cfRule type="containsText" dxfId="748" priority="421" operator="containsText" text="17">
      <formula>NOT(ISERROR(SEARCH("17",AL72)))</formula>
    </cfRule>
  </conditionalFormatting>
  <conditionalFormatting sqref="AL69:AZ71">
    <cfRule type="containsText" dxfId="747" priority="341" operator="containsText" text="17">
      <formula>NOT(ISERROR(SEARCH("17",AL69)))</formula>
    </cfRule>
  </conditionalFormatting>
  <conditionalFormatting sqref="AL72:BA75">
    <cfRule type="containsText" dxfId="746" priority="415" operator="containsText" text="T">
      <formula>NOT(ISERROR(SEARCH("T",AL72)))</formula>
    </cfRule>
  </conditionalFormatting>
  <conditionalFormatting sqref="AL69:BB71">
    <cfRule type="containsText" dxfId="745" priority="335" operator="containsText" text="T">
      <formula>NOT(ISERROR(SEARCH("T",AL69)))</formula>
    </cfRule>
  </conditionalFormatting>
  <conditionalFormatting sqref="AM159">
    <cfRule type="containsText" dxfId="744" priority="745" operator="containsText" text="T">
      <formula>NOT(ISERROR(SEARCH("T",AM159)))</formula>
    </cfRule>
  </conditionalFormatting>
  <conditionalFormatting sqref="AM182">
    <cfRule type="containsText" dxfId="743" priority="663" operator="containsText" text="17">
      <formula>NOT(ISERROR(SEARCH("17",AM182)))</formula>
    </cfRule>
    <cfRule type="containsText" dxfId="742" priority="664" operator="containsText" text="T">
      <formula>NOT(ISERROR(SEARCH("T",AM182)))</formula>
    </cfRule>
  </conditionalFormatting>
  <conditionalFormatting sqref="AM207 AQ207:AS207 V208:AP213 AS208:AS213">
    <cfRule type="containsText" dxfId="741" priority="730" operator="containsText" text="T">
      <formula>NOT(ISERROR(SEARCH("T",V207)))</formula>
    </cfRule>
  </conditionalFormatting>
  <conditionalFormatting sqref="AM207:AN207 AQ207:AS207 AS208:AS213">
    <cfRule type="containsText" dxfId="740" priority="731" operator="containsText" text="17">
      <formula>NOT(ISERROR(SEARCH("17",AM207)))</formula>
    </cfRule>
  </conditionalFormatting>
  <conditionalFormatting sqref="AM90:AS90">
    <cfRule type="containsText" dxfId="739" priority="654" operator="containsText" text="17">
      <formula>NOT(ISERROR(SEARCH("17",AM90)))</formula>
    </cfRule>
    <cfRule type="containsText" dxfId="738" priority="655" operator="containsText" text="T">
      <formula>NOT(ISERROR(SEARCH("T",AM90)))</formula>
    </cfRule>
  </conditionalFormatting>
  <conditionalFormatting sqref="AM113:AW116">
    <cfRule type="containsText" dxfId="737" priority="469" operator="containsText" text="17">
      <formula>NOT(ISERROR(SEARCH("17",AM113)))</formula>
    </cfRule>
  </conditionalFormatting>
  <conditionalFormatting sqref="AM232:AW234">
    <cfRule type="containsText" dxfId="736" priority="479" operator="containsText" text="17">
      <formula>NOT(ISERROR(SEARCH("17",AM232)))</formula>
    </cfRule>
  </conditionalFormatting>
  <conditionalFormatting sqref="AM103:AZ104">
    <cfRule type="containsText" dxfId="735" priority="371" operator="containsText" text="17">
      <formula>NOT(ISERROR(SEARCH("17",AM103)))</formula>
    </cfRule>
  </conditionalFormatting>
  <conditionalFormatting sqref="AM99:BA102">
    <cfRule type="containsText" dxfId="734" priority="331" operator="containsText" text="17">
      <formula>NOT(ISERROR(SEARCH("17",AM99)))</formula>
    </cfRule>
  </conditionalFormatting>
  <conditionalFormatting sqref="AM105:BA105">
    <cfRule type="containsText" dxfId="733" priority="321" operator="containsText" text="17">
      <formula>NOT(ISERROR(SEARCH("17",AM105)))</formula>
    </cfRule>
  </conditionalFormatting>
  <conditionalFormatting sqref="AM103:BB104">
    <cfRule type="containsText" dxfId="732" priority="365" operator="containsText" text="T">
      <formula>NOT(ISERROR(SEARCH("T",AM103)))</formula>
    </cfRule>
  </conditionalFormatting>
  <conditionalFormatting sqref="AM99:BC102">
    <cfRule type="containsText" dxfId="731" priority="325" operator="containsText" text="T">
      <formula>NOT(ISERROR(SEARCH("T",AM99)))</formula>
    </cfRule>
  </conditionalFormatting>
  <conditionalFormatting sqref="AM105:BC105">
    <cfRule type="containsText" dxfId="730" priority="315" operator="containsText" text="T">
      <formula>NOT(ISERROR(SEARCH("T",AM105)))</formula>
    </cfRule>
  </conditionalFormatting>
  <conditionalFormatting sqref="AN90">
    <cfRule type="containsText" dxfId="729" priority="650" operator="containsText" text="17">
      <formula>NOT(ISERROR(SEARCH("17",AN90)))</formula>
    </cfRule>
    <cfRule type="containsText" dxfId="728" priority="651" operator="containsText" text="T">
      <formula>NOT(ISERROR(SEARCH("T",AN90)))</formula>
    </cfRule>
  </conditionalFormatting>
  <conditionalFormatting sqref="AN132:AN137">
    <cfRule type="containsText" dxfId="727" priority="805" operator="containsText" text="T">
      <formula>NOT(ISERROR(SEARCH("T",AN132)))</formula>
    </cfRule>
  </conditionalFormatting>
  <conditionalFormatting sqref="AN200 AR200:AT200 W201:AQ206 AT201:AT206">
    <cfRule type="containsText" dxfId="726" priority="717" operator="containsText" text="T">
      <formula>NOT(ISERROR(SEARCH("T",W200)))</formula>
    </cfRule>
  </conditionalFormatting>
  <conditionalFormatting sqref="AN207">
    <cfRule type="containsText" dxfId="725" priority="732" operator="containsText" text="T">
      <formula>NOT(ISERROR(SEARCH("T",AN207)))</formula>
    </cfRule>
  </conditionalFormatting>
  <conditionalFormatting sqref="AN200:AO200 AR200:AT200 AT201:AT206">
    <cfRule type="containsText" dxfId="724" priority="718" operator="containsText" text="17">
      <formula>NOT(ISERROR(SEARCH("17",AN200)))</formula>
    </cfRule>
  </conditionalFormatting>
  <conditionalFormatting sqref="AN14:AT14">
    <cfRule type="containsText" dxfId="723" priority="641" operator="containsText" text="17">
      <formula>NOT(ISERROR(SEARCH("17",AN14)))</formula>
    </cfRule>
    <cfRule type="containsText" dxfId="722" priority="642" operator="containsText" text="T">
      <formula>NOT(ISERROR(SEARCH("T",AN14)))</formula>
    </cfRule>
  </conditionalFormatting>
  <conditionalFormatting sqref="AN79:AX82">
    <cfRule type="containsText" dxfId="721" priority="449" operator="containsText" text="17">
      <formula>NOT(ISERROR(SEARCH("17",AN79)))</formula>
    </cfRule>
  </conditionalFormatting>
  <conditionalFormatting sqref="AN117:AX119">
    <cfRule type="containsText" dxfId="720" priority="459" operator="containsText" text="17">
      <formula>NOT(ISERROR(SEARCH("17",AN117)))</formula>
    </cfRule>
  </conditionalFormatting>
  <conditionalFormatting sqref="AO14">
    <cfRule type="containsText" dxfId="719" priority="637" operator="containsText" text="17">
      <formula>NOT(ISERROR(SEARCH("17",AO14)))</formula>
    </cfRule>
    <cfRule type="containsText" dxfId="718" priority="638" operator="containsText" text="T">
      <formula>NOT(ISERROR(SEARCH("T",AO14)))</formula>
    </cfRule>
  </conditionalFormatting>
  <conditionalFormatting sqref="AO139:AO144">
    <cfRule type="containsText" dxfId="717" priority="792" operator="containsText" text="T">
      <formula>NOT(ISERROR(SEARCH("T",AO139)))</formula>
    </cfRule>
  </conditionalFormatting>
  <conditionalFormatting sqref="AO192:AO193 AS192:AU193 X194:AR199 AU194:AU199">
    <cfRule type="containsText" dxfId="716" priority="704" operator="containsText" text="T">
      <formula>NOT(ISERROR(SEARCH("T",X192)))</formula>
    </cfRule>
  </conditionalFormatting>
  <conditionalFormatting sqref="AO200">
    <cfRule type="containsText" dxfId="715" priority="719" operator="containsText" text="T">
      <formula>NOT(ISERROR(SEARCH("T",AO200)))</formula>
    </cfRule>
  </conditionalFormatting>
  <conditionalFormatting sqref="AO193:AP193 AS193:AU193 AU194:AU199">
    <cfRule type="containsText" dxfId="714" priority="705" operator="containsText" text="17">
      <formula>NOT(ISERROR(SEARCH("17",AO193)))</formula>
    </cfRule>
  </conditionalFormatting>
  <conditionalFormatting sqref="AO34:AU34">
    <cfRule type="containsText" dxfId="713" priority="628" operator="containsText" text="17">
      <formula>NOT(ISERROR(SEARCH("17",AO34)))</formula>
    </cfRule>
    <cfRule type="containsText" dxfId="712" priority="629" operator="containsText" text="T">
      <formula>NOT(ISERROR(SEARCH("T",AO34)))</formula>
    </cfRule>
  </conditionalFormatting>
  <conditionalFormatting sqref="AO131:BB137">
    <cfRule type="containsText" dxfId="711" priority="291" operator="containsText" text="17">
      <formula>NOT(ISERROR(SEARCH("17",AO131)))</formula>
    </cfRule>
  </conditionalFormatting>
  <conditionalFormatting sqref="AO131:BD137">
    <cfRule type="containsText" dxfId="710" priority="285" operator="containsText" text="T">
      <formula>NOT(ISERROR(SEARCH("T",AO131)))</formula>
    </cfRule>
  </conditionalFormatting>
  <conditionalFormatting sqref="AP34">
    <cfRule type="containsText" dxfId="709" priority="624" operator="containsText" text="17">
      <formula>NOT(ISERROR(SEARCH("17",AP34)))</formula>
    </cfRule>
    <cfRule type="containsText" dxfId="708" priority="625" operator="containsText" text="T">
      <formula>NOT(ISERROR(SEARCH("T",AP34)))</formula>
    </cfRule>
  </conditionalFormatting>
  <conditionalFormatting sqref="AP146:AP151">
    <cfRule type="containsText" dxfId="707" priority="779" operator="containsText" text="T">
      <formula>NOT(ISERROR(SEARCH("T",AP146)))</formula>
    </cfRule>
  </conditionalFormatting>
  <conditionalFormatting sqref="AP168 AT168:AV168 Y169:AS174 AV169:AV174">
    <cfRule type="containsText" dxfId="706" priority="686" operator="containsText" text="T">
      <formula>NOT(ISERROR(SEARCH("T",Y168)))</formula>
    </cfRule>
  </conditionalFormatting>
  <conditionalFormatting sqref="AP192:AP193">
    <cfRule type="containsText" dxfId="705" priority="706" operator="containsText" text="T">
      <formula>NOT(ISERROR(SEARCH("T",AP192)))</formula>
    </cfRule>
  </conditionalFormatting>
  <conditionalFormatting sqref="AP168:AQ168 AT168:AV168 AV169:AV174">
    <cfRule type="containsText" dxfId="704" priority="687" operator="containsText" text="17">
      <formula>NOT(ISERROR(SEARCH("17",AP168)))</formula>
    </cfRule>
  </conditionalFormatting>
  <conditionalFormatting sqref="AP21:AV21">
    <cfRule type="containsText" dxfId="703" priority="615" operator="containsText" text="17">
      <formula>NOT(ISERROR(SEARCH("17",AP21)))</formula>
    </cfRule>
    <cfRule type="containsText" dxfId="702" priority="616" operator="containsText" text="T">
      <formula>NOT(ISERROR(SEARCH("T",AP21)))</formula>
    </cfRule>
  </conditionalFormatting>
  <conditionalFormatting sqref="AP107:AX112">
    <cfRule type="containsText" dxfId="701" priority="441" operator="containsText" text="17">
      <formula>NOT(ISERROR(SEARCH("17",AP107)))</formula>
    </cfRule>
  </conditionalFormatting>
  <conditionalFormatting sqref="AP76:AZ78">
    <cfRule type="containsText" dxfId="700" priority="424" operator="containsText" text="17">
      <formula>NOT(ISERROR(SEARCH("17",AP76)))</formula>
    </cfRule>
  </conditionalFormatting>
  <conditionalFormatting sqref="AP107:AZ112">
    <cfRule type="containsText" dxfId="699" priority="434" operator="containsText" text="17">
      <formula>NOT(ISERROR(SEARCH("17",AP107)))</formula>
    </cfRule>
    <cfRule type="containsText" dxfId="698" priority="435" operator="containsText" text="T">
      <formula>NOT(ISERROR(SEARCH("T",AP107)))</formula>
    </cfRule>
  </conditionalFormatting>
  <conditionalFormatting sqref="AP138:BC144">
    <cfRule type="containsText" dxfId="697" priority="281" operator="containsText" text="17">
      <formula>NOT(ISERROR(SEARCH("17",AP138)))</formula>
    </cfRule>
  </conditionalFormatting>
  <conditionalFormatting sqref="AP138:BE144">
    <cfRule type="containsText" dxfId="696" priority="275" operator="containsText" text="T">
      <formula>NOT(ISERROR(SEARCH("T",AP138)))</formula>
    </cfRule>
  </conditionalFormatting>
  <conditionalFormatting sqref="AQ21">
    <cfRule type="containsText" dxfId="695" priority="611" operator="containsText" text="17">
      <formula>NOT(ISERROR(SEARCH("17",AQ21)))</formula>
    </cfRule>
    <cfRule type="containsText" dxfId="694" priority="612" operator="containsText" text="T">
      <formula>NOT(ISERROR(SEARCH("T",AQ21)))</formula>
    </cfRule>
  </conditionalFormatting>
  <conditionalFormatting sqref="AQ153:AQ158">
    <cfRule type="containsText" dxfId="693" priority="766" operator="containsText" text="T">
      <formula>NOT(ISERROR(SEARCH("T",AQ153)))</formula>
    </cfRule>
  </conditionalFormatting>
  <conditionalFormatting sqref="AQ168">
    <cfRule type="containsText" dxfId="692" priority="688" operator="containsText" text="T">
      <formula>NOT(ISERROR(SEARCH("T",AQ168)))</formula>
    </cfRule>
  </conditionalFormatting>
  <conditionalFormatting sqref="AQ175 AU175:AW175 Z176:AT181 AW176:AW181">
    <cfRule type="containsText" dxfId="691" priority="673" operator="containsText" text="T">
      <formula>NOT(ISERROR(SEARCH("T",Z175)))</formula>
    </cfRule>
  </conditionalFormatting>
  <conditionalFormatting sqref="AQ175:AR175 AU175:AW175 AW176:AW181">
    <cfRule type="containsText" dxfId="690" priority="674" operator="containsText" text="17">
      <formula>NOT(ISERROR(SEARCH("17",AQ175)))</formula>
    </cfRule>
  </conditionalFormatting>
  <conditionalFormatting sqref="AQ41:AW41">
    <cfRule type="containsText" dxfId="689" priority="602" operator="containsText" text="17">
      <formula>NOT(ISERROR(SEARCH("17",AQ41)))</formula>
    </cfRule>
    <cfRule type="containsText" dxfId="688" priority="603" operator="containsText" text="T">
      <formula>NOT(ISERROR(SEARCH("T",AQ41)))</formula>
    </cfRule>
  </conditionalFormatting>
  <conditionalFormatting sqref="AQ72:BA75">
    <cfRule type="containsText" dxfId="687" priority="414" operator="containsText" text="17">
      <formula>NOT(ISERROR(SEARCH("17",AQ72)))</formula>
    </cfRule>
  </conditionalFormatting>
  <conditionalFormatting sqref="AQ106:BA106">
    <cfRule type="containsText" dxfId="686" priority="404" operator="containsText" text="17">
      <formula>NOT(ISERROR(SEARCH("17",AQ106)))</formula>
    </cfRule>
  </conditionalFormatting>
  <conditionalFormatting sqref="AQ120:BA120">
    <cfRule type="containsText" dxfId="685" priority="384" operator="containsText" text="17">
      <formula>NOT(ISERROR(SEARCH("17",AQ120)))</formula>
    </cfRule>
  </conditionalFormatting>
  <conditionalFormatting sqref="AQ122:BA122">
    <cfRule type="containsText" dxfId="684" priority="374" operator="containsText" text="17">
      <formula>NOT(ISERROR(SEARCH("17",AQ122)))</formula>
    </cfRule>
  </conditionalFormatting>
  <conditionalFormatting sqref="AQ124:BA126">
    <cfRule type="containsText" dxfId="683" priority="394" operator="containsText" text="17">
      <formula>NOT(ISERROR(SEARCH("17",AQ124)))</formula>
    </cfRule>
  </conditionalFormatting>
  <conditionalFormatting sqref="AQ145:BD151">
    <cfRule type="containsText" dxfId="682" priority="271" operator="containsText" text="17">
      <formula>NOT(ISERROR(SEARCH("17",AQ145)))</formula>
    </cfRule>
  </conditionalFormatting>
  <conditionalFormatting sqref="AQ145:BF151">
    <cfRule type="containsText" dxfId="681" priority="265" operator="containsText" text="T">
      <formula>NOT(ISERROR(SEARCH("T",AQ145)))</formula>
    </cfRule>
  </conditionalFormatting>
  <conditionalFormatting sqref="AR41">
    <cfRule type="containsText" dxfId="680" priority="598" operator="containsText" text="17">
      <formula>NOT(ISERROR(SEARCH("17",AR41)))</formula>
    </cfRule>
    <cfRule type="containsText" dxfId="679" priority="599" operator="containsText" text="T">
      <formula>NOT(ISERROR(SEARCH("T",AR41)))</formula>
    </cfRule>
  </conditionalFormatting>
  <conditionalFormatting sqref="AR160:AR165">
    <cfRule type="containsText" dxfId="678" priority="753" operator="containsText" text="T">
      <formula>NOT(ISERROR(SEARCH("T",AR160)))</formula>
    </cfRule>
  </conditionalFormatting>
  <conditionalFormatting sqref="AR175">
    <cfRule type="containsText" dxfId="677" priority="675" operator="containsText" text="T">
      <formula>NOT(ISERROR(SEARCH("T",AR175)))</formula>
    </cfRule>
  </conditionalFormatting>
  <conditionalFormatting sqref="AR182 AV182:AX182 AA183:AU190 AX183:AX190">
    <cfRule type="containsText" dxfId="676" priority="660" operator="containsText" text="T">
      <formula>NOT(ISERROR(SEARCH("T",AA182)))</formula>
    </cfRule>
  </conditionalFormatting>
  <conditionalFormatting sqref="AR182:AS182 AV182:AX182 AX183:AX190">
    <cfRule type="containsText" dxfId="675" priority="661" operator="containsText" text="17">
      <formula>NOT(ISERROR(SEARCH("17",AR182)))</formula>
    </cfRule>
  </conditionalFormatting>
  <conditionalFormatting sqref="AR28:AX32">
    <cfRule type="containsText" dxfId="674" priority="591" operator="containsText" text="17">
      <formula>NOT(ISERROR(SEARCH("17",AR28)))</formula>
    </cfRule>
    <cfRule type="containsText" dxfId="673" priority="592" operator="containsText" text="T">
      <formula>NOT(ISERROR(SEARCH("T",AR28)))</formula>
    </cfRule>
  </conditionalFormatting>
  <conditionalFormatting sqref="AR48:AX49">
    <cfRule type="containsText" dxfId="672" priority="581" operator="containsText" text="17">
      <formula>NOT(ISERROR(SEARCH("17",AR48)))</formula>
    </cfRule>
    <cfRule type="containsText" dxfId="671" priority="582" operator="containsText" text="T">
      <formula>NOT(ISERROR(SEARCH("T",AR48)))</formula>
    </cfRule>
  </conditionalFormatting>
  <conditionalFormatting sqref="AR69:BB71">
    <cfRule type="containsText" dxfId="670" priority="334" operator="containsText" text="17">
      <formula>NOT(ISERROR(SEARCH("17",AR69)))</formula>
    </cfRule>
  </conditionalFormatting>
  <conditionalFormatting sqref="AR103:BB104">
    <cfRule type="containsText" dxfId="669" priority="364" operator="containsText" text="17">
      <formula>NOT(ISERROR(SEARCH("17",AR103)))</formula>
    </cfRule>
  </conditionalFormatting>
  <conditionalFormatting sqref="AR121:BB121">
    <cfRule type="containsText" dxfId="668" priority="354" operator="containsText" text="17">
      <formula>NOT(ISERROR(SEARCH("17",AR121)))</formula>
    </cfRule>
  </conditionalFormatting>
  <conditionalFormatting sqref="AR123:BB123">
    <cfRule type="containsText" dxfId="667" priority="344" operator="containsText" text="17">
      <formula>NOT(ISERROR(SEARCH("17",AR123)))</formula>
    </cfRule>
  </conditionalFormatting>
  <conditionalFormatting sqref="AR152:BE158">
    <cfRule type="containsText" dxfId="666" priority="261" operator="containsText" text="17">
      <formula>NOT(ISERROR(SEARCH("17",AR152)))</formula>
    </cfRule>
  </conditionalFormatting>
  <conditionalFormatting sqref="AR152:BG158">
    <cfRule type="containsText" dxfId="665" priority="255" operator="containsText" text="T">
      <formula>NOT(ISERROR(SEARCH("T",AR152)))</formula>
    </cfRule>
  </conditionalFormatting>
  <conditionalFormatting sqref="AS28:AS32">
    <cfRule type="containsText" dxfId="664" priority="588" operator="containsText" text="17">
      <formula>NOT(ISERROR(SEARCH("17",AS28)))</formula>
    </cfRule>
    <cfRule type="containsText" dxfId="663" priority="589" operator="containsText" text="T">
      <formula>NOT(ISERROR(SEARCH("T",AS28)))</formula>
    </cfRule>
  </conditionalFormatting>
  <conditionalFormatting sqref="AS48:AS49">
    <cfRule type="containsText" dxfId="662" priority="578" operator="containsText" text="17">
      <formula>NOT(ISERROR(SEARCH("17",AS48)))</formula>
    </cfRule>
    <cfRule type="containsText" dxfId="661" priority="579" operator="containsText" text="T">
      <formula>NOT(ISERROR(SEARCH("T",AS48)))</formula>
    </cfRule>
  </conditionalFormatting>
  <conditionalFormatting sqref="AS90 AW90:AY90 AB91:AV96 AY91:AY96">
    <cfRule type="containsText" dxfId="660" priority="647" operator="containsText" text="T">
      <formula>NOT(ISERROR(SEARCH("T",AB90)))</formula>
    </cfRule>
  </conditionalFormatting>
  <conditionalFormatting sqref="AS182">
    <cfRule type="containsText" dxfId="659" priority="662" operator="containsText" text="T">
      <formula>NOT(ISERROR(SEARCH("T",AS182)))</formula>
    </cfRule>
  </conditionalFormatting>
  <conditionalFormatting sqref="AS192:AS193 X194:AR199 X192:AF193">
    <cfRule type="containsText" dxfId="658" priority="709" operator="containsText" text="17">
      <formula>NOT(ISERROR(SEARCH("17",X192)))</formula>
    </cfRule>
  </conditionalFormatting>
  <conditionalFormatting sqref="AS208:AS213">
    <cfRule type="containsText" dxfId="657" priority="740" operator="containsText" text="T">
      <formula>NOT(ISERROR(SEARCH("T",AS208)))</formula>
    </cfRule>
  </conditionalFormatting>
  <conditionalFormatting sqref="AS90:AT90 AW90:AY90 AY91:AY96">
    <cfRule type="containsText" dxfId="656" priority="648" operator="containsText" text="17">
      <formula>NOT(ISERROR(SEARCH("17",AS90)))</formula>
    </cfRule>
  </conditionalFormatting>
  <conditionalFormatting sqref="AS50:AY53">
    <cfRule type="containsText" dxfId="655" priority="571" operator="containsText" text="17">
      <formula>NOT(ISERROR(SEARCH("17",AS50)))</formula>
    </cfRule>
    <cfRule type="containsText" dxfId="654" priority="572" operator="containsText" text="T">
      <formula>NOT(ISERROR(SEARCH("T",AS50)))</formula>
    </cfRule>
  </conditionalFormatting>
  <conditionalFormatting sqref="AS63:AY66">
    <cfRule type="containsText" dxfId="653" priority="561" operator="containsText" text="17">
      <formula>NOT(ISERROR(SEARCH("17",AS63)))</formula>
    </cfRule>
    <cfRule type="containsText" dxfId="652" priority="562" operator="containsText" text="T">
      <formula>NOT(ISERROR(SEARCH("T",AS63)))</formula>
    </cfRule>
  </conditionalFormatting>
  <conditionalFormatting sqref="AS67:BC68">
    <cfRule type="containsText" dxfId="651" priority="304" operator="containsText" text="17">
      <formula>NOT(ISERROR(SEARCH("17",AS67)))</formula>
    </cfRule>
  </conditionalFormatting>
  <conditionalFormatting sqref="AS99:BC102">
    <cfRule type="containsText" dxfId="650" priority="324" operator="containsText" text="17">
      <formula>NOT(ISERROR(SEARCH("17",AS99)))</formula>
    </cfRule>
  </conditionalFormatting>
  <conditionalFormatting sqref="AS105:BC105">
    <cfRule type="containsText" dxfId="649" priority="314" operator="containsText" text="17">
      <formula>NOT(ISERROR(SEARCH("17",AS105)))</formula>
    </cfRule>
  </conditionalFormatting>
  <conditionalFormatting sqref="AS159:BF165">
    <cfRule type="containsText" dxfId="648" priority="251" operator="containsText" text="17">
      <formula>NOT(ISERROR(SEARCH("17",AS159)))</formula>
    </cfRule>
  </conditionalFormatting>
  <conditionalFormatting sqref="AS159:BH165">
    <cfRule type="containsText" dxfId="647" priority="245" operator="containsText" text="T">
      <formula>NOT(ISERROR(SEARCH("T",AS159)))</formula>
    </cfRule>
  </conditionalFormatting>
  <conditionalFormatting sqref="AT14 AX14:AZ14 AC15:AW20 AZ15:AZ20">
    <cfRule type="containsText" dxfId="646" priority="634" operator="containsText" text="T">
      <formula>NOT(ISERROR(SEARCH("T",AC14)))</formula>
    </cfRule>
  </conditionalFormatting>
  <conditionalFormatting sqref="AT50:AT53">
    <cfRule type="containsText" dxfId="645" priority="568" operator="containsText" text="17">
      <formula>NOT(ISERROR(SEARCH("17",AT50)))</formula>
    </cfRule>
    <cfRule type="containsText" dxfId="644" priority="569" operator="containsText" text="T">
      <formula>NOT(ISERROR(SEARCH("T",AT50)))</formula>
    </cfRule>
  </conditionalFormatting>
  <conditionalFormatting sqref="AT63:AT66">
    <cfRule type="containsText" dxfId="643" priority="558" operator="containsText" text="17">
      <formula>NOT(ISERROR(SEARCH("17",AT63)))</formula>
    </cfRule>
    <cfRule type="containsText" dxfId="642" priority="559" operator="containsText" text="T">
      <formula>NOT(ISERROR(SEARCH("T",AT63)))</formula>
    </cfRule>
  </conditionalFormatting>
  <conditionalFormatting sqref="AT90">
    <cfRule type="containsText" dxfId="641" priority="649" operator="containsText" text="T">
      <formula>NOT(ISERROR(SEARCH("T",AT90)))</formula>
    </cfRule>
  </conditionalFormatting>
  <conditionalFormatting sqref="AT201:AT206">
    <cfRule type="containsText" dxfId="640" priority="727" operator="containsText" text="T">
      <formula>NOT(ISERROR(SEARCH("T",AT201)))</formula>
    </cfRule>
  </conditionalFormatting>
  <conditionalFormatting sqref="AT14:AU14 AX14:AZ14 AZ15:AZ20">
    <cfRule type="containsText" dxfId="639" priority="635" operator="containsText" text="17">
      <formula>NOT(ISERROR(SEARCH("17",AT14)))</formula>
    </cfRule>
  </conditionalFormatting>
  <conditionalFormatting sqref="AT59:AZ62">
    <cfRule type="containsText" dxfId="638" priority="547" operator="containsText" text="17">
      <formula>NOT(ISERROR(SEARCH("17",AT59)))</formula>
    </cfRule>
    <cfRule type="containsText" dxfId="637" priority="548" operator="containsText" text="T">
      <formula>NOT(ISERROR(SEARCH("T",AT59)))</formula>
    </cfRule>
  </conditionalFormatting>
  <conditionalFormatting sqref="AT86:AZ89">
    <cfRule type="containsText" dxfId="636" priority="537" operator="containsText" text="17">
      <formula>NOT(ISERROR(SEARCH("17",AT86)))</formula>
    </cfRule>
    <cfRule type="containsText" dxfId="635" priority="538" operator="containsText" text="T">
      <formula>NOT(ISERROR(SEARCH("T",AT86)))</formula>
    </cfRule>
  </conditionalFormatting>
  <conditionalFormatting sqref="AT97:BD98">
    <cfRule type="containsText" dxfId="634" priority="294" operator="containsText" text="17">
      <formula>NOT(ISERROR(SEARCH("17",AT97)))</formula>
    </cfRule>
  </conditionalFormatting>
  <conditionalFormatting sqref="AT131:BD137">
    <cfRule type="containsText" dxfId="633" priority="284" operator="containsText" text="17">
      <formula>NOT(ISERROR(SEARCH("17",AT131)))</formula>
    </cfRule>
  </conditionalFormatting>
  <conditionalFormatting sqref="AU14">
    <cfRule type="containsText" dxfId="632" priority="636" operator="containsText" text="T">
      <formula>NOT(ISERROR(SEARCH("T",AU14)))</formula>
    </cfRule>
  </conditionalFormatting>
  <conditionalFormatting sqref="AU34 AY34:BA34 AD35:AX40 BA35:BA40">
    <cfRule type="containsText" dxfId="631" priority="621" operator="containsText" text="T">
      <formula>NOT(ISERROR(SEARCH("T",AD34)))</formula>
    </cfRule>
  </conditionalFormatting>
  <conditionalFormatting sqref="AU59:AU62">
    <cfRule type="containsText" dxfId="630" priority="544" operator="containsText" text="17">
      <formula>NOT(ISERROR(SEARCH("17",AU59)))</formula>
    </cfRule>
    <cfRule type="containsText" dxfId="629" priority="545" operator="containsText" text="T">
      <formula>NOT(ISERROR(SEARCH("T",AU59)))</formula>
    </cfRule>
  </conditionalFormatting>
  <conditionalFormatting sqref="AU86:AU89">
    <cfRule type="containsText" dxfId="628" priority="534" operator="containsText" text="17">
      <formula>NOT(ISERROR(SEARCH("17",AU86)))</formula>
    </cfRule>
    <cfRule type="containsText" dxfId="627" priority="535" operator="containsText" text="T">
      <formula>NOT(ISERROR(SEARCH("T",AU86)))</formula>
    </cfRule>
  </conditionalFormatting>
  <conditionalFormatting sqref="AU194:AU199">
    <cfRule type="containsText" dxfId="626" priority="714" operator="containsText" text="T">
      <formula>NOT(ISERROR(SEARCH("T",AU194)))</formula>
    </cfRule>
  </conditionalFormatting>
  <conditionalFormatting sqref="AU34:AV34 AY34:BA34 BA35:BA40">
    <cfRule type="containsText" dxfId="625" priority="622" operator="containsText" text="17">
      <formula>NOT(ISERROR(SEARCH("17",AU34)))</formula>
    </cfRule>
  </conditionalFormatting>
  <conditionalFormatting sqref="AU83:BA85">
    <cfRule type="containsText" dxfId="624" priority="527" operator="containsText" text="17">
      <formula>NOT(ISERROR(SEARCH("17",AU83)))</formula>
    </cfRule>
    <cfRule type="containsText" dxfId="623" priority="528" operator="containsText" text="T">
      <formula>NOT(ISERROR(SEARCH("T",AU83)))</formula>
    </cfRule>
  </conditionalFormatting>
  <conditionalFormatting sqref="AU214:BA217">
    <cfRule type="containsText" dxfId="622" priority="517" operator="containsText" text="17">
      <formula>NOT(ISERROR(SEARCH("17",AU214)))</formula>
    </cfRule>
    <cfRule type="containsText" dxfId="621" priority="518" operator="containsText" text="T">
      <formula>NOT(ISERROR(SEARCH("T",AU214)))</formula>
    </cfRule>
  </conditionalFormatting>
  <conditionalFormatting sqref="AU138:BE144">
    <cfRule type="containsText" dxfId="620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2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 CN120:CP126 CO113:CP119">
    <cfRule type="containsText" dxfId="619" priority="8533" operator="containsText" text="17">
      <formula>NOT(ISERROR(SEARCH("17",J14)))</formula>
    </cfRule>
  </conditionalFormatting>
  <conditionalFormatting sqref="AV21 AZ21:BB21 AE22:AY27">
    <cfRule type="containsText" dxfId="618" priority="608" operator="containsText" text="T">
      <formula>NOT(ISERROR(SEARCH("T",AE21)))</formula>
    </cfRule>
  </conditionalFormatting>
  <conditionalFormatting sqref="AV34">
    <cfRule type="containsText" dxfId="617" priority="623" operator="containsText" text="T">
      <formula>NOT(ISERROR(SEARCH("T",AV34)))</formula>
    </cfRule>
  </conditionalFormatting>
  <conditionalFormatting sqref="AV83:AV85">
    <cfRule type="containsText" dxfId="616" priority="524" operator="containsText" text="17">
      <formula>NOT(ISERROR(SEARCH("17",AV83)))</formula>
    </cfRule>
    <cfRule type="containsText" dxfId="615" priority="525" operator="containsText" text="T">
      <formula>NOT(ISERROR(SEARCH("T",AV83)))</formula>
    </cfRule>
  </conditionalFormatting>
  <conditionalFormatting sqref="AV169:AV174">
    <cfRule type="containsText" dxfId="614" priority="696" operator="containsText" text="T">
      <formula>NOT(ISERROR(SEARCH("T",AV169)))</formula>
    </cfRule>
  </conditionalFormatting>
  <conditionalFormatting sqref="AV214:AV217">
    <cfRule type="containsText" dxfId="613" priority="514" operator="containsText" text="17">
      <formula>NOT(ISERROR(SEARCH("17",AV214)))</formula>
    </cfRule>
    <cfRule type="containsText" dxfId="612" priority="515" operator="containsText" text="T">
      <formula>NOT(ISERROR(SEARCH("T",AV214)))</formula>
    </cfRule>
  </conditionalFormatting>
  <conditionalFormatting sqref="AV21:AW21 AZ21:BB21 BB22:BF27">
    <cfRule type="containsText" dxfId="611" priority="609" operator="containsText" text="17">
      <formula>NOT(ISERROR(SEARCH("17",AV21)))</formula>
    </cfRule>
  </conditionalFormatting>
  <conditionalFormatting sqref="AV218:BB224">
    <cfRule type="containsText" dxfId="610" priority="507" operator="containsText" text="17">
      <formula>NOT(ISERROR(SEARCH("17",AV218)))</formula>
    </cfRule>
    <cfRule type="containsText" dxfId="609" priority="508" operator="containsText" text="T">
      <formula>NOT(ISERROR(SEARCH("T",AV218)))</formula>
    </cfRule>
  </conditionalFormatting>
  <conditionalFormatting sqref="AV145:BF151">
    <cfRule type="containsText" dxfId="608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O120 BO122 BO124:BO126 BR131:CP137 BS138:CP144 BU152:CP158 BV159:CP165 AY182:BC188 O130:AO13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 CN120:CP126 CO113:CP119">
    <cfRule type="containsText" dxfId="607" priority="7303" operator="containsText" text="T">
      <formula>NOT(ISERROR(SEARCH("T",J14)))</formula>
    </cfRule>
  </conditionalFormatting>
  <conditionalFormatting sqref="AW21">
    <cfRule type="containsText" dxfId="606" priority="610" operator="containsText" text="T">
      <formula>NOT(ISERROR(SEARCH("T",AW21)))</formula>
    </cfRule>
  </conditionalFormatting>
  <conditionalFormatting sqref="AW41 BA41:BC41 AF42:AZ47 BC42:BC47">
    <cfRule type="containsText" dxfId="605" priority="595" operator="containsText" text="T">
      <formula>NOT(ISERROR(SEARCH("T",AF41)))</formula>
    </cfRule>
  </conditionalFormatting>
  <conditionalFormatting sqref="AW176:AW181">
    <cfRule type="containsText" dxfId="604" priority="683" operator="containsText" text="T">
      <formula>NOT(ISERROR(SEARCH("T",AW176)))</formula>
    </cfRule>
  </conditionalFormatting>
  <conditionalFormatting sqref="AW218:AW224">
    <cfRule type="containsText" dxfId="603" priority="504" operator="containsText" text="17">
      <formula>NOT(ISERROR(SEARCH("17",AW218)))</formula>
    </cfRule>
    <cfRule type="containsText" dxfId="602" priority="505" operator="containsText" text="T">
      <formula>NOT(ISERROR(SEARCH("T",AW218)))</formula>
    </cfRule>
  </conditionalFormatting>
  <conditionalFormatting sqref="AW41:AX41 BA41:BC41 BC42:BC47">
    <cfRule type="containsText" dxfId="601" priority="596" operator="containsText" text="17">
      <formula>NOT(ISERROR(SEARCH("17",AW41)))</formula>
    </cfRule>
  </conditionalFormatting>
  <conditionalFormatting sqref="AW225:BC231">
    <cfRule type="containsText" dxfId="600" priority="497" operator="containsText" text="17">
      <formula>NOT(ISERROR(SEARCH("17",AW225)))</formula>
    </cfRule>
    <cfRule type="containsText" dxfId="599" priority="498" operator="containsText" text="T">
      <formula>NOT(ISERROR(SEARCH("T",AW225)))</formula>
    </cfRule>
  </conditionalFormatting>
  <conditionalFormatting sqref="AW152:BG158">
    <cfRule type="containsText" dxfId="598" priority="254" operator="containsText" text="17">
      <formula>NOT(ISERROR(SEARCH("17",AW152)))</formula>
    </cfRule>
  </conditionalFormatting>
  <conditionalFormatting sqref="AW168:CP174">
    <cfRule type="containsText" dxfId="597" priority="205" operator="containsText" text="17">
      <formula>NOT(ISERROR(SEARCH("17",AW168)))</formula>
    </cfRule>
  </conditionalFormatting>
  <conditionalFormatting sqref="AX28:AX32 BB28:BD32">
    <cfRule type="containsText" dxfId="596" priority="585" operator="containsText" text="T">
      <formula>NOT(ISERROR(SEARCH("T",AX28)))</formula>
    </cfRule>
  </conditionalFormatting>
  <conditionalFormatting sqref="AX41">
    <cfRule type="containsText" dxfId="595" priority="597" operator="containsText" text="T">
      <formula>NOT(ISERROR(SEARCH("T",AX41)))</formula>
    </cfRule>
  </conditionalFormatting>
  <conditionalFormatting sqref="AX48:AX49 BB48:BD49">
    <cfRule type="containsText" dxfId="594" priority="575" operator="containsText" text="T">
      <formula>NOT(ISERROR(SEARCH("T",AX48)))</formula>
    </cfRule>
  </conditionalFormatting>
  <conditionalFormatting sqref="AX180:AX181 AY182:AY185 BM191 BU200:BU202 BV203:BV205">
    <cfRule type="containsText" dxfId="593" priority="7319" operator="containsText" text="T">
      <formula>NOT(ISERROR(SEARCH("T",AX180)))</formula>
    </cfRule>
    <cfRule type="containsText" dxfId="592" priority="7320" operator="containsText" text="17">
      <formula>NOT(ISERROR(SEARCH("17",AX180)))</formula>
    </cfRule>
    <cfRule type="containsText" dxfId="591" priority="7321" operator="containsText" text="T">
      <formula>NOT(ISERROR(SEARCH("T",AX180)))</formula>
    </cfRule>
  </conditionalFormatting>
  <conditionalFormatting sqref="AX183:AX190">
    <cfRule type="containsText" dxfId="590" priority="670" operator="containsText" text="T">
      <formula>NOT(ISERROR(SEARCH("T",AX183)))</formula>
    </cfRule>
  </conditionalFormatting>
  <conditionalFormatting sqref="AX192">
    <cfRule type="containsText" dxfId="589" priority="2369" operator="containsText" text="17">
      <formula>NOT(ISERROR(SEARCH("17",AX192)))</formula>
    </cfRule>
    <cfRule type="containsText" dxfId="588" priority="2370" operator="containsText" text="T">
      <formula>NOT(ISERROR(SEARCH("T",AX192)))</formula>
    </cfRule>
    <cfRule type="containsText" dxfId="587" priority="6266" operator="containsText" text="17">
      <formula>NOT(ISERROR(SEARCH("17",AX192)))</formula>
    </cfRule>
    <cfRule type="containsText" dxfId="586" priority="6267" operator="containsText" text="T">
      <formula>NOT(ISERROR(SEARCH("T",AX192)))</formula>
    </cfRule>
  </conditionalFormatting>
  <conditionalFormatting sqref="AX196:AX198">
    <cfRule type="containsText" dxfId="585" priority="7294" operator="containsText" text="17">
      <formula>NOT(ISERROR(SEARCH("17",AX196)))</formula>
    </cfRule>
    <cfRule type="containsText" dxfId="584" priority="7295" operator="containsText" text="T">
      <formula>NOT(ISERROR(SEARCH("T",AX196)))</formula>
    </cfRule>
  </conditionalFormatting>
  <conditionalFormatting sqref="AX225:AX231">
    <cfRule type="containsText" dxfId="583" priority="494" operator="containsText" text="17">
      <formula>NOT(ISERROR(SEARCH("17",AX225)))</formula>
    </cfRule>
    <cfRule type="containsText" dxfId="582" priority="495" operator="containsText" text="T">
      <formula>NOT(ISERROR(SEARCH("T",AX225)))</formula>
    </cfRule>
  </conditionalFormatting>
  <conditionalFormatting sqref="AX28:AY32 BB28:BD32">
    <cfRule type="containsText" dxfId="581" priority="586" operator="containsText" text="17">
      <formula>NOT(ISERROR(SEARCH("17",AX28)))</formula>
    </cfRule>
  </conditionalFormatting>
  <conditionalFormatting sqref="AX48:AY49 BB48:BD49">
    <cfRule type="containsText" dxfId="580" priority="576" operator="containsText" text="17">
      <formula>NOT(ISERROR(SEARCH("17",AX48)))</formula>
    </cfRule>
  </conditionalFormatting>
  <conditionalFormatting sqref="AX170:BA170">
    <cfRule type="containsText" dxfId="579" priority="8728" operator="containsText" text="17">
      <formula>NOT(ISERROR(SEARCH("17",AX170)))</formula>
    </cfRule>
    <cfRule type="containsText" dxfId="578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77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76" priority="5061" operator="containsText" text="T">
      <formula>NOT(ISERROR(SEARCH("T",AX199)))</formula>
    </cfRule>
  </conditionalFormatting>
  <conditionalFormatting sqref="AX33:BC33">
    <cfRule type="containsText" dxfId="575" priority="8832" operator="containsText" text="T">
      <formula>NOT(ISERROR(SEARCH("T",AX33)))</formula>
    </cfRule>
  </conditionalFormatting>
  <conditionalFormatting sqref="AX113:BD116">
    <cfRule type="containsText" dxfId="574" priority="477" operator="containsText" text="17">
      <formula>NOT(ISERROR(SEARCH("17",AX113)))</formula>
    </cfRule>
    <cfRule type="containsText" dxfId="573" priority="478" operator="containsText" text="T">
      <formula>NOT(ISERROR(SEARCH("T",AX113)))</formula>
    </cfRule>
  </conditionalFormatting>
  <conditionalFormatting sqref="AX232:BD234">
    <cfRule type="containsText" dxfId="572" priority="487" operator="containsText" text="17">
      <formula>NOT(ISERROR(SEARCH("17",AX232)))</formula>
    </cfRule>
    <cfRule type="containsText" dxfId="571" priority="488" operator="containsText" text="T">
      <formula>NOT(ISERROR(SEARCH("T",AX232)))</formula>
    </cfRule>
  </conditionalFormatting>
  <conditionalFormatting sqref="AX199:BE199 AX206:BD206 AX213">
    <cfRule type="containsText" dxfId="570" priority="5068" operator="containsText" text="17">
      <formula>NOT(ISERROR(SEARCH("17",AX199)))</formula>
    </cfRule>
    <cfRule type="containsText" dxfId="569" priority="5069" operator="containsText" text="T">
      <formula>NOT(ISERROR(SEARCH("T",AX199)))</formula>
    </cfRule>
  </conditionalFormatting>
  <conditionalFormatting sqref="AX159:BH165">
    <cfRule type="containsText" dxfId="568" priority="244" operator="containsText" text="17">
      <formula>NOT(ISERROR(SEARCH("17",AX159)))</formula>
    </cfRule>
  </conditionalFormatting>
  <conditionalFormatting sqref="AX175:CP181">
    <cfRule type="containsText" dxfId="567" priority="172" operator="containsText" text="T">
      <formula>NOT(ISERROR(SEARCH("T",AX175)))</formula>
    </cfRule>
  </conditionalFormatting>
  <conditionalFormatting sqref="AY28:AY32">
    <cfRule type="containsText" dxfId="566" priority="587" operator="containsText" text="T">
      <formula>NOT(ISERROR(SEARCH("T",AY28)))</formula>
    </cfRule>
  </conditionalFormatting>
  <conditionalFormatting sqref="AY33">
    <cfRule type="containsText" dxfId="565" priority="8206" operator="containsText" text="17">
      <formula>NOT(ISERROR(SEARCH("17",AY33)))</formula>
    </cfRule>
    <cfRule type="containsText" dxfId="564" priority="8207" operator="containsText" text="T">
      <formula>NOT(ISERROR(SEARCH("T",AY33)))</formula>
    </cfRule>
  </conditionalFormatting>
  <conditionalFormatting sqref="AY48:AY49">
    <cfRule type="containsText" dxfId="563" priority="577" operator="containsText" text="T">
      <formula>NOT(ISERROR(SEARCH("T",AY48)))</formula>
    </cfRule>
  </conditionalFormatting>
  <conditionalFormatting sqref="AY50:AY53 BC50:BE53">
    <cfRule type="containsText" dxfId="562" priority="565" operator="containsText" text="T">
      <formula>NOT(ISERROR(SEARCH("T",AY50)))</formula>
    </cfRule>
  </conditionalFormatting>
  <conditionalFormatting sqref="AY63:AY66 BC63:BI66">
    <cfRule type="containsText" dxfId="561" priority="555" operator="containsText" text="T">
      <formula>NOT(ISERROR(SEARCH("T",AY63)))</formula>
    </cfRule>
  </conditionalFormatting>
  <conditionalFormatting sqref="AY91:AY96">
    <cfRule type="containsText" dxfId="560" priority="657" operator="containsText" text="T">
      <formula>NOT(ISERROR(SEARCH("T",AY91)))</formula>
    </cfRule>
  </conditionalFormatting>
  <conditionalFormatting sqref="AY113:AY116">
    <cfRule type="containsText" dxfId="559" priority="474" operator="containsText" text="17">
      <formula>NOT(ISERROR(SEARCH("17",AY113)))</formula>
    </cfRule>
    <cfRule type="containsText" dxfId="558" priority="475" operator="containsText" text="T">
      <formula>NOT(ISERROR(SEARCH("T",AY113)))</formula>
    </cfRule>
  </conditionalFormatting>
  <conditionalFormatting sqref="AY182:AY185 BM191 BU200:BU202 BV203:BV205 AX180:AX181">
    <cfRule type="containsText" dxfId="557" priority="7318" operator="containsText" text="17">
      <formula>NOT(ISERROR(SEARCH("17",AX180)))</formula>
    </cfRule>
  </conditionalFormatting>
  <conditionalFormatting sqref="AY189">
    <cfRule type="containsText" dxfId="556" priority="4892" operator="containsText" text="17">
      <formula>NOT(ISERROR(SEARCH("17",AY189)))</formula>
    </cfRule>
    <cfRule type="containsText" dxfId="555" priority="4893" operator="containsText" text="T">
      <formula>NOT(ISERROR(SEARCH("T",AY189)))</formula>
    </cfRule>
    <cfRule type="containsText" dxfId="554" priority="4910" operator="containsText" text="17">
      <formula>NOT(ISERROR(SEARCH("17",AY189)))</formula>
    </cfRule>
    <cfRule type="containsText" dxfId="553" priority="4911" operator="containsText" text="T">
      <formula>NOT(ISERROR(SEARCH("T",AY189)))</formula>
    </cfRule>
  </conditionalFormatting>
  <conditionalFormatting sqref="AY190 AX191:BH191 BK191 BO191:BS191">
    <cfRule type="containsText" dxfId="552" priority="8514" operator="containsText" text="T">
      <formula>NOT(ISERROR(SEARCH("T",AX190)))</formula>
    </cfRule>
  </conditionalFormatting>
  <conditionalFormatting sqref="AY199 AX206">
    <cfRule type="containsText" dxfId="551" priority="2143" operator="containsText" text="17">
      <formula>NOT(ISERROR(SEARCH("17",AX199)))</formula>
    </cfRule>
    <cfRule type="containsText" dxfId="550" priority="2144" operator="containsText" text="T">
      <formula>NOT(ISERROR(SEARCH("T",AX199)))</formula>
    </cfRule>
  </conditionalFormatting>
  <conditionalFormatting sqref="AY232:AY234">
    <cfRule type="containsText" dxfId="549" priority="484" operator="containsText" text="17">
      <formula>NOT(ISERROR(SEARCH("17",AY232)))</formula>
    </cfRule>
    <cfRule type="containsText" dxfId="548" priority="485" operator="containsText" text="T">
      <formula>NOT(ISERROR(SEARCH("T",AY232)))</formula>
    </cfRule>
  </conditionalFormatting>
  <conditionalFormatting sqref="AY50:AZ53 BC50:BE53">
    <cfRule type="containsText" dxfId="547" priority="566" operator="containsText" text="17">
      <formula>NOT(ISERROR(SEARCH("17",AY50)))</formula>
    </cfRule>
  </conditionalFormatting>
  <conditionalFormatting sqref="AY63:AZ66 BC63:BE66">
    <cfRule type="containsText" dxfId="546" priority="556" operator="containsText" text="17">
      <formula>NOT(ISERROR(SEARCH("17",AY63)))</formula>
    </cfRule>
  </conditionalFormatting>
  <conditionalFormatting sqref="AY79:BE82">
    <cfRule type="containsText" dxfId="545" priority="457" operator="containsText" text="17">
      <formula>NOT(ISERROR(SEARCH("17",AY79)))</formula>
    </cfRule>
    <cfRule type="containsText" dxfId="544" priority="458" operator="containsText" text="T">
      <formula>NOT(ISERROR(SEARCH("T",AY79)))</formula>
    </cfRule>
  </conditionalFormatting>
  <conditionalFormatting sqref="AY117:BE119">
    <cfRule type="containsText" dxfId="543" priority="467" operator="containsText" text="17">
      <formula>NOT(ISERROR(SEARCH("17",AY117)))</formula>
    </cfRule>
    <cfRule type="containsText" dxfId="542" priority="468" operator="containsText" text="T">
      <formula>NOT(ISERROR(SEARCH("T",AY117)))</formula>
    </cfRule>
  </conditionalFormatting>
  <conditionalFormatting sqref="AY207:BI213">
    <cfRule type="containsText" dxfId="541" priority="234" operator="containsText" text="17">
      <formula>NOT(ISERROR(SEARCH("17",AY207)))</formula>
    </cfRule>
  </conditionalFormatting>
  <conditionalFormatting sqref="AY207:BP213">
    <cfRule type="containsText" dxfId="540" priority="243" operator="containsText" text="T">
      <formula>NOT(ISERROR(SEARCH("T",AY207)))</formula>
    </cfRule>
  </conditionalFormatting>
  <conditionalFormatting sqref="AY193:BV213 AX195:BV195 BH214:BL215">
    <cfRule type="containsText" dxfId="539" priority="914" operator="containsText" text="T">
      <formula>NOT(ISERROR(SEARCH("T",AX193)))</formula>
    </cfRule>
  </conditionalFormatting>
  <conditionalFormatting sqref="AZ15:AZ20">
    <cfRule type="containsText" dxfId="538" priority="644" operator="containsText" text="T">
      <formula>NOT(ISERROR(SEARCH("T",AZ15)))</formula>
    </cfRule>
  </conditionalFormatting>
  <conditionalFormatting sqref="AZ50:AZ53">
    <cfRule type="containsText" dxfId="537" priority="567" operator="containsText" text="T">
      <formula>NOT(ISERROR(SEARCH("T",AZ50)))</formula>
    </cfRule>
  </conditionalFormatting>
  <conditionalFormatting sqref="AZ63:AZ66">
    <cfRule type="containsText" dxfId="536" priority="557" operator="containsText" text="T">
      <formula>NOT(ISERROR(SEARCH("T",AZ63)))</formula>
    </cfRule>
  </conditionalFormatting>
  <conditionalFormatting sqref="AZ79:AZ82">
    <cfRule type="containsText" dxfId="535" priority="454" operator="containsText" text="17">
      <formula>NOT(ISERROR(SEARCH("17",AZ79)))</formula>
    </cfRule>
    <cfRule type="containsText" dxfId="534" priority="455" operator="containsText" text="T">
      <formula>NOT(ISERROR(SEARCH("T",AZ79)))</formula>
    </cfRule>
  </conditionalFormatting>
  <conditionalFormatting sqref="AZ86:AZ89 BD86:BF89">
    <cfRule type="containsText" dxfId="533" priority="531" operator="containsText" text="T">
      <formula>NOT(ISERROR(SEARCH("T",AZ86)))</formula>
    </cfRule>
  </conditionalFormatting>
  <conditionalFormatting sqref="AZ117:AZ119">
    <cfRule type="containsText" dxfId="532" priority="464" operator="containsText" text="17">
      <formula>NOT(ISERROR(SEARCH("17",AZ117)))</formula>
    </cfRule>
    <cfRule type="containsText" dxfId="531" priority="465" operator="containsText" text="T">
      <formula>NOT(ISERROR(SEARCH("T",AZ117)))</formula>
    </cfRule>
  </conditionalFormatting>
  <conditionalFormatting sqref="AZ59:BA62 BD59:BF62">
    <cfRule type="containsText" dxfId="530" priority="542" operator="containsText" text="17">
      <formula>NOT(ISERROR(SEARCH("17",AZ59)))</formula>
    </cfRule>
  </conditionalFormatting>
  <conditionalFormatting sqref="AZ86:BA89 BD86:BF89">
    <cfRule type="containsText" dxfId="529" priority="532" operator="containsText" text="17">
      <formula>NOT(ISERROR(SEARCH("17",AZ86)))</formula>
    </cfRule>
  </conditionalFormatting>
  <conditionalFormatting sqref="AZ93:BB93">
    <cfRule type="containsText" dxfId="528" priority="4056" operator="containsText" text="17">
      <formula>NOT(ISERROR(SEARCH("17",AZ93)))</formula>
    </cfRule>
    <cfRule type="containsText" dxfId="527" priority="4057" operator="containsText" text="T">
      <formula>NOT(ISERROR(SEARCH("T",AZ93)))</formula>
    </cfRule>
  </conditionalFormatting>
  <conditionalFormatting sqref="AZ175:BB178">
    <cfRule type="containsText" dxfId="526" priority="933" operator="containsText" text="T">
      <formula>NOT(ISERROR(SEARCH("T",AZ175)))</formula>
    </cfRule>
  </conditionalFormatting>
  <conditionalFormatting sqref="AZ180:BB181 AZ182:BC183">
    <cfRule type="containsText" dxfId="525" priority="927" operator="containsText" text="T">
      <formula>NOT(ISERROR(SEARCH("T",AZ180)))</formula>
    </cfRule>
  </conditionalFormatting>
  <conditionalFormatting sqref="AZ185:BC188 AZ189:BW190">
    <cfRule type="containsText" dxfId="524" priority="921" operator="containsText" text="T">
      <formula>NOT(ISERROR(SEARCH("T",AZ185)))</formula>
    </cfRule>
  </conditionalFormatting>
  <conditionalFormatting sqref="AZ200:BJ206">
    <cfRule type="containsText" dxfId="523" priority="223" operator="containsText" text="17">
      <formula>NOT(ISERROR(SEARCH("17",AZ200)))</formula>
    </cfRule>
  </conditionalFormatting>
  <conditionalFormatting sqref="AZ200:BW206">
    <cfRule type="containsText" dxfId="522" priority="232" operator="containsText" text="T">
      <formula>NOT(ISERROR(SEARCH("T",AZ200)))</formula>
    </cfRule>
  </conditionalFormatting>
  <conditionalFormatting sqref="BA22:BA27">
    <cfRule type="containsText" dxfId="521" priority="549" operator="containsText" text="T">
      <formula>NOT(ISERROR(SEARCH("T",BA22)))</formula>
    </cfRule>
    <cfRule type="containsText" dxfId="520" priority="550" operator="containsText" text="17">
      <formula>NOT(ISERROR(SEARCH("17",BA22)))</formula>
    </cfRule>
  </conditionalFormatting>
  <conditionalFormatting sqref="BA35:BA40">
    <cfRule type="containsText" dxfId="519" priority="631" operator="containsText" text="T">
      <formula>NOT(ISERROR(SEARCH("T",BA35)))</formula>
    </cfRule>
  </conditionalFormatting>
  <conditionalFormatting sqref="BA59:BA62">
    <cfRule type="containsText" dxfId="518" priority="543" operator="containsText" text="T">
      <formula>NOT(ISERROR(SEARCH("T",BA59)))</formula>
    </cfRule>
  </conditionalFormatting>
  <conditionalFormatting sqref="BA83:BA85 BE83:BG85">
    <cfRule type="containsText" dxfId="517" priority="521" operator="containsText" text="T">
      <formula>NOT(ISERROR(SEARCH("T",BA83)))</formula>
    </cfRule>
  </conditionalFormatting>
  <conditionalFormatting sqref="BA86:BA89">
    <cfRule type="containsText" dxfId="516" priority="533" operator="containsText" text="T">
      <formula>NOT(ISERROR(SEARCH("T",BA86)))</formula>
    </cfRule>
  </conditionalFormatting>
  <conditionalFormatting sqref="BA199 AZ206">
    <cfRule type="containsText" dxfId="515" priority="5056" operator="containsText" text="17">
      <formula>NOT(ISERROR(SEARCH("17",AZ199)))</formula>
    </cfRule>
    <cfRule type="containsText" dxfId="514" priority="5057" operator="containsText" text="T">
      <formula>NOT(ISERROR(SEARCH("T",AZ199)))</formula>
    </cfRule>
  </conditionalFormatting>
  <conditionalFormatting sqref="BA214:BA217 BE214:BG217">
    <cfRule type="containsText" dxfId="513" priority="511" operator="containsText" text="T">
      <formula>NOT(ISERROR(SEARCH("T",BA214)))</formula>
    </cfRule>
  </conditionalFormatting>
  <conditionalFormatting sqref="BA22:BB27">
    <cfRule type="containsText" dxfId="512" priority="552" operator="containsText" text="T">
      <formula>NOT(ISERROR(SEARCH("T",BA22)))</formula>
    </cfRule>
  </conditionalFormatting>
  <conditionalFormatting sqref="BA83:BB85 BE83:BG85">
    <cfRule type="containsText" dxfId="511" priority="522" operator="containsText" text="17">
      <formula>NOT(ISERROR(SEARCH("17",BA83)))</formula>
    </cfRule>
  </conditionalFormatting>
  <conditionalFormatting sqref="BA214:BB217 BE214:BG217">
    <cfRule type="containsText" dxfId="510" priority="512" operator="containsText" text="17">
      <formula>NOT(ISERROR(SEARCH("17",BA214)))</formula>
    </cfRule>
  </conditionalFormatting>
  <conditionalFormatting sqref="BA76:BG78">
    <cfRule type="containsText" dxfId="509" priority="432" operator="containsText" text="17">
      <formula>NOT(ISERROR(SEARCH("17",BA76)))</formula>
    </cfRule>
    <cfRule type="containsText" dxfId="508" priority="433" operator="containsText" text="T">
      <formula>NOT(ISERROR(SEARCH("T",BA76)))</formula>
    </cfRule>
  </conditionalFormatting>
  <conditionalFormatting sqref="BA107:BG112">
    <cfRule type="containsText" dxfId="507" priority="442" operator="containsText" text="17">
      <formula>NOT(ISERROR(SEARCH("17",BA107)))</formula>
    </cfRule>
    <cfRule type="containsText" dxfId="506" priority="443" operator="containsText" text="T">
      <formula>NOT(ISERROR(SEARCH("T",BA107)))</formula>
    </cfRule>
  </conditionalFormatting>
  <conditionalFormatting sqref="BA192:BK199">
    <cfRule type="containsText" dxfId="505" priority="206" operator="containsText" text="17">
      <formula>NOT(ISERROR(SEARCH("17",BA192)))</formula>
    </cfRule>
  </conditionalFormatting>
  <conditionalFormatting sqref="BA192:BR199">
    <cfRule type="containsText" dxfId="504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03" priority="915" operator="containsText" text="17">
      <formula>NOT(ISERROR(SEARCH("17",AX192)))</formula>
    </cfRule>
  </conditionalFormatting>
  <conditionalFormatting sqref="BA192:BX199">
    <cfRule type="containsText" dxfId="502" priority="222" operator="containsText" text="T">
      <formula>NOT(ISERROR(SEARCH("T",BA192)))</formula>
    </cfRule>
  </conditionalFormatting>
  <conditionalFormatting sqref="BB22:BB27">
    <cfRule type="containsText" dxfId="501" priority="618" operator="containsText" text="T">
      <formula>NOT(ISERROR(SEARCH("T",BB22)))</formula>
    </cfRule>
  </conditionalFormatting>
  <conditionalFormatting sqref="BB76:BB78">
    <cfRule type="containsText" dxfId="500" priority="429" operator="containsText" text="17">
      <formula>NOT(ISERROR(SEARCH("17",BB76)))</formula>
    </cfRule>
    <cfRule type="containsText" dxfId="499" priority="430" operator="containsText" text="T">
      <formula>NOT(ISERROR(SEARCH("T",BB76)))</formula>
    </cfRule>
  </conditionalFormatting>
  <conditionalFormatting sqref="BB83:BB85">
    <cfRule type="containsText" dxfId="498" priority="523" operator="containsText" text="T">
      <formula>NOT(ISERROR(SEARCH("T",BB83)))</formula>
    </cfRule>
  </conditionalFormatting>
  <conditionalFormatting sqref="BB107:BB112">
    <cfRule type="containsText" dxfId="497" priority="439" operator="containsText" text="17">
      <formula>NOT(ISERROR(SEARCH("17",BB107)))</formula>
    </cfRule>
    <cfRule type="containsText" dxfId="496" priority="440" operator="containsText" text="T">
      <formula>NOT(ISERROR(SEARCH("T",BB107)))</formula>
    </cfRule>
  </conditionalFormatting>
  <conditionalFormatting sqref="BB199 BD199:BI199 BA206 BC206:BH206">
    <cfRule type="containsText" dxfId="495" priority="5070" operator="containsText" text="17">
      <formula>NOT(ISERROR(SEARCH("17",BA199)))</formula>
    </cfRule>
    <cfRule type="containsText" dxfId="494" priority="5071" operator="containsText" text="T">
      <formula>NOT(ISERROR(SEARCH("T",BA199)))</formula>
    </cfRule>
  </conditionalFormatting>
  <conditionalFormatting sqref="BB214:BB217">
    <cfRule type="containsText" dxfId="493" priority="513" operator="containsText" text="T">
      <formula>NOT(ISERROR(SEARCH("T",BB214)))</formula>
    </cfRule>
  </conditionalFormatting>
  <conditionalFormatting sqref="BB218:BB224 BF218:BH224">
    <cfRule type="containsText" dxfId="492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91" priority="8546" operator="containsText" text="T">
      <formula>NOT(ISERROR(SEARCH("T",AX35)))</formula>
    </cfRule>
  </conditionalFormatting>
  <conditionalFormatting sqref="BB218:BC224 BF218:BH224">
    <cfRule type="containsText" dxfId="490" priority="502" operator="containsText" text="17">
      <formula>NOT(ISERROR(SEARCH("17",BB218)))</formula>
    </cfRule>
  </conditionalFormatting>
  <conditionalFormatting sqref="BB72:BH75">
    <cfRule type="containsText" dxfId="489" priority="422" operator="containsText" text="17">
      <formula>NOT(ISERROR(SEARCH("17",BB72)))</formula>
    </cfRule>
    <cfRule type="containsText" dxfId="488" priority="423" operator="containsText" text="T">
      <formula>NOT(ISERROR(SEARCH("T",BB72)))</formula>
    </cfRule>
  </conditionalFormatting>
  <conditionalFormatting sqref="BB106:BH106">
    <cfRule type="containsText" dxfId="487" priority="412" operator="containsText" text="17">
      <formula>NOT(ISERROR(SEARCH("17",BB106)))</formula>
    </cfRule>
    <cfRule type="containsText" dxfId="486" priority="413" operator="containsText" text="T">
      <formula>NOT(ISERROR(SEARCH("T",BB106)))</formula>
    </cfRule>
  </conditionalFormatting>
  <conditionalFormatting sqref="BB120:BH120">
    <cfRule type="containsText" dxfId="485" priority="392" operator="containsText" text="17">
      <formula>NOT(ISERROR(SEARCH("17",BB120)))</formula>
    </cfRule>
    <cfRule type="containsText" dxfId="484" priority="393" operator="containsText" text="T">
      <formula>NOT(ISERROR(SEARCH("T",BB120)))</formula>
    </cfRule>
  </conditionalFormatting>
  <conditionalFormatting sqref="BB122:BH122">
    <cfRule type="containsText" dxfId="483" priority="382" operator="containsText" text="17">
      <formula>NOT(ISERROR(SEARCH("17",BB122)))</formula>
    </cfRule>
    <cfRule type="containsText" dxfId="482" priority="383" operator="containsText" text="T">
      <formula>NOT(ISERROR(SEARCH("T",BB122)))</formula>
    </cfRule>
  </conditionalFormatting>
  <conditionalFormatting sqref="BB124:BH126">
    <cfRule type="containsText" dxfId="481" priority="402" operator="containsText" text="17">
      <formula>NOT(ISERROR(SEARCH("17",BB124)))</formula>
    </cfRule>
    <cfRule type="containsText" dxfId="480" priority="403" operator="containsText" text="T">
      <formula>NOT(ISERROR(SEARCH("T",BB124)))</formula>
    </cfRule>
  </conditionalFormatting>
  <conditionalFormatting sqref="BB168:BL174">
    <cfRule type="containsText" dxfId="479" priority="182" operator="containsText" text="17">
      <formula>NOT(ISERROR(SEARCH("17",BB168)))</formula>
    </cfRule>
  </conditionalFormatting>
  <conditionalFormatting sqref="BB194:BN194 BB196:BN198">
    <cfRule type="containsText" dxfId="478" priority="916" operator="containsText" text="17">
      <formula>NOT(ISERROR(SEARCH("17",BB194)))</formula>
    </cfRule>
  </conditionalFormatting>
  <conditionalFormatting sqref="BB168:BY174">
    <cfRule type="containsText" dxfId="477" priority="191" operator="containsText" text="T">
      <formula>NOT(ISERROR(SEARCH("T",BB168)))</formula>
    </cfRule>
    <cfRule type="containsText" dxfId="476" priority="194" operator="containsText" text="17">
      <formula>NOT(ISERROR(SEARCH("17",BB168)))</formula>
    </cfRule>
    <cfRule type="containsText" dxfId="475" priority="196" operator="containsText" text="T">
      <formula>NOT(ISERROR(SEARCH("T",BB168)))</formula>
    </cfRule>
  </conditionalFormatting>
  <conditionalFormatting sqref="BC34">
    <cfRule type="containsText" dxfId="474" priority="8060" operator="containsText" text="17">
      <formula>NOT(ISERROR(SEARCH("17",BC34)))</formula>
    </cfRule>
    <cfRule type="containsText" dxfId="473" priority="8061" operator="containsText" text="T">
      <formula>NOT(ISERROR(SEARCH("T",BC34)))</formula>
    </cfRule>
    <cfRule type="containsText" dxfId="472" priority="8062" operator="containsText" text="17">
      <formula>NOT(ISERROR(SEARCH("17",BC34)))</formula>
    </cfRule>
    <cfRule type="containsText" dxfId="471" priority="8063" operator="containsText" text="T">
      <formula>NOT(ISERROR(SEARCH("T",BC34)))</formula>
    </cfRule>
  </conditionalFormatting>
  <conditionalFormatting sqref="BC42:BC47">
    <cfRule type="containsText" dxfId="470" priority="605" operator="containsText" text="T">
      <formula>NOT(ISERROR(SEARCH("T",BC42)))</formula>
    </cfRule>
  </conditionalFormatting>
  <conditionalFormatting sqref="BC72:BC75">
    <cfRule type="containsText" dxfId="469" priority="419" operator="containsText" text="17">
      <formula>NOT(ISERROR(SEARCH("17",BC72)))</formula>
    </cfRule>
    <cfRule type="containsText" dxfId="468" priority="420" operator="containsText" text="T">
      <formula>NOT(ISERROR(SEARCH("T",BC72)))</formula>
    </cfRule>
  </conditionalFormatting>
  <conditionalFormatting sqref="BC106">
    <cfRule type="containsText" dxfId="467" priority="409" operator="containsText" text="17">
      <formula>NOT(ISERROR(SEARCH("17",BC106)))</formula>
    </cfRule>
    <cfRule type="containsText" dxfId="466" priority="410" operator="containsText" text="T">
      <formula>NOT(ISERROR(SEARCH("T",BC106)))</formula>
    </cfRule>
  </conditionalFormatting>
  <conditionalFormatting sqref="BC120">
    <cfRule type="containsText" dxfId="465" priority="389" operator="containsText" text="17">
      <formula>NOT(ISERROR(SEARCH("17",BC120)))</formula>
    </cfRule>
    <cfRule type="containsText" dxfId="464" priority="390" operator="containsText" text="T">
      <formula>NOT(ISERROR(SEARCH("T",BC120)))</formula>
    </cfRule>
  </conditionalFormatting>
  <conditionalFormatting sqref="BC122">
    <cfRule type="containsText" dxfId="463" priority="379" operator="containsText" text="17">
      <formula>NOT(ISERROR(SEARCH("17",BC122)))</formula>
    </cfRule>
    <cfRule type="containsText" dxfId="462" priority="380" operator="containsText" text="T">
      <formula>NOT(ISERROR(SEARCH("T",BC122)))</formula>
    </cfRule>
  </conditionalFormatting>
  <conditionalFormatting sqref="BC124:BC126">
    <cfRule type="containsText" dxfId="461" priority="399" operator="containsText" text="17">
      <formula>NOT(ISERROR(SEARCH("17",BC124)))</formula>
    </cfRule>
    <cfRule type="containsText" dxfId="460" priority="400" operator="containsText" text="T">
      <formula>NOT(ISERROR(SEARCH("T",BC124)))</formula>
    </cfRule>
  </conditionalFormatting>
  <conditionalFormatting sqref="BC182:BC183">
    <cfRule type="containsText" dxfId="459" priority="928" operator="containsText" text="17">
      <formula>NOT(ISERROR(SEARCH("17",BC182)))</formula>
    </cfRule>
  </conditionalFormatting>
  <conditionalFormatting sqref="BC186:BC188 BC189:BV190">
    <cfRule type="containsText" dxfId="458" priority="922" operator="containsText" text="17">
      <formula>NOT(ISERROR(SEARCH("17",BC186)))</formula>
    </cfRule>
  </conditionalFormatting>
  <conditionalFormatting sqref="BC199 BB206 BS127">
    <cfRule type="containsText" dxfId="457" priority="2145" operator="containsText" text="17">
      <formula>NOT(ISERROR(SEARCH("17",BB127)))</formula>
    </cfRule>
  </conditionalFormatting>
  <conditionalFormatting sqref="BC218:BC224">
    <cfRule type="containsText" dxfId="456" priority="503" operator="containsText" text="T">
      <formula>NOT(ISERROR(SEARCH("T",BC218)))</formula>
    </cfRule>
  </conditionalFormatting>
  <conditionalFormatting sqref="BC225:BC231 BG225:BI231">
    <cfRule type="containsText" dxfId="455" priority="491" operator="containsText" text="T">
      <formula>NOT(ISERROR(SEARCH("T",BC225)))</formula>
    </cfRule>
  </conditionalFormatting>
  <conditionalFormatting sqref="BC16:BD20">
    <cfRule type="containsText" dxfId="454" priority="8379" operator="containsText" text="17">
      <formula>NOT(ISERROR(SEARCH("17",BC16)))</formula>
    </cfRule>
  </conditionalFormatting>
  <conditionalFormatting sqref="BC225:BD231 BG225:BI231">
    <cfRule type="containsText" dxfId="453" priority="492" operator="containsText" text="17">
      <formula>NOT(ISERROR(SEARCH("17",BC225)))</formula>
    </cfRule>
  </conditionalFormatting>
  <conditionalFormatting sqref="BC69:BI71">
    <cfRule type="containsText" dxfId="452" priority="342" operator="containsText" text="17">
      <formula>NOT(ISERROR(SEARCH("17",BC69)))</formula>
    </cfRule>
    <cfRule type="containsText" dxfId="451" priority="343" operator="containsText" text="T">
      <formula>NOT(ISERROR(SEARCH("T",BC69)))</formula>
    </cfRule>
  </conditionalFormatting>
  <conditionalFormatting sqref="BC103:BI104">
    <cfRule type="containsText" dxfId="450" priority="372" operator="containsText" text="17">
      <formula>NOT(ISERROR(SEARCH("17",BC103)))</formula>
    </cfRule>
    <cfRule type="containsText" dxfId="449" priority="373" operator="containsText" text="T">
      <formula>NOT(ISERROR(SEARCH("T",BC103)))</formula>
    </cfRule>
  </conditionalFormatting>
  <conditionalFormatting sqref="BC121:BI121">
    <cfRule type="containsText" dxfId="448" priority="362" operator="containsText" text="17">
      <formula>NOT(ISERROR(SEARCH("17",BC121)))</formula>
    </cfRule>
    <cfRule type="containsText" dxfId="447" priority="363" operator="containsText" text="T">
      <formula>NOT(ISERROR(SEARCH("T",BC121)))</formula>
    </cfRule>
  </conditionalFormatting>
  <conditionalFormatting sqref="BC123:BI123">
    <cfRule type="containsText" dxfId="446" priority="352" operator="containsText" text="17">
      <formula>NOT(ISERROR(SEARCH("17",BC123)))</formula>
    </cfRule>
    <cfRule type="containsText" dxfId="445" priority="353" operator="containsText" text="T">
      <formula>NOT(ISERROR(SEARCH("T",BC123)))</formula>
    </cfRule>
  </conditionalFormatting>
  <conditionalFormatting sqref="BC175:BM181">
    <cfRule type="containsText" dxfId="444" priority="158" operator="containsText" text="17">
      <formula>NOT(ISERROR(SEARCH("17",BC175)))</formula>
    </cfRule>
  </conditionalFormatting>
  <conditionalFormatting sqref="BC199:BR199 BB206:BQ206 BS127">
    <cfRule type="containsText" dxfId="443" priority="5050" operator="containsText" text="17">
      <formula>NOT(ISERROR(SEARCH("17",BB127)))</formula>
    </cfRule>
  </conditionalFormatting>
  <conditionalFormatting sqref="BC175:BZ181">
    <cfRule type="containsText" dxfId="442" priority="167" operator="containsText" text="T">
      <formula>NOT(ISERROR(SEARCH("T",BC175)))</formula>
    </cfRule>
    <cfRule type="containsText" dxfId="441" priority="170" operator="containsText" text="17">
      <formula>NOT(ISERROR(SEARCH("17",BC175)))</formula>
    </cfRule>
  </conditionalFormatting>
  <conditionalFormatting sqref="BC175:CP181">
    <cfRule type="containsText" dxfId="440" priority="181" operator="containsText" text="17">
      <formula>NOT(ISERROR(SEARCH("17",BC175)))</formula>
    </cfRule>
  </conditionalFormatting>
  <conditionalFormatting sqref="BD69:BD71">
    <cfRule type="containsText" dxfId="439" priority="339" operator="containsText" text="17">
      <formula>NOT(ISERROR(SEARCH("17",BD69)))</formula>
    </cfRule>
    <cfRule type="containsText" dxfId="438" priority="340" operator="containsText" text="T">
      <formula>NOT(ISERROR(SEARCH("T",BD69)))</formula>
    </cfRule>
  </conditionalFormatting>
  <conditionalFormatting sqref="BD103:BD104">
    <cfRule type="containsText" dxfId="437" priority="369" operator="containsText" text="17">
      <formula>NOT(ISERROR(SEARCH("17",BD103)))</formula>
    </cfRule>
    <cfRule type="containsText" dxfId="436" priority="370" operator="containsText" text="T">
      <formula>NOT(ISERROR(SEARCH("T",BD103)))</formula>
    </cfRule>
  </conditionalFormatting>
  <conditionalFormatting sqref="BD113:BD116 BH113:BJ116">
    <cfRule type="containsText" dxfId="435" priority="471" operator="containsText" text="T">
      <formula>NOT(ISERROR(SEARCH("T",BD113)))</formula>
    </cfRule>
  </conditionalFormatting>
  <conditionalFormatting sqref="BD121">
    <cfRule type="containsText" dxfId="434" priority="359" operator="containsText" text="17">
      <formula>NOT(ISERROR(SEARCH("17",BD121)))</formula>
    </cfRule>
    <cfRule type="containsText" dxfId="433" priority="360" operator="containsText" text="T">
      <formula>NOT(ISERROR(SEARCH("T",BD121)))</formula>
    </cfRule>
  </conditionalFormatting>
  <conditionalFormatting sqref="BD123">
    <cfRule type="containsText" dxfId="432" priority="349" operator="containsText" text="17">
      <formula>NOT(ISERROR(SEARCH("17",BD123)))</formula>
    </cfRule>
    <cfRule type="containsText" dxfId="431" priority="350" operator="containsText" text="T">
      <formula>NOT(ISERROR(SEARCH("T",BD123)))</formula>
    </cfRule>
  </conditionalFormatting>
  <conditionalFormatting sqref="BD225:BD231">
    <cfRule type="containsText" dxfId="430" priority="493" operator="containsText" text="T">
      <formula>NOT(ISERROR(SEARCH("T",BD225)))</formula>
    </cfRule>
  </conditionalFormatting>
  <conditionalFormatting sqref="BD232:BD234 BH232:BJ234">
    <cfRule type="containsText" dxfId="429" priority="481" operator="containsText" text="T">
      <formula>NOT(ISERROR(SEARCH("T",BD232)))</formula>
    </cfRule>
  </conditionalFormatting>
  <conditionalFormatting sqref="BD35:BE39">
    <cfRule type="containsText" dxfId="428" priority="1049" operator="containsText" text="T">
      <formula>NOT(ISERROR(SEARCH("T",BD35)))</formula>
    </cfRule>
  </conditionalFormatting>
  <conditionalFormatting sqref="BD113:BE116 BH113:BJ116">
    <cfRule type="containsText" dxfId="427" priority="472" operator="containsText" text="17">
      <formula>NOT(ISERROR(SEARCH("17",BD113)))</formula>
    </cfRule>
  </conditionalFormatting>
  <conditionalFormatting sqref="BD232:BE234 BH232:BN234">
    <cfRule type="containsText" dxfId="426" priority="482" operator="containsText" text="17">
      <formula>NOT(ISERROR(SEARCH("17",BD232)))</formula>
    </cfRule>
  </conditionalFormatting>
  <conditionalFormatting sqref="BD41:BG45">
    <cfRule type="containsText" dxfId="425" priority="1042" operator="containsText" text="T">
      <formula>NOT(ISERROR(SEARCH("T",BD41)))</formula>
    </cfRule>
  </conditionalFormatting>
  <conditionalFormatting sqref="BD47:BG47 BE48:BH48">
    <cfRule type="containsText" dxfId="424" priority="1037" operator="containsText" text="T">
      <formula>NOT(ISERROR(SEARCH("T",BD47)))</formula>
    </cfRule>
  </conditionalFormatting>
  <conditionalFormatting sqref="BD67:BJ68">
    <cfRule type="containsText" dxfId="423" priority="312" operator="containsText" text="17">
      <formula>NOT(ISERROR(SEARCH("17",BD67)))</formula>
    </cfRule>
    <cfRule type="containsText" dxfId="422" priority="313" operator="containsText" text="T">
      <formula>NOT(ISERROR(SEARCH("T",BD67)))</formula>
    </cfRule>
  </conditionalFormatting>
  <conditionalFormatting sqref="BD99:BJ102">
    <cfRule type="containsText" dxfId="421" priority="332" operator="containsText" text="17">
      <formula>NOT(ISERROR(SEARCH("17",BD99)))</formula>
    </cfRule>
    <cfRule type="containsText" dxfId="420" priority="333" operator="containsText" text="T">
      <formula>NOT(ISERROR(SEARCH("T",BD99)))</formula>
    </cfRule>
  </conditionalFormatting>
  <conditionalFormatting sqref="BD105:BJ105">
    <cfRule type="containsText" dxfId="419" priority="322" operator="containsText" text="17">
      <formula>NOT(ISERROR(SEARCH("17",BD105)))</formula>
    </cfRule>
    <cfRule type="containsText" dxfId="418" priority="323" operator="containsText" text="T">
      <formula>NOT(ISERROR(SEARCH("T",BD105)))</formula>
    </cfRule>
  </conditionalFormatting>
  <conditionalFormatting sqref="BD54:BN59 AZ59:AZ62 BD60:BI62">
    <cfRule type="containsText" dxfId="417" priority="541" operator="containsText" text="T">
      <formula>NOT(ISERROR(SEARCH("T",AZ54)))</formula>
    </cfRule>
  </conditionalFormatting>
  <conditionalFormatting sqref="BD182:BN188">
    <cfRule type="containsText" dxfId="416" priority="134" operator="containsText" text="17">
      <formula>NOT(ISERROR(SEARCH("17",BD182)))</formula>
    </cfRule>
  </conditionalFormatting>
  <conditionalFormatting sqref="BD182:CA188">
    <cfRule type="containsText" dxfId="415" priority="143" operator="containsText" text="T">
      <formula>NOT(ISERROR(SEARCH("T",BD182)))</formula>
    </cfRule>
    <cfRule type="containsText" dxfId="414" priority="146" operator="containsText" text="17">
      <formula>NOT(ISERROR(SEARCH("17",BD182)))</formula>
    </cfRule>
  </conditionalFormatting>
  <conditionalFormatting sqref="BD182:CP188">
    <cfRule type="containsText" dxfId="413" priority="148" operator="containsText" text="T">
      <formula>NOT(ISERROR(SEARCH("T",BD182)))</formula>
    </cfRule>
    <cfRule type="containsText" dxfId="412" priority="157" operator="containsText" text="17">
      <formula>NOT(ISERROR(SEARCH("17",BD182)))</formula>
    </cfRule>
  </conditionalFormatting>
  <conditionalFormatting sqref="BE15:BE20">
    <cfRule type="containsText" dxfId="411" priority="130" operator="containsText" text="T">
      <formula>NOT(ISERROR(SEARCH("T",BE15)))</formula>
    </cfRule>
  </conditionalFormatting>
  <conditionalFormatting sqref="BE67:BE68">
    <cfRule type="containsText" dxfId="410" priority="309" operator="containsText" text="17">
      <formula>NOT(ISERROR(SEARCH("17",BE67)))</formula>
    </cfRule>
    <cfRule type="containsText" dxfId="409" priority="310" operator="containsText" text="T">
      <formula>NOT(ISERROR(SEARCH("T",BE67)))</formula>
    </cfRule>
  </conditionalFormatting>
  <conditionalFormatting sqref="BE79:BE82 BI79:BK82">
    <cfRule type="containsText" dxfId="408" priority="451" operator="containsText" text="T">
      <formula>NOT(ISERROR(SEARCH("T",BE79)))</formula>
    </cfRule>
  </conditionalFormatting>
  <conditionalFormatting sqref="BE99:BE102">
    <cfRule type="containsText" dxfId="407" priority="329" operator="containsText" text="17">
      <formula>NOT(ISERROR(SEARCH("17",BE99)))</formula>
    </cfRule>
    <cfRule type="containsText" dxfId="406" priority="330" operator="containsText" text="T">
      <formula>NOT(ISERROR(SEARCH("T",BE99)))</formula>
    </cfRule>
  </conditionalFormatting>
  <conditionalFormatting sqref="BE105">
    <cfRule type="containsText" dxfId="405" priority="319" operator="containsText" text="17">
      <formula>NOT(ISERROR(SEARCH("17",BE105)))</formula>
    </cfRule>
    <cfRule type="containsText" dxfId="404" priority="320" operator="containsText" text="T">
      <formula>NOT(ISERROR(SEARCH("T",BE105)))</formula>
    </cfRule>
  </conditionalFormatting>
  <conditionalFormatting sqref="BE113:BE116">
    <cfRule type="containsText" dxfId="403" priority="473" operator="containsText" text="T">
      <formula>NOT(ISERROR(SEARCH("T",BE113)))</formula>
    </cfRule>
  </conditionalFormatting>
  <conditionalFormatting sqref="BE117:BE119 BI117:BK119">
    <cfRule type="containsText" dxfId="402" priority="461" operator="containsText" text="T">
      <formula>NOT(ISERROR(SEARCH("T",BE117)))</formula>
    </cfRule>
  </conditionalFormatting>
  <conditionalFormatting sqref="BE232:BE234">
    <cfRule type="containsText" dxfId="401" priority="483" operator="containsText" text="T">
      <formula>NOT(ISERROR(SEARCH("T",BE232)))</formula>
    </cfRule>
  </conditionalFormatting>
  <conditionalFormatting sqref="BE23:BF27">
    <cfRule type="containsText" dxfId="400" priority="1062" operator="containsText" text="17">
      <formula>NOT(ISERROR(SEARCH("17",BE23)))</formula>
    </cfRule>
  </conditionalFormatting>
  <conditionalFormatting sqref="BE79:BF82 BI79:BK82">
    <cfRule type="containsText" dxfId="399" priority="452" operator="containsText" text="17">
      <formula>NOT(ISERROR(SEARCH("17",BE79)))</formula>
    </cfRule>
  </conditionalFormatting>
  <conditionalFormatting sqref="BE117:BF119 BI117:BP119">
    <cfRule type="containsText" dxfId="398" priority="462" operator="containsText" text="17">
      <formula>NOT(ISERROR(SEARCH("17",BE117)))</formula>
    </cfRule>
  </conditionalFormatting>
  <conditionalFormatting sqref="BE199:BF199 BD206:BE206">
    <cfRule type="containsText" dxfId="397" priority="2141" operator="containsText" text="17">
      <formula>NOT(ISERROR(SEARCH("17",BD199)))</formula>
    </cfRule>
    <cfRule type="containsText" dxfId="396" priority="2142" operator="containsText" text="T">
      <formula>NOT(ISERROR(SEARCH("T",BD199)))</formula>
    </cfRule>
  </conditionalFormatting>
  <conditionalFormatting sqref="BE97:BK98">
    <cfRule type="containsText" dxfId="395" priority="302" operator="containsText" text="17">
      <formula>NOT(ISERROR(SEARCH("17",BE97)))</formula>
    </cfRule>
    <cfRule type="containsText" dxfId="394" priority="303" operator="containsText" text="T">
      <formula>NOT(ISERROR(SEARCH("T",BE97)))</formula>
    </cfRule>
  </conditionalFormatting>
  <conditionalFormatting sqref="BE131:BK137">
    <cfRule type="containsText" dxfId="393" priority="292" operator="containsText" text="17">
      <formula>NOT(ISERROR(SEARCH("17",BE131)))</formula>
    </cfRule>
    <cfRule type="containsText" dxfId="392" priority="293" operator="containsText" text="T">
      <formula>NOT(ISERROR(SEARCH("T",BE131)))</formula>
    </cfRule>
  </conditionalFormatting>
  <conditionalFormatting sqref="BE14:BO14">
    <cfRule type="containsText" dxfId="391" priority="122" operator="containsText" text="17">
      <formula>NOT(ISERROR(SEARCH("17",BE14)))</formula>
    </cfRule>
    <cfRule type="containsText" dxfId="390" priority="123" operator="containsText" text="T">
      <formula>NOT(ISERROR(SEARCH("T",BE14)))</formula>
    </cfRule>
  </conditionalFormatting>
  <conditionalFormatting sqref="BE15:BY20 BE14:BM14">
    <cfRule type="containsText" dxfId="389" priority="129" operator="containsText" text="17">
      <formula>NOT(ISERROR(SEARCH("17",BE14)))</formula>
    </cfRule>
  </conditionalFormatting>
  <conditionalFormatting sqref="BF35:BF40">
    <cfRule type="containsText" dxfId="388" priority="118" operator="containsText" text="T">
      <formula>NOT(ISERROR(SEARCH("T",BF35)))</formula>
    </cfRule>
  </conditionalFormatting>
  <conditionalFormatting sqref="BF79:BF82">
    <cfRule type="containsText" dxfId="387" priority="453" operator="containsText" text="T">
      <formula>NOT(ISERROR(SEARCH("T",BF79)))</formula>
    </cfRule>
  </conditionalFormatting>
  <conditionalFormatting sqref="BF93:BF96 AZ94:BB96 BG94:BI96 BS97 BM231:BN234">
    <cfRule type="containsText" dxfId="386" priority="8576" operator="containsText" text="T">
      <formula>NOT(ISERROR(SEARCH("T",AZ93)))</formula>
    </cfRule>
  </conditionalFormatting>
  <conditionalFormatting sqref="BF93:BF96 AZ94:BB96 BS97 BG94:BI96 BM231:BN234">
    <cfRule type="containsText" dxfId="385" priority="8575" operator="containsText" text="17">
      <formula>NOT(ISERROR(SEARCH("17",AZ93)))</formula>
    </cfRule>
  </conditionalFormatting>
  <conditionalFormatting sqref="BF97:BF98">
    <cfRule type="containsText" dxfId="384" priority="299" operator="containsText" text="17">
      <formula>NOT(ISERROR(SEARCH("17",BF97)))</formula>
    </cfRule>
    <cfRule type="containsText" dxfId="383" priority="300" operator="containsText" text="T">
      <formula>NOT(ISERROR(SEARCH("T",BF97)))</formula>
    </cfRule>
  </conditionalFormatting>
  <conditionalFormatting sqref="BF117:BF119">
    <cfRule type="containsText" dxfId="382" priority="463" operator="containsText" text="T">
      <formula>NOT(ISERROR(SEARCH("T",BF117)))</formula>
    </cfRule>
  </conditionalFormatting>
  <conditionalFormatting sqref="BF131:BF137">
    <cfRule type="containsText" dxfId="381" priority="289" operator="containsText" text="17">
      <formula>NOT(ISERROR(SEARCH("17",BF131)))</formula>
    </cfRule>
    <cfRule type="containsText" dxfId="380" priority="290" operator="containsText" text="T">
      <formula>NOT(ISERROR(SEARCH("T",BF131)))</formula>
    </cfRule>
  </conditionalFormatting>
  <conditionalFormatting sqref="BF138:BL144">
    <cfRule type="containsText" dxfId="379" priority="282" operator="containsText" text="17">
      <formula>NOT(ISERROR(SEARCH("17",BF138)))</formula>
    </cfRule>
    <cfRule type="containsText" dxfId="378" priority="283" operator="containsText" text="T">
      <formula>NOT(ISERROR(SEARCH("T",BF138)))</formula>
    </cfRule>
  </conditionalFormatting>
  <conditionalFormatting sqref="BF34:BP34">
    <cfRule type="containsText" dxfId="377" priority="110" operator="containsText" text="17">
      <formula>NOT(ISERROR(SEARCH("17",BF34)))</formula>
    </cfRule>
    <cfRule type="containsText" dxfId="376" priority="111" operator="containsText" text="T">
      <formula>NOT(ISERROR(SEARCH("T",BF34)))</formula>
    </cfRule>
  </conditionalFormatting>
  <conditionalFormatting sqref="BF35:BZ40 BF34:BN34">
    <cfRule type="containsText" dxfId="375" priority="117" operator="containsText" text="17">
      <formula>NOT(ISERROR(SEARCH("17",BF34)))</formula>
    </cfRule>
  </conditionalFormatting>
  <conditionalFormatting sqref="BF50:CA52 BF53:BN53">
    <cfRule type="containsText" dxfId="374" priority="1032" operator="containsText" text="T">
      <formula>NOT(ISERROR(SEARCH("T",BF50)))</formula>
    </cfRule>
  </conditionalFormatting>
  <conditionalFormatting sqref="BG22:BG27">
    <cfRule type="containsText" dxfId="373" priority="106" operator="containsText" text="T">
      <formula>NOT(ISERROR(SEARCH("T",BG22)))</formula>
    </cfRule>
  </conditionalFormatting>
  <conditionalFormatting sqref="BG41:BG45">
    <cfRule type="containsText" dxfId="372" priority="1043" operator="containsText" text="17">
      <formula>NOT(ISERROR(SEARCH("17",BG41)))</formula>
    </cfRule>
  </conditionalFormatting>
  <conditionalFormatting sqref="BG47">
    <cfRule type="containsText" dxfId="371" priority="1041" operator="containsText" text="17">
      <formula>NOT(ISERROR(SEARCH("17",BG47)))</formula>
    </cfRule>
  </conditionalFormatting>
  <conditionalFormatting sqref="BG76:BG78 BK76:BM78">
    <cfRule type="containsText" dxfId="370" priority="426" operator="containsText" text="T">
      <formula>NOT(ISERROR(SEARCH("T",BG76)))</formula>
    </cfRule>
  </conditionalFormatting>
  <conditionalFormatting sqref="BG86 BG93:BI93">
    <cfRule type="containsText" dxfId="369" priority="4100" operator="containsText" text="17">
      <formula>NOT(ISERROR(SEARCH("17",BG86)))</formula>
    </cfRule>
    <cfRule type="containsText" dxfId="368" priority="4101" operator="containsText" text="T">
      <formula>NOT(ISERROR(SEARCH("T",BG86)))</formula>
    </cfRule>
  </conditionalFormatting>
  <conditionalFormatting sqref="BG107:BG112 BK107:BM112">
    <cfRule type="containsText" dxfId="367" priority="436" operator="containsText" text="T">
      <formula>NOT(ISERROR(SEARCH("T",BG107)))</formula>
    </cfRule>
  </conditionalFormatting>
  <conditionalFormatting sqref="BG138:BG144">
    <cfRule type="containsText" dxfId="366" priority="279" operator="containsText" text="17">
      <formula>NOT(ISERROR(SEARCH("17",BG138)))</formula>
    </cfRule>
    <cfRule type="containsText" dxfId="365" priority="280" operator="containsText" text="T">
      <formula>NOT(ISERROR(SEARCH("T",BG138)))</formula>
    </cfRule>
  </conditionalFormatting>
  <conditionalFormatting sqref="BG30:BH32 BG33:BZ33">
    <cfRule type="containsText" dxfId="364" priority="1056" operator="containsText" text="17">
      <formula>NOT(ISERROR(SEARCH("17",BG30)))</formula>
    </cfRule>
  </conditionalFormatting>
  <conditionalFormatting sqref="BG48:BH48">
    <cfRule type="containsText" dxfId="363" priority="1038" operator="containsText" text="17">
      <formula>NOT(ISERROR(SEARCH("17",BG48)))</formula>
    </cfRule>
  </conditionalFormatting>
  <conditionalFormatting sqref="BG76:BH78 BK76:BM78">
    <cfRule type="containsText" dxfId="362" priority="427" operator="containsText" text="17">
      <formula>NOT(ISERROR(SEARCH("17",BG76)))</formula>
    </cfRule>
  </conditionalFormatting>
  <conditionalFormatting sqref="BG107:BH112 BK107:BM112">
    <cfRule type="containsText" dxfId="361" priority="437" operator="containsText" text="17">
      <formula>NOT(ISERROR(SEARCH("17",BG107)))</formula>
    </cfRule>
  </conditionalFormatting>
  <conditionalFormatting sqref="BG145:BM151">
    <cfRule type="containsText" dxfId="360" priority="272" operator="containsText" text="17">
      <formula>NOT(ISERROR(SEARCH("17",BG145)))</formula>
    </cfRule>
    <cfRule type="containsText" dxfId="359" priority="273" operator="containsText" text="T">
      <formula>NOT(ISERROR(SEARCH("T",BG145)))</formula>
    </cfRule>
  </conditionalFormatting>
  <conditionalFormatting sqref="BG21:BQ21">
    <cfRule type="containsText" dxfId="358" priority="98" operator="containsText" text="17">
      <formula>NOT(ISERROR(SEARCH("17",BG21)))</formula>
    </cfRule>
    <cfRule type="containsText" dxfId="357" priority="99" operator="containsText" text="T">
      <formula>NOT(ISERROR(SEARCH("T",BG21)))</formula>
    </cfRule>
  </conditionalFormatting>
  <conditionalFormatting sqref="BG50:BQ52">
    <cfRule type="containsText" dxfId="356" priority="1036" operator="containsText" text="17">
      <formula>NOT(ISERROR(SEARCH("17",BG50)))</formula>
    </cfRule>
  </conditionalFormatting>
  <conditionalFormatting sqref="BG51:BS52 BG53:BN59 BG60:BI66">
    <cfRule type="containsText" dxfId="355" priority="1033" operator="containsText" text="17">
      <formula>NOT(ISERROR(SEARCH("17",BG51)))</formula>
    </cfRule>
  </conditionalFormatting>
  <conditionalFormatting sqref="BG22:CA27 BG21:BO21">
    <cfRule type="containsText" dxfId="354" priority="105" operator="containsText" text="17">
      <formula>NOT(ISERROR(SEARCH("17",BG21)))</formula>
    </cfRule>
  </conditionalFormatting>
  <conditionalFormatting sqref="BH42:BH47">
    <cfRule type="containsText" dxfId="353" priority="94" operator="containsText" text="T">
      <formula>NOT(ISERROR(SEARCH("T",BH42)))</formula>
    </cfRule>
  </conditionalFormatting>
  <conditionalFormatting sqref="BH72:BH75 BL72:BN75">
    <cfRule type="containsText" dxfId="352" priority="416" operator="containsText" text="T">
      <formula>NOT(ISERROR(SEARCH("T",BH72)))</formula>
    </cfRule>
  </conditionalFormatting>
  <conditionalFormatting sqref="BH76:BH78">
    <cfRule type="containsText" dxfId="351" priority="428" operator="containsText" text="T">
      <formula>NOT(ISERROR(SEARCH("T",BH76)))</formula>
    </cfRule>
  </conditionalFormatting>
  <conditionalFormatting sqref="BH106 BL106:BN106">
    <cfRule type="containsText" dxfId="350" priority="406" operator="containsText" text="T">
      <formula>NOT(ISERROR(SEARCH("T",BH106)))</formula>
    </cfRule>
  </conditionalFormatting>
  <conditionalFormatting sqref="BH107:BH112">
    <cfRule type="containsText" dxfId="349" priority="438" operator="containsText" text="T">
      <formula>NOT(ISERROR(SEARCH("T",BH107)))</formula>
    </cfRule>
  </conditionalFormatting>
  <conditionalFormatting sqref="BH120 BL120:BN120">
    <cfRule type="containsText" dxfId="348" priority="386" operator="containsText" text="T">
      <formula>NOT(ISERROR(SEARCH("T",BH120)))</formula>
    </cfRule>
  </conditionalFormatting>
  <conditionalFormatting sqref="BH122 BL122:BN122">
    <cfRule type="containsText" dxfId="347" priority="376" operator="containsText" text="T">
      <formula>NOT(ISERROR(SEARCH("T",BH122)))</formula>
    </cfRule>
  </conditionalFormatting>
  <conditionalFormatting sqref="BH124:BH126 BL124:BN126">
    <cfRule type="containsText" dxfId="346" priority="396" operator="containsText" text="T">
      <formula>NOT(ISERROR(SEARCH("T",BH124)))</formula>
    </cfRule>
  </conditionalFormatting>
  <conditionalFormatting sqref="BH145:BH151">
    <cfRule type="containsText" dxfId="345" priority="269" operator="containsText" text="17">
      <formula>NOT(ISERROR(SEARCH("17",BH145)))</formula>
    </cfRule>
    <cfRule type="containsText" dxfId="344" priority="270" operator="containsText" text="T">
      <formula>NOT(ISERROR(SEARCH("T",BH145)))</formula>
    </cfRule>
  </conditionalFormatting>
  <conditionalFormatting sqref="BH72:BI75 BL72:BN75">
    <cfRule type="containsText" dxfId="343" priority="417" operator="containsText" text="17">
      <formula>NOT(ISERROR(SEARCH("17",BH72)))</formula>
    </cfRule>
  </conditionalFormatting>
  <conditionalFormatting sqref="BH106:BI106 BL106:CJ106">
    <cfRule type="containsText" dxfId="342" priority="407" operator="containsText" text="17">
      <formula>NOT(ISERROR(SEARCH("17",BH106)))</formula>
    </cfRule>
  </conditionalFormatting>
  <conditionalFormatting sqref="BH120:BI120 BL120:BO120">
    <cfRule type="containsText" dxfId="341" priority="387" operator="containsText" text="17">
      <formula>NOT(ISERROR(SEARCH("17",BH120)))</formula>
    </cfRule>
  </conditionalFormatting>
  <conditionalFormatting sqref="BH122:BI122 BL122:BN122">
    <cfRule type="containsText" dxfId="340" priority="377" operator="containsText" text="17">
      <formula>NOT(ISERROR(SEARCH("17",BH122)))</formula>
    </cfRule>
  </conditionalFormatting>
  <conditionalFormatting sqref="BH124:BI126 BL124:BO126">
    <cfRule type="containsText" dxfId="339" priority="397" operator="containsText" text="17">
      <formula>NOT(ISERROR(SEARCH("17",BH124)))</formula>
    </cfRule>
  </conditionalFormatting>
  <conditionalFormatting sqref="BH214:BI216">
    <cfRule type="containsText" dxfId="338" priority="5856" operator="containsText" text="17">
      <formula>NOT(ISERROR(SEARCH("17",BH214)))</formula>
    </cfRule>
    <cfRule type="containsText" dxfId="337" priority="5857" operator="containsText" text="T">
      <formula>NOT(ISERROR(SEARCH("T",BH214)))</formula>
    </cfRule>
  </conditionalFormatting>
  <conditionalFormatting sqref="BH84:BK89">
    <cfRule type="containsText" dxfId="336" priority="1009" operator="containsText" text="17">
      <formula>NOT(ISERROR(SEARCH("17",BH84)))</formula>
    </cfRule>
  </conditionalFormatting>
  <conditionalFormatting sqref="BH152:BN158">
    <cfRule type="containsText" dxfId="335" priority="262" operator="containsText" text="17">
      <formula>NOT(ISERROR(SEARCH("17",BH152)))</formula>
    </cfRule>
    <cfRule type="containsText" dxfId="334" priority="263" operator="containsText" text="T">
      <formula>NOT(ISERROR(SEARCH("T",BH152)))</formula>
    </cfRule>
  </conditionalFormatting>
  <conditionalFormatting sqref="BH41:BR41">
    <cfRule type="containsText" dxfId="333" priority="86" operator="containsText" text="17">
      <formula>NOT(ISERROR(SEARCH("17",BH41)))</formula>
    </cfRule>
    <cfRule type="containsText" dxfId="332" priority="87" operator="containsText" text="T">
      <formula>NOT(ISERROR(SEARCH("T",BH41)))</formula>
    </cfRule>
  </conditionalFormatting>
  <conditionalFormatting sqref="BH42:CB47 BH41:BP41">
    <cfRule type="containsText" dxfId="331" priority="93" operator="containsText" text="17">
      <formula>NOT(ISERROR(SEARCH("17",BH41)))</formula>
    </cfRule>
  </conditionalFormatting>
  <conditionalFormatting sqref="BI28:BI32">
    <cfRule type="containsText" dxfId="330" priority="79" operator="containsText" text="T">
      <formula>NOT(ISERROR(SEARCH("T",BI28)))</formula>
    </cfRule>
  </conditionalFormatting>
  <conditionalFormatting sqref="BI48:BI49">
    <cfRule type="containsText" dxfId="329" priority="74" operator="containsText" text="T">
      <formula>NOT(ISERROR(SEARCH("T",BI48)))</formula>
    </cfRule>
  </conditionalFormatting>
  <conditionalFormatting sqref="BI69:BI71 BM69:BO71">
    <cfRule type="containsText" dxfId="328" priority="336" operator="containsText" text="T">
      <formula>NOT(ISERROR(SEARCH("T",BI69)))</formula>
    </cfRule>
  </conditionalFormatting>
  <conditionalFormatting sqref="BI72:BI75">
    <cfRule type="containsText" dxfId="327" priority="418" operator="containsText" text="T">
      <formula>NOT(ISERROR(SEARCH("T",BI72)))</formula>
    </cfRule>
  </conditionalFormatting>
  <conditionalFormatting sqref="BI103:BI104 BM103:BO104">
    <cfRule type="containsText" dxfId="326" priority="366" operator="containsText" text="T">
      <formula>NOT(ISERROR(SEARCH("T",BI103)))</formula>
    </cfRule>
  </conditionalFormatting>
  <conditionalFormatting sqref="BI106">
    <cfRule type="containsText" dxfId="325" priority="408" operator="containsText" text="T">
      <formula>NOT(ISERROR(SEARCH("T",BI106)))</formula>
    </cfRule>
  </conditionalFormatting>
  <conditionalFormatting sqref="BI120">
    <cfRule type="containsText" dxfId="324" priority="388" operator="containsText" text="T">
      <formula>NOT(ISERROR(SEARCH("T",BI120)))</formula>
    </cfRule>
  </conditionalFormatting>
  <conditionalFormatting sqref="BI121 BM121:BO121">
    <cfRule type="containsText" dxfId="323" priority="356" operator="containsText" text="T">
      <formula>NOT(ISERROR(SEARCH("T",BI121)))</formula>
    </cfRule>
  </conditionalFormatting>
  <conditionalFormatting sqref="BI122">
    <cfRule type="containsText" dxfId="322" priority="378" operator="containsText" text="T">
      <formula>NOT(ISERROR(SEARCH("T",BI122)))</formula>
    </cfRule>
  </conditionalFormatting>
  <conditionalFormatting sqref="BI123 BM123:BO123">
    <cfRule type="containsText" dxfId="321" priority="346" operator="containsText" text="T">
      <formula>NOT(ISERROR(SEARCH("T",BI123)))</formula>
    </cfRule>
  </conditionalFormatting>
  <conditionalFormatting sqref="BI124:BI126">
    <cfRule type="containsText" dxfId="320" priority="398" operator="containsText" text="T">
      <formula>NOT(ISERROR(SEARCH("T",BI124)))</formula>
    </cfRule>
  </conditionalFormatting>
  <conditionalFormatting sqref="BI152:BI158">
    <cfRule type="containsText" dxfId="319" priority="259" operator="containsText" text="17">
      <formula>NOT(ISERROR(SEARCH("17",BI152)))</formula>
    </cfRule>
    <cfRule type="containsText" dxfId="318" priority="260" operator="containsText" text="T">
      <formula>NOT(ISERROR(SEARCH("T",BI152)))</formula>
    </cfRule>
  </conditionalFormatting>
  <conditionalFormatting sqref="BI69:BJ71 BM69:BO71">
    <cfRule type="containsText" dxfId="317" priority="337" operator="containsText" text="17">
      <formula>NOT(ISERROR(SEARCH("17",BI69)))</formula>
    </cfRule>
  </conditionalFormatting>
  <conditionalFormatting sqref="BI103:BJ104 BM103:BO104">
    <cfRule type="containsText" dxfId="316" priority="367" operator="containsText" text="17">
      <formula>NOT(ISERROR(SEARCH("17",BI103)))</formula>
    </cfRule>
  </conditionalFormatting>
  <conditionalFormatting sqref="BI121:BJ121 BM121:BO121">
    <cfRule type="containsText" dxfId="315" priority="357" operator="containsText" text="17">
      <formula>NOT(ISERROR(SEARCH("17",BI121)))</formula>
    </cfRule>
  </conditionalFormatting>
  <conditionalFormatting sqref="BI123:BJ123 BM123:BO123">
    <cfRule type="containsText" dxfId="314" priority="347" operator="containsText" text="17">
      <formula>NOT(ISERROR(SEARCH("17",BI123)))</formula>
    </cfRule>
  </conditionalFormatting>
  <conditionalFormatting sqref="BI214:BJ216">
    <cfRule type="containsText" dxfId="313" priority="5862" operator="containsText" text="17">
      <formula>NOT(ISERROR(SEARCH("17",BI214)))</formula>
    </cfRule>
    <cfRule type="containsText" dxfId="312" priority="5863" operator="containsText" text="T">
      <formula>NOT(ISERROR(SEARCH("T",BI214)))</formula>
    </cfRule>
  </conditionalFormatting>
  <conditionalFormatting sqref="BI218:BL220 BL221:BM223 BM224:BM227 BM228:BN230">
    <cfRule type="containsText" dxfId="311" priority="5627" operator="containsText" text="T">
      <formula>NOT(ISERROR(SEARCH("T",BI218)))</formula>
    </cfRule>
  </conditionalFormatting>
  <conditionalFormatting sqref="BI159:BO165">
    <cfRule type="containsText" dxfId="310" priority="252" operator="containsText" text="17">
      <formula>NOT(ISERROR(SEARCH("17",BI159)))</formula>
    </cfRule>
    <cfRule type="containsText" dxfId="309" priority="253" operator="containsText" text="T">
      <formula>NOT(ISERROR(SEARCH("T",BI159)))</formula>
    </cfRule>
  </conditionalFormatting>
  <conditionalFormatting sqref="BI28:CC32 CF28:CF32">
    <cfRule type="containsText" dxfId="308" priority="76" operator="containsText" text="T">
      <formula>NOT(ISERROR(SEARCH("T",BI28)))</formula>
    </cfRule>
  </conditionalFormatting>
  <conditionalFormatting sqref="BI28:CC32">
    <cfRule type="containsText" dxfId="307" priority="78" operator="containsText" text="17">
      <formula>NOT(ISERROR(SEARCH("17",BI28)))</formula>
    </cfRule>
  </conditionalFormatting>
  <conditionalFormatting sqref="BI48:CC49 CF48:CF49">
    <cfRule type="containsText" dxfId="306" priority="71" operator="containsText" text="T">
      <formula>NOT(ISERROR(SEARCH("T",BI48)))</formula>
    </cfRule>
  </conditionalFormatting>
  <conditionalFormatting sqref="BI48:CC49">
    <cfRule type="containsText" dxfId="305" priority="73" operator="containsText" text="17">
      <formula>NOT(ISERROR(SEARCH("17",BI48)))</formula>
    </cfRule>
  </conditionalFormatting>
  <conditionalFormatting sqref="BJ60:BJ68">
    <cfRule type="containsText" dxfId="304" priority="69" operator="containsText" text="T">
      <formula>NOT(ISERROR(SEARCH("T",BJ60)))</formula>
    </cfRule>
  </conditionalFormatting>
  <conditionalFormatting sqref="BJ69:BJ71">
    <cfRule type="containsText" dxfId="303" priority="338" operator="containsText" text="T">
      <formula>NOT(ISERROR(SEARCH("T",BJ69)))</formula>
    </cfRule>
  </conditionalFormatting>
  <conditionalFormatting sqref="BJ99:BJ102 BN99:BP102">
    <cfRule type="containsText" dxfId="302" priority="326" operator="containsText" text="T">
      <formula>NOT(ISERROR(SEARCH("T",BJ99)))</formula>
    </cfRule>
  </conditionalFormatting>
  <conditionalFormatting sqref="BJ103:BJ104">
    <cfRule type="containsText" dxfId="301" priority="368" operator="containsText" text="T">
      <formula>NOT(ISERROR(SEARCH("T",BJ103)))</formula>
    </cfRule>
  </conditionalFormatting>
  <conditionalFormatting sqref="BJ105 BN105:BP105">
    <cfRule type="containsText" dxfId="300" priority="316" operator="containsText" text="T">
      <formula>NOT(ISERROR(SEARCH("T",BJ105)))</formula>
    </cfRule>
  </conditionalFormatting>
  <conditionalFormatting sqref="BJ121">
    <cfRule type="containsText" dxfId="299" priority="358" operator="containsText" text="T">
      <formula>NOT(ISERROR(SEARCH("T",BJ121)))</formula>
    </cfRule>
  </conditionalFormatting>
  <conditionalFormatting sqref="BJ123">
    <cfRule type="containsText" dxfId="298" priority="348" operator="containsText" text="T">
      <formula>NOT(ISERROR(SEARCH("T",BJ123)))</formula>
    </cfRule>
  </conditionalFormatting>
  <conditionalFormatting sqref="BJ159:BJ165">
    <cfRule type="containsText" dxfId="297" priority="249" operator="containsText" text="17">
      <formula>NOT(ISERROR(SEARCH("17",BJ159)))</formula>
    </cfRule>
    <cfRule type="containsText" dxfId="296" priority="250" operator="containsText" text="T">
      <formula>NOT(ISERROR(SEARCH("T",BJ159)))</formula>
    </cfRule>
  </conditionalFormatting>
  <conditionalFormatting sqref="BJ199 BI206">
    <cfRule type="containsText" dxfId="295" priority="5048" operator="containsText" text="17">
      <formula>NOT(ISERROR(SEARCH("17",BI199)))</formula>
    </cfRule>
    <cfRule type="containsText" dxfId="294" priority="5049" operator="containsText" text="T">
      <formula>NOT(ISERROR(SEARCH("T",BI199)))</formula>
    </cfRule>
  </conditionalFormatting>
  <conditionalFormatting sqref="BJ99:BK102 BN99:BP102">
    <cfRule type="containsText" dxfId="293" priority="327" operator="containsText" text="17">
      <formula>NOT(ISERROR(SEARCH("17",BJ99)))</formula>
    </cfRule>
  </conditionalFormatting>
  <conditionalFormatting sqref="BJ105:BK105 BN105:CJ105">
    <cfRule type="containsText" dxfId="292" priority="317" operator="containsText" text="17">
      <formula>NOT(ISERROR(SEARCH("17",BJ105)))</formula>
    </cfRule>
  </conditionalFormatting>
  <conditionalFormatting sqref="BJ228:BN231 BK232:BN234">
    <cfRule type="containsText" dxfId="291" priority="5687" operator="containsText" text="T">
      <formula>NOT(ISERROR(SEARCH("T",BJ228)))</formula>
    </cfRule>
    <cfRule type="containsText" dxfId="290" priority="5690" operator="containsText" text="17">
      <formula>NOT(ISERROR(SEARCH("17",BJ228)))</formula>
    </cfRule>
    <cfRule type="containsText" dxfId="289" priority="5691" operator="containsText" text="T">
      <formula>NOT(ISERROR(SEARCH("T",BJ228)))</formula>
    </cfRule>
  </conditionalFormatting>
  <conditionalFormatting sqref="BJ228:BN231">
    <cfRule type="containsText" dxfId="288" priority="5686" operator="containsText" text="17">
      <formula>NOT(ISERROR(SEARCH("17",BJ228)))</formula>
    </cfRule>
  </conditionalFormatting>
  <conditionalFormatting sqref="BJ207:BP213">
    <cfRule type="containsText" dxfId="287" priority="242" operator="containsText" text="17">
      <formula>NOT(ISERROR(SEARCH("17",BJ207)))</formula>
    </cfRule>
  </conditionalFormatting>
  <conditionalFormatting sqref="BJ60:CD66 CG60:CG66">
    <cfRule type="containsText" dxfId="286" priority="66" operator="containsText" text="T">
      <formula>NOT(ISERROR(SEARCH("T",BJ60)))</formula>
    </cfRule>
  </conditionalFormatting>
  <conditionalFormatting sqref="BJ60:CD66">
    <cfRule type="containsText" dxfId="285" priority="68" operator="containsText" text="17">
      <formula>NOT(ISERROR(SEARCH("17",BJ60)))</formula>
    </cfRule>
  </conditionalFormatting>
  <conditionalFormatting sqref="BK67:BK68">
    <cfRule type="containsText" dxfId="284" priority="308" operator="containsText" text="T">
      <formula>NOT(ISERROR(SEARCH("T",BK67)))</formula>
    </cfRule>
  </conditionalFormatting>
  <conditionalFormatting sqref="BK85:BK89">
    <cfRule type="containsText" dxfId="283" priority="1010" operator="containsText" text="17">
      <formula>NOT(ISERROR(SEARCH("17",BK85)))</formula>
    </cfRule>
  </conditionalFormatting>
  <conditionalFormatting sqref="BK90:BK98">
    <cfRule type="containsText" dxfId="282" priority="64" operator="containsText" text="T">
      <formula>NOT(ISERROR(SEARCH("T",BK90)))</formula>
    </cfRule>
  </conditionalFormatting>
  <conditionalFormatting sqref="BK99:BK102">
    <cfRule type="containsText" dxfId="281" priority="328" operator="containsText" text="T">
      <formula>NOT(ISERROR(SEARCH("T",BK99)))</formula>
    </cfRule>
  </conditionalFormatting>
  <conditionalFormatting sqref="BK105">
    <cfRule type="containsText" dxfId="280" priority="318" operator="containsText" text="T">
      <formula>NOT(ISERROR(SEARCH("T",BK105)))</formula>
    </cfRule>
  </conditionalFormatting>
  <conditionalFormatting sqref="BK131:BK137 BO131:BQ137">
    <cfRule type="containsText" dxfId="279" priority="286" operator="containsText" text="T">
      <formula>NOT(ISERROR(SEARCH("T",BK131)))</formula>
    </cfRule>
  </conditionalFormatting>
  <conditionalFormatting sqref="BK199 BJ206">
    <cfRule type="containsText" dxfId="278" priority="5064" operator="containsText" text="17">
      <formula>NOT(ISERROR(SEARCH("17",BJ199)))</formula>
    </cfRule>
    <cfRule type="containsText" dxfId="277" priority="5065" operator="containsText" text="T">
      <formula>NOT(ISERROR(SEARCH("T",BJ199)))</formula>
    </cfRule>
  </conditionalFormatting>
  <conditionalFormatting sqref="BK207:BK213">
    <cfRule type="containsText" dxfId="276" priority="239" operator="containsText" text="17">
      <formula>NOT(ISERROR(SEARCH("17",BK207)))</formula>
    </cfRule>
    <cfRule type="containsText" dxfId="275" priority="240" operator="containsText" text="T">
      <formula>NOT(ISERROR(SEARCH("T",BK207)))</formula>
    </cfRule>
  </conditionalFormatting>
  <conditionalFormatting sqref="BK217:BK223 BL224:BL230">
    <cfRule type="containsText" dxfId="274" priority="5614" operator="containsText" text="17">
      <formula>NOT(ISERROR(SEARCH("17",BK217)))</formula>
    </cfRule>
    <cfRule type="containsText" dxfId="273" priority="5615" operator="containsText" text="T">
      <formula>NOT(ISERROR(SEARCH("T",BK217)))</formula>
    </cfRule>
  </conditionalFormatting>
  <conditionalFormatting sqref="BK131:BL137 BO131:BQ137">
    <cfRule type="containsText" dxfId="272" priority="287" operator="containsText" text="17">
      <formula>NOT(ISERROR(SEARCH("17",BK131)))</formula>
    </cfRule>
  </conditionalFormatting>
  <conditionalFormatting sqref="BK217:BL217">
    <cfRule type="containsText" dxfId="271" priority="5312" operator="containsText" text="17">
      <formula>NOT(ISERROR(SEARCH("17",BK217)))</formula>
    </cfRule>
    <cfRule type="containsText" dxfId="270" priority="5313" operator="containsText" text="T">
      <formula>NOT(ISERROR(SEARCH("T",BK217)))</formula>
    </cfRule>
  </conditionalFormatting>
  <conditionalFormatting sqref="BK218:BL220 BK221:BM223">
    <cfRule type="containsText" dxfId="269" priority="5620" operator="containsText" text="17">
      <formula>NOT(ISERROR(SEARCH("17",BK218)))</formula>
    </cfRule>
    <cfRule type="containsText" dxfId="268" priority="5621" operator="containsText" text="T">
      <formula>NOT(ISERROR(SEARCH("T",BK218)))</formula>
    </cfRule>
  </conditionalFormatting>
  <conditionalFormatting sqref="BK200:BQ206">
    <cfRule type="containsText" dxfId="267" priority="229" operator="containsText" text="17">
      <formula>NOT(ISERROR(SEARCH("17",BK200)))</formula>
    </cfRule>
    <cfRule type="containsText" dxfId="266" priority="230" operator="containsText" text="T">
      <formula>NOT(ISERROR(SEARCH("T",BK200)))</formula>
    </cfRule>
  </conditionalFormatting>
  <conditionalFormatting sqref="BK90:CE96 CH90:CH96">
    <cfRule type="containsText" dxfId="265" priority="61" operator="containsText" text="T">
      <formula>NOT(ISERROR(SEARCH("T",BK90)))</formula>
    </cfRule>
  </conditionalFormatting>
  <conditionalFormatting sqref="BK90:CE96">
    <cfRule type="containsText" dxfId="264" priority="63" operator="containsText" text="17">
      <formula>NOT(ISERROR(SEARCH("17",BK90)))</formula>
    </cfRule>
  </conditionalFormatting>
  <conditionalFormatting sqref="BL79">
    <cfRule type="containsText" dxfId="263" priority="3868" operator="containsText" text="17">
      <formula>NOT(ISERROR(SEARCH("17",BL79)))</formula>
    </cfRule>
    <cfRule type="containsText" dxfId="262" priority="3869" operator="containsText" text="T">
      <formula>NOT(ISERROR(SEARCH("T",BL79)))</formula>
    </cfRule>
  </conditionalFormatting>
  <conditionalFormatting sqref="BL83:BL89">
    <cfRule type="containsText" dxfId="261" priority="59" operator="containsText" text="T">
      <formula>NOT(ISERROR(SEARCH("T",BL83)))</formula>
    </cfRule>
  </conditionalFormatting>
  <conditionalFormatting sqref="BL97:BL98">
    <cfRule type="containsText" dxfId="260" priority="298" operator="containsText" text="T">
      <formula>NOT(ISERROR(SEARCH("T",BL97)))</formula>
    </cfRule>
  </conditionalFormatting>
  <conditionalFormatting sqref="BL131:BL137">
    <cfRule type="containsText" dxfId="259" priority="288" operator="containsText" text="T">
      <formula>NOT(ISERROR(SEARCH("T",BL131)))</formula>
    </cfRule>
  </conditionalFormatting>
  <conditionalFormatting sqref="BL138:BL144 BP138:BR144">
    <cfRule type="containsText" dxfId="258" priority="276" operator="containsText" text="T">
      <formula>NOT(ISERROR(SEARCH("T",BL138)))</formula>
    </cfRule>
  </conditionalFormatting>
  <conditionalFormatting sqref="BL200:BL206">
    <cfRule type="containsText" dxfId="257" priority="227" operator="containsText" text="17">
      <formula>NOT(ISERROR(SEARCH("17",BL200)))</formula>
    </cfRule>
    <cfRule type="containsText" dxfId="256" priority="228" operator="containsText" text="T">
      <formula>NOT(ISERROR(SEARCH("T",BL200)))</formula>
    </cfRule>
  </conditionalFormatting>
  <conditionalFormatting sqref="BL217">
    <cfRule type="containsText" dxfId="255" priority="5314" operator="containsText" text="17">
      <formula>NOT(ISERROR(SEARCH("17",BL217)))</formula>
    </cfRule>
    <cfRule type="containsText" dxfId="254" priority="5315" operator="containsText" text="T">
      <formula>NOT(ISERROR(SEARCH("T",BL217)))</formula>
    </cfRule>
  </conditionalFormatting>
  <conditionalFormatting sqref="BL218:BL220 BL221:BM223 BM224:BM227 BM228:BN230">
    <cfRule type="containsText" dxfId="253" priority="5626" operator="containsText" text="17">
      <formula>NOT(ISERROR(SEARCH("17",BL218)))</formula>
    </cfRule>
  </conditionalFormatting>
  <conditionalFormatting sqref="BL138:BM144 BP138:BR144">
    <cfRule type="containsText" dxfId="252" priority="277" operator="containsText" text="17">
      <formula>NOT(ISERROR(SEARCH("17",BL138)))</formula>
    </cfRule>
  </conditionalFormatting>
  <conditionalFormatting sqref="BL199:BM199 BK206:BL206">
    <cfRule type="containsText" dxfId="251" priority="2139" operator="containsText" text="17">
      <formula>NOT(ISERROR(SEARCH("17",BK199)))</formula>
    </cfRule>
    <cfRule type="containsText" dxfId="250" priority="2140" operator="containsText" text="T">
      <formula>NOT(ISERROR(SEARCH("T",BK199)))</formula>
    </cfRule>
  </conditionalFormatting>
  <conditionalFormatting sqref="BL224:BM227 BL228:BN230">
    <cfRule type="containsText" dxfId="249" priority="5618" operator="containsText" text="17">
      <formula>NOT(ISERROR(SEARCH("17",BL224)))</formula>
    </cfRule>
    <cfRule type="containsText" dxfId="248" priority="5619" operator="containsText" text="T">
      <formula>NOT(ISERROR(SEARCH("T",BL224)))</formula>
    </cfRule>
  </conditionalFormatting>
  <conditionalFormatting sqref="BL192:BR199">
    <cfRule type="containsText" dxfId="247" priority="212" operator="containsText" text="17">
      <formula>NOT(ISERROR(SEARCH("17",BL192)))</formula>
    </cfRule>
  </conditionalFormatting>
  <conditionalFormatting sqref="BL83:CF89 CI83:CI89">
    <cfRule type="containsText" dxfId="246" priority="56" operator="containsText" text="T">
      <formula>NOT(ISERROR(SEARCH("T",BL83)))</formula>
    </cfRule>
  </conditionalFormatting>
  <conditionalFormatting sqref="BL83:CF89">
    <cfRule type="containsText" dxfId="245" priority="58" operator="containsText" text="17">
      <formula>NOT(ISERROR(SEARCH("17",BL83)))</formula>
    </cfRule>
  </conditionalFormatting>
  <conditionalFormatting sqref="BM138:BM144">
    <cfRule type="containsText" dxfId="244" priority="278" operator="containsText" text="T">
      <formula>NOT(ISERROR(SEARCH("T",BM138)))</formula>
    </cfRule>
  </conditionalFormatting>
  <conditionalFormatting sqref="BM145:BM151 BQ145:BS151">
    <cfRule type="containsText" dxfId="243" priority="266" operator="containsText" text="T">
      <formula>NOT(ISERROR(SEARCH("T",BM145)))</formula>
    </cfRule>
  </conditionalFormatting>
  <conditionalFormatting sqref="BM192:BM199">
    <cfRule type="containsText" dxfId="242" priority="210" operator="containsText" text="17">
      <formula>NOT(ISERROR(SEARCH("17",BM192)))</formula>
    </cfRule>
    <cfRule type="containsText" dxfId="241" priority="211" operator="containsText" text="T">
      <formula>NOT(ISERROR(SEARCH("T",BM192)))</formula>
    </cfRule>
  </conditionalFormatting>
  <conditionalFormatting sqref="BM214:BM220">
    <cfRule type="containsText" dxfId="240" priority="54" operator="containsText" text="T">
      <formula>NOT(ISERROR(SEARCH("T",BM214)))</formula>
    </cfRule>
  </conditionalFormatting>
  <conditionalFormatting sqref="BM145:BN151 BQ145:BS151">
    <cfRule type="containsText" dxfId="239" priority="267" operator="containsText" text="17">
      <formula>NOT(ISERROR(SEARCH("17",BM145)))</formula>
    </cfRule>
  </conditionalFormatting>
  <conditionalFormatting sqref="BM168:BS174">
    <cfRule type="containsText" dxfId="238" priority="188" operator="containsText" text="17">
      <formula>NOT(ISERROR(SEARCH("17",BM168)))</formula>
    </cfRule>
    <cfRule type="containsText" dxfId="237" priority="189" operator="containsText" text="T">
      <formula>NOT(ISERROR(SEARCH("T",BM168)))</formula>
    </cfRule>
  </conditionalFormatting>
  <conditionalFormatting sqref="BM214:CG220 CJ214:CJ220">
    <cfRule type="containsText" dxfId="236" priority="51" operator="containsText" text="T">
      <formula>NOT(ISERROR(SEARCH("T",BM214)))</formula>
    </cfRule>
  </conditionalFormatting>
  <conditionalFormatting sqref="BM214:CG220">
    <cfRule type="containsText" dxfId="235" priority="53" operator="containsText" text="17">
      <formula>NOT(ISERROR(SEARCH("17",BM214)))</formula>
    </cfRule>
  </conditionalFormatting>
  <conditionalFormatting sqref="BM79:CJ82 CJ83:CJ84">
    <cfRule type="containsText" dxfId="234" priority="1015" operator="containsText" text="17">
      <formula>NOT(ISERROR(SEARCH("17",BM79)))</formula>
    </cfRule>
  </conditionalFormatting>
  <conditionalFormatting sqref="BN145:BN151">
    <cfRule type="containsText" dxfId="233" priority="268" operator="containsText" text="T">
      <formula>NOT(ISERROR(SEARCH("T",BN145)))</formula>
    </cfRule>
  </conditionalFormatting>
  <conditionalFormatting sqref="BN152:BN158 BR152:BT158">
    <cfRule type="containsText" dxfId="232" priority="256" operator="containsText" text="T">
      <formula>NOT(ISERROR(SEARCH("T",BN152)))</formula>
    </cfRule>
  </conditionalFormatting>
  <conditionalFormatting sqref="BN168:BN174">
    <cfRule type="containsText" dxfId="231" priority="186" operator="containsText" text="17">
      <formula>NOT(ISERROR(SEARCH("17",BN168)))</formula>
    </cfRule>
    <cfRule type="containsText" dxfId="230" priority="187" operator="containsText" text="T">
      <formula>NOT(ISERROR(SEARCH("T",BN168)))</formula>
    </cfRule>
  </conditionalFormatting>
  <conditionalFormatting sqref="BN221:BN227">
    <cfRule type="containsText" dxfId="229" priority="49" operator="containsText" text="T">
      <formula>NOT(ISERROR(SEARCH("T",BN221)))</formula>
    </cfRule>
  </conditionalFormatting>
  <conditionalFormatting sqref="BN152:BO158 BR152:BT158">
    <cfRule type="containsText" dxfId="228" priority="257" operator="containsText" text="17">
      <formula>NOT(ISERROR(SEARCH("17",BN152)))</formula>
    </cfRule>
  </conditionalFormatting>
  <conditionalFormatting sqref="BN67:BP68 BJ67:BK68">
    <cfRule type="containsText" dxfId="227" priority="307" operator="containsText" text="17">
      <formula>NOT(ISERROR(SEARCH("17",BJ67)))</formula>
    </cfRule>
  </conditionalFormatting>
  <conditionalFormatting sqref="BN67:BP68">
    <cfRule type="containsText" dxfId="226" priority="306" operator="containsText" text="T">
      <formula>NOT(ISERROR(SEARCH("T",BN67)))</formula>
    </cfRule>
  </conditionalFormatting>
  <conditionalFormatting sqref="BN175:BT181">
    <cfRule type="containsText" dxfId="225" priority="164" operator="containsText" text="17">
      <formula>NOT(ISERROR(SEARCH("17",BN175)))</formula>
    </cfRule>
    <cfRule type="containsText" dxfId="224" priority="165" operator="containsText" text="T">
      <formula>NOT(ISERROR(SEARCH("T",BN175)))</formula>
    </cfRule>
  </conditionalFormatting>
  <conditionalFormatting sqref="BN192:BW199 BM193:BN213 BP193:BU213 BN200:BO206 BQ200:BV206">
    <cfRule type="containsText" dxfId="223" priority="918" operator="containsText" text="T">
      <formula>NOT(ISERROR(SEARCH("T",BM192)))</formula>
    </cfRule>
  </conditionalFormatting>
  <conditionalFormatting sqref="BN221:CH227 CK221:CK227">
    <cfRule type="containsText" dxfId="222" priority="46" operator="containsText" text="T">
      <formula>NOT(ISERROR(SEARCH("T",BN221)))</formula>
    </cfRule>
  </conditionalFormatting>
  <conditionalFormatting sqref="BN221:CH227">
    <cfRule type="containsText" dxfId="221" priority="48" operator="containsText" text="17">
      <formula>NOT(ISERROR(SEARCH("17",BN221)))</formula>
    </cfRule>
  </conditionalFormatting>
  <conditionalFormatting sqref="BN107:CJ109">
    <cfRule type="containsText" dxfId="220" priority="993" operator="containsText" text="17">
      <formula>NOT(ISERROR(SEARCH("17",BN107)))</formula>
    </cfRule>
  </conditionalFormatting>
  <conditionalFormatting sqref="BN111:CJ112 BM113:BP115">
    <cfRule type="containsText" dxfId="219" priority="987" operator="containsText" text="17">
      <formula>NOT(ISERROR(SEARCH("17",BM111)))</formula>
    </cfRule>
  </conditionalFormatting>
  <conditionalFormatting sqref="BO152:BO158">
    <cfRule type="containsText" dxfId="218" priority="258" operator="containsText" text="T">
      <formula>NOT(ISERROR(SEARCH("T",BO152)))</formula>
    </cfRule>
  </conditionalFormatting>
  <conditionalFormatting sqref="BO159:BO165 BS159:BU165">
    <cfRule type="containsText" dxfId="217" priority="246" operator="containsText" text="T">
      <formula>NOT(ISERROR(SEARCH("T",BO159)))</formula>
    </cfRule>
  </conditionalFormatting>
  <conditionalFormatting sqref="BO175:BO181">
    <cfRule type="containsText" dxfId="216" priority="162" operator="containsText" text="17">
      <formula>NOT(ISERROR(SEARCH("17",BO175)))</formula>
    </cfRule>
    <cfRule type="containsText" dxfId="215" priority="163" operator="containsText" text="T">
      <formula>NOT(ISERROR(SEARCH("T",BO175)))</formula>
    </cfRule>
  </conditionalFormatting>
  <conditionalFormatting sqref="BO228:BO234">
    <cfRule type="containsText" dxfId="214" priority="44" operator="containsText" text="T">
      <formula>NOT(ISERROR(SEARCH("T",BO228)))</formula>
    </cfRule>
  </conditionalFormatting>
  <conditionalFormatting sqref="BO159:BP165 BS159:BU165">
    <cfRule type="containsText" dxfId="213" priority="247" operator="containsText" text="17">
      <formula>NOT(ISERROR(SEARCH("17",BO159)))</formula>
    </cfRule>
  </conditionalFormatting>
  <conditionalFormatting sqref="BO182:BU188">
    <cfRule type="containsText" dxfId="212" priority="140" operator="containsText" text="17">
      <formula>NOT(ISERROR(SEARCH("17",BO182)))</formula>
    </cfRule>
    <cfRule type="containsText" dxfId="211" priority="141" operator="containsText" text="T">
      <formula>NOT(ISERROR(SEARCH("T",BO182)))</formula>
    </cfRule>
  </conditionalFormatting>
  <conditionalFormatting sqref="BO118:BP119 BO120">
    <cfRule type="containsText" dxfId="210" priority="982" operator="containsText" text="17">
      <formula>NOT(ISERROR(SEARCH("17",BO118)))</formula>
    </cfRule>
  </conditionalFormatting>
  <conditionalFormatting sqref="BO228:CI234 CL228:CL234">
    <cfRule type="containsText" dxfId="209" priority="41" operator="containsText" text="T">
      <formula>NOT(ISERROR(SEARCH("T",BO228)))</formula>
    </cfRule>
  </conditionalFormatting>
  <conditionalFormatting sqref="BO228:CI234">
    <cfRule type="containsText" dxfId="208" priority="43" operator="containsText" text="17">
      <formula>NOT(ISERROR(SEARCH("17",BO228)))</formula>
    </cfRule>
  </conditionalFormatting>
  <conditionalFormatting sqref="BO73:CK75 BN76:CK77 CK78">
    <cfRule type="containsText" dxfId="207" priority="1021" operator="containsText" text="17">
      <formula>NOT(ISERROR(SEARCH("17",BN73)))</formula>
    </cfRule>
  </conditionalFormatting>
  <conditionalFormatting sqref="BO97:CP98 BK97:BL98">
    <cfRule type="containsText" dxfId="206" priority="297" operator="containsText" text="17">
      <formula>NOT(ISERROR(SEARCH("17",BK97)))</formula>
    </cfRule>
  </conditionalFormatting>
  <conditionalFormatting sqref="BO97:CP98">
    <cfRule type="containsText" dxfId="205" priority="296" operator="containsText" text="T">
      <formula>NOT(ISERROR(SEARCH("T",BO97)))</formula>
    </cfRule>
  </conditionalFormatting>
  <conditionalFormatting sqref="BP159:BP165">
    <cfRule type="containsText" dxfId="204" priority="248" operator="containsText" text="T">
      <formula>NOT(ISERROR(SEARCH("T",BP159)))</formula>
    </cfRule>
  </conditionalFormatting>
  <conditionalFormatting sqref="BP182:BP188">
    <cfRule type="containsText" dxfId="203" priority="138" operator="containsText" text="17">
      <formula>NOT(ISERROR(SEARCH("17",BP182)))</formula>
    </cfRule>
    <cfRule type="containsText" dxfId="202" priority="139" operator="containsText" text="T">
      <formula>NOT(ISERROR(SEARCH("T",BP182)))</formula>
    </cfRule>
  </conditionalFormatting>
  <conditionalFormatting sqref="BP192:BP199 BO193:BO213 BP194:BT194 BM195:BS195 BO196:BT198">
    <cfRule type="containsText" dxfId="201" priority="920" operator="containsText" text="T">
      <formula>NOT(ISERROR(SEARCH("T",BM192)))</formula>
    </cfRule>
  </conditionalFormatting>
  <conditionalFormatting sqref="BP200:BP213">
    <cfRule type="containsText" dxfId="200" priority="233" operator="containsText" text="T">
      <formula>NOT(ISERROR(SEARCH("T",BP200)))</formula>
    </cfRule>
  </conditionalFormatting>
  <conditionalFormatting sqref="BP207:BQ213">
    <cfRule type="containsText" dxfId="199" priority="237" operator="containsText" text="17">
      <formula>NOT(ISERROR(SEARCH("17",BP207)))</formula>
    </cfRule>
  </conditionalFormatting>
  <conditionalFormatting sqref="BP194:BT194 BM195:BS195 BO196:BT198">
    <cfRule type="containsText" dxfId="198" priority="919" operator="containsText" text="17">
      <formula>NOT(ISERROR(SEARCH("17",BM194)))</formula>
    </cfRule>
  </conditionalFormatting>
  <conditionalFormatting sqref="BP14:BV14">
    <cfRule type="containsText" dxfId="197" priority="131" operator="containsText" text="17">
      <formula>NOT(ISERROR(SEARCH("17",BP14)))</formula>
    </cfRule>
    <cfRule type="containsText" dxfId="196" priority="132" operator="containsText" text="T">
      <formula>NOT(ISERROR(SEARCH("T",BP14)))</formula>
    </cfRule>
  </conditionalFormatting>
  <conditionalFormatting sqref="BP189:BV190">
    <cfRule type="containsText" dxfId="195" priority="924" operator="containsText" text="T">
      <formula>NOT(ISERROR(SEARCH("T",BP189)))</formula>
    </cfRule>
  </conditionalFormatting>
  <conditionalFormatting sqref="BP80:CB82">
    <cfRule type="containsText" dxfId="194" priority="1016" operator="containsText" text="17">
      <formula>NOT(ISERROR(SEARCH("17",BP80)))</formula>
    </cfRule>
  </conditionalFormatting>
  <conditionalFormatting sqref="BP106:CB109">
    <cfRule type="containsText" dxfId="193" priority="994" operator="containsText" text="17">
      <formula>NOT(ISERROR(SEARCH("17",BP106)))</formula>
    </cfRule>
  </conditionalFormatting>
  <conditionalFormatting sqref="BP112:CB112 BP113:BP115">
    <cfRule type="containsText" dxfId="192" priority="988" operator="containsText" text="17">
      <formula>NOT(ISERROR(SEARCH("17",BP112)))</formula>
    </cfRule>
  </conditionalFormatting>
  <conditionalFormatting sqref="BQ14">
    <cfRule type="containsText" dxfId="191" priority="127" operator="containsText" text="17">
      <formula>NOT(ISERROR(SEARCH("17",BQ14)))</formula>
    </cfRule>
    <cfRule type="containsText" dxfId="190" priority="128" operator="containsText" text="T">
      <formula>NOT(ISERROR(SEARCH("T",BQ14)))</formula>
    </cfRule>
  </conditionalFormatting>
  <conditionalFormatting sqref="BQ192:BQ206">
    <cfRule type="containsText" dxfId="189" priority="216" operator="containsText" text="T">
      <formula>NOT(ISERROR(SEARCH("T",BQ192)))</formula>
    </cfRule>
  </conditionalFormatting>
  <conditionalFormatting sqref="BQ207:BQ213">
    <cfRule type="containsText" dxfId="188" priority="238" operator="containsText" text="T">
      <formula>NOT(ISERROR(SEARCH("T",BQ207)))</formula>
    </cfRule>
  </conditionalFormatting>
  <conditionalFormatting sqref="BQ200:BR206">
    <cfRule type="containsText" dxfId="187" priority="225" operator="containsText" text="17">
      <formula>NOT(ISERROR(SEARCH("17",BQ200)))</formula>
    </cfRule>
  </conditionalFormatting>
  <conditionalFormatting sqref="BQ34:BW34">
    <cfRule type="containsText" dxfId="186" priority="119" operator="containsText" text="17">
      <formula>NOT(ISERROR(SEARCH("17",BQ34)))</formula>
    </cfRule>
    <cfRule type="containsText" dxfId="185" priority="120" operator="containsText" text="T">
      <formula>NOT(ISERROR(SEARCH("T",BQ34)))</formula>
    </cfRule>
  </conditionalFormatting>
  <conditionalFormatting sqref="BQ100:CB102 BP103:CB103">
    <cfRule type="containsText" dxfId="184" priority="999" operator="containsText" text="17">
      <formula>NOT(ISERROR(SEARCH("17",BP100)))</formula>
    </cfRule>
  </conditionalFormatting>
  <conditionalFormatting sqref="BR34">
    <cfRule type="containsText" dxfId="183" priority="115" operator="containsText" text="17">
      <formula>NOT(ISERROR(SEARCH("17",BR34)))</formula>
    </cfRule>
    <cfRule type="containsText" dxfId="182" priority="116" operator="containsText" text="T">
      <formula>NOT(ISERROR(SEARCH("T",BR34)))</formula>
    </cfRule>
  </conditionalFormatting>
  <conditionalFormatting sqref="BR192:BR199">
    <cfRule type="containsText" dxfId="181" priority="207" operator="containsText" text="T">
      <formula>NOT(ISERROR(SEARCH("T",BR192)))</formula>
    </cfRule>
  </conditionalFormatting>
  <conditionalFormatting sqref="BR200:BR206">
    <cfRule type="containsText" dxfId="180" priority="226" operator="containsText" text="T">
      <formula>NOT(ISERROR(SEARCH("T",BR200)))</formula>
    </cfRule>
  </conditionalFormatting>
  <conditionalFormatting sqref="BR50:BS50 BU50:BY50">
    <cfRule type="containsText" dxfId="179" priority="1034" operator="containsText" text="17">
      <formula>NOT(ISERROR(SEARCH("17",BR50)))</formula>
    </cfRule>
    <cfRule type="containsText" dxfId="178" priority="1035" operator="containsText" text="T">
      <formula>NOT(ISERROR(SEARCH("T",BR50)))</formula>
    </cfRule>
  </conditionalFormatting>
  <conditionalFormatting sqref="BR192:BS199">
    <cfRule type="containsText" dxfId="177" priority="208" operator="containsText" text="17">
      <formula>NOT(ISERROR(SEARCH("17",BR192)))</formula>
    </cfRule>
  </conditionalFormatting>
  <conditionalFormatting sqref="BR21:BX21">
    <cfRule type="containsText" dxfId="176" priority="107" operator="containsText" text="17">
      <formula>NOT(ISERROR(SEARCH("17",BR21)))</formula>
    </cfRule>
    <cfRule type="containsText" dxfId="175" priority="108" operator="containsText" text="T">
      <formula>NOT(ISERROR(SEARCH("T",BR21)))</formula>
    </cfRule>
  </conditionalFormatting>
  <conditionalFormatting sqref="BR68:CD71 BQ74:CC77">
    <cfRule type="containsText" dxfId="174" priority="1022" operator="containsText" text="17">
      <formula>NOT(ISERROR(SEARCH("17",BQ68)))</formula>
    </cfRule>
  </conditionalFormatting>
  <conditionalFormatting sqref="BS21">
    <cfRule type="containsText" dxfId="173" priority="103" operator="containsText" text="17">
      <formula>NOT(ISERROR(SEARCH("17",BS21)))</formula>
    </cfRule>
    <cfRule type="containsText" dxfId="172" priority="104" operator="containsText" text="T">
      <formula>NOT(ISERROR(SEARCH("T",BS21)))</formula>
    </cfRule>
  </conditionalFormatting>
  <conditionalFormatting sqref="BS127 BC199 BB206">
    <cfRule type="containsText" dxfId="171" priority="2146" operator="containsText" text="T">
      <formula>NOT(ISERROR(SEARCH("T",BB127)))</formula>
    </cfRule>
  </conditionalFormatting>
  <conditionalFormatting sqref="BS127 BC199:BR199 BB206:BQ206">
    <cfRule type="containsText" dxfId="170" priority="5051" operator="containsText" text="T">
      <formula>NOT(ISERROR(SEARCH("T",BB127)))</formula>
    </cfRule>
  </conditionalFormatting>
  <conditionalFormatting sqref="BS168:BS181">
    <cfRule type="containsText" dxfId="169" priority="168" operator="containsText" text="T">
      <formula>NOT(ISERROR(SEARCH("T",BS168)))</formula>
    </cfRule>
  </conditionalFormatting>
  <conditionalFormatting sqref="BS192:BS199">
    <cfRule type="containsText" dxfId="168" priority="209" operator="containsText" text="T">
      <formula>NOT(ISERROR(SEARCH("T",BS192)))</formula>
    </cfRule>
  </conditionalFormatting>
  <conditionalFormatting sqref="BS168:BT174">
    <cfRule type="containsText" dxfId="167" priority="184" operator="containsText" text="17">
      <formula>NOT(ISERROR(SEARCH("17",BS168)))</formula>
    </cfRule>
  </conditionalFormatting>
  <conditionalFormatting sqref="BS199:BT199 BR206:BS206">
    <cfRule type="containsText" dxfId="166" priority="2149" operator="containsText" text="17">
      <formula>NOT(ISERROR(SEARCH("17",BR199)))</formula>
    </cfRule>
    <cfRule type="containsText" dxfId="165" priority="2150" operator="containsText" text="T">
      <formula>NOT(ISERROR(SEARCH("T",BR199)))</formula>
    </cfRule>
  </conditionalFormatting>
  <conditionalFormatting sqref="BS41:BY41">
    <cfRule type="containsText" dxfId="164" priority="95" operator="containsText" text="17">
      <formula>NOT(ISERROR(SEARCH("17",BS41)))</formula>
    </cfRule>
    <cfRule type="containsText" dxfId="163" priority="96" operator="containsText" text="T">
      <formula>NOT(ISERROR(SEARCH("T",BS41)))</formula>
    </cfRule>
  </conditionalFormatting>
  <conditionalFormatting sqref="BT41">
    <cfRule type="containsText" dxfId="162" priority="91" operator="containsText" text="17">
      <formula>NOT(ISERROR(SEARCH("17",BT41)))</formula>
    </cfRule>
    <cfRule type="containsText" dxfId="161" priority="92" operator="containsText" text="T">
      <formula>NOT(ISERROR(SEARCH("T",BT41)))</formula>
    </cfRule>
  </conditionalFormatting>
  <conditionalFormatting sqref="BT50:BT52 BZ50:BZ52 BU51:BY52">
    <cfRule type="containsText" dxfId="160" priority="8559" operator="containsText" text="17">
      <formula>NOT(ISERROR(SEARCH("17",BT50)))</formula>
    </cfRule>
    <cfRule type="containsText" dxfId="159" priority="8560" operator="containsText" text="T">
      <formula>NOT(ISERROR(SEARCH("T",BT50)))</formula>
    </cfRule>
  </conditionalFormatting>
  <conditionalFormatting sqref="BT145:BT148">
    <cfRule type="containsText" dxfId="158" priority="1589" operator="containsText" text="17">
      <formula>NOT(ISERROR(SEARCH("17",BT145)))</formula>
    </cfRule>
    <cfRule type="containsText" dxfId="157" priority="1590" operator="containsText" text="T">
      <formula>NOT(ISERROR(SEARCH("T",BT145)))</formula>
    </cfRule>
    <cfRule type="containsText" dxfId="156" priority="8534" operator="containsText" text="T">
      <formula>NOT(ISERROR(SEARCH("T",BT145)))</formula>
    </cfRule>
  </conditionalFormatting>
  <conditionalFormatting sqref="BT168:BT174">
    <cfRule type="containsText" dxfId="155" priority="185" operator="containsText" text="T">
      <formula>NOT(ISERROR(SEARCH("T",BT168)))</formula>
    </cfRule>
  </conditionalFormatting>
  <conditionalFormatting sqref="BT175:BT188">
    <cfRule type="containsText" dxfId="154" priority="144" operator="containsText" text="T">
      <formula>NOT(ISERROR(SEARCH("T",BT175)))</formula>
    </cfRule>
  </conditionalFormatting>
  <conditionalFormatting sqref="BT175:BU181">
    <cfRule type="containsText" dxfId="153" priority="160" operator="containsText" text="17">
      <formula>NOT(ISERROR(SEARCH("17",BT175)))</formula>
    </cfRule>
  </conditionalFormatting>
  <conditionalFormatting sqref="BT139:CQ144">
    <cfRule type="containsText" dxfId="152" priority="965" operator="containsText" text="17">
      <formula>NOT(ISERROR(SEARCH("17",BT139)))</formula>
    </cfRule>
    <cfRule type="containsText" dxfId="151" priority="968" operator="containsText" text="T">
      <formula>NOT(ISERROR(SEARCH("T",BT139)))</formula>
    </cfRule>
  </conditionalFormatting>
  <conditionalFormatting sqref="BU175:BU181">
    <cfRule type="containsText" dxfId="150" priority="161" operator="containsText" text="T">
      <formula>NOT(ISERROR(SEARCH("T",BU175)))</formula>
    </cfRule>
  </conditionalFormatting>
  <conditionalFormatting sqref="BU182:BU188">
    <cfRule type="containsText" dxfId="149" priority="135" operator="containsText" text="T">
      <formula>NOT(ISERROR(SEARCH("T",BU182)))</formula>
    </cfRule>
  </conditionalFormatting>
  <conditionalFormatting sqref="BU200:BU202 AX210:AX211">
    <cfRule type="containsText" dxfId="148" priority="8520" operator="containsText" text="T">
      <formula>NOT(ISERROR(SEARCH("T",AX200)))</formula>
    </cfRule>
  </conditionalFormatting>
  <conditionalFormatting sqref="BU200:BU202 AY190 AX191:BH191 BK191 BO191:BS191">
    <cfRule type="containsText" dxfId="147" priority="8513" operator="containsText" text="17">
      <formula>NOT(ISERROR(SEARCH("17",AX190)))</formula>
    </cfRule>
  </conditionalFormatting>
  <conditionalFormatting sqref="BU182:BV188">
    <cfRule type="containsText" dxfId="146" priority="136" operator="containsText" text="17">
      <formula>NOT(ISERROR(SEARCH("17",BU182)))</formula>
    </cfRule>
  </conditionalFormatting>
  <conditionalFormatting sqref="BU200:BW206">
    <cfRule type="containsText" dxfId="145" priority="231" operator="containsText" text="17">
      <formula>NOT(ISERROR(SEARCH("17",BU200)))</formula>
    </cfRule>
  </conditionalFormatting>
  <conditionalFormatting sqref="BU153:CQ158">
    <cfRule type="containsText" dxfId="144" priority="952" operator="containsText" text="17">
      <formula>NOT(ISERROR(SEARCH("17",BU153)))</formula>
    </cfRule>
    <cfRule type="containsText" dxfId="143" priority="955" operator="containsText" text="T">
      <formula>NOT(ISERROR(SEARCH("T",BU153)))</formula>
    </cfRule>
  </conditionalFormatting>
  <conditionalFormatting sqref="BU146:CR151 BV160:CQ165">
    <cfRule type="containsText" dxfId="142" priority="8367" operator="containsText" text="17">
      <formula>NOT(ISERROR(SEARCH("17",BU146)))</formula>
    </cfRule>
  </conditionalFormatting>
  <conditionalFormatting sqref="BU146:CR151">
    <cfRule type="containsText" dxfId="141" priority="964" operator="containsText" text="T">
      <formula>NOT(ISERROR(SEARCH("T",BU146)))</formula>
    </cfRule>
  </conditionalFormatting>
  <conditionalFormatting sqref="BV14 BZ14:CB14 BE15:BY20 CB15:CB20">
    <cfRule type="containsText" dxfId="140" priority="124" operator="containsText" text="T">
      <formula>NOT(ISERROR(SEARCH("T",BE14)))</formula>
    </cfRule>
  </conditionalFormatting>
  <conditionalFormatting sqref="BV182:BV188">
    <cfRule type="containsText" dxfId="139" priority="137" operator="containsText" text="T">
      <formula>NOT(ISERROR(SEARCH("T",BV182)))</formula>
    </cfRule>
  </conditionalFormatting>
  <conditionalFormatting sqref="BV192:BV199">
    <cfRule type="containsText" dxfId="138" priority="217" operator="containsText" text="17">
      <formula>NOT(ISERROR(SEARCH("17",BV192)))</formula>
    </cfRule>
    <cfRule type="containsText" dxfId="137" priority="218" operator="containsText" text="T">
      <formula>NOT(ISERROR(SEARCH("T",BV192)))</formula>
    </cfRule>
    <cfRule type="containsText" dxfId="136" priority="219" operator="containsText" text="17">
      <formula>NOT(ISERROR(SEARCH("17",BV192)))</formula>
    </cfRule>
    <cfRule type="containsText" dxfId="135" priority="220" operator="containsText" text="T">
      <formula>NOT(ISERROR(SEARCH("T",BV192)))</formula>
    </cfRule>
    <cfRule type="containsText" dxfId="134" priority="221" operator="containsText" text="17">
      <formula>NOT(ISERROR(SEARCH("17",BV192)))</formula>
    </cfRule>
  </conditionalFormatting>
  <conditionalFormatting sqref="BV199 BU206">
    <cfRule type="containsText" dxfId="133" priority="2147" operator="containsText" text="17">
      <formula>NOT(ISERROR(SEARCH("17",BU199)))</formula>
    </cfRule>
    <cfRule type="containsText" dxfId="132" priority="2148" operator="containsText" text="T">
      <formula>NOT(ISERROR(SEARCH("T",BU199)))</formula>
    </cfRule>
  </conditionalFormatting>
  <conditionalFormatting sqref="BV14:BW14 BZ14:CB14 CB15:CB20">
    <cfRule type="containsText" dxfId="131" priority="125" operator="containsText" text="17">
      <formula>NOT(ISERROR(SEARCH("17",BV14)))</formula>
    </cfRule>
  </conditionalFormatting>
  <conditionalFormatting sqref="BV192:BX199">
    <cfRule type="containsText" dxfId="130" priority="214" operator="containsText" text="17">
      <formula>NOT(ISERROR(SEARCH("17",BV192)))</formula>
    </cfRule>
    <cfRule type="containsText" dxfId="129" priority="215" operator="containsText" text="T">
      <formula>NOT(ISERROR(SEARCH("T",BV192)))</formula>
    </cfRule>
  </conditionalFormatting>
  <conditionalFormatting sqref="BV133:CH137">
    <cfRule type="containsText" dxfId="128" priority="971" operator="containsText" text="17">
      <formula>NOT(ISERROR(SEARCH("17",BV133)))</formula>
    </cfRule>
  </conditionalFormatting>
  <conditionalFormatting sqref="BV160:CQ165">
    <cfRule type="containsText" dxfId="127" priority="951" operator="containsText" text="T">
      <formula>NOT(ISERROR(SEARCH("T",BV160)))</formula>
    </cfRule>
  </conditionalFormatting>
  <conditionalFormatting sqref="BW14">
    <cfRule type="containsText" dxfId="126" priority="126" operator="containsText" text="T">
      <formula>NOT(ISERROR(SEARCH("T",BW14)))</formula>
    </cfRule>
  </conditionalFormatting>
  <conditionalFormatting sqref="BW34 CA34:CC34 BF35:BZ40 CC35:CC40">
    <cfRule type="containsText" dxfId="125" priority="112" operator="containsText" text="T">
      <formula>NOT(ISERROR(SEARCH("T",BF34)))</formula>
    </cfRule>
  </conditionalFormatting>
  <conditionalFormatting sqref="BW168:BW174">
    <cfRule type="containsText" dxfId="124" priority="199" operator="containsText" text="17">
      <formula>NOT(ISERROR(SEARCH("17",BW168)))</formula>
    </cfRule>
    <cfRule type="containsText" dxfId="123" priority="200" operator="containsText" text="T">
      <formula>NOT(ISERROR(SEARCH("T",BW168)))</formula>
    </cfRule>
    <cfRule type="containsText" dxfId="122" priority="201" operator="containsText" text="17">
      <formula>NOT(ISERROR(SEARCH("17",BW168)))</formula>
    </cfRule>
    <cfRule type="containsText" dxfId="121" priority="202" operator="containsText" text="T">
      <formula>NOT(ISERROR(SEARCH("T",BW168)))</formula>
    </cfRule>
    <cfRule type="containsText" dxfId="120" priority="203" operator="containsText" text="17">
      <formula>NOT(ISERROR(SEARCH("17",BW168)))</formula>
    </cfRule>
    <cfRule type="containsText" dxfId="119" priority="204" operator="containsText" text="T">
      <formula>NOT(ISERROR(SEARCH("T",BW168)))</formula>
    </cfRule>
  </conditionalFormatting>
  <conditionalFormatting sqref="BW34:BX34 CA34:CC34 CC35:CC40">
    <cfRule type="containsText" dxfId="118" priority="113" operator="containsText" text="17">
      <formula>NOT(ISERROR(SEARCH("17",BW34)))</formula>
    </cfRule>
  </conditionalFormatting>
  <conditionalFormatting sqref="BW168:BY174">
    <cfRule type="containsText" dxfId="117" priority="190" operator="containsText" text="17">
      <formula>NOT(ISERROR(SEARCH("17",BW168)))</formula>
    </cfRule>
  </conditionalFormatting>
  <conditionalFormatting sqref="BW160:CG165">
    <cfRule type="containsText" dxfId="116" priority="949" operator="containsText" text="17">
      <formula>NOT(ISERROR(SEARCH("17",BW160)))</formula>
    </cfRule>
  </conditionalFormatting>
  <conditionalFormatting sqref="BW140:CI144">
    <cfRule type="containsText" dxfId="115" priority="966" operator="containsText" text="17">
      <formula>NOT(ISERROR(SEARCH("17",BW140)))</formula>
    </cfRule>
  </conditionalFormatting>
  <conditionalFormatting sqref="BW154:CI158">
    <cfRule type="containsText" dxfId="114" priority="953" operator="containsText" text="17">
      <formula>NOT(ISERROR(SEARCH("17",BW154)))</formula>
    </cfRule>
  </conditionalFormatting>
  <conditionalFormatting sqref="BW161:CI165">
    <cfRule type="containsText" dxfId="113" priority="946" operator="containsText" text="17">
      <formula>NOT(ISERROR(SEARCH("17",BW161)))</formula>
    </cfRule>
  </conditionalFormatting>
  <conditionalFormatting sqref="BX21 CB21:CD21 BG22:CA27 CD22:CD27">
    <cfRule type="containsText" dxfId="112" priority="100" operator="containsText" text="T">
      <formula>NOT(ISERROR(SEARCH("T",BG21)))</formula>
    </cfRule>
  </conditionalFormatting>
  <conditionalFormatting sqref="BX34">
    <cfRule type="containsText" dxfId="111" priority="114" operator="containsText" text="T">
      <formula>NOT(ISERROR(SEARCH("T",BX34)))</formula>
    </cfRule>
  </conditionalFormatting>
  <conditionalFormatting sqref="BX175:BX181">
    <cfRule type="containsText" dxfId="110" priority="175" operator="containsText" text="17">
      <formula>NOT(ISERROR(SEARCH("17",BX175)))</formula>
    </cfRule>
    <cfRule type="containsText" dxfId="109" priority="176" operator="containsText" text="T">
      <formula>NOT(ISERROR(SEARCH("T",BX175)))</formula>
    </cfRule>
    <cfRule type="containsText" dxfId="108" priority="177" operator="containsText" text="17">
      <formula>NOT(ISERROR(SEARCH("17",BX175)))</formula>
    </cfRule>
    <cfRule type="containsText" dxfId="107" priority="178" operator="containsText" text="T">
      <formula>NOT(ISERROR(SEARCH("T",BX175)))</formula>
    </cfRule>
    <cfRule type="containsText" dxfId="106" priority="179" operator="containsText" text="17">
      <formula>NOT(ISERROR(SEARCH("17",BX175)))</formula>
    </cfRule>
    <cfRule type="containsText" dxfId="105" priority="180" operator="containsText" text="T">
      <formula>NOT(ISERROR(SEARCH("T",BX175)))</formula>
    </cfRule>
  </conditionalFormatting>
  <conditionalFormatting sqref="BX21:BY21 CB21:CD21 CD22:CD27">
    <cfRule type="containsText" dxfId="104" priority="101" operator="containsText" text="17">
      <formula>NOT(ISERROR(SEARCH("17",BX21)))</formula>
    </cfRule>
  </conditionalFormatting>
  <conditionalFormatting sqref="BX175:BZ181">
    <cfRule type="containsText" dxfId="103" priority="166" operator="containsText" text="17">
      <formula>NOT(ISERROR(SEARCH("17",BX175)))</formula>
    </cfRule>
  </conditionalFormatting>
  <conditionalFormatting sqref="BX146:CH151">
    <cfRule type="containsText" dxfId="102" priority="962" operator="containsText" text="17">
      <formula>NOT(ISERROR(SEARCH("17",BX146)))</formula>
    </cfRule>
  </conditionalFormatting>
  <conditionalFormatting sqref="BX147:CJ151">
    <cfRule type="containsText" dxfId="101" priority="959" operator="containsText" text="17">
      <formula>NOT(ISERROR(SEARCH("17",BX147)))</formula>
    </cfRule>
  </conditionalFormatting>
  <conditionalFormatting sqref="BY21">
    <cfRule type="containsText" dxfId="100" priority="102" operator="containsText" text="T">
      <formula>NOT(ISERROR(SEARCH("T",BY21)))</formula>
    </cfRule>
  </conditionalFormatting>
  <conditionalFormatting sqref="BY41 CC41:CE41 BH42:CB47 CE42:CE47">
    <cfRule type="containsText" dxfId="99" priority="88" operator="containsText" text="T">
      <formula>NOT(ISERROR(SEARCH("T",BH41)))</formula>
    </cfRule>
  </conditionalFormatting>
  <conditionalFormatting sqref="BY182:BY188">
    <cfRule type="containsText" dxfId="98" priority="151" operator="containsText" text="17">
      <formula>NOT(ISERROR(SEARCH("17",BY182)))</formula>
    </cfRule>
    <cfRule type="containsText" dxfId="97" priority="152" operator="containsText" text="T">
      <formula>NOT(ISERROR(SEARCH("T",BY182)))</formula>
    </cfRule>
    <cfRule type="containsText" dxfId="96" priority="153" operator="containsText" text="17">
      <formula>NOT(ISERROR(SEARCH("17",BY182)))</formula>
    </cfRule>
    <cfRule type="containsText" dxfId="95" priority="154" operator="containsText" text="T">
      <formula>NOT(ISERROR(SEARCH("T",BY182)))</formula>
    </cfRule>
    <cfRule type="containsText" dxfId="94" priority="155" operator="containsText" text="17">
      <formula>NOT(ISERROR(SEARCH("17",BY182)))</formula>
    </cfRule>
    <cfRule type="containsText" dxfId="93" priority="156" operator="containsText" text="T">
      <formula>NOT(ISERROR(SEARCH("T",BY182)))</formula>
    </cfRule>
  </conditionalFormatting>
  <conditionalFormatting sqref="BY41:BZ41 CC41:CE41 CE42:CE47">
    <cfRule type="containsText" dxfId="92" priority="89" operator="containsText" text="17">
      <formula>NOT(ISERROR(SEARCH("17",BY41)))</formula>
    </cfRule>
  </conditionalFormatting>
  <conditionalFormatting sqref="BY182:CA188">
    <cfRule type="containsText" dxfId="89" priority="142" operator="containsText" text="17">
      <formula>NOT(ISERROR(SEARCH("17",BY182)))</formula>
    </cfRule>
  </conditionalFormatting>
  <conditionalFormatting sqref="BZ41">
    <cfRule type="containsText" dxfId="88" priority="90" operator="containsText" text="T">
      <formula>NOT(ISERROR(SEARCH("T",BZ41)))</formula>
    </cfRule>
  </conditionalFormatting>
  <conditionalFormatting sqref="CA79:CB79 CC79:CI82">
    <cfRule type="containsText" dxfId="85" priority="1018" operator="containsText" text="T">
      <formula>NOT(ISERROR(SEARCH("T",CA79)))</formula>
    </cfRule>
  </conditionalFormatting>
  <conditionalFormatting sqref="CA79:CB79">
    <cfRule type="containsText" dxfId="84" priority="1017" operator="containsText" text="17">
      <formula>NOT(ISERROR(SEARCH("17",CA79)))</formula>
    </cfRule>
  </conditionalFormatting>
  <conditionalFormatting sqref="CA99:CB99 CC99:CI103">
    <cfRule type="containsText" dxfId="83" priority="1000" operator="containsText" text="17">
      <formula>NOT(ISERROR(SEARCH("17",CA99)))</formula>
    </cfRule>
    <cfRule type="containsText" dxfId="82" priority="1001" operator="containsText" text="T">
      <formula>NOT(ISERROR(SEARCH("T",CA99)))</formula>
    </cfRule>
  </conditionalFormatting>
  <conditionalFormatting sqref="CA111:CB111 CC111:CI112">
    <cfRule type="containsText" dxfId="81" priority="990" operator="containsText" text="T">
      <formula>NOT(ISERROR(SEARCH("T",CA111)))</formula>
    </cfRule>
  </conditionalFormatting>
  <conditionalFormatting sqref="CA111:CB111">
    <cfRule type="containsText" dxfId="80" priority="989" operator="containsText" text="17">
      <formula>NOT(ISERROR(SEARCH("17",CA111)))</formula>
    </cfRule>
  </conditionalFormatting>
  <conditionalFormatting sqref="CB15:CB20">
    <cfRule type="containsText" dxfId="79" priority="133" operator="containsText" text="T">
      <formula>NOT(ISERROR(SEARCH("T",CB15)))</formula>
    </cfRule>
  </conditionalFormatting>
  <conditionalFormatting sqref="CC35:CC40">
    <cfRule type="containsText" dxfId="78" priority="121" operator="containsText" text="T">
      <formula>NOT(ISERROR(SEARCH("T",CC35)))</formula>
    </cfRule>
  </conditionalFormatting>
  <conditionalFormatting sqref="CC67:CD67 CE67:CK71 CB73:CC73 CD73:CJ77">
    <cfRule type="containsText" dxfId="77" priority="1024" operator="containsText" text="T">
      <formula>NOT(ISERROR(SEARCH("T",CB67)))</formula>
    </cfRule>
  </conditionalFormatting>
  <conditionalFormatting sqref="CC67:CD67 CE67:CK71 CB73:CC73">
    <cfRule type="containsText" dxfId="76" priority="1023" operator="containsText" text="17">
      <formula>NOT(ISERROR(SEARCH("17",CB67)))</formula>
    </cfRule>
  </conditionalFormatting>
  <conditionalFormatting sqref="CC105:CI109 BQ105:CP105">
    <cfRule type="containsText" dxfId="75" priority="996" operator="containsText" text="T">
      <formula>NOT(ISERROR(SEARCH("T",BQ105)))</formula>
    </cfRule>
  </conditionalFormatting>
  <conditionalFormatting sqref="CD22:CD27">
    <cfRule type="containsText" dxfId="74" priority="109" operator="containsText" text="T">
      <formula>NOT(ISERROR(SEARCH("T",CD22)))</formula>
    </cfRule>
  </conditionalFormatting>
  <conditionalFormatting sqref="CE42:CE47">
    <cfRule type="containsText" dxfId="73" priority="97" operator="containsText" text="T">
      <formula>NOT(ISERROR(SEARCH("T",CE42)))</formula>
    </cfRule>
  </conditionalFormatting>
  <conditionalFormatting sqref="CF28:CF32">
    <cfRule type="containsText" dxfId="72" priority="77" operator="containsText" text="17">
      <formula>NOT(ISERROR(SEARCH("17",CF28)))</formula>
    </cfRule>
  </conditionalFormatting>
  <conditionalFormatting sqref="CF48:CF49">
    <cfRule type="containsText" dxfId="71" priority="72" operator="containsText" text="17">
      <formula>NOT(ISERROR(SEARCH("17",CF48)))</formula>
    </cfRule>
  </conditionalFormatting>
  <conditionalFormatting sqref="CF28:CP32">
    <cfRule type="containsText" dxfId="70" priority="80" operator="containsText" text="T">
      <formula>NOT(ISERROR(SEARCH("T",CF28)))</formula>
    </cfRule>
  </conditionalFormatting>
  <conditionalFormatting sqref="CF41:CP49">
    <cfRule type="containsText" dxfId="69" priority="75" operator="containsText" text="T">
      <formula>NOT(ISERROR(SEARCH("T",CF41)))</formula>
    </cfRule>
  </conditionalFormatting>
  <conditionalFormatting sqref="CG60:CG66">
    <cfRule type="containsText" dxfId="68" priority="67" operator="containsText" text="17">
      <formula>NOT(ISERROR(SEARCH("17",CG60)))</formula>
    </cfRule>
  </conditionalFormatting>
  <conditionalFormatting sqref="CG132:CH132 CI132:CO137">
    <cfRule type="containsText" dxfId="67" priority="972" operator="containsText" text="17">
      <formula>NOT(ISERROR(SEARCH("17",CG132)))</formula>
    </cfRule>
    <cfRule type="containsText" dxfId="66" priority="973" operator="containsText" text="T">
      <formula>NOT(ISERROR(SEARCH("T",CG132)))</formula>
    </cfRule>
  </conditionalFormatting>
  <conditionalFormatting sqref="CG60:CP66">
    <cfRule type="containsText" dxfId="65" priority="70" operator="containsText" text="T">
      <formula>NOT(ISERROR(SEARCH("T",CG60)))</formula>
    </cfRule>
  </conditionalFormatting>
  <conditionalFormatting sqref="CH90:CH96">
    <cfRule type="containsText" dxfId="64" priority="62" operator="containsText" text="17">
      <formula>NOT(ISERROR(SEARCH("17",CH90)))</formula>
    </cfRule>
  </conditionalFormatting>
  <conditionalFormatting sqref="CH139:CI139">
    <cfRule type="containsText" dxfId="63" priority="967" operator="containsText" text="17">
      <formula>NOT(ISERROR(SEARCH("17",CH139)))</formula>
    </cfRule>
  </conditionalFormatting>
  <conditionalFormatting sqref="CH153:CI153">
    <cfRule type="containsText" dxfId="62" priority="954" operator="containsText" text="17">
      <formula>NOT(ISERROR(SEARCH("17",CH153)))</formula>
    </cfRule>
  </conditionalFormatting>
  <conditionalFormatting sqref="CH160:CI160 CJ160:CP165">
    <cfRule type="containsText" dxfId="61" priority="947" operator="containsText" text="17">
      <formula>NOT(ISERROR(SEARCH("17",CH160)))</formula>
    </cfRule>
  </conditionalFormatting>
  <conditionalFormatting sqref="CH160:CI160 CK160:CO165">
    <cfRule type="containsText" dxfId="60" priority="948" operator="containsText" text="T">
      <formula>NOT(ISERROR(SEARCH("T",CH160)))</formula>
    </cfRule>
  </conditionalFormatting>
  <conditionalFormatting sqref="CH90:CP96">
    <cfRule type="containsText" dxfId="59" priority="65" operator="containsText" text="T">
      <formula>NOT(ISERROR(SEARCH("T",CH90)))</formula>
    </cfRule>
  </conditionalFormatting>
  <conditionalFormatting sqref="CI83:CI89">
    <cfRule type="containsText" dxfId="58" priority="57" operator="containsText" text="17">
      <formula>NOT(ISERROR(SEARCH("17",CI83)))</formula>
    </cfRule>
    <cfRule type="containsText" dxfId="57" priority="60" operator="containsText" text="T">
      <formula>NOT(ISERROR(SEARCH("T",CI83)))</formula>
    </cfRule>
  </conditionalFormatting>
  <conditionalFormatting sqref="CI146:CJ146 CK146:CQ151">
    <cfRule type="containsText" dxfId="55" priority="960" operator="containsText" text="17">
      <formula>NOT(ISERROR(SEARCH("17",CI146)))</formula>
    </cfRule>
  </conditionalFormatting>
  <conditionalFormatting sqref="CI146:CJ146 CL146:CP151">
    <cfRule type="containsText" dxfId="54" priority="961" operator="containsText" text="T">
      <formula>NOT(ISERROR(SEARCH("T",CI146)))</formula>
    </cfRule>
  </conditionalFormatting>
  <conditionalFormatting sqref="CJ214:CJ220">
    <cfRule type="containsText" dxfId="53" priority="52" operator="containsText" text="17">
      <formula>NOT(ISERROR(SEARCH("17",CJ214)))</formula>
    </cfRule>
  </conditionalFormatting>
  <conditionalFormatting sqref="CJ214:XFD220">
    <cfRule type="containsText" dxfId="52" priority="55" operator="containsText" text="T">
      <formula>NOT(ISERROR(SEARCH("T",CJ214)))</formula>
    </cfRule>
  </conditionalFormatting>
  <conditionalFormatting sqref="CK221:CK227">
    <cfRule type="containsText" dxfId="51" priority="47" operator="containsText" text="17">
      <formula>NOT(ISERROR(SEARCH("17",CK221)))</formula>
    </cfRule>
  </conditionalFormatting>
  <conditionalFormatting sqref="CK221:CP227">
    <cfRule type="containsText" dxfId="50" priority="50" operator="containsText" text="T">
      <formula>NOT(ISERROR(SEARCH("T",CK221)))</formula>
    </cfRule>
  </conditionalFormatting>
  <conditionalFormatting sqref="CL228:CL234">
    <cfRule type="containsText" dxfId="49" priority="42" operator="containsText" text="17">
      <formula>NOT(ISERROR(SEARCH("17",CL228)))</formula>
    </cfRule>
  </conditionalFormatting>
  <conditionalFormatting sqref="CL228:CP234">
    <cfRule type="containsText" dxfId="48" priority="45" operator="containsText" text="T">
      <formula>NOT(ISERROR(SEARCH("T",CL228)))</formula>
    </cfRule>
  </conditionalFormatting>
  <conditionalFormatting sqref="BP120:BZ126">
    <cfRule type="containsText" dxfId="39" priority="21" operator="containsText" text="17">
      <formula>NOT(ISERROR(SEARCH("17",BP120)))</formula>
    </cfRule>
  </conditionalFormatting>
  <conditionalFormatting sqref="BP120:CM126">
    <cfRule type="containsText" dxfId="38" priority="30" operator="containsText" text="T">
      <formula>NOT(ISERROR(SEARCH("T",BP120)))</formula>
    </cfRule>
    <cfRule type="containsText" dxfId="37" priority="32" operator="containsText" text="17">
      <formula>NOT(ISERROR(SEARCH("17",BP120)))</formula>
    </cfRule>
  </conditionalFormatting>
  <conditionalFormatting sqref="BP120:CM126">
    <cfRule type="containsText" dxfId="36" priority="33" operator="containsText" text="T">
      <formula>NOT(ISERROR(SEARCH("T",BP120)))</formula>
    </cfRule>
    <cfRule type="containsText" dxfId="35" priority="40" operator="containsText" text="17">
      <formula>NOT(ISERROR(SEARCH("17",BP120)))</formula>
    </cfRule>
  </conditionalFormatting>
  <conditionalFormatting sqref="CA120:CG126">
    <cfRule type="containsText" dxfId="34" priority="27" operator="containsText" text="17">
      <formula>NOT(ISERROR(SEARCH("17",CA120)))</formula>
    </cfRule>
    <cfRule type="containsText" dxfId="33" priority="28" operator="containsText" text="T">
      <formula>NOT(ISERROR(SEARCH("T",CA120)))</formula>
    </cfRule>
  </conditionalFormatting>
  <conditionalFormatting sqref="CB120:CB126">
    <cfRule type="containsText" dxfId="32" priority="25" operator="containsText" text="17">
      <formula>NOT(ISERROR(SEARCH("17",CB120)))</formula>
    </cfRule>
    <cfRule type="containsText" dxfId="31" priority="26" operator="containsText" text="T">
      <formula>NOT(ISERROR(SEARCH("T",CB120)))</formula>
    </cfRule>
  </conditionalFormatting>
  <conditionalFormatting sqref="CF120:CF126">
    <cfRule type="containsText" dxfId="30" priority="31" operator="containsText" text="T">
      <formula>NOT(ISERROR(SEARCH("T",CF120)))</formula>
    </cfRule>
  </conditionalFormatting>
  <conditionalFormatting sqref="CG120:CG126">
    <cfRule type="containsText" dxfId="29" priority="22" operator="containsText" text="T">
      <formula>NOT(ISERROR(SEARCH("T",CG120)))</formula>
    </cfRule>
  </conditionalFormatting>
  <conditionalFormatting sqref="CG120:CH126">
    <cfRule type="containsText" dxfId="28" priority="23" operator="containsText" text="17">
      <formula>NOT(ISERROR(SEARCH("17",CG120)))</formula>
    </cfRule>
  </conditionalFormatting>
  <conditionalFormatting sqref="CH120:CH126">
    <cfRule type="containsText" dxfId="27" priority="24" operator="containsText" text="T">
      <formula>NOT(ISERROR(SEARCH("T",CH120)))</formula>
    </cfRule>
  </conditionalFormatting>
  <conditionalFormatting sqref="CK120:CK126">
    <cfRule type="containsText" dxfId="26" priority="34" operator="containsText" text="17">
      <formula>NOT(ISERROR(SEARCH("17",CK120)))</formula>
    </cfRule>
    <cfRule type="containsText" dxfId="25" priority="35" operator="containsText" text="T">
      <formula>NOT(ISERROR(SEARCH("T",CK120)))</formula>
    </cfRule>
    <cfRule type="containsText" dxfId="24" priority="36" operator="containsText" text="17">
      <formula>NOT(ISERROR(SEARCH("17",CK120)))</formula>
    </cfRule>
    <cfRule type="containsText" dxfId="23" priority="37" operator="containsText" text="T">
      <formula>NOT(ISERROR(SEARCH("T",CK120)))</formula>
    </cfRule>
    <cfRule type="containsText" dxfId="22" priority="38" operator="containsText" text="17">
      <formula>NOT(ISERROR(SEARCH("17",CK120)))</formula>
    </cfRule>
    <cfRule type="containsText" dxfId="21" priority="39" operator="containsText" text="T">
      <formula>NOT(ISERROR(SEARCH("T",CK120)))</formula>
    </cfRule>
  </conditionalFormatting>
  <conditionalFormatting sqref="CK120:CM126">
    <cfRule type="containsText" dxfId="20" priority="29" operator="containsText" text="17">
      <formula>NOT(ISERROR(SEARCH("17",CK120)))</formula>
    </cfRule>
  </conditionalFormatting>
  <conditionalFormatting sqref="BQ113:CA119">
    <cfRule type="containsText" dxfId="19" priority="1" operator="containsText" text="17">
      <formula>NOT(ISERROR(SEARCH("17",BQ113)))</formula>
    </cfRule>
  </conditionalFormatting>
  <conditionalFormatting sqref="BQ113:CN119">
    <cfRule type="containsText" dxfId="18" priority="10" operator="containsText" text="T">
      <formula>NOT(ISERROR(SEARCH("T",BQ113)))</formula>
    </cfRule>
    <cfRule type="containsText" dxfId="17" priority="12" operator="containsText" text="17">
      <formula>NOT(ISERROR(SEARCH("17",BQ113)))</formula>
    </cfRule>
  </conditionalFormatting>
  <conditionalFormatting sqref="BQ113:CN119">
    <cfRule type="containsText" dxfId="16" priority="13" operator="containsText" text="T">
      <formula>NOT(ISERROR(SEARCH("T",BQ113)))</formula>
    </cfRule>
    <cfRule type="containsText" dxfId="15" priority="20" operator="containsText" text="17">
      <formula>NOT(ISERROR(SEARCH("17",BQ113)))</formula>
    </cfRule>
  </conditionalFormatting>
  <conditionalFormatting sqref="CB113:CH119">
    <cfRule type="containsText" dxfId="14" priority="7" operator="containsText" text="17">
      <formula>NOT(ISERROR(SEARCH("17",CB113)))</formula>
    </cfRule>
    <cfRule type="containsText" dxfId="13" priority="8" operator="containsText" text="T">
      <formula>NOT(ISERROR(SEARCH("T",CB113)))</formula>
    </cfRule>
  </conditionalFormatting>
  <conditionalFormatting sqref="CC113:CC119">
    <cfRule type="containsText" dxfId="12" priority="5" operator="containsText" text="17">
      <formula>NOT(ISERROR(SEARCH("17",CC113)))</formula>
    </cfRule>
    <cfRule type="containsText" dxfId="11" priority="6" operator="containsText" text="T">
      <formula>NOT(ISERROR(SEARCH("T",CC113)))</formula>
    </cfRule>
  </conditionalFormatting>
  <conditionalFormatting sqref="CG113:CG119">
    <cfRule type="containsText" dxfId="10" priority="11" operator="containsText" text="T">
      <formula>NOT(ISERROR(SEARCH("T",CG113)))</formula>
    </cfRule>
  </conditionalFormatting>
  <conditionalFormatting sqref="CH113:CH119">
    <cfRule type="containsText" dxfId="9" priority="2" operator="containsText" text="T">
      <formula>NOT(ISERROR(SEARCH("T",CH113)))</formula>
    </cfRule>
  </conditionalFormatting>
  <conditionalFormatting sqref="CH113:CI119">
    <cfRule type="containsText" dxfId="8" priority="3" operator="containsText" text="17">
      <formula>NOT(ISERROR(SEARCH("17",CH113)))</formula>
    </cfRule>
  </conditionalFormatting>
  <conditionalFormatting sqref="CI113:CI119">
    <cfRule type="containsText" dxfId="7" priority="4" operator="containsText" text="T">
      <formula>NOT(ISERROR(SEARCH("T",CI113)))</formula>
    </cfRule>
  </conditionalFormatting>
  <conditionalFormatting sqref="CL113:CL119">
    <cfRule type="containsText" dxfId="6" priority="14" operator="containsText" text="17">
      <formula>NOT(ISERROR(SEARCH("17",CL113)))</formula>
    </cfRule>
    <cfRule type="containsText" dxfId="5" priority="15" operator="containsText" text="T">
      <formula>NOT(ISERROR(SEARCH("T",CL113)))</formula>
    </cfRule>
    <cfRule type="containsText" dxfId="4" priority="16" operator="containsText" text="17">
      <formula>NOT(ISERROR(SEARCH("17",CL113)))</formula>
    </cfRule>
    <cfRule type="containsText" dxfId="3" priority="17" operator="containsText" text="T">
      <formula>NOT(ISERROR(SEARCH("T",CL113)))</formula>
    </cfRule>
    <cfRule type="containsText" dxfId="2" priority="18" operator="containsText" text="17">
      <formula>NOT(ISERROR(SEARCH("17",CL113)))</formula>
    </cfRule>
    <cfRule type="containsText" dxfId="1" priority="19" operator="containsText" text="T">
      <formula>NOT(ISERROR(SEARCH("T",CL113)))</formula>
    </cfRule>
  </conditionalFormatting>
  <conditionalFormatting sqref="CL113:CN119">
    <cfRule type="containsText" dxfId="0" priority="9" operator="containsText" text="17">
      <formula>NOT(ISERROR(SEARCH("17",CL113)))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429"/>
  <sheetViews>
    <sheetView tabSelected="1" workbookViewId="0">
      <pane xSplit="2" ySplit="1" topLeftCell="F408" activePane="bottomRight" state="frozen"/>
      <selection pane="topRight" activeCell="C1" sqref="C1"/>
      <selection pane="bottomLeft" activeCell="A2" sqref="A2"/>
      <selection pane="bottomRight" activeCell="N424" sqref="N424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5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>
        <v>46019</v>
      </c>
      <c r="J231" s="78">
        <f t="shared" si="49"/>
        <v>24</v>
      </c>
      <c r="K231" s="25">
        <v>14.27</v>
      </c>
      <c r="L231" s="25">
        <v>7.16</v>
      </c>
      <c r="M231" s="25">
        <f>K231-L231</f>
        <v>7.1099999999999994</v>
      </c>
      <c r="N231" s="25" t="s">
        <v>592</v>
      </c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>
        <v>46019</v>
      </c>
      <c r="J232" s="78">
        <f t="shared" si="49"/>
        <v>24</v>
      </c>
      <c r="K232" s="25">
        <v>14.39</v>
      </c>
      <c r="L232" s="25">
        <v>7.2</v>
      </c>
      <c r="M232" s="25">
        <f t="shared" ref="M232:M235" si="50">K232-L232</f>
        <v>7.19</v>
      </c>
      <c r="N232" s="25" t="s">
        <v>592</v>
      </c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>
        <v>46019</v>
      </c>
      <c r="J233" s="78">
        <f t="shared" si="49"/>
        <v>24</v>
      </c>
      <c r="K233" s="25">
        <v>13.56</v>
      </c>
      <c r="L233" s="25">
        <v>6.92</v>
      </c>
      <c r="M233" s="25">
        <f t="shared" si="50"/>
        <v>6.6400000000000006</v>
      </c>
      <c r="N233" s="25" t="s">
        <v>592</v>
      </c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>
        <v>46019</v>
      </c>
      <c r="J234" s="78">
        <f t="shared" si="49"/>
        <v>24</v>
      </c>
      <c r="K234" s="25">
        <v>14.16</v>
      </c>
      <c r="L234" s="25">
        <v>7.03</v>
      </c>
      <c r="M234" s="25">
        <f t="shared" si="50"/>
        <v>7.13</v>
      </c>
      <c r="N234" s="25" t="s">
        <v>592</v>
      </c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>
        <v>46019</v>
      </c>
      <c r="J235" s="78">
        <f t="shared" si="49"/>
        <v>24</v>
      </c>
      <c r="K235" s="25">
        <v>11.73</v>
      </c>
      <c r="L235" s="25">
        <v>5.56</v>
      </c>
      <c r="M235" s="25">
        <f t="shared" si="50"/>
        <v>6.1700000000000008</v>
      </c>
      <c r="N235" s="25" t="s">
        <v>592</v>
      </c>
    </row>
    <row r="236" spans="1:14" x14ac:dyDescent="0.25">
      <c r="A236" s="77">
        <v>45995</v>
      </c>
      <c r="B236" s="25" t="s">
        <v>465</v>
      </c>
      <c r="C236" s="77">
        <f t="shared" ref="C236:C251" si="51">A236+23</f>
        <v>46018</v>
      </c>
      <c r="D236" s="77">
        <f t="shared" ref="D236:D251" si="52">A236+7</f>
        <v>46002</v>
      </c>
      <c r="E236" s="77">
        <f t="shared" ref="E236:E251" si="53">A236+14</f>
        <v>46009</v>
      </c>
      <c r="F236" s="77">
        <f t="shared" ref="F236:F251" si="54">A236+20</f>
        <v>46015</v>
      </c>
      <c r="G236" s="77">
        <f t="shared" ref="G236:G251" si="55">A236+8</f>
        <v>46003</v>
      </c>
      <c r="H236" s="77">
        <f t="shared" ref="H236:H251" si="56">A236+15</f>
        <v>46010</v>
      </c>
      <c r="I236" s="77">
        <v>46020</v>
      </c>
      <c r="J236" s="78">
        <f t="shared" ref="J236:J247" si="57">I236-A236</f>
        <v>25</v>
      </c>
      <c r="K236" s="25">
        <v>11.39</v>
      </c>
      <c r="L236" s="25">
        <v>5.25</v>
      </c>
      <c r="M236" s="25">
        <f t="shared" ref="M236:M249" si="58">K236-L236</f>
        <v>6.1400000000000006</v>
      </c>
      <c r="N236" s="25" t="s">
        <v>592</v>
      </c>
    </row>
    <row r="237" spans="1:14" x14ac:dyDescent="0.25">
      <c r="A237" s="77">
        <v>45995</v>
      </c>
      <c r="B237" s="25" t="s">
        <v>467</v>
      </c>
      <c r="C237" s="77">
        <f t="shared" si="51"/>
        <v>46018</v>
      </c>
      <c r="D237" s="77">
        <f t="shared" si="52"/>
        <v>46002</v>
      </c>
      <c r="E237" s="77">
        <f t="shared" si="53"/>
        <v>46009</v>
      </c>
      <c r="F237" s="77">
        <f t="shared" si="54"/>
        <v>46015</v>
      </c>
      <c r="G237" s="77">
        <f t="shared" si="55"/>
        <v>46003</v>
      </c>
      <c r="H237" s="77">
        <f t="shared" si="56"/>
        <v>46010</v>
      </c>
      <c r="I237" s="77">
        <v>46020</v>
      </c>
      <c r="J237" s="78">
        <f t="shared" si="57"/>
        <v>25</v>
      </c>
      <c r="K237" s="25">
        <v>10.67</v>
      </c>
      <c r="L237" s="25">
        <v>4.1399999999999997</v>
      </c>
      <c r="M237" s="25">
        <f t="shared" si="58"/>
        <v>6.53</v>
      </c>
      <c r="N237" s="25" t="s">
        <v>592</v>
      </c>
    </row>
    <row r="238" spans="1:14" x14ac:dyDescent="0.25">
      <c r="A238" s="77">
        <v>45995</v>
      </c>
      <c r="B238" s="25" t="s">
        <v>469</v>
      </c>
      <c r="C238" s="77">
        <f t="shared" si="51"/>
        <v>46018</v>
      </c>
      <c r="D238" s="77">
        <f t="shared" si="52"/>
        <v>46002</v>
      </c>
      <c r="E238" s="77">
        <f t="shared" si="53"/>
        <v>46009</v>
      </c>
      <c r="F238" s="77">
        <f t="shared" si="54"/>
        <v>46015</v>
      </c>
      <c r="G238" s="77">
        <f t="shared" si="55"/>
        <v>46003</v>
      </c>
      <c r="H238" s="77">
        <f t="shared" si="56"/>
        <v>46010</v>
      </c>
      <c r="I238" s="77">
        <v>46020</v>
      </c>
      <c r="J238" s="78">
        <f t="shared" si="57"/>
        <v>25</v>
      </c>
      <c r="K238" s="25">
        <v>10.210000000000001</v>
      </c>
      <c r="L238" s="25">
        <v>3.81</v>
      </c>
      <c r="M238" s="25">
        <f t="shared" si="58"/>
        <v>6.4</v>
      </c>
      <c r="N238" s="25" t="s">
        <v>592</v>
      </c>
    </row>
    <row r="239" spans="1:14" x14ac:dyDescent="0.25">
      <c r="A239" s="77">
        <v>45996</v>
      </c>
      <c r="B239" s="25" t="s">
        <v>466</v>
      </c>
      <c r="C239" s="77">
        <f t="shared" si="51"/>
        <v>46019</v>
      </c>
      <c r="D239" s="77">
        <f t="shared" si="52"/>
        <v>46003</v>
      </c>
      <c r="E239" s="77">
        <f t="shared" si="53"/>
        <v>46010</v>
      </c>
      <c r="F239" s="77">
        <f t="shared" si="54"/>
        <v>46016</v>
      </c>
      <c r="G239" s="77">
        <f t="shared" si="55"/>
        <v>46004</v>
      </c>
      <c r="H239" s="77">
        <f t="shared" si="56"/>
        <v>46011</v>
      </c>
      <c r="I239" s="77">
        <v>46020</v>
      </c>
      <c r="J239" s="78">
        <f t="shared" si="57"/>
        <v>24</v>
      </c>
      <c r="K239" s="25">
        <v>11.12</v>
      </c>
      <c r="L239" s="25">
        <v>5.15</v>
      </c>
      <c r="M239" s="25">
        <f t="shared" si="58"/>
        <v>5.9699999999999989</v>
      </c>
      <c r="N239" s="25" t="s">
        <v>592</v>
      </c>
    </row>
    <row r="240" spans="1:14" x14ac:dyDescent="0.25">
      <c r="A240" s="77">
        <v>45996</v>
      </c>
      <c r="B240" s="25" t="s">
        <v>468</v>
      </c>
      <c r="C240" s="77">
        <f t="shared" si="51"/>
        <v>46019</v>
      </c>
      <c r="D240" s="77">
        <f t="shared" si="52"/>
        <v>46003</v>
      </c>
      <c r="E240" s="77">
        <f t="shared" si="53"/>
        <v>46010</v>
      </c>
      <c r="F240" s="77">
        <f t="shared" si="54"/>
        <v>46016</v>
      </c>
      <c r="G240" s="77">
        <f t="shared" si="55"/>
        <v>46004</v>
      </c>
      <c r="H240" s="77">
        <f t="shared" si="56"/>
        <v>46011</v>
      </c>
      <c r="I240" s="77">
        <v>46020</v>
      </c>
      <c r="J240" s="78">
        <f t="shared" si="57"/>
        <v>24</v>
      </c>
      <c r="K240" s="25">
        <v>10.06</v>
      </c>
      <c r="L240" s="25">
        <v>3.38</v>
      </c>
      <c r="M240" s="25">
        <f t="shared" si="58"/>
        <v>6.6800000000000006</v>
      </c>
      <c r="N240" s="25" t="s">
        <v>592</v>
      </c>
    </row>
    <row r="241" spans="1:14" x14ac:dyDescent="0.25">
      <c r="A241" s="77">
        <v>45996</v>
      </c>
      <c r="B241" s="25" t="s">
        <v>414</v>
      </c>
      <c r="C241" s="77">
        <f t="shared" si="51"/>
        <v>46019</v>
      </c>
      <c r="D241" s="77">
        <f t="shared" si="52"/>
        <v>46003</v>
      </c>
      <c r="E241" s="77">
        <f t="shared" si="53"/>
        <v>46010</v>
      </c>
      <c r="F241" s="77">
        <f t="shared" si="54"/>
        <v>46016</v>
      </c>
      <c r="G241" s="77">
        <f t="shared" si="55"/>
        <v>46004</v>
      </c>
      <c r="H241" s="77">
        <f t="shared" si="56"/>
        <v>46011</v>
      </c>
      <c r="I241" s="77">
        <v>46019</v>
      </c>
      <c r="J241" s="78">
        <f t="shared" si="57"/>
        <v>23</v>
      </c>
      <c r="K241" s="25">
        <v>14.46</v>
      </c>
      <c r="L241" s="25">
        <v>12.66</v>
      </c>
      <c r="M241" s="25">
        <f t="shared" si="58"/>
        <v>1.8000000000000007</v>
      </c>
      <c r="N241" s="25" t="s">
        <v>593</v>
      </c>
    </row>
    <row r="242" spans="1:14" x14ac:dyDescent="0.25">
      <c r="A242" s="77">
        <v>45996</v>
      </c>
      <c r="B242" s="25" t="s">
        <v>415</v>
      </c>
      <c r="C242" s="77">
        <f t="shared" si="51"/>
        <v>46019</v>
      </c>
      <c r="D242" s="77">
        <f t="shared" si="52"/>
        <v>46003</v>
      </c>
      <c r="E242" s="77">
        <f t="shared" si="53"/>
        <v>46010</v>
      </c>
      <c r="F242" s="77">
        <f t="shared" si="54"/>
        <v>46016</v>
      </c>
      <c r="G242" s="77">
        <f t="shared" si="55"/>
        <v>46004</v>
      </c>
      <c r="H242" s="77">
        <f t="shared" si="56"/>
        <v>46011</v>
      </c>
      <c r="I242" s="77">
        <v>46019</v>
      </c>
      <c r="J242" s="78">
        <f t="shared" si="57"/>
        <v>23</v>
      </c>
      <c r="K242" s="25">
        <v>15.28</v>
      </c>
      <c r="L242" s="25">
        <v>13.36</v>
      </c>
      <c r="M242" s="25">
        <f t="shared" si="58"/>
        <v>1.92</v>
      </c>
      <c r="N242" s="25" t="s">
        <v>593</v>
      </c>
    </row>
    <row r="243" spans="1:14" x14ac:dyDescent="0.25">
      <c r="A243" s="77">
        <v>45996</v>
      </c>
      <c r="B243" s="25" t="s">
        <v>416</v>
      </c>
      <c r="C243" s="77">
        <f t="shared" si="51"/>
        <v>46019</v>
      </c>
      <c r="D243" s="77">
        <f t="shared" si="52"/>
        <v>46003</v>
      </c>
      <c r="E243" s="77">
        <f t="shared" si="53"/>
        <v>46010</v>
      </c>
      <c r="F243" s="77">
        <f t="shared" si="54"/>
        <v>46016</v>
      </c>
      <c r="G243" s="77">
        <f t="shared" si="55"/>
        <v>46004</v>
      </c>
      <c r="H243" s="77">
        <f t="shared" si="56"/>
        <v>46011</v>
      </c>
      <c r="I243" s="77">
        <v>46019</v>
      </c>
      <c r="J243" s="78">
        <f t="shared" si="57"/>
        <v>23</v>
      </c>
      <c r="K243" s="25">
        <v>15.41</v>
      </c>
      <c r="L243" s="25">
        <v>13.51</v>
      </c>
      <c r="M243" s="25">
        <f t="shared" si="58"/>
        <v>1.9000000000000004</v>
      </c>
      <c r="N243" s="25" t="s">
        <v>593</v>
      </c>
    </row>
    <row r="244" spans="1:14" x14ac:dyDescent="0.25">
      <c r="A244" s="77">
        <v>45996</v>
      </c>
      <c r="B244" s="25" t="s">
        <v>448</v>
      </c>
      <c r="C244" s="77">
        <f t="shared" si="51"/>
        <v>46019</v>
      </c>
      <c r="D244" s="77">
        <f t="shared" si="52"/>
        <v>46003</v>
      </c>
      <c r="E244" s="77">
        <f t="shared" si="53"/>
        <v>46010</v>
      </c>
      <c r="F244" s="77">
        <f t="shared" si="54"/>
        <v>46016</v>
      </c>
      <c r="G244" s="77">
        <f t="shared" si="55"/>
        <v>46004</v>
      </c>
      <c r="H244" s="77">
        <f t="shared" si="56"/>
        <v>46011</v>
      </c>
      <c r="I244" s="77">
        <v>46019</v>
      </c>
      <c r="J244" s="78">
        <f t="shared" si="57"/>
        <v>23</v>
      </c>
      <c r="K244" s="25">
        <v>15.19</v>
      </c>
      <c r="L244" s="25">
        <v>13.29</v>
      </c>
      <c r="M244" s="25">
        <f t="shared" si="58"/>
        <v>1.9000000000000004</v>
      </c>
      <c r="N244" s="25" t="s">
        <v>593</v>
      </c>
    </row>
    <row r="245" spans="1:14" x14ac:dyDescent="0.25">
      <c r="A245" s="77">
        <v>45996</v>
      </c>
      <c r="B245" s="25" t="s">
        <v>449</v>
      </c>
      <c r="C245" s="77">
        <f t="shared" si="51"/>
        <v>46019</v>
      </c>
      <c r="D245" s="77">
        <f t="shared" si="52"/>
        <v>46003</v>
      </c>
      <c r="E245" s="77">
        <f t="shared" si="53"/>
        <v>46010</v>
      </c>
      <c r="F245" s="77">
        <f t="shared" si="54"/>
        <v>46016</v>
      </c>
      <c r="G245" s="77">
        <f t="shared" si="55"/>
        <v>46004</v>
      </c>
      <c r="H245" s="77">
        <f t="shared" si="56"/>
        <v>46011</v>
      </c>
      <c r="I245" s="77">
        <v>46019</v>
      </c>
      <c r="J245" s="78">
        <f t="shared" si="57"/>
        <v>23</v>
      </c>
      <c r="K245" s="25">
        <v>14.25</v>
      </c>
      <c r="L245" s="25">
        <v>12.54</v>
      </c>
      <c r="M245" s="25">
        <f t="shared" si="58"/>
        <v>1.7100000000000009</v>
      </c>
      <c r="N245" s="25" t="s">
        <v>593</v>
      </c>
    </row>
    <row r="246" spans="1:14" x14ac:dyDescent="0.25">
      <c r="A246" s="77">
        <v>45995</v>
      </c>
      <c r="B246" s="25" t="s">
        <v>470</v>
      </c>
      <c r="C246" s="77">
        <f t="shared" si="51"/>
        <v>46018</v>
      </c>
      <c r="D246" s="77">
        <f t="shared" si="52"/>
        <v>46002</v>
      </c>
      <c r="E246" s="77">
        <f t="shared" si="53"/>
        <v>46009</v>
      </c>
      <c r="F246" s="77">
        <f t="shared" si="54"/>
        <v>46015</v>
      </c>
      <c r="G246" s="77">
        <f t="shared" si="55"/>
        <v>46003</v>
      </c>
      <c r="H246" s="77">
        <f t="shared" si="56"/>
        <v>46010</v>
      </c>
      <c r="I246" s="77">
        <v>46020</v>
      </c>
      <c r="J246" s="78">
        <f t="shared" si="57"/>
        <v>25</v>
      </c>
      <c r="K246" s="25">
        <v>12.43</v>
      </c>
      <c r="L246" s="25">
        <v>10.59</v>
      </c>
      <c r="M246" s="25">
        <f t="shared" si="58"/>
        <v>1.8399999999999999</v>
      </c>
      <c r="N246" s="25" t="s">
        <v>593</v>
      </c>
    </row>
    <row r="247" spans="1:14" x14ac:dyDescent="0.25">
      <c r="A247" s="77">
        <v>45995</v>
      </c>
      <c r="B247" s="25" t="s">
        <v>471</v>
      </c>
      <c r="C247" s="77">
        <f t="shared" si="51"/>
        <v>46018</v>
      </c>
      <c r="D247" s="77">
        <f t="shared" si="52"/>
        <v>46002</v>
      </c>
      <c r="E247" s="77">
        <f t="shared" si="53"/>
        <v>46009</v>
      </c>
      <c r="F247" s="77">
        <f t="shared" si="54"/>
        <v>46015</v>
      </c>
      <c r="G247" s="77">
        <f t="shared" si="55"/>
        <v>46003</v>
      </c>
      <c r="H247" s="77">
        <f t="shared" si="56"/>
        <v>46010</v>
      </c>
      <c r="I247" s="77">
        <v>46020</v>
      </c>
      <c r="J247" s="78">
        <f t="shared" si="57"/>
        <v>25</v>
      </c>
      <c r="K247" s="25">
        <v>14.85</v>
      </c>
      <c r="L247" s="25">
        <v>12.71</v>
      </c>
      <c r="M247" s="25">
        <f t="shared" si="58"/>
        <v>2.1399999999999988</v>
      </c>
      <c r="N247" s="25" t="s">
        <v>593</v>
      </c>
    </row>
    <row r="248" spans="1:14" x14ac:dyDescent="0.25">
      <c r="A248" s="77">
        <v>45997</v>
      </c>
      <c r="B248" s="25" t="s">
        <v>412</v>
      </c>
      <c r="C248" s="77">
        <f t="shared" si="51"/>
        <v>46020</v>
      </c>
      <c r="D248" s="77">
        <f t="shared" si="52"/>
        <v>46004</v>
      </c>
      <c r="E248" s="77">
        <f t="shared" si="53"/>
        <v>46011</v>
      </c>
      <c r="F248" s="77">
        <f t="shared" si="54"/>
        <v>46017</v>
      </c>
      <c r="G248" s="77">
        <f t="shared" si="55"/>
        <v>46005</v>
      </c>
      <c r="H248" s="77">
        <f t="shared" si="56"/>
        <v>46012</v>
      </c>
      <c r="I248" s="77">
        <v>46021</v>
      </c>
      <c r="J248" s="78">
        <f>I249-A248</f>
        <v>24</v>
      </c>
      <c r="K248" s="25">
        <v>13.24</v>
      </c>
      <c r="L248" s="25">
        <v>6.67</v>
      </c>
      <c r="M248" s="25">
        <f t="shared" si="58"/>
        <v>6.57</v>
      </c>
      <c r="N248" s="25" t="s">
        <v>592</v>
      </c>
    </row>
    <row r="249" spans="1:14" x14ac:dyDescent="0.25">
      <c r="A249" s="77">
        <v>45997</v>
      </c>
      <c r="B249" s="25" t="s">
        <v>413</v>
      </c>
      <c r="C249" s="77">
        <f t="shared" si="51"/>
        <v>46020</v>
      </c>
      <c r="D249" s="77">
        <f t="shared" si="52"/>
        <v>46004</v>
      </c>
      <c r="E249" s="77">
        <f t="shared" si="53"/>
        <v>46011</v>
      </c>
      <c r="F249" s="77">
        <f t="shared" si="54"/>
        <v>46017</v>
      </c>
      <c r="G249" s="77">
        <f t="shared" si="55"/>
        <v>46005</v>
      </c>
      <c r="H249" s="77">
        <f t="shared" si="56"/>
        <v>46012</v>
      </c>
      <c r="I249" s="77">
        <v>46021</v>
      </c>
      <c r="J249" s="78">
        <f>I250-A249</f>
        <v>23</v>
      </c>
      <c r="K249" s="25">
        <v>14.2</v>
      </c>
      <c r="L249" s="25">
        <v>7.52</v>
      </c>
      <c r="M249" s="25">
        <f t="shared" si="58"/>
        <v>6.68</v>
      </c>
      <c r="N249" s="25" t="s">
        <v>592</v>
      </c>
    </row>
    <row r="250" spans="1:14" x14ac:dyDescent="0.25">
      <c r="A250" s="77">
        <v>45997</v>
      </c>
      <c r="B250" s="25" t="s">
        <v>444</v>
      </c>
      <c r="C250" s="77">
        <f t="shared" si="51"/>
        <v>46020</v>
      </c>
      <c r="D250" s="77">
        <f t="shared" si="52"/>
        <v>46004</v>
      </c>
      <c r="E250" s="77">
        <f t="shared" si="53"/>
        <v>46011</v>
      </c>
      <c r="F250" s="77">
        <f t="shared" si="54"/>
        <v>46017</v>
      </c>
      <c r="G250" s="77">
        <f t="shared" si="55"/>
        <v>46005</v>
      </c>
      <c r="H250" s="77">
        <f t="shared" si="56"/>
        <v>46012</v>
      </c>
      <c r="I250" s="77">
        <v>46020</v>
      </c>
      <c r="J250" s="78">
        <f>I250-A250</f>
        <v>23</v>
      </c>
      <c r="K250" s="25">
        <v>16.63</v>
      </c>
      <c r="L250" s="25">
        <v>14.74</v>
      </c>
      <c r="M250" s="25">
        <f>K250-L250</f>
        <v>1.8899999999999988</v>
      </c>
      <c r="N250" s="25" t="s">
        <v>593</v>
      </c>
    </row>
    <row r="251" spans="1:14" x14ac:dyDescent="0.25">
      <c r="A251" s="77">
        <v>45997</v>
      </c>
      <c r="B251" s="25" t="s">
        <v>445</v>
      </c>
      <c r="C251" s="77">
        <f t="shared" si="51"/>
        <v>46020</v>
      </c>
      <c r="D251" s="77">
        <f t="shared" si="52"/>
        <v>46004</v>
      </c>
      <c r="E251" s="77">
        <f t="shared" si="53"/>
        <v>46011</v>
      </c>
      <c r="F251" s="77">
        <f t="shared" si="54"/>
        <v>46017</v>
      </c>
      <c r="G251" s="77">
        <f t="shared" si="55"/>
        <v>46005</v>
      </c>
      <c r="H251" s="77">
        <f t="shared" si="56"/>
        <v>46012</v>
      </c>
      <c r="I251" s="77">
        <v>46020</v>
      </c>
      <c r="J251" s="78">
        <f>I251-A251</f>
        <v>23</v>
      </c>
      <c r="K251" s="25">
        <v>16.39</v>
      </c>
      <c r="L251" s="25">
        <v>14.19</v>
      </c>
      <c r="M251" s="25">
        <f>K251-L251</f>
        <v>2.2000000000000011</v>
      </c>
      <c r="N251" s="25" t="s">
        <v>593</v>
      </c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>
        <v>46019</v>
      </c>
      <c r="J252" s="78">
        <f t="shared" ref="J252:J260" si="59">I252-A252</f>
        <v>22</v>
      </c>
      <c r="K252" s="25">
        <v>13.06</v>
      </c>
      <c r="L252" s="25">
        <v>11.31</v>
      </c>
      <c r="M252" s="25">
        <f t="shared" ref="M252:M260" si="60">K252-L252</f>
        <v>1.75</v>
      </c>
      <c r="N252" s="25" t="s">
        <v>593</v>
      </c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>
        <v>46019</v>
      </c>
      <c r="J253" s="78">
        <f t="shared" si="59"/>
        <v>22</v>
      </c>
      <c r="K253" s="25">
        <v>14.18</v>
      </c>
      <c r="L253" s="25">
        <v>12.48</v>
      </c>
      <c r="M253" s="25">
        <f t="shared" si="60"/>
        <v>1.6999999999999993</v>
      </c>
      <c r="N253" s="25" t="s">
        <v>593</v>
      </c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>
        <v>46019</v>
      </c>
      <c r="J254" s="78">
        <f t="shared" si="59"/>
        <v>22</v>
      </c>
      <c r="K254" s="25">
        <v>13.18</v>
      </c>
      <c r="L254" s="25">
        <v>11.73</v>
      </c>
      <c r="M254" s="25">
        <f t="shared" si="60"/>
        <v>1.4499999999999993</v>
      </c>
      <c r="N254" s="25" t="s">
        <v>593</v>
      </c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>
        <v>46021</v>
      </c>
      <c r="J255" s="78">
        <f t="shared" si="59"/>
        <v>23</v>
      </c>
      <c r="K255" s="25">
        <v>14.11</v>
      </c>
      <c r="L255" s="25">
        <v>7.59</v>
      </c>
      <c r="M255" s="25">
        <f t="shared" si="60"/>
        <v>6.52</v>
      </c>
      <c r="N255" s="25" t="s">
        <v>592</v>
      </c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>
        <v>46021</v>
      </c>
      <c r="J256" s="78">
        <f t="shared" si="59"/>
        <v>23</v>
      </c>
      <c r="K256" s="25">
        <v>14.67</v>
      </c>
      <c r="L256" s="25">
        <v>12.51</v>
      </c>
      <c r="M256" s="25">
        <f t="shared" si="60"/>
        <v>2.16</v>
      </c>
      <c r="N256" s="25" t="s">
        <v>593</v>
      </c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>
        <v>46021</v>
      </c>
      <c r="J257" s="78">
        <f t="shared" si="59"/>
        <v>23</v>
      </c>
      <c r="K257" s="25">
        <v>12.38</v>
      </c>
      <c r="L257" s="25">
        <v>10.74</v>
      </c>
      <c r="M257" s="25">
        <f t="shared" si="60"/>
        <v>1.6400000000000006</v>
      </c>
      <c r="N257" s="25" t="s">
        <v>593</v>
      </c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>
        <v>46021</v>
      </c>
      <c r="J258" s="78">
        <f t="shared" si="59"/>
        <v>23</v>
      </c>
      <c r="K258" s="25">
        <v>14.47</v>
      </c>
      <c r="L258" s="25">
        <v>12.58</v>
      </c>
      <c r="M258" s="25">
        <f t="shared" si="60"/>
        <v>1.8900000000000006</v>
      </c>
      <c r="N258" s="25" t="s">
        <v>593</v>
      </c>
    </row>
    <row r="259" spans="1:14" x14ac:dyDescent="0.25">
      <c r="A259" s="77">
        <v>45998</v>
      </c>
      <c r="B259" s="25" t="s">
        <v>478</v>
      </c>
      <c r="C259" s="77">
        <f t="shared" ref="C259:C322" si="61">A259+23</f>
        <v>46021</v>
      </c>
      <c r="D259" s="77">
        <f t="shared" ref="D259:D322" si="62">A259+7</f>
        <v>46005</v>
      </c>
      <c r="E259" s="77">
        <f t="shared" ref="E259:E322" si="63">A259+14</f>
        <v>46012</v>
      </c>
      <c r="F259" s="77">
        <f t="shared" ref="F259:F322" si="64">A259+20</f>
        <v>46018</v>
      </c>
      <c r="G259" s="77">
        <f t="shared" ref="G259:G322" si="65">A259+8</f>
        <v>46006</v>
      </c>
      <c r="H259" s="77">
        <f t="shared" ref="H259:H322" si="66">A259+15</f>
        <v>46013</v>
      </c>
      <c r="I259" s="77">
        <v>46021</v>
      </c>
      <c r="J259" s="78">
        <f t="shared" si="59"/>
        <v>23</v>
      </c>
      <c r="K259" s="25">
        <v>13.56</v>
      </c>
      <c r="L259" s="25">
        <v>11.86</v>
      </c>
      <c r="M259" s="25">
        <f t="shared" si="60"/>
        <v>1.7000000000000011</v>
      </c>
      <c r="N259" s="25" t="s">
        <v>593</v>
      </c>
    </row>
    <row r="260" spans="1:14" x14ac:dyDescent="0.25">
      <c r="A260" s="77">
        <v>45998</v>
      </c>
      <c r="B260" s="25" t="s">
        <v>479</v>
      </c>
      <c r="C260" s="77">
        <f t="shared" si="61"/>
        <v>46021</v>
      </c>
      <c r="D260" s="77">
        <f t="shared" si="62"/>
        <v>46005</v>
      </c>
      <c r="E260" s="77">
        <f t="shared" si="63"/>
        <v>46012</v>
      </c>
      <c r="F260" s="77">
        <f t="shared" si="64"/>
        <v>46018</v>
      </c>
      <c r="G260" s="77">
        <f t="shared" si="65"/>
        <v>46006</v>
      </c>
      <c r="H260" s="77">
        <f t="shared" si="66"/>
        <v>46013</v>
      </c>
      <c r="I260" s="77">
        <v>46021</v>
      </c>
      <c r="J260" s="78">
        <f t="shared" si="59"/>
        <v>23</v>
      </c>
      <c r="K260" s="25">
        <v>14.19</v>
      </c>
      <c r="L260" s="25">
        <v>12.1</v>
      </c>
      <c r="M260" s="25">
        <f t="shared" si="60"/>
        <v>2.09</v>
      </c>
      <c r="N260" s="25" t="s">
        <v>593</v>
      </c>
    </row>
    <row r="261" spans="1:14" x14ac:dyDescent="0.25">
      <c r="A261" s="77">
        <v>45998</v>
      </c>
      <c r="B261" s="25" t="s">
        <v>480</v>
      </c>
      <c r="C261" s="77">
        <f t="shared" si="61"/>
        <v>46021</v>
      </c>
      <c r="D261" s="77">
        <f t="shared" si="62"/>
        <v>46005</v>
      </c>
      <c r="E261" s="77">
        <f t="shared" si="63"/>
        <v>46012</v>
      </c>
      <c r="F261" s="77">
        <f t="shared" si="64"/>
        <v>46018</v>
      </c>
      <c r="G261" s="77">
        <f t="shared" si="65"/>
        <v>46006</v>
      </c>
      <c r="H261" s="77">
        <f t="shared" si="66"/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481</v>
      </c>
      <c r="C262" s="77">
        <f t="shared" si="61"/>
        <v>46021</v>
      </c>
      <c r="D262" s="77">
        <f t="shared" si="62"/>
        <v>46005</v>
      </c>
      <c r="E262" s="77">
        <f t="shared" si="63"/>
        <v>46012</v>
      </c>
      <c r="F262" s="77">
        <f t="shared" si="64"/>
        <v>46018</v>
      </c>
      <c r="G262" s="77">
        <f t="shared" si="65"/>
        <v>46006</v>
      </c>
      <c r="H262" s="77">
        <f t="shared" si="66"/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45998</v>
      </c>
      <c r="B263" s="25" t="s">
        <v>482</v>
      </c>
      <c r="C263" s="77">
        <f t="shared" si="61"/>
        <v>46021</v>
      </c>
      <c r="D263" s="77">
        <f t="shared" si="62"/>
        <v>46005</v>
      </c>
      <c r="E263" s="77">
        <f t="shared" si="63"/>
        <v>46012</v>
      </c>
      <c r="F263" s="77">
        <f t="shared" si="64"/>
        <v>46018</v>
      </c>
      <c r="G263" s="77">
        <f t="shared" si="65"/>
        <v>46006</v>
      </c>
      <c r="H263" s="77">
        <f t="shared" si="66"/>
        <v>46013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45999</v>
      </c>
      <c r="B264" s="25" t="s">
        <v>483</v>
      </c>
      <c r="C264" s="77">
        <f t="shared" si="61"/>
        <v>46022</v>
      </c>
      <c r="D264" s="77">
        <f t="shared" si="62"/>
        <v>46006</v>
      </c>
      <c r="E264" s="77">
        <f t="shared" si="63"/>
        <v>46013</v>
      </c>
      <c r="F264" s="77">
        <f t="shared" si="64"/>
        <v>46019</v>
      </c>
      <c r="G264" s="77">
        <f t="shared" si="65"/>
        <v>46007</v>
      </c>
      <c r="H264" s="77">
        <f t="shared" si="66"/>
        <v>46014</v>
      </c>
      <c r="I264" s="77"/>
      <c r="J264" s="78"/>
      <c r="K264" s="25"/>
      <c r="L264" s="25"/>
      <c r="M264" s="25"/>
      <c r="N264" s="25"/>
    </row>
    <row r="265" spans="1:14" x14ac:dyDescent="0.25">
      <c r="A265" s="77">
        <v>45999</v>
      </c>
      <c r="B265" s="25" t="s">
        <v>484</v>
      </c>
      <c r="C265" s="77">
        <f t="shared" si="61"/>
        <v>46022</v>
      </c>
      <c r="D265" s="77">
        <f t="shared" si="62"/>
        <v>46006</v>
      </c>
      <c r="E265" s="77">
        <f t="shared" si="63"/>
        <v>46013</v>
      </c>
      <c r="F265" s="77">
        <f t="shared" si="64"/>
        <v>46019</v>
      </c>
      <c r="G265" s="77">
        <f t="shared" si="65"/>
        <v>46007</v>
      </c>
      <c r="H265" s="77">
        <f t="shared" si="66"/>
        <v>46014</v>
      </c>
      <c r="I265" s="77"/>
      <c r="J265" s="78"/>
      <c r="K265" s="25"/>
      <c r="L265" s="25"/>
      <c r="M265" s="25"/>
      <c r="N265" s="25"/>
    </row>
    <row r="266" spans="1:14" x14ac:dyDescent="0.25">
      <c r="A266" s="77">
        <v>45999</v>
      </c>
      <c r="B266" s="25" t="s">
        <v>485</v>
      </c>
      <c r="C266" s="77">
        <f t="shared" si="61"/>
        <v>46022</v>
      </c>
      <c r="D266" s="77">
        <f t="shared" si="62"/>
        <v>46006</v>
      </c>
      <c r="E266" s="77">
        <f t="shared" si="63"/>
        <v>46013</v>
      </c>
      <c r="F266" s="77">
        <f t="shared" si="64"/>
        <v>46019</v>
      </c>
      <c r="G266" s="77">
        <f t="shared" si="65"/>
        <v>46007</v>
      </c>
      <c r="H266" s="77">
        <f t="shared" si="66"/>
        <v>46014</v>
      </c>
      <c r="I266" s="77"/>
      <c r="J266" s="78"/>
      <c r="K266" s="25"/>
      <c r="L266" s="25"/>
      <c r="M266" s="25"/>
      <c r="N266" s="25"/>
    </row>
    <row r="267" spans="1:14" x14ac:dyDescent="0.25">
      <c r="A267" s="77">
        <v>45999</v>
      </c>
      <c r="B267" s="25" t="s">
        <v>486</v>
      </c>
      <c r="C267" s="77">
        <f t="shared" si="61"/>
        <v>46022</v>
      </c>
      <c r="D267" s="77">
        <f t="shared" si="62"/>
        <v>46006</v>
      </c>
      <c r="E267" s="77">
        <f t="shared" si="63"/>
        <v>46013</v>
      </c>
      <c r="F267" s="77">
        <f t="shared" si="64"/>
        <v>46019</v>
      </c>
      <c r="G267" s="77">
        <f t="shared" si="65"/>
        <v>46007</v>
      </c>
      <c r="H267" s="77">
        <f t="shared" si="66"/>
        <v>46014</v>
      </c>
      <c r="I267" s="77"/>
      <c r="J267" s="78"/>
      <c r="K267" s="25"/>
      <c r="L267" s="25"/>
      <c r="M267" s="25"/>
      <c r="N267" s="25"/>
    </row>
    <row r="268" spans="1:14" x14ac:dyDescent="0.25">
      <c r="A268" s="77">
        <v>45999</v>
      </c>
      <c r="B268" s="25" t="s">
        <v>487</v>
      </c>
      <c r="C268" s="77">
        <f t="shared" si="61"/>
        <v>46022</v>
      </c>
      <c r="D268" s="77">
        <f t="shared" si="62"/>
        <v>46006</v>
      </c>
      <c r="E268" s="77">
        <f t="shared" si="63"/>
        <v>46013</v>
      </c>
      <c r="F268" s="77">
        <f t="shared" si="64"/>
        <v>46019</v>
      </c>
      <c r="G268" s="77">
        <f t="shared" si="65"/>
        <v>46007</v>
      </c>
      <c r="H268" s="77">
        <f t="shared" si="66"/>
        <v>46014</v>
      </c>
      <c r="I268" s="77"/>
      <c r="J268" s="78"/>
      <c r="K268" s="25"/>
      <c r="L268" s="25"/>
      <c r="M268" s="25"/>
      <c r="N268" s="25"/>
    </row>
    <row r="269" spans="1:14" x14ac:dyDescent="0.25">
      <c r="A269" s="77">
        <v>45999</v>
      </c>
      <c r="B269" s="25" t="s">
        <v>488</v>
      </c>
      <c r="C269" s="77">
        <f t="shared" si="61"/>
        <v>46022</v>
      </c>
      <c r="D269" s="77">
        <f t="shared" si="62"/>
        <v>46006</v>
      </c>
      <c r="E269" s="77">
        <f t="shared" si="63"/>
        <v>46013</v>
      </c>
      <c r="F269" s="77">
        <f t="shared" si="64"/>
        <v>46019</v>
      </c>
      <c r="G269" s="77">
        <f t="shared" si="65"/>
        <v>46007</v>
      </c>
      <c r="H269" s="77">
        <f t="shared" si="66"/>
        <v>46014</v>
      </c>
      <c r="I269" s="77"/>
      <c r="J269" s="78"/>
      <c r="K269" s="25"/>
      <c r="L269" s="25"/>
      <c r="M269" s="25"/>
      <c r="N269" s="25"/>
    </row>
    <row r="270" spans="1:14" x14ac:dyDescent="0.25">
      <c r="A270" s="77">
        <v>45999</v>
      </c>
      <c r="B270" s="25" t="s">
        <v>489</v>
      </c>
      <c r="C270" s="77">
        <f t="shared" si="61"/>
        <v>46022</v>
      </c>
      <c r="D270" s="77">
        <f t="shared" si="62"/>
        <v>46006</v>
      </c>
      <c r="E270" s="77">
        <f t="shared" si="63"/>
        <v>46013</v>
      </c>
      <c r="F270" s="77">
        <f t="shared" si="64"/>
        <v>46019</v>
      </c>
      <c r="G270" s="77">
        <f t="shared" si="65"/>
        <v>46007</v>
      </c>
      <c r="H270" s="77">
        <f t="shared" si="66"/>
        <v>46014</v>
      </c>
      <c r="I270" s="77"/>
      <c r="J270" s="78"/>
      <c r="K270" s="25"/>
      <c r="L270" s="25"/>
      <c r="M270" s="25"/>
      <c r="N270" s="25"/>
    </row>
    <row r="271" spans="1:14" x14ac:dyDescent="0.25">
      <c r="A271" s="77">
        <v>46000</v>
      </c>
      <c r="B271" s="25" t="s">
        <v>490</v>
      </c>
      <c r="C271" s="77">
        <f t="shared" si="61"/>
        <v>46023</v>
      </c>
      <c r="D271" s="77">
        <f t="shared" si="62"/>
        <v>46007</v>
      </c>
      <c r="E271" s="77">
        <f t="shared" si="63"/>
        <v>46014</v>
      </c>
      <c r="F271" s="77">
        <f t="shared" si="64"/>
        <v>46020</v>
      </c>
      <c r="G271" s="77">
        <f t="shared" si="65"/>
        <v>46008</v>
      </c>
      <c r="H271" s="77">
        <f t="shared" si="66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491</v>
      </c>
      <c r="C272" s="77">
        <f t="shared" si="61"/>
        <v>46023</v>
      </c>
      <c r="D272" s="77">
        <f t="shared" si="62"/>
        <v>46007</v>
      </c>
      <c r="E272" s="77">
        <f t="shared" si="63"/>
        <v>46014</v>
      </c>
      <c r="F272" s="77">
        <f t="shared" si="64"/>
        <v>46020</v>
      </c>
      <c r="G272" s="77">
        <f t="shared" si="65"/>
        <v>46008</v>
      </c>
      <c r="H272" s="77">
        <f t="shared" si="66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492</v>
      </c>
      <c r="C273" s="77">
        <f t="shared" si="61"/>
        <v>46023</v>
      </c>
      <c r="D273" s="77">
        <f t="shared" si="62"/>
        <v>46007</v>
      </c>
      <c r="E273" s="77">
        <f t="shared" si="63"/>
        <v>46014</v>
      </c>
      <c r="F273" s="77">
        <f t="shared" si="64"/>
        <v>46020</v>
      </c>
      <c r="G273" s="77">
        <f t="shared" si="65"/>
        <v>46008</v>
      </c>
      <c r="H273" s="77">
        <f t="shared" si="66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493</v>
      </c>
      <c r="C274" s="77">
        <f t="shared" si="61"/>
        <v>46023</v>
      </c>
      <c r="D274" s="77">
        <f t="shared" si="62"/>
        <v>46007</v>
      </c>
      <c r="E274" s="77">
        <f t="shared" si="63"/>
        <v>46014</v>
      </c>
      <c r="F274" s="77">
        <f t="shared" si="64"/>
        <v>46020</v>
      </c>
      <c r="G274" s="77">
        <f t="shared" si="65"/>
        <v>46008</v>
      </c>
      <c r="H274" s="77">
        <f t="shared" si="66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494</v>
      </c>
      <c r="C275" s="77">
        <f t="shared" si="61"/>
        <v>46023</v>
      </c>
      <c r="D275" s="77">
        <f t="shared" si="62"/>
        <v>46007</v>
      </c>
      <c r="E275" s="77">
        <f t="shared" si="63"/>
        <v>46014</v>
      </c>
      <c r="F275" s="77">
        <f t="shared" si="64"/>
        <v>46020</v>
      </c>
      <c r="G275" s="77">
        <f t="shared" si="65"/>
        <v>46008</v>
      </c>
      <c r="H275" s="77">
        <f t="shared" si="66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495</v>
      </c>
      <c r="C276" s="77">
        <f t="shared" si="61"/>
        <v>46023</v>
      </c>
      <c r="D276" s="77">
        <f t="shared" si="62"/>
        <v>46007</v>
      </c>
      <c r="E276" s="77">
        <f t="shared" si="63"/>
        <v>46014</v>
      </c>
      <c r="F276" s="77">
        <f t="shared" si="64"/>
        <v>46020</v>
      </c>
      <c r="G276" s="77">
        <f t="shared" si="65"/>
        <v>46008</v>
      </c>
      <c r="H276" s="77">
        <f t="shared" si="66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496</v>
      </c>
      <c r="C277" s="77">
        <f t="shared" si="61"/>
        <v>46023</v>
      </c>
      <c r="D277" s="77">
        <f t="shared" si="62"/>
        <v>46007</v>
      </c>
      <c r="E277" s="77">
        <f t="shared" si="63"/>
        <v>46014</v>
      </c>
      <c r="F277" s="77">
        <f t="shared" si="64"/>
        <v>46020</v>
      </c>
      <c r="G277" s="77">
        <f t="shared" si="65"/>
        <v>46008</v>
      </c>
      <c r="H277" s="77">
        <f t="shared" si="66"/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497</v>
      </c>
      <c r="C278" s="77">
        <f t="shared" si="61"/>
        <v>46024</v>
      </c>
      <c r="D278" s="77">
        <f t="shared" si="62"/>
        <v>46008</v>
      </c>
      <c r="E278" s="77">
        <f t="shared" si="63"/>
        <v>46015</v>
      </c>
      <c r="F278" s="77">
        <f t="shared" si="64"/>
        <v>46021</v>
      </c>
      <c r="G278" s="77">
        <f t="shared" si="65"/>
        <v>46009</v>
      </c>
      <c r="H278" s="77">
        <f t="shared" si="66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498</v>
      </c>
      <c r="C279" s="77">
        <f t="shared" si="61"/>
        <v>46024</v>
      </c>
      <c r="D279" s="77">
        <f t="shared" si="62"/>
        <v>46008</v>
      </c>
      <c r="E279" s="77">
        <f t="shared" si="63"/>
        <v>46015</v>
      </c>
      <c r="F279" s="77">
        <f t="shared" si="64"/>
        <v>46021</v>
      </c>
      <c r="G279" s="77">
        <f t="shared" si="65"/>
        <v>46009</v>
      </c>
      <c r="H279" s="77">
        <f t="shared" si="66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499</v>
      </c>
      <c r="C280" s="77">
        <f t="shared" si="61"/>
        <v>46024</v>
      </c>
      <c r="D280" s="77">
        <f t="shared" si="62"/>
        <v>46008</v>
      </c>
      <c r="E280" s="77">
        <f t="shared" si="63"/>
        <v>46015</v>
      </c>
      <c r="F280" s="77">
        <f t="shared" si="64"/>
        <v>46021</v>
      </c>
      <c r="G280" s="77">
        <f t="shared" si="65"/>
        <v>46009</v>
      </c>
      <c r="H280" s="77">
        <f t="shared" si="66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500</v>
      </c>
      <c r="C281" s="77">
        <f t="shared" si="61"/>
        <v>46024</v>
      </c>
      <c r="D281" s="77">
        <f t="shared" si="62"/>
        <v>46008</v>
      </c>
      <c r="E281" s="77">
        <f t="shared" si="63"/>
        <v>46015</v>
      </c>
      <c r="F281" s="77">
        <f t="shared" si="64"/>
        <v>46021</v>
      </c>
      <c r="G281" s="77">
        <f t="shared" si="65"/>
        <v>46009</v>
      </c>
      <c r="H281" s="77">
        <f t="shared" si="66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501</v>
      </c>
      <c r="C282" s="77">
        <f t="shared" si="61"/>
        <v>46024</v>
      </c>
      <c r="D282" s="77">
        <f t="shared" si="62"/>
        <v>46008</v>
      </c>
      <c r="E282" s="77">
        <f t="shared" si="63"/>
        <v>46015</v>
      </c>
      <c r="F282" s="77">
        <f t="shared" si="64"/>
        <v>46021</v>
      </c>
      <c r="G282" s="77">
        <f t="shared" si="65"/>
        <v>46009</v>
      </c>
      <c r="H282" s="77">
        <f t="shared" si="66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502</v>
      </c>
      <c r="C283" s="77">
        <f t="shared" si="61"/>
        <v>46024</v>
      </c>
      <c r="D283" s="77">
        <f t="shared" si="62"/>
        <v>46008</v>
      </c>
      <c r="E283" s="77">
        <f t="shared" si="63"/>
        <v>46015</v>
      </c>
      <c r="F283" s="77">
        <f t="shared" si="64"/>
        <v>46021</v>
      </c>
      <c r="G283" s="77">
        <f t="shared" si="65"/>
        <v>46009</v>
      </c>
      <c r="H283" s="77">
        <f t="shared" si="66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503</v>
      </c>
      <c r="C284" s="77">
        <f t="shared" si="61"/>
        <v>46024</v>
      </c>
      <c r="D284" s="77">
        <f t="shared" si="62"/>
        <v>46008</v>
      </c>
      <c r="E284" s="77">
        <f t="shared" si="63"/>
        <v>46015</v>
      </c>
      <c r="F284" s="77">
        <f t="shared" si="64"/>
        <v>46021</v>
      </c>
      <c r="G284" s="77">
        <f t="shared" si="65"/>
        <v>46009</v>
      </c>
      <c r="H284" s="77">
        <f t="shared" si="66"/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504</v>
      </c>
      <c r="C285" s="77">
        <f t="shared" si="61"/>
        <v>46025</v>
      </c>
      <c r="D285" s="77">
        <f t="shared" si="62"/>
        <v>46009</v>
      </c>
      <c r="E285" s="77">
        <f t="shared" si="63"/>
        <v>46016</v>
      </c>
      <c r="F285" s="77">
        <f t="shared" si="64"/>
        <v>46022</v>
      </c>
      <c r="G285" s="77">
        <f t="shared" si="65"/>
        <v>46010</v>
      </c>
      <c r="H285" s="77">
        <f t="shared" si="66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505</v>
      </c>
      <c r="C286" s="77">
        <f t="shared" si="61"/>
        <v>46025</v>
      </c>
      <c r="D286" s="77">
        <f t="shared" si="62"/>
        <v>46009</v>
      </c>
      <c r="E286" s="77">
        <f t="shared" si="63"/>
        <v>46016</v>
      </c>
      <c r="F286" s="77">
        <f t="shared" si="64"/>
        <v>46022</v>
      </c>
      <c r="G286" s="77">
        <f t="shared" si="65"/>
        <v>46010</v>
      </c>
      <c r="H286" s="77">
        <f t="shared" si="66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506</v>
      </c>
      <c r="C287" s="77">
        <f t="shared" si="61"/>
        <v>46025</v>
      </c>
      <c r="D287" s="77">
        <f t="shared" si="62"/>
        <v>46009</v>
      </c>
      <c r="E287" s="77">
        <f t="shared" si="63"/>
        <v>46016</v>
      </c>
      <c r="F287" s="77">
        <f t="shared" si="64"/>
        <v>46022</v>
      </c>
      <c r="G287" s="77">
        <f t="shared" si="65"/>
        <v>46010</v>
      </c>
      <c r="H287" s="77">
        <f t="shared" si="66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507</v>
      </c>
      <c r="C288" s="77">
        <f t="shared" si="61"/>
        <v>46025</v>
      </c>
      <c r="D288" s="77">
        <f t="shared" si="62"/>
        <v>46009</v>
      </c>
      <c r="E288" s="77">
        <f t="shared" si="63"/>
        <v>46016</v>
      </c>
      <c r="F288" s="77">
        <f t="shared" si="64"/>
        <v>46022</v>
      </c>
      <c r="G288" s="77">
        <f t="shared" si="65"/>
        <v>46010</v>
      </c>
      <c r="H288" s="77">
        <f t="shared" si="66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508</v>
      </c>
      <c r="C289" s="77">
        <f t="shared" si="61"/>
        <v>46025</v>
      </c>
      <c r="D289" s="77">
        <f t="shared" si="62"/>
        <v>46009</v>
      </c>
      <c r="E289" s="77">
        <f t="shared" si="63"/>
        <v>46016</v>
      </c>
      <c r="F289" s="77">
        <f t="shared" si="64"/>
        <v>46022</v>
      </c>
      <c r="G289" s="77">
        <f t="shared" si="65"/>
        <v>46010</v>
      </c>
      <c r="H289" s="77">
        <f t="shared" si="66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509</v>
      </c>
      <c r="C290" s="77">
        <f t="shared" si="61"/>
        <v>46025</v>
      </c>
      <c r="D290" s="77">
        <f t="shared" si="62"/>
        <v>46009</v>
      </c>
      <c r="E290" s="77">
        <f t="shared" si="63"/>
        <v>46016</v>
      </c>
      <c r="F290" s="77">
        <f t="shared" si="64"/>
        <v>46022</v>
      </c>
      <c r="G290" s="77">
        <f t="shared" si="65"/>
        <v>46010</v>
      </c>
      <c r="H290" s="77">
        <f t="shared" si="66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510</v>
      </c>
      <c r="C291" s="77">
        <f t="shared" si="61"/>
        <v>46025</v>
      </c>
      <c r="D291" s="77">
        <f t="shared" si="62"/>
        <v>46009</v>
      </c>
      <c r="E291" s="77">
        <f t="shared" si="63"/>
        <v>46016</v>
      </c>
      <c r="F291" s="77">
        <f t="shared" si="64"/>
        <v>46022</v>
      </c>
      <c r="G291" s="77">
        <f t="shared" si="65"/>
        <v>46010</v>
      </c>
      <c r="H291" s="77">
        <f t="shared" si="66"/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552</v>
      </c>
      <c r="C292" s="77">
        <f t="shared" si="61"/>
        <v>46026</v>
      </c>
      <c r="D292" s="77">
        <f t="shared" si="62"/>
        <v>46010</v>
      </c>
      <c r="E292" s="77">
        <f t="shared" si="63"/>
        <v>46017</v>
      </c>
      <c r="F292" s="77">
        <f t="shared" si="64"/>
        <v>46023</v>
      </c>
      <c r="G292" s="77">
        <f t="shared" si="65"/>
        <v>46011</v>
      </c>
      <c r="H292" s="77">
        <f t="shared" si="66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553</v>
      </c>
      <c r="C293" s="77">
        <f t="shared" si="61"/>
        <v>46026</v>
      </c>
      <c r="D293" s="77">
        <f t="shared" si="62"/>
        <v>46010</v>
      </c>
      <c r="E293" s="77">
        <f t="shared" si="63"/>
        <v>46017</v>
      </c>
      <c r="F293" s="77">
        <f t="shared" si="64"/>
        <v>46023</v>
      </c>
      <c r="G293" s="77">
        <f t="shared" si="65"/>
        <v>46011</v>
      </c>
      <c r="H293" s="77">
        <f t="shared" si="66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554</v>
      </c>
      <c r="C294" s="77">
        <f t="shared" si="61"/>
        <v>46026</v>
      </c>
      <c r="D294" s="77">
        <f t="shared" si="62"/>
        <v>46010</v>
      </c>
      <c r="E294" s="77">
        <f t="shared" si="63"/>
        <v>46017</v>
      </c>
      <c r="F294" s="77">
        <f t="shared" si="64"/>
        <v>46023</v>
      </c>
      <c r="G294" s="77">
        <f t="shared" si="65"/>
        <v>46011</v>
      </c>
      <c r="H294" s="77">
        <f t="shared" si="66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555</v>
      </c>
      <c r="C295" s="77">
        <f t="shared" si="61"/>
        <v>46026</v>
      </c>
      <c r="D295" s="77">
        <f t="shared" si="62"/>
        <v>46010</v>
      </c>
      <c r="E295" s="77">
        <f t="shared" si="63"/>
        <v>46017</v>
      </c>
      <c r="F295" s="77">
        <f t="shared" si="64"/>
        <v>46023</v>
      </c>
      <c r="G295" s="77">
        <f t="shared" si="65"/>
        <v>46011</v>
      </c>
      <c r="H295" s="77">
        <f t="shared" si="66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556</v>
      </c>
      <c r="C296" s="77">
        <f t="shared" si="61"/>
        <v>46026</v>
      </c>
      <c r="D296" s="77">
        <f t="shared" si="62"/>
        <v>46010</v>
      </c>
      <c r="E296" s="77">
        <f t="shared" si="63"/>
        <v>46017</v>
      </c>
      <c r="F296" s="77">
        <f t="shared" si="64"/>
        <v>46023</v>
      </c>
      <c r="G296" s="77">
        <f t="shared" si="65"/>
        <v>46011</v>
      </c>
      <c r="H296" s="77">
        <f t="shared" si="66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557</v>
      </c>
      <c r="C297" s="77">
        <f t="shared" si="61"/>
        <v>46026</v>
      </c>
      <c r="D297" s="77">
        <f t="shared" si="62"/>
        <v>46010</v>
      </c>
      <c r="E297" s="77">
        <f t="shared" si="63"/>
        <v>46017</v>
      </c>
      <c r="F297" s="77">
        <f t="shared" si="64"/>
        <v>46023</v>
      </c>
      <c r="G297" s="77">
        <f t="shared" si="65"/>
        <v>46011</v>
      </c>
      <c r="H297" s="77">
        <f t="shared" si="66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558</v>
      </c>
      <c r="C298" s="77">
        <f t="shared" si="61"/>
        <v>46026</v>
      </c>
      <c r="D298" s="77">
        <f t="shared" si="62"/>
        <v>46010</v>
      </c>
      <c r="E298" s="77">
        <f t="shared" si="63"/>
        <v>46017</v>
      </c>
      <c r="F298" s="77">
        <f t="shared" si="64"/>
        <v>46023</v>
      </c>
      <c r="G298" s="77">
        <f t="shared" si="65"/>
        <v>46011</v>
      </c>
      <c r="H298" s="77">
        <f t="shared" si="66"/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545</v>
      </c>
      <c r="C299" s="77">
        <f t="shared" si="61"/>
        <v>46027</v>
      </c>
      <c r="D299" s="77">
        <f t="shared" si="62"/>
        <v>46011</v>
      </c>
      <c r="E299" s="77">
        <f t="shared" si="63"/>
        <v>46018</v>
      </c>
      <c r="F299" s="77">
        <f t="shared" si="64"/>
        <v>46024</v>
      </c>
      <c r="G299" s="77">
        <f t="shared" si="65"/>
        <v>46012</v>
      </c>
      <c r="H299" s="77">
        <f t="shared" si="66"/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546</v>
      </c>
      <c r="C300" s="77">
        <f t="shared" si="61"/>
        <v>46027</v>
      </c>
      <c r="D300" s="77">
        <f t="shared" si="62"/>
        <v>46011</v>
      </c>
      <c r="E300" s="77">
        <f t="shared" si="63"/>
        <v>46018</v>
      </c>
      <c r="F300" s="77">
        <f t="shared" si="64"/>
        <v>46024</v>
      </c>
      <c r="G300" s="77">
        <f t="shared" si="65"/>
        <v>46012</v>
      </c>
      <c r="H300" s="77">
        <f t="shared" si="66"/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547</v>
      </c>
      <c r="C301" s="77">
        <f t="shared" si="61"/>
        <v>46027</v>
      </c>
      <c r="D301" s="77">
        <f t="shared" si="62"/>
        <v>46011</v>
      </c>
      <c r="E301" s="77">
        <f t="shared" si="63"/>
        <v>46018</v>
      </c>
      <c r="F301" s="77">
        <f t="shared" si="64"/>
        <v>46024</v>
      </c>
      <c r="G301" s="77">
        <f t="shared" si="65"/>
        <v>46012</v>
      </c>
      <c r="H301" s="77">
        <f t="shared" si="66"/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548</v>
      </c>
      <c r="C302" s="77">
        <f t="shared" si="61"/>
        <v>46027</v>
      </c>
      <c r="D302" s="77">
        <f t="shared" si="62"/>
        <v>46011</v>
      </c>
      <c r="E302" s="77">
        <f t="shared" si="63"/>
        <v>46018</v>
      </c>
      <c r="F302" s="77">
        <f t="shared" si="64"/>
        <v>46024</v>
      </c>
      <c r="G302" s="77">
        <f t="shared" si="65"/>
        <v>46012</v>
      </c>
      <c r="H302" s="77">
        <f t="shared" si="66"/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549</v>
      </c>
      <c r="C303" s="77">
        <f t="shared" si="61"/>
        <v>46027</v>
      </c>
      <c r="D303" s="77">
        <f t="shared" si="62"/>
        <v>46011</v>
      </c>
      <c r="E303" s="77">
        <f t="shared" si="63"/>
        <v>46018</v>
      </c>
      <c r="F303" s="77">
        <f t="shared" si="64"/>
        <v>46024</v>
      </c>
      <c r="G303" s="77">
        <f t="shared" si="65"/>
        <v>46012</v>
      </c>
      <c r="H303" s="77">
        <f t="shared" si="66"/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550</v>
      </c>
      <c r="C304" s="77">
        <f t="shared" si="61"/>
        <v>46027</v>
      </c>
      <c r="D304" s="77">
        <f t="shared" si="62"/>
        <v>46011</v>
      </c>
      <c r="E304" s="77">
        <f t="shared" si="63"/>
        <v>46018</v>
      </c>
      <c r="F304" s="77">
        <f t="shared" si="64"/>
        <v>46024</v>
      </c>
      <c r="G304" s="77">
        <f t="shared" si="65"/>
        <v>46012</v>
      </c>
      <c r="H304" s="77">
        <f t="shared" si="66"/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46004</v>
      </c>
      <c r="B305" s="25" t="s">
        <v>551</v>
      </c>
      <c r="C305" s="77">
        <f t="shared" si="61"/>
        <v>46027</v>
      </c>
      <c r="D305" s="77">
        <f t="shared" si="62"/>
        <v>46011</v>
      </c>
      <c r="E305" s="77">
        <f t="shared" si="63"/>
        <v>46018</v>
      </c>
      <c r="F305" s="77">
        <f t="shared" si="64"/>
        <v>46024</v>
      </c>
      <c r="G305" s="77">
        <f t="shared" si="65"/>
        <v>46012</v>
      </c>
      <c r="H305" s="77">
        <f t="shared" si="66"/>
        <v>46019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537</v>
      </c>
      <c r="C306" s="77">
        <f t="shared" si="61"/>
        <v>46028</v>
      </c>
      <c r="D306" s="77">
        <f t="shared" si="62"/>
        <v>46012</v>
      </c>
      <c r="E306" s="77">
        <f t="shared" si="63"/>
        <v>46019</v>
      </c>
      <c r="F306" s="77">
        <f t="shared" si="64"/>
        <v>46025</v>
      </c>
      <c r="G306" s="77">
        <f t="shared" si="65"/>
        <v>46013</v>
      </c>
      <c r="H306" s="77">
        <f t="shared" si="66"/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538</v>
      </c>
      <c r="C307" s="77">
        <f t="shared" si="61"/>
        <v>46028</v>
      </c>
      <c r="D307" s="77">
        <f t="shared" si="62"/>
        <v>46012</v>
      </c>
      <c r="E307" s="77">
        <f t="shared" si="63"/>
        <v>46019</v>
      </c>
      <c r="F307" s="77">
        <f t="shared" si="64"/>
        <v>46025</v>
      </c>
      <c r="G307" s="77">
        <f t="shared" si="65"/>
        <v>46013</v>
      </c>
      <c r="H307" s="77">
        <f t="shared" si="66"/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539</v>
      </c>
      <c r="C308" s="77">
        <f t="shared" si="61"/>
        <v>46028</v>
      </c>
      <c r="D308" s="77">
        <f t="shared" si="62"/>
        <v>46012</v>
      </c>
      <c r="E308" s="77">
        <f t="shared" si="63"/>
        <v>46019</v>
      </c>
      <c r="F308" s="77">
        <f t="shared" si="64"/>
        <v>46025</v>
      </c>
      <c r="G308" s="77">
        <f t="shared" si="65"/>
        <v>46013</v>
      </c>
      <c r="H308" s="77">
        <f t="shared" si="66"/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540</v>
      </c>
      <c r="C309" s="77">
        <f t="shared" si="61"/>
        <v>46028</v>
      </c>
      <c r="D309" s="77">
        <f t="shared" si="62"/>
        <v>46012</v>
      </c>
      <c r="E309" s="77">
        <f t="shared" si="63"/>
        <v>46019</v>
      </c>
      <c r="F309" s="77">
        <f t="shared" si="64"/>
        <v>46025</v>
      </c>
      <c r="G309" s="77">
        <f t="shared" si="65"/>
        <v>46013</v>
      </c>
      <c r="H309" s="77">
        <f t="shared" si="66"/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541</v>
      </c>
      <c r="C310" s="77">
        <f t="shared" si="61"/>
        <v>46028</v>
      </c>
      <c r="D310" s="77">
        <f t="shared" si="62"/>
        <v>46012</v>
      </c>
      <c r="E310" s="77">
        <f t="shared" si="63"/>
        <v>46019</v>
      </c>
      <c r="F310" s="77">
        <f t="shared" si="64"/>
        <v>46025</v>
      </c>
      <c r="G310" s="77">
        <f t="shared" si="65"/>
        <v>46013</v>
      </c>
      <c r="H310" s="77">
        <f t="shared" si="66"/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542</v>
      </c>
      <c r="C311" s="77">
        <f t="shared" si="61"/>
        <v>46028</v>
      </c>
      <c r="D311" s="77">
        <f t="shared" si="62"/>
        <v>46012</v>
      </c>
      <c r="E311" s="77">
        <f t="shared" si="63"/>
        <v>46019</v>
      </c>
      <c r="F311" s="77">
        <f t="shared" si="64"/>
        <v>46025</v>
      </c>
      <c r="G311" s="77">
        <f t="shared" si="65"/>
        <v>46013</v>
      </c>
      <c r="H311" s="77">
        <f t="shared" si="66"/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543</v>
      </c>
      <c r="C312" s="77">
        <f t="shared" si="61"/>
        <v>46028</v>
      </c>
      <c r="D312" s="77">
        <f t="shared" si="62"/>
        <v>46012</v>
      </c>
      <c r="E312" s="77">
        <f t="shared" si="63"/>
        <v>46019</v>
      </c>
      <c r="F312" s="77">
        <f t="shared" si="64"/>
        <v>46025</v>
      </c>
      <c r="G312" s="77">
        <f t="shared" si="65"/>
        <v>46013</v>
      </c>
      <c r="H312" s="77">
        <f t="shared" si="66"/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46005</v>
      </c>
      <c r="B313" s="25" t="s">
        <v>544</v>
      </c>
      <c r="C313" s="77">
        <f t="shared" si="61"/>
        <v>46028</v>
      </c>
      <c r="D313" s="77">
        <f t="shared" si="62"/>
        <v>46012</v>
      </c>
      <c r="E313" s="77">
        <f t="shared" si="63"/>
        <v>46019</v>
      </c>
      <c r="F313" s="77">
        <f t="shared" si="64"/>
        <v>46025</v>
      </c>
      <c r="G313" s="77">
        <f t="shared" si="65"/>
        <v>46013</v>
      </c>
      <c r="H313" s="77">
        <f t="shared" si="66"/>
        <v>46020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513</v>
      </c>
      <c r="C314" s="77">
        <f t="shared" si="61"/>
        <v>46029</v>
      </c>
      <c r="D314" s="77">
        <f t="shared" si="62"/>
        <v>46013</v>
      </c>
      <c r="E314" s="77">
        <f t="shared" si="63"/>
        <v>46020</v>
      </c>
      <c r="F314" s="77">
        <f t="shared" si="64"/>
        <v>46026</v>
      </c>
      <c r="G314" s="77">
        <f t="shared" si="65"/>
        <v>46014</v>
      </c>
      <c r="H314" s="77">
        <f t="shared" si="66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 t="shared" si="61"/>
        <v>46029</v>
      </c>
      <c r="D315" s="77">
        <f t="shared" si="62"/>
        <v>46013</v>
      </c>
      <c r="E315" s="77">
        <f t="shared" si="63"/>
        <v>46020</v>
      </c>
      <c r="F315" s="77">
        <f t="shared" si="64"/>
        <v>46026</v>
      </c>
      <c r="G315" s="77">
        <f t="shared" si="65"/>
        <v>46014</v>
      </c>
      <c r="H315" s="77">
        <f t="shared" si="66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 t="shared" si="61"/>
        <v>46029</v>
      </c>
      <c r="D316" s="77">
        <f t="shared" si="62"/>
        <v>46013</v>
      </c>
      <c r="E316" s="77">
        <f t="shared" si="63"/>
        <v>46020</v>
      </c>
      <c r="F316" s="77">
        <f t="shared" si="64"/>
        <v>46026</v>
      </c>
      <c r="G316" s="77">
        <f t="shared" si="65"/>
        <v>46014</v>
      </c>
      <c r="H316" s="77">
        <f t="shared" si="66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 t="shared" si="61"/>
        <v>46029</v>
      </c>
      <c r="D317" s="77">
        <f t="shared" si="62"/>
        <v>46013</v>
      </c>
      <c r="E317" s="77">
        <f t="shared" si="63"/>
        <v>46020</v>
      </c>
      <c r="F317" s="77">
        <f t="shared" si="64"/>
        <v>46026</v>
      </c>
      <c r="G317" s="77">
        <f t="shared" si="65"/>
        <v>46014</v>
      </c>
      <c r="H317" s="77">
        <f t="shared" si="66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 t="shared" si="61"/>
        <v>46029</v>
      </c>
      <c r="D318" s="77">
        <f t="shared" si="62"/>
        <v>46013</v>
      </c>
      <c r="E318" s="77">
        <f t="shared" si="63"/>
        <v>46020</v>
      </c>
      <c r="F318" s="77">
        <f t="shared" si="64"/>
        <v>46026</v>
      </c>
      <c r="G318" s="77">
        <f t="shared" si="65"/>
        <v>46014</v>
      </c>
      <c r="H318" s="77">
        <f t="shared" si="66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 t="shared" si="61"/>
        <v>46029</v>
      </c>
      <c r="D319" s="77">
        <f t="shared" si="62"/>
        <v>46013</v>
      </c>
      <c r="E319" s="77">
        <f t="shared" si="63"/>
        <v>46020</v>
      </c>
      <c r="F319" s="77">
        <f t="shared" si="64"/>
        <v>46026</v>
      </c>
      <c r="G319" s="77">
        <f t="shared" si="65"/>
        <v>46014</v>
      </c>
      <c r="H319" s="77">
        <f t="shared" si="66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 t="shared" si="61"/>
        <v>46029</v>
      </c>
      <c r="D320" s="77">
        <f t="shared" si="62"/>
        <v>46013</v>
      </c>
      <c r="E320" s="77">
        <f t="shared" si="63"/>
        <v>46020</v>
      </c>
      <c r="F320" s="77">
        <f t="shared" si="64"/>
        <v>46026</v>
      </c>
      <c r="G320" s="77">
        <f t="shared" si="65"/>
        <v>46014</v>
      </c>
      <c r="H320" s="77">
        <f t="shared" si="66"/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 t="shared" si="61"/>
        <v>46030</v>
      </c>
      <c r="D321" s="77">
        <f t="shared" si="62"/>
        <v>46014</v>
      </c>
      <c r="E321" s="77">
        <f t="shared" si="63"/>
        <v>46021</v>
      </c>
      <c r="F321" s="77">
        <f t="shared" si="64"/>
        <v>46027</v>
      </c>
      <c r="G321" s="77">
        <f t="shared" si="65"/>
        <v>46015</v>
      </c>
      <c r="H321" s="77">
        <f t="shared" si="66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 t="shared" si="61"/>
        <v>46030</v>
      </c>
      <c r="D322" s="77">
        <f t="shared" si="62"/>
        <v>46014</v>
      </c>
      <c r="E322" s="77">
        <f t="shared" si="63"/>
        <v>46021</v>
      </c>
      <c r="F322" s="77">
        <f t="shared" si="64"/>
        <v>46027</v>
      </c>
      <c r="G322" s="77">
        <f t="shared" si="65"/>
        <v>46015</v>
      </c>
      <c r="H322" s="77">
        <f t="shared" si="66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 t="shared" ref="C323:C334" si="67">A323+23</f>
        <v>46030</v>
      </c>
      <c r="D323" s="77">
        <f t="shared" ref="D323:D334" si="68">A323+7</f>
        <v>46014</v>
      </c>
      <c r="E323" s="77">
        <f t="shared" ref="E323:E334" si="69">A323+14</f>
        <v>46021</v>
      </c>
      <c r="F323" s="77">
        <f t="shared" ref="F323:F334" si="70">A323+20</f>
        <v>46027</v>
      </c>
      <c r="G323" s="77">
        <f t="shared" ref="G323:G334" si="71">A323+8</f>
        <v>46015</v>
      </c>
      <c r="H323" s="77">
        <f t="shared" ref="H323:H334" si="72"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 t="shared" si="67"/>
        <v>46030</v>
      </c>
      <c r="D324" s="77">
        <f t="shared" si="68"/>
        <v>46014</v>
      </c>
      <c r="E324" s="77">
        <f t="shared" si="69"/>
        <v>46021</v>
      </c>
      <c r="F324" s="77">
        <f t="shared" si="70"/>
        <v>46027</v>
      </c>
      <c r="G324" s="77">
        <f t="shared" si="71"/>
        <v>46015</v>
      </c>
      <c r="H324" s="77">
        <f t="shared" si="72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 t="shared" si="67"/>
        <v>46030</v>
      </c>
      <c r="D325" s="77">
        <f t="shared" si="68"/>
        <v>46014</v>
      </c>
      <c r="E325" s="77">
        <f t="shared" si="69"/>
        <v>46021</v>
      </c>
      <c r="F325" s="77">
        <f t="shared" si="70"/>
        <v>46027</v>
      </c>
      <c r="G325" s="77">
        <f t="shared" si="71"/>
        <v>46015</v>
      </c>
      <c r="H325" s="77">
        <f t="shared" si="72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 t="shared" si="67"/>
        <v>46030</v>
      </c>
      <c r="D326" s="77">
        <f t="shared" si="68"/>
        <v>46014</v>
      </c>
      <c r="E326" s="77">
        <f t="shared" si="69"/>
        <v>46021</v>
      </c>
      <c r="F326" s="77">
        <f t="shared" si="70"/>
        <v>46027</v>
      </c>
      <c r="G326" s="77">
        <f t="shared" si="71"/>
        <v>46015</v>
      </c>
      <c r="H326" s="77">
        <f t="shared" si="72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 t="shared" si="67"/>
        <v>46030</v>
      </c>
      <c r="D327" s="77">
        <f t="shared" si="68"/>
        <v>46014</v>
      </c>
      <c r="E327" s="77">
        <f t="shared" si="69"/>
        <v>46021</v>
      </c>
      <c r="F327" s="77">
        <f t="shared" si="70"/>
        <v>46027</v>
      </c>
      <c r="G327" s="77">
        <f t="shared" si="71"/>
        <v>46015</v>
      </c>
      <c r="H327" s="77">
        <f t="shared" si="72"/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 t="shared" si="67"/>
        <v>46031</v>
      </c>
      <c r="D328" s="77">
        <f t="shared" si="68"/>
        <v>46015</v>
      </c>
      <c r="E328" s="77">
        <f t="shared" si="69"/>
        <v>46022</v>
      </c>
      <c r="F328" s="77">
        <f t="shared" si="70"/>
        <v>46028</v>
      </c>
      <c r="G328" s="77">
        <f t="shared" si="71"/>
        <v>46016</v>
      </c>
      <c r="H328" s="77">
        <f t="shared" si="72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 t="shared" si="67"/>
        <v>46031</v>
      </c>
      <c r="D329" s="77">
        <f t="shared" si="68"/>
        <v>46015</v>
      </c>
      <c r="E329" s="77">
        <f t="shared" si="69"/>
        <v>46022</v>
      </c>
      <c r="F329" s="77">
        <f t="shared" si="70"/>
        <v>46028</v>
      </c>
      <c r="G329" s="77">
        <f t="shared" si="71"/>
        <v>46016</v>
      </c>
      <c r="H329" s="77">
        <f t="shared" si="72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 t="shared" si="67"/>
        <v>46031</v>
      </c>
      <c r="D330" s="77">
        <f t="shared" si="68"/>
        <v>46015</v>
      </c>
      <c r="E330" s="77">
        <f t="shared" si="69"/>
        <v>46022</v>
      </c>
      <c r="F330" s="77">
        <f t="shared" si="70"/>
        <v>46028</v>
      </c>
      <c r="G330" s="77">
        <f t="shared" si="71"/>
        <v>46016</v>
      </c>
      <c r="H330" s="77">
        <f t="shared" si="72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 t="shared" si="67"/>
        <v>46031</v>
      </c>
      <c r="D331" s="77">
        <f t="shared" si="68"/>
        <v>46015</v>
      </c>
      <c r="E331" s="77">
        <f t="shared" si="69"/>
        <v>46022</v>
      </c>
      <c r="F331" s="77">
        <f t="shared" si="70"/>
        <v>46028</v>
      </c>
      <c r="G331" s="77">
        <f t="shared" si="71"/>
        <v>46016</v>
      </c>
      <c r="H331" s="77">
        <f t="shared" si="72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 t="shared" si="67"/>
        <v>46031</v>
      </c>
      <c r="D332" s="77">
        <f t="shared" si="68"/>
        <v>46015</v>
      </c>
      <c r="E332" s="77">
        <f t="shared" si="69"/>
        <v>46022</v>
      </c>
      <c r="F332" s="77">
        <f t="shared" si="70"/>
        <v>46028</v>
      </c>
      <c r="G332" s="77">
        <f t="shared" si="71"/>
        <v>46016</v>
      </c>
      <c r="H332" s="77">
        <f t="shared" si="72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 t="shared" si="67"/>
        <v>46031</v>
      </c>
      <c r="D333" s="77">
        <f t="shared" si="68"/>
        <v>46015</v>
      </c>
      <c r="E333" s="77">
        <f t="shared" si="69"/>
        <v>46022</v>
      </c>
      <c r="F333" s="77">
        <f t="shared" si="70"/>
        <v>46028</v>
      </c>
      <c r="G333" s="77">
        <f t="shared" si="71"/>
        <v>46016</v>
      </c>
      <c r="H333" s="77">
        <f t="shared" si="72"/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 t="shared" si="67"/>
        <v>46031</v>
      </c>
      <c r="D334" s="77">
        <f t="shared" si="68"/>
        <v>46015</v>
      </c>
      <c r="E334" s="77">
        <f t="shared" si="69"/>
        <v>46022</v>
      </c>
      <c r="F334" s="77">
        <f t="shared" si="70"/>
        <v>46028</v>
      </c>
      <c r="G334" s="77">
        <f t="shared" si="71"/>
        <v>46016</v>
      </c>
      <c r="H334" s="77">
        <f t="shared" si="72"/>
        <v>46023</v>
      </c>
      <c r="I334" s="77"/>
      <c r="J334" s="78"/>
      <c r="K334" s="25"/>
      <c r="L334" s="25"/>
      <c r="M334" s="25"/>
      <c r="N334" s="25"/>
    </row>
    <row r="335" spans="1:14" x14ac:dyDescent="0.25">
      <c r="A335" s="77">
        <v>46009</v>
      </c>
      <c r="B335" s="25" t="s">
        <v>359</v>
      </c>
      <c r="C335" s="77">
        <f t="shared" ref="C335:C348" si="73">A335+23</f>
        <v>46032</v>
      </c>
      <c r="D335" s="77">
        <f t="shared" ref="D335:D348" si="74">A335+7</f>
        <v>46016</v>
      </c>
      <c r="E335" s="77">
        <f t="shared" ref="E335:E348" si="75">A335+14</f>
        <v>46023</v>
      </c>
      <c r="F335" s="77">
        <f t="shared" ref="F335:F348" si="76">A335+20</f>
        <v>46029</v>
      </c>
      <c r="G335" s="77">
        <f t="shared" ref="G335:G348" si="77">A335+8</f>
        <v>46017</v>
      </c>
      <c r="H335" s="77">
        <f t="shared" ref="H335:H348" si="78">A335+15</f>
        <v>46024</v>
      </c>
      <c r="I335" s="77"/>
      <c r="J335" s="78"/>
      <c r="K335" s="25"/>
      <c r="L335" s="25"/>
      <c r="M335" s="25"/>
      <c r="N335" s="25"/>
    </row>
    <row r="336" spans="1:14" x14ac:dyDescent="0.25">
      <c r="A336" s="77">
        <v>46009</v>
      </c>
      <c r="B336" s="25" t="s">
        <v>360</v>
      </c>
      <c r="C336" s="77">
        <f t="shared" si="73"/>
        <v>46032</v>
      </c>
      <c r="D336" s="77">
        <f t="shared" si="74"/>
        <v>46016</v>
      </c>
      <c r="E336" s="77">
        <f t="shared" si="75"/>
        <v>46023</v>
      </c>
      <c r="F336" s="77">
        <f t="shared" si="76"/>
        <v>46029</v>
      </c>
      <c r="G336" s="77">
        <f t="shared" si="77"/>
        <v>46017</v>
      </c>
      <c r="H336" s="77">
        <f t="shared" si="78"/>
        <v>46024</v>
      </c>
      <c r="I336" s="77"/>
      <c r="J336" s="78"/>
      <c r="K336" s="25"/>
      <c r="L336" s="25"/>
      <c r="M336" s="25"/>
      <c r="N336" s="25"/>
    </row>
    <row r="337" spans="1:14" x14ac:dyDescent="0.25">
      <c r="A337" s="77">
        <v>46009</v>
      </c>
      <c r="B337" s="25" t="s">
        <v>361</v>
      </c>
      <c r="C337" s="77">
        <f t="shared" si="73"/>
        <v>46032</v>
      </c>
      <c r="D337" s="77">
        <f t="shared" si="74"/>
        <v>46016</v>
      </c>
      <c r="E337" s="77">
        <f t="shared" si="75"/>
        <v>46023</v>
      </c>
      <c r="F337" s="77">
        <f t="shared" si="76"/>
        <v>46029</v>
      </c>
      <c r="G337" s="77">
        <f t="shared" si="77"/>
        <v>46017</v>
      </c>
      <c r="H337" s="77">
        <f t="shared" si="78"/>
        <v>46024</v>
      </c>
      <c r="I337" s="77"/>
      <c r="J337" s="78"/>
      <c r="K337" s="25"/>
      <c r="L337" s="25"/>
      <c r="M337" s="25"/>
      <c r="N337" s="25"/>
    </row>
    <row r="338" spans="1:14" x14ac:dyDescent="0.25">
      <c r="A338" s="77">
        <v>46009</v>
      </c>
      <c r="B338" s="25" t="s">
        <v>362</v>
      </c>
      <c r="C338" s="77">
        <f t="shared" si="73"/>
        <v>46032</v>
      </c>
      <c r="D338" s="77">
        <f t="shared" si="74"/>
        <v>46016</v>
      </c>
      <c r="E338" s="77">
        <f t="shared" si="75"/>
        <v>46023</v>
      </c>
      <c r="F338" s="77">
        <f t="shared" si="76"/>
        <v>46029</v>
      </c>
      <c r="G338" s="77">
        <f t="shared" si="77"/>
        <v>46017</v>
      </c>
      <c r="H338" s="77">
        <f t="shared" si="78"/>
        <v>46024</v>
      </c>
      <c r="I338" s="77"/>
      <c r="J338" s="78"/>
      <c r="K338" s="25"/>
      <c r="L338" s="25"/>
      <c r="M338" s="25"/>
      <c r="N338" s="25"/>
    </row>
    <row r="339" spans="1:14" x14ac:dyDescent="0.25">
      <c r="A339" s="77">
        <v>46009</v>
      </c>
      <c r="B339" s="25" t="s">
        <v>363</v>
      </c>
      <c r="C339" s="77">
        <f t="shared" si="73"/>
        <v>46032</v>
      </c>
      <c r="D339" s="77">
        <f t="shared" si="74"/>
        <v>46016</v>
      </c>
      <c r="E339" s="77">
        <f t="shared" si="75"/>
        <v>46023</v>
      </c>
      <c r="F339" s="77">
        <f t="shared" si="76"/>
        <v>46029</v>
      </c>
      <c r="G339" s="77">
        <f t="shared" si="77"/>
        <v>46017</v>
      </c>
      <c r="H339" s="77">
        <f t="shared" si="78"/>
        <v>46024</v>
      </c>
      <c r="I339" s="77"/>
      <c r="J339" s="78"/>
      <c r="K339" s="25"/>
      <c r="L339" s="25"/>
      <c r="M339" s="25"/>
      <c r="N339" s="25"/>
    </row>
    <row r="340" spans="1:14" x14ac:dyDescent="0.25">
      <c r="A340" s="77">
        <v>46009</v>
      </c>
      <c r="B340" s="25" t="s">
        <v>364</v>
      </c>
      <c r="C340" s="77">
        <f t="shared" si="73"/>
        <v>46032</v>
      </c>
      <c r="D340" s="77">
        <f t="shared" si="74"/>
        <v>46016</v>
      </c>
      <c r="E340" s="77">
        <f t="shared" si="75"/>
        <v>46023</v>
      </c>
      <c r="F340" s="77">
        <f t="shared" si="76"/>
        <v>46029</v>
      </c>
      <c r="G340" s="77">
        <f t="shared" si="77"/>
        <v>46017</v>
      </c>
      <c r="H340" s="77">
        <f t="shared" si="78"/>
        <v>46024</v>
      </c>
      <c r="I340" s="77"/>
      <c r="J340" s="78"/>
      <c r="K340" s="25"/>
      <c r="L340" s="25"/>
      <c r="M340" s="25"/>
      <c r="N340" s="25"/>
    </row>
    <row r="341" spans="1:14" x14ac:dyDescent="0.25">
      <c r="A341" s="77">
        <v>46009</v>
      </c>
      <c r="B341" s="25" t="s">
        <v>365</v>
      </c>
      <c r="C341" s="77">
        <f t="shared" si="73"/>
        <v>46032</v>
      </c>
      <c r="D341" s="77">
        <f t="shared" si="74"/>
        <v>46016</v>
      </c>
      <c r="E341" s="77">
        <f t="shared" si="75"/>
        <v>46023</v>
      </c>
      <c r="F341" s="77">
        <f t="shared" si="76"/>
        <v>46029</v>
      </c>
      <c r="G341" s="77">
        <f t="shared" si="77"/>
        <v>46017</v>
      </c>
      <c r="H341" s="77">
        <f t="shared" si="78"/>
        <v>46024</v>
      </c>
      <c r="I341" s="77"/>
      <c r="J341" s="78"/>
      <c r="K341" s="25"/>
      <c r="L341" s="25"/>
      <c r="M341" s="25"/>
      <c r="N341" s="25"/>
    </row>
    <row r="342" spans="1:14" x14ac:dyDescent="0.25">
      <c r="A342" s="77">
        <v>46010</v>
      </c>
      <c r="B342" s="25" t="s">
        <v>379</v>
      </c>
      <c r="C342" s="77">
        <f t="shared" si="73"/>
        <v>46033</v>
      </c>
      <c r="D342" s="77">
        <f t="shared" si="74"/>
        <v>46017</v>
      </c>
      <c r="E342" s="77">
        <f t="shared" si="75"/>
        <v>46024</v>
      </c>
      <c r="F342" s="77">
        <f t="shared" si="76"/>
        <v>46030</v>
      </c>
      <c r="G342" s="77">
        <f t="shared" si="77"/>
        <v>46018</v>
      </c>
      <c r="H342" s="77">
        <f t="shared" si="78"/>
        <v>46025</v>
      </c>
      <c r="I342" s="77"/>
      <c r="J342" s="78"/>
      <c r="K342" s="25"/>
      <c r="L342" s="25"/>
      <c r="M342" s="25"/>
      <c r="N342" s="25"/>
    </row>
    <row r="343" spans="1:14" x14ac:dyDescent="0.25">
      <c r="A343" s="77">
        <v>46010</v>
      </c>
      <c r="B343" s="25" t="s">
        <v>380</v>
      </c>
      <c r="C343" s="77">
        <f t="shared" si="73"/>
        <v>46033</v>
      </c>
      <c r="D343" s="77">
        <f t="shared" si="74"/>
        <v>46017</v>
      </c>
      <c r="E343" s="77">
        <f t="shared" si="75"/>
        <v>46024</v>
      </c>
      <c r="F343" s="77">
        <f t="shared" si="76"/>
        <v>46030</v>
      </c>
      <c r="G343" s="77">
        <f t="shared" si="77"/>
        <v>46018</v>
      </c>
      <c r="H343" s="77">
        <f t="shared" si="78"/>
        <v>46025</v>
      </c>
      <c r="I343" s="77"/>
      <c r="J343" s="78"/>
      <c r="K343" s="25"/>
      <c r="L343" s="25"/>
      <c r="M343" s="25"/>
      <c r="N343" s="25"/>
    </row>
    <row r="344" spans="1:14" x14ac:dyDescent="0.25">
      <c r="A344" s="77">
        <v>46010</v>
      </c>
      <c r="B344" s="25" t="s">
        <v>381</v>
      </c>
      <c r="C344" s="77">
        <f t="shared" si="73"/>
        <v>46033</v>
      </c>
      <c r="D344" s="77">
        <f t="shared" si="74"/>
        <v>46017</v>
      </c>
      <c r="E344" s="77">
        <f t="shared" si="75"/>
        <v>46024</v>
      </c>
      <c r="F344" s="77">
        <f t="shared" si="76"/>
        <v>46030</v>
      </c>
      <c r="G344" s="77">
        <f t="shared" si="77"/>
        <v>46018</v>
      </c>
      <c r="H344" s="77">
        <f t="shared" si="78"/>
        <v>46025</v>
      </c>
      <c r="I344" s="77"/>
      <c r="J344" s="78"/>
      <c r="K344" s="25"/>
      <c r="L344" s="25"/>
      <c r="M344" s="25"/>
      <c r="N344" s="25"/>
    </row>
    <row r="345" spans="1:14" x14ac:dyDescent="0.25">
      <c r="A345" s="77">
        <v>46010</v>
      </c>
      <c r="B345" s="25" t="s">
        <v>382</v>
      </c>
      <c r="C345" s="77">
        <f t="shared" si="73"/>
        <v>46033</v>
      </c>
      <c r="D345" s="77">
        <f t="shared" si="74"/>
        <v>46017</v>
      </c>
      <c r="E345" s="77">
        <f t="shared" si="75"/>
        <v>46024</v>
      </c>
      <c r="F345" s="77">
        <f t="shared" si="76"/>
        <v>46030</v>
      </c>
      <c r="G345" s="77">
        <f t="shared" si="77"/>
        <v>46018</v>
      </c>
      <c r="H345" s="77">
        <f t="shared" si="78"/>
        <v>46025</v>
      </c>
      <c r="I345" s="77"/>
      <c r="J345" s="78"/>
      <c r="K345" s="25"/>
      <c r="L345" s="25"/>
      <c r="M345" s="25"/>
      <c r="N345" s="25"/>
    </row>
    <row r="346" spans="1:14" x14ac:dyDescent="0.25">
      <c r="A346" s="77">
        <v>46010</v>
      </c>
      <c r="B346" s="25" t="s">
        <v>383</v>
      </c>
      <c r="C346" s="77">
        <f t="shared" si="73"/>
        <v>46033</v>
      </c>
      <c r="D346" s="77">
        <f t="shared" si="74"/>
        <v>46017</v>
      </c>
      <c r="E346" s="77">
        <f t="shared" si="75"/>
        <v>46024</v>
      </c>
      <c r="F346" s="77">
        <f t="shared" si="76"/>
        <v>46030</v>
      </c>
      <c r="G346" s="77">
        <f t="shared" si="77"/>
        <v>46018</v>
      </c>
      <c r="H346" s="77">
        <f t="shared" si="78"/>
        <v>46025</v>
      </c>
      <c r="I346" s="77"/>
      <c r="J346" s="78"/>
      <c r="K346" s="25"/>
      <c r="L346" s="25"/>
      <c r="M346" s="25"/>
      <c r="N346" s="25"/>
    </row>
    <row r="347" spans="1:14" x14ac:dyDescent="0.25">
      <c r="A347" s="77">
        <v>46010</v>
      </c>
      <c r="B347" s="25" t="s">
        <v>384</v>
      </c>
      <c r="C347" s="77">
        <f t="shared" si="73"/>
        <v>46033</v>
      </c>
      <c r="D347" s="77">
        <f t="shared" si="74"/>
        <v>46017</v>
      </c>
      <c r="E347" s="77">
        <f t="shared" si="75"/>
        <v>46024</v>
      </c>
      <c r="F347" s="77">
        <f t="shared" si="76"/>
        <v>46030</v>
      </c>
      <c r="G347" s="77">
        <f t="shared" si="77"/>
        <v>46018</v>
      </c>
      <c r="H347" s="77">
        <f t="shared" si="78"/>
        <v>46025</v>
      </c>
      <c r="I347" s="77"/>
      <c r="J347" s="78"/>
      <c r="K347" s="25"/>
      <c r="L347" s="25"/>
      <c r="M347" s="25"/>
      <c r="N347" s="25"/>
    </row>
    <row r="348" spans="1:14" x14ac:dyDescent="0.25">
      <c r="A348" s="77">
        <v>46010</v>
      </c>
      <c r="B348" s="25" t="s">
        <v>385</v>
      </c>
      <c r="C348" s="77">
        <f t="shared" si="73"/>
        <v>46033</v>
      </c>
      <c r="D348" s="77">
        <f t="shared" si="74"/>
        <v>46017</v>
      </c>
      <c r="E348" s="77">
        <f t="shared" si="75"/>
        <v>46024</v>
      </c>
      <c r="F348" s="77">
        <f t="shared" si="76"/>
        <v>46030</v>
      </c>
      <c r="G348" s="77">
        <f t="shared" si="77"/>
        <v>46018</v>
      </c>
      <c r="H348" s="77">
        <f t="shared" si="78"/>
        <v>46025</v>
      </c>
      <c r="I348" s="77"/>
      <c r="J348" s="78"/>
      <c r="K348" s="25"/>
      <c r="L348" s="25"/>
      <c r="M348" s="25"/>
      <c r="N348" s="25"/>
    </row>
    <row r="349" spans="1:14" x14ac:dyDescent="0.25">
      <c r="A349" s="77">
        <v>46011</v>
      </c>
      <c r="B349" s="25" t="s">
        <v>366</v>
      </c>
      <c r="C349" s="77">
        <f t="shared" ref="C349:C362" si="79">A349+23</f>
        <v>46034</v>
      </c>
      <c r="D349" s="77">
        <f t="shared" ref="D349:D362" si="80">A349+7</f>
        <v>46018</v>
      </c>
      <c r="E349" s="77">
        <f t="shared" ref="E349:E362" si="81">A349+14</f>
        <v>46025</v>
      </c>
      <c r="F349" s="77">
        <f t="shared" ref="F349:F362" si="82">A349+20</f>
        <v>46031</v>
      </c>
      <c r="G349" s="77">
        <f t="shared" ref="G349:G362" si="83">A349+8</f>
        <v>46019</v>
      </c>
      <c r="H349" s="77">
        <f t="shared" ref="H349:H362" si="84">A349+15</f>
        <v>46026</v>
      </c>
      <c r="I349" s="77"/>
      <c r="J349" s="78"/>
      <c r="K349" s="25"/>
      <c r="L349" s="25"/>
      <c r="M349" s="25"/>
      <c r="N349" s="25"/>
    </row>
    <row r="350" spans="1:14" x14ac:dyDescent="0.25">
      <c r="A350" s="77">
        <v>46011</v>
      </c>
      <c r="B350" s="25" t="s">
        <v>367</v>
      </c>
      <c r="C350" s="77">
        <f t="shared" si="79"/>
        <v>46034</v>
      </c>
      <c r="D350" s="77">
        <f t="shared" si="80"/>
        <v>46018</v>
      </c>
      <c r="E350" s="77">
        <f t="shared" si="81"/>
        <v>46025</v>
      </c>
      <c r="F350" s="77">
        <f t="shared" si="82"/>
        <v>46031</v>
      </c>
      <c r="G350" s="77">
        <f t="shared" si="83"/>
        <v>46019</v>
      </c>
      <c r="H350" s="77">
        <f t="shared" si="84"/>
        <v>46026</v>
      </c>
      <c r="I350" s="77"/>
      <c r="J350" s="78"/>
      <c r="K350" s="25"/>
      <c r="L350" s="25"/>
      <c r="M350" s="25"/>
      <c r="N350" s="25"/>
    </row>
    <row r="351" spans="1:14" x14ac:dyDescent="0.25">
      <c r="A351" s="77">
        <v>46011</v>
      </c>
      <c r="B351" s="25" t="s">
        <v>368</v>
      </c>
      <c r="C351" s="77">
        <f t="shared" si="79"/>
        <v>46034</v>
      </c>
      <c r="D351" s="77">
        <f t="shared" si="80"/>
        <v>46018</v>
      </c>
      <c r="E351" s="77">
        <f t="shared" si="81"/>
        <v>46025</v>
      </c>
      <c r="F351" s="77">
        <f t="shared" si="82"/>
        <v>46031</v>
      </c>
      <c r="G351" s="77">
        <f t="shared" si="83"/>
        <v>46019</v>
      </c>
      <c r="H351" s="77">
        <f t="shared" si="84"/>
        <v>46026</v>
      </c>
      <c r="I351" s="77"/>
      <c r="J351" s="78"/>
      <c r="K351" s="25"/>
      <c r="L351" s="25"/>
      <c r="M351" s="25"/>
      <c r="N351" s="25"/>
    </row>
    <row r="352" spans="1:14" x14ac:dyDescent="0.25">
      <c r="A352" s="77">
        <v>46011</v>
      </c>
      <c r="B352" s="25" t="s">
        <v>369</v>
      </c>
      <c r="C352" s="77">
        <f t="shared" si="79"/>
        <v>46034</v>
      </c>
      <c r="D352" s="77">
        <f t="shared" si="80"/>
        <v>46018</v>
      </c>
      <c r="E352" s="77">
        <f t="shared" si="81"/>
        <v>46025</v>
      </c>
      <c r="F352" s="77">
        <f t="shared" si="82"/>
        <v>46031</v>
      </c>
      <c r="G352" s="77">
        <f t="shared" si="83"/>
        <v>46019</v>
      </c>
      <c r="H352" s="77">
        <f t="shared" si="84"/>
        <v>46026</v>
      </c>
      <c r="I352" s="77"/>
      <c r="J352" s="78"/>
      <c r="K352" s="25"/>
      <c r="L352" s="25"/>
      <c r="M352" s="25"/>
      <c r="N352" s="25"/>
    </row>
    <row r="353" spans="1:14" x14ac:dyDescent="0.25">
      <c r="A353" s="77">
        <v>46011</v>
      </c>
      <c r="B353" s="25" t="s">
        <v>370</v>
      </c>
      <c r="C353" s="77">
        <f t="shared" si="79"/>
        <v>46034</v>
      </c>
      <c r="D353" s="77">
        <f t="shared" si="80"/>
        <v>46018</v>
      </c>
      <c r="E353" s="77">
        <f t="shared" si="81"/>
        <v>46025</v>
      </c>
      <c r="F353" s="77">
        <f t="shared" si="82"/>
        <v>46031</v>
      </c>
      <c r="G353" s="77">
        <f t="shared" si="83"/>
        <v>46019</v>
      </c>
      <c r="H353" s="77">
        <f t="shared" si="84"/>
        <v>46026</v>
      </c>
      <c r="I353" s="77"/>
      <c r="J353" s="78"/>
      <c r="K353" s="25"/>
      <c r="L353" s="25"/>
      <c r="M353" s="25"/>
      <c r="N353" s="25"/>
    </row>
    <row r="354" spans="1:14" x14ac:dyDescent="0.25">
      <c r="A354" s="77">
        <v>46011</v>
      </c>
      <c r="B354" s="25" t="s">
        <v>371</v>
      </c>
      <c r="C354" s="77">
        <f t="shared" si="79"/>
        <v>46034</v>
      </c>
      <c r="D354" s="77">
        <f t="shared" si="80"/>
        <v>46018</v>
      </c>
      <c r="E354" s="77">
        <f t="shared" si="81"/>
        <v>46025</v>
      </c>
      <c r="F354" s="77">
        <f t="shared" si="82"/>
        <v>46031</v>
      </c>
      <c r="G354" s="77">
        <f t="shared" si="83"/>
        <v>46019</v>
      </c>
      <c r="H354" s="77">
        <f t="shared" si="84"/>
        <v>46026</v>
      </c>
      <c r="I354" s="77"/>
      <c r="J354" s="78"/>
      <c r="K354" s="25"/>
      <c r="L354" s="25"/>
      <c r="M354" s="25"/>
      <c r="N354" s="25"/>
    </row>
    <row r="355" spans="1:14" x14ac:dyDescent="0.25">
      <c r="A355" s="77">
        <v>46011</v>
      </c>
      <c r="B355" s="25" t="s">
        <v>372</v>
      </c>
      <c r="C355" s="77">
        <f t="shared" si="79"/>
        <v>46034</v>
      </c>
      <c r="D355" s="77">
        <f t="shared" si="80"/>
        <v>46018</v>
      </c>
      <c r="E355" s="77">
        <f t="shared" si="81"/>
        <v>46025</v>
      </c>
      <c r="F355" s="77">
        <f t="shared" si="82"/>
        <v>46031</v>
      </c>
      <c r="G355" s="77">
        <f t="shared" si="83"/>
        <v>46019</v>
      </c>
      <c r="H355" s="77">
        <f t="shared" si="84"/>
        <v>46026</v>
      </c>
      <c r="I355" s="77"/>
      <c r="J355" s="78"/>
      <c r="K355" s="25"/>
      <c r="L355" s="25"/>
      <c r="M355" s="25"/>
      <c r="N355" s="25"/>
    </row>
    <row r="356" spans="1:14" x14ac:dyDescent="0.25">
      <c r="A356" s="77">
        <v>46012</v>
      </c>
      <c r="B356" s="25" t="s">
        <v>386</v>
      </c>
      <c r="C356" s="77">
        <f t="shared" si="79"/>
        <v>46035</v>
      </c>
      <c r="D356" s="77">
        <f t="shared" si="80"/>
        <v>46019</v>
      </c>
      <c r="E356" s="77">
        <f t="shared" si="81"/>
        <v>46026</v>
      </c>
      <c r="F356" s="77">
        <f t="shared" si="82"/>
        <v>46032</v>
      </c>
      <c r="G356" s="77">
        <f t="shared" si="83"/>
        <v>46020</v>
      </c>
      <c r="H356" s="77">
        <f t="shared" si="84"/>
        <v>46027</v>
      </c>
      <c r="I356" s="77"/>
      <c r="J356" s="78"/>
      <c r="K356" s="25"/>
      <c r="L356" s="25"/>
      <c r="M356" s="25"/>
      <c r="N356" s="25"/>
    </row>
    <row r="357" spans="1:14" x14ac:dyDescent="0.25">
      <c r="A357" s="77">
        <v>46012</v>
      </c>
      <c r="B357" s="25" t="s">
        <v>387</v>
      </c>
      <c r="C357" s="77">
        <f t="shared" si="79"/>
        <v>46035</v>
      </c>
      <c r="D357" s="77">
        <f t="shared" si="80"/>
        <v>46019</v>
      </c>
      <c r="E357" s="77">
        <f t="shared" si="81"/>
        <v>46026</v>
      </c>
      <c r="F357" s="77">
        <f t="shared" si="82"/>
        <v>46032</v>
      </c>
      <c r="G357" s="77">
        <f t="shared" si="83"/>
        <v>46020</v>
      </c>
      <c r="H357" s="77">
        <f t="shared" si="84"/>
        <v>46027</v>
      </c>
      <c r="I357" s="77"/>
      <c r="J357" s="78"/>
      <c r="K357" s="25"/>
      <c r="L357" s="25"/>
      <c r="M357" s="25"/>
      <c r="N357" s="25"/>
    </row>
    <row r="358" spans="1:14" x14ac:dyDescent="0.25">
      <c r="A358" s="77">
        <v>46012</v>
      </c>
      <c r="B358" s="25" t="s">
        <v>388</v>
      </c>
      <c r="C358" s="77">
        <f t="shared" si="79"/>
        <v>46035</v>
      </c>
      <c r="D358" s="77">
        <f t="shared" si="80"/>
        <v>46019</v>
      </c>
      <c r="E358" s="77">
        <f t="shared" si="81"/>
        <v>46026</v>
      </c>
      <c r="F358" s="77">
        <f t="shared" si="82"/>
        <v>46032</v>
      </c>
      <c r="G358" s="77">
        <f t="shared" si="83"/>
        <v>46020</v>
      </c>
      <c r="H358" s="77">
        <f t="shared" si="84"/>
        <v>46027</v>
      </c>
      <c r="I358" s="77"/>
      <c r="J358" s="78"/>
      <c r="K358" s="25"/>
      <c r="L358" s="25"/>
      <c r="M358" s="25"/>
      <c r="N358" s="25"/>
    </row>
    <row r="359" spans="1:14" x14ac:dyDescent="0.25">
      <c r="A359" s="77">
        <v>46012</v>
      </c>
      <c r="B359" s="25" t="s">
        <v>389</v>
      </c>
      <c r="C359" s="77">
        <f t="shared" si="79"/>
        <v>46035</v>
      </c>
      <c r="D359" s="77">
        <f t="shared" si="80"/>
        <v>46019</v>
      </c>
      <c r="E359" s="77">
        <f t="shared" si="81"/>
        <v>46026</v>
      </c>
      <c r="F359" s="77">
        <f t="shared" si="82"/>
        <v>46032</v>
      </c>
      <c r="G359" s="77">
        <f t="shared" si="83"/>
        <v>46020</v>
      </c>
      <c r="H359" s="77">
        <f t="shared" si="84"/>
        <v>46027</v>
      </c>
      <c r="I359" s="77"/>
      <c r="J359" s="78"/>
      <c r="K359" s="25"/>
      <c r="L359" s="25"/>
      <c r="M359" s="25"/>
      <c r="N359" s="25"/>
    </row>
    <row r="360" spans="1:14" x14ac:dyDescent="0.25">
      <c r="A360" s="77">
        <v>46012</v>
      </c>
      <c r="B360" s="25" t="s">
        <v>390</v>
      </c>
      <c r="C360" s="77">
        <f t="shared" si="79"/>
        <v>46035</v>
      </c>
      <c r="D360" s="77">
        <f t="shared" si="80"/>
        <v>46019</v>
      </c>
      <c r="E360" s="77">
        <f t="shared" si="81"/>
        <v>46026</v>
      </c>
      <c r="F360" s="77">
        <f t="shared" si="82"/>
        <v>46032</v>
      </c>
      <c r="G360" s="77">
        <f t="shared" si="83"/>
        <v>46020</v>
      </c>
      <c r="H360" s="77">
        <f t="shared" si="84"/>
        <v>46027</v>
      </c>
      <c r="I360" s="77"/>
      <c r="J360" s="78"/>
      <c r="K360" s="25"/>
      <c r="L360" s="25"/>
      <c r="M360" s="25"/>
      <c r="N360" s="25"/>
    </row>
    <row r="361" spans="1:14" x14ac:dyDescent="0.25">
      <c r="A361" s="77">
        <v>46012</v>
      </c>
      <c r="B361" s="25" t="s">
        <v>391</v>
      </c>
      <c r="C361" s="77">
        <f t="shared" si="79"/>
        <v>46035</v>
      </c>
      <c r="D361" s="77">
        <f t="shared" si="80"/>
        <v>46019</v>
      </c>
      <c r="E361" s="77">
        <f t="shared" si="81"/>
        <v>46026</v>
      </c>
      <c r="F361" s="77">
        <f t="shared" si="82"/>
        <v>46032</v>
      </c>
      <c r="G361" s="77">
        <f t="shared" si="83"/>
        <v>46020</v>
      </c>
      <c r="H361" s="77">
        <f t="shared" si="84"/>
        <v>46027</v>
      </c>
      <c r="I361" s="77"/>
      <c r="J361" s="78"/>
      <c r="K361" s="25"/>
      <c r="L361" s="25"/>
      <c r="M361" s="25"/>
      <c r="N361" s="25"/>
    </row>
    <row r="362" spans="1:14" x14ac:dyDescent="0.25">
      <c r="A362" s="77">
        <v>46012</v>
      </c>
      <c r="B362" s="25" t="s">
        <v>392</v>
      </c>
      <c r="C362" s="77">
        <f t="shared" si="79"/>
        <v>46035</v>
      </c>
      <c r="D362" s="77">
        <f t="shared" si="80"/>
        <v>46019</v>
      </c>
      <c r="E362" s="77">
        <f t="shared" si="81"/>
        <v>46026</v>
      </c>
      <c r="F362" s="77">
        <f t="shared" si="82"/>
        <v>46032</v>
      </c>
      <c r="G362" s="77">
        <f t="shared" si="83"/>
        <v>46020</v>
      </c>
      <c r="H362" s="77">
        <f t="shared" si="84"/>
        <v>46027</v>
      </c>
      <c r="I362" s="77"/>
      <c r="J362" s="78"/>
      <c r="K362" s="25"/>
      <c r="L362" s="25"/>
      <c r="M362" s="25"/>
      <c r="N362" s="25"/>
    </row>
    <row r="363" spans="1:14" x14ac:dyDescent="0.25">
      <c r="A363" s="77">
        <v>46013</v>
      </c>
      <c r="B363" s="25" t="s">
        <v>393</v>
      </c>
      <c r="C363" s="77">
        <f t="shared" ref="C363:C367" si="85">A363+23</f>
        <v>46036</v>
      </c>
      <c r="D363" s="77">
        <f t="shared" ref="D363:D367" si="86">A363+7</f>
        <v>46020</v>
      </c>
      <c r="E363" s="77">
        <f t="shared" ref="E363:E367" si="87">A363+14</f>
        <v>46027</v>
      </c>
      <c r="F363" s="77">
        <f t="shared" ref="F363:F367" si="88">A363+20</f>
        <v>46033</v>
      </c>
      <c r="G363" s="77">
        <f t="shared" ref="G363:G367" si="89">A363+8</f>
        <v>46021</v>
      </c>
      <c r="H363" s="77">
        <f t="shared" ref="H363:H367" si="90">A363+15</f>
        <v>46028</v>
      </c>
      <c r="I363" s="77"/>
      <c r="J363" s="78"/>
      <c r="K363" s="25"/>
      <c r="L363" s="25"/>
      <c r="M363" s="25"/>
      <c r="N363" s="25"/>
    </row>
    <row r="364" spans="1:14" x14ac:dyDescent="0.25">
      <c r="A364" s="77">
        <v>46013</v>
      </c>
      <c r="B364" s="25" t="s">
        <v>394</v>
      </c>
      <c r="C364" s="77">
        <f t="shared" si="85"/>
        <v>46036</v>
      </c>
      <c r="D364" s="77">
        <f t="shared" si="86"/>
        <v>46020</v>
      </c>
      <c r="E364" s="77">
        <f t="shared" si="87"/>
        <v>46027</v>
      </c>
      <c r="F364" s="77">
        <f t="shared" si="88"/>
        <v>46033</v>
      </c>
      <c r="G364" s="77">
        <f t="shared" si="89"/>
        <v>46021</v>
      </c>
      <c r="H364" s="77">
        <f t="shared" si="90"/>
        <v>46028</v>
      </c>
      <c r="I364" s="77"/>
      <c r="J364" s="78"/>
      <c r="K364" s="25"/>
      <c r="L364" s="25"/>
      <c r="M364" s="25"/>
      <c r="N364" s="25"/>
    </row>
    <row r="365" spans="1:14" x14ac:dyDescent="0.25">
      <c r="A365" s="77">
        <v>46013</v>
      </c>
      <c r="B365" s="25" t="s">
        <v>373</v>
      </c>
      <c r="C365" s="77">
        <f t="shared" si="85"/>
        <v>46036</v>
      </c>
      <c r="D365" s="77">
        <f t="shared" si="86"/>
        <v>46020</v>
      </c>
      <c r="E365" s="77">
        <f t="shared" si="87"/>
        <v>46027</v>
      </c>
      <c r="F365" s="77">
        <f t="shared" si="88"/>
        <v>46033</v>
      </c>
      <c r="G365" s="77">
        <f t="shared" si="89"/>
        <v>46021</v>
      </c>
      <c r="H365" s="77">
        <f t="shared" si="90"/>
        <v>46028</v>
      </c>
      <c r="I365" s="77"/>
      <c r="J365" s="78"/>
      <c r="K365" s="25"/>
      <c r="L365" s="25"/>
      <c r="M365" s="25"/>
      <c r="N365" s="25"/>
    </row>
    <row r="366" spans="1:14" x14ac:dyDescent="0.25">
      <c r="A366" s="77">
        <v>46013</v>
      </c>
      <c r="B366" s="25" t="s">
        <v>374</v>
      </c>
      <c r="C366" s="77">
        <f t="shared" si="85"/>
        <v>46036</v>
      </c>
      <c r="D366" s="77">
        <f t="shared" si="86"/>
        <v>46020</v>
      </c>
      <c r="E366" s="77">
        <f t="shared" si="87"/>
        <v>46027</v>
      </c>
      <c r="F366" s="77">
        <f t="shared" si="88"/>
        <v>46033</v>
      </c>
      <c r="G366" s="77">
        <f t="shared" si="89"/>
        <v>46021</v>
      </c>
      <c r="H366" s="77">
        <f t="shared" si="90"/>
        <v>46028</v>
      </c>
      <c r="I366" s="77"/>
      <c r="J366" s="78"/>
      <c r="K366" s="25"/>
      <c r="L366" s="25"/>
      <c r="M366" s="25"/>
      <c r="N366" s="25"/>
    </row>
    <row r="367" spans="1:14" x14ac:dyDescent="0.25">
      <c r="A367" s="77">
        <v>46013</v>
      </c>
      <c r="B367" s="25" t="s">
        <v>375</v>
      </c>
      <c r="C367" s="77">
        <f t="shared" si="85"/>
        <v>46036</v>
      </c>
      <c r="D367" s="77">
        <f t="shared" si="86"/>
        <v>46020</v>
      </c>
      <c r="E367" s="77">
        <f t="shared" si="87"/>
        <v>46027</v>
      </c>
      <c r="F367" s="77">
        <f t="shared" si="88"/>
        <v>46033</v>
      </c>
      <c r="G367" s="77">
        <f t="shared" si="89"/>
        <v>46021</v>
      </c>
      <c r="H367" s="77">
        <f t="shared" si="90"/>
        <v>46028</v>
      </c>
      <c r="I367" s="77"/>
      <c r="J367" s="78"/>
      <c r="K367" s="25"/>
      <c r="L367" s="25"/>
      <c r="M367" s="25"/>
      <c r="N367" s="25"/>
    </row>
    <row r="368" spans="1:14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/>
      <c r="J368" s="78"/>
      <c r="K368" s="25"/>
      <c r="L368" s="25"/>
      <c r="M368" s="25"/>
      <c r="N368" s="25"/>
    </row>
    <row r="369" spans="1:14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/>
      <c r="J369" s="78"/>
      <c r="K369" s="25"/>
      <c r="L369" s="25"/>
      <c r="M369" s="25"/>
      <c r="N369" s="25"/>
    </row>
    <row r="370" spans="1:14" x14ac:dyDescent="0.25">
      <c r="A370" s="77">
        <v>46014</v>
      </c>
      <c r="B370" s="25" t="s">
        <v>395</v>
      </c>
      <c r="C370" s="77">
        <f t="shared" ref="C370" si="91">A370+23</f>
        <v>46037</v>
      </c>
      <c r="D370" s="77">
        <f t="shared" ref="D370" si="92">A370+7</f>
        <v>46021</v>
      </c>
      <c r="E370" s="77">
        <f t="shared" ref="E370" si="93">A370+14</f>
        <v>46028</v>
      </c>
      <c r="F370" s="77">
        <f t="shared" ref="F370" si="94">A370+20</f>
        <v>46034</v>
      </c>
      <c r="G370" s="77">
        <f t="shared" ref="G370" si="95">A370+8</f>
        <v>46022</v>
      </c>
      <c r="H370" s="77">
        <f t="shared" ref="H370" si="96">A370+15</f>
        <v>46029</v>
      </c>
      <c r="I370" s="77"/>
      <c r="J370" s="78"/>
      <c r="K370" s="25"/>
      <c r="L370" s="25"/>
      <c r="M370" s="25"/>
      <c r="N370" s="25"/>
    </row>
    <row r="371" spans="1:14" x14ac:dyDescent="0.25">
      <c r="A371" s="77">
        <v>46014</v>
      </c>
      <c r="B371" s="25" t="s">
        <v>396</v>
      </c>
      <c r="C371" s="77">
        <f t="shared" ref="C371:C372" si="97">A371+23</f>
        <v>46037</v>
      </c>
      <c r="D371" s="77">
        <f t="shared" ref="D371:D372" si="98">A371+7</f>
        <v>46021</v>
      </c>
      <c r="E371" s="77">
        <f t="shared" ref="E371:E372" si="99">A371+14</f>
        <v>46028</v>
      </c>
      <c r="F371" s="77">
        <f t="shared" ref="F371:F372" si="100">A371+20</f>
        <v>46034</v>
      </c>
      <c r="G371" s="77">
        <f t="shared" ref="G371:G372" si="101">A371+8</f>
        <v>46022</v>
      </c>
      <c r="H371" s="77">
        <f t="shared" ref="H371:H372" si="102">A371+15</f>
        <v>46029</v>
      </c>
      <c r="I371" s="77"/>
      <c r="J371" s="78"/>
      <c r="K371" s="25"/>
      <c r="L371" s="25"/>
      <c r="M371" s="25"/>
      <c r="N371" s="25"/>
    </row>
    <row r="372" spans="1:14" x14ac:dyDescent="0.25">
      <c r="A372" s="77">
        <v>46014</v>
      </c>
      <c r="B372" s="25" t="s">
        <v>397</v>
      </c>
      <c r="C372" s="77">
        <f t="shared" si="97"/>
        <v>46037</v>
      </c>
      <c r="D372" s="77">
        <f t="shared" si="98"/>
        <v>46021</v>
      </c>
      <c r="E372" s="77">
        <f t="shared" si="99"/>
        <v>46028</v>
      </c>
      <c r="F372" s="77">
        <f t="shared" si="100"/>
        <v>46034</v>
      </c>
      <c r="G372" s="77">
        <f t="shared" si="101"/>
        <v>46022</v>
      </c>
      <c r="H372" s="77">
        <f t="shared" si="102"/>
        <v>46029</v>
      </c>
      <c r="I372" s="77"/>
      <c r="J372" s="78"/>
      <c r="K372" s="25"/>
      <c r="L372" s="25"/>
      <c r="M372" s="25"/>
      <c r="N372" s="25"/>
    </row>
    <row r="373" spans="1:14" x14ac:dyDescent="0.25">
      <c r="A373" s="77">
        <v>46014</v>
      </c>
      <c r="B373" s="25" t="s">
        <v>404</v>
      </c>
      <c r="C373" s="77">
        <f t="shared" ref="C373" si="103">A373+23</f>
        <v>46037</v>
      </c>
      <c r="D373" s="77">
        <f t="shared" ref="D373" si="104">A373+7</f>
        <v>46021</v>
      </c>
      <c r="E373" s="77">
        <f t="shared" ref="E373" si="105">A373+14</f>
        <v>46028</v>
      </c>
      <c r="F373" s="77">
        <f t="shared" ref="F373" si="106">A373+20</f>
        <v>46034</v>
      </c>
      <c r="G373" s="77">
        <f t="shared" ref="G373" si="107">A373+8</f>
        <v>46022</v>
      </c>
      <c r="H373" s="77">
        <f t="shared" ref="H373" si="108">A373+15</f>
        <v>46029</v>
      </c>
      <c r="I373" s="77"/>
      <c r="J373" s="78"/>
      <c r="K373" s="25"/>
      <c r="L373" s="25"/>
      <c r="M373" s="25"/>
      <c r="N373" s="25"/>
    </row>
    <row r="374" spans="1:14" x14ac:dyDescent="0.25">
      <c r="A374" s="77">
        <v>46014</v>
      </c>
      <c r="B374" s="25" t="s">
        <v>405</v>
      </c>
      <c r="C374" s="77">
        <f t="shared" ref="C374:C380" si="109">A374+23</f>
        <v>46037</v>
      </c>
      <c r="D374" s="77">
        <f t="shared" ref="D374:D380" si="110">A374+7</f>
        <v>46021</v>
      </c>
      <c r="E374" s="77">
        <f t="shared" ref="E374:E380" si="111">A374+14</f>
        <v>46028</v>
      </c>
      <c r="F374" s="77">
        <f t="shared" ref="F374:F380" si="112">A374+20</f>
        <v>46034</v>
      </c>
      <c r="G374" s="77">
        <f t="shared" ref="G374:G380" si="113">A374+8</f>
        <v>46022</v>
      </c>
      <c r="H374" s="77">
        <f t="shared" ref="H374:H380" si="114">A374+15</f>
        <v>46029</v>
      </c>
      <c r="I374" s="77"/>
      <c r="J374" s="78"/>
      <c r="K374" s="25"/>
      <c r="L374" s="25"/>
      <c r="M374" s="25"/>
      <c r="N374" s="25"/>
    </row>
    <row r="375" spans="1:14" x14ac:dyDescent="0.25">
      <c r="A375" s="77">
        <v>46014</v>
      </c>
      <c r="B375" s="25" t="s">
        <v>406</v>
      </c>
      <c r="C375" s="77">
        <f t="shared" si="109"/>
        <v>46037</v>
      </c>
      <c r="D375" s="77">
        <f t="shared" si="110"/>
        <v>46021</v>
      </c>
      <c r="E375" s="77">
        <f t="shared" si="111"/>
        <v>46028</v>
      </c>
      <c r="F375" s="77">
        <f t="shared" si="112"/>
        <v>46034</v>
      </c>
      <c r="G375" s="77">
        <f t="shared" si="113"/>
        <v>46022</v>
      </c>
      <c r="H375" s="77">
        <f t="shared" si="114"/>
        <v>46029</v>
      </c>
      <c r="I375" s="77"/>
      <c r="J375" s="78"/>
      <c r="K375" s="25"/>
      <c r="L375" s="25"/>
      <c r="M375" s="25"/>
      <c r="N375" s="25"/>
    </row>
    <row r="376" spans="1:14" x14ac:dyDescent="0.25">
      <c r="A376" s="77">
        <v>46014</v>
      </c>
      <c r="B376" s="25" t="s">
        <v>407</v>
      </c>
      <c r="C376" s="77">
        <f t="shared" si="109"/>
        <v>46037</v>
      </c>
      <c r="D376" s="77">
        <f t="shared" si="110"/>
        <v>46021</v>
      </c>
      <c r="E376" s="77">
        <f t="shared" si="111"/>
        <v>46028</v>
      </c>
      <c r="F376" s="77">
        <f t="shared" si="112"/>
        <v>46034</v>
      </c>
      <c r="G376" s="77">
        <f t="shared" si="113"/>
        <v>46022</v>
      </c>
      <c r="H376" s="77">
        <f t="shared" si="114"/>
        <v>46029</v>
      </c>
      <c r="I376" s="77"/>
      <c r="J376" s="78"/>
      <c r="K376" s="25"/>
      <c r="L376" s="25"/>
      <c r="M376" s="25"/>
      <c r="N376" s="25"/>
    </row>
    <row r="377" spans="1:14" x14ac:dyDescent="0.25">
      <c r="A377" s="77">
        <v>46014</v>
      </c>
      <c r="B377" s="25" t="s">
        <v>408</v>
      </c>
      <c r="C377" s="77">
        <f t="shared" si="109"/>
        <v>46037</v>
      </c>
      <c r="D377" s="77">
        <f t="shared" si="110"/>
        <v>46021</v>
      </c>
      <c r="E377" s="77">
        <f t="shared" si="111"/>
        <v>46028</v>
      </c>
      <c r="F377" s="77">
        <f t="shared" si="112"/>
        <v>46034</v>
      </c>
      <c r="G377" s="77">
        <f t="shared" si="113"/>
        <v>46022</v>
      </c>
      <c r="H377" s="77">
        <f t="shared" si="114"/>
        <v>46029</v>
      </c>
      <c r="I377" s="77"/>
      <c r="J377" s="78"/>
      <c r="K377" s="25"/>
      <c r="L377" s="25"/>
      <c r="M377" s="25"/>
      <c r="N377" s="25"/>
    </row>
    <row r="378" spans="1:14" x14ac:dyDescent="0.25">
      <c r="A378" s="77">
        <v>46014</v>
      </c>
      <c r="B378" s="25" t="s">
        <v>409</v>
      </c>
      <c r="C378" s="77">
        <f t="shared" si="109"/>
        <v>46037</v>
      </c>
      <c r="D378" s="77">
        <f t="shared" si="110"/>
        <v>46021</v>
      </c>
      <c r="E378" s="77">
        <f t="shared" si="111"/>
        <v>46028</v>
      </c>
      <c r="F378" s="77">
        <f t="shared" si="112"/>
        <v>46034</v>
      </c>
      <c r="G378" s="77">
        <f t="shared" si="113"/>
        <v>46022</v>
      </c>
      <c r="H378" s="77">
        <f t="shared" si="114"/>
        <v>46029</v>
      </c>
      <c r="I378" s="77"/>
      <c r="J378" s="78"/>
      <c r="K378" s="25"/>
      <c r="L378" s="25"/>
      <c r="M378" s="25"/>
      <c r="N378" s="25"/>
    </row>
    <row r="379" spans="1:14" x14ac:dyDescent="0.25">
      <c r="A379" s="77">
        <v>46014</v>
      </c>
      <c r="B379" s="25" t="s">
        <v>410</v>
      </c>
      <c r="C379" s="77">
        <f t="shared" si="109"/>
        <v>46037</v>
      </c>
      <c r="D379" s="77">
        <f t="shared" si="110"/>
        <v>46021</v>
      </c>
      <c r="E379" s="77">
        <f t="shared" si="111"/>
        <v>46028</v>
      </c>
      <c r="F379" s="77">
        <f t="shared" si="112"/>
        <v>46034</v>
      </c>
      <c r="G379" s="77">
        <f t="shared" si="113"/>
        <v>46022</v>
      </c>
      <c r="H379" s="77">
        <f t="shared" si="114"/>
        <v>46029</v>
      </c>
      <c r="I379" s="77"/>
      <c r="J379" s="78"/>
      <c r="K379" s="25"/>
      <c r="L379" s="25"/>
      <c r="M379" s="25"/>
      <c r="N379" s="25"/>
    </row>
    <row r="380" spans="1:14" x14ac:dyDescent="0.25">
      <c r="A380" s="77">
        <v>46014</v>
      </c>
      <c r="B380" s="25" t="s">
        <v>411</v>
      </c>
      <c r="C380" s="77">
        <f t="shared" si="109"/>
        <v>46037</v>
      </c>
      <c r="D380" s="77">
        <f t="shared" si="110"/>
        <v>46021</v>
      </c>
      <c r="E380" s="77">
        <f t="shared" si="111"/>
        <v>46028</v>
      </c>
      <c r="F380" s="77">
        <f t="shared" si="112"/>
        <v>46034</v>
      </c>
      <c r="G380" s="77">
        <f t="shared" si="113"/>
        <v>46022</v>
      </c>
      <c r="H380" s="77">
        <f t="shared" si="114"/>
        <v>46029</v>
      </c>
      <c r="I380" s="77"/>
      <c r="J380" s="78"/>
      <c r="K380" s="25"/>
      <c r="L380" s="25"/>
      <c r="M380" s="25"/>
      <c r="N380" s="25"/>
    </row>
    <row r="381" spans="1:14" x14ac:dyDescent="0.25">
      <c r="A381" s="77">
        <v>46015</v>
      </c>
      <c r="B381" s="25" t="s">
        <v>435</v>
      </c>
      <c r="C381" s="77">
        <f t="shared" ref="C381:C394" si="115">A381+23</f>
        <v>46038</v>
      </c>
      <c r="D381" s="77">
        <f t="shared" ref="D381:D394" si="116">A381+7</f>
        <v>46022</v>
      </c>
      <c r="E381" s="77">
        <f t="shared" ref="E381:E394" si="117">A381+14</f>
        <v>46029</v>
      </c>
      <c r="F381" s="77">
        <f t="shared" ref="F381:F387" si="118">A381+20</f>
        <v>46035</v>
      </c>
      <c r="G381" s="77">
        <f t="shared" ref="G381:G387" si="119">A381+8</f>
        <v>46023</v>
      </c>
      <c r="H381" s="77">
        <f t="shared" ref="H381:H387" si="120">A381+15</f>
        <v>46030</v>
      </c>
      <c r="I381" s="77"/>
      <c r="J381" s="78"/>
      <c r="K381" s="25"/>
      <c r="L381" s="25"/>
      <c r="M381" s="25"/>
      <c r="N381" s="25"/>
    </row>
    <row r="382" spans="1:14" x14ac:dyDescent="0.25">
      <c r="A382" s="77">
        <v>46015</v>
      </c>
      <c r="B382" s="25" t="s">
        <v>436</v>
      </c>
      <c r="C382" s="77">
        <f t="shared" si="115"/>
        <v>46038</v>
      </c>
      <c r="D382" s="77">
        <f t="shared" si="116"/>
        <v>46022</v>
      </c>
      <c r="E382" s="77">
        <f t="shared" si="117"/>
        <v>46029</v>
      </c>
      <c r="F382" s="77">
        <f t="shared" si="118"/>
        <v>46035</v>
      </c>
      <c r="G382" s="77">
        <f t="shared" si="119"/>
        <v>46023</v>
      </c>
      <c r="H382" s="77">
        <f t="shared" si="120"/>
        <v>46030</v>
      </c>
      <c r="I382" s="77"/>
      <c r="J382" s="78"/>
      <c r="K382" s="25"/>
      <c r="L382" s="25"/>
      <c r="M382" s="25"/>
      <c r="N382" s="25"/>
    </row>
    <row r="383" spans="1:14" x14ac:dyDescent="0.25">
      <c r="A383" s="77">
        <v>46015</v>
      </c>
      <c r="B383" s="25" t="s">
        <v>437</v>
      </c>
      <c r="C383" s="77">
        <f t="shared" si="115"/>
        <v>46038</v>
      </c>
      <c r="D383" s="77">
        <f t="shared" si="116"/>
        <v>46022</v>
      </c>
      <c r="E383" s="77">
        <f t="shared" si="117"/>
        <v>46029</v>
      </c>
      <c r="F383" s="77">
        <f t="shared" si="118"/>
        <v>46035</v>
      </c>
      <c r="G383" s="77">
        <f t="shared" si="119"/>
        <v>46023</v>
      </c>
      <c r="H383" s="77">
        <f t="shared" si="120"/>
        <v>46030</v>
      </c>
      <c r="I383" s="77"/>
      <c r="J383" s="78"/>
      <c r="K383" s="25"/>
      <c r="L383" s="25"/>
      <c r="M383" s="25"/>
      <c r="N383" s="25"/>
    </row>
    <row r="384" spans="1:14" x14ac:dyDescent="0.25">
      <c r="A384" s="77">
        <v>46015</v>
      </c>
      <c r="B384" s="25" t="s">
        <v>438</v>
      </c>
      <c r="C384" s="77">
        <f t="shared" si="115"/>
        <v>46038</v>
      </c>
      <c r="D384" s="77">
        <f t="shared" si="116"/>
        <v>46022</v>
      </c>
      <c r="E384" s="77">
        <f t="shared" si="117"/>
        <v>46029</v>
      </c>
      <c r="F384" s="77">
        <f t="shared" si="118"/>
        <v>46035</v>
      </c>
      <c r="G384" s="77">
        <f t="shared" si="119"/>
        <v>46023</v>
      </c>
      <c r="H384" s="77">
        <f t="shared" si="120"/>
        <v>46030</v>
      </c>
      <c r="I384" s="77"/>
      <c r="J384" s="78"/>
      <c r="K384" s="25"/>
      <c r="L384" s="25"/>
      <c r="M384" s="25"/>
      <c r="N384" s="25"/>
    </row>
    <row r="385" spans="1:14" x14ac:dyDescent="0.25">
      <c r="A385" s="77">
        <v>46015</v>
      </c>
      <c r="B385" s="25" t="s">
        <v>439</v>
      </c>
      <c r="C385" s="77">
        <f t="shared" si="115"/>
        <v>46038</v>
      </c>
      <c r="D385" s="77">
        <f t="shared" si="116"/>
        <v>46022</v>
      </c>
      <c r="E385" s="77">
        <f t="shared" si="117"/>
        <v>46029</v>
      </c>
      <c r="F385" s="77">
        <f t="shared" si="118"/>
        <v>46035</v>
      </c>
      <c r="G385" s="77">
        <f t="shared" si="119"/>
        <v>46023</v>
      </c>
      <c r="H385" s="77">
        <f t="shared" si="120"/>
        <v>46030</v>
      </c>
      <c r="I385" s="77"/>
      <c r="J385" s="78"/>
      <c r="K385" s="25"/>
      <c r="L385" s="25"/>
      <c r="M385" s="25"/>
      <c r="N385" s="25"/>
    </row>
    <row r="386" spans="1:14" x14ac:dyDescent="0.25">
      <c r="A386" s="77">
        <v>46015</v>
      </c>
      <c r="B386" s="25" t="s">
        <v>440</v>
      </c>
      <c r="C386" s="77">
        <f t="shared" si="115"/>
        <v>46038</v>
      </c>
      <c r="D386" s="77">
        <f t="shared" si="116"/>
        <v>46022</v>
      </c>
      <c r="E386" s="77">
        <f t="shared" si="117"/>
        <v>46029</v>
      </c>
      <c r="F386" s="77">
        <f t="shared" si="118"/>
        <v>46035</v>
      </c>
      <c r="G386" s="77">
        <f t="shared" si="119"/>
        <v>46023</v>
      </c>
      <c r="H386" s="77">
        <f t="shared" si="120"/>
        <v>46030</v>
      </c>
      <c r="I386" s="77"/>
      <c r="J386" s="78"/>
      <c r="K386" s="25"/>
      <c r="L386" s="25"/>
      <c r="M386" s="25"/>
      <c r="N386" s="25"/>
    </row>
    <row r="387" spans="1:14" x14ac:dyDescent="0.25">
      <c r="A387" s="77">
        <v>46015</v>
      </c>
      <c r="B387" s="25" t="s">
        <v>441</v>
      </c>
      <c r="C387" s="77">
        <f t="shared" si="115"/>
        <v>46038</v>
      </c>
      <c r="D387" s="77">
        <f t="shared" si="116"/>
        <v>46022</v>
      </c>
      <c r="E387" s="77">
        <f t="shared" si="117"/>
        <v>46029</v>
      </c>
      <c r="F387" s="77">
        <f t="shared" si="118"/>
        <v>46035</v>
      </c>
      <c r="G387" s="77">
        <f t="shared" si="119"/>
        <v>46023</v>
      </c>
      <c r="H387" s="77">
        <f t="shared" si="120"/>
        <v>46030</v>
      </c>
      <c r="I387" s="77"/>
      <c r="J387" s="78"/>
      <c r="K387" s="25"/>
      <c r="L387" s="25"/>
      <c r="M387" s="25"/>
      <c r="N387" s="25"/>
    </row>
    <row r="388" spans="1:14" x14ac:dyDescent="0.25">
      <c r="A388" s="77">
        <v>46016</v>
      </c>
      <c r="B388" s="25" t="s">
        <v>428</v>
      </c>
      <c r="C388" s="77">
        <f t="shared" si="115"/>
        <v>46039</v>
      </c>
      <c r="D388" s="77">
        <f t="shared" si="116"/>
        <v>46023</v>
      </c>
      <c r="E388" s="77">
        <f t="shared" si="117"/>
        <v>46030</v>
      </c>
      <c r="F388" s="77">
        <f t="shared" ref="F388:F394" si="121">A388+20</f>
        <v>46036</v>
      </c>
      <c r="G388" s="77">
        <f t="shared" ref="G388:G394" si="122">A388+8</f>
        <v>46024</v>
      </c>
      <c r="H388" s="77">
        <f t="shared" ref="H388:H394" si="123">A388+15</f>
        <v>46031</v>
      </c>
      <c r="I388" s="77"/>
      <c r="J388" s="78"/>
      <c r="K388" s="25"/>
      <c r="L388" s="25"/>
      <c r="M388" s="25"/>
      <c r="N388" s="25"/>
    </row>
    <row r="389" spans="1:14" x14ac:dyDescent="0.25">
      <c r="A389" s="77">
        <v>46016</v>
      </c>
      <c r="B389" s="25" t="s">
        <v>429</v>
      </c>
      <c r="C389" s="77">
        <f t="shared" si="115"/>
        <v>46039</v>
      </c>
      <c r="D389" s="77">
        <f t="shared" si="116"/>
        <v>46023</v>
      </c>
      <c r="E389" s="77">
        <f t="shared" si="117"/>
        <v>46030</v>
      </c>
      <c r="F389" s="77">
        <f t="shared" si="121"/>
        <v>46036</v>
      </c>
      <c r="G389" s="77">
        <f t="shared" si="122"/>
        <v>46024</v>
      </c>
      <c r="H389" s="77">
        <f t="shared" si="123"/>
        <v>46031</v>
      </c>
      <c r="I389" s="77"/>
      <c r="J389" s="78"/>
      <c r="K389" s="25"/>
      <c r="L389" s="25"/>
      <c r="M389" s="25"/>
      <c r="N389" s="25"/>
    </row>
    <row r="390" spans="1:14" x14ac:dyDescent="0.25">
      <c r="A390" s="77">
        <v>46016</v>
      </c>
      <c r="B390" s="25" t="s">
        <v>430</v>
      </c>
      <c r="C390" s="77">
        <f t="shared" si="115"/>
        <v>46039</v>
      </c>
      <c r="D390" s="77">
        <f t="shared" si="116"/>
        <v>46023</v>
      </c>
      <c r="E390" s="77">
        <f t="shared" si="117"/>
        <v>46030</v>
      </c>
      <c r="F390" s="77">
        <f t="shared" si="121"/>
        <v>46036</v>
      </c>
      <c r="G390" s="77">
        <f t="shared" si="122"/>
        <v>46024</v>
      </c>
      <c r="H390" s="77">
        <f t="shared" si="123"/>
        <v>46031</v>
      </c>
      <c r="I390" s="77"/>
      <c r="J390" s="78"/>
      <c r="K390" s="25"/>
      <c r="L390" s="25"/>
      <c r="M390" s="25"/>
      <c r="N390" s="25"/>
    </row>
    <row r="391" spans="1:14" x14ac:dyDescent="0.25">
      <c r="A391" s="77">
        <v>46016</v>
      </c>
      <c r="B391" s="25" t="s">
        <v>431</v>
      </c>
      <c r="C391" s="77">
        <f t="shared" si="115"/>
        <v>46039</v>
      </c>
      <c r="D391" s="77">
        <f t="shared" si="116"/>
        <v>46023</v>
      </c>
      <c r="E391" s="77">
        <f t="shared" si="117"/>
        <v>46030</v>
      </c>
      <c r="F391" s="77">
        <f t="shared" si="121"/>
        <v>46036</v>
      </c>
      <c r="G391" s="77">
        <f t="shared" si="122"/>
        <v>46024</v>
      </c>
      <c r="H391" s="77">
        <f t="shared" si="123"/>
        <v>46031</v>
      </c>
      <c r="I391" s="77"/>
      <c r="J391" s="78"/>
      <c r="K391" s="25"/>
      <c r="L391" s="25"/>
      <c r="M391" s="25"/>
      <c r="N391" s="25"/>
    </row>
    <row r="392" spans="1:14" x14ac:dyDescent="0.25">
      <c r="A392" s="77">
        <v>46016</v>
      </c>
      <c r="B392" s="25" t="s">
        <v>432</v>
      </c>
      <c r="C392" s="77">
        <f t="shared" si="115"/>
        <v>46039</v>
      </c>
      <c r="D392" s="77">
        <f t="shared" si="116"/>
        <v>46023</v>
      </c>
      <c r="E392" s="77">
        <f t="shared" si="117"/>
        <v>46030</v>
      </c>
      <c r="F392" s="77">
        <f t="shared" si="121"/>
        <v>46036</v>
      </c>
      <c r="G392" s="77">
        <f t="shared" si="122"/>
        <v>46024</v>
      </c>
      <c r="H392" s="77">
        <f t="shared" si="123"/>
        <v>46031</v>
      </c>
      <c r="I392" s="77"/>
      <c r="J392" s="78"/>
      <c r="K392" s="25"/>
      <c r="L392" s="25"/>
      <c r="M392" s="25"/>
      <c r="N392" s="25"/>
    </row>
    <row r="393" spans="1:14" x14ac:dyDescent="0.25">
      <c r="A393" s="77">
        <v>46016</v>
      </c>
      <c r="B393" s="25" t="s">
        <v>433</v>
      </c>
      <c r="C393" s="77">
        <f t="shared" si="115"/>
        <v>46039</v>
      </c>
      <c r="D393" s="77">
        <f t="shared" si="116"/>
        <v>46023</v>
      </c>
      <c r="E393" s="77">
        <f t="shared" si="117"/>
        <v>46030</v>
      </c>
      <c r="F393" s="77">
        <f t="shared" si="121"/>
        <v>46036</v>
      </c>
      <c r="G393" s="77">
        <f t="shared" si="122"/>
        <v>46024</v>
      </c>
      <c r="H393" s="77">
        <f t="shared" si="123"/>
        <v>46031</v>
      </c>
      <c r="I393" s="77"/>
      <c r="J393" s="78"/>
      <c r="K393" s="25"/>
      <c r="L393" s="25"/>
      <c r="M393" s="25"/>
      <c r="N393" s="25"/>
    </row>
    <row r="394" spans="1:14" x14ac:dyDescent="0.25">
      <c r="A394" s="77">
        <v>46016</v>
      </c>
      <c r="B394" s="25" t="s">
        <v>434</v>
      </c>
      <c r="C394" s="77">
        <f t="shared" si="115"/>
        <v>46039</v>
      </c>
      <c r="D394" s="77">
        <f t="shared" si="116"/>
        <v>46023</v>
      </c>
      <c r="E394" s="77">
        <f t="shared" si="117"/>
        <v>46030</v>
      </c>
      <c r="F394" s="77">
        <f t="shared" si="121"/>
        <v>46036</v>
      </c>
      <c r="G394" s="77">
        <f t="shared" si="122"/>
        <v>46024</v>
      </c>
      <c r="H394" s="77">
        <f t="shared" si="123"/>
        <v>46031</v>
      </c>
      <c r="I394" s="77"/>
      <c r="J394" s="78"/>
      <c r="K394" s="25"/>
      <c r="L394" s="25"/>
      <c r="M394" s="25"/>
      <c r="N394" s="25"/>
    </row>
    <row r="395" spans="1:14" x14ac:dyDescent="0.25">
      <c r="A395" s="77">
        <v>46017</v>
      </c>
      <c r="B395" s="25" t="s">
        <v>559</v>
      </c>
      <c r="C395" s="77">
        <f t="shared" ref="C395:C401" si="124">A395+23</f>
        <v>46040</v>
      </c>
      <c r="D395" s="77">
        <f t="shared" ref="D395:D401" si="125">A395+7</f>
        <v>46024</v>
      </c>
      <c r="E395" s="77">
        <f t="shared" ref="E395:E401" si="126">A395+14</f>
        <v>46031</v>
      </c>
      <c r="F395" s="77">
        <f t="shared" ref="F395:F401" si="127">A395+20</f>
        <v>46037</v>
      </c>
      <c r="G395" s="77">
        <f t="shared" ref="G395:G401" si="128">A395+8</f>
        <v>46025</v>
      </c>
      <c r="H395" s="77">
        <f t="shared" ref="H395:H401" si="129">A395+15</f>
        <v>46032</v>
      </c>
      <c r="I395" s="77"/>
      <c r="J395" s="78"/>
      <c r="K395" s="25"/>
      <c r="L395" s="25"/>
      <c r="M395" s="25"/>
      <c r="N395" s="25"/>
    </row>
    <row r="396" spans="1:14" x14ac:dyDescent="0.25">
      <c r="A396" s="77">
        <v>46017</v>
      </c>
      <c r="B396" s="25" t="s">
        <v>560</v>
      </c>
      <c r="C396" s="77">
        <f t="shared" si="124"/>
        <v>46040</v>
      </c>
      <c r="D396" s="77">
        <f t="shared" si="125"/>
        <v>46024</v>
      </c>
      <c r="E396" s="77">
        <f t="shared" si="126"/>
        <v>46031</v>
      </c>
      <c r="F396" s="77">
        <f t="shared" si="127"/>
        <v>46037</v>
      </c>
      <c r="G396" s="77">
        <f t="shared" si="128"/>
        <v>46025</v>
      </c>
      <c r="H396" s="77">
        <f t="shared" si="129"/>
        <v>46032</v>
      </c>
      <c r="I396" s="77"/>
      <c r="J396" s="78"/>
      <c r="K396" s="25"/>
      <c r="L396" s="25"/>
      <c r="M396" s="25"/>
      <c r="N396" s="25"/>
    </row>
    <row r="397" spans="1:14" x14ac:dyDescent="0.25">
      <c r="A397" s="77">
        <v>46017</v>
      </c>
      <c r="B397" s="25" t="s">
        <v>561</v>
      </c>
      <c r="C397" s="77">
        <f t="shared" si="124"/>
        <v>46040</v>
      </c>
      <c r="D397" s="77">
        <f t="shared" si="125"/>
        <v>46024</v>
      </c>
      <c r="E397" s="77">
        <f t="shared" si="126"/>
        <v>46031</v>
      </c>
      <c r="F397" s="77">
        <f t="shared" si="127"/>
        <v>46037</v>
      </c>
      <c r="G397" s="77">
        <f t="shared" si="128"/>
        <v>46025</v>
      </c>
      <c r="H397" s="77">
        <f t="shared" si="129"/>
        <v>46032</v>
      </c>
      <c r="I397" s="77"/>
      <c r="J397" s="78"/>
      <c r="K397" s="25"/>
      <c r="L397" s="25"/>
      <c r="M397" s="25"/>
      <c r="N397" s="25"/>
    </row>
    <row r="398" spans="1:14" x14ac:dyDescent="0.25">
      <c r="A398" s="77">
        <v>46017</v>
      </c>
      <c r="B398" s="25" t="s">
        <v>562</v>
      </c>
      <c r="C398" s="77">
        <f t="shared" si="124"/>
        <v>46040</v>
      </c>
      <c r="D398" s="77">
        <f t="shared" si="125"/>
        <v>46024</v>
      </c>
      <c r="E398" s="77">
        <f t="shared" si="126"/>
        <v>46031</v>
      </c>
      <c r="F398" s="77">
        <f t="shared" si="127"/>
        <v>46037</v>
      </c>
      <c r="G398" s="77">
        <f t="shared" si="128"/>
        <v>46025</v>
      </c>
      <c r="H398" s="77">
        <f t="shared" si="129"/>
        <v>46032</v>
      </c>
      <c r="I398" s="77"/>
      <c r="J398" s="78"/>
      <c r="K398" s="25"/>
      <c r="L398" s="25"/>
      <c r="M398" s="25"/>
      <c r="N398" s="25"/>
    </row>
    <row r="399" spans="1:14" x14ac:dyDescent="0.25">
      <c r="A399" s="77">
        <v>46017</v>
      </c>
      <c r="B399" s="25" t="s">
        <v>563</v>
      </c>
      <c r="C399" s="77">
        <f t="shared" si="124"/>
        <v>46040</v>
      </c>
      <c r="D399" s="77">
        <f t="shared" si="125"/>
        <v>46024</v>
      </c>
      <c r="E399" s="77">
        <f t="shared" si="126"/>
        <v>46031</v>
      </c>
      <c r="F399" s="77">
        <f t="shared" si="127"/>
        <v>46037</v>
      </c>
      <c r="G399" s="77">
        <f t="shared" si="128"/>
        <v>46025</v>
      </c>
      <c r="H399" s="77">
        <f t="shared" si="129"/>
        <v>46032</v>
      </c>
      <c r="I399" s="77"/>
      <c r="J399" s="78"/>
      <c r="K399" s="25"/>
      <c r="L399" s="25"/>
      <c r="M399" s="25"/>
      <c r="N399" s="25"/>
    </row>
    <row r="400" spans="1:14" x14ac:dyDescent="0.25">
      <c r="A400" s="77">
        <v>46017</v>
      </c>
      <c r="B400" s="25" t="s">
        <v>564</v>
      </c>
      <c r="C400" s="77">
        <f t="shared" si="124"/>
        <v>46040</v>
      </c>
      <c r="D400" s="77">
        <f t="shared" si="125"/>
        <v>46024</v>
      </c>
      <c r="E400" s="77">
        <f t="shared" si="126"/>
        <v>46031</v>
      </c>
      <c r="F400" s="77">
        <f t="shared" si="127"/>
        <v>46037</v>
      </c>
      <c r="G400" s="77">
        <f t="shared" si="128"/>
        <v>46025</v>
      </c>
      <c r="H400" s="77">
        <f t="shared" si="129"/>
        <v>46032</v>
      </c>
      <c r="I400" s="77"/>
      <c r="J400" s="78"/>
      <c r="K400" s="25"/>
      <c r="L400" s="25"/>
      <c r="M400" s="25"/>
      <c r="N400" s="25"/>
    </row>
    <row r="401" spans="1:14" x14ac:dyDescent="0.25">
      <c r="A401" s="77">
        <v>46017</v>
      </c>
      <c r="B401" s="25" t="s">
        <v>565</v>
      </c>
      <c r="C401" s="77">
        <f t="shared" si="124"/>
        <v>46040</v>
      </c>
      <c r="D401" s="77">
        <f t="shared" si="125"/>
        <v>46024</v>
      </c>
      <c r="E401" s="77">
        <f t="shared" si="126"/>
        <v>46031</v>
      </c>
      <c r="F401" s="77">
        <f t="shared" si="127"/>
        <v>46037</v>
      </c>
      <c r="G401" s="77">
        <f t="shared" si="128"/>
        <v>46025</v>
      </c>
      <c r="H401" s="77">
        <f t="shared" si="129"/>
        <v>46032</v>
      </c>
      <c r="I401" s="77"/>
      <c r="J401" s="78"/>
      <c r="K401" s="25"/>
      <c r="L401" s="25"/>
      <c r="M401" s="25"/>
      <c r="N401" s="25"/>
    </row>
    <row r="402" spans="1:14" x14ac:dyDescent="0.25">
      <c r="A402" s="77">
        <v>46018</v>
      </c>
      <c r="B402" s="25" t="s">
        <v>566</v>
      </c>
      <c r="C402" s="77">
        <f t="shared" ref="C402:C408" si="130">A402+23</f>
        <v>46041</v>
      </c>
      <c r="D402" s="77">
        <f t="shared" ref="D402:D408" si="131">A402+7</f>
        <v>46025</v>
      </c>
      <c r="E402" s="77">
        <f t="shared" ref="E402:E408" si="132">A402+14</f>
        <v>46032</v>
      </c>
      <c r="F402" s="77">
        <f t="shared" ref="F402:F408" si="133">A402+20</f>
        <v>46038</v>
      </c>
      <c r="G402" s="77">
        <f t="shared" ref="G402:G408" si="134">A402+8</f>
        <v>46026</v>
      </c>
      <c r="H402" s="77">
        <f t="shared" ref="H402:H408" si="135">A402+15</f>
        <v>46033</v>
      </c>
      <c r="I402" s="77"/>
      <c r="J402" s="78"/>
      <c r="K402" s="25"/>
      <c r="L402" s="25"/>
      <c r="M402" s="25"/>
      <c r="N402" s="25"/>
    </row>
    <row r="403" spans="1:14" x14ac:dyDescent="0.25">
      <c r="A403" s="77">
        <v>46018</v>
      </c>
      <c r="B403" s="25" t="s">
        <v>567</v>
      </c>
      <c r="C403" s="77">
        <f t="shared" si="130"/>
        <v>46041</v>
      </c>
      <c r="D403" s="77">
        <f t="shared" si="131"/>
        <v>46025</v>
      </c>
      <c r="E403" s="77">
        <f t="shared" si="132"/>
        <v>46032</v>
      </c>
      <c r="F403" s="77">
        <f t="shared" si="133"/>
        <v>46038</v>
      </c>
      <c r="G403" s="77">
        <f t="shared" si="134"/>
        <v>46026</v>
      </c>
      <c r="H403" s="77">
        <f t="shared" si="135"/>
        <v>46033</v>
      </c>
      <c r="I403" s="77"/>
      <c r="J403" s="78"/>
      <c r="K403" s="25"/>
      <c r="L403" s="25"/>
      <c r="M403" s="25"/>
      <c r="N403" s="25"/>
    </row>
    <row r="404" spans="1:14" x14ac:dyDescent="0.25">
      <c r="A404" s="77">
        <v>46018</v>
      </c>
      <c r="B404" s="25" t="s">
        <v>568</v>
      </c>
      <c r="C404" s="77">
        <f t="shared" si="130"/>
        <v>46041</v>
      </c>
      <c r="D404" s="77">
        <f t="shared" si="131"/>
        <v>46025</v>
      </c>
      <c r="E404" s="77">
        <f t="shared" si="132"/>
        <v>46032</v>
      </c>
      <c r="F404" s="77">
        <f t="shared" si="133"/>
        <v>46038</v>
      </c>
      <c r="G404" s="77">
        <f t="shared" si="134"/>
        <v>46026</v>
      </c>
      <c r="H404" s="77">
        <f t="shared" si="135"/>
        <v>46033</v>
      </c>
      <c r="I404" s="77"/>
      <c r="J404" s="78"/>
      <c r="K404" s="25"/>
      <c r="L404" s="25"/>
      <c r="M404" s="25"/>
      <c r="N404" s="25"/>
    </row>
    <row r="405" spans="1:14" x14ac:dyDescent="0.25">
      <c r="A405" s="77">
        <v>46018</v>
      </c>
      <c r="B405" s="25" t="s">
        <v>569</v>
      </c>
      <c r="C405" s="77">
        <f t="shared" si="130"/>
        <v>46041</v>
      </c>
      <c r="D405" s="77">
        <f t="shared" si="131"/>
        <v>46025</v>
      </c>
      <c r="E405" s="77">
        <f t="shared" si="132"/>
        <v>46032</v>
      </c>
      <c r="F405" s="77">
        <f t="shared" si="133"/>
        <v>46038</v>
      </c>
      <c r="G405" s="77">
        <f t="shared" si="134"/>
        <v>46026</v>
      </c>
      <c r="H405" s="77">
        <f t="shared" si="135"/>
        <v>46033</v>
      </c>
      <c r="I405" s="77"/>
      <c r="J405" s="78"/>
      <c r="K405" s="25"/>
      <c r="L405" s="25"/>
      <c r="M405" s="25"/>
      <c r="N405" s="25"/>
    </row>
    <row r="406" spans="1:14" x14ac:dyDescent="0.25">
      <c r="A406" s="77">
        <v>46018</v>
      </c>
      <c r="B406" s="25" t="s">
        <v>570</v>
      </c>
      <c r="C406" s="77">
        <f t="shared" si="130"/>
        <v>46041</v>
      </c>
      <c r="D406" s="77">
        <f t="shared" si="131"/>
        <v>46025</v>
      </c>
      <c r="E406" s="77">
        <f t="shared" si="132"/>
        <v>46032</v>
      </c>
      <c r="F406" s="77">
        <f t="shared" si="133"/>
        <v>46038</v>
      </c>
      <c r="G406" s="77">
        <f t="shared" si="134"/>
        <v>46026</v>
      </c>
      <c r="H406" s="77">
        <f t="shared" si="135"/>
        <v>46033</v>
      </c>
      <c r="I406" s="77"/>
      <c r="J406" s="78"/>
      <c r="K406" s="25"/>
      <c r="L406" s="25"/>
      <c r="M406" s="25"/>
      <c r="N406" s="25"/>
    </row>
    <row r="407" spans="1:14" x14ac:dyDescent="0.25">
      <c r="A407" s="77">
        <v>46018</v>
      </c>
      <c r="B407" s="25" t="s">
        <v>571</v>
      </c>
      <c r="C407" s="77">
        <f t="shared" si="130"/>
        <v>46041</v>
      </c>
      <c r="D407" s="77">
        <f t="shared" si="131"/>
        <v>46025</v>
      </c>
      <c r="E407" s="77">
        <f t="shared" si="132"/>
        <v>46032</v>
      </c>
      <c r="F407" s="77">
        <f t="shared" si="133"/>
        <v>46038</v>
      </c>
      <c r="G407" s="77">
        <f t="shared" si="134"/>
        <v>46026</v>
      </c>
      <c r="H407" s="77">
        <f t="shared" si="135"/>
        <v>46033</v>
      </c>
      <c r="I407" s="77"/>
      <c r="J407" s="78"/>
      <c r="K407" s="25"/>
      <c r="L407" s="25"/>
      <c r="M407" s="25"/>
      <c r="N407" s="25"/>
    </row>
    <row r="408" spans="1:14" x14ac:dyDescent="0.25">
      <c r="A408" s="77">
        <v>46018</v>
      </c>
      <c r="B408" s="25" t="s">
        <v>572</v>
      </c>
      <c r="C408" s="77">
        <f t="shared" si="130"/>
        <v>46041</v>
      </c>
      <c r="D408" s="77">
        <f t="shared" si="131"/>
        <v>46025</v>
      </c>
      <c r="E408" s="77">
        <f t="shared" si="132"/>
        <v>46032</v>
      </c>
      <c r="F408" s="77">
        <f t="shared" si="133"/>
        <v>46038</v>
      </c>
      <c r="G408" s="77">
        <f t="shared" si="134"/>
        <v>46026</v>
      </c>
      <c r="H408" s="77">
        <f t="shared" si="135"/>
        <v>46033</v>
      </c>
      <c r="I408" s="77"/>
      <c r="J408" s="78"/>
      <c r="K408" s="25"/>
      <c r="L408" s="25"/>
      <c r="M408" s="25"/>
      <c r="N408" s="25"/>
    </row>
    <row r="409" spans="1:14" x14ac:dyDescent="0.25">
      <c r="A409" s="77">
        <v>46019</v>
      </c>
      <c r="B409" s="25" t="s">
        <v>573</v>
      </c>
      <c r="C409" s="77">
        <f t="shared" ref="C409:C415" si="136">A409+23</f>
        <v>46042</v>
      </c>
      <c r="D409" s="77">
        <f t="shared" ref="D409:D415" si="137">A409+7</f>
        <v>46026</v>
      </c>
      <c r="E409" s="77">
        <f t="shared" ref="E409:E415" si="138">A409+14</f>
        <v>46033</v>
      </c>
      <c r="F409" s="77">
        <f t="shared" ref="F409:F415" si="139">A409+20</f>
        <v>46039</v>
      </c>
      <c r="G409" s="77">
        <f t="shared" ref="G409:G415" si="140">A409+8</f>
        <v>46027</v>
      </c>
      <c r="H409" s="77">
        <f t="shared" ref="H409:H415" si="141">A409+15</f>
        <v>46034</v>
      </c>
      <c r="I409" s="77"/>
      <c r="J409" s="78"/>
      <c r="K409" s="25"/>
      <c r="L409" s="25"/>
      <c r="M409" s="25"/>
      <c r="N409" s="25"/>
    </row>
    <row r="410" spans="1:14" x14ac:dyDescent="0.25">
      <c r="A410" s="77">
        <v>46019</v>
      </c>
      <c r="B410" s="25" t="s">
        <v>574</v>
      </c>
      <c r="C410" s="77">
        <f t="shared" si="136"/>
        <v>46042</v>
      </c>
      <c r="D410" s="77">
        <f t="shared" si="137"/>
        <v>46026</v>
      </c>
      <c r="E410" s="77">
        <f t="shared" si="138"/>
        <v>46033</v>
      </c>
      <c r="F410" s="77">
        <f t="shared" si="139"/>
        <v>46039</v>
      </c>
      <c r="G410" s="77">
        <f t="shared" si="140"/>
        <v>46027</v>
      </c>
      <c r="H410" s="77">
        <f t="shared" si="141"/>
        <v>46034</v>
      </c>
      <c r="I410" s="77"/>
      <c r="J410" s="78"/>
      <c r="K410" s="25"/>
      <c r="L410" s="25"/>
      <c r="M410" s="25"/>
      <c r="N410" s="25"/>
    </row>
    <row r="411" spans="1:14" x14ac:dyDescent="0.25">
      <c r="A411" s="77">
        <v>46019</v>
      </c>
      <c r="B411" s="25" t="s">
        <v>575</v>
      </c>
      <c r="C411" s="77">
        <f t="shared" si="136"/>
        <v>46042</v>
      </c>
      <c r="D411" s="77">
        <f t="shared" si="137"/>
        <v>46026</v>
      </c>
      <c r="E411" s="77">
        <f t="shared" si="138"/>
        <v>46033</v>
      </c>
      <c r="F411" s="77">
        <f t="shared" si="139"/>
        <v>46039</v>
      </c>
      <c r="G411" s="77">
        <f t="shared" si="140"/>
        <v>46027</v>
      </c>
      <c r="H411" s="77">
        <f t="shared" si="141"/>
        <v>46034</v>
      </c>
      <c r="I411" s="77"/>
      <c r="J411" s="78"/>
      <c r="K411" s="25"/>
      <c r="L411" s="25"/>
      <c r="M411" s="25"/>
      <c r="N411" s="25"/>
    </row>
    <row r="412" spans="1:14" x14ac:dyDescent="0.25">
      <c r="A412" s="77">
        <v>46019</v>
      </c>
      <c r="B412" s="25" t="s">
        <v>576</v>
      </c>
      <c r="C412" s="77">
        <f t="shared" si="136"/>
        <v>46042</v>
      </c>
      <c r="D412" s="77">
        <f t="shared" si="137"/>
        <v>46026</v>
      </c>
      <c r="E412" s="77">
        <f t="shared" si="138"/>
        <v>46033</v>
      </c>
      <c r="F412" s="77">
        <f t="shared" si="139"/>
        <v>46039</v>
      </c>
      <c r="G412" s="77">
        <f t="shared" si="140"/>
        <v>46027</v>
      </c>
      <c r="H412" s="77">
        <f t="shared" si="141"/>
        <v>46034</v>
      </c>
      <c r="I412" s="77"/>
      <c r="J412" s="78"/>
      <c r="K412" s="25"/>
      <c r="L412" s="25"/>
      <c r="M412" s="25"/>
      <c r="N412" s="25"/>
    </row>
    <row r="413" spans="1:14" x14ac:dyDescent="0.25">
      <c r="A413" s="77">
        <v>46019</v>
      </c>
      <c r="B413" s="25" t="s">
        <v>577</v>
      </c>
      <c r="C413" s="77">
        <f t="shared" si="136"/>
        <v>46042</v>
      </c>
      <c r="D413" s="77">
        <f t="shared" si="137"/>
        <v>46026</v>
      </c>
      <c r="E413" s="77">
        <f t="shared" si="138"/>
        <v>46033</v>
      </c>
      <c r="F413" s="77">
        <f t="shared" si="139"/>
        <v>46039</v>
      </c>
      <c r="G413" s="77">
        <f t="shared" si="140"/>
        <v>46027</v>
      </c>
      <c r="H413" s="77">
        <f t="shared" si="141"/>
        <v>46034</v>
      </c>
      <c r="I413" s="77"/>
      <c r="J413" s="78"/>
      <c r="K413" s="25"/>
      <c r="L413" s="25"/>
      <c r="M413" s="25"/>
      <c r="N413" s="25"/>
    </row>
    <row r="414" spans="1:14" x14ac:dyDescent="0.25">
      <c r="A414" s="77">
        <v>46019</v>
      </c>
      <c r="B414" s="25" t="s">
        <v>578</v>
      </c>
      <c r="C414" s="77">
        <f t="shared" si="136"/>
        <v>46042</v>
      </c>
      <c r="D414" s="77">
        <f t="shared" si="137"/>
        <v>46026</v>
      </c>
      <c r="E414" s="77">
        <f t="shared" si="138"/>
        <v>46033</v>
      </c>
      <c r="F414" s="77">
        <f t="shared" si="139"/>
        <v>46039</v>
      </c>
      <c r="G414" s="77">
        <f t="shared" si="140"/>
        <v>46027</v>
      </c>
      <c r="H414" s="77">
        <f t="shared" si="141"/>
        <v>46034</v>
      </c>
      <c r="I414" s="77"/>
      <c r="J414" s="78"/>
      <c r="K414" s="25"/>
      <c r="L414" s="25"/>
      <c r="M414" s="25"/>
      <c r="N414" s="25"/>
    </row>
    <row r="415" spans="1:14" x14ac:dyDescent="0.25">
      <c r="A415" s="77">
        <v>46019</v>
      </c>
      <c r="B415" s="25" t="s">
        <v>1144</v>
      </c>
      <c r="C415" s="77">
        <f t="shared" si="136"/>
        <v>46042</v>
      </c>
      <c r="D415" s="77">
        <f t="shared" si="137"/>
        <v>46026</v>
      </c>
      <c r="E415" s="77">
        <f t="shared" si="138"/>
        <v>46033</v>
      </c>
      <c r="F415" s="77">
        <f t="shared" si="139"/>
        <v>46039</v>
      </c>
      <c r="G415" s="77">
        <f t="shared" si="140"/>
        <v>46027</v>
      </c>
      <c r="H415" s="77">
        <f t="shared" si="141"/>
        <v>46034</v>
      </c>
      <c r="I415" s="77"/>
      <c r="J415" s="78"/>
      <c r="K415" s="25"/>
      <c r="L415" s="25"/>
      <c r="M415" s="25"/>
      <c r="N415" s="25"/>
    </row>
    <row r="416" spans="1:14" x14ac:dyDescent="0.25">
      <c r="A416" s="77">
        <v>46020</v>
      </c>
      <c r="B416" s="25" t="s">
        <v>465</v>
      </c>
      <c r="C416" s="77">
        <f t="shared" ref="C416" si="142">A416+23</f>
        <v>46043</v>
      </c>
      <c r="D416" s="77">
        <f t="shared" ref="D416" si="143">A416+7</f>
        <v>46027</v>
      </c>
      <c r="E416" s="77">
        <f t="shared" ref="E416" si="144">A416+14</f>
        <v>46034</v>
      </c>
      <c r="F416" s="77">
        <f t="shared" ref="F416" si="145">A416+20</f>
        <v>46040</v>
      </c>
      <c r="G416" s="77">
        <f t="shared" ref="G416" si="146">A416+8</f>
        <v>46028</v>
      </c>
      <c r="H416" s="77">
        <f t="shared" ref="H416" si="147">A416+15</f>
        <v>46035</v>
      </c>
      <c r="I416" s="77"/>
      <c r="J416" s="78"/>
      <c r="K416" s="25"/>
      <c r="L416" s="25"/>
      <c r="M416" s="25"/>
      <c r="N416" s="25"/>
    </row>
    <row r="417" spans="1:14" x14ac:dyDescent="0.25">
      <c r="A417" s="77">
        <v>46020</v>
      </c>
      <c r="B417" s="25" t="s">
        <v>466</v>
      </c>
      <c r="C417" s="77">
        <f t="shared" ref="C417:C422" si="148">A417+23</f>
        <v>46043</v>
      </c>
      <c r="D417" s="77">
        <f t="shared" ref="D417:D422" si="149">A417+7</f>
        <v>46027</v>
      </c>
      <c r="E417" s="77">
        <f t="shared" ref="E417:E422" si="150">A417+14</f>
        <v>46034</v>
      </c>
      <c r="F417" s="77">
        <f t="shared" ref="F417:F422" si="151">A417+20</f>
        <v>46040</v>
      </c>
      <c r="G417" s="77">
        <f t="shared" ref="G417:G422" si="152">A417+8</f>
        <v>46028</v>
      </c>
      <c r="H417" s="77">
        <f t="shared" ref="H417:H422" si="153">A417+15</f>
        <v>46035</v>
      </c>
      <c r="I417" s="77"/>
      <c r="J417" s="78"/>
      <c r="K417" s="25"/>
      <c r="L417" s="25"/>
      <c r="M417" s="25"/>
      <c r="N417" s="25"/>
    </row>
    <row r="418" spans="1:14" x14ac:dyDescent="0.25">
      <c r="A418" s="77">
        <v>46020</v>
      </c>
      <c r="B418" s="25" t="s">
        <v>467</v>
      </c>
      <c r="C418" s="77">
        <f t="shared" si="148"/>
        <v>46043</v>
      </c>
      <c r="D418" s="77">
        <f t="shared" si="149"/>
        <v>46027</v>
      </c>
      <c r="E418" s="77">
        <f t="shared" si="150"/>
        <v>46034</v>
      </c>
      <c r="F418" s="77">
        <f t="shared" si="151"/>
        <v>46040</v>
      </c>
      <c r="G418" s="77">
        <f t="shared" si="152"/>
        <v>46028</v>
      </c>
      <c r="H418" s="77">
        <f t="shared" si="153"/>
        <v>46035</v>
      </c>
      <c r="I418" s="77"/>
      <c r="J418" s="78"/>
      <c r="K418" s="25"/>
      <c r="L418" s="25"/>
      <c r="M418" s="25"/>
      <c r="N418" s="25"/>
    </row>
    <row r="419" spans="1:14" x14ac:dyDescent="0.25">
      <c r="A419" s="77">
        <v>46020</v>
      </c>
      <c r="B419" s="25" t="s">
        <v>468</v>
      </c>
      <c r="C419" s="77">
        <f t="shared" si="148"/>
        <v>46043</v>
      </c>
      <c r="D419" s="77">
        <f t="shared" si="149"/>
        <v>46027</v>
      </c>
      <c r="E419" s="77">
        <f t="shared" si="150"/>
        <v>46034</v>
      </c>
      <c r="F419" s="77">
        <f t="shared" si="151"/>
        <v>46040</v>
      </c>
      <c r="G419" s="77">
        <f t="shared" si="152"/>
        <v>46028</v>
      </c>
      <c r="H419" s="77">
        <f t="shared" si="153"/>
        <v>46035</v>
      </c>
      <c r="I419" s="77"/>
      <c r="J419" s="78"/>
      <c r="K419" s="25"/>
      <c r="L419" s="25"/>
      <c r="M419" s="25"/>
      <c r="N419" s="25"/>
    </row>
    <row r="420" spans="1:14" x14ac:dyDescent="0.25">
      <c r="A420" s="77">
        <v>46020</v>
      </c>
      <c r="B420" s="25" t="s">
        <v>469</v>
      </c>
      <c r="C420" s="77">
        <f t="shared" si="148"/>
        <v>46043</v>
      </c>
      <c r="D420" s="77">
        <f t="shared" si="149"/>
        <v>46027</v>
      </c>
      <c r="E420" s="77">
        <f t="shared" si="150"/>
        <v>46034</v>
      </c>
      <c r="F420" s="77">
        <f t="shared" si="151"/>
        <v>46040</v>
      </c>
      <c r="G420" s="77">
        <f t="shared" si="152"/>
        <v>46028</v>
      </c>
      <c r="H420" s="77">
        <f t="shared" si="153"/>
        <v>46035</v>
      </c>
      <c r="I420" s="77"/>
      <c r="J420" s="78"/>
      <c r="K420" s="25"/>
      <c r="L420" s="25"/>
      <c r="M420" s="25"/>
      <c r="N420" s="25"/>
    </row>
    <row r="421" spans="1:14" x14ac:dyDescent="0.25">
      <c r="A421" s="77">
        <v>46020</v>
      </c>
      <c r="B421" s="25" t="s">
        <v>470</v>
      </c>
      <c r="C421" s="77">
        <f t="shared" si="148"/>
        <v>46043</v>
      </c>
      <c r="D421" s="77">
        <f t="shared" si="149"/>
        <v>46027</v>
      </c>
      <c r="E421" s="77">
        <f t="shared" si="150"/>
        <v>46034</v>
      </c>
      <c r="F421" s="77">
        <f t="shared" si="151"/>
        <v>46040</v>
      </c>
      <c r="G421" s="77">
        <f t="shared" si="152"/>
        <v>46028</v>
      </c>
      <c r="H421" s="77">
        <f t="shared" si="153"/>
        <v>46035</v>
      </c>
      <c r="I421" s="77"/>
      <c r="J421" s="78"/>
      <c r="K421" s="25"/>
      <c r="L421" s="25"/>
      <c r="M421" s="25"/>
      <c r="N421" s="25"/>
    </row>
    <row r="422" spans="1:14" x14ac:dyDescent="0.25">
      <c r="A422" s="77">
        <v>46020</v>
      </c>
      <c r="B422" s="25" t="s">
        <v>471</v>
      </c>
      <c r="C422" s="77">
        <f t="shared" si="148"/>
        <v>46043</v>
      </c>
      <c r="D422" s="77">
        <f t="shared" si="149"/>
        <v>46027</v>
      </c>
      <c r="E422" s="77">
        <f t="shared" si="150"/>
        <v>46034</v>
      </c>
      <c r="F422" s="77">
        <f t="shared" si="151"/>
        <v>46040</v>
      </c>
      <c r="G422" s="77">
        <f t="shared" si="152"/>
        <v>46028</v>
      </c>
      <c r="H422" s="77">
        <f t="shared" si="153"/>
        <v>46035</v>
      </c>
      <c r="I422" s="77"/>
      <c r="J422" s="78"/>
      <c r="K422" s="25"/>
      <c r="L422" s="25"/>
      <c r="M422" s="25"/>
      <c r="N422" s="25"/>
    </row>
    <row r="423" spans="1:14" x14ac:dyDescent="0.25">
      <c r="A423" s="77">
        <v>46021</v>
      </c>
      <c r="B423" s="25" t="s">
        <v>458</v>
      </c>
      <c r="C423" s="77">
        <f t="shared" ref="C423:C429" si="154">A423+23</f>
        <v>46044</v>
      </c>
      <c r="D423" s="77">
        <f t="shared" ref="D423:D429" si="155">A423+7</f>
        <v>46028</v>
      </c>
      <c r="E423" s="77">
        <f t="shared" ref="E423:E429" si="156">A423+14</f>
        <v>46035</v>
      </c>
      <c r="F423" s="77">
        <f t="shared" ref="F423:F429" si="157">A423+20</f>
        <v>46041</v>
      </c>
      <c r="G423" s="77">
        <f t="shared" ref="G423:G429" si="158">A423+8</f>
        <v>46029</v>
      </c>
      <c r="H423" s="77">
        <f t="shared" ref="H423:H429" si="159">A423+15</f>
        <v>46036</v>
      </c>
      <c r="I423" s="77"/>
      <c r="J423" s="78"/>
      <c r="K423" s="25"/>
      <c r="L423" s="25"/>
      <c r="M423" s="25"/>
      <c r="N423" s="25"/>
    </row>
    <row r="424" spans="1:14" x14ac:dyDescent="0.25">
      <c r="A424" s="77">
        <v>46021</v>
      </c>
      <c r="B424" s="25" t="s">
        <v>459</v>
      </c>
      <c r="C424" s="77">
        <f t="shared" si="154"/>
        <v>46044</v>
      </c>
      <c r="D424" s="77">
        <f t="shared" si="155"/>
        <v>46028</v>
      </c>
      <c r="E424" s="77">
        <f t="shared" si="156"/>
        <v>46035</v>
      </c>
      <c r="F424" s="77">
        <f t="shared" si="157"/>
        <v>46041</v>
      </c>
      <c r="G424" s="77">
        <f t="shared" si="158"/>
        <v>46029</v>
      </c>
      <c r="H424" s="77">
        <f t="shared" si="159"/>
        <v>46036</v>
      </c>
      <c r="I424" s="77"/>
      <c r="J424" s="78"/>
      <c r="K424" s="25"/>
      <c r="L424" s="25"/>
      <c r="M424" s="25"/>
      <c r="N424" s="25"/>
    </row>
    <row r="425" spans="1:14" x14ac:dyDescent="0.25">
      <c r="A425" s="77">
        <v>46021</v>
      </c>
      <c r="B425" s="25" t="s">
        <v>460</v>
      </c>
      <c r="C425" s="77">
        <f t="shared" si="154"/>
        <v>46044</v>
      </c>
      <c r="D425" s="77">
        <f t="shared" si="155"/>
        <v>46028</v>
      </c>
      <c r="E425" s="77">
        <f t="shared" si="156"/>
        <v>46035</v>
      </c>
      <c r="F425" s="77">
        <f t="shared" si="157"/>
        <v>46041</v>
      </c>
      <c r="G425" s="77">
        <f t="shared" si="158"/>
        <v>46029</v>
      </c>
      <c r="H425" s="77">
        <f t="shared" si="159"/>
        <v>46036</v>
      </c>
      <c r="I425" s="77"/>
      <c r="J425" s="78"/>
      <c r="K425" s="25"/>
      <c r="L425" s="25"/>
      <c r="M425" s="25"/>
      <c r="N425" s="25"/>
    </row>
    <row r="426" spans="1:14" x14ac:dyDescent="0.25">
      <c r="A426" s="77">
        <v>46021</v>
      </c>
      <c r="B426" s="25" t="s">
        <v>461</v>
      </c>
      <c r="C426" s="77">
        <f t="shared" si="154"/>
        <v>46044</v>
      </c>
      <c r="D426" s="77">
        <f t="shared" si="155"/>
        <v>46028</v>
      </c>
      <c r="E426" s="77">
        <f t="shared" si="156"/>
        <v>46035</v>
      </c>
      <c r="F426" s="77">
        <f t="shared" si="157"/>
        <v>46041</v>
      </c>
      <c r="G426" s="77">
        <f t="shared" si="158"/>
        <v>46029</v>
      </c>
      <c r="H426" s="77">
        <f t="shared" si="159"/>
        <v>46036</v>
      </c>
      <c r="I426" s="77"/>
      <c r="J426" s="78"/>
      <c r="K426" s="25"/>
      <c r="L426" s="25"/>
      <c r="M426" s="25"/>
      <c r="N426" s="25"/>
    </row>
    <row r="427" spans="1:14" x14ac:dyDescent="0.25">
      <c r="A427" s="77">
        <v>46021</v>
      </c>
      <c r="B427" s="25" t="s">
        <v>462</v>
      </c>
      <c r="C427" s="77">
        <f t="shared" si="154"/>
        <v>46044</v>
      </c>
      <c r="D427" s="77">
        <f t="shared" si="155"/>
        <v>46028</v>
      </c>
      <c r="E427" s="77">
        <f t="shared" si="156"/>
        <v>46035</v>
      </c>
      <c r="F427" s="77">
        <f t="shared" si="157"/>
        <v>46041</v>
      </c>
      <c r="G427" s="77">
        <f t="shared" si="158"/>
        <v>46029</v>
      </c>
      <c r="H427" s="77">
        <f t="shared" si="159"/>
        <v>46036</v>
      </c>
      <c r="I427" s="77"/>
      <c r="J427" s="78"/>
      <c r="K427" s="25"/>
      <c r="L427" s="25"/>
      <c r="M427" s="25"/>
      <c r="N427" s="25"/>
    </row>
    <row r="428" spans="1:14" x14ac:dyDescent="0.25">
      <c r="A428" s="77">
        <v>46021</v>
      </c>
      <c r="B428" s="25" t="s">
        <v>463</v>
      </c>
      <c r="C428" s="77">
        <f t="shared" si="154"/>
        <v>46044</v>
      </c>
      <c r="D428" s="77">
        <f t="shared" si="155"/>
        <v>46028</v>
      </c>
      <c r="E428" s="77">
        <f t="shared" si="156"/>
        <v>46035</v>
      </c>
      <c r="F428" s="77">
        <f t="shared" si="157"/>
        <v>46041</v>
      </c>
      <c r="G428" s="77">
        <f t="shared" si="158"/>
        <v>46029</v>
      </c>
      <c r="H428" s="77">
        <f t="shared" si="159"/>
        <v>46036</v>
      </c>
      <c r="I428" s="77"/>
      <c r="J428" s="78"/>
      <c r="K428" s="25"/>
      <c r="L428" s="25"/>
      <c r="M428" s="25"/>
      <c r="N428" s="25"/>
    </row>
    <row r="429" spans="1:14" x14ac:dyDescent="0.25">
      <c r="A429" s="77">
        <v>46021</v>
      </c>
      <c r="B429" s="25" t="s">
        <v>464</v>
      </c>
      <c r="C429" s="77">
        <f t="shared" si="154"/>
        <v>46044</v>
      </c>
      <c r="D429" s="77">
        <f t="shared" si="155"/>
        <v>46028</v>
      </c>
      <c r="E429" s="77">
        <f t="shared" si="156"/>
        <v>46035</v>
      </c>
      <c r="F429" s="77">
        <f t="shared" si="157"/>
        <v>46041</v>
      </c>
      <c r="G429" s="77">
        <f t="shared" si="158"/>
        <v>46029</v>
      </c>
      <c r="H429" s="77">
        <f t="shared" si="159"/>
        <v>46036</v>
      </c>
      <c r="I429" s="77"/>
      <c r="J429" s="78"/>
      <c r="K429" s="25"/>
      <c r="L429" s="25"/>
      <c r="M429" s="25"/>
      <c r="N429" s="25"/>
    </row>
  </sheetData>
  <autoFilter ref="A2:N429" xr:uid="{20199F35-F489-4132-BF95-FF556C1B36C1}">
    <sortState xmlns:xlrd2="http://schemas.microsoft.com/office/spreadsheetml/2017/richdata2" ref="A236:N251">
      <sortCondition ref="N2:N422"/>
    </sortState>
  </autoFilter>
  <phoneticPr fontId="12" type="noConversion"/>
  <conditionalFormatting sqref="A225:A422 I1:I247 I250:I1048576 A416:H422 A417:B1048576 J374:J429 C423:H429">
    <cfRule type="expression" dxfId="47" priority="2">
      <formula>$K1&gt;0</formula>
    </cfRule>
  </conditionalFormatting>
  <conditionalFormatting sqref="A1:B169 A189:B224 B225:B415 C349:H369 J349:J369 C370:J373 C374:H415 A402:B415 A423:B429">
    <cfRule type="expression" dxfId="46" priority="10">
      <formula>$K1&gt;0</formula>
    </cfRule>
  </conditionalFormatting>
  <conditionalFormatting sqref="C1:H169 A170:I188 C189:H348 C363:H1048576">
    <cfRule type="expression" dxfId="45" priority="13">
      <formula>$J1&gt;0</formula>
    </cfRule>
  </conditionalFormatting>
  <conditionalFormatting sqref="I248:I249">
    <cfRule type="expression" dxfId="44" priority="8796">
      <formula>$K247&gt;0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73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43" priority="10">
      <formula>$K2&gt;0</formula>
    </cfRule>
  </conditionalFormatting>
  <conditionalFormatting sqref="C2:C111">
    <cfRule type="expression" dxfId="42" priority="4">
      <formula>$K2&gt;0</formula>
    </cfRule>
  </conditionalFormatting>
  <conditionalFormatting sqref="C115:C119">
    <cfRule type="expression" dxfId="4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4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2025-12-31T02:53:52Z</dcterms:modified>
</cp:coreProperties>
</file>