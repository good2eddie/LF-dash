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0F70180F-062C-4606-AEC2-5E7C565A80E6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</sheets>
  <definedNames>
    <definedName name="_xlnm._FilterDatabase" localSheetId="1" hidden="1">'Tanam Kangkung- 7 Bedeng'!$A$13:$BQ$234</definedName>
    <definedName name="_xlnm.Print_Area" localSheetId="0">'Plan Maps. AUG'!$B$66:$AC$87</definedName>
    <definedName name="_xlnm.Print_Area" localSheetId="1">'Tanam Kangkung- 7 Bedeng'!$A$1:$G$217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3" l="1"/>
  <c r="J12" i="3"/>
  <c r="M13" i="3"/>
  <c r="J13" i="3"/>
  <c r="M14" i="3"/>
  <c r="J14" i="3"/>
  <c r="M15" i="3"/>
  <c r="J15" i="3"/>
  <c r="M7" i="3"/>
  <c r="J7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H15" i="3"/>
  <c r="G15" i="3"/>
  <c r="F15" i="3"/>
  <c r="E15" i="3"/>
  <c r="D15" i="3"/>
  <c r="C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C9" i="3"/>
  <c r="D9" i="3"/>
  <c r="E9" i="3"/>
  <c r="F9" i="3"/>
  <c r="G9" i="3"/>
  <c r="H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D8" i="3"/>
  <c r="D7" i="3"/>
  <c r="D6" i="3"/>
  <c r="D5" i="3"/>
  <c r="D4" i="3"/>
  <c r="D3" i="3"/>
  <c r="D2" i="3"/>
  <c r="C8" i="3"/>
  <c r="C7" i="3"/>
  <c r="C6" i="3"/>
  <c r="C5" i="3"/>
  <c r="C4" i="3"/>
  <c r="C3" i="3"/>
  <c r="C2" i="3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231" i="1" a="1"/>
  <c r="E231" i="1" s="1"/>
  <c r="E232" i="1" a="1"/>
  <c r="E232" i="1" s="1"/>
  <c r="E233" i="1" a="1"/>
  <c r="E233" i="1" s="1"/>
  <c r="E234" i="1" a="1"/>
  <c r="E234" i="1" s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I6" i="1"/>
  <c r="J6" i="1" s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I5" i="1"/>
  <c r="I4" i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J5" i="1" l="1"/>
  <c r="E17" i="1" a="1"/>
  <c r="E17" i="1" s="1"/>
  <c r="E21" i="1" a="1"/>
  <c r="E21" i="1" s="1"/>
  <c r="E22" i="1" a="1"/>
  <c r="E22" i="1" s="1"/>
  <c r="E19" i="1" a="1"/>
  <c r="E19" i="1" s="1"/>
  <c r="E14" i="1" a="1"/>
  <c r="E14" i="1" s="1"/>
  <c r="E18" i="1" a="1"/>
  <c r="E18" i="1" s="1"/>
  <c r="E15" i="1" a="1"/>
  <c r="E15" i="1" s="1"/>
  <c r="E20" i="1" a="1"/>
  <c r="E20" i="1" s="1"/>
  <c r="E16" i="1" a="1"/>
  <c r="E16" i="1" s="1"/>
  <c r="E23" i="1" a="1"/>
  <c r="E23" i="1" s="1"/>
  <c r="K5" i="1" l="1"/>
  <c r="L5" i="1" s="1"/>
  <c r="E33" i="1" a="1"/>
  <c r="E33" i="1" s="1"/>
  <c r="E30" i="1" a="1"/>
  <c r="E30" i="1" s="1"/>
  <c r="E31" i="1" a="1"/>
  <c r="E31" i="1" s="1"/>
  <c r="E25" i="1" a="1"/>
  <c r="E25" i="1" s="1"/>
  <c r="E34" i="1" a="1"/>
  <c r="E34" i="1" s="1"/>
  <c r="E28" i="1" a="1"/>
  <c r="E28" i="1" s="1"/>
  <c r="E27" i="1" a="1"/>
  <c r="E27" i="1" s="1"/>
  <c r="E32" i="1" a="1"/>
  <c r="E32" i="1" s="1"/>
  <c r="E24" i="1" a="1"/>
  <c r="E24" i="1" s="1"/>
  <c r="E29" i="1" a="1"/>
  <c r="E29" i="1" s="1"/>
  <c r="E26" i="1" a="1"/>
  <c r="E26" i="1" s="1"/>
  <c r="M5" i="1" l="1"/>
  <c r="E45" i="1" a="1"/>
  <c r="E45" i="1" s="1"/>
  <c r="E44" i="1" a="1"/>
  <c r="E44" i="1" s="1"/>
  <c r="E43" i="1" a="1"/>
  <c r="E43" i="1" s="1"/>
  <c r="E42" i="1" a="1"/>
  <c r="E42" i="1" s="1"/>
  <c r="E46" i="1" a="1"/>
  <c r="E46" i="1" s="1"/>
  <c r="E47" i="1" a="1"/>
  <c r="E47" i="1" s="1"/>
  <c r="E48" i="1" a="1"/>
  <c r="E48" i="1" s="1"/>
  <c r="N5" i="1" l="1"/>
  <c r="E53" i="1" a="1"/>
  <c r="E53" i="1" s="1"/>
  <c r="E54" i="1" a="1"/>
  <c r="E54" i="1" s="1"/>
  <c r="E51" i="1" a="1"/>
  <c r="E51" i="1" s="1"/>
  <c r="E55" i="1" a="1"/>
  <c r="E55" i="1" s="1"/>
  <c r="E50" i="1" a="1"/>
  <c r="E50" i="1" s="1"/>
  <c r="E52" i="1" a="1"/>
  <c r="E52" i="1" s="1"/>
  <c r="E49" i="1" a="1"/>
  <c r="E49" i="1" s="1"/>
  <c r="O5" i="1" l="1"/>
  <c r="E60" i="1" a="1"/>
  <c r="E60" i="1" s="1"/>
  <c r="E57" i="1" a="1"/>
  <c r="E57" i="1" s="1"/>
  <c r="E56" i="1" a="1"/>
  <c r="E56" i="1" s="1"/>
  <c r="E61" i="1" a="1"/>
  <c r="E61" i="1" s="1"/>
  <c r="E62" i="1" a="1"/>
  <c r="E62" i="1" s="1"/>
  <c r="E59" i="1" a="1"/>
  <c r="E59" i="1" s="1"/>
  <c r="E58" i="1" a="1"/>
  <c r="E58" i="1" s="1"/>
  <c r="P5" i="1" l="1"/>
  <c r="E68" i="1" a="1"/>
  <c r="E68" i="1" s="1"/>
  <c r="E67" i="1" a="1"/>
  <c r="E67" i="1" s="1"/>
  <c r="E65" i="1" a="1"/>
  <c r="E65" i="1" s="1"/>
  <c r="E66" i="1" a="1"/>
  <c r="E66" i="1" s="1"/>
  <c r="E64" i="1" a="1"/>
  <c r="E64" i="1" s="1"/>
  <c r="E69" i="1" a="1"/>
  <c r="E69" i="1" s="1"/>
  <c r="E63" i="1" a="1"/>
  <c r="E63" i="1" s="1"/>
  <c r="Q5" i="1" l="1"/>
  <c r="E75" i="1" a="1"/>
  <c r="E75" i="1" s="1"/>
  <c r="E72" i="1" a="1"/>
  <c r="E72" i="1" s="1"/>
  <c r="E76" i="1" a="1"/>
  <c r="E76" i="1" s="1"/>
  <c r="E73" i="1" a="1"/>
  <c r="E73" i="1" s="1"/>
  <c r="E74" i="1" a="1"/>
  <c r="E74" i="1" s="1"/>
  <c r="E70" i="1" a="1"/>
  <c r="E70" i="1" s="1"/>
  <c r="E71" i="1" a="1"/>
  <c r="E71" i="1" s="1"/>
  <c r="R5" i="1" l="1"/>
  <c r="E80" i="1" a="1"/>
  <c r="E80" i="1" s="1"/>
  <c r="E81" i="1" a="1"/>
  <c r="E81" i="1" s="1"/>
  <c r="E79" i="1" a="1"/>
  <c r="E79" i="1" s="1"/>
  <c r="E83" i="1" a="1"/>
  <c r="E83" i="1" s="1"/>
  <c r="E77" i="1" a="1"/>
  <c r="E77" i="1" s="1"/>
  <c r="E82" i="1" a="1"/>
  <c r="E82" i="1" s="1"/>
  <c r="E78" i="1" a="1"/>
  <c r="E78" i="1" s="1"/>
  <c r="S5" i="1" l="1"/>
  <c r="E84" i="1" a="1"/>
  <c r="E84" i="1" s="1"/>
  <c r="E88" i="1" a="1"/>
  <c r="E88" i="1" s="1"/>
  <c r="E89" i="1" a="1"/>
  <c r="E89" i="1" s="1"/>
  <c r="E86" i="1" a="1"/>
  <c r="E86" i="1" s="1"/>
  <c r="E87" i="1" a="1"/>
  <c r="E87" i="1" s="1"/>
  <c r="E85" i="1" a="1"/>
  <c r="E85" i="1" s="1"/>
  <c r="E90" i="1" a="1"/>
  <c r="E90" i="1" s="1"/>
  <c r="T5" i="1" l="1"/>
  <c r="E96" i="1" a="1"/>
  <c r="E96" i="1" s="1"/>
  <c r="E92" i="1" a="1"/>
  <c r="E92" i="1" s="1"/>
  <c r="E93" i="1" a="1"/>
  <c r="E93" i="1" s="1"/>
  <c r="E95" i="1" a="1"/>
  <c r="E95" i="1" s="1"/>
  <c r="E94" i="1" a="1"/>
  <c r="E94" i="1" s="1"/>
  <c r="E97" i="1" a="1"/>
  <c r="E97" i="1" s="1"/>
  <c r="E91" i="1" a="1"/>
  <c r="E91" i="1" s="1"/>
  <c r="U5" i="1" l="1"/>
  <c r="E98" i="1" a="1"/>
  <c r="E98" i="1" s="1"/>
  <c r="E103" i="1" a="1"/>
  <c r="E103" i="1" s="1"/>
  <c r="E99" i="1" a="1"/>
  <c r="E99" i="1" s="1"/>
  <c r="E104" i="1" a="1"/>
  <c r="E104" i="1" s="1"/>
  <c r="E100" i="1" a="1"/>
  <c r="E100" i="1" s="1"/>
  <c r="E101" i="1" a="1"/>
  <c r="E101" i="1" s="1"/>
  <c r="E102" i="1" a="1"/>
  <c r="E102" i="1" s="1"/>
  <c r="V5" i="1" l="1"/>
  <c r="E110" i="1" a="1"/>
  <c r="E110" i="1" s="1"/>
  <c r="E109" i="1" a="1"/>
  <c r="E109" i="1" s="1"/>
  <c r="E108" i="1" a="1"/>
  <c r="E108" i="1" s="1"/>
  <c r="E105" i="1" a="1"/>
  <c r="E105" i="1" s="1"/>
  <c r="E111" i="1" a="1"/>
  <c r="E111" i="1" s="1"/>
  <c r="E107" i="1" a="1"/>
  <c r="E107" i="1" s="1"/>
  <c r="E106" i="1" a="1"/>
  <c r="E106" i="1" s="1"/>
  <c r="W5" i="1" l="1"/>
  <c r="E119" i="1" a="1"/>
  <c r="E119" i="1" s="1"/>
  <c r="E113" i="1" a="1"/>
  <c r="E113" i="1" s="1"/>
  <c r="E116" i="1" a="1"/>
  <c r="E116" i="1" s="1"/>
  <c r="E117" i="1" a="1"/>
  <c r="E117" i="1" s="1"/>
  <c r="E115" i="1" a="1"/>
  <c r="E115" i="1" s="1"/>
  <c r="E118" i="1" a="1"/>
  <c r="E118" i="1" s="1"/>
  <c r="E112" i="1" a="1"/>
  <c r="E112" i="1" s="1"/>
  <c r="E114" i="1" a="1"/>
  <c r="E114" i="1" s="1"/>
  <c r="X5" i="1" l="1"/>
  <c r="E125" i="1" a="1"/>
  <c r="E125" i="1" s="1"/>
  <c r="E124" i="1" a="1"/>
  <c r="E124" i="1" s="1"/>
  <c r="E122" i="1" a="1"/>
  <c r="E122" i="1" s="1"/>
  <c r="E121" i="1" a="1"/>
  <c r="E121" i="1" s="1"/>
  <c r="E123" i="1" a="1"/>
  <c r="E123" i="1" s="1"/>
  <c r="E120" i="1" a="1"/>
  <c r="E120" i="1" s="1"/>
  <c r="E126" i="1" a="1"/>
  <c r="E126" i="1" s="1"/>
  <c r="Y5" i="1" l="1"/>
  <c r="E132" i="1" a="1"/>
  <c r="E132" i="1" s="1"/>
  <c r="E127" i="1" a="1"/>
  <c r="E127" i="1" s="1"/>
  <c r="E128" i="1" a="1"/>
  <c r="E128" i="1" s="1"/>
  <c r="E133" i="1" a="1"/>
  <c r="E133" i="1" s="1"/>
  <c r="E130" i="1" a="1"/>
  <c r="E130" i="1" s="1"/>
  <c r="E129" i="1" a="1"/>
  <c r="E129" i="1" s="1"/>
  <c r="E131" i="1" a="1"/>
  <c r="E131" i="1" s="1"/>
  <c r="Z5" i="1" l="1"/>
  <c r="E136" i="1" a="1"/>
  <c r="E136" i="1" s="1"/>
  <c r="E140" i="1" a="1"/>
  <c r="E140" i="1" s="1"/>
  <c r="E134" i="1" a="1"/>
  <c r="E134" i="1" s="1"/>
  <c r="E135" i="1" a="1"/>
  <c r="E135" i="1" s="1"/>
  <c r="E141" i="1" a="1"/>
  <c r="E141" i="1" s="1"/>
  <c r="E137" i="1" a="1"/>
  <c r="E137" i="1" s="1"/>
  <c r="E139" i="1" a="1"/>
  <c r="E139" i="1" s="1"/>
  <c r="E142" i="1" a="1"/>
  <c r="E142" i="1" s="1"/>
  <c r="E138" i="1" a="1"/>
  <c r="E138" i="1" s="1"/>
  <c r="AA5" i="1" l="1"/>
  <c r="E148" i="1" a="1"/>
  <c r="E148" i="1" s="1"/>
  <c r="E145" i="1" a="1"/>
  <c r="E145" i="1" s="1"/>
  <c r="E147" i="1" a="1"/>
  <c r="E147" i="1" s="1"/>
  <c r="E143" i="1" a="1"/>
  <c r="E143" i="1" s="1"/>
  <c r="E149" i="1" a="1"/>
  <c r="E149" i="1" s="1"/>
  <c r="E144" i="1" a="1"/>
  <c r="E144" i="1" s="1"/>
  <c r="E146" i="1" a="1"/>
  <c r="E146" i="1" s="1"/>
  <c r="AB5" i="1" l="1"/>
  <c r="E151" i="1" a="1"/>
  <c r="E151" i="1" s="1"/>
  <c r="E152" i="1" a="1"/>
  <c r="E152" i="1" s="1"/>
  <c r="E156" i="1" a="1"/>
  <c r="E156" i="1" s="1"/>
  <c r="E155" i="1" a="1"/>
  <c r="E155" i="1" s="1"/>
  <c r="E153" i="1" a="1"/>
  <c r="E153" i="1" s="1"/>
  <c r="E154" i="1" a="1"/>
  <c r="E154" i="1" s="1"/>
  <c r="E150" i="1" a="1"/>
  <c r="E150" i="1" s="1"/>
  <c r="AC5" i="1" l="1"/>
  <c r="E159" i="1" a="1"/>
  <c r="E159" i="1" s="1"/>
  <c r="E163" i="1" a="1"/>
  <c r="E163" i="1" s="1"/>
  <c r="E162" i="1" a="1"/>
  <c r="E162" i="1" s="1"/>
  <c r="E160" i="1" a="1"/>
  <c r="E160" i="1" s="1"/>
  <c r="E158" i="1" a="1"/>
  <c r="E158" i="1" s="1"/>
  <c r="E161" i="1" a="1"/>
  <c r="E161" i="1" s="1"/>
  <c r="E157" i="1" a="1"/>
  <c r="E157" i="1" s="1"/>
  <c r="AD5" i="1" l="1"/>
  <c r="E164" i="1" a="1"/>
  <c r="E164" i="1" s="1"/>
  <c r="E167" i="1" a="1"/>
  <c r="E167" i="1" s="1"/>
  <c r="E168" i="1" a="1"/>
  <c r="E168" i="1" s="1"/>
  <c r="E165" i="1" a="1"/>
  <c r="E165" i="1" s="1"/>
  <c r="E169" i="1" a="1"/>
  <c r="E169" i="1" s="1"/>
  <c r="E166" i="1" a="1"/>
  <c r="E166" i="1" s="1"/>
  <c r="E170" i="1" a="1"/>
  <c r="E170" i="1" s="1"/>
  <c r="AE5" i="1" l="1"/>
  <c r="E177" i="1" a="1"/>
  <c r="E177" i="1" s="1"/>
  <c r="E174" i="1" a="1"/>
  <c r="E174" i="1" s="1"/>
  <c r="E173" i="1" a="1"/>
  <c r="E173" i="1" s="1"/>
  <c r="E172" i="1" a="1"/>
  <c r="E172" i="1" s="1"/>
  <c r="E176" i="1" a="1"/>
  <c r="E176" i="1" s="1"/>
  <c r="E171" i="1" a="1"/>
  <c r="E171" i="1" s="1"/>
  <c r="E175" i="1" a="1"/>
  <c r="E175" i="1" s="1"/>
  <c r="AF5" i="1" l="1"/>
  <c r="E181" i="1" a="1"/>
  <c r="E181" i="1" s="1"/>
  <c r="E178" i="1" a="1"/>
  <c r="E178" i="1" s="1"/>
  <c r="E182" i="1" a="1"/>
  <c r="E182" i="1" s="1"/>
  <c r="E179" i="1" a="1"/>
  <c r="E179" i="1" s="1"/>
  <c r="E183" i="1" a="1"/>
  <c r="E183" i="1" s="1"/>
  <c r="E180" i="1" a="1"/>
  <c r="E180" i="1" s="1"/>
  <c r="E184" i="1" a="1"/>
  <c r="E184" i="1" s="1"/>
  <c r="AG5" i="1" l="1"/>
  <c r="E188" i="1" a="1"/>
  <c r="E188" i="1" s="1"/>
  <c r="E191" i="1" a="1"/>
  <c r="E191" i="1" s="1"/>
  <c r="E190" i="1" a="1"/>
  <c r="E190" i="1" s="1"/>
  <c r="E186" i="1" a="1"/>
  <c r="E186" i="1" s="1"/>
  <c r="E185" i="1" a="1"/>
  <c r="E185" i="1" s="1"/>
  <c r="E187" i="1" a="1"/>
  <c r="E187" i="1" s="1"/>
  <c r="E189" i="1" a="1"/>
  <c r="E189" i="1" s="1"/>
  <c r="AH5" i="1" l="1"/>
  <c r="E198" i="1" a="1"/>
  <c r="E198" i="1" s="1"/>
  <c r="E199" i="1" a="1"/>
  <c r="E199" i="1" s="1"/>
  <c r="E196" i="1" a="1"/>
  <c r="E196" i="1" s="1"/>
  <c r="E197" i="1" a="1"/>
  <c r="E197" i="1" s="1"/>
  <c r="E195" i="1" a="1"/>
  <c r="E195" i="1" s="1"/>
  <c r="E192" i="1" a="1"/>
  <c r="E192" i="1" s="1"/>
  <c r="E194" i="1" a="1"/>
  <c r="E194" i="1" s="1"/>
  <c r="E193" i="1" a="1"/>
  <c r="E193" i="1" s="1"/>
  <c r="AI5" i="1" l="1"/>
  <c r="E201" i="1" a="1"/>
  <c r="E201" i="1" s="1"/>
  <c r="E205" i="1" a="1"/>
  <c r="E205" i="1" s="1"/>
  <c r="E204" i="1" a="1"/>
  <c r="E204" i="1" s="1"/>
  <c r="E203" i="1" a="1"/>
  <c r="E203" i="1" s="1"/>
  <c r="E202" i="1" a="1"/>
  <c r="E202" i="1" s="1"/>
  <c r="E200" i="1" a="1"/>
  <c r="E200" i="1" s="1"/>
  <c r="E206" i="1" a="1"/>
  <c r="E206" i="1" s="1"/>
  <c r="AJ5" i="1" l="1"/>
  <c r="E209" i="1" a="1"/>
  <c r="E209" i="1" s="1"/>
  <c r="E207" i="1" a="1"/>
  <c r="E207" i="1" s="1"/>
  <c r="E211" i="1" a="1"/>
  <c r="E211" i="1" s="1"/>
  <c r="E212" i="1" a="1"/>
  <c r="E212" i="1" s="1"/>
  <c r="E210" i="1" a="1"/>
  <c r="E210" i="1" s="1"/>
  <c r="E213" i="1" a="1"/>
  <c r="E213" i="1" s="1"/>
  <c r="E208" i="1" a="1"/>
  <c r="E208" i="1" s="1"/>
  <c r="AK5" i="1" l="1"/>
  <c r="E220" i="1" a="1"/>
  <c r="E220" i="1" s="1"/>
  <c r="E216" i="1" a="1"/>
  <c r="E216" i="1" s="1"/>
  <c r="E215" i="1" a="1"/>
  <c r="E215" i="1" s="1"/>
  <c r="E219" i="1" a="1"/>
  <c r="E219" i="1" s="1"/>
  <c r="E214" i="1" a="1"/>
  <c r="E214" i="1" s="1"/>
  <c r="E218" i="1" a="1"/>
  <c r="E218" i="1" s="1"/>
  <c r="E217" i="1" a="1"/>
  <c r="E217" i="1" s="1"/>
  <c r="AL5" i="1" l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E221" i="1" a="1"/>
  <c r="E221" i="1" s="1"/>
  <c r="E222" i="1" a="1"/>
  <c r="E222" i="1" s="1"/>
  <c r="E223" i="1" a="1"/>
  <c r="E22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<sst xmlns="http://schemas.openxmlformats.org/spreadsheetml/2006/main" count="2743" uniqueCount="594">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</sst>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6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/>
    </xf>
    <xf numFmtId="0" fontId="0" fillId="4" borderId="10" xfId="0" applyFill="1" applyBorder="1"/>
    <xf numFmtId="0" fontId="5" fillId="4" borderId="10" xfId="0" applyFont="1" applyFill="1" applyBorder="1"/>
    <xf numFmtId="0" fontId="3" fillId="9" borderId="10" xfId="0" applyFont="1" applyFill="1" applyBorder="1"/>
    <xf numFmtId="0" fontId="5" fillId="8" borderId="10" xfId="0" applyFont="1" applyFill="1" applyBorder="1"/>
    <xf numFmtId="0" fontId="5" fillId="8" borderId="9" xfId="0" applyFont="1" applyFill="1" applyBorder="1"/>
    <xf numFmtId="0" fontId="5" fillId="4" borderId="9" xfId="0" applyFont="1" applyFill="1" applyBorder="1"/>
    <xf numFmtId="14" fontId="0" fillId="0" borderId="1" xfId="0" applyNumberFormat="1" applyBorder="1"/>
    <xf numFmtId="1" fontId="0" fillId="0" borderId="1" xfId="3" applyNumberFormat="1" applyFont="1" applyBorder="1"/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957"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3" zoomScale="103" zoomScaleNormal="146" workbookViewId="0">
      <selection activeCell="F31" sqref="F31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79">
        <f ca="1">TODAY()</f>
        <v>45994</v>
      </c>
      <c r="C1" s="79"/>
      <c r="D1" s="79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133</v>
      </c>
      <c r="D5" s="25" t="s">
        <v>134</v>
      </c>
      <c r="E5" s="25" t="s">
        <v>135</v>
      </c>
      <c r="F5" s="25" t="s">
        <v>136</v>
      </c>
      <c r="G5" s="25" t="s">
        <v>137</v>
      </c>
      <c r="H5" s="25" t="s">
        <v>138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7</v>
      </c>
      <c r="R6" s="25">
        <f t="shared" ca="1" si="1"/>
        <v>7</v>
      </c>
      <c r="S6" s="25">
        <f t="shared" ca="1" si="1"/>
        <v>7</v>
      </c>
      <c r="T6" s="25">
        <f t="shared" ca="1" si="1"/>
        <v>7</v>
      </c>
      <c r="U6" s="25">
        <f t="shared" ca="1" si="1"/>
        <v>8</v>
      </c>
      <c r="V6" s="25">
        <f ca="1">IF(V7="","",$B$1-V7)</f>
        <v>8</v>
      </c>
      <c r="W6" s="25">
        <f ca="1">IF(W7="","",$B$1-W7)</f>
        <v>8</v>
      </c>
      <c r="X6" s="25">
        <f ca="1">IF(X7="","",$B$1-X7)</f>
        <v>8</v>
      </c>
      <c r="Y6" s="55"/>
    </row>
    <row r="7" spans="1:25" ht="38.25" customHeight="1" x14ac:dyDescent="0.25">
      <c r="B7" s="80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1"/>
      <c r="Y8" s="55"/>
    </row>
    <row r="9" spans="1:25" x14ac:dyDescent="0.25">
      <c r="B9" s="81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2"/>
      <c r="C10" s="31">
        <f t="shared" ref="C10:H10" ca="1" si="2">IF(C11="","",$B$1-C11)</f>
        <v>12</v>
      </c>
      <c r="D10" s="25">
        <f t="shared" ca="1" si="2"/>
        <v>12</v>
      </c>
      <c r="E10" s="25">
        <f t="shared" ca="1" si="2"/>
        <v>12</v>
      </c>
      <c r="F10" s="25">
        <f t="shared" ca="1" si="2"/>
        <v>12</v>
      </c>
      <c r="G10" s="25">
        <f t="shared" ca="1" si="2"/>
        <v>12</v>
      </c>
      <c r="H10" s="25">
        <f t="shared" ca="1" si="2"/>
        <v>12</v>
      </c>
      <c r="J10" s="25">
        <f t="shared" ref="J10:P10" ca="1" si="3">IF(J11="","",$B$1-J11)</f>
        <v>12</v>
      </c>
      <c r="K10" s="25">
        <f t="shared" ca="1" si="3"/>
        <v>10</v>
      </c>
      <c r="L10" s="25">
        <f t="shared" ca="1" si="3"/>
        <v>10</v>
      </c>
      <c r="M10" s="25">
        <f t="shared" ca="1" si="3"/>
        <v>10</v>
      </c>
      <c r="N10" s="25">
        <f t="shared" ca="1" si="3"/>
        <v>10</v>
      </c>
      <c r="O10" s="25">
        <f t="shared" ca="1" si="3"/>
        <v>10</v>
      </c>
      <c r="P10" s="25">
        <f t="shared" ca="1" si="3"/>
        <v>10</v>
      </c>
      <c r="R10" s="25">
        <f t="shared" ref="R10:W10" ca="1" si="4">IF(R11="","",$B$1-R11)</f>
        <v>10</v>
      </c>
      <c r="S10" s="25">
        <f t="shared" ca="1" si="4"/>
        <v>9</v>
      </c>
      <c r="T10" s="25">
        <f t="shared" ca="1" si="4"/>
        <v>9</v>
      </c>
      <c r="U10" s="25">
        <f t="shared" ca="1" si="4"/>
        <v>8</v>
      </c>
      <c r="V10" s="25">
        <f t="shared" ca="1" si="4"/>
        <v>8</v>
      </c>
      <c r="W10" s="25">
        <f t="shared" ca="1" si="4"/>
        <v>8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13</v>
      </c>
      <c r="D14" s="25">
        <f t="shared" ca="1" si="5"/>
        <v>13</v>
      </c>
      <c r="E14" s="25">
        <f t="shared" ca="1" si="5"/>
        <v>13</v>
      </c>
      <c r="F14" s="25">
        <f t="shared" ca="1" si="5"/>
        <v>13</v>
      </c>
      <c r="G14" s="25">
        <f t="shared" ca="1" si="5"/>
        <v>13</v>
      </c>
      <c r="H14" s="25">
        <f t="shared" ca="1" si="5"/>
        <v>13</v>
      </c>
      <c r="J14" s="25">
        <f t="shared" ref="J14:P14" ca="1" si="6">IF(J15="","",$B$1-J15)</f>
        <v>13</v>
      </c>
      <c r="K14" s="25">
        <f t="shared" ca="1" si="6"/>
        <v>11</v>
      </c>
      <c r="L14" s="25">
        <f t="shared" ca="1" si="6"/>
        <v>11</v>
      </c>
      <c r="M14" s="25">
        <f t="shared" ca="1" si="6"/>
        <v>11</v>
      </c>
      <c r="N14" s="25">
        <f t="shared" ca="1" si="6"/>
        <v>11</v>
      </c>
      <c r="O14" s="25">
        <f t="shared" ca="1" si="6"/>
        <v>11</v>
      </c>
      <c r="P14" s="25">
        <f t="shared" ca="1" si="6"/>
        <v>11</v>
      </c>
      <c r="R14" s="25">
        <f t="shared" ref="R14:W14" ca="1" si="7">IF(R15="","",$B$1-R15)</f>
        <v>11</v>
      </c>
      <c r="S14" s="25">
        <f t="shared" ca="1" si="7"/>
        <v>9</v>
      </c>
      <c r="T14" s="25">
        <f t="shared" ca="1" si="7"/>
        <v>9</v>
      </c>
      <c r="U14" s="25">
        <f t="shared" ca="1" si="7"/>
        <v>9</v>
      </c>
      <c r="V14" s="25">
        <f t="shared" ca="1" si="7"/>
        <v>9</v>
      </c>
      <c r="W14" s="25">
        <f t="shared" ca="1" si="7"/>
        <v>9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26</v>
      </c>
      <c r="K20" s="25">
        <f ca="1">IF(K21="","",$B$1-K21)</f>
        <v>26</v>
      </c>
      <c r="X20" s="25"/>
      <c r="AF20" s="25"/>
      <c r="AG20" s="25"/>
      <c r="AH20" s="25">
        <f ca="1">IF(AH21="","",$B$1-AH21)</f>
        <v>26</v>
      </c>
      <c r="AI20" s="25">
        <f ca="1">IF(AI21="","",$B$1-AI21)</f>
        <v>26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29</v>
      </c>
      <c r="D24" s="25">
        <f t="shared" ca="1" si="8"/>
        <v>29</v>
      </c>
      <c r="E24" s="25">
        <f t="shared" ca="1" si="8"/>
        <v>29</v>
      </c>
      <c r="F24" s="25">
        <f t="shared" ca="1" si="8"/>
        <v>29</v>
      </c>
      <c r="G24" s="25">
        <f t="shared" ca="1" si="8"/>
        <v>29</v>
      </c>
      <c r="H24" s="25">
        <f t="shared" ca="1" si="8"/>
        <v>29</v>
      </c>
      <c r="J24" s="25">
        <f ca="1">IF(J25="","",$B$1-J25)</f>
        <v>29</v>
      </c>
      <c r="K24" s="25">
        <f t="shared" ref="K24:AI24" ca="1" si="9">IF(K25="","",$B$1-K25)</f>
        <v>32</v>
      </c>
      <c r="L24" s="25">
        <f t="shared" ca="1" si="9"/>
        <v>32</v>
      </c>
      <c r="M24" s="25">
        <f t="shared" ca="1" si="9"/>
        <v>32</v>
      </c>
      <c r="N24" s="25">
        <f t="shared" ca="1" si="9"/>
        <v>32</v>
      </c>
      <c r="O24" s="25">
        <f t="shared" ca="1" si="9"/>
        <v>32</v>
      </c>
      <c r="P24" s="25">
        <f t="shared" ca="1" si="9"/>
        <v>32</v>
      </c>
      <c r="R24" s="25">
        <f t="shared" ca="1" si="9"/>
        <v>32</v>
      </c>
      <c r="S24" s="25">
        <f t="shared" ca="1" si="9"/>
        <v>30</v>
      </c>
      <c r="T24" s="25">
        <f t="shared" ca="1" si="9"/>
        <v>30</v>
      </c>
      <c r="U24" s="25">
        <f t="shared" ca="1" si="9"/>
        <v>30</v>
      </c>
      <c r="V24" s="25">
        <f t="shared" ca="1" si="9"/>
        <v>30</v>
      </c>
      <c r="W24" s="25">
        <f t="shared" ca="1" si="9"/>
        <v>30</v>
      </c>
      <c r="X24" s="25">
        <f t="shared" ca="1" si="9"/>
        <v>30</v>
      </c>
      <c r="Z24" s="25">
        <f t="shared" ca="1" si="9"/>
        <v>30</v>
      </c>
      <c r="AA24" s="25">
        <f t="shared" ca="1" si="9"/>
        <v>27</v>
      </c>
      <c r="AB24" s="25">
        <f t="shared" ca="1" si="9"/>
        <v>27</v>
      </c>
      <c r="AC24" s="25">
        <f t="shared" ca="1" si="9"/>
        <v>27</v>
      </c>
      <c r="AD24" s="25">
        <f t="shared" ca="1" si="9"/>
        <v>27</v>
      </c>
      <c r="AE24" s="25">
        <f t="shared" ca="1" si="9"/>
        <v>27</v>
      </c>
      <c r="AF24" s="25">
        <f t="shared" ca="1" si="9"/>
        <v>27</v>
      </c>
      <c r="AG24" s="25">
        <f t="shared" ca="1" si="9"/>
        <v>27</v>
      </c>
      <c r="AH24" s="25">
        <f t="shared" ca="1" si="9"/>
        <v>26</v>
      </c>
      <c r="AI24" s="25">
        <f t="shared" ca="1" si="9"/>
        <v>26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45965</v>
      </c>
      <c r="D25" s="60">
        <v>45965</v>
      </c>
      <c r="E25" s="60">
        <v>45965</v>
      </c>
      <c r="F25" s="60">
        <v>45965</v>
      </c>
      <c r="G25" s="60">
        <v>45965</v>
      </c>
      <c r="H25" s="60">
        <v>45965</v>
      </c>
      <c r="J25" s="60">
        <v>45965</v>
      </c>
      <c r="K25" s="60">
        <v>45962</v>
      </c>
      <c r="L25" s="60">
        <v>45962</v>
      </c>
      <c r="M25" s="60">
        <v>45962</v>
      </c>
      <c r="N25" s="60">
        <v>45962</v>
      </c>
      <c r="O25" s="60">
        <v>45962</v>
      </c>
      <c r="P25" s="60">
        <v>45962</v>
      </c>
      <c r="R25" s="60">
        <v>45962</v>
      </c>
      <c r="S25" s="60">
        <v>45964</v>
      </c>
      <c r="T25" s="60">
        <v>45964</v>
      </c>
      <c r="U25" s="60">
        <v>45964</v>
      </c>
      <c r="V25" s="60">
        <v>45964</v>
      </c>
      <c r="W25" s="60">
        <v>45964</v>
      </c>
      <c r="X25" s="60">
        <v>45964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14</v>
      </c>
      <c r="D28" s="25">
        <f t="shared" ca="1" si="10"/>
        <v>14</v>
      </c>
      <c r="E28" s="25">
        <f t="shared" ca="1" si="10"/>
        <v>14</v>
      </c>
      <c r="F28" s="25">
        <f t="shared" ca="1" si="10"/>
        <v>14</v>
      </c>
      <c r="G28" s="25">
        <f t="shared" ca="1" si="10"/>
        <v>14</v>
      </c>
      <c r="H28" s="25">
        <f t="shared" ca="1" si="10"/>
        <v>14</v>
      </c>
      <c r="J28" s="25">
        <f ca="1">IF(J29="","",$B$1-J29)</f>
        <v>14</v>
      </c>
      <c r="K28" s="25">
        <f t="shared" ref="K28:P28" ca="1" si="11">IF(K29="","",$B$1-K29)</f>
        <v>7</v>
      </c>
      <c r="L28" s="25">
        <f t="shared" ca="1" si="11"/>
        <v>7</v>
      </c>
      <c r="M28" s="25">
        <f t="shared" ca="1" si="11"/>
        <v>7</v>
      </c>
      <c r="N28" s="25">
        <f t="shared" ca="1" si="11"/>
        <v>7</v>
      </c>
      <c r="O28" s="25">
        <f t="shared" ca="1" si="11"/>
        <v>6</v>
      </c>
      <c r="P28" s="25">
        <f t="shared" ca="1" si="11"/>
        <v>6</v>
      </c>
      <c r="R28" s="25">
        <f t="shared" ref="R28:X28" ca="1" si="12">IF(R29="","",$B$1-R29)</f>
        <v>6</v>
      </c>
      <c r="S28" s="25">
        <f t="shared" ca="1" si="12"/>
        <v>31</v>
      </c>
      <c r="T28" s="25">
        <f t="shared" ca="1" si="12"/>
        <v>31</v>
      </c>
      <c r="U28" s="25">
        <f t="shared" ca="1" si="12"/>
        <v>31</v>
      </c>
      <c r="V28" s="25">
        <f t="shared" ca="1" si="12"/>
        <v>31</v>
      </c>
      <c r="W28" s="25">
        <f t="shared" ca="1" si="12"/>
        <v>31</v>
      </c>
      <c r="X28" s="25">
        <f t="shared" ca="1" si="12"/>
        <v>31</v>
      </c>
      <c r="Z28" s="25">
        <f t="shared" ref="Z28:AI28" ca="1" si="13">IF(Z29="","",$B$1-Z29)</f>
        <v>31</v>
      </c>
      <c r="AA28" s="25">
        <f t="shared" ca="1" si="13"/>
        <v>28</v>
      </c>
      <c r="AB28" s="25">
        <f t="shared" ca="1" si="13"/>
        <v>28</v>
      </c>
      <c r="AC28" s="25">
        <f t="shared" ca="1" si="13"/>
        <v>28</v>
      </c>
      <c r="AD28" s="25">
        <f t="shared" ca="1" si="13"/>
        <v>28</v>
      </c>
      <c r="AE28" s="25">
        <f t="shared" ca="1" si="13"/>
        <v>28</v>
      </c>
      <c r="AF28" s="25">
        <f t="shared" ca="1" si="13"/>
        <v>28</v>
      </c>
      <c r="AG28" s="25">
        <f t="shared" ca="1" si="13"/>
        <v>28</v>
      </c>
      <c r="AH28" s="25">
        <f t="shared" ca="1" si="13"/>
        <v>26</v>
      </c>
      <c r="AI28" s="25">
        <f t="shared" ca="1" si="13"/>
        <v>26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45963</v>
      </c>
      <c r="T29" s="60">
        <v>45963</v>
      </c>
      <c r="U29" s="60">
        <v>45963</v>
      </c>
      <c r="V29" s="60">
        <v>45963</v>
      </c>
      <c r="W29" s="60">
        <v>45963</v>
      </c>
      <c r="X29" s="60">
        <v>45963</v>
      </c>
      <c r="Z29" s="60">
        <v>45963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83" t="s">
        <v>184</v>
      </c>
      <c r="I30" s="84"/>
      <c r="J30" s="85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79">
        <v>45978</v>
      </c>
      <c r="C36" s="79"/>
      <c r="D36" s="79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22</v>
      </c>
      <c r="D41" s="25">
        <f t="shared" ca="1" si="14"/>
        <v>22</v>
      </c>
      <c r="E41" s="25">
        <f t="shared" ca="1" si="14"/>
        <v>22</v>
      </c>
      <c r="F41" s="25">
        <f t="shared" ca="1" si="14"/>
        <v>22</v>
      </c>
      <c r="G41" s="25">
        <f t="shared" ca="1" si="14"/>
        <v>21</v>
      </c>
      <c r="H41" s="25">
        <f t="shared" ca="1" si="14"/>
        <v>21</v>
      </c>
      <c r="J41" s="25">
        <f t="shared" ca="1" si="14"/>
        <v>21</v>
      </c>
      <c r="K41" s="25">
        <f t="shared" ca="1" si="14"/>
        <v>21</v>
      </c>
      <c r="L41" s="25">
        <f t="shared" ca="1" si="14"/>
        <v>21</v>
      </c>
      <c r="M41" s="25">
        <f t="shared" ca="1" si="14"/>
        <v>21</v>
      </c>
      <c r="N41" s="25">
        <f t="shared" ca="1" si="14"/>
        <v>21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24</v>
      </c>
      <c r="D45" s="25">
        <f ca="1">IF(D46="","",$B$1-D46)</f>
        <v>24</v>
      </c>
      <c r="E45" s="25">
        <f ca="1">IF(E46="","",$B$1-E46)</f>
        <v>23</v>
      </c>
      <c r="F45" s="25">
        <f ca="1">IF(F46="","",$B$1-F46)</f>
        <v>23</v>
      </c>
      <c r="H45" s="25">
        <f ca="1">IF(H46="","",$B$1-H46)</f>
        <v>23</v>
      </c>
      <c r="J45" s="25">
        <f t="shared" ref="J45:P45" ca="1" si="15">IF(J46="","",$B$1-J46)</f>
        <v>23</v>
      </c>
      <c r="K45" s="25">
        <f t="shared" ca="1" si="15"/>
        <v>23</v>
      </c>
      <c r="L45" s="25">
        <f t="shared" ca="1" si="15"/>
        <v>23</v>
      </c>
      <c r="M45" s="25">
        <f t="shared" ca="1" si="15"/>
        <v>23</v>
      </c>
      <c r="N45" s="25">
        <f t="shared" ca="1" si="15"/>
        <v>22</v>
      </c>
      <c r="O45" s="25">
        <f t="shared" ca="1" si="15"/>
        <v>22</v>
      </c>
      <c r="P45" s="25">
        <f t="shared" ca="1" si="15"/>
        <v>22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25</v>
      </c>
      <c r="D49" s="25">
        <f ca="1">IF(D50="","",$B$1-D50)</f>
        <v>25</v>
      </c>
      <c r="E49" s="25">
        <f ca="1">IF(E50="","",$B$1-E50)</f>
        <v>25</v>
      </c>
      <c r="F49" s="25">
        <f ca="1">IF(F50="","",$B$1-F50)</f>
        <v>25</v>
      </c>
      <c r="H49" s="25">
        <f ca="1">IF(H50="","",$B$1-H50)</f>
        <v>25</v>
      </c>
      <c r="J49" s="25">
        <f t="shared" ref="J49:P49" ca="1" si="16">IF(J50="","",$B$1-J50)</f>
        <v>25</v>
      </c>
      <c r="K49" s="25">
        <f t="shared" ca="1" si="16"/>
        <v>25</v>
      </c>
      <c r="L49" s="25">
        <f t="shared" ca="1" si="16"/>
        <v>24</v>
      </c>
      <c r="M49" s="25">
        <f t="shared" ca="1" si="16"/>
        <v>24</v>
      </c>
      <c r="N49" s="25">
        <f t="shared" ca="1" si="16"/>
        <v>24</v>
      </c>
      <c r="O49" s="25">
        <f t="shared" ca="1" si="16"/>
        <v>24</v>
      </c>
      <c r="P49" s="25">
        <f t="shared" ca="1" si="16"/>
        <v>24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83" t="s">
        <v>184</v>
      </c>
      <c r="G51" s="84"/>
      <c r="H51" s="85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17</v>
      </c>
      <c r="D58" s="25">
        <f t="shared" ca="1" si="17"/>
        <v>17</v>
      </c>
      <c r="E58" s="25">
        <f t="shared" ca="1" si="17"/>
        <v>17</v>
      </c>
      <c r="F58" s="25">
        <f t="shared" ca="1" si="17"/>
        <v>17</v>
      </c>
      <c r="G58" s="25">
        <f t="shared" ca="1" si="17"/>
        <v>17</v>
      </c>
      <c r="H58" s="25">
        <f t="shared" ca="1" si="17"/>
        <v>17</v>
      </c>
      <c r="J58" s="25">
        <f t="shared" ref="J58:P58" ca="1" si="18">IF(J59="","",$B$1-J59)</f>
        <v>17</v>
      </c>
      <c r="K58" s="25">
        <f t="shared" ca="1" si="18"/>
        <v>16</v>
      </c>
      <c r="L58" s="25">
        <f t="shared" ca="1" si="18"/>
        <v>16</v>
      </c>
      <c r="M58" s="25">
        <f t="shared" ca="1" si="18"/>
        <v>16</v>
      </c>
      <c r="N58" s="25">
        <f t="shared" ca="1" si="18"/>
        <v>16</v>
      </c>
      <c r="O58" s="25">
        <f t="shared" ca="1" si="18"/>
        <v>16</v>
      </c>
      <c r="P58" s="25">
        <f t="shared" ca="1" si="18"/>
        <v>16</v>
      </c>
      <c r="R58" s="25">
        <f t="shared" ref="R58:X58" ca="1" si="19">IF(R59="","",$B$1-R59)</f>
        <v>16</v>
      </c>
      <c r="S58" s="25">
        <f t="shared" ca="1" si="19"/>
        <v>15</v>
      </c>
      <c r="T58" s="25">
        <f t="shared" ca="1" si="19"/>
        <v>15</v>
      </c>
      <c r="U58" s="25">
        <f t="shared" ca="1" si="19"/>
        <v>15</v>
      </c>
      <c r="V58" s="25">
        <f t="shared" ca="1" si="19"/>
        <v>15</v>
      </c>
      <c r="W58" s="25">
        <f t="shared" ca="1" si="19"/>
        <v>15</v>
      </c>
      <c r="X58" s="25">
        <f t="shared" ca="1" si="19"/>
        <v>15</v>
      </c>
      <c r="Z58" s="25">
        <f ca="1">IF(Z59="","",$B$1-Z59)</f>
        <v>15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0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1"/>
      <c r="AC60" s="55"/>
    </row>
    <row r="61" spans="1:29" x14ac:dyDescent="0.25">
      <c r="B61" s="81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2"/>
      <c r="C62" s="25" t="str">
        <f t="shared" ref="C62:H62" si="20">IF(C63="","",$B$1-C63)</f>
        <v/>
      </c>
      <c r="D62" s="25">
        <f t="shared" ca="1" si="20"/>
        <v>18</v>
      </c>
      <c r="E62" s="25">
        <f t="shared" ca="1" si="20"/>
        <v>18</v>
      </c>
      <c r="F62" s="25">
        <f t="shared" ca="1" si="20"/>
        <v>18</v>
      </c>
      <c r="G62" s="25">
        <f t="shared" ca="1" si="20"/>
        <v>18</v>
      </c>
      <c r="H62" s="25">
        <f t="shared" ca="1" si="20"/>
        <v>18</v>
      </c>
      <c r="J62" s="25">
        <f t="shared" ref="J62:P62" ca="1" si="21">IF(J63="","",$B$1-J63)</f>
        <v>18</v>
      </c>
      <c r="K62" s="25">
        <f t="shared" ca="1" si="21"/>
        <v>18</v>
      </c>
      <c r="L62" s="25">
        <f t="shared" ca="1" si="21"/>
        <v>18</v>
      </c>
      <c r="M62" s="25">
        <f t="shared" ca="1" si="21"/>
        <v>19</v>
      </c>
      <c r="N62" s="25">
        <f t="shared" ca="1" si="21"/>
        <v>19</v>
      </c>
      <c r="O62" s="25">
        <f t="shared" ca="1" si="21"/>
        <v>19</v>
      </c>
      <c r="P62" s="25">
        <f t="shared" ca="1" si="21"/>
        <v>19</v>
      </c>
      <c r="R62" s="25">
        <f t="shared" ref="R62:X62" ca="1" si="22">IF(R63="","",$B$1-R63)</f>
        <v>19</v>
      </c>
      <c r="S62" s="25">
        <f t="shared" ca="1" si="22"/>
        <v>19</v>
      </c>
      <c r="T62" s="25">
        <f t="shared" ca="1" si="22"/>
        <v>19</v>
      </c>
      <c r="U62" s="25">
        <f t="shared" ca="1" si="22"/>
        <v>20</v>
      </c>
      <c r="V62" s="25">
        <f t="shared" ca="1" si="22"/>
        <v>20</v>
      </c>
      <c r="W62" s="25">
        <f t="shared" ca="1" si="22"/>
        <v>20</v>
      </c>
      <c r="X62" s="25">
        <f t="shared" ca="1" si="22"/>
        <v>20</v>
      </c>
      <c r="Z62" s="25">
        <f ca="1">IF(Z63="","",$B$1-Z63)</f>
        <v>20</v>
      </c>
      <c r="AA62" s="25">
        <f ca="1">IF(AA63="","",$B$1-AA63)</f>
        <v>20</v>
      </c>
      <c r="AB62" s="25">
        <f ca="1">IF(AB63="","",$B$1-AB63)</f>
        <v>20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33</v>
      </c>
      <c r="D71" s="25">
        <f t="shared" ca="1" si="23"/>
        <v>33</v>
      </c>
      <c r="E71" s="25">
        <f t="shared" ca="1" si="23"/>
        <v>33</v>
      </c>
      <c r="F71" s="25">
        <f t="shared" ca="1" si="23"/>
        <v>33</v>
      </c>
      <c r="G71" s="25">
        <f t="shared" ca="1" si="23"/>
        <v>33</v>
      </c>
      <c r="H71" s="25">
        <f t="shared" ca="1" si="23"/>
        <v>33</v>
      </c>
      <c r="J71" s="25">
        <f ca="1">IF(J72="","",$B$1-J72)</f>
        <v>33</v>
      </c>
      <c r="K71" s="25">
        <f t="shared" ref="K71:P71" ca="1" si="24">IF(K72="","",$B$1-K72)</f>
        <v>34</v>
      </c>
      <c r="L71" s="25">
        <f t="shared" ca="1" si="24"/>
        <v>34</v>
      </c>
      <c r="M71" s="25">
        <f t="shared" ca="1" si="24"/>
        <v>34</v>
      </c>
      <c r="N71" s="25">
        <f t="shared" ca="1" si="24"/>
        <v>34</v>
      </c>
      <c r="O71" s="25">
        <f t="shared" ca="1" si="24"/>
        <v>34</v>
      </c>
      <c r="P71" s="25">
        <f t="shared" ca="1" si="24"/>
        <v>34</v>
      </c>
      <c r="R71" s="25">
        <f t="shared" ref="R71:X71" ca="1" si="25">IF(R72="","",$B$1-R72)</f>
        <v>34</v>
      </c>
      <c r="S71" s="25">
        <f t="shared" ca="1" si="25"/>
        <v>35</v>
      </c>
      <c r="T71" s="25">
        <f t="shared" ca="1" si="25"/>
        <v>35</v>
      </c>
      <c r="U71" s="25">
        <f t="shared" ca="1" si="25"/>
        <v>35</v>
      </c>
      <c r="V71" s="25">
        <f t="shared" ca="1" si="25"/>
        <v>6</v>
      </c>
      <c r="W71" s="25">
        <f t="shared" ca="1" si="25"/>
        <v>6</v>
      </c>
      <c r="X71" s="25">
        <f t="shared" ca="1" si="25"/>
        <v>6</v>
      </c>
      <c r="Z71" s="25">
        <f ca="1">IF(Z72="","",$B$1-Z72)</f>
        <v>6</v>
      </c>
      <c r="AB71" s="55"/>
    </row>
    <row r="72" spans="1:28" ht="39.950000000000003" customHeight="1" x14ac:dyDescent="0.25">
      <c r="B72" s="54"/>
      <c r="C72" s="60">
        <v>45961</v>
      </c>
      <c r="D72" s="60">
        <v>45961</v>
      </c>
      <c r="E72" s="60">
        <v>45961</v>
      </c>
      <c r="F72" s="60">
        <v>45961</v>
      </c>
      <c r="G72" s="60">
        <v>45961</v>
      </c>
      <c r="H72" s="60">
        <v>45961</v>
      </c>
      <c r="I72" s="75"/>
      <c r="J72" s="60">
        <v>45961</v>
      </c>
      <c r="K72" s="60">
        <v>45960</v>
      </c>
      <c r="L72" s="60">
        <v>45960</v>
      </c>
      <c r="M72" s="60">
        <v>45960</v>
      </c>
      <c r="N72" s="60">
        <v>45960</v>
      </c>
      <c r="O72" s="60">
        <v>45960</v>
      </c>
      <c r="P72" s="60">
        <v>45960</v>
      </c>
      <c r="Q72" s="75"/>
      <c r="R72" s="60">
        <v>45960</v>
      </c>
      <c r="S72" s="60">
        <v>45959</v>
      </c>
      <c r="T72" s="60">
        <v>45959</v>
      </c>
      <c r="U72" s="60">
        <v>45959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76" t="s">
        <v>196</v>
      </c>
    </row>
    <row r="73" spans="1:28" x14ac:dyDescent="0.25">
      <c r="B73" s="54"/>
      <c r="AB73" s="77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77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78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conditionalFormatting sqref="C10:F10 C14:H14 J14:P14">
    <cfRule type="dataBar" priority="22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956" priority="77">
      <formula>LEN(TRIM(C42))=0</formula>
    </cfRule>
    <cfRule type="notContainsBlanks" dxfId="955" priority="78">
      <formula>LEN(TRIM(C42))&gt;0</formula>
    </cfRule>
    <cfRule type="containsBlanks" dxfId="954" priority="79">
      <formula>LEN(TRIM(C42))=0</formula>
    </cfRule>
    <cfRule type="notContainsBlanks" dxfId="953" priority="80">
      <formula>LEN(TRIM(C42))&gt;0</formula>
    </cfRule>
  </conditionalFormatting>
  <conditionalFormatting sqref="C46:F46">
    <cfRule type="containsBlanks" dxfId="952" priority="91">
      <formula>LEN(TRIM(C46))=0</formula>
    </cfRule>
    <cfRule type="notContainsBlanks" dxfId="951" priority="92">
      <formula>LEN(TRIM(C46))&gt;0</formula>
    </cfRule>
  </conditionalFormatting>
  <conditionalFormatting sqref="C50:F50">
    <cfRule type="containsBlanks" dxfId="950" priority="231">
      <formula>LEN(TRIM(C50))=0</formula>
    </cfRule>
    <cfRule type="notContainsBlanks" dxfId="949" priority="232">
      <formula>LEN(TRIM(C50))&gt;0</formula>
    </cfRule>
  </conditionalFormatting>
  <conditionalFormatting sqref="C6:G6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948" priority="178">
      <formula>LEN(TRIM(C7))=0</formula>
    </cfRule>
    <cfRule type="notContainsBlanks" dxfId="947" priority="179">
      <formula>LEN(TRIM(C7))&gt;0</formula>
    </cfRule>
  </conditionalFormatting>
  <conditionalFormatting sqref="C11:H11">
    <cfRule type="containsBlanks" dxfId="946" priority="224">
      <formula>LEN(TRIM(C11))=0</formula>
    </cfRule>
    <cfRule type="notContainsBlanks" dxfId="945" priority="225">
      <formula>LEN(TRIM(C11))&gt;0</formula>
    </cfRule>
  </conditionalFormatting>
  <conditionalFormatting sqref="C15:H15">
    <cfRule type="containsBlanks" dxfId="944" priority="43">
      <formula>LEN(TRIM(C15))=0</formula>
    </cfRule>
    <cfRule type="notContainsBlanks" dxfId="943" priority="44">
      <formula>LEN(TRIM(C15))&gt;0</formula>
    </cfRule>
  </conditionalFormatting>
  <conditionalFormatting sqref="C24:H24 J24:P24 R24 AA24:AI2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942" priority="139">
      <formula>LEN(TRIM(C25))=0</formula>
    </cfRule>
    <cfRule type="notContainsBlanks" dxfId="941" priority="140">
      <formula>LEN(TRIM(C25))&gt;0</formula>
    </cfRule>
  </conditionalFormatting>
  <conditionalFormatting sqref="C28:H28 J28:P28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940" priority="45">
      <formula>LEN(TRIM(C29))=0</formula>
    </cfRule>
    <cfRule type="notContainsBlanks" dxfId="939" priority="46">
      <formula>LEN(TRIM(C29))&gt;0</formula>
    </cfRule>
  </conditionalFormatting>
  <conditionalFormatting sqref="C41:H41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938" priority="81">
      <formula>LEN(TRIM(C42))=0</formula>
    </cfRule>
    <cfRule type="notContainsBlanks" dxfId="937" priority="82">
      <formula>LEN(TRIM(C42))&gt;0</formula>
    </cfRule>
  </conditionalFormatting>
  <conditionalFormatting sqref="C58:H58 R58:X58 Z58:AB58 J58:P58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936" priority="145">
      <formula>LEN(TRIM(C59))=0</formula>
    </cfRule>
    <cfRule type="notContainsBlanks" dxfId="935" priority="146">
      <formula>LEN(TRIM(C59))&gt;0</formula>
    </cfRule>
  </conditionalFormatting>
  <conditionalFormatting sqref="C62:H62 R62:X62 Z62:AB62 J62:P62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934" priority="61">
      <formula>LEN(TRIM(C63))=0</formula>
    </cfRule>
    <cfRule type="notContainsBlanks" dxfId="933" priority="62">
      <formula>LEN(TRIM(C63))&gt;0</formula>
    </cfRule>
  </conditionalFormatting>
  <conditionalFormatting sqref="C72:H72">
    <cfRule type="containsBlanks" dxfId="932" priority="109">
      <formula>LEN(TRIM(C72))=0</formula>
    </cfRule>
    <cfRule type="notContainsBlanks" dxfId="931" priority="110">
      <formula>LEN(TRIM(C72))&gt;0</formula>
    </cfRule>
    <cfRule type="containsBlanks" dxfId="930" priority="111">
      <formula>LEN(TRIM(C72))=0</formula>
    </cfRule>
    <cfRule type="notContainsBlanks" dxfId="929" priority="112">
      <formula>LEN(TRIM(C72))&gt;0</formula>
    </cfRule>
  </conditionalFormatting>
  <conditionalFormatting sqref="C76:H76">
    <cfRule type="containsBlanks" dxfId="928" priority="176">
      <formula>LEN(TRIM(C76))=0</formula>
    </cfRule>
    <cfRule type="notContainsBlanks" dxfId="927" priority="177">
      <formula>LEN(TRIM(C76))&gt;0</formula>
    </cfRule>
  </conditionalFormatting>
  <conditionalFormatting sqref="D63:H63">
    <cfRule type="containsBlanks" dxfId="926" priority="59">
      <formula>LEN(TRIM(D63))=0</formula>
    </cfRule>
    <cfRule type="notContainsBlanks" dxfId="925" priority="60">
      <formula>LEN(TRIM(D63))&gt;0</formula>
    </cfRule>
  </conditionalFormatting>
  <conditionalFormatting sqref="E45:F45 H45 J45:P45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924" priority="210">
      <formula>LEN(TRIM(E46))=0</formula>
    </cfRule>
    <cfRule type="notContainsBlanks" dxfId="923" priority="211">
      <formula>LEN(TRIM(E46))&gt;0</formula>
    </cfRule>
  </conditionalFormatting>
  <conditionalFormatting sqref="E10:H10 J10:P10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G10:H10 J10:P10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922" priority="164">
      <formula>LEN(TRIM(G42))=0</formula>
    </cfRule>
    <cfRule type="notContainsBlanks" dxfId="921" priority="165">
      <formula>LEN(TRIM(G42))&gt;0</formula>
    </cfRule>
  </conditionalFormatting>
  <conditionalFormatting sqref="H6">
    <cfRule type="dataBar" priority="1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1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2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920" priority="87">
      <formula>LEN(TRIM(H46))=0</formula>
    </cfRule>
    <cfRule type="notContainsBlanks" dxfId="919" priority="88">
      <formula>LEN(TRIM(H46))&gt;0</formula>
    </cfRule>
    <cfRule type="containsBlanks" dxfId="918" priority="89">
      <formula>LEN(TRIM(H46))=0</formula>
    </cfRule>
    <cfRule type="notContainsBlanks" dxfId="917" priority="90">
      <formula>LEN(TRIM(H46))&gt;0</formula>
    </cfRule>
  </conditionalFormatting>
  <conditionalFormatting sqref="H50">
    <cfRule type="containsBlanks" dxfId="916" priority="95">
      <formula>LEN(TRIM(H50))=0</formula>
    </cfRule>
    <cfRule type="notContainsBlanks" dxfId="915" priority="96">
      <formula>LEN(TRIM(H50))&gt;0</formula>
    </cfRule>
  </conditionalFormatting>
  <conditionalFormatting sqref="I10">
    <cfRule type="dataBar" priority="22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4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1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914" priority="202">
      <formula>LEN(TRIM(J72))=0</formula>
    </cfRule>
    <cfRule type="notContainsBlanks" dxfId="913" priority="203">
      <formula>LEN(TRIM(J72))&gt;0</formula>
    </cfRule>
  </conditionalFormatting>
  <conditionalFormatting sqref="J20:K20">
    <cfRule type="dataBar" priority="28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912" priority="97">
      <formula>LEN(TRIM(J21))=0</formula>
    </cfRule>
    <cfRule type="notContainsBlanks" dxfId="911" priority="98">
      <formula>LEN(TRIM(J21))&gt;0</formula>
    </cfRule>
  </conditionalFormatting>
  <conditionalFormatting sqref="J63:L63">
    <cfRule type="containsBlanks" dxfId="910" priority="143">
      <formula>LEN(TRIM(J63))=0</formula>
    </cfRule>
    <cfRule type="notContainsBlanks" dxfId="909" priority="144">
      <formula>LEN(TRIM(J63))&gt;0</formula>
    </cfRule>
  </conditionalFormatting>
  <conditionalFormatting sqref="J46:M46">
    <cfRule type="containsBlanks" dxfId="908" priority="83">
      <formula>LEN(TRIM(J46))=0</formula>
    </cfRule>
    <cfRule type="notContainsBlanks" dxfId="907" priority="84">
      <formula>LEN(TRIM(J46))&gt;0</formula>
    </cfRule>
  </conditionalFormatting>
  <conditionalFormatting sqref="J42:N42">
    <cfRule type="containsBlanks" dxfId="906" priority="73">
      <formula>LEN(TRIM(J42))=0</formula>
    </cfRule>
    <cfRule type="notContainsBlanks" dxfId="905" priority="74">
      <formula>LEN(TRIM(J42))&gt;0</formula>
    </cfRule>
  </conditionalFormatting>
  <conditionalFormatting sqref="J41:O41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904" priority="137">
      <formula>LEN(TRIM(J7))=0</formula>
    </cfRule>
    <cfRule type="notContainsBlanks" dxfId="903" priority="138">
      <formula>LEN(TRIM(J7))&gt;0</formula>
    </cfRule>
  </conditionalFormatting>
  <conditionalFormatting sqref="J11:P11">
    <cfRule type="containsBlanks" dxfId="902" priority="39">
      <formula>LEN(TRIM(J11))=0</formula>
    </cfRule>
    <cfRule type="notContainsBlanks" dxfId="901" priority="40">
      <formula>LEN(TRIM(J11))&gt;0</formula>
    </cfRule>
  </conditionalFormatting>
  <conditionalFormatting sqref="J15:P15">
    <cfRule type="containsBlanks" dxfId="900" priority="41">
      <formula>LEN(TRIM(J15))=0</formula>
    </cfRule>
    <cfRule type="notContainsBlanks" dxfId="899" priority="42">
      <formula>LEN(TRIM(J15))&gt;0</formula>
    </cfRule>
  </conditionalFormatting>
  <conditionalFormatting sqref="J25:P25">
    <cfRule type="containsBlanks" dxfId="898" priority="19">
      <formula>LEN(TRIM(J25))=0</formula>
    </cfRule>
    <cfRule type="notContainsBlanks" dxfId="897" priority="20">
      <formula>LEN(TRIM(J25))&gt;0</formula>
    </cfRule>
  </conditionalFormatting>
  <conditionalFormatting sqref="J29:P29">
    <cfRule type="containsBlanks" dxfId="896" priority="3">
      <formula>LEN(TRIM(J29))=0</formula>
    </cfRule>
    <cfRule type="notContainsBlanks" dxfId="895" priority="4">
      <formula>LEN(TRIM(J29))&gt;0</formula>
    </cfRule>
  </conditionalFormatting>
  <conditionalFormatting sqref="J42:P42">
    <cfRule type="containsBlanks" dxfId="894" priority="75">
      <formula>LEN(TRIM(J42))=0</formula>
    </cfRule>
    <cfRule type="notContainsBlanks" dxfId="893" priority="76">
      <formula>LEN(TRIM(J42))&gt;0</formula>
    </cfRule>
  </conditionalFormatting>
  <conditionalFormatting sqref="J45:P45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892" priority="85">
      <formula>LEN(TRIM(J46))=0</formula>
    </cfRule>
    <cfRule type="notContainsBlanks" dxfId="891" priority="86">
      <formula>LEN(TRIM(J46))&gt;0</formula>
    </cfRule>
  </conditionalFormatting>
  <conditionalFormatting sqref="J49:P49 C49:F49 H49 C45:F45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890" priority="93">
      <formula>LEN(TRIM(J50))=0</formula>
    </cfRule>
    <cfRule type="notContainsBlanks" dxfId="889" priority="94">
      <formula>LEN(TRIM(J50))&gt;0</formula>
    </cfRule>
  </conditionalFormatting>
  <conditionalFormatting sqref="J59:P59">
    <cfRule type="containsBlanks" dxfId="888" priority="57">
      <formula>LEN(TRIM(J59))=0</formula>
    </cfRule>
    <cfRule type="notContainsBlanks" dxfId="887" priority="58">
      <formula>LEN(TRIM(J59))&gt;0</formula>
    </cfRule>
  </conditionalFormatting>
  <conditionalFormatting sqref="J63:P63">
    <cfRule type="containsBlanks" dxfId="886" priority="65">
      <formula>LEN(TRIM(J63))=0</formula>
    </cfRule>
    <cfRule type="notContainsBlanks" dxfId="885" priority="66">
      <formula>LEN(TRIM(J63))&gt;0</formula>
    </cfRule>
  </conditionalFormatting>
  <conditionalFormatting sqref="J71:P71 R71:X71 Z71:AB71 C71:H71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884" priority="115">
      <formula>LEN(TRIM(J72))=0</formula>
    </cfRule>
    <cfRule type="notContainsBlanks" dxfId="883" priority="116">
      <formula>LEN(TRIM(J72))&gt;0</formula>
    </cfRule>
  </conditionalFormatting>
  <conditionalFormatting sqref="J75:P75 R75:X75 Z75:AA75 C75:H75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882" priority="174">
      <formula>LEN(TRIM(J76))=0</formula>
    </cfRule>
    <cfRule type="notContainsBlanks" dxfId="881" priority="175">
      <formula>LEN(TRIM(J76))&gt;0</formula>
    </cfRule>
  </conditionalFormatting>
  <conditionalFormatting sqref="K11:P11">
    <cfRule type="containsBlanks" dxfId="880" priority="141">
      <formula>LEN(TRIM(K11))=0</formula>
    </cfRule>
    <cfRule type="notContainsBlanks" dxfId="879" priority="142">
      <formula>LEN(TRIM(K11))&gt;0</formula>
    </cfRule>
  </conditionalFormatting>
  <conditionalFormatting sqref="K59:P59">
    <cfRule type="containsBlanks" dxfId="878" priority="147">
      <formula>LEN(TRIM(K59))=0</formula>
    </cfRule>
    <cfRule type="notContainsBlanks" dxfId="877" priority="148">
      <formula>LEN(TRIM(K59))&gt;0</formula>
    </cfRule>
    <cfRule type="containsBlanks" dxfId="876" priority="149">
      <formula>LEN(TRIM(K59))=0</formula>
    </cfRule>
    <cfRule type="notContainsBlanks" dxfId="875" priority="150">
      <formula>LEN(TRIM(K59))&gt;0</formula>
    </cfRule>
  </conditionalFormatting>
  <conditionalFormatting sqref="K72:P72">
    <cfRule type="containsBlanks" dxfId="874" priority="113">
      <formula>LEN(TRIM(K72))=0</formula>
    </cfRule>
    <cfRule type="notContainsBlanks" dxfId="873" priority="114">
      <formula>LEN(TRIM(K72))&gt;0</formula>
    </cfRule>
  </conditionalFormatting>
  <conditionalFormatting sqref="L76:P76">
    <cfRule type="containsBlanks" dxfId="872" priority="187">
      <formula>LEN(TRIM(L76))=0</formula>
    </cfRule>
    <cfRule type="notContainsBlanks" dxfId="871" priority="188">
      <formula>LEN(TRIM(L76))&gt;0</formula>
    </cfRule>
  </conditionalFormatting>
  <conditionalFormatting sqref="M50:P50">
    <cfRule type="containsBlanks" dxfId="870" priority="214">
      <formula>LEN(TRIM(M50))=0</formula>
    </cfRule>
    <cfRule type="notContainsBlanks" dxfId="869" priority="215">
      <formula>LEN(TRIM(M50))&gt;0</formula>
    </cfRule>
  </conditionalFormatting>
  <conditionalFormatting sqref="M63:P63">
    <cfRule type="containsBlanks" dxfId="868" priority="63">
      <formula>LEN(TRIM(M63))=0</formula>
    </cfRule>
    <cfRule type="notContainsBlanks" dxfId="867" priority="64">
      <formula>LEN(TRIM(M63))&gt;0</formula>
    </cfRule>
  </conditionalFormatting>
  <conditionalFormatting sqref="N46:P46">
    <cfRule type="containsBlanks" dxfId="866" priority="166">
      <formula>LEN(TRIM(N46))=0</formula>
    </cfRule>
    <cfRule type="notContainsBlanks" dxfId="865" priority="167">
      <formula>LEN(TRIM(N46))&gt;0</formula>
    </cfRule>
    <cfRule type="containsBlanks" dxfId="864" priority="208">
      <formula>LEN(TRIM(N46))=0</formula>
    </cfRule>
    <cfRule type="notContainsBlanks" dxfId="863" priority="209">
      <formula>LEN(TRIM(N46))&gt;0</formula>
    </cfRule>
  </conditionalFormatting>
  <conditionalFormatting sqref="O46:P46">
    <cfRule type="containsBlanks" dxfId="862" priority="212">
      <formula>LEN(TRIM(O46))=0</formula>
    </cfRule>
    <cfRule type="notContainsBlanks" dxfId="861" priority="213">
      <formula>LEN(TRIM(O46))&gt;0</formula>
    </cfRule>
  </conditionalFormatting>
  <conditionalFormatting sqref="P6">
    <cfRule type="dataBar" priority="1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860" priority="133">
      <formula>LEN(TRIM(P7))=0</formula>
    </cfRule>
    <cfRule type="notContainsBlanks" dxfId="859" priority="134">
      <formula>LEN(TRIM(P7))&gt;0</formula>
    </cfRule>
    <cfRule type="containsBlanks" dxfId="858" priority="135">
      <formula>LEN(TRIM(P7))=0</formula>
    </cfRule>
    <cfRule type="notContainsBlanks" dxfId="857" priority="136">
      <formula>LEN(TRIM(P7))&gt;0</formula>
    </cfRule>
  </conditionalFormatting>
  <conditionalFormatting sqref="P14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1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856" priority="36">
      <formula>LEN(TRIM(R11))&gt;0</formula>
    </cfRule>
  </conditionalFormatting>
  <conditionalFormatting sqref="R15">
    <cfRule type="containsBlanks" dxfId="855" priority="37">
      <formula>LEN(TRIM(R15))=0</formula>
    </cfRule>
    <cfRule type="notContainsBlanks" dxfId="854" priority="38">
      <formula>LEN(TRIM(R15))&gt;0</formula>
    </cfRule>
  </conditionalFormatting>
  <conditionalFormatting sqref="R59">
    <cfRule type="containsBlanks" dxfId="853" priority="51">
      <formula>LEN(TRIM(R59))=0</formula>
    </cfRule>
    <cfRule type="notContainsBlanks" dxfId="852" priority="52">
      <formula>LEN(TRIM(R59))&gt;0</formula>
    </cfRule>
    <cfRule type="containsBlanks" dxfId="851" priority="53">
      <formula>LEN(TRIM(R59))=0</formula>
    </cfRule>
    <cfRule type="notContainsBlanks" dxfId="850" priority="54">
      <formula>LEN(TRIM(R59))&gt;0</formula>
    </cfRule>
  </conditionalFormatting>
  <conditionalFormatting sqref="R72">
    <cfRule type="containsBlanks" dxfId="849" priority="200">
      <formula>LEN(TRIM(R72))=0</formula>
    </cfRule>
    <cfRule type="notContainsBlanks" dxfId="848" priority="201">
      <formula>LEN(TRIM(R72))&gt;0</formula>
    </cfRule>
  </conditionalFormatting>
  <conditionalFormatting sqref="R63:S63">
    <cfRule type="containsBlanks" dxfId="847" priority="154">
      <formula>LEN(TRIM(R63))=0</formula>
    </cfRule>
    <cfRule type="notContainsBlanks" dxfId="846" priority="155">
      <formula>LEN(TRIM(R63))&gt;0</formula>
    </cfRule>
  </conditionalFormatting>
  <conditionalFormatting sqref="R76:S76">
    <cfRule type="containsBlanks" dxfId="845" priority="170">
      <formula>LEN(TRIM(R76))=0</formula>
    </cfRule>
    <cfRule type="notContainsBlanks" dxfId="844" priority="171">
      <formula>LEN(TRIM(R76))&gt;0</formula>
    </cfRule>
  </conditionalFormatting>
  <conditionalFormatting sqref="R7:T7">
    <cfRule type="containsBlanks" dxfId="843" priority="5">
      <formula>LEN(TRIM(R7))=0</formula>
    </cfRule>
    <cfRule type="notContainsBlanks" dxfId="842" priority="6">
      <formula>LEN(TRIM(R7))&gt;0</formula>
    </cfRule>
    <cfRule type="containsBlanks" dxfId="841" priority="7">
      <formula>LEN(TRIM(R7))=0</formula>
    </cfRule>
    <cfRule type="notContainsBlanks" dxfId="840" priority="8">
      <formula>LEN(TRIM(R7))&gt;0</formula>
    </cfRule>
  </conditionalFormatting>
  <conditionalFormatting sqref="R11:T11">
    <cfRule type="containsBlanks" dxfId="839" priority="29">
      <formula>LEN(TRIM(R11))=0</formula>
    </cfRule>
    <cfRule type="notContainsBlanks" dxfId="838" priority="30">
      <formula>LEN(TRIM(R11))&gt;0</formula>
    </cfRule>
  </conditionalFormatting>
  <conditionalFormatting sqref="R63:T63">
    <cfRule type="containsBlanks" dxfId="837" priority="156">
      <formula>LEN(TRIM(R63))=0</formula>
    </cfRule>
    <cfRule type="notContainsBlanks" dxfId="836" priority="157">
      <formula>LEN(TRIM(R63))&gt;0</formula>
    </cfRule>
    <cfRule type="containsBlanks" dxfId="835" priority="162">
      <formula>LEN(TRIM(R63))=0</formula>
    </cfRule>
    <cfRule type="notContainsBlanks" dxfId="834" priority="163">
      <formula>LEN(TRIM(R63))&gt;0</formula>
    </cfRule>
  </conditionalFormatting>
  <conditionalFormatting sqref="R14:W14 R6:X6 R10:W10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833" priority="9">
      <formula>LEN(TRIM(R7))=0</formula>
    </cfRule>
    <cfRule type="notContainsBlanks" dxfId="832" priority="10">
      <formula>LEN(TRIM(R7))&gt;0</formula>
    </cfRule>
  </conditionalFormatting>
  <conditionalFormatting sqref="R25:X25">
    <cfRule type="containsBlanks" dxfId="831" priority="21">
      <formula>LEN(TRIM(R25))=0</formula>
    </cfRule>
    <cfRule type="notContainsBlanks" dxfId="830" priority="22">
      <formula>LEN(TRIM(R25))&gt;0</formula>
    </cfRule>
  </conditionalFormatting>
  <conditionalFormatting sqref="R29:X29">
    <cfRule type="containsBlanks" dxfId="829" priority="121">
      <formula>LEN(TRIM(R29))=0</formula>
    </cfRule>
    <cfRule type="notContainsBlanks" dxfId="828" priority="122">
      <formula>LEN(TRIM(R29))&gt;0</formula>
    </cfRule>
  </conditionalFormatting>
  <conditionalFormatting sqref="R59:X59">
    <cfRule type="containsBlanks" dxfId="827" priority="55">
      <formula>LEN(TRIM(R59))=0</formula>
    </cfRule>
    <cfRule type="notContainsBlanks" dxfId="826" priority="56">
      <formula>LEN(TRIM(R59))&gt;0</formula>
    </cfRule>
  </conditionalFormatting>
  <conditionalFormatting sqref="R72:X72">
    <cfRule type="containsBlanks" dxfId="825" priority="1">
      <formula>LEN(TRIM(R72))=0</formula>
    </cfRule>
    <cfRule type="notContainsBlanks" dxfId="824" priority="2">
      <formula>LEN(TRIM(R72))&gt;0</formula>
    </cfRule>
  </conditionalFormatting>
  <conditionalFormatting sqref="R76:X76">
    <cfRule type="containsBlanks" dxfId="823" priority="172">
      <formula>LEN(TRIM(R76))=0</formula>
    </cfRule>
    <cfRule type="notContainsBlanks" dxfId="822" priority="173">
      <formula>LEN(TRIM(R76))&gt;0</formula>
    </cfRule>
  </conditionalFormatting>
  <conditionalFormatting sqref="S15:W15">
    <cfRule type="containsBlanks" dxfId="821" priority="193">
      <formula>LEN(TRIM(S15))=0</formula>
    </cfRule>
    <cfRule type="notContainsBlanks" dxfId="820" priority="194">
      <formula>LEN(TRIM(S15))&gt;0</formula>
    </cfRule>
  </conditionalFormatting>
  <conditionalFormatting sqref="S24:X24 Z24">
    <cfRule type="dataBar" priority="18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8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819" priority="152">
      <formula>LEN(TRIM(S59))=0</formula>
    </cfRule>
    <cfRule type="notContainsBlanks" dxfId="818" priority="153">
      <formula>LEN(TRIM(S59))&gt;0</formula>
    </cfRule>
  </conditionalFormatting>
  <conditionalFormatting sqref="U11:X11 R11">
    <cfRule type="containsBlanks" dxfId="817" priority="35">
      <formula>LEN(TRIM(R11))=0</formula>
    </cfRule>
  </conditionalFormatting>
  <conditionalFormatting sqref="U63:X63">
    <cfRule type="containsBlanks" dxfId="816" priority="67">
      <formula>LEN(TRIM(U63))=0</formula>
    </cfRule>
    <cfRule type="notContainsBlanks" dxfId="815" priority="68">
      <formula>LEN(TRIM(U63))&gt;0</formula>
    </cfRule>
    <cfRule type="containsBlanks" dxfId="814" priority="69">
      <formula>LEN(TRIM(U63))=0</formula>
    </cfRule>
    <cfRule type="notContainsBlanks" dxfId="813" priority="70">
      <formula>LEN(TRIM(U63))&gt;0</formula>
    </cfRule>
    <cfRule type="containsBlanks" dxfId="812" priority="71">
      <formula>LEN(TRIM(U63))=0</formula>
    </cfRule>
    <cfRule type="notContainsBlanks" dxfId="811" priority="72">
      <formula>LEN(TRIM(U63))&gt;0</formula>
    </cfRule>
  </conditionalFormatting>
  <conditionalFormatting sqref="V11:W11">
    <cfRule type="containsBlanks" dxfId="810" priority="31">
      <formula>LEN(TRIM(V11))=0</formula>
    </cfRule>
    <cfRule type="notContainsBlanks" dxfId="809" priority="32">
      <formula>LEN(TRIM(V11))&gt;0</formula>
    </cfRule>
  </conditionalFormatting>
  <conditionalFormatting sqref="W15:X15">
    <cfRule type="containsBlanks" dxfId="808" priority="183">
      <formula>LEN(TRIM(W15))=0</formula>
    </cfRule>
    <cfRule type="notContainsBlanks" dxfId="807" priority="184">
      <formula>LEN(TRIM(W15))&gt;0</formula>
    </cfRule>
  </conditionalFormatting>
  <conditionalFormatting sqref="W32:X32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806" priority="195">
      <formula>LEN(TRIM(W33))=0</formula>
    </cfRule>
    <cfRule type="notContainsBlanks" dxfId="805" priority="196">
      <formula>LEN(TRIM(W33))&gt;0</formula>
    </cfRule>
  </conditionalFormatting>
  <conditionalFormatting sqref="X10">
    <cfRule type="dataBar" priority="18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8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804" priority="264">
      <formula>LEN(TRIM(X21))=0</formula>
    </cfRule>
    <cfRule type="notContainsBlanks" dxfId="803" priority="265">
      <formula>LEN(TRIM(X21))&gt;0</formula>
    </cfRule>
    <cfRule type="containsBlanks" dxfId="802" priority="266">
      <formula>LEN(TRIM(X21))=0</formula>
    </cfRule>
    <cfRule type="notContainsBlanks" dxfId="801" priority="267">
      <formula>LEN(TRIM(X21))&gt;0</formula>
    </cfRule>
    <cfRule type="containsBlanks" dxfId="800" priority="268">
      <formula>LEN(TRIM(X21))=0</formula>
    </cfRule>
    <cfRule type="notContainsBlanks" dxfId="799" priority="269">
      <formula>LEN(TRIM(X21))&gt;0</formula>
    </cfRule>
    <cfRule type="containsBlanks" dxfId="798" priority="270">
      <formula>LEN(TRIM(X21))=0</formula>
    </cfRule>
    <cfRule type="notContainsBlanks" dxfId="797" priority="271">
      <formula>LEN(TRIM(X21))&gt;0</formula>
    </cfRule>
    <cfRule type="containsBlanks" dxfId="796" priority="272">
      <formula>LEN(TRIM(X21))=0</formula>
    </cfRule>
    <cfRule type="notContainsBlanks" dxfId="795" priority="273">
      <formula>LEN(TRIM(X21))&gt;0</formula>
    </cfRule>
  </conditionalFormatting>
  <conditionalFormatting sqref="Y24">
    <cfRule type="dataBar" priority="18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1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794" priority="47">
      <formula>LEN(TRIM(Z59))=0</formula>
    </cfRule>
    <cfRule type="notContainsBlanks" dxfId="793" priority="48">
      <formula>LEN(TRIM(Z59))&gt;0</formula>
    </cfRule>
  </conditionalFormatting>
  <conditionalFormatting sqref="Z72">
    <cfRule type="containsBlanks" dxfId="792" priority="117">
      <formula>LEN(TRIM(Z72))=0</formula>
    </cfRule>
    <cfRule type="notContainsBlanks" dxfId="791" priority="118">
      <formula>LEN(TRIM(Z72))&gt;0</formula>
    </cfRule>
  </conditionalFormatting>
  <conditionalFormatting sqref="Z76">
    <cfRule type="containsBlanks" dxfId="790" priority="198">
      <formula>LEN(TRIM(Z76))=0</formula>
    </cfRule>
    <cfRule type="notContainsBlanks" dxfId="789" priority="199">
      <formula>LEN(TRIM(Z76))&gt;0</formula>
    </cfRule>
  </conditionalFormatting>
  <conditionalFormatting sqref="Z63:AA63">
    <cfRule type="containsBlanks" dxfId="788" priority="158">
      <formula>LEN(TRIM(Z63))=0</formula>
    </cfRule>
    <cfRule type="notContainsBlanks" dxfId="787" priority="159">
      <formula>LEN(TRIM(Z63))&gt;0</formula>
    </cfRule>
  </conditionalFormatting>
  <conditionalFormatting sqref="Z59:AB59">
    <cfRule type="containsBlanks" dxfId="786" priority="49">
      <formula>LEN(TRIM(Z59))=0</formula>
    </cfRule>
    <cfRule type="notContainsBlanks" dxfId="785" priority="50">
      <formula>LEN(TRIM(Z59))&gt;0</formula>
    </cfRule>
  </conditionalFormatting>
  <conditionalFormatting sqref="Z63:AB63">
    <cfRule type="containsBlanks" dxfId="784" priority="160">
      <formula>LEN(TRIM(Z63))=0</formula>
    </cfRule>
    <cfRule type="notContainsBlanks" dxfId="783" priority="161">
      <formula>LEN(TRIM(Z63))&gt;0</formula>
    </cfRule>
    <cfRule type="containsBlanks" dxfId="782" priority="168">
      <formula>LEN(TRIM(Z63))=0</formula>
    </cfRule>
    <cfRule type="notContainsBlanks" dxfId="781" priority="169">
      <formula>LEN(TRIM(Z63))&gt;0</formula>
    </cfRule>
  </conditionalFormatting>
  <conditionalFormatting sqref="Z25:AI25">
    <cfRule type="containsBlanks" dxfId="780" priority="103">
      <formula>LEN(TRIM(Z25))=0</formula>
    </cfRule>
    <cfRule type="notContainsBlanks" dxfId="779" priority="104">
      <formula>LEN(TRIM(Z25))&gt;0</formula>
    </cfRule>
  </conditionalFormatting>
  <conditionalFormatting sqref="Z29:AI29">
    <cfRule type="containsBlanks" dxfId="778" priority="15">
      <formula>LEN(TRIM(Z29))=0</formula>
    </cfRule>
    <cfRule type="notContainsBlanks" dxfId="777" priority="16">
      <formula>LEN(TRIM(Z29))&gt;0</formula>
    </cfRule>
  </conditionalFormatting>
  <conditionalFormatting sqref="AA59:AB59">
    <cfRule type="containsBlanks" dxfId="776" priority="129">
      <formula>LEN(TRIM(AA59))=0</formula>
    </cfRule>
    <cfRule type="notContainsBlanks" dxfId="775" priority="130">
      <formula>LEN(TRIM(AA59))&gt;0</formula>
    </cfRule>
  </conditionalFormatting>
  <conditionalFormatting sqref="AA28:AI28 R28">
    <cfRule type="dataBar" priority="22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774" priority="256">
      <formula>LEN(TRIM(AF21))=0</formula>
    </cfRule>
    <cfRule type="notContainsBlanks" dxfId="773" priority="257">
      <formula>LEN(TRIM(AF21))&gt;0</formula>
    </cfRule>
    <cfRule type="containsBlanks" dxfId="772" priority="258">
      <formula>LEN(TRIM(AF21))=0</formula>
    </cfRule>
    <cfRule type="notContainsBlanks" dxfId="771" priority="259">
      <formula>LEN(TRIM(AF21))&gt;0</formula>
    </cfRule>
    <cfRule type="containsBlanks" dxfId="770" priority="260">
      <formula>LEN(TRIM(AF21))=0</formula>
    </cfRule>
    <cfRule type="notContainsBlanks" dxfId="769" priority="261">
      <formula>LEN(TRIM(AF21))&gt;0</formula>
    </cfRule>
    <cfRule type="containsBlanks" dxfId="768" priority="262">
      <formula>LEN(TRIM(AF21))=0</formula>
    </cfRule>
    <cfRule type="notContainsBlanks" dxfId="767" priority="263">
      <formula>LEN(TRIM(AF21))&gt;0</formula>
    </cfRule>
  </conditionalFormatting>
  <conditionalFormatting sqref="AF20:AI20">
    <cfRule type="dataBar" priority="2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766" priority="99">
      <formula>LEN(TRIM(AF21))=0</formula>
    </cfRule>
    <cfRule type="notContainsBlanks" dxfId="765" priority="100">
      <formula>LEN(TRIM(AF21))&gt;0</formula>
    </cfRule>
  </conditionalFormatting>
  <conditionalFormatting sqref="AG32:AI32">
    <cfRule type="dataBar" priority="2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764" priority="274">
      <formula>LEN(TRIM(AG33))=0</formula>
    </cfRule>
    <cfRule type="notContainsBlanks" dxfId="763" priority="275">
      <formula>LEN(TRIM(AG33))&gt;0</formula>
    </cfRule>
    <cfRule type="containsBlanks" dxfId="762" priority="276">
      <formula>LEN(TRIM(AG33))=0</formula>
    </cfRule>
    <cfRule type="notContainsBlanks" dxfId="761" priority="277">
      <formula>LEN(TRIM(AG33))&gt;0</formula>
    </cfRule>
    <cfRule type="containsBlanks" dxfId="760" priority="278">
      <formula>LEN(TRIM(AG33))=0</formula>
    </cfRule>
    <cfRule type="notContainsBlanks" dxfId="759" priority="279">
      <formula>LEN(TRIM(AG33))&gt;0</formula>
    </cfRule>
    <cfRule type="containsBlanks" dxfId="758" priority="280">
      <formula>LEN(TRIM(AG33))=0</formula>
    </cfRule>
    <cfRule type="notContainsBlanks" dxfId="757" priority="281">
      <formula>LEN(TRIM(AG33))&gt;0</formula>
    </cfRule>
    <cfRule type="containsBlanks" dxfId="756" priority="282">
      <formula>LEN(TRIM(AG33))=0</formula>
    </cfRule>
    <cfRule type="notContainsBlanks" dxfId="755" priority="283">
      <formula>LEN(TRIM(AG33))&gt;0</formula>
    </cfRule>
    <cfRule type="containsBlanks" dxfId="754" priority="284">
      <formula>LEN(TRIM(AG33))=0</formula>
    </cfRule>
    <cfRule type="notContainsBlanks" dxfId="753" priority="285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W234"/>
  <sheetViews>
    <sheetView zoomScale="75" zoomScaleNormal="92" workbookViewId="0">
      <pane xSplit="2" ySplit="13" topLeftCell="C14" activePane="bottomRight" state="frozen"/>
      <selection pane="topRight" activeCell="C1" sqref="C1"/>
      <selection pane="bottomLeft" activeCell="A14" sqref="A14"/>
      <selection pane="bottomRight" activeCell="AI31" sqref="AI31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2.28515625" bestFit="1" customWidth="1"/>
    <col min="8" max="842" width="5.7109375" customWidth="1"/>
  </cols>
  <sheetData>
    <row r="1" spans="1:101" ht="18.75" x14ac:dyDescent="0.3">
      <c r="A1" s="86">
        <v>45695</v>
      </c>
      <c r="B1" s="86"/>
      <c r="C1" s="1"/>
      <c r="D1" s="1"/>
    </row>
    <row r="2" spans="1:101" ht="18.75" x14ac:dyDescent="0.3">
      <c r="A2">
        <v>1</v>
      </c>
      <c r="E2" s="2"/>
      <c r="F2" s="2"/>
      <c r="G2" s="2"/>
    </row>
    <row r="3" spans="1:101" ht="18.75" x14ac:dyDescent="0.3">
      <c r="E3" s="2"/>
      <c r="F3" s="2"/>
      <c r="G3" s="2"/>
      <c r="AL3" s="4"/>
      <c r="AM3" s="4"/>
      <c r="AN3" s="4"/>
      <c r="AO3" s="4"/>
      <c r="AP3" s="4"/>
      <c r="AQ3" s="4"/>
      <c r="AR3" s="4"/>
    </row>
    <row r="4" spans="1:101" x14ac:dyDescent="0.25">
      <c r="B4" s="5"/>
      <c r="C4" s="5"/>
      <c r="D4" s="5"/>
      <c r="E4" s="6"/>
      <c r="F4" s="6"/>
      <c r="G4" s="6"/>
      <c r="H4" s="8">
        <v>45962</v>
      </c>
      <c r="I4" s="8">
        <f t="shared" ref="I4:I6" si="0">H4+1</f>
        <v>45963</v>
      </c>
      <c r="J4" s="7">
        <f t="shared" ref="J4:BT6" si="1">I4+1</f>
        <v>45964</v>
      </c>
      <c r="K4" s="7">
        <f t="shared" si="1"/>
        <v>45965</v>
      </c>
      <c r="L4" s="7">
        <f t="shared" si="1"/>
        <v>45966</v>
      </c>
      <c r="M4" s="7">
        <f t="shared" si="1"/>
        <v>45967</v>
      </c>
      <c r="N4" s="7">
        <f t="shared" si="1"/>
        <v>45968</v>
      </c>
      <c r="O4" s="8">
        <f t="shared" si="1"/>
        <v>45969</v>
      </c>
      <c r="P4" s="8">
        <f t="shared" si="1"/>
        <v>45970</v>
      </c>
      <c r="Q4" s="7">
        <f t="shared" si="1"/>
        <v>45971</v>
      </c>
      <c r="R4" s="7">
        <f t="shared" si="1"/>
        <v>45972</v>
      </c>
      <c r="S4" s="7">
        <f t="shared" si="1"/>
        <v>45973</v>
      </c>
      <c r="T4" s="7">
        <f t="shared" si="1"/>
        <v>45974</v>
      </c>
      <c r="U4" s="7">
        <f t="shared" si="1"/>
        <v>45975</v>
      </c>
      <c r="V4" s="8">
        <f t="shared" si="1"/>
        <v>45976</v>
      </c>
      <c r="W4" s="8">
        <f t="shared" si="1"/>
        <v>45977</v>
      </c>
      <c r="X4" s="7">
        <f t="shared" si="1"/>
        <v>45978</v>
      </c>
      <c r="Y4" s="7">
        <f t="shared" si="1"/>
        <v>45979</v>
      </c>
      <c r="Z4" s="7">
        <f t="shared" si="1"/>
        <v>45980</v>
      </c>
      <c r="AA4" s="7">
        <f t="shared" si="1"/>
        <v>45981</v>
      </c>
      <c r="AB4" s="7">
        <f t="shared" si="1"/>
        <v>45982</v>
      </c>
      <c r="AC4" s="8">
        <f t="shared" si="1"/>
        <v>45983</v>
      </c>
      <c r="AD4" s="8">
        <f t="shared" si="1"/>
        <v>45984</v>
      </c>
      <c r="AE4" s="7">
        <f t="shared" si="1"/>
        <v>45985</v>
      </c>
      <c r="AF4" s="7">
        <f t="shared" si="1"/>
        <v>45986</v>
      </c>
      <c r="AG4" s="7">
        <f t="shared" si="1"/>
        <v>45987</v>
      </c>
      <c r="AH4" s="7">
        <f t="shared" si="1"/>
        <v>45988</v>
      </c>
      <c r="AI4" s="7">
        <f t="shared" si="1"/>
        <v>45989</v>
      </c>
      <c r="AJ4" s="8">
        <f t="shared" si="1"/>
        <v>45990</v>
      </c>
      <c r="AK4" s="8">
        <f t="shared" si="1"/>
        <v>45991</v>
      </c>
      <c r="AL4" s="7">
        <f t="shared" si="1"/>
        <v>45992</v>
      </c>
      <c r="AM4" s="7">
        <f t="shared" si="1"/>
        <v>45993</v>
      </c>
      <c r="AN4" s="7">
        <f t="shared" si="1"/>
        <v>45994</v>
      </c>
      <c r="AO4" s="7">
        <f t="shared" si="1"/>
        <v>45995</v>
      </c>
      <c r="AP4" s="7">
        <f t="shared" si="1"/>
        <v>45996</v>
      </c>
      <c r="AQ4" s="8">
        <f t="shared" si="1"/>
        <v>45997</v>
      </c>
      <c r="AR4" s="8">
        <f t="shared" si="1"/>
        <v>45998</v>
      </c>
      <c r="AS4" s="7">
        <f t="shared" si="1"/>
        <v>45999</v>
      </c>
      <c r="AT4" s="7">
        <f t="shared" si="1"/>
        <v>46000</v>
      </c>
      <c r="AU4" s="7">
        <f t="shared" si="1"/>
        <v>46001</v>
      </c>
      <c r="AV4" s="7">
        <f t="shared" si="1"/>
        <v>46002</v>
      </c>
      <c r="AW4" s="7">
        <f t="shared" si="1"/>
        <v>46003</v>
      </c>
      <c r="AX4" s="8">
        <f t="shared" si="1"/>
        <v>46004</v>
      </c>
      <c r="AY4" s="8">
        <f t="shared" si="1"/>
        <v>46005</v>
      </c>
      <c r="AZ4" s="7">
        <f t="shared" si="1"/>
        <v>46006</v>
      </c>
      <c r="BA4" s="7">
        <f t="shared" si="1"/>
        <v>46007</v>
      </c>
      <c r="BB4" s="7">
        <f t="shared" si="1"/>
        <v>46008</v>
      </c>
      <c r="BC4" s="7">
        <f t="shared" si="1"/>
        <v>46009</v>
      </c>
      <c r="BD4" s="7">
        <f t="shared" si="1"/>
        <v>46010</v>
      </c>
      <c r="BE4" s="8">
        <f t="shared" si="1"/>
        <v>46011</v>
      </c>
      <c r="BF4" s="8">
        <f t="shared" si="1"/>
        <v>46012</v>
      </c>
      <c r="BG4" s="7">
        <f t="shared" si="1"/>
        <v>46013</v>
      </c>
      <c r="BH4" s="7">
        <f t="shared" si="1"/>
        <v>46014</v>
      </c>
      <c r="BI4" s="7">
        <f t="shared" si="1"/>
        <v>46015</v>
      </c>
      <c r="BJ4" s="7">
        <f t="shared" si="1"/>
        <v>46016</v>
      </c>
      <c r="BK4" s="7">
        <f t="shared" si="1"/>
        <v>46017</v>
      </c>
      <c r="BL4" s="8">
        <f t="shared" si="1"/>
        <v>46018</v>
      </c>
      <c r="BM4" s="8">
        <f t="shared" si="1"/>
        <v>46019</v>
      </c>
      <c r="BN4" s="7">
        <f t="shared" si="1"/>
        <v>46020</v>
      </c>
      <c r="BO4" s="7">
        <f t="shared" si="1"/>
        <v>46021</v>
      </c>
      <c r="BP4" s="7">
        <f t="shared" si="1"/>
        <v>46022</v>
      </c>
      <c r="BQ4" s="7">
        <f t="shared" si="1"/>
        <v>46023</v>
      </c>
      <c r="BR4" s="7">
        <f t="shared" si="1"/>
        <v>46024</v>
      </c>
      <c r="BS4" s="8">
        <f t="shared" si="1"/>
        <v>46025</v>
      </c>
      <c r="BT4" s="8">
        <f t="shared" si="1"/>
        <v>46026</v>
      </c>
      <c r="BU4" s="7">
        <f t="shared" ref="BU4:CW4" si="2">BT4+1</f>
        <v>46027</v>
      </c>
      <c r="BV4" s="7">
        <f t="shared" si="2"/>
        <v>46028</v>
      </c>
      <c r="BW4" s="7">
        <f t="shared" si="2"/>
        <v>46029</v>
      </c>
      <c r="BX4" s="7">
        <f t="shared" si="2"/>
        <v>46030</v>
      </c>
      <c r="BY4" s="7">
        <f t="shared" si="2"/>
        <v>46031</v>
      </c>
      <c r="BZ4" s="8">
        <f t="shared" si="2"/>
        <v>46032</v>
      </c>
      <c r="CA4" s="8">
        <f t="shared" si="2"/>
        <v>46033</v>
      </c>
      <c r="CB4" s="7">
        <f t="shared" si="2"/>
        <v>46034</v>
      </c>
      <c r="CC4" s="7">
        <f t="shared" si="2"/>
        <v>46035</v>
      </c>
      <c r="CD4" s="7">
        <f t="shared" si="2"/>
        <v>46036</v>
      </c>
      <c r="CE4" s="7">
        <f t="shared" si="2"/>
        <v>46037</v>
      </c>
      <c r="CF4" s="7">
        <f t="shared" si="2"/>
        <v>46038</v>
      </c>
      <c r="CG4" s="8">
        <f t="shared" si="2"/>
        <v>46039</v>
      </c>
      <c r="CH4" s="8">
        <f t="shared" si="2"/>
        <v>46040</v>
      </c>
      <c r="CI4" s="7">
        <f t="shared" si="2"/>
        <v>46041</v>
      </c>
      <c r="CJ4" s="7">
        <f t="shared" si="2"/>
        <v>46042</v>
      </c>
      <c r="CK4" s="7">
        <f t="shared" si="2"/>
        <v>46043</v>
      </c>
      <c r="CL4" s="7">
        <f t="shared" si="2"/>
        <v>46044</v>
      </c>
      <c r="CM4" s="7">
        <f t="shared" si="2"/>
        <v>46045</v>
      </c>
      <c r="CN4" s="8">
        <f t="shared" si="2"/>
        <v>46046</v>
      </c>
      <c r="CO4" s="8">
        <f t="shared" si="2"/>
        <v>46047</v>
      </c>
      <c r="CP4" s="7">
        <f t="shared" si="2"/>
        <v>46048</v>
      </c>
      <c r="CQ4" s="7">
        <f t="shared" si="2"/>
        <v>46049</v>
      </c>
      <c r="CR4" s="7">
        <f t="shared" si="2"/>
        <v>46050</v>
      </c>
      <c r="CS4" s="7">
        <f t="shared" si="2"/>
        <v>46051</v>
      </c>
      <c r="CT4" s="7">
        <f t="shared" si="2"/>
        <v>46052</v>
      </c>
      <c r="CU4" s="8">
        <f t="shared" si="2"/>
        <v>46053</v>
      </c>
      <c r="CV4" s="8">
        <f t="shared" si="2"/>
        <v>46054</v>
      </c>
      <c r="CW4" s="7">
        <f t="shared" si="2"/>
        <v>46055</v>
      </c>
    </row>
    <row r="5" spans="1:101" x14ac:dyDescent="0.25">
      <c r="B5" s="9" t="s">
        <v>0</v>
      </c>
      <c r="C5" s="9" t="s">
        <v>0</v>
      </c>
      <c r="D5" s="9"/>
      <c r="E5" s="9" t="s">
        <v>1</v>
      </c>
      <c r="F5" s="9"/>
      <c r="G5" s="10" t="s">
        <v>2</v>
      </c>
      <c r="H5" s="11">
        <v>45962</v>
      </c>
      <c r="I5" s="11">
        <f t="shared" si="0"/>
        <v>45963</v>
      </c>
      <c r="J5" s="3">
        <f t="shared" si="1"/>
        <v>45964</v>
      </c>
      <c r="K5" s="3">
        <f t="shared" si="1"/>
        <v>45965</v>
      </c>
      <c r="L5" s="3">
        <f t="shared" si="1"/>
        <v>45966</v>
      </c>
      <c r="M5" s="3">
        <f t="shared" si="1"/>
        <v>45967</v>
      </c>
      <c r="N5" s="3">
        <f t="shared" si="1"/>
        <v>45968</v>
      </c>
      <c r="O5" s="11">
        <f t="shared" si="1"/>
        <v>45969</v>
      </c>
      <c r="P5" s="11">
        <f t="shared" si="1"/>
        <v>45970</v>
      </c>
      <c r="Q5" s="3">
        <f t="shared" si="1"/>
        <v>45971</v>
      </c>
      <c r="R5" s="3">
        <f t="shared" si="1"/>
        <v>45972</v>
      </c>
      <c r="S5" s="3">
        <f t="shared" si="1"/>
        <v>45973</v>
      </c>
      <c r="T5" s="3">
        <f t="shared" si="1"/>
        <v>45974</v>
      </c>
      <c r="U5" s="3">
        <f t="shared" si="1"/>
        <v>45975</v>
      </c>
      <c r="V5" s="11">
        <f t="shared" si="1"/>
        <v>45976</v>
      </c>
      <c r="W5" s="11">
        <f t="shared" si="1"/>
        <v>45977</v>
      </c>
      <c r="X5" s="3">
        <f t="shared" si="1"/>
        <v>45978</v>
      </c>
      <c r="Y5" s="3">
        <f t="shared" si="1"/>
        <v>45979</v>
      </c>
      <c r="Z5" s="3">
        <f t="shared" si="1"/>
        <v>45980</v>
      </c>
      <c r="AA5" s="3">
        <f t="shared" si="1"/>
        <v>45981</v>
      </c>
      <c r="AB5" s="3">
        <f t="shared" si="1"/>
        <v>45982</v>
      </c>
      <c r="AC5" s="11">
        <f t="shared" si="1"/>
        <v>45983</v>
      </c>
      <c r="AD5" s="11">
        <f t="shared" si="1"/>
        <v>45984</v>
      </c>
      <c r="AE5" s="3">
        <f t="shared" si="1"/>
        <v>45985</v>
      </c>
      <c r="AF5" s="3">
        <f t="shared" si="1"/>
        <v>45986</v>
      </c>
      <c r="AG5" s="3">
        <f t="shared" si="1"/>
        <v>45987</v>
      </c>
      <c r="AH5" s="3">
        <f t="shared" si="1"/>
        <v>45988</v>
      </c>
      <c r="AI5" s="3">
        <f t="shared" si="1"/>
        <v>45989</v>
      </c>
      <c r="AJ5" s="11">
        <f t="shared" si="1"/>
        <v>45990</v>
      </c>
      <c r="AK5" s="11">
        <f t="shared" si="1"/>
        <v>45991</v>
      </c>
      <c r="AL5" s="3">
        <f t="shared" si="1"/>
        <v>45992</v>
      </c>
      <c r="AM5" s="3">
        <f t="shared" si="1"/>
        <v>45993</v>
      </c>
      <c r="AN5" s="3">
        <f t="shared" si="1"/>
        <v>45994</v>
      </c>
      <c r="AO5" s="3">
        <f t="shared" si="1"/>
        <v>45995</v>
      </c>
      <c r="AP5" s="3">
        <f t="shared" si="1"/>
        <v>45996</v>
      </c>
      <c r="AQ5" s="11">
        <f t="shared" si="1"/>
        <v>45997</v>
      </c>
      <c r="AR5" s="11">
        <f t="shared" si="1"/>
        <v>45998</v>
      </c>
      <c r="AS5" s="3">
        <f t="shared" si="1"/>
        <v>45999</v>
      </c>
      <c r="AT5" s="3">
        <f t="shared" si="1"/>
        <v>46000</v>
      </c>
      <c r="AU5" s="3">
        <f t="shared" si="1"/>
        <v>46001</v>
      </c>
      <c r="AV5" s="3">
        <f t="shared" si="1"/>
        <v>46002</v>
      </c>
      <c r="AW5" s="3">
        <f t="shared" si="1"/>
        <v>46003</v>
      </c>
      <c r="AX5" s="11">
        <f t="shared" si="1"/>
        <v>46004</v>
      </c>
      <c r="AY5" s="11">
        <f t="shared" si="1"/>
        <v>46005</v>
      </c>
      <c r="AZ5" s="3">
        <f t="shared" si="1"/>
        <v>46006</v>
      </c>
      <c r="BA5" s="3">
        <f t="shared" si="1"/>
        <v>46007</v>
      </c>
      <c r="BB5" s="3">
        <f t="shared" si="1"/>
        <v>46008</v>
      </c>
      <c r="BC5" s="3">
        <f t="shared" si="1"/>
        <v>46009</v>
      </c>
      <c r="BD5" s="3">
        <f t="shared" si="1"/>
        <v>46010</v>
      </c>
      <c r="BE5" s="11">
        <f t="shared" si="1"/>
        <v>46011</v>
      </c>
      <c r="BF5" s="11">
        <f t="shared" si="1"/>
        <v>46012</v>
      </c>
      <c r="BG5" s="3">
        <f t="shared" si="1"/>
        <v>46013</v>
      </c>
      <c r="BH5" s="3">
        <f t="shared" si="1"/>
        <v>46014</v>
      </c>
      <c r="BI5" s="3">
        <f t="shared" si="1"/>
        <v>46015</v>
      </c>
      <c r="BJ5" s="3">
        <f t="shared" si="1"/>
        <v>46016</v>
      </c>
      <c r="BK5" s="3">
        <f t="shared" si="1"/>
        <v>46017</v>
      </c>
      <c r="BL5" s="11">
        <f t="shared" si="1"/>
        <v>46018</v>
      </c>
      <c r="BM5" s="11">
        <f t="shared" si="1"/>
        <v>46019</v>
      </c>
      <c r="BN5" s="3">
        <f t="shared" si="1"/>
        <v>46020</v>
      </c>
      <c r="BO5" s="3">
        <f t="shared" si="1"/>
        <v>46021</v>
      </c>
      <c r="BP5" s="3">
        <f t="shared" si="1"/>
        <v>46022</v>
      </c>
      <c r="BQ5" s="3">
        <f t="shared" si="1"/>
        <v>46023</v>
      </c>
      <c r="BR5" s="3">
        <f t="shared" si="1"/>
        <v>46024</v>
      </c>
      <c r="BS5" s="11">
        <f t="shared" ref="BS5:CW5" si="3">BR5+1</f>
        <v>46025</v>
      </c>
      <c r="BT5" s="11">
        <f t="shared" si="3"/>
        <v>46026</v>
      </c>
      <c r="BU5" s="3">
        <f t="shared" si="3"/>
        <v>46027</v>
      </c>
      <c r="BV5" s="3">
        <f t="shared" si="3"/>
        <v>46028</v>
      </c>
      <c r="BW5" s="3">
        <f t="shared" si="3"/>
        <v>46029</v>
      </c>
      <c r="BX5" s="3">
        <f t="shared" si="3"/>
        <v>46030</v>
      </c>
      <c r="BY5" s="3">
        <f t="shared" si="3"/>
        <v>46031</v>
      </c>
      <c r="BZ5" s="11">
        <f t="shared" si="3"/>
        <v>46032</v>
      </c>
      <c r="CA5" s="11">
        <f t="shared" si="3"/>
        <v>46033</v>
      </c>
      <c r="CB5" s="3">
        <f t="shared" si="3"/>
        <v>46034</v>
      </c>
      <c r="CC5" s="3">
        <f t="shared" si="3"/>
        <v>46035</v>
      </c>
      <c r="CD5" s="3">
        <f t="shared" si="3"/>
        <v>46036</v>
      </c>
      <c r="CE5" s="3">
        <f t="shared" si="3"/>
        <v>46037</v>
      </c>
      <c r="CF5" s="3">
        <f t="shared" si="3"/>
        <v>46038</v>
      </c>
      <c r="CG5" s="11">
        <f t="shared" si="3"/>
        <v>46039</v>
      </c>
      <c r="CH5" s="11">
        <f t="shared" si="3"/>
        <v>46040</v>
      </c>
      <c r="CI5" s="3">
        <f t="shared" si="3"/>
        <v>46041</v>
      </c>
      <c r="CJ5" s="3">
        <f t="shared" si="3"/>
        <v>46042</v>
      </c>
      <c r="CK5" s="3">
        <f t="shared" si="3"/>
        <v>46043</v>
      </c>
      <c r="CL5" s="3">
        <f t="shared" si="3"/>
        <v>46044</v>
      </c>
      <c r="CM5" s="3">
        <f t="shared" si="3"/>
        <v>46045</v>
      </c>
      <c r="CN5" s="11">
        <f t="shared" si="3"/>
        <v>46046</v>
      </c>
      <c r="CO5" s="11">
        <f t="shared" si="3"/>
        <v>46047</v>
      </c>
      <c r="CP5" s="3">
        <f t="shared" si="3"/>
        <v>46048</v>
      </c>
      <c r="CQ5" s="3">
        <f t="shared" si="3"/>
        <v>46049</v>
      </c>
      <c r="CR5" s="3">
        <f t="shared" si="3"/>
        <v>46050</v>
      </c>
      <c r="CS5" s="3">
        <f t="shared" si="3"/>
        <v>46051</v>
      </c>
      <c r="CT5" s="3">
        <f t="shared" si="3"/>
        <v>46052</v>
      </c>
      <c r="CU5" s="11">
        <f t="shared" si="3"/>
        <v>46053</v>
      </c>
      <c r="CV5" s="11">
        <f t="shared" si="3"/>
        <v>46054</v>
      </c>
      <c r="CW5" s="3">
        <f t="shared" si="3"/>
        <v>46055</v>
      </c>
    </row>
    <row r="6" spans="1:101" s="12" customFormat="1" x14ac:dyDescent="0.25">
      <c r="B6" s="9"/>
      <c r="C6" s="9"/>
      <c r="D6" s="9"/>
      <c r="E6" s="9"/>
      <c r="F6" s="9"/>
      <c r="G6" s="10"/>
      <c r="H6" s="14">
        <v>45962</v>
      </c>
      <c r="I6" s="14">
        <f t="shared" si="0"/>
        <v>45963</v>
      </c>
      <c r="J6" s="13">
        <f t="shared" si="1"/>
        <v>45964</v>
      </c>
      <c r="K6" s="13">
        <f t="shared" si="1"/>
        <v>45965</v>
      </c>
      <c r="L6" s="13">
        <f t="shared" si="1"/>
        <v>45966</v>
      </c>
      <c r="M6" s="13">
        <f t="shared" si="1"/>
        <v>45967</v>
      </c>
      <c r="N6" s="13">
        <f t="shared" si="1"/>
        <v>45968</v>
      </c>
      <c r="O6" s="14">
        <f t="shared" si="1"/>
        <v>45969</v>
      </c>
      <c r="P6" s="14">
        <f t="shared" si="1"/>
        <v>45970</v>
      </c>
      <c r="Q6" s="13">
        <f t="shared" si="1"/>
        <v>45971</v>
      </c>
      <c r="R6" s="13">
        <f t="shared" si="1"/>
        <v>45972</v>
      </c>
      <c r="S6" s="13">
        <f t="shared" si="1"/>
        <v>45973</v>
      </c>
      <c r="T6" s="13">
        <f t="shared" si="1"/>
        <v>45974</v>
      </c>
      <c r="U6" s="13">
        <f t="shared" si="1"/>
        <v>45975</v>
      </c>
      <c r="V6" s="14">
        <f t="shared" si="1"/>
        <v>45976</v>
      </c>
      <c r="W6" s="14">
        <f t="shared" si="1"/>
        <v>45977</v>
      </c>
      <c r="X6" s="13">
        <f t="shared" si="1"/>
        <v>45978</v>
      </c>
      <c r="Y6" s="13">
        <f t="shared" si="1"/>
        <v>45979</v>
      </c>
      <c r="Z6" s="13">
        <f t="shared" si="1"/>
        <v>45980</v>
      </c>
      <c r="AA6" s="13">
        <f t="shared" si="1"/>
        <v>45981</v>
      </c>
      <c r="AB6" s="13">
        <f t="shared" si="1"/>
        <v>45982</v>
      </c>
      <c r="AC6" s="14">
        <f t="shared" si="1"/>
        <v>45983</v>
      </c>
      <c r="AD6" s="14">
        <f t="shared" si="1"/>
        <v>45984</v>
      </c>
      <c r="AE6" s="13">
        <f t="shared" si="1"/>
        <v>45985</v>
      </c>
      <c r="AF6" s="13">
        <f t="shared" si="1"/>
        <v>45986</v>
      </c>
      <c r="AG6" s="13">
        <f t="shared" si="1"/>
        <v>45987</v>
      </c>
      <c r="AH6" s="13">
        <f t="shared" si="1"/>
        <v>45988</v>
      </c>
      <c r="AI6" s="13">
        <f t="shared" si="1"/>
        <v>45989</v>
      </c>
      <c r="AJ6" s="14">
        <f t="shared" si="1"/>
        <v>45990</v>
      </c>
      <c r="AK6" s="14">
        <f t="shared" si="1"/>
        <v>45991</v>
      </c>
      <c r="AL6" s="13">
        <f t="shared" si="1"/>
        <v>45992</v>
      </c>
      <c r="AM6" s="13">
        <f t="shared" si="1"/>
        <v>45993</v>
      </c>
      <c r="AN6" s="13">
        <f t="shared" si="1"/>
        <v>45994</v>
      </c>
      <c r="AO6" s="13">
        <f t="shared" si="1"/>
        <v>45995</v>
      </c>
      <c r="AP6" s="13">
        <f t="shared" si="1"/>
        <v>45996</v>
      </c>
      <c r="AQ6" s="14">
        <f t="shared" si="1"/>
        <v>45997</v>
      </c>
      <c r="AR6" s="14">
        <f t="shared" si="1"/>
        <v>45998</v>
      </c>
      <c r="AS6" s="13">
        <f t="shared" si="1"/>
        <v>45999</v>
      </c>
      <c r="AT6" s="13">
        <f t="shared" si="1"/>
        <v>46000</v>
      </c>
      <c r="AU6" s="13">
        <f t="shared" si="1"/>
        <v>46001</v>
      </c>
      <c r="AV6" s="13">
        <f t="shared" si="1"/>
        <v>46002</v>
      </c>
      <c r="AW6" s="13">
        <f t="shared" si="1"/>
        <v>46003</v>
      </c>
      <c r="AX6" s="14">
        <f t="shared" si="1"/>
        <v>46004</v>
      </c>
      <c r="AY6" s="14">
        <f t="shared" si="1"/>
        <v>46005</v>
      </c>
      <c r="AZ6" s="13">
        <f t="shared" si="1"/>
        <v>46006</v>
      </c>
      <c r="BA6" s="13">
        <f t="shared" si="1"/>
        <v>46007</v>
      </c>
      <c r="BB6" s="13">
        <f t="shared" si="1"/>
        <v>46008</v>
      </c>
      <c r="BC6" s="13">
        <f t="shared" si="1"/>
        <v>46009</v>
      </c>
      <c r="BD6" s="13">
        <f t="shared" si="1"/>
        <v>46010</v>
      </c>
      <c r="BE6" s="14">
        <f t="shared" si="1"/>
        <v>46011</v>
      </c>
      <c r="BF6" s="14">
        <f t="shared" si="1"/>
        <v>46012</v>
      </c>
      <c r="BG6" s="13">
        <f t="shared" si="1"/>
        <v>46013</v>
      </c>
      <c r="BH6" s="13">
        <f t="shared" si="1"/>
        <v>46014</v>
      </c>
      <c r="BI6" s="13">
        <f t="shared" si="1"/>
        <v>46015</v>
      </c>
      <c r="BJ6" s="13">
        <f t="shared" si="1"/>
        <v>46016</v>
      </c>
      <c r="BK6" s="13">
        <f t="shared" si="1"/>
        <v>46017</v>
      </c>
      <c r="BL6" s="14">
        <f t="shared" si="1"/>
        <v>46018</v>
      </c>
      <c r="BM6" s="14">
        <f t="shared" si="1"/>
        <v>46019</v>
      </c>
      <c r="BN6" s="13">
        <f t="shared" si="1"/>
        <v>46020</v>
      </c>
      <c r="BO6" s="13">
        <f t="shared" si="1"/>
        <v>46021</v>
      </c>
      <c r="BP6" s="13">
        <f t="shared" si="1"/>
        <v>46022</v>
      </c>
      <c r="BQ6" s="13">
        <f t="shared" si="1"/>
        <v>46023</v>
      </c>
      <c r="BR6" s="13">
        <f t="shared" si="1"/>
        <v>46024</v>
      </c>
      <c r="BS6" s="14">
        <f t="shared" ref="BS6:CW6" si="4">BR6+1</f>
        <v>46025</v>
      </c>
      <c r="BT6" s="14">
        <f t="shared" si="4"/>
        <v>46026</v>
      </c>
      <c r="BU6" s="13">
        <f t="shared" si="4"/>
        <v>46027</v>
      </c>
      <c r="BV6" s="13">
        <f t="shared" si="4"/>
        <v>46028</v>
      </c>
      <c r="BW6" s="13">
        <f t="shared" si="4"/>
        <v>46029</v>
      </c>
      <c r="BX6" s="13">
        <f t="shared" si="4"/>
        <v>46030</v>
      </c>
      <c r="BY6" s="13">
        <f t="shared" si="4"/>
        <v>46031</v>
      </c>
      <c r="BZ6" s="14">
        <f t="shared" si="4"/>
        <v>46032</v>
      </c>
      <c r="CA6" s="14">
        <f t="shared" si="4"/>
        <v>46033</v>
      </c>
      <c r="CB6" s="13">
        <f t="shared" si="4"/>
        <v>46034</v>
      </c>
      <c r="CC6" s="13">
        <f t="shared" si="4"/>
        <v>46035</v>
      </c>
      <c r="CD6" s="13">
        <f t="shared" si="4"/>
        <v>46036</v>
      </c>
      <c r="CE6" s="13">
        <f t="shared" si="4"/>
        <v>46037</v>
      </c>
      <c r="CF6" s="13">
        <f t="shared" si="4"/>
        <v>46038</v>
      </c>
      <c r="CG6" s="14">
        <f t="shared" si="4"/>
        <v>46039</v>
      </c>
      <c r="CH6" s="14">
        <f t="shared" si="4"/>
        <v>46040</v>
      </c>
      <c r="CI6" s="13">
        <f t="shared" si="4"/>
        <v>46041</v>
      </c>
      <c r="CJ6" s="13">
        <f t="shared" si="4"/>
        <v>46042</v>
      </c>
      <c r="CK6" s="13">
        <f t="shared" si="4"/>
        <v>46043</v>
      </c>
      <c r="CL6" s="13">
        <f t="shared" si="4"/>
        <v>46044</v>
      </c>
      <c r="CM6" s="13">
        <f t="shared" si="4"/>
        <v>46045</v>
      </c>
      <c r="CN6" s="14">
        <f t="shared" si="4"/>
        <v>46046</v>
      </c>
      <c r="CO6" s="14">
        <f t="shared" si="4"/>
        <v>46047</v>
      </c>
      <c r="CP6" s="13">
        <f t="shared" si="4"/>
        <v>46048</v>
      </c>
      <c r="CQ6" s="13">
        <f t="shared" si="4"/>
        <v>46049</v>
      </c>
      <c r="CR6" s="13">
        <f t="shared" si="4"/>
        <v>46050</v>
      </c>
      <c r="CS6" s="13">
        <f t="shared" si="4"/>
        <v>46051</v>
      </c>
      <c r="CT6" s="13">
        <f t="shared" si="4"/>
        <v>46052</v>
      </c>
      <c r="CU6" s="14">
        <f t="shared" si="4"/>
        <v>46053</v>
      </c>
      <c r="CV6" s="14">
        <f t="shared" si="4"/>
        <v>46054</v>
      </c>
      <c r="CW6" s="13">
        <f t="shared" si="4"/>
        <v>46055</v>
      </c>
    </row>
    <row r="7" spans="1:101" s="12" customFormat="1" ht="16.5" hidden="1" customHeight="1" x14ac:dyDescent="0.25">
      <c r="B7" s="9"/>
      <c r="C7" s="9"/>
      <c r="D7" s="9"/>
      <c r="E7" s="9"/>
      <c r="F7" s="9"/>
      <c r="G7" s="10"/>
    </row>
    <row r="8" spans="1:101" s="16" customFormat="1" ht="16.5" customHeight="1" x14ac:dyDescent="0.25">
      <c r="A8" s="12"/>
      <c r="B8" s="87" t="s">
        <v>3</v>
      </c>
      <c r="C8" s="88"/>
      <c r="D8" s="88"/>
      <c r="E8" s="88"/>
      <c r="F8" s="88"/>
      <c r="G8" s="88"/>
      <c r="H8" s="15">
        <f>SUM(H14:H1972)</f>
        <v>0</v>
      </c>
      <c r="I8" s="15">
        <f>SUM(I14:I1972)</f>
        <v>0</v>
      </c>
      <c r="J8" s="15">
        <f>SUM(J14:J1972)</f>
        <v>0</v>
      </c>
      <c r="K8" s="15">
        <f>SUM(K14:K1972)</f>
        <v>0</v>
      </c>
      <c r="L8" s="15">
        <f>SUM(L14:L1972)</f>
        <v>0</v>
      </c>
      <c r="M8" s="15">
        <f>SUM(M14:M1972)</f>
        <v>0</v>
      </c>
      <c r="N8" s="15">
        <f>SUM(N14:N1972)</f>
        <v>0</v>
      </c>
      <c r="O8" s="15">
        <f>SUM(O14:O1972)</f>
        <v>0</v>
      </c>
      <c r="P8" s="15">
        <f>SUM(P14:P1972)</f>
        <v>0</v>
      </c>
      <c r="Q8" s="15">
        <f>SUM(Q14:Q1972)</f>
        <v>0</v>
      </c>
      <c r="R8" s="15">
        <f>SUM(R14:R1972)</f>
        <v>0</v>
      </c>
      <c r="S8" s="15">
        <f>SUM(S14:S1972)</f>
        <v>0</v>
      </c>
      <c r="T8" s="15">
        <f>SUM(T14:T1972)</f>
        <v>0</v>
      </c>
      <c r="U8" s="15">
        <f>SUM(U14:U1972)</f>
        <v>0</v>
      </c>
      <c r="V8" s="15">
        <f>SUM(V14:V1972)</f>
        <v>0</v>
      </c>
      <c r="W8" s="15">
        <f>SUM(W14:W1972)</f>
        <v>0</v>
      </c>
      <c r="X8" s="15">
        <f>SUM(X14:X1972)</f>
        <v>0</v>
      </c>
      <c r="Y8" s="15">
        <f>SUM(Y14:Y1972)</f>
        <v>0</v>
      </c>
      <c r="Z8" s="15">
        <f>SUM(Z14:Z1972)</f>
        <v>0</v>
      </c>
      <c r="AA8" s="15">
        <f>SUM(AA14:AA1972)</f>
        <v>0</v>
      </c>
      <c r="AB8" s="15">
        <f>SUM(AB14:AB1972)</f>
        <v>0</v>
      </c>
      <c r="AC8" s="15">
        <f>SUM(AC14:AC1972)</f>
        <v>0</v>
      </c>
      <c r="AD8" s="15">
        <f>SUM(AD14:AD1972)</f>
        <v>0</v>
      </c>
      <c r="AE8" s="15">
        <f>SUM(AE14:AE1972)</f>
        <v>119</v>
      </c>
      <c r="AF8" s="15">
        <f>SUM(AF14:AF1972)</f>
        <v>119</v>
      </c>
      <c r="AG8" s="15">
        <f>SUM(AG14:AG1972)</f>
        <v>119</v>
      </c>
      <c r="AH8" s="15">
        <f>SUM(AH14:AH1972)</f>
        <v>119</v>
      </c>
      <c r="AI8" s="15">
        <f>SUM(AI14:AI1972)</f>
        <v>119</v>
      </c>
      <c r="AJ8" s="15">
        <f>SUM(AJ14:AJ1972)</f>
        <v>119</v>
      </c>
      <c r="AK8" s="15">
        <f>SUM(AK14:AK1972)</f>
        <v>119</v>
      </c>
      <c r="AL8" s="15">
        <f>SUM(AL14:AL1972)</f>
        <v>119</v>
      </c>
      <c r="AM8" s="15">
        <f>SUM(AM14:AM1972)</f>
        <v>119</v>
      </c>
      <c r="AN8" s="15">
        <f>SUM(AN14:AN1972)</f>
        <v>119</v>
      </c>
      <c r="AO8" s="15">
        <f>SUM(AO14:AO1972)</f>
        <v>119</v>
      </c>
      <c r="AP8" s="15">
        <f>SUM(AP14:AP1972)</f>
        <v>119</v>
      </c>
      <c r="AQ8" s="15">
        <f>SUM(AQ14:AQ1972)</f>
        <v>119</v>
      </c>
      <c r="AR8" s="15">
        <f>SUM(AR14:AR1972)</f>
        <v>119</v>
      </c>
      <c r="AS8" s="15">
        <f>SUM(AS14:AS1972)</f>
        <v>136</v>
      </c>
      <c r="AT8" s="15">
        <f>SUM(AT14:AT1972)</f>
        <v>119</v>
      </c>
      <c r="AU8" s="15">
        <f>SUM(AU14:AU1972)</f>
        <v>119</v>
      </c>
      <c r="AV8" s="15">
        <f>SUM(AV14:AV1972)</f>
        <v>153</v>
      </c>
      <c r="AW8" s="15">
        <f>SUM(AW14:AW1972)</f>
        <v>119</v>
      </c>
      <c r="AX8" s="15">
        <f>SUM(AX14:AX1972)</f>
        <v>119</v>
      </c>
      <c r="AY8" s="15">
        <f>SUM(AY14:AY1972)</f>
        <v>119</v>
      </c>
      <c r="AZ8" s="15">
        <f>SUM(AZ14:AZ1972)</f>
        <v>119</v>
      </c>
      <c r="BA8" s="15">
        <f>SUM(BA14:BA1972)</f>
        <v>119</v>
      </c>
      <c r="BB8" s="15">
        <f>SUM(BB14:BB1972)</f>
        <v>119</v>
      </c>
      <c r="BC8" s="15">
        <f>SUM(BC14:BC1972)</f>
        <v>119</v>
      </c>
      <c r="BD8" s="15">
        <f>SUM(BD14:BD1972)</f>
        <v>136</v>
      </c>
      <c r="BE8" s="15">
        <f>SUM(BE14:BE1972)</f>
        <v>119</v>
      </c>
      <c r="BF8" s="15">
        <f>SUM(BF14:BF1972)</f>
        <v>119</v>
      </c>
      <c r="BG8" s="15">
        <f>SUM(BG14:BG1972)</f>
        <v>119</v>
      </c>
      <c r="BH8" s="15">
        <f>SUM(BH14:BH1972)</f>
        <v>119</v>
      </c>
      <c r="BI8" s="15">
        <f>SUM(BI14:BI1972)</f>
        <v>119</v>
      </c>
      <c r="BJ8" s="15">
        <f>SUM(BJ14:BJ1972)</f>
        <v>0</v>
      </c>
      <c r="BK8" s="15">
        <f>SUM(BK14:BK1972)</f>
        <v>0</v>
      </c>
      <c r="BL8" s="15">
        <f>SUM(BL14:BL1972)</f>
        <v>0</v>
      </c>
      <c r="BM8" s="15">
        <f>SUM(BM14:BM1972)</f>
        <v>0</v>
      </c>
      <c r="BN8" s="15">
        <f>SUM(BN14:BN1972)</f>
        <v>0</v>
      </c>
      <c r="BO8" s="15">
        <f>SUM(BO14:BO1972)</f>
        <v>0</v>
      </c>
      <c r="BP8" s="15">
        <f>SUM(BP14:BP1972)</f>
        <v>0</v>
      </c>
      <c r="BQ8" s="15">
        <f>SUM(BQ14:BQ1972)</f>
        <v>0</v>
      </c>
    </row>
    <row r="9" spans="1:101" s="18" customFormat="1" ht="16.5" customHeight="1" x14ac:dyDescent="0.25">
      <c r="A9" s="12"/>
      <c r="B9" s="89" t="s">
        <v>4</v>
      </c>
      <c r="C9" s="90"/>
      <c r="D9" s="90"/>
      <c r="E9" s="90"/>
      <c r="F9" s="90"/>
      <c r="G9" s="90"/>
      <c r="H9" s="17">
        <f>COUNTIF(H14:H1972,"T")</f>
        <v>7</v>
      </c>
      <c r="I9" s="17">
        <f>COUNTIF(I14:I1972,"T")</f>
        <v>7</v>
      </c>
      <c r="J9" s="17">
        <f>COUNTIF(J14:J1972,"T")</f>
        <v>7</v>
      </c>
      <c r="K9" s="17">
        <f>COUNTIF(K14:K1972,"T")</f>
        <v>7</v>
      </c>
      <c r="L9" s="17">
        <f>COUNTIF(L14:L1972,"T")</f>
        <v>7</v>
      </c>
      <c r="M9" s="17">
        <f>COUNTIF(M14:M1972,"T")</f>
        <v>7</v>
      </c>
      <c r="N9" s="17">
        <f>COUNTIF(N14:N1972,"T")</f>
        <v>7</v>
      </c>
      <c r="O9" s="17">
        <f>COUNTIF(O14:O1972,"T")</f>
        <v>7</v>
      </c>
      <c r="P9" s="17">
        <f>COUNTIF(P14:P1972,"T")</f>
        <v>7</v>
      </c>
      <c r="Q9" s="17">
        <f>COUNTIF(Q14:Q1972,"T")</f>
        <v>7</v>
      </c>
      <c r="R9" s="17">
        <f>COUNTIF(R14:R1972,"T")</f>
        <v>7</v>
      </c>
      <c r="S9" s="17">
        <f>COUNTIF(S14:S1972,"T")</f>
        <v>7</v>
      </c>
      <c r="T9" s="17">
        <f>COUNTIF(T14:T1972,"T")</f>
        <v>7</v>
      </c>
      <c r="U9" s="17">
        <f>COUNTIF(U14:U1972,"T")</f>
        <v>7</v>
      </c>
      <c r="V9" s="17">
        <f>COUNTIF(V14:V1972,"T")</f>
        <v>8</v>
      </c>
      <c r="W9" s="17">
        <f>COUNTIF(W14:W1972,"T")</f>
        <v>7</v>
      </c>
      <c r="X9" s="17">
        <f>COUNTIF(X14:X1972,"T")</f>
        <v>7</v>
      </c>
      <c r="Y9" s="17">
        <f>COUNTIF(Y14:Y1972,"T")</f>
        <v>9</v>
      </c>
      <c r="Z9" s="17">
        <f>COUNTIF(Z14:Z1972,"T")</f>
        <v>7</v>
      </c>
      <c r="AA9" s="17">
        <f>COUNTIF(AA14:AA1972,"T")</f>
        <v>7</v>
      </c>
      <c r="AB9" s="17">
        <f>COUNTIF(AB14:AB1972,"T")</f>
        <v>7</v>
      </c>
      <c r="AC9" s="17">
        <f>COUNTIF(AC14:AC1972,"T")</f>
        <v>7</v>
      </c>
      <c r="AD9" s="17">
        <f>COUNTIF(AD14:AD1972,"T")</f>
        <v>7</v>
      </c>
      <c r="AE9" s="17">
        <f>COUNTIF(AE14:AE1972,"T")</f>
        <v>7</v>
      </c>
      <c r="AF9" s="17">
        <f>COUNTIF(AF14:AF1972,"T")</f>
        <v>7</v>
      </c>
      <c r="AG9" s="17">
        <f>COUNTIF(AG14:AG1972,"T")</f>
        <v>8</v>
      </c>
      <c r="AH9" s="17">
        <f>COUNTIF(AH14:AH1972,"T")</f>
        <v>7</v>
      </c>
      <c r="AI9" s="17">
        <f>COUNTIF(AI14:AI1972,"T")</f>
        <v>7</v>
      </c>
      <c r="AJ9" s="17">
        <f>COUNTIF(AJ14:AJ1972,"T")</f>
        <v>7</v>
      </c>
      <c r="AK9" s="17">
        <f>COUNTIF(AK14:AK1972,"T")</f>
        <v>7</v>
      </c>
      <c r="AL9" s="17">
        <f>COUNTIF(AL14:AL1972,"T")</f>
        <v>7</v>
      </c>
      <c r="AM9" s="17">
        <f>COUNTIF(AM14:AM1972,"T")</f>
        <v>0</v>
      </c>
      <c r="AN9" s="17">
        <f>COUNTIF(AN14:AN1972,"T")</f>
        <v>0</v>
      </c>
      <c r="AO9" s="17">
        <f>COUNTIF(AO14:AO1972,"T")</f>
        <v>0</v>
      </c>
      <c r="AP9" s="17">
        <f>COUNTIF(AP14:AP1972,"T")</f>
        <v>0</v>
      </c>
      <c r="AQ9" s="17">
        <f>COUNTIF(AQ14:AQ1972,"T")</f>
        <v>0</v>
      </c>
      <c r="AR9" s="17">
        <f>COUNTIF(AR14:AR1972,"T")</f>
        <v>0</v>
      </c>
      <c r="AS9" s="17">
        <f>COUNTIF(AS14:AS1972,"T")</f>
        <v>0</v>
      </c>
      <c r="AT9" s="17">
        <f>COUNTIF(AT14:AT1972,"T")</f>
        <v>0</v>
      </c>
      <c r="AU9" s="17">
        <f>COUNTIF(AU14:AU1972,"T")</f>
        <v>0</v>
      </c>
      <c r="AV9" s="17">
        <f>COUNTIF(AV14:AV1972,"T")</f>
        <v>0</v>
      </c>
      <c r="AW9" s="17">
        <f>COUNTIF(AW14:AW1972,"T")</f>
        <v>0</v>
      </c>
      <c r="AX9" s="17">
        <f>COUNTIF(AX14:AX1972,"T")</f>
        <v>0</v>
      </c>
      <c r="AY9" s="17">
        <f>COUNTIF(AY14:AY1972,"T")</f>
        <v>0</v>
      </c>
      <c r="AZ9" s="17">
        <f>COUNTIF(AZ14:AZ1972,"T")</f>
        <v>0</v>
      </c>
      <c r="BA9" s="17">
        <f>COUNTIF(BA14:BA1972,"T")</f>
        <v>0</v>
      </c>
      <c r="BB9" s="17">
        <f>COUNTIF(BB14:BB1972,"T")</f>
        <v>0</v>
      </c>
      <c r="BC9" s="17">
        <f>COUNTIF(BC14:BC1972,"T")</f>
        <v>0</v>
      </c>
      <c r="BD9" s="17">
        <f>COUNTIF(BD14:BD1972,"T")</f>
        <v>0</v>
      </c>
      <c r="BE9" s="17">
        <f>COUNTIF(BE14:BE1972,"T")</f>
        <v>0</v>
      </c>
      <c r="BF9" s="17">
        <f>COUNTIF(BF14:BF1972,"T")</f>
        <v>0</v>
      </c>
      <c r="BG9" s="17">
        <f>COUNTIF(BG14:BG1972,"T")</f>
        <v>0</v>
      </c>
      <c r="BH9" s="17">
        <f>COUNTIF(BH14:BH1972,"T")</f>
        <v>0</v>
      </c>
      <c r="BI9" s="17">
        <f>COUNTIF(BI14:BI1972,"T")</f>
        <v>0</v>
      </c>
      <c r="BJ9" s="17">
        <f>COUNTIF(BJ14:BJ1972,"T")</f>
        <v>0</v>
      </c>
      <c r="BK9" s="17">
        <f>COUNTIF(BK14:BK1972,"T")</f>
        <v>0</v>
      </c>
      <c r="BL9" s="17">
        <f>COUNTIF(BL14:BL1972,"T")</f>
        <v>0</v>
      </c>
      <c r="BM9" s="17">
        <f>COUNTIF(BM14:BM1972,"T")</f>
        <v>0</v>
      </c>
      <c r="BN9" s="17">
        <f>COUNTIF(BN14:BN1972,"T")</f>
        <v>0</v>
      </c>
      <c r="BO9" s="17">
        <f>COUNTIF(BO14:BO1972,"T")</f>
        <v>0</v>
      </c>
      <c r="BP9" s="17">
        <f>COUNTIF(BP14:BP1972,"T")</f>
        <v>0</v>
      </c>
      <c r="BQ9" s="17">
        <f>COUNTIF(BQ14:BQ1972,"T")</f>
        <v>0</v>
      </c>
    </row>
    <row r="10" spans="1:101" s="20" customFormat="1" ht="16.5" customHeight="1" x14ac:dyDescent="0.25">
      <c r="A10" s="12"/>
      <c r="B10" s="91" t="s">
        <v>5</v>
      </c>
      <c r="C10" s="92"/>
      <c r="D10" s="92"/>
      <c r="E10" s="92"/>
      <c r="F10" s="92"/>
      <c r="G10" s="92"/>
      <c r="H10" s="19">
        <f>COUNTIF(H14:H1972,"P1")+COUNTIF(H14:H1972,"P2")+COUNTIF(H14:H1972,"P3")</f>
        <v>0</v>
      </c>
      <c r="I10" s="19">
        <f>COUNTIF(I14:I1972,"P1")+COUNTIF(I14:I1972,"P2")+COUNTIF(I14:I1972,"P3")</f>
        <v>0</v>
      </c>
      <c r="J10" s="19">
        <f>COUNTIF(J14:J1972,"P1")+COUNTIF(J14:J1972,"P2")+COUNTIF(J14:J1972,"P3")</f>
        <v>0</v>
      </c>
      <c r="K10" s="19">
        <f>COUNTIF(K14:K1972,"P1")+COUNTIF(K14:K1972,"P2")+COUNTIF(K14:K1972,"P3")</f>
        <v>0</v>
      </c>
      <c r="L10" s="19">
        <f>COUNTIF(L14:L1972,"P1")+COUNTIF(L14:L1972,"P2")+COUNTIF(L14:L1972,"P3")</f>
        <v>0</v>
      </c>
      <c r="M10" s="19">
        <f>COUNTIF(M14:M1972,"P1")+COUNTIF(M14:M1972,"P2")+COUNTIF(M14:M1972,"P3")</f>
        <v>0</v>
      </c>
      <c r="N10" s="19">
        <f>COUNTIF(N14:N1972,"P1")+COUNTIF(N14:N1972,"P2")+COUNTIF(N14:N1972,"P3")</f>
        <v>0</v>
      </c>
      <c r="O10" s="19">
        <f>COUNTIF(O14:O1972,"P1")+COUNTIF(O14:O1972,"P2")+COUNTIF(O14:O1972,"P3")</f>
        <v>7</v>
      </c>
      <c r="P10" s="19">
        <f>COUNTIF(P14:P1972,"P1")+COUNTIF(P14:P1972,"P2")+COUNTIF(P14:P1972,"P3")</f>
        <v>7</v>
      </c>
      <c r="Q10" s="19">
        <f>COUNTIF(Q14:Q1972,"P1")+COUNTIF(Q14:Q1972,"P2")+COUNTIF(Q14:Q1972,"P3")</f>
        <v>7</v>
      </c>
      <c r="R10" s="19">
        <f>COUNTIF(R14:R1972,"P1")+COUNTIF(R14:R1972,"P2")+COUNTIF(R14:R1972,"P3")</f>
        <v>7</v>
      </c>
      <c r="S10" s="19">
        <f>COUNTIF(S14:S1972,"P1")+COUNTIF(S14:S1972,"P2")+COUNTIF(S14:S1972,"P3")</f>
        <v>7</v>
      </c>
      <c r="T10" s="19">
        <f>COUNTIF(T14:T1972,"P1")+COUNTIF(T14:T1972,"P2")+COUNTIF(T14:T1972,"P3")</f>
        <v>7</v>
      </c>
      <c r="U10" s="19">
        <f>COUNTIF(U14:U1972,"P1")+COUNTIF(U14:U1972,"P2")+COUNTIF(U14:U1972,"P3")</f>
        <v>7</v>
      </c>
      <c r="V10" s="19">
        <f>COUNTIF(V14:V1972,"P1")+COUNTIF(V14:V1972,"P2")+COUNTIF(V14:V1972,"P3")</f>
        <v>14</v>
      </c>
      <c r="W10" s="19">
        <f>COUNTIF(W14:W1972,"P1")+COUNTIF(W14:W1972,"P2")+COUNTIF(W14:W1972,"P3")</f>
        <v>14</v>
      </c>
      <c r="X10" s="19">
        <f>COUNTIF(X14:X1972,"P1")+COUNTIF(X14:X1972,"P2")+COUNTIF(X14:X1972,"P3")</f>
        <v>14</v>
      </c>
      <c r="Y10" s="19">
        <f>COUNTIF(Y14:Y1972,"P1")+COUNTIF(Y14:Y1972,"P2")+COUNTIF(Y14:Y1972,"P3")</f>
        <v>14</v>
      </c>
      <c r="Z10" s="19">
        <f>COUNTIF(Z14:Z1972,"P1")+COUNTIF(Z14:Z1972,"P2")+COUNTIF(Z14:Z1972,"P3")</f>
        <v>14</v>
      </c>
      <c r="AA10" s="19">
        <f>COUNTIF(AA14:AA1972,"P1")+COUNTIF(AA14:AA1972,"P2")+COUNTIF(AA14:AA1972,"P3")</f>
        <v>14</v>
      </c>
      <c r="AB10" s="19">
        <f>COUNTIF(AB14:AB1972,"P1")+COUNTIF(AB14:AB1972,"P2")+COUNTIF(AB14:AB1972,"P3")</f>
        <v>21</v>
      </c>
      <c r="AC10" s="19">
        <f>COUNTIF(AC14:AC1972,"P1")+COUNTIF(AC14:AC1972,"P2")+COUNTIF(AC14:AC1972,"P3")</f>
        <v>22</v>
      </c>
      <c r="AD10" s="19">
        <f>COUNTIF(AD14:AD1972,"P1")+COUNTIF(AD14:AD1972,"P2")+COUNTIF(AD14:AD1972,"P3")</f>
        <v>21</v>
      </c>
      <c r="AE10" s="19">
        <f>COUNTIF(AE14:AE1972,"P1")+COUNTIF(AE14:AE1972,"P2")+COUNTIF(AE14:AE1972,"P3")</f>
        <v>21</v>
      </c>
      <c r="AF10" s="19">
        <f>COUNTIF(AF14:AF1972,"P1")+COUNTIF(AF14:AF1972,"P2")+COUNTIF(AF14:AF1972,"P3")</f>
        <v>23</v>
      </c>
      <c r="AG10" s="19">
        <f>COUNTIF(AG14:AG1972,"P1")+COUNTIF(AG14:AG1972,"P2")+COUNTIF(AG14:AG1972,"P3")</f>
        <v>21</v>
      </c>
      <c r="AH10" s="19">
        <f>COUNTIF(AH14:AH1972,"P1")+COUNTIF(AH14:AH1972,"P2")+COUNTIF(AH14:AH1972,"P3")</f>
        <v>21</v>
      </c>
      <c r="AI10" s="19">
        <f>COUNTIF(AI14:AI1972,"P1")+COUNTIF(AI14:AI1972,"P2")+COUNTIF(AI14:AI1972,"P3")</f>
        <v>21</v>
      </c>
      <c r="AJ10" s="19">
        <f>COUNTIF(AJ14:AJ1972,"P1")+COUNTIF(AJ14:AJ1972,"P2")+COUNTIF(AJ14:AJ1972,"P3")</f>
        <v>22</v>
      </c>
      <c r="AK10" s="19">
        <f>COUNTIF(AK14:AK1972,"P1")+COUNTIF(AK14:AK1972,"P2")+COUNTIF(AK14:AK1972,"P3")</f>
        <v>21</v>
      </c>
      <c r="AL10" s="19">
        <f>COUNTIF(AL14:AL1972,"P1")+COUNTIF(AL14:AL1972,"P2")+COUNTIF(AL14:AL1972,"P3")</f>
        <v>21</v>
      </c>
      <c r="AM10" s="19">
        <f>COUNTIF(AM14:AM1972,"P1")+COUNTIF(AM14:AM1972,"P2")+COUNTIF(AM14:AM1972,"P3")</f>
        <v>23</v>
      </c>
      <c r="AN10" s="19">
        <f>COUNTIF(AN14:AN1972,"P1")+COUNTIF(AN14:AN1972,"P2")+COUNTIF(AN14:AN1972,"P3")</f>
        <v>22</v>
      </c>
      <c r="AO10" s="19">
        <f>COUNTIF(AO14:AO1972,"P1")+COUNTIF(AO14:AO1972,"P2")+COUNTIF(AO14:AO1972,"P3")</f>
        <v>21</v>
      </c>
      <c r="AP10" s="19">
        <f>COUNTIF(AP14:AP1972,"P1")+COUNTIF(AP14:AP1972,"P2")+COUNTIF(AP14:AP1972,"P3")</f>
        <v>22</v>
      </c>
      <c r="AQ10" s="19">
        <f>COUNTIF(AQ14:AQ1972,"P1")+COUNTIF(AQ14:AQ1972,"P2")+COUNTIF(AQ14:AQ1972,"P3")</f>
        <v>21</v>
      </c>
      <c r="AR10" s="19">
        <f>COUNTIF(AR14:AR1972,"P1")+COUNTIF(AR14:AR1972,"P2")+COUNTIF(AR14:AR1972,"P3")</f>
        <v>21</v>
      </c>
      <c r="AS10" s="19">
        <f>COUNTIF(AS14:AS1972,"P1")+COUNTIF(AS14:AS1972,"P2")+COUNTIF(AS14:AS1972,"P3")</f>
        <v>23</v>
      </c>
      <c r="AT10" s="19">
        <f>COUNTIF(AT14:AT1972,"P1")+COUNTIF(AT14:AT1972,"P2")+COUNTIF(AT14:AT1972,"P3")</f>
        <v>14</v>
      </c>
      <c r="AU10" s="19">
        <f>COUNTIF(AU14:AU1972,"P1")+COUNTIF(AU14:AU1972,"P2")+COUNTIF(AU14:AU1972,"P3")</f>
        <v>15</v>
      </c>
      <c r="AV10" s="19">
        <f>COUNTIF(AV14:AV1972,"P1")+COUNTIF(AV14:AV1972,"P2")+COUNTIF(AV14:AV1972,"P3")</f>
        <v>14</v>
      </c>
      <c r="AW10" s="19">
        <f>COUNTIF(AW14:AW1972,"P1")+COUNTIF(AW14:AW1972,"P2")+COUNTIF(AW14:AW1972,"P3")</f>
        <v>14</v>
      </c>
      <c r="AX10" s="19">
        <f>COUNTIF(AX14:AX1972,"P1")+COUNTIF(AX14:AX1972,"P2")+COUNTIF(AX14:AX1972,"P3")</f>
        <v>14</v>
      </c>
      <c r="AY10" s="19">
        <f>COUNTIF(AY14:AY1972,"P1")+COUNTIF(AY14:AY1972,"P2")+COUNTIF(AY14:AY1972,"P3")</f>
        <v>14</v>
      </c>
      <c r="AZ10" s="19">
        <f>COUNTIF(AZ14:AZ1972,"P1")+COUNTIF(AZ14:AZ1972,"P2")+COUNTIF(AZ14:AZ1972,"P3")</f>
        <v>14</v>
      </c>
      <c r="BA10" s="19">
        <f>COUNTIF(BA14:BA1972,"P1")+COUNTIF(BA14:BA1972,"P2")+COUNTIF(BA14:BA1972,"P3")</f>
        <v>8</v>
      </c>
      <c r="BB10" s="19">
        <f>COUNTIF(BB14:BB1972,"P1")+COUNTIF(BB14:BB1972,"P2")+COUNTIF(BB14:BB1972,"P3")</f>
        <v>7</v>
      </c>
      <c r="BC10" s="19">
        <f>COUNTIF(BC14:BC1972,"P1")+COUNTIF(BC14:BC1972,"P2")+COUNTIF(BC14:BC1972,"P3")</f>
        <v>7</v>
      </c>
      <c r="BD10" s="19">
        <f>COUNTIF(BD14:BD1972,"P1")+COUNTIF(BD14:BD1972,"P2")+COUNTIF(BD14:BD1972,"P3")</f>
        <v>7</v>
      </c>
      <c r="BE10" s="19">
        <f>COUNTIF(BE14:BE1972,"P1")+COUNTIF(BE14:BE1972,"P2")+COUNTIF(BE14:BE1972,"P3")</f>
        <v>7</v>
      </c>
      <c r="BF10" s="19">
        <f>COUNTIF(BF14:BF1972,"P1")+COUNTIF(BF14:BF1972,"P2")+COUNTIF(BF14:BF1972,"P3")</f>
        <v>7</v>
      </c>
      <c r="BG10" s="19">
        <f>COUNTIF(BG14:BG1972,"P1")+COUNTIF(BG14:BG1972,"P2")+COUNTIF(BG14:BG1972,"P3")</f>
        <v>0</v>
      </c>
      <c r="BH10" s="19">
        <f>COUNTIF(BH14:BH1972,"P1")+COUNTIF(BH14:BH1972,"P2")+COUNTIF(BH14:BH1972,"P3")</f>
        <v>0</v>
      </c>
      <c r="BI10" s="19">
        <f>COUNTIF(BI14:BI1972,"P1")+COUNTIF(BI14:BI1972,"P2")+COUNTIF(BI14:BI1972,"P3")</f>
        <v>0</v>
      </c>
      <c r="BJ10" s="19">
        <f>COUNTIF(BJ14:BJ1972,"P1")+COUNTIF(BJ14:BJ1972,"P2")+COUNTIF(BJ14:BJ1972,"P3")</f>
        <v>0</v>
      </c>
      <c r="BK10" s="19">
        <f>COUNTIF(BK14:BK1972,"P1")+COUNTIF(BK14:BK1972,"P2")+COUNTIF(BK14:BK1972,"P3")</f>
        <v>0</v>
      </c>
      <c r="BL10" s="19">
        <f>COUNTIF(BL14:BL1972,"P1")+COUNTIF(BL14:BL1972,"P2")+COUNTIF(BL14:BL1972,"P3")</f>
        <v>0</v>
      </c>
      <c r="BM10" s="19">
        <f>COUNTIF(BM14:BM1972,"P1")+COUNTIF(BM14:BM1972,"P2")+COUNTIF(BM14:BM1972,"P3")</f>
        <v>0</v>
      </c>
      <c r="BN10" s="19">
        <f>COUNTIF(BN14:BN1972,"P1")+COUNTIF(BN14:BN1972,"P2")+COUNTIF(BN14:BN1972,"P3")</f>
        <v>0</v>
      </c>
      <c r="BO10" s="19">
        <f>COUNTIF(BO14:BO1972,"P1")+COUNTIF(BO14:BO1972,"P2")+COUNTIF(BO14:BO1972,"P3")</f>
        <v>0</v>
      </c>
      <c r="BP10" s="19">
        <f>COUNTIF(BP14:BP1972,"P1")+COUNTIF(BP14:BP1972,"P2")+COUNTIF(BP14:BP1972,"P3")</f>
        <v>0</v>
      </c>
      <c r="BQ10" s="19">
        <f>COUNTIF(BQ14:BQ1972,"P1")+COUNTIF(BQ14:BQ1972,"P2")+COUNTIF(BQ14:BQ1972,"P3")</f>
        <v>0</v>
      </c>
    </row>
    <row r="11" spans="1:101" s="22" customFormat="1" ht="16.5" customHeight="1" x14ac:dyDescent="0.25">
      <c r="A11" s="12"/>
      <c r="B11" s="93" t="s">
        <v>6</v>
      </c>
      <c r="C11" s="94"/>
      <c r="D11" s="94"/>
      <c r="E11" s="94"/>
      <c r="F11" s="94"/>
      <c r="G11" s="94"/>
      <c r="H11" s="21">
        <f>COUNTIF(H14:H1972,"C1")+COUNTIF(H14:H1972,"C2")</f>
        <v>0</v>
      </c>
      <c r="I11" s="21">
        <f>COUNTIF(I14:I1972,"C1")+COUNTIF(I14:I1972,"C2")</f>
        <v>0</v>
      </c>
      <c r="J11" s="21">
        <f>COUNTIF(J14:J1972,"C1")+COUNTIF(J14:J1972,"C2")</f>
        <v>0</v>
      </c>
      <c r="K11" s="21">
        <f>COUNTIF(K14:K1972,"C1")+COUNTIF(K14:K1972,"C2")</f>
        <v>0</v>
      </c>
      <c r="L11" s="21">
        <f>COUNTIF(L14:L1972,"C1")+COUNTIF(L14:L1972,"C2")</f>
        <v>0</v>
      </c>
      <c r="M11" s="21">
        <f>COUNTIF(M14:M1972,"C1")+COUNTIF(M14:M1972,"C2")</f>
        <v>0</v>
      </c>
      <c r="N11" s="21">
        <f>COUNTIF(N14:N1972,"C1")+COUNTIF(N14:N1972,"C2")</f>
        <v>0</v>
      </c>
      <c r="O11" s="21">
        <f>COUNTIF(O14:O1972,"C1")+COUNTIF(O14:O1972,"C2")</f>
        <v>0</v>
      </c>
      <c r="P11" s="21">
        <f>COUNTIF(P14:P1972,"C1")+COUNTIF(P14:P1972,"C2")</f>
        <v>7</v>
      </c>
      <c r="Q11" s="21">
        <f>COUNTIF(Q14:Q1972,"C1")+COUNTIF(Q14:Q1972,"C2")</f>
        <v>7</v>
      </c>
      <c r="R11" s="21">
        <f>COUNTIF(R14:R1972,"C1")+COUNTIF(R14:R1972,"C2")</f>
        <v>7</v>
      </c>
      <c r="S11" s="21">
        <f>COUNTIF(S14:S1972,"C1")+COUNTIF(S14:S1972,"C2")</f>
        <v>7</v>
      </c>
      <c r="T11" s="21">
        <f>COUNTIF(T14:T1972,"C1")+COUNTIF(T14:T1972,"C2")</f>
        <v>7</v>
      </c>
      <c r="U11" s="21">
        <f>COUNTIF(U14:U1972,"C1")+COUNTIF(U14:U1972,"C2")</f>
        <v>7</v>
      </c>
      <c r="V11" s="21">
        <f>COUNTIF(V14:V1972,"C1")+COUNTIF(V14:V1972,"C2")</f>
        <v>7</v>
      </c>
      <c r="W11" s="21">
        <f>COUNTIF(W14:W1972,"C1")+COUNTIF(W14:W1972,"C2")</f>
        <v>14</v>
      </c>
      <c r="X11" s="21">
        <f>COUNTIF(X14:X1972,"C1")+COUNTIF(X14:X1972,"C2")</f>
        <v>14</v>
      </c>
      <c r="Y11" s="21">
        <f>COUNTIF(Y14:Y1972,"C1")+COUNTIF(Y14:Y1972,"C2")</f>
        <v>14</v>
      </c>
      <c r="Z11" s="21">
        <f>COUNTIF(Z14:Z1972,"C1")+COUNTIF(Z14:Z1972,"C2")</f>
        <v>14</v>
      </c>
      <c r="AA11" s="21">
        <f>COUNTIF(AA14:AA1972,"C1")+COUNTIF(AA14:AA1972,"C2")</f>
        <v>14</v>
      </c>
      <c r="AB11" s="21">
        <f>COUNTIF(AB14:AB1972,"C1")+COUNTIF(AB14:AB1972,"C2")</f>
        <v>14</v>
      </c>
      <c r="AC11" s="21">
        <f>COUNTIF(AC14:AC1972,"C1")+COUNTIF(AC14:AC1972,"C2")</f>
        <v>14</v>
      </c>
      <c r="AD11" s="21">
        <f>COUNTIF(AD14:AD1972,"C1")+COUNTIF(AD14:AD1972,"C2")</f>
        <v>15</v>
      </c>
      <c r="AE11" s="21">
        <f>COUNTIF(AE14:AE1972,"C1")+COUNTIF(AE14:AE1972,"C2")</f>
        <v>14</v>
      </c>
      <c r="AF11" s="21">
        <f>COUNTIF(AF14:AF1972,"C1")+COUNTIF(AF14:AF1972,"C2")</f>
        <v>14</v>
      </c>
      <c r="AG11" s="21">
        <f>COUNTIF(AG14:AG1972,"C1")+COUNTIF(AG14:AG1972,"C2")</f>
        <v>16</v>
      </c>
      <c r="AH11" s="21">
        <f>COUNTIF(AH14:AH1972,"C1")+COUNTIF(AH14:AH1972,"C2")</f>
        <v>14</v>
      </c>
      <c r="AI11" s="21">
        <f>COUNTIF(AI14:AI1972,"C1")+COUNTIF(AI14:AI1972,"C2")</f>
        <v>14</v>
      </c>
      <c r="AJ11" s="21">
        <f>COUNTIF(AJ14:AJ1972,"C1")+COUNTIF(AJ14:AJ1972,"C2")</f>
        <v>14</v>
      </c>
      <c r="AK11" s="21">
        <f>COUNTIF(AK14:AK1972,"C1")+COUNTIF(AK14:AK1972,"C2")</f>
        <v>15</v>
      </c>
      <c r="AL11" s="21">
        <f>COUNTIF(AL14:AL1972,"C1")+COUNTIF(AL14:AL1972,"C2")</f>
        <v>14</v>
      </c>
      <c r="AM11" s="21">
        <f>COUNTIF(AM14:AM1972,"C1")+COUNTIF(AM14:AM1972,"C2")</f>
        <v>14</v>
      </c>
      <c r="AN11" s="21">
        <f>COUNTIF(AN14:AN1972,"C1")+COUNTIF(AN14:AN1972,"C2")</f>
        <v>16</v>
      </c>
      <c r="AO11" s="21">
        <f>COUNTIF(AO14:AO1972,"C1")+COUNTIF(AO14:AO1972,"C2")</f>
        <v>15</v>
      </c>
      <c r="AP11" s="21">
        <f>COUNTIF(AP14:AP1972,"C1")+COUNTIF(AP14:AP1972,"C2")</f>
        <v>14</v>
      </c>
      <c r="AQ11" s="21">
        <f>COUNTIF(AQ14:AQ1972,"C1")+COUNTIF(AQ14:AQ1972,"C2")</f>
        <v>14</v>
      </c>
      <c r="AR11" s="21">
        <f>COUNTIF(AR14:AR1972,"C1")+COUNTIF(AR14:AR1972,"C2")</f>
        <v>14</v>
      </c>
      <c r="AS11" s="21">
        <f>COUNTIF(AS14:AS1972,"C1")+COUNTIF(AS14:AS1972,"C2")</f>
        <v>14</v>
      </c>
      <c r="AT11" s="21">
        <f>COUNTIF(AT14:AT1972,"C1")+COUNTIF(AT14:AT1972,"C2")</f>
        <v>14</v>
      </c>
      <c r="AU11" s="21">
        <f>COUNTIF(AU14:AU1972,"C1")+COUNTIF(AU14:AU1972,"C2")</f>
        <v>7</v>
      </c>
      <c r="AV11" s="21">
        <f>COUNTIF(AV14:AV1972,"C1")+COUNTIF(AV14:AV1972,"C2")</f>
        <v>8</v>
      </c>
      <c r="AW11" s="21">
        <f>COUNTIF(AW14:AW1972,"C1")+COUNTIF(AW14:AW1972,"C2")</f>
        <v>7</v>
      </c>
      <c r="AX11" s="21">
        <f>COUNTIF(AX14:AX1972,"C1")+COUNTIF(AX14:AX1972,"C2")</f>
        <v>7</v>
      </c>
      <c r="AY11" s="21">
        <f>COUNTIF(AY14:AY1972,"C1")+COUNTIF(AY14:AY1972,"C2")</f>
        <v>7</v>
      </c>
      <c r="AZ11" s="21">
        <f>COUNTIF(AZ14:AZ1972,"C1")+COUNTIF(AZ14:AZ1972,"C2")</f>
        <v>7</v>
      </c>
      <c r="BA11" s="21">
        <f>COUNTIF(BA14:BA1972,"C1")+COUNTIF(BA14:BA1972,"C2")</f>
        <v>7</v>
      </c>
      <c r="BB11" s="21">
        <f>COUNTIF(BB14:BB1972,"C1")+COUNTIF(BB14:BB1972,"C2")</f>
        <v>0</v>
      </c>
      <c r="BC11" s="21">
        <f>COUNTIF(BC14:BC1972,"C1")+COUNTIF(BC14:BC1972,"C2")</f>
        <v>0</v>
      </c>
      <c r="BD11" s="21">
        <f>COUNTIF(BD14:BD1972,"C1")+COUNTIF(BD14:BD1972,"C2")</f>
        <v>0</v>
      </c>
      <c r="BE11" s="21">
        <f>COUNTIF(BE14:BE1972,"C1")+COUNTIF(BE14:BE1972,"C2")</f>
        <v>0</v>
      </c>
      <c r="BF11" s="21">
        <f>COUNTIF(BF14:BF1972,"C1")+COUNTIF(BF14:BF1972,"C2")</f>
        <v>0</v>
      </c>
      <c r="BG11" s="21">
        <f>COUNTIF(BG14:BG1972,"C1")+COUNTIF(BG14:BG1972,"C2")</f>
        <v>0</v>
      </c>
      <c r="BH11" s="21">
        <f>COUNTIF(BH14:BH1972,"C1")+COUNTIF(BH14:BH1972,"C2")</f>
        <v>0</v>
      </c>
      <c r="BI11" s="21">
        <f>COUNTIF(BI14:BI1972,"C1")+COUNTIF(BI14:BI1972,"C2")</f>
        <v>0</v>
      </c>
      <c r="BJ11" s="21">
        <f>COUNTIF(BJ14:BJ1972,"C1")+COUNTIF(BJ14:BJ1972,"C2")</f>
        <v>0</v>
      </c>
      <c r="BK11" s="21">
        <f>COUNTIF(BK14:BK1972,"C1")+COUNTIF(BK14:BK1972,"C2")</f>
        <v>0</v>
      </c>
      <c r="BL11" s="21">
        <f>COUNTIF(BL14:BL1972,"C1")+COUNTIF(BL14:BL1972,"C2")</f>
        <v>0</v>
      </c>
      <c r="BM11" s="21">
        <f>COUNTIF(BM14:BM1972,"C1")+COUNTIF(BM14:BM1972,"C2")</f>
        <v>0</v>
      </c>
      <c r="BN11" s="21">
        <f>COUNTIF(BN14:BN1972,"C1")+COUNTIF(BN14:BN1972,"C2")</f>
        <v>0</v>
      </c>
      <c r="BO11" s="21">
        <f>COUNTIF(BO14:BO1972,"C1")+COUNTIF(BO14:BO1972,"C2")</f>
        <v>0</v>
      </c>
      <c r="BP11" s="21">
        <f>COUNTIF(BP14:BP1972,"C1")+COUNTIF(BP14:BP1972,"C2")</f>
        <v>0</v>
      </c>
      <c r="BQ11" s="21">
        <f>COUNTIF(BQ14:BQ1972,"C1")+COUNTIF(BQ14:BQ1972,"C2")</f>
        <v>0</v>
      </c>
    </row>
    <row r="12" spans="1:101" s="24" customFormat="1" ht="16.5" hidden="1" customHeight="1" x14ac:dyDescent="0.25">
      <c r="A12" s="12"/>
      <c r="B12" s="95" t="s">
        <v>7</v>
      </c>
      <c r="C12" s="96"/>
      <c r="D12" s="96"/>
      <c r="E12" s="96"/>
      <c r="F12" s="96"/>
      <c r="G12" s="96"/>
      <c r="H12" s="23">
        <f>COUNTIF(H15:H1972,"")</f>
        <v>1952</v>
      </c>
      <c r="I12" s="23">
        <f>COUNTIF(I15:I1972,"")</f>
        <v>1951</v>
      </c>
      <c r="J12" s="23">
        <f>COUNTIF(J15:J1972,"")</f>
        <v>1951</v>
      </c>
      <c r="K12" s="23">
        <f>COUNTIF(K15:K1972,"")</f>
        <v>1951</v>
      </c>
      <c r="L12" s="23">
        <f>COUNTIF(L15:L1972,"")</f>
        <v>1951</v>
      </c>
      <c r="M12" s="23">
        <f>COUNTIF(M15:M1972,"")</f>
        <v>1951</v>
      </c>
      <c r="N12" s="23">
        <f>COUNTIF(N15:N1972,"")</f>
        <v>1951</v>
      </c>
      <c r="O12" s="23">
        <f>COUNTIF(O15:O1972,"")</f>
        <v>1945</v>
      </c>
      <c r="P12" s="23">
        <f>COUNTIF(P15:P1972,"")</f>
        <v>1938</v>
      </c>
      <c r="Q12" s="23">
        <f>COUNTIF(Q15:Q1972,"")</f>
        <v>1937</v>
      </c>
      <c r="R12" s="23">
        <f>COUNTIF(R15:R1972,"")</f>
        <v>1937</v>
      </c>
      <c r="S12" s="23">
        <f>COUNTIF(S15:S1972,"")</f>
        <v>1937</v>
      </c>
      <c r="T12" s="23">
        <f>COUNTIF(T15:T1972,"")</f>
        <v>1937</v>
      </c>
      <c r="U12" s="23">
        <f>COUNTIF(U15:U1972,"")</f>
        <v>1937</v>
      </c>
      <c r="V12" s="23">
        <f>COUNTIF(V15:V1972,"")</f>
        <v>1930</v>
      </c>
      <c r="W12" s="23">
        <f>COUNTIF(W15:W1972,"")</f>
        <v>1924</v>
      </c>
      <c r="X12" s="23">
        <f>COUNTIF(X15:X1972,"")</f>
        <v>1923</v>
      </c>
      <c r="Y12" s="23">
        <f>COUNTIF(Y15:Y1972,"")</f>
        <v>1921</v>
      </c>
      <c r="Z12" s="23">
        <f>COUNTIF(Z15:Z1972,"")</f>
        <v>1923</v>
      </c>
      <c r="AA12" s="23">
        <f>COUNTIF(AA15:AA1972,"")</f>
        <v>1923</v>
      </c>
      <c r="AB12" s="23">
        <f>COUNTIF(AB15:AB1972,"")</f>
        <v>1917</v>
      </c>
      <c r="AC12" s="23">
        <f>COUNTIF(AC15:AC1972,"")</f>
        <v>1915</v>
      </c>
      <c r="AD12" s="23">
        <f>COUNTIF(AD15:AD1972,"")</f>
        <v>1915</v>
      </c>
      <c r="AE12" s="23">
        <f>COUNTIF(AE15:AE1972,"")</f>
        <v>1910</v>
      </c>
      <c r="AF12" s="23">
        <f>COUNTIF(AF15:AF1972,"")</f>
        <v>1907</v>
      </c>
      <c r="AG12" s="23">
        <f>COUNTIF(AG15:AG1972,"")</f>
        <v>1906</v>
      </c>
      <c r="AH12" s="23">
        <f>COUNTIF(AH15:AH1972,"")</f>
        <v>1909</v>
      </c>
      <c r="AI12" s="23">
        <f>COUNTIF(AI15:AI1972,"")</f>
        <v>1909</v>
      </c>
      <c r="AJ12" s="23">
        <f>COUNTIF(AJ15:AJ1972,"")</f>
        <v>1908</v>
      </c>
      <c r="AK12" s="23">
        <f>COUNTIF(AK15:AK1972,"")</f>
        <v>1909</v>
      </c>
      <c r="AL12" s="23">
        <f>COUNTIF(AL15:AL1972,"")</f>
        <v>1909</v>
      </c>
      <c r="AM12" s="23">
        <f>COUNTIF(AM15:AM1972,"")</f>
        <v>1914</v>
      </c>
      <c r="AN12" s="23">
        <f>COUNTIF(AN15:AN1972,"")</f>
        <v>1913</v>
      </c>
      <c r="AO12" s="23">
        <f>COUNTIF(AO15:AO1972,"")</f>
        <v>1915</v>
      </c>
      <c r="AP12" s="23">
        <f>COUNTIF(AP15:AP1972,"")</f>
        <v>1915</v>
      </c>
      <c r="AQ12" s="23">
        <f>COUNTIF(AQ15:AQ1972,"")</f>
        <v>1916</v>
      </c>
      <c r="AR12" s="23">
        <f>COUNTIF(AR15:AR1972,"")</f>
        <v>1917</v>
      </c>
      <c r="AS12" s="23">
        <f>COUNTIF(AS15:AS1972,"")</f>
        <v>1914</v>
      </c>
      <c r="AT12" s="23">
        <f>COUNTIF(AT15:AT1972,"")</f>
        <v>1923</v>
      </c>
      <c r="AU12" s="23">
        <f>COUNTIF(AU15:AU1972,"")</f>
        <v>1929</v>
      </c>
      <c r="AV12" s="23">
        <f>COUNTIF(AV15:AV1972,"")</f>
        <v>1927</v>
      </c>
      <c r="AW12" s="23">
        <f>COUNTIF(AW15:AW1972,"")</f>
        <v>1930</v>
      </c>
      <c r="AX12" s="23">
        <f>COUNTIF(AX15:AX1972,"")</f>
        <v>1930</v>
      </c>
      <c r="AY12" s="23">
        <f>COUNTIF(AY15:AY1972,"")</f>
        <v>1931</v>
      </c>
      <c r="AZ12" s="23">
        <f>COUNTIF(AZ15:AZ1972,"")</f>
        <v>1931</v>
      </c>
      <c r="BA12" s="23">
        <f>COUNTIF(BA15:BA1972,"")</f>
        <v>1936</v>
      </c>
      <c r="BB12" s="23">
        <f>COUNTIF(BB15:BB1972,"")</f>
        <v>1944</v>
      </c>
      <c r="BC12" s="23">
        <f>COUNTIF(BC15:BC1972,"")</f>
        <v>1944</v>
      </c>
      <c r="BD12" s="23">
        <f>COUNTIF(BD15:BD1972,"")</f>
        <v>1943</v>
      </c>
      <c r="BE12" s="23">
        <f>COUNTIF(BE15:BE1972,"")</f>
        <v>1945</v>
      </c>
      <c r="BF12" s="23">
        <f>COUNTIF(BF15:BF1972,"")</f>
        <v>1944</v>
      </c>
      <c r="BG12" s="23">
        <f>COUNTIF(BG15:BG1972,"")</f>
        <v>1951</v>
      </c>
      <c r="BH12" s="23">
        <f>COUNTIF(BH15:BH1972,"")</f>
        <v>1952</v>
      </c>
      <c r="BI12" s="23">
        <f>COUNTIF(BI15:BI1972,"")</f>
        <v>1951</v>
      </c>
      <c r="BJ12" s="23">
        <f>COUNTIF(BJ15:BJ1972,"")</f>
        <v>1958</v>
      </c>
      <c r="BK12" s="23">
        <f>COUNTIF(BK15:BK1972,"")</f>
        <v>1958</v>
      </c>
      <c r="BL12" s="23">
        <f>COUNTIF(BL15:BL1972,"")</f>
        <v>1958</v>
      </c>
      <c r="BM12" s="23">
        <f>COUNTIF(BM15:BM1972,"")</f>
        <v>1958</v>
      </c>
      <c r="BN12" s="23">
        <f>COUNTIF(BN15:BN1972,"")</f>
        <v>1958</v>
      </c>
      <c r="BO12" s="23">
        <f>COUNTIF(BO15:BO1972,"")</f>
        <v>1958</v>
      </c>
      <c r="BP12" s="23">
        <f>COUNTIF(BP33:BP1972,"")</f>
        <v>1940</v>
      </c>
      <c r="BQ12" s="23">
        <f>COUNTIF(BQ28:BQ1972,"")</f>
        <v>1945</v>
      </c>
    </row>
    <row r="13" spans="1:101" s="24" customFormat="1" ht="16.5" customHeight="1" x14ac:dyDescent="0.25">
      <c r="A13" s="12"/>
      <c r="B13" s="12"/>
      <c r="C13" s="12"/>
      <c r="D13" s="12"/>
      <c r="E13" s="12"/>
      <c r="F13" s="12"/>
      <c r="G13" s="12"/>
    </row>
    <row r="14" spans="1:101" s="34" customFormat="1" ht="16.5" customHeight="1" x14ac:dyDescent="0.25">
      <c r="A14" s="25" t="s">
        <v>56</v>
      </c>
      <c r="B14" s="25" t="s">
        <v>313</v>
      </c>
      <c r="C14" s="25" t="s">
        <v>458</v>
      </c>
      <c r="D14" s="25">
        <v>100</v>
      </c>
      <c r="E14" s="35" cm="1">
        <f t="array" ref="E14">IFERROR(INDEX($H$5:$AVV$5, _xlfn.AGGREGATE(15,6, COLUMN(H14:AVV14)-COLUMN(H14)+F14 / (H14:AVV14="T"), $A$2)), "")</f>
        <v>45962</v>
      </c>
      <c r="F14" s="97">
        <v>1</v>
      </c>
      <c r="G14" s="26" t="s">
        <v>10</v>
      </c>
      <c r="H14" s="33" t="s">
        <v>12</v>
      </c>
      <c r="I14" s="98"/>
      <c r="J14" s="98"/>
      <c r="K14" s="98"/>
      <c r="L14" s="99"/>
      <c r="M14" s="98"/>
      <c r="N14" s="98"/>
      <c r="O14" s="100" t="s">
        <v>16</v>
      </c>
      <c r="P14" s="101" t="s">
        <v>13</v>
      </c>
      <c r="Q14" s="98"/>
      <c r="R14" s="98"/>
      <c r="S14" s="99"/>
      <c r="T14" s="98"/>
      <c r="U14" s="98"/>
      <c r="V14" s="100" t="s">
        <v>14</v>
      </c>
      <c r="W14" s="101" t="s">
        <v>11</v>
      </c>
      <c r="X14" s="98"/>
      <c r="Y14" s="98"/>
      <c r="Z14" s="99"/>
      <c r="AA14" s="27"/>
      <c r="AB14" s="29" t="s">
        <v>15</v>
      </c>
      <c r="AC14" s="27"/>
      <c r="AD14" s="27"/>
      <c r="AE14" s="25">
        <v>17</v>
      </c>
      <c r="AF14" s="25"/>
      <c r="AG14" s="25"/>
      <c r="AH14" s="25"/>
      <c r="AI14" s="25"/>
      <c r="AJ14" s="25"/>
      <c r="AK14" s="25" t="s">
        <v>12</v>
      </c>
      <c r="AL14" s="27"/>
      <c r="AM14" s="27"/>
      <c r="AN14" s="27"/>
      <c r="AO14" s="103"/>
      <c r="AP14" s="27"/>
      <c r="AQ14" s="27"/>
      <c r="AR14" s="29" t="s">
        <v>16</v>
      </c>
      <c r="AS14" s="30" t="s">
        <v>13</v>
      </c>
      <c r="AT14" s="27"/>
      <c r="AU14" s="27"/>
      <c r="AV14" s="28"/>
      <c r="AW14" s="27"/>
      <c r="AX14" s="27"/>
      <c r="AY14" s="100" t="s">
        <v>14</v>
      </c>
      <c r="AZ14" s="101" t="s">
        <v>11</v>
      </c>
      <c r="BA14" s="98"/>
      <c r="BB14" s="98"/>
      <c r="BC14" s="99"/>
      <c r="BD14" s="98"/>
      <c r="BE14" s="100" t="s">
        <v>15</v>
      </c>
      <c r="BF14" s="98"/>
      <c r="BG14" s="98"/>
      <c r="BH14" s="33">
        <v>17</v>
      </c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</row>
    <row r="15" spans="1:101" x14ac:dyDescent="0.25">
      <c r="A15" s="33" t="s">
        <v>56</v>
      </c>
      <c r="B15" s="33" t="s">
        <v>314</v>
      </c>
      <c r="C15" s="25" t="s">
        <v>459</v>
      </c>
      <c r="D15" s="25">
        <v>101</v>
      </c>
      <c r="E15" s="35" cm="1">
        <f t="array" ref="E15">IFERROR(INDEX($H$5:$AVV$5, _xlfn.AGGREGATE(15,6, COLUMN(H15:AVV15)-COLUMN(H15)+F15 / (H15:AVV15="T"), $A$2)), "")</f>
        <v>45962</v>
      </c>
      <c r="F15" s="97">
        <v>1</v>
      </c>
      <c r="G15" s="36" t="s">
        <v>10</v>
      </c>
      <c r="H15" s="33" t="s">
        <v>12</v>
      </c>
      <c r="I15" s="98"/>
      <c r="J15" s="98"/>
      <c r="K15" s="98"/>
      <c r="L15" s="99"/>
      <c r="M15" s="98"/>
      <c r="N15" s="98"/>
      <c r="O15" s="100" t="s">
        <v>16</v>
      </c>
      <c r="P15" s="101" t="s">
        <v>13</v>
      </c>
      <c r="Q15" s="98"/>
      <c r="R15" s="98"/>
      <c r="S15" s="99"/>
      <c r="T15" s="98"/>
      <c r="U15" s="98"/>
      <c r="V15" s="100" t="s">
        <v>14</v>
      </c>
      <c r="W15" s="101" t="s">
        <v>11</v>
      </c>
      <c r="X15" s="98"/>
      <c r="Y15" s="98"/>
      <c r="Z15" s="99"/>
      <c r="AA15" s="27"/>
      <c r="AB15" s="29" t="s">
        <v>15</v>
      </c>
      <c r="AC15" s="27"/>
      <c r="AD15" s="27"/>
      <c r="AE15" s="25">
        <v>17</v>
      </c>
      <c r="AF15" s="25"/>
      <c r="AG15" s="25"/>
      <c r="AH15" s="25"/>
      <c r="AI15" s="25"/>
      <c r="AJ15" s="25"/>
      <c r="AK15" s="25" t="s">
        <v>12</v>
      </c>
      <c r="AL15" s="27"/>
      <c r="AM15" s="27"/>
      <c r="AN15" s="27"/>
      <c r="AO15" s="28"/>
      <c r="AP15" s="27"/>
      <c r="AQ15" s="37"/>
      <c r="AR15" s="29" t="s">
        <v>16</v>
      </c>
      <c r="AS15" s="30" t="s">
        <v>13</v>
      </c>
      <c r="AT15" s="27"/>
      <c r="AU15" s="27"/>
      <c r="AV15" s="28"/>
      <c r="AW15" s="27"/>
      <c r="AX15" s="27"/>
      <c r="AY15" s="100" t="s">
        <v>14</v>
      </c>
      <c r="AZ15" s="101" t="s">
        <v>11</v>
      </c>
      <c r="BA15" s="98"/>
      <c r="BB15" s="98"/>
      <c r="BC15" s="99"/>
      <c r="BD15" s="98"/>
      <c r="BE15" s="100" t="s">
        <v>15</v>
      </c>
      <c r="BF15" s="98"/>
      <c r="BG15" s="98"/>
      <c r="BH15" s="33">
        <v>17</v>
      </c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</row>
    <row r="16" spans="1:101" x14ac:dyDescent="0.25">
      <c r="A16" s="25" t="s">
        <v>56</v>
      </c>
      <c r="B16" s="25" t="s">
        <v>315</v>
      </c>
      <c r="C16" s="25" t="s">
        <v>460</v>
      </c>
      <c r="D16" s="25">
        <v>102</v>
      </c>
      <c r="E16" s="35" cm="1">
        <f t="array" ref="E16">IFERROR(INDEX($H$5:$AVV$5, _xlfn.AGGREGATE(15,6, COLUMN(H16:AVV16)-COLUMN(H16)+F16 / (H16:AVV16="T"), $A$2)), "")</f>
        <v>45962</v>
      </c>
      <c r="F16" s="97">
        <v>1</v>
      </c>
      <c r="G16" s="38" t="s">
        <v>10</v>
      </c>
      <c r="H16" s="33" t="s">
        <v>12</v>
      </c>
      <c r="I16" s="98"/>
      <c r="J16" s="98"/>
      <c r="K16" s="98"/>
      <c r="L16" s="99"/>
      <c r="M16" s="98"/>
      <c r="N16" s="98"/>
      <c r="O16" s="100" t="s">
        <v>16</v>
      </c>
      <c r="P16" s="101" t="s">
        <v>13</v>
      </c>
      <c r="Q16" s="98"/>
      <c r="R16" s="98"/>
      <c r="S16" s="99"/>
      <c r="T16" s="98"/>
      <c r="U16" s="98"/>
      <c r="V16" s="100" t="s">
        <v>14</v>
      </c>
      <c r="W16" s="101" t="s">
        <v>11</v>
      </c>
      <c r="X16" s="98"/>
      <c r="Y16" s="98"/>
      <c r="Z16" s="99"/>
      <c r="AA16" s="27"/>
      <c r="AB16" s="29" t="s">
        <v>15</v>
      </c>
      <c r="AC16" s="27"/>
      <c r="AD16" s="27"/>
      <c r="AE16" s="25">
        <v>17</v>
      </c>
      <c r="AF16" s="25"/>
      <c r="AG16" s="25"/>
      <c r="AH16" s="25"/>
      <c r="AI16" s="25"/>
      <c r="AJ16" s="25"/>
      <c r="AK16" s="25" t="s">
        <v>12</v>
      </c>
      <c r="AL16" s="27"/>
      <c r="AM16" s="27"/>
      <c r="AN16" s="27"/>
      <c r="AO16" s="28"/>
      <c r="AP16" s="27"/>
      <c r="AQ16" s="37"/>
      <c r="AR16" s="29" t="s">
        <v>16</v>
      </c>
      <c r="AS16" s="30" t="s">
        <v>13</v>
      </c>
      <c r="AT16" s="27"/>
      <c r="AU16" s="27"/>
      <c r="AV16" s="28"/>
      <c r="AW16" s="27"/>
      <c r="AX16" s="27"/>
      <c r="AY16" s="100" t="s">
        <v>14</v>
      </c>
      <c r="AZ16" s="101" t="s">
        <v>11</v>
      </c>
      <c r="BA16" s="98"/>
      <c r="BB16" s="98"/>
      <c r="BC16" s="99"/>
      <c r="BD16" s="98"/>
      <c r="BE16" s="100" t="s">
        <v>15</v>
      </c>
      <c r="BF16" s="98"/>
      <c r="BG16" s="98"/>
      <c r="BH16" s="33">
        <v>17</v>
      </c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</row>
    <row r="17" spans="1:92" x14ac:dyDescent="0.25">
      <c r="A17" s="25" t="s">
        <v>56</v>
      </c>
      <c r="B17" s="25" t="s">
        <v>316</v>
      </c>
      <c r="C17" s="25" t="s">
        <v>461</v>
      </c>
      <c r="D17" s="25">
        <v>103</v>
      </c>
      <c r="E17" s="35" cm="1">
        <f t="array" ref="E17">IFERROR(INDEX($H$5:$AVV$5, _xlfn.AGGREGATE(15,6, COLUMN(H17:AVV17)-COLUMN(H17)+F17 / (H17:AVV17="T"), $A$2)), "")</f>
        <v>45962</v>
      </c>
      <c r="F17" s="97">
        <v>1</v>
      </c>
      <c r="G17" s="38" t="s">
        <v>10</v>
      </c>
      <c r="H17" s="33" t="s">
        <v>12</v>
      </c>
      <c r="I17" s="98"/>
      <c r="J17" s="98"/>
      <c r="K17" s="98"/>
      <c r="L17" s="99"/>
      <c r="M17" s="98"/>
      <c r="N17" s="98"/>
      <c r="O17" s="100" t="s">
        <v>16</v>
      </c>
      <c r="P17" s="101" t="s">
        <v>13</v>
      </c>
      <c r="Q17" s="98"/>
      <c r="R17" s="98"/>
      <c r="S17" s="99"/>
      <c r="T17" s="98"/>
      <c r="U17" s="98"/>
      <c r="V17" s="100" t="s">
        <v>14</v>
      </c>
      <c r="W17" s="101" t="s">
        <v>11</v>
      </c>
      <c r="X17" s="98"/>
      <c r="Y17" s="98"/>
      <c r="Z17" s="99"/>
      <c r="AA17" s="27"/>
      <c r="AB17" s="29" t="s">
        <v>15</v>
      </c>
      <c r="AC17" s="27"/>
      <c r="AD17" s="27"/>
      <c r="AE17" s="25">
        <v>17</v>
      </c>
      <c r="AF17" s="25"/>
      <c r="AG17" s="25"/>
      <c r="AH17" s="25"/>
      <c r="AI17" s="25"/>
      <c r="AJ17" s="25"/>
      <c r="AK17" s="25" t="s">
        <v>12</v>
      </c>
      <c r="AL17" s="27"/>
      <c r="AM17" s="27"/>
      <c r="AN17" s="27"/>
      <c r="AO17" s="28"/>
      <c r="AP17" s="27"/>
      <c r="AQ17" s="37"/>
      <c r="AR17" s="29" t="s">
        <v>16</v>
      </c>
      <c r="AS17" s="30" t="s">
        <v>13</v>
      </c>
      <c r="AT17" s="27"/>
      <c r="AU17" s="27"/>
      <c r="AV17" s="28"/>
      <c r="AW17" s="27"/>
      <c r="AX17" s="27"/>
      <c r="AY17" s="100" t="s">
        <v>14</v>
      </c>
      <c r="AZ17" s="101" t="s">
        <v>11</v>
      </c>
      <c r="BA17" s="98"/>
      <c r="BB17" s="98"/>
      <c r="BC17" s="99"/>
      <c r="BD17" s="98"/>
      <c r="BE17" s="100" t="s">
        <v>15</v>
      </c>
      <c r="BF17" s="98"/>
      <c r="BG17" s="98"/>
      <c r="BH17" s="33">
        <v>17</v>
      </c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</row>
    <row r="18" spans="1:92" x14ac:dyDescent="0.25">
      <c r="A18" s="25" t="s">
        <v>56</v>
      </c>
      <c r="B18" s="25" t="s">
        <v>317</v>
      </c>
      <c r="C18" s="25" t="s">
        <v>462</v>
      </c>
      <c r="D18" s="25">
        <v>104</v>
      </c>
      <c r="E18" s="35" cm="1">
        <f t="array" ref="E18">IFERROR(INDEX($H$5:$AVV$5, _xlfn.AGGREGATE(15,6, COLUMN(H18:AVV18)-COLUMN(H18)+F18 / (H18:AVV18="T"), $A$2)), "")</f>
        <v>45962</v>
      </c>
      <c r="F18" s="97">
        <v>1</v>
      </c>
      <c r="G18" s="38" t="s">
        <v>10</v>
      </c>
      <c r="H18" s="33" t="s">
        <v>12</v>
      </c>
      <c r="I18" s="98"/>
      <c r="J18" s="98"/>
      <c r="K18" s="98"/>
      <c r="L18" s="99"/>
      <c r="M18" s="98"/>
      <c r="N18" s="98"/>
      <c r="O18" s="100" t="s">
        <v>16</v>
      </c>
      <c r="P18" s="101" t="s">
        <v>13</v>
      </c>
      <c r="Q18" s="98"/>
      <c r="R18" s="98"/>
      <c r="S18" s="99"/>
      <c r="T18" s="98"/>
      <c r="U18" s="98"/>
      <c r="V18" s="100" t="s">
        <v>14</v>
      </c>
      <c r="W18" s="101" t="s">
        <v>11</v>
      </c>
      <c r="X18" s="98"/>
      <c r="Y18" s="98"/>
      <c r="Z18" s="99"/>
      <c r="AA18" s="27"/>
      <c r="AB18" s="29" t="s">
        <v>15</v>
      </c>
      <c r="AC18" s="27"/>
      <c r="AD18" s="27"/>
      <c r="AE18" s="25">
        <v>17</v>
      </c>
      <c r="AF18" s="25"/>
      <c r="AG18" s="25"/>
      <c r="AH18" s="25"/>
      <c r="AI18" s="25"/>
      <c r="AJ18" s="25"/>
      <c r="AK18" s="25"/>
      <c r="AL18" s="25" t="s">
        <v>12</v>
      </c>
      <c r="AM18" s="27"/>
      <c r="AN18" s="27"/>
      <c r="AO18" s="27"/>
      <c r="AP18" s="28"/>
      <c r="AQ18" s="37"/>
      <c r="AR18" s="27"/>
      <c r="AS18" s="29" t="s">
        <v>16</v>
      </c>
      <c r="AT18" s="30" t="s">
        <v>13</v>
      </c>
      <c r="AU18" s="27"/>
      <c r="AV18" s="27"/>
      <c r="AW18" s="28"/>
      <c r="AX18" s="27"/>
      <c r="AY18" s="98"/>
      <c r="AZ18" s="100" t="s">
        <v>14</v>
      </c>
      <c r="BA18" s="101" t="s">
        <v>11</v>
      </c>
      <c r="BB18" s="98"/>
      <c r="BC18" s="98"/>
      <c r="BD18" s="99"/>
      <c r="BE18" s="98"/>
      <c r="BF18" s="100" t="s">
        <v>15</v>
      </c>
      <c r="BG18" s="98"/>
      <c r="BH18" s="98"/>
      <c r="BI18" s="33">
        <v>17</v>
      </c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</row>
    <row r="19" spans="1:92" x14ac:dyDescent="0.25">
      <c r="A19" s="25" t="s">
        <v>56</v>
      </c>
      <c r="B19" s="25" t="s">
        <v>318</v>
      </c>
      <c r="C19" s="25" t="s">
        <v>463</v>
      </c>
      <c r="D19" s="25">
        <v>105</v>
      </c>
      <c r="E19" s="35" cm="1">
        <f t="array" ref="E19">IFERROR(INDEX($H$5:$AVV$5, _xlfn.AGGREGATE(15,6, COLUMN(H19:AVV19)-COLUMN(H19)+F19 / (H19:AVV19="T"), $A$2)), "")</f>
        <v>45962</v>
      </c>
      <c r="F19" s="97">
        <v>1</v>
      </c>
      <c r="G19" s="38" t="s">
        <v>10</v>
      </c>
      <c r="H19" s="33" t="s">
        <v>12</v>
      </c>
      <c r="I19" s="98"/>
      <c r="J19" s="98"/>
      <c r="K19" s="98"/>
      <c r="L19" s="99"/>
      <c r="M19" s="98"/>
      <c r="N19" s="98"/>
      <c r="O19" s="100" t="s">
        <v>16</v>
      </c>
      <c r="P19" s="101" t="s">
        <v>13</v>
      </c>
      <c r="Q19" s="98"/>
      <c r="R19" s="98"/>
      <c r="S19" s="99"/>
      <c r="T19" s="98"/>
      <c r="U19" s="98"/>
      <c r="V19" s="100" t="s">
        <v>14</v>
      </c>
      <c r="W19" s="101" t="s">
        <v>11</v>
      </c>
      <c r="X19" s="98"/>
      <c r="Y19" s="98"/>
      <c r="Z19" s="99"/>
      <c r="AA19" s="27"/>
      <c r="AB19" s="29" t="s">
        <v>15</v>
      </c>
      <c r="AC19" s="27"/>
      <c r="AD19" s="27"/>
      <c r="AE19" s="25">
        <v>17</v>
      </c>
      <c r="AF19" s="25"/>
      <c r="AG19" s="25"/>
      <c r="AH19" s="25"/>
      <c r="AI19" s="25"/>
      <c r="AJ19" s="25"/>
      <c r="AK19" s="25"/>
      <c r="AL19" s="25" t="s">
        <v>12</v>
      </c>
      <c r="AM19" s="27"/>
      <c r="AN19" s="27"/>
      <c r="AO19" s="27"/>
      <c r="AP19" s="28"/>
      <c r="AQ19" s="37"/>
      <c r="AR19" s="27"/>
      <c r="AS19" s="29" t="s">
        <v>16</v>
      </c>
      <c r="AT19" s="30" t="s">
        <v>13</v>
      </c>
      <c r="AU19" s="27"/>
      <c r="AV19" s="27"/>
      <c r="AW19" s="28"/>
      <c r="AX19" s="27"/>
      <c r="AY19" s="98"/>
      <c r="AZ19" s="100" t="s">
        <v>14</v>
      </c>
      <c r="BA19" s="101" t="s">
        <v>11</v>
      </c>
      <c r="BB19" s="98"/>
      <c r="BC19" s="98"/>
      <c r="BD19" s="99"/>
      <c r="BE19" s="98"/>
      <c r="BF19" s="100" t="s">
        <v>15</v>
      </c>
      <c r="BG19" s="98"/>
      <c r="BH19" s="98"/>
      <c r="BI19" s="33">
        <v>17</v>
      </c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</row>
    <row r="20" spans="1:92" x14ac:dyDescent="0.25">
      <c r="A20" s="25" t="s">
        <v>56</v>
      </c>
      <c r="B20" s="25" t="s">
        <v>319</v>
      </c>
      <c r="C20" s="25" t="s">
        <v>464</v>
      </c>
      <c r="D20" s="25">
        <v>106</v>
      </c>
      <c r="E20" s="35" cm="1">
        <f t="array" ref="E20">IFERROR(INDEX($H$5:$AVV$5, _xlfn.AGGREGATE(15,6, COLUMN(H20:AVV20)-COLUMN(H20)+F20 / (H20:AVV20="T"), $A$2)), "")</f>
        <v>45962</v>
      </c>
      <c r="F20" s="97">
        <v>1</v>
      </c>
      <c r="G20" s="38" t="s">
        <v>10</v>
      </c>
      <c r="H20" s="33" t="s">
        <v>12</v>
      </c>
      <c r="I20" s="98"/>
      <c r="J20" s="98"/>
      <c r="K20" s="98"/>
      <c r="L20" s="99"/>
      <c r="M20" s="98"/>
      <c r="N20" s="98"/>
      <c r="O20" s="100" t="s">
        <v>16</v>
      </c>
      <c r="P20" s="101" t="s">
        <v>13</v>
      </c>
      <c r="Q20" s="98"/>
      <c r="R20" s="98"/>
      <c r="S20" s="99"/>
      <c r="T20" s="98"/>
      <c r="U20" s="98"/>
      <c r="V20" s="100" t="s">
        <v>14</v>
      </c>
      <c r="W20" s="101" t="s">
        <v>11</v>
      </c>
      <c r="X20" s="98"/>
      <c r="Y20" s="98"/>
      <c r="Z20" s="99"/>
      <c r="AA20" s="27"/>
      <c r="AB20" s="29" t="s">
        <v>15</v>
      </c>
      <c r="AC20" s="27"/>
      <c r="AD20" s="27"/>
      <c r="AE20" s="25">
        <v>17</v>
      </c>
      <c r="AF20" s="25"/>
      <c r="AG20" s="25"/>
      <c r="AH20" s="25"/>
      <c r="AI20" s="25"/>
      <c r="AJ20" s="25"/>
      <c r="AK20" s="25"/>
      <c r="AL20" s="25" t="s">
        <v>12</v>
      </c>
      <c r="AM20" s="27"/>
      <c r="AN20" s="27"/>
      <c r="AO20" s="27"/>
      <c r="AP20" s="28"/>
      <c r="AQ20" s="37"/>
      <c r="AR20" s="27"/>
      <c r="AS20" s="29" t="s">
        <v>16</v>
      </c>
      <c r="AT20" s="30" t="s">
        <v>13</v>
      </c>
      <c r="AU20" s="27"/>
      <c r="AV20" s="27"/>
      <c r="AW20" s="28"/>
      <c r="AX20" s="27"/>
      <c r="AY20" s="98"/>
      <c r="AZ20" s="100" t="s">
        <v>14</v>
      </c>
      <c r="BA20" s="101" t="s">
        <v>11</v>
      </c>
      <c r="BB20" s="98"/>
      <c r="BC20" s="98"/>
      <c r="BD20" s="99"/>
      <c r="BE20" s="98"/>
      <c r="BF20" s="100" t="s">
        <v>15</v>
      </c>
      <c r="BG20" s="98"/>
      <c r="BH20" s="98"/>
      <c r="BI20" s="33">
        <v>17</v>
      </c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</row>
    <row r="21" spans="1:92" x14ac:dyDescent="0.25">
      <c r="A21" s="25" t="s">
        <v>56</v>
      </c>
      <c r="B21" s="25" t="s">
        <v>276</v>
      </c>
      <c r="C21" s="25" t="s">
        <v>421</v>
      </c>
      <c r="D21" s="25">
        <v>63</v>
      </c>
      <c r="E21" s="35" cm="1">
        <f t="array" ref="E21">IFERROR(INDEX($H$5:$AVV$5, _xlfn.AGGREGATE(15,6, COLUMN(H21:AVV21)-COLUMN(H21)+F21 / (H21:AVV21="T"), $A$2)), "")</f>
        <v>45963</v>
      </c>
      <c r="F21" s="97">
        <v>1</v>
      </c>
      <c r="G21" s="38" t="s">
        <v>10</v>
      </c>
      <c r="H21" s="33"/>
      <c r="I21" s="33" t="s">
        <v>12</v>
      </c>
      <c r="J21" s="98"/>
      <c r="K21" s="98"/>
      <c r="L21" s="98"/>
      <c r="M21" s="99"/>
      <c r="N21" s="98"/>
      <c r="O21" s="98"/>
      <c r="P21" s="100" t="s">
        <v>16</v>
      </c>
      <c r="Q21" s="101" t="s">
        <v>13</v>
      </c>
      <c r="R21" s="98"/>
      <c r="S21" s="98"/>
      <c r="T21" s="99"/>
      <c r="U21" s="98"/>
      <c r="V21" s="98"/>
      <c r="W21" s="100" t="s">
        <v>14</v>
      </c>
      <c r="X21" s="101" t="s">
        <v>11</v>
      </c>
      <c r="Y21" s="98"/>
      <c r="Z21" s="98"/>
      <c r="AA21" s="99"/>
      <c r="AB21" s="98"/>
      <c r="AC21" s="29" t="s">
        <v>15</v>
      </c>
      <c r="AD21" s="27"/>
      <c r="AE21" s="27"/>
      <c r="AF21" s="25">
        <v>17</v>
      </c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31"/>
      <c r="AR21" s="25"/>
      <c r="AS21" s="25"/>
      <c r="AT21" s="25"/>
      <c r="AU21" s="25"/>
      <c r="AV21" s="25"/>
      <c r="AW21" s="25"/>
      <c r="AX21" s="25"/>
      <c r="AY21" s="25"/>
      <c r="AZ21" s="25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</row>
    <row r="22" spans="1:92" x14ac:dyDescent="0.25">
      <c r="A22" s="25" t="s">
        <v>56</v>
      </c>
      <c r="B22" s="25" t="s">
        <v>277</v>
      </c>
      <c r="C22" s="25" t="s">
        <v>422</v>
      </c>
      <c r="D22" s="25">
        <v>64</v>
      </c>
      <c r="E22" s="35" cm="1">
        <f t="array" ref="E22">IFERROR(INDEX($H$5:$AVV$5, _xlfn.AGGREGATE(15,6, COLUMN(H22:AVV22)-COLUMN(H22)+F22 / (H22:AVV22="T"), $A$2)), "")</f>
        <v>45963</v>
      </c>
      <c r="F22" s="97">
        <v>1</v>
      </c>
      <c r="G22" s="38" t="s">
        <v>10</v>
      </c>
      <c r="H22" s="33"/>
      <c r="I22" s="33" t="s">
        <v>12</v>
      </c>
      <c r="J22" s="98"/>
      <c r="K22" s="98"/>
      <c r="L22" s="98"/>
      <c r="M22" s="99"/>
      <c r="N22" s="98"/>
      <c r="O22" s="98"/>
      <c r="P22" s="100" t="s">
        <v>16</v>
      </c>
      <c r="Q22" s="101" t="s">
        <v>13</v>
      </c>
      <c r="R22" s="98"/>
      <c r="S22" s="98"/>
      <c r="T22" s="99"/>
      <c r="U22" s="98"/>
      <c r="V22" s="98"/>
      <c r="W22" s="100" t="s">
        <v>14</v>
      </c>
      <c r="X22" s="101" t="s">
        <v>11</v>
      </c>
      <c r="Y22" s="98"/>
      <c r="Z22" s="98"/>
      <c r="AA22" s="99"/>
      <c r="AB22" s="98"/>
      <c r="AC22" s="29" t="s">
        <v>15</v>
      </c>
      <c r="AD22" s="27"/>
      <c r="AE22" s="27"/>
      <c r="AF22" s="25">
        <v>17</v>
      </c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31"/>
      <c r="AT22" s="25"/>
      <c r="AU22" s="25"/>
      <c r="AV22" s="25"/>
      <c r="AW22" s="25"/>
      <c r="AX22" s="25"/>
      <c r="AY22" s="25"/>
      <c r="AZ22" s="25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</row>
    <row r="23" spans="1:92" x14ac:dyDescent="0.25">
      <c r="A23" s="25" t="s">
        <v>56</v>
      </c>
      <c r="B23" s="25" t="s">
        <v>278</v>
      </c>
      <c r="C23" s="25" t="s">
        <v>423</v>
      </c>
      <c r="D23" s="25">
        <v>65</v>
      </c>
      <c r="E23" s="35" cm="1">
        <f t="array" ref="E23">IFERROR(INDEX($H$5:$AVV$5, _xlfn.AGGREGATE(15,6, COLUMN(H23:AVV23)-COLUMN(H23)+F23 / (H23:AVV23="T"), $A$2)), "")</f>
        <v>45963</v>
      </c>
      <c r="F23" s="97">
        <v>1</v>
      </c>
      <c r="G23" s="38" t="s">
        <v>10</v>
      </c>
      <c r="H23" s="33"/>
      <c r="I23" s="33" t="s">
        <v>12</v>
      </c>
      <c r="J23" s="98"/>
      <c r="K23" s="98"/>
      <c r="L23" s="98"/>
      <c r="M23" s="99"/>
      <c r="N23" s="98"/>
      <c r="O23" s="98"/>
      <c r="P23" s="100" t="s">
        <v>16</v>
      </c>
      <c r="Q23" s="101" t="s">
        <v>13</v>
      </c>
      <c r="R23" s="98"/>
      <c r="S23" s="98"/>
      <c r="T23" s="99"/>
      <c r="U23" s="98"/>
      <c r="V23" s="98"/>
      <c r="W23" s="100" t="s">
        <v>14</v>
      </c>
      <c r="X23" s="101" t="s">
        <v>11</v>
      </c>
      <c r="Y23" s="98"/>
      <c r="Z23" s="98"/>
      <c r="AA23" s="99"/>
      <c r="AB23" s="98"/>
      <c r="AC23" s="29" t="s">
        <v>15</v>
      </c>
      <c r="AD23" s="27"/>
      <c r="AE23" s="27"/>
      <c r="AF23" s="25">
        <v>17</v>
      </c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31"/>
      <c r="AT23" s="25"/>
      <c r="AU23" s="25"/>
      <c r="AV23" s="25"/>
      <c r="AW23" s="25"/>
      <c r="AX23" s="25"/>
      <c r="AY23" s="25"/>
      <c r="AZ23" s="25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</row>
    <row r="24" spans="1:92" x14ac:dyDescent="0.25">
      <c r="A24" s="25" t="s">
        <v>56</v>
      </c>
      <c r="B24" s="25" t="s">
        <v>279</v>
      </c>
      <c r="C24" s="25" t="s">
        <v>424</v>
      </c>
      <c r="D24" s="25">
        <v>66</v>
      </c>
      <c r="E24" s="35" cm="1">
        <f t="array" ref="E24">IFERROR(INDEX($H$5:$AVV$5, _xlfn.AGGREGATE(15,6, COLUMN(H24:AVV24)-COLUMN(H24)+F24 / (H24:AVV24="T"), $A$2)), "")</f>
        <v>45963</v>
      </c>
      <c r="F24" s="97">
        <v>1</v>
      </c>
      <c r="G24" s="38" t="s">
        <v>10</v>
      </c>
      <c r="H24" s="33"/>
      <c r="I24" s="33" t="s">
        <v>12</v>
      </c>
      <c r="J24" s="98"/>
      <c r="K24" s="98"/>
      <c r="L24" s="98"/>
      <c r="M24" s="99"/>
      <c r="N24" s="98"/>
      <c r="O24" s="98"/>
      <c r="P24" s="100" t="s">
        <v>16</v>
      </c>
      <c r="Q24" s="101" t="s">
        <v>13</v>
      </c>
      <c r="R24" s="98"/>
      <c r="S24" s="98"/>
      <c r="T24" s="99"/>
      <c r="U24" s="98"/>
      <c r="V24" s="98"/>
      <c r="W24" s="100" t="s">
        <v>14</v>
      </c>
      <c r="X24" s="101" t="s">
        <v>11</v>
      </c>
      <c r="Y24" s="98"/>
      <c r="Z24" s="98"/>
      <c r="AA24" s="99"/>
      <c r="AB24" s="98"/>
      <c r="AC24" s="29" t="s">
        <v>15</v>
      </c>
      <c r="AD24" s="27"/>
      <c r="AE24" s="27"/>
      <c r="AF24" s="25">
        <v>17</v>
      </c>
      <c r="AG24" s="25"/>
      <c r="AH24" s="25"/>
      <c r="AI24" s="25"/>
      <c r="AJ24" s="25"/>
      <c r="AK24" s="25"/>
      <c r="AL24" s="25" t="s">
        <v>12</v>
      </c>
      <c r="AM24" s="27"/>
      <c r="AN24" s="27"/>
      <c r="AO24" s="27"/>
      <c r="AP24" s="28"/>
      <c r="AQ24" s="27"/>
      <c r="AR24" s="27"/>
      <c r="AS24" s="32" t="s">
        <v>16</v>
      </c>
      <c r="AT24" s="30" t="s">
        <v>13</v>
      </c>
      <c r="AU24" s="27"/>
      <c r="AV24" s="27"/>
      <c r="AW24" s="28"/>
      <c r="AX24" s="27"/>
      <c r="AY24" s="27"/>
      <c r="AZ24" s="29" t="s">
        <v>14</v>
      </c>
      <c r="BA24" s="101" t="s">
        <v>11</v>
      </c>
      <c r="BB24" s="98"/>
      <c r="BC24" s="98"/>
      <c r="BD24" s="99"/>
      <c r="BE24" s="98"/>
      <c r="BF24" s="100" t="s">
        <v>15</v>
      </c>
      <c r="BG24" s="98"/>
      <c r="BH24" s="98"/>
      <c r="BI24" s="33">
        <v>17</v>
      </c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</row>
    <row r="25" spans="1:92" x14ac:dyDescent="0.25">
      <c r="A25" s="25" t="s">
        <v>56</v>
      </c>
      <c r="B25" s="25" t="s">
        <v>280</v>
      </c>
      <c r="C25" s="25" t="s">
        <v>425</v>
      </c>
      <c r="D25" s="25">
        <v>67</v>
      </c>
      <c r="E25" s="35" cm="1">
        <f t="array" ref="E25">IFERROR(INDEX($H$5:$AVV$5, _xlfn.AGGREGATE(15,6, COLUMN(H25:AVV25)-COLUMN(H25)+F25 / (H25:AVV25="T"), $A$2)), "")</f>
        <v>45963</v>
      </c>
      <c r="F25" s="97">
        <v>1</v>
      </c>
      <c r="G25" s="38" t="s">
        <v>10</v>
      </c>
      <c r="H25" s="33"/>
      <c r="I25" s="33" t="s">
        <v>12</v>
      </c>
      <c r="J25" s="98"/>
      <c r="K25" s="98"/>
      <c r="L25" s="98"/>
      <c r="M25" s="99"/>
      <c r="N25" s="98"/>
      <c r="O25" s="98"/>
      <c r="P25" s="100" t="s">
        <v>16</v>
      </c>
      <c r="Q25" s="101" t="s">
        <v>13</v>
      </c>
      <c r="R25" s="98"/>
      <c r="S25" s="98"/>
      <c r="T25" s="99"/>
      <c r="U25" s="98"/>
      <c r="V25" s="98"/>
      <c r="W25" s="100" t="s">
        <v>14</v>
      </c>
      <c r="X25" s="101" t="s">
        <v>11</v>
      </c>
      <c r="Y25" s="98"/>
      <c r="Z25" s="98"/>
      <c r="AA25" s="99"/>
      <c r="AB25" s="98"/>
      <c r="AC25" s="29" t="s">
        <v>15</v>
      </c>
      <c r="AD25" s="27"/>
      <c r="AE25" s="27"/>
      <c r="AF25" s="25">
        <v>17</v>
      </c>
      <c r="AG25" s="25"/>
      <c r="AH25" s="25"/>
      <c r="AI25" s="25"/>
      <c r="AJ25" s="25"/>
      <c r="AK25" s="25"/>
      <c r="AL25" s="25" t="s">
        <v>12</v>
      </c>
      <c r="AM25" s="27"/>
      <c r="AN25" s="27"/>
      <c r="AO25" s="27"/>
      <c r="AP25" s="28"/>
      <c r="AQ25" s="27"/>
      <c r="AR25" s="27"/>
      <c r="AS25" s="32" t="s">
        <v>16</v>
      </c>
      <c r="AT25" s="30" t="s">
        <v>13</v>
      </c>
      <c r="AU25" s="27"/>
      <c r="AV25" s="27"/>
      <c r="AW25" s="28"/>
      <c r="AX25" s="27"/>
      <c r="AY25" s="27"/>
      <c r="AZ25" s="29" t="s">
        <v>14</v>
      </c>
      <c r="BA25" s="101" t="s">
        <v>11</v>
      </c>
      <c r="BB25" s="98"/>
      <c r="BC25" s="98"/>
      <c r="BD25" s="99"/>
      <c r="BE25" s="98"/>
      <c r="BF25" s="100" t="s">
        <v>15</v>
      </c>
      <c r="BG25" s="98"/>
      <c r="BH25" s="98"/>
      <c r="BI25" s="33">
        <v>17</v>
      </c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</row>
    <row r="26" spans="1:92" x14ac:dyDescent="0.25">
      <c r="A26" s="25" t="s">
        <v>56</v>
      </c>
      <c r="B26" s="25" t="s">
        <v>281</v>
      </c>
      <c r="C26" s="25" t="s">
        <v>426</v>
      </c>
      <c r="D26" s="25">
        <v>68</v>
      </c>
      <c r="E26" s="35" cm="1">
        <f t="array" ref="E26">IFERROR(INDEX($H$5:$AVV$5, _xlfn.AGGREGATE(15,6, COLUMN(H26:AVV26)-COLUMN(H26)+F26 / (H26:AVV26="T"), $A$2)), "")</f>
        <v>45963</v>
      </c>
      <c r="F26" s="97">
        <v>1</v>
      </c>
      <c r="G26" s="38" t="s">
        <v>10</v>
      </c>
      <c r="H26" s="33"/>
      <c r="I26" s="33" t="s">
        <v>12</v>
      </c>
      <c r="J26" s="98"/>
      <c r="K26" s="98"/>
      <c r="L26" s="98"/>
      <c r="M26" s="99"/>
      <c r="N26" s="98"/>
      <c r="O26" s="98"/>
      <c r="P26" s="100" t="s">
        <v>16</v>
      </c>
      <c r="Q26" s="101" t="s">
        <v>13</v>
      </c>
      <c r="R26" s="98"/>
      <c r="S26" s="98"/>
      <c r="T26" s="99"/>
      <c r="U26" s="98"/>
      <c r="V26" s="98"/>
      <c r="W26" s="100" t="s">
        <v>14</v>
      </c>
      <c r="X26" s="101" t="s">
        <v>11</v>
      </c>
      <c r="Y26" s="98"/>
      <c r="Z26" s="98"/>
      <c r="AA26" s="99"/>
      <c r="AB26" s="98"/>
      <c r="AC26" s="29" t="s">
        <v>15</v>
      </c>
      <c r="AD26" s="27"/>
      <c r="AE26" s="27"/>
      <c r="AF26" s="25">
        <v>17</v>
      </c>
      <c r="AG26" s="25"/>
      <c r="AH26" s="25"/>
      <c r="AI26" s="25"/>
      <c r="AJ26" s="25"/>
      <c r="AK26" s="25"/>
      <c r="AL26" s="25" t="s">
        <v>12</v>
      </c>
      <c r="AM26" s="27"/>
      <c r="AN26" s="27"/>
      <c r="AO26" s="27"/>
      <c r="AP26" s="28"/>
      <c r="AQ26" s="27"/>
      <c r="AR26" s="27"/>
      <c r="AS26" s="32" t="s">
        <v>16</v>
      </c>
      <c r="AT26" s="30" t="s">
        <v>13</v>
      </c>
      <c r="AU26" s="27"/>
      <c r="AV26" s="27"/>
      <c r="AW26" s="28"/>
      <c r="AX26" s="27"/>
      <c r="AY26" s="27"/>
      <c r="AZ26" s="29" t="s">
        <v>14</v>
      </c>
      <c r="BA26" s="101" t="s">
        <v>11</v>
      </c>
      <c r="BB26" s="98"/>
      <c r="BC26" s="98"/>
      <c r="BD26" s="99"/>
      <c r="BE26" s="98"/>
      <c r="BF26" s="100" t="s">
        <v>15</v>
      </c>
      <c r="BG26" s="98"/>
      <c r="BH26" s="98"/>
      <c r="BI26" s="33">
        <v>17</v>
      </c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</row>
    <row r="27" spans="1:92" s="40" customFormat="1" x14ac:dyDescent="0.25">
      <c r="A27" s="25" t="s">
        <v>56</v>
      </c>
      <c r="B27" s="25" t="s">
        <v>282</v>
      </c>
      <c r="C27" s="25" t="s">
        <v>427</v>
      </c>
      <c r="D27" s="25">
        <v>69</v>
      </c>
      <c r="E27" s="35" cm="1">
        <f t="array" ref="E27">IFERROR(INDEX($H$5:$AVV$5, _xlfn.AGGREGATE(15,6, COLUMN(H27:AVV27)-COLUMN(H27)+F27 / (H27:AVV27="T"), $A$2)), "")</f>
        <v>45963</v>
      </c>
      <c r="F27" s="97">
        <v>1</v>
      </c>
      <c r="G27" s="38" t="s">
        <v>10</v>
      </c>
      <c r="H27" s="33"/>
      <c r="I27" s="33" t="s">
        <v>12</v>
      </c>
      <c r="J27" s="98"/>
      <c r="K27" s="98"/>
      <c r="L27" s="98"/>
      <c r="M27" s="99"/>
      <c r="N27" s="98"/>
      <c r="O27" s="98"/>
      <c r="P27" s="100" t="s">
        <v>16</v>
      </c>
      <c r="Q27" s="101" t="s">
        <v>13</v>
      </c>
      <c r="R27" s="98"/>
      <c r="S27" s="98"/>
      <c r="T27" s="99"/>
      <c r="U27" s="98"/>
      <c r="V27" s="98"/>
      <c r="W27" s="100" t="s">
        <v>14</v>
      </c>
      <c r="X27" s="101" t="s">
        <v>11</v>
      </c>
      <c r="Y27" s="98"/>
      <c r="Z27" s="98"/>
      <c r="AA27" s="99"/>
      <c r="AB27" s="98"/>
      <c r="AC27" s="29" t="s">
        <v>15</v>
      </c>
      <c r="AD27" s="27"/>
      <c r="AE27" s="27"/>
      <c r="AF27" s="25">
        <v>17</v>
      </c>
      <c r="AG27" s="25"/>
      <c r="AH27" s="25"/>
      <c r="AI27" s="25"/>
      <c r="AJ27" s="25"/>
      <c r="AK27" s="25"/>
      <c r="AL27" s="25" t="s">
        <v>12</v>
      </c>
      <c r="AM27" s="27"/>
      <c r="AN27" s="27"/>
      <c r="AO27" s="27"/>
      <c r="AP27" s="28"/>
      <c r="AQ27" s="27"/>
      <c r="AR27" s="27"/>
      <c r="AS27" s="32" t="s">
        <v>16</v>
      </c>
      <c r="AT27" s="30" t="s">
        <v>13</v>
      </c>
      <c r="AU27" s="27"/>
      <c r="AV27" s="27"/>
      <c r="AW27" s="28"/>
      <c r="AX27" s="27"/>
      <c r="AY27" s="27"/>
      <c r="AZ27" s="29" t="s">
        <v>14</v>
      </c>
      <c r="BA27" s="101" t="s">
        <v>11</v>
      </c>
      <c r="BB27" s="98"/>
      <c r="BC27" s="98"/>
      <c r="BD27" s="99"/>
      <c r="BE27" s="98"/>
      <c r="BF27" s="100" t="s">
        <v>15</v>
      </c>
      <c r="BG27" s="98"/>
      <c r="BH27" s="98"/>
      <c r="BI27" s="33">
        <v>17</v>
      </c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</row>
    <row r="28" spans="1:92" s="40" customFormat="1" x14ac:dyDescent="0.25">
      <c r="A28" s="25" t="s">
        <v>56</v>
      </c>
      <c r="B28" s="25" t="s">
        <v>306</v>
      </c>
      <c r="C28" s="25" t="s">
        <v>451</v>
      </c>
      <c r="D28" s="25">
        <v>93</v>
      </c>
      <c r="E28" s="35" cm="1">
        <f t="array" ref="E28">IFERROR(INDEX($H$5:$AVV$5, _xlfn.AGGREGATE(15,6, COLUMN(H28:AVV28)-COLUMN(H28)+F28 / (H28:AVV28="T"), $A$2)), "")</f>
        <v>45964</v>
      </c>
      <c r="F28" s="97">
        <v>1</v>
      </c>
      <c r="G28" s="38" t="s">
        <v>10</v>
      </c>
      <c r="H28" s="33"/>
      <c r="I28" s="33"/>
      <c r="J28" s="33" t="s">
        <v>12</v>
      </c>
      <c r="K28" s="98"/>
      <c r="L28" s="98"/>
      <c r="M28" s="98"/>
      <c r="N28" s="99"/>
      <c r="O28" s="98"/>
      <c r="P28" s="98"/>
      <c r="Q28" s="100" t="s">
        <v>16</v>
      </c>
      <c r="R28" s="101" t="s">
        <v>13</v>
      </c>
      <c r="S28" s="98"/>
      <c r="T28" s="98"/>
      <c r="U28" s="99"/>
      <c r="V28" s="98"/>
      <c r="W28" s="98"/>
      <c r="X28" s="100" t="s">
        <v>14</v>
      </c>
      <c r="Y28" s="101" t="s">
        <v>11</v>
      </c>
      <c r="Z28" s="98"/>
      <c r="AA28" s="98"/>
      <c r="AB28" s="99"/>
      <c r="AC28" s="98"/>
      <c r="AD28" s="100" t="s">
        <v>15</v>
      </c>
      <c r="AE28" s="27"/>
      <c r="AF28" s="27"/>
      <c r="AG28" s="25">
        <v>17</v>
      </c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31"/>
      <c r="AT28" s="25"/>
      <c r="AU28" s="25"/>
      <c r="AV28" s="25"/>
      <c r="AW28" s="25"/>
      <c r="AX28" s="25"/>
      <c r="AY28" s="25"/>
      <c r="AZ28" s="25"/>
      <c r="BA28" s="25"/>
      <c r="BB28" s="25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</row>
    <row r="29" spans="1:92" x14ac:dyDescent="0.25">
      <c r="A29" s="25" t="s">
        <v>56</v>
      </c>
      <c r="B29" s="25" t="s">
        <v>307</v>
      </c>
      <c r="C29" s="25" t="s">
        <v>452</v>
      </c>
      <c r="D29" s="25">
        <v>94</v>
      </c>
      <c r="E29" s="35" cm="1">
        <f t="array" ref="E29">IFERROR(INDEX($H$5:$AVV$5, _xlfn.AGGREGATE(15,6, COLUMN(H29:AVV29)-COLUMN(H29)+F29 / (H29:AVV29="T"), $A$2)), "")</f>
        <v>45964</v>
      </c>
      <c r="F29" s="97">
        <v>1</v>
      </c>
      <c r="G29" s="38" t="s">
        <v>10</v>
      </c>
      <c r="H29" s="33"/>
      <c r="I29" s="33"/>
      <c r="J29" s="33" t="s">
        <v>12</v>
      </c>
      <c r="K29" s="98"/>
      <c r="L29" s="98"/>
      <c r="M29" s="98"/>
      <c r="N29" s="99"/>
      <c r="O29" s="98"/>
      <c r="P29" s="98"/>
      <c r="Q29" s="100" t="s">
        <v>16</v>
      </c>
      <c r="R29" s="101" t="s">
        <v>13</v>
      </c>
      <c r="S29" s="98"/>
      <c r="T29" s="98"/>
      <c r="U29" s="99"/>
      <c r="V29" s="98"/>
      <c r="W29" s="98"/>
      <c r="X29" s="100" t="s">
        <v>14</v>
      </c>
      <c r="Y29" s="101" t="s">
        <v>11</v>
      </c>
      <c r="Z29" s="98"/>
      <c r="AA29" s="98"/>
      <c r="AB29" s="99"/>
      <c r="AC29" s="98"/>
      <c r="AD29" s="100" t="s">
        <v>15</v>
      </c>
      <c r="AE29" s="27"/>
      <c r="AF29" s="27"/>
      <c r="AG29" s="25">
        <v>17</v>
      </c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31"/>
      <c r="AT29" s="25"/>
      <c r="AU29" s="25"/>
      <c r="AV29" s="25"/>
      <c r="AW29" s="25"/>
      <c r="AX29" s="25"/>
      <c r="AY29" s="25"/>
      <c r="AZ29" s="25"/>
      <c r="BA29" s="25"/>
      <c r="BB29" s="25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</row>
    <row r="30" spans="1:92" x14ac:dyDescent="0.25">
      <c r="A30" s="25" t="s">
        <v>56</v>
      </c>
      <c r="B30" s="25" t="s">
        <v>308</v>
      </c>
      <c r="C30" s="25" t="s">
        <v>453</v>
      </c>
      <c r="D30" s="25">
        <v>95</v>
      </c>
      <c r="E30" s="35" cm="1">
        <f t="array" ref="E30">IFERROR(INDEX($H$5:$AVV$5, _xlfn.AGGREGATE(15,6, COLUMN(H30:AVV30)-COLUMN(H30)+F30 / (H30:AVV30="T"), $A$2)), "")</f>
        <v>45964</v>
      </c>
      <c r="F30" s="97">
        <v>1</v>
      </c>
      <c r="G30" s="38" t="s">
        <v>10</v>
      </c>
      <c r="H30" s="33"/>
      <c r="I30" s="33"/>
      <c r="J30" s="33" t="s">
        <v>12</v>
      </c>
      <c r="K30" s="98"/>
      <c r="L30" s="98"/>
      <c r="M30" s="98"/>
      <c r="N30" s="99"/>
      <c r="O30" s="98"/>
      <c r="P30" s="98"/>
      <c r="Q30" s="100" t="s">
        <v>16</v>
      </c>
      <c r="R30" s="101" t="s">
        <v>13</v>
      </c>
      <c r="S30" s="98"/>
      <c r="T30" s="98"/>
      <c r="U30" s="99"/>
      <c r="V30" s="98"/>
      <c r="W30" s="98"/>
      <c r="X30" s="100" t="s">
        <v>14</v>
      </c>
      <c r="Y30" s="101" t="s">
        <v>11</v>
      </c>
      <c r="Z30" s="98"/>
      <c r="AA30" s="98"/>
      <c r="AB30" s="99"/>
      <c r="AC30" s="98"/>
      <c r="AD30" s="100" t="s">
        <v>15</v>
      </c>
      <c r="AE30" s="27"/>
      <c r="AF30" s="27"/>
      <c r="AG30" s="25">
        <v>17</v>
      </c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31"/>
      <c r="AT30" s="25"/>
      <c r="AU30" s="25"/>
      <c r="AV30" s="25"/>
      <c r="AW30" s="25"/>
      <c r="AX30" s="25"/>
      <c r="AY30" s="25"/>
      <c r="AZ30" s="25"/>
      <c r="BA30" s="25"/>
      <c r="BB30" s="25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</row>
    <row r="31" spans="1:92" x14ac:dyDescent="0.25">
      <c r="A31" s="25" t="s">
        <v>56</v>
      </c>
      <c r="B31" s="25" t="s">
        <v>309</v>
      </c>
      <c r="C31" s="25" t="s">
        <v>454</v>
      </c>
      <c r="D31" s="25">
        <v>96</v>
      </c>
      <c r="E31" s="35" cm="1">
        <f t="array" ref="E31">IFERROR(INDEX($H$5:$AVV$5, _xlfn.AGGREGATE(15,6, COLUMN(H31:AVV31)-COLUMN(H31)+F31 / (H31:AVV31="T"), $A$2)), "")</f>
        <v>45964</v>
      </c>
      <c r="F31" s="97">
        <v>1</v>
      </c>
      <c r="G31" s="38" t="s">
        <v>10</v>
      </c>
      <c r="H31" s="33"/>
      <c r="I31" s="33"/>
      <c r="J31" s="33" t="s">
        <v>12</v>
      </c>
      <c r="K31" s="98"/>
      <c r="L31" s="98"/>
      <c r="M31" s="98"/>
      <c r="N31" s="99"/>
      <c r="O31" s="98"/>
      <c r="P31" s="98"/>
      <c r="Q31" s="100" t="s">
        <v>16</v>
      </c>
      <c r="R31" s="101" t="s">
        <v>13</v>
      </c>
      <c r="S31" s="98"/>
      <c r="T31" s="98"/>
      <c r="U31" s="99"/>
      <c r="V31" s="98"/>
      <c r="W31" s="98"/>
      <c r="X31" s="100" t="s">
        <v>14</v>
      </c>
      <c r="Y31" s="101" t="s">
        <v>11</v>
      </c>
      <c r="Z31" s="98"/>
      <c r="AA31" s="98"/>
      <c r="AB31" s="99"/>
      <c r="AC31" s="98"/>
      <c r="AD31" s="100" t="s">
        <v>15</v>
      </c>
      <c r="AE31" s="27"/>
      <c r="AF31" s="27"/>
      <c r="AG31" s="25">
        <v>17</v>
      </c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31"/>
      <c r="AT31" s="25"/>
      <c r="AU31" s="25"/>
      <c r="AV31" s="25"/>
      <c r="AW31" s="25"/>
      <c r="AX31" s="25"/>
      <c r="AY31" s="25"/>
      <c r="AZ31" s="25"/>
      <c r="BA31" s="25"/>
      <c r="BB31" s="25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</row>
    <row r="32" spans="1:92" x14ac:dyDescent="0.25">
      <c r="A32" s="25" t="s">
        <v>56</v>
      </c>
      <c r="B32" s="25" t="s">
        <v>310</v>
      </c>
      <c r="C32" s="25" t="s">
        <v>455</v>
      </c>
      <c r="D32" s="25">
        <v>97</v>
      </c>
      <c r="E32" s="35" cm="1">
        <f t="array" ref="E32">IFERROR(INDEX($H$5:$AVV$5, _xlfn.AGGREGATE(15,6, COLUMN(H32:AVV32)-COLUMN(H32)+F32 / (H32:AVV32="T"), $A$2)), "")</f>
        <v>45964</v>
      </c>
      <c r="F32" s="97">
        <v>1</v>
      </c>
      <c r="G32" s="38" t="s">
        <v>10</v>
      </c>
      <c r="H32" s="33"/>
      <c r="I32" s="33"/>
      <c r="J32" s="33" t="s">
        <v>12</v>
      </c>
      <c r="K32" s="98"/>
      <c r="L32" s="98"/>
      <c r="M32" s="98"/>
      <c r="N32" s="99"/>
      <c r="O32" s="98"/>
      <c r="P32" s="98"/>
      <c r="Q32" s="100" t="s">
        <v>16</v>
      </c>
      <c r="R32" s="101" t="s">
        <v>13</v>
      </c>
      <c r="S32" s="98"/>
      <c r="T32" s="98"/>
      <c r="U32" s="99"/>
      <c r="V32" s="98"/>
      <c r="W32" s="98"/>
      <c r="X32" s="100" t="s">
        <v>14</v>
      </c>
      <c r="Y32" s="101" t="s">
        <v>11</v>
      </c>
      <c r="Z32" s="98"/>
      <c r="AA32" s="98"/>
      <c r="AB32" s="99"/>
      <c r="AC32" s="98"/>
      <c r="AD32" s="100" t="s">
        <v>15</v>
      </c>
      <c r="AE32" s="27"/>
      <c r="AF32" s="27"/>
      <c r="AG32" s="25">
        <v>17</v>
      </c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31"/>
      <c r="AT32" s="25"/>
      <c r="AU32" s="25"/>
      <c r="AV32" s="25"/>
      <c r="AW32" s="25"/>
      <c r="AX32" s="25"/>
      <c r="AY32" s="25"/>
      <c r="AZ32" s="25"/>
      <c r="BA32" s="25"/>
      <c r="BB32" s="25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</row>
    <row r="33" spans="1:92" s="43" customFormat="1" x14ac:dyDescent="0.25">
      <c r="A33" s="25" t="s">
        <v>56</v>
      </c>
      <c r="B33" s="25" t="s">
        <v>311</v>
      </c>
      <c r="C33" s="25" t="s">
        <v>456</v>
      </c>
      <c r="D33" s="25">
        <v>98</v>
      </c>
      <c r="E33" s="35" cm="1">
        <f t="array" ref="E33">IFERROR(INDEX($H$5:$AVV$5, _xlfn.AGGREGATE(15,6, COLUMN(H33:AVV33)-COLUMN(H33)+F33 / (H33:AVV33="T"), $A$2)), "")</f>
        <v>45964</v>
      </c>
      <c r="F33" s="97">
        <v>1</v>
      </c>
      <c r="G33" s="38" t="s">
        <v>10</v>
      </c>
      <c r="H33" s="33"/>
      <c r="I33" s="33"/>
      <c r="J33" s="33" t="s">
        <v>12</v>
      </c>
      <c r="K33" s="98"/>
      <c r="L33" s="98"/>
      <c r="M33" s="98"/>
      <c r="N33" s="99"/>
      <c r="O33" s="98"/>
      <c r="P33" s="98"/>
      <c r="Q33" s="100" t="s">
        <v>16</v>
      </c>
      <c r="R33" s="101" t="s">
        <v>13</v>
      </c>
      <c r="S33" s="98"/>
      <c r="T33" s="98"/>
      <c r="U33" s="99"/>
      <c r="V33" s="98"/>
      <c r="W33" s="98"/>
      <c r="X33" s="100" t="s">
        <v>14</v>
      </c>
      <c r="Y33" s="101" t="s">
        <v>11</v>
      </c>
      <c r="Z33" s="98"/>
      <c r="AA33" s="98"/>
      <c r="AB33" s="99"/>
      <c r="AC33" s="98"/>
      <c r="AD33" s="100" t="s">
        <v>15</v>
      </c>
      <c r="AE33" s="98"/>
      <c r="AF33" s="98"/>
      <c r="AG33" s="33">
        <v>17</v>
      </c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</row>
    <row r="34" spans="1:92" x14ac:dyDescent="0.25">
      <c r="A34" s="25" t="s">
        <v>56</v>
      </c>
      <c r="B34" s="25" t="s">
        <v>312</v>
      </c>
      <c r="C34" s="25" t="s">
        <v>457</v>
      </c>
      <c r="D34" s="25">
        <v>99</v>
      </c>
      <c r="E34" s="35" cm="1">
        <f t="array" ref="E34">IFERROR(INDEX($H$5:$AVV$5, _xlfn.AGGREGATE(15,6, COLUMN(H34:AVV34)-COLUMN(H34)+F34 / (H34:AVV34="T"), $A$2)), "")</f>
        <v>45964</v>
      </c>
      <c r="F34" s="97">
        <v>1</v>
      </c>
      <c r="G34" s="38" t="s">
        <v>10</v>
      </c>
      <c r="H34" s="33"/>
      <c r="I34" s="33"/>
      <c r="J34" s="33" t="s">
        <v>12</v>
      </c>
      <c r="K34" s="98"/>
      <c r="L34" s="98"/>
      <c r="M34" s="98"/>
      <c r="N34" s="99"/>
      <c r="O34" s="98"/>
      <c r="P34" s="98"/>
      <c r="Q34" s="100" t="s">
        <v>16</v>
      </c>
      <c r="R34" s="101" t="s">
        <v>13</v>
      </c>
      <c r="S34" s="98"/>
      <c r="T34" s="98"/>
      <c r="U34" s="99"/>
      <c r="V34" s="98"/>
      <c r="W34" s="98"/>
      <c r="X34" s="100" t="s">
        <v>14</v>
      </c>
      <c r="Y34" s="101" t="s">
        <v>11</v>
      </c>
      <c r="Z34" s="98"/>
      <c r="AA34" s="98"/>
      <c r="AB34" s="28"/>
      <c r="AC34" s="27"/>
      <c r="AD34" s="29" t="s">
        <v>15</v>
      </c>
      <c r="AE34" s="27"/>
      <c r="AF34" s="27"/>
      <c r="AG34" s="25">
        <v>17</v>
      </c>
      <c r="AH34" s="25"/>
      <c r="AI34" s="25"/>
      <c r="AJ34" s="25"/>
      <c r="AK34" s="25"/>
      <c r="AL34" s="25"/>
      <c r="AM34" s="25"/>
      <c r="AN34" s="25"/>
      <c r="AO34" s="25"/>
      <c r="AP34" s="31"/>
      <c r="AQ34" s="25"/>
      <c r="AR34" s="25"/>
      <c r="AS34" s="25"/>
      <c r="AT34" s="25"/>
      <c r="AU34" s="25"/>
      <c r="AV34" s="25"/>
      <c r="AW34" s="25"/>
      <c r="AX34" s="25"/>
      <c r="AY34" s="25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</row>
    <row r="35" spans="1:92" x14ac:dyDescent="0.25">
      <c r="A35" s="25" t="s">
        <v>56</v>
      </c>
      <c r="B35" s="25" t="s">
        <v>320</v>
      </c>
      <c r="C35" s="25" t="s">
        <v>465</v>
      </c>
      <c r="D35" s="25">
        <v>107</v>
      </c>
      <c r="E35" s="35" cm="1">
        <f t="array" ref="E35">IFERROR(INDEX($H$5:$AVV$5, _xlfn.AGGREGATE(15,6, COLUMN(H35:AVV35)-COLUMN(H35)+F35 / (H35:AVV35="T"), $A$2)), "")</f>
        <v>45965</v>
      </c>
      <c r="F35" s="97">
        <v>1</v>
      </c>
      <c r="G35" s="38" t="s">
        <v>10</v>
      </c>
      <c r="H35" s="33"/>
      <c r="I35" s="33"/>
      <c r="J35" s="33"/>
      <c r="K35" s="33" t="s">
        <v>12</v>
      </c>
      <c r="L35" s="98"/>
      <c r="M35" s="98"/>
      <c r="N35" s="98"/>
      <c r="O35" s="99"/>
      <c r="P35" s="98"/>
      <c r="Q35" s="98"/>
      <c r="R35" s="100" t="s">
        <v>16</v>
      </c>
      <c r="S35" s="101" t="s">
        <v>13</v>
      </c>
      <c r="T35" s="98"/>
      <c r="U35" s="98"/>
      <c r="V35" s="99"/>
      <c r="W35" s="98"/>
      <c r="X35" s="98"/>
      <c r="Y35" s="100" t="s">
        <v>14</v>
      </c>
      <c r="Z35" s="101" t="s">
        <v>11</v>
      </c>
      <c r="AA35" s="98"/>
      <c r="AB35" s="27"/>
      <c r="AC35" s="28"/>
      <c r="AD35" s="27"/>
      <c r="AE35" s="29" t="s">
        <v>15</v>
      </c>
      <c r="AF35" s="27"/>
      <c r="AG35" s="27"/>
      <c r="AH35" s="25">
        <v>17</v>
      </c>
      <c r="AI35" s="25"/>
      <c r="AJ35" s="25"/>
      <c r="AK35" s="25"/>
      <c r="AL35" s="25"/>
      <c r="AM35" s="25"/>
      <c r="AN35" s="25"/>
      <c r="AO35" s="25"/>
      <c r="AP35" s="25"/>
      <c r="AQ35" s="25"/>
      <c r="AR35" s="31"/>
      <c r="AS35" s="25"/>
      <c r="AT35" s="25"/>
      <c r="AU35" s="25"/>
      <c r="AV35" s="25"/>
      <c r="AW35" s="25"/>
      <c r="AX35" s="25"/>
      <c r="AY35" s="25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</row>
    <row r="36" spans="1:92" x14ac:dyDescent="0.25">
      <c r="A36" s="25" t="s">
        <v>56</v>
      </c>
      <c r="B36" s="25" t="s">
        <v>321</v>
      </c>
      <c r="C36" s="25" t="s">
        <v>466</v>
      </c>
      <c r="D36" s="25">
        <v>108</v>
      </c>
      <c r="E36" s="35" cm="1">
        <f t="array" ref="E36">IFERROR(INDEX($H$5:$AVV$5, _xlfn.AGGREGATE(15,6, COLUMN(H36:AVV36)-COLUMN(H36)+F36 / (H36:AVV36="T"), $A$2)), "")</f>
        <v>45965</v>
      </c>
      <c r="F36" s="97">
        <v>1</v>
      </c>
      <c r="G36" s="38" t="s">
        <v>10</v>
      </c>
      <c r="H36" s="33"/>
      <c r="I36" s="33"/>
      <c r="J36" s="33"/>
      <c r="K36" s="33" t="s">
        <v>12</v>
      </c>
      <c r="L36" s="98"/>
      <c r="M36" s="98"/>
      <c r="N36" s="98"/>
      <c r="O36" s="99"/>
      <c r="P36" s="98"/>
      <c r="Q36" s="98"/>
      <c r="R36" s="100" t="s">
        <v>16</v>
      </c>
      <c r="S36" s="101" t="s">
        <v>13</v>
      </c>
      <c r="T36" s="98"/>
      <c r="U36" s="98"/>
      <c r="V36" s="99"/>
      <c r="W36" s="98"/>
      <c r="X36" s="98"/>
      <c r="Y36" s="100" t="s">
        <v>14</v>
      </c>
      <c r="Z36" s="101" t="s">
        <v>11</v>
      </c>
      <c r="AA36" s="98"/>
      <c r="AB36" s="27"/>
      <c r="AC36" s="28"/>
      <c r="AD36" s="27"/>
      <c r="AE36" s="29" t="s">
        <v>15</v>
      </c>
      <c r="AF36" s="27"/>
      <c r="AG36" s="27"/>
      <c r="AH36" s="25">
        <v>17</v>
      </c>
      <c r="AI36" s="25"/>
      <c r="AJ36" s="25"/>
      <c r="AK36" s="25"/>
      <c r="AL36" s="25"/>
      <c r="AM36" s="25"/>
      <c r="AN36" s="25"/>
      <c r="AO36" s="25"/>
      <c r="AP36" s="25"/>
      <c r="AQ36" s="25"/>
      <c r="AR36" s="31"/>
      <c r="AS36" s="25"/>
      <c r="AT36" s="25"/>
      <c r="AU36" s="25"/>
      <c r="AV36" s="25"/>
      <c r="AW36" s="25"/>
      <c r="AX36" s="25"/>
      <c r="AY36" s="25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</row>
    <row r="37" spans="1:92" x14ac:dyDescent="0.25">
      <c r="A37" s="25" t="s">
        <v>56</v>
      </c>
      <c r="B37" s="25" t="s">
        <v>322</v>
      </c>
      <c r="C37" s="25" t="s">
        <v>467</v>
      </c>
      <c r="D37" s="25">
        <v>109</v>
      </c>
      <c r="E37" s="35" cm="1">
        <f t="array" ref="E37">IFERROR(INDEX($H$5:$AVV$5, _xlfn.AGGREGATE(15,6, COLUMN(H37:AVV37)-COLUMN(H37)+F37 / (H37:AVV37="T"), $A$2)), "")</f>
        <v>45965</v>
      </c>
      <c r="F37" s="97">
        <v>1</v>
      </c>
      <c r="G37" s="38" t="s">
        <v>10</v>
      </c>
      <c r="H37" s="33"/>
      <c r="I37" s="33"/>
      <c r="J37" s="33"/>
      <c r="K37" s="33" t="s">
        <v>12</v>
      </c>
      <c r="L37" s="98"/>
      <c r="M37" s="98"/>
      <c r="N37" s="98"/>
      <c r="O37" s="99"/>
      <c r="P37" s="98"/>
      <c r="Q37" s="98"/>
      <c r="R37" s="100" t="s">
        <v>16</v>
      </c>
      <c r="S37" s="101" t="s">
        <v>13</v>
      </c>
      <c r="T37" s="98"/>
      <c r="U37" s="98"/>
      <c r="V37" s="99"/>
      <c r="W37" s="98"/>
      <c r="X37" s="98"/>
      <c r="Y37" s="100" t="s">
        <v>14</v>
      </c>
      <c r="Z37" s="101" t="s">
        <v>11</v>
      </c>
      <c r="AA37" s="98"/>
      <c r="AB37" s="27"/>
      <c r="AC37" s="28"/>
      <c r="AD37" s="27"/>
      <c r="AE37" s="29" t="s">
        <v>15</v>
      </c>
      <c r="AF37" s="27"/>
      <c r="AG37" s="27"/>
      <c r="AH37" s="25">
        <v>17</v>
      </c>
      <c r="AI37" s="25"/>
      <c r="AJ37" s="25"/>
      <c r="AK37" s="25"/>
      <c r="AL37" s="25"/>
      <c r="AM37" s="25"/>
      <c r="AN37" s="25"/>
      <c r="AO37" s="25"/>
      <c r="AP37" s="25"/>
      <c r="AQ37" s="25"/>
      <c r="AR37" s="31"/>
      <c r="AS37" s="25"/>
      <c r="AT37" s="25"/>
      <c r="AU37" s="25"/>
      <c r="AV37" s="25"/>
      <c r="AW37" s="25"/>
      <c r="AX37" s="25"/>
      <c r="AY37" s="25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</row>
    <row r="38" spans="1:92" x14ac:dyDescent="0.25">
      <c r="A38" s="25" t="s">
        <v>56</v>
      </c>
      <c r="B38" s="25" t="s">
        <v>323</v>
      </c>
      <c r="C38" s="25" t="s">
        <v>468</v>
      </c>
      <c r="D38" s="25">
        <v>110</v>
      </c>
      <c r="E38" s="35" cm="1">
        <f t="array" ref="E38">IFERROR(INDEX($H$5:$AVV$5, _xlfn.AGGREGATE(15,6, COLUMN(H38:AVV38)-COLUMN(H38)+F38 / (H38:AVV38="T"), $A$2)), "")</f>
        <v>45965</v>
      </c>
      <c r="F38" s="97">
        <v>1</v>
      </c>
      <c r="G38" s="38" t="s">
        <v>10</v>
      </c>
      <c r="H38" s="33"/>
      <c r="I38" s="33"/>
      <c r="J38" s="33"/>
      <c r="K38" s="33" t="s">
        <v>12</v>
      </c>
      <c r="L38" s="98"/>
      <c r="M38" s="98"/>
      <c r="N38" s="98"/>
      <c r="O38" s="99"/>
      <c r="P38" s="98"/>
      <c r="Q38" s="98"/>
      <c r="R38" s="100" t="s">
        <v>16</v>
      </c>
      <c r="S38" s="101" t="s">
        <v>13</v>
      </c>
      <c r="T38" s="98"/>
      <c r="U38" s="98"/>
      <c r="V38" s="99"/>
      <c r="W38" s="98"/>
      <c r="X38" s="98"/>
      <c r="Y38" s="100" t="s">
        <v>14</v>
      </c>
      <c r="Z38" s="101" t="s">
        <v>11</v>
      </c>
      <c r="AA38" s="98"/>
      <c r="AB38" s="27"/>
      <c r="AC38" s="28"/>
      <c r="AD38" s="27"/>
      <c r="AE38" s="29" t="s">
        <v>15</v>
      </c>
      <c r="AF38" s="27"/>
      <c r="AG38" s="27"/>
      <c r="AH38" s="25">
        <v>17</v>
      </c>
      <c r="AI38" s="25"/>
      <c r="AJ38" s="25"/>
      <c r="AK38" s="25"/>
      <c r="AL38" s="25"/>
      <c r="AM38" s="25"/>
      <c r="AN38" s="25"/>
      <c r="AO38" s="25"/>
      <c r="AP38" s="25"/>
      <c r="AQ38" s="25"/>
      <c r="AR38" s="31"/>
      <c r="AS38" s="25"/>
      <c r="AT38" s="25"/>
      <c r="AU38" s="25"/>
      <c r="AV38" s="25"/>
      <c r="AW38" s="25"/>
      <c r="AX38" s="25"/>
      <c r="AY38" s="25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</row>
    <row r="39" spans="1:92" x14ac:dyDescent="0.25">
      <c r="A39" s="25" t="s">
        <v>56</v>
      </c>
      <c r="B39" s="25" t="s">
        <v>324</v>
      </c>
      <c r="C39" s="25" t="s">
        <v>469</v>
      </c>
      <c r="D39" s="25">
        <v>111</v>
      </c>
      <c r="E39" s="35" cm="1">
        <f t="array" ref="E39">IFERROR(INDEX($H$5:$AVV$5, _xlfn.AGGREGATE(15,6, COLUMN(H39:AVV39)-COLUMN(H39)+F39 / (H39:AVV39="T"), $A$2)), "")</f>
        <v>45965</v>
      </c>
      <c r="F39" s="97">
        <v>1</v>
      </c>
      <c r="G39" s="38" t="s">
        <v>10</v>
      </c>
      <c r="H39" s="33"/>
      <c r="I39" s="33"/>
      <c r="J39" s="33"/>
      <c r="K39" s="33" t="s">
        <v>12</v>
      </c>
      <c r="L39" s="98"/>
      <c r="M39" s="98"/>
      <c r="N39" s="98"/>
      <c r="O39" s="99"/>
      <c r="P39" s="98"/>
      <c r="Q39" s="98"/>
      <c r="R39" s="100" t="s">
        <v>16</v>
      </c>
      <c r="S39" s="101" t="s">
        <v>13</v>
      </c>
      <c r="T39" s="98"/>
      <c r="U39" s="98"/>
      <c r="V39" s="99"/>
      <c r="W39" s="98"/>
      <c r="X39" s="98"/>
      <c r="Y39" s="100" t="s">
        <v>14</v>
      </c>
      <c r="Z39" s="101" t="s">
        <v>11</v>
      </c>
      <c r="AA39" s="98"/>
      <c r="AB39" s="27"/>
      <c r="AC39" s="28"/>
      <c r="AD39" s="27"/>
      <c r="AE39" s="29" t="s">
        <v>15</v>
      </c>
      <c r="AF39" s="27"/>
      <c r="AG39" s="27"/>
      <c r="AH39" s="25">
        <v>17</v>
      </c>
      <c r="AI39" s="25"/>
      <c r="AJ39" s="25"/>
      <c r="AK39" s="25"/>
      <c r="AL39" s="25"/>
      <c r="AM39" s="25"/>
      <c r="AN39" s="25"/>
      <c r="AO39" s="25"/>
      <c r="AP39" s="25"/>
      <c r="AQ39" s="25"/>
      <c r="AR39" s="31"/>
      <c r="AS39" s="25"/>
      <c r="AT39" s="25"/>
      <c r="AU39" s="25"/>
      <c r="AV39" s="25"/>
      <c r="AW39" s="25"/>
      <c r="AX39" s="25"/>
      <c r="AY39" s="25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</row>
    <row r="40" spans="1:92" x14ac:dyDescent="0.25">
      <c r="A40" s="25" t="s">
        <v>56</v>
      </c>
      <c r="B40" s="25" t="s">
        <v>325</v>
      </c>
      <c r="C40" s="25" t="s">
        <v>470</v>
      </c>
      <c r="D40" s="25">
        <v>112</v>
      </c>
      <c r="E40" s="35" cm="1">
        <f t="array" ref="E40">IFERROR(INDEX($H$5:$AVV$5, _xlfn.AGGREGATE(15,6, COLUMN(H40:AVV40)-COLUMN(H40)+F40 / (H40:AVV40="T"), $A$2)), "")</f>
        <v>45965</v>
      </c>
      <c r="F40" s="97">
        <v>1</v>
      </c>
      <c r="G40" s="38" t="s">
        <v>10</v>
      </c>
      <c r="H40" s="33"/>
      <c r="I40" s="33"/>
      <c r="J40" s="33"/>
      <c r="K40" s="33" t="s">
        <v>12</v>
      </c>
      <c r="L40" s="98"/>
      <c r="M40" s="98"/>
      <c r="N40" s="98"/>
      <c r="O40" s="99"/>
      <c r="P40" s="98"/>
      <c r="Q40" s="98"/>
      <c r="R40" s="100" t="s">
        <v>16</v>
      </c>
      <c r="S40" s="101" t="s">
        <v>13</v>
      </c>
      <c r="T40" s="98"/>
      <c r="U40" s="98"/>
      <c r="V40" s="99"/>
      <c r="W40" s="98"/>
      <c r="X40" s="98"/>
      <c r="Y40" s="100" t="s">
        <v>14</v>
      </c>
      <c r="Z40" s="101" t="s">
        <v>11</v>
      </c>
      <c r="AA40" s="98"/>
      <c r="AB40" s="27"/>
      <c r="AC40" s="28"/>
      <c r="AD40" s="27"/>
      <c r="AE40" s="29" t="s">
        <v>15</v>
      </c>
      <c r="AF40" s="27"/>
      <c r="AG40" s="27"/>
      <c r="AH40" s="25">
        <v>17</v>
      </c>
      <c r="AI40" s="25"/>
      <c r="AJ40" s="25"/>
      <c r="AK40" s="25"/>
      <c r="AL40" s="25"/>
      <c r="AM40" s="25"/>
      <c r="AN40" s="25"/>
      <c r="AO40" s="25"/>
      <c r="AP40" s="25"/>
      <c r="AQ40" s="25"/>
      <c r="AR40" s="31"/>
      <c r="AS40" s="25"/>
      <c r="AT40" s="25"/>
      <c r="AU40" s="25"/>
      <c r="AV40" s="25"/>
      <c r="AW40" s="25"/>
      <c r="AX40" s="25"/>
      <c r="AY40" s="25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</row>
    <row r="41" spans="1:92" x14ac:dyDescent="0.25">
      <c r="A41" s="25" t="s">
        <v>56</v>
      </c>
      <c r="B41" s="25" t="s">
        <v>326</v>
      </c>
      <c r="C41" s="25" t="s">
        <v>471</v>
      </c>
      <c r="D41" s="25">
        <v>113</v>
      </c>
      <c r="E41" s="35" cm="1">
        <f t="array" ref="E41">IFERROR(INDEX($H$5:$AVV$5, _xlfn.AGGREGATE(15,6, COLUMN(H41:AVV41)-COLUMN(H41)+F41 / (H41:AVV41="T"), $A$2)), "")</f>
        <v>45965</v>
      </c>
      <c r="F41" s="97">
        <v>1</v>
      </c>
      <c r="G41" s="38" t="s">
        <v>10</v>
      </c>
      <c r="H41" s="33"/>
      <c r="I41" s="33"/>
      <c r="J41" s="33"/>
      <c r="K41" s="33" t="s">
        <v>12</v>
      </c>
      <c r="L41" s="98"/>
      <c r="M41" s="98"/>
      <c r="N41" s="98"/>
      <c r="O41" s="99"/>
      <c r="P41" s="98"/>
      <c r="Q41" s="98"/>
      <c r="R41" s="100" t="s">
        <v>16</v>
      </c>
      <c r="S41" s="101" t="s">
        <v>13</v>
      </c>
      <c r="T41" s="98"/>
      <c r="U41" s="98"/>
      <c r="V41" s="99"/>
      <c r="W41" s="98"/>
      <c r="X41" s="98"/>
      <c r="Y41" s="100" t="s">
        <v>14</v>
      </c>
      <c r="Z41" s="101" t="s">
        <v>11</v>
      </c>
      <c r="AA41" s="98"/>
      <c r="AB41" s="98"/>
      <c r="AC41" s="99"/>
      <c r="AD41" s="27"/>
      <c r="AE41" s="29" t="s">
        <v>15</v>
      </c>
      <c r="AF41" s="27"/>
      <c r="AG41" s="27"/>
      <c r="AH41" s="25">
        <v>17</v>
      </c>
      <c r="AI41" s="25"/>
      <c r="AJ41" s="25"/>
      <c r="AK41" s="25"/>
      <c r="AL41" s="25"/>
      <c r="AM41" s="25"/>
      <c r="AN41" s="25"/>
      <c r="AO41" s="25"/>
      <c r="AP41" s="25"/>
      <c r="AQ41" s="25"/>
      <c r="AR41" s="31"/>
      <c r="AS41" s="25"/>
      <c r="AT41" s="25"/>
      <c r="AU41" s="25"/>
      <c r="AV41" s="25"/>
      <c r="AW41" s="25"/>
      <c r="AX41" s="25"/>
      <c r="AY41" s="25"/>
      <c r="AZ41" s="25"/>
      <c r="BA41" s="25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</row>
    <row r="42" spans="1:92" x14ac:dyDescent="0.25">
      <c r="A42" s="25" t="s">
        <v>56</v>
      </c>
      <c r="B42" s="25" t="s">
        <v>269</v>
      </c>
      <c r="C42" s="25" t="s">
        <v>414</v>
      </c>
      <c r="D42" s="25">
        <v>56</v>
      </c>
      <c r="E42" s="35" cm="1">
        <f t="array" ref="E42">IFERROR(INDEX($H$5:$AVV$5, _xlfn.AGGREGATE(15,6, COLUMN(H42:AVV42)-COLUMN(H42)+F42 / (H42:AVV42="T"), $A$2)), "")</f>
        <v>45966</v>
      </c>
      <c r="F42" s="97">
        <v>1</v>
      </c>
      <c r="G42" s="38" t="s">
        <v>10</v>
      </c>
      <c r="H42" s="33"/>
      <c r="I42" s="33"/>
      <c r="J42" s="33"/>
      <c r="K42" s="33"/>
      <c r="L42" s="33" t="s">
        <v>12</v>
      </c>
      <c r="M42" s="98"/>
      <c r="N42" s="98"/>
      <c r="O42" s="98"/>
      <c r="P42" s="99"/>
      <c r="Q42" s="98"/>
      <c r="R42" s="98"/>
      <c r="S42" s="100" t="s">
        <v>16</v>
      </c>
      <c r="T42" s="101" t="s">
        <v>13</v>
      </c>
      <c r="U42" s="98"/>
      <c r="V42" s="98"/>
      <c r="W42" s="99"/>
      <c r="X42" s="98"/>
      <c r="Y42" s="98"/>
      <c r="Z42" s="100" t="s">
        <v>14</v>
      </c>
      <c r="AA42" s="101" t="s">
        <v>11</v>
      </c>
      <c r="AB42" s="98"/>
      <c r="AC42" s="98"/>
      <c r="AD42" s="28"/>
      <c r="AE42" s="27"/>
      <c r="AF42" s="29" t="s">
        <v>15</v>
      </c>
      <c r="AG42" s="27"/>
      <c r="AH42" s="27"/>
      <c r="AI42" s="25">
        <v>17</v>
      </c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31"/>
      <c r="AU42" s="25"/>
      <c r="AV42" s="25"/>
      <c r="AW42" s="25"/>
      <c r="AX42" s="25"/>
      <c r="AY42" s="25"/>
      <c r="AZ42" s="25"/>
      <c r="BA42" s="25"/>
      <c r="BB42" s="33"/>
      <c r="BC42" s="33"/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</row>
    <row r="43" spans="1:92" x14ac:dyDescent="0.25">
      <c r="A43" s="25" t="s">
        <v>56</v>
      </c>
      <c r="B43" s="25" t="s">
        <v>270</v>
      </c>
      <c r="C43" s="25" t="s">
        <v>415</v>
      </c>
      <c r="D43" s="25">
        <v>57</v>
      </c>
      <c r="E43" s="35" cm="1">
        <f t="array" ref="E43">IFERROR(INDEX($H$5:$AVV$5, _xlfn.AGGREGATE(15,6, COLUMN(H43:AVV43)-COLUMN(H43)+F43 / (H43:AVV43="T"), $A$2)), "")</f>
        <v>45966</v>
      </c>
      <c r="F43" s="97">
        <v>1</v>
      </c>
      <c r="G43" s="38" t="s">
        <v>10</v>
      </c>
      <c r="H43" s="33"/>
      <c r="I43" s="33"/>
      <c r="J43" s="33"/>
      <c r="K43" s="33"/>
      <c r="L43" s="33" t="s">
        <v>12</v>
      </c>
      <c r="M43" s="98"/>
      <c r="N43" s="98"/>
      <c r="O43" s="98"/>
      <c r="P43" s="99"/>
      <c r="Q43" s="98"/>
      <c r="R43" s="98"/>
      <c r="S43" s="100" t="s">
        <v>16</v>
      </c>
      <c r="T43" s="101" t="s">
        <v>13</v>
      </c>
      <c r="U43" s="98"/>
      <c r="V43" s="98"/>
      <c r="W43" s="99"/>
      <c r="X43" s="98"/>
      <c r="Y43" s="98"/>
      <c r="Z43" s="100" t="s">
        <v>14</v>
      </c>
      <c r="AA43" s="101" t="s">
        <v>11</v>
      </c>
      <c r="AB43" s="98"/>
      <c r="AC43" s="98"/>
      <c r="AD43" s="28"/>
      <c r="AE43" s="27"/>
      <c r="AF43" s="29" t="s">
        <v>15</v>
      </c>
      <c r="AG43" s="27"/>
      <c r="AH43" s="27"/>
      <c r="AI43" s="25">
        <v>17</v>
      </c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31"/>
      <c r="AU43" s="25"/>
      <c r="AV43" s="25"/>
      <c r="AW43" s="25"/>
      <c r="AX43" s="25"/>
      <c r="AY43" s="25"/>
      <c r="AZ43" s="25"/>
      <c r="BA43" s="25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</row>
    <row r="44" spans="1:92" x14ac:dyDescent="0.25">
      <c r="A44" s="25" t="s">
        <v>56</v>
      </c>
      <c r="B44" s="25" t="s">
        <v>271</v>
      </c>
      <c r="C44" s="25" t="s">
        <v>416</v>
      </c>
      <c r="D44" s="25">
        <v>58</v>
      </c>
      <c r="E44" s="35" cm="1">
        <f t="array" ref="E44">IFERROR(INDEX($H$5:$AVV$5, _xlfn.AGGREGATE(15,6, COLUMN(H44:AVV44)-COLUMN(H44)+F44 / (H44:AVV44="T"), $A$2)), "")</f>
        <v>45966</v>
      </c>
      <c r="F44" s="97">
        <v>1</v>
      </c>
      <c r="G44" s="38" t="s">
        <v>10</v>
      </c>
      <c r="H44" s="33"/>
      <c r="I44" s="33"/>
      <c r="J44" s="33"/>
      <c r="K44" s="33"/>
      <c r="L44" s="33" t="s">
        <v>12</v>
      </c>
      <c r="M44" s="98"/>
      <c r="N44" s="98"/>
      <c r="O44" s="98"/>
      <c r="P44" s="99"/>
      <c r="Q44" s="98"/>
      <c r="R44" s="98"/>
      <c r="S44" s="100" t="s">
        <v>16</v>
      </c>
      <c r="T44" s="101" t="s">
        <v>13</v>
      </c>
      <c r="U44" s="98"/>
      <c r="V44" s="98"/>
      <c r="W44" s="99"/>
      <c r="X44" s="98"/>
      <c r="Y44" s="98"/>
      <c r="Z44" s="100" t="s">
        <v>14</v>
      </c>
      <c r="AA44" s="101" t="s">
        <v>11</v>
      </c>
      <c r="AB44" s="98"/>
      <c r="AC44" s="98"/>
      <c r="AD44" s="28"/>
      <c r="AE44" s="27"/>
      <c r="AF44" s="29" t="s">
        <v>15</v>
      </c>
      <c r="AG44" s="27"/>
      <c r="AH44" s="27"/>
      <c r="AI44" s="25">
        <v>17</v>
      </c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31"/>
      <c r="AU44" s="25"/>
      <c r="AV44" s="25"/>
      <c r="AW44" s="25"/>
      <c r="AX44" s="25"/>
      <c r="AY44" s="25"/>
      <c r="AZ44" s="25"/>
      <c r="BA44" s="25"/>
      <c r="BB44" s="33"/>
      <c r="BC44" s="33"/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</row>
    <row r="45" spans="1:92" x14ac:dyDescent="0.25">
      <c r="A45" s="25" t="s">
        <v>56</v>
      </c>
      <c r="B45" s="25" t="s">
        <v>272</v>
      </c>
      <c r="C45" s="25" t="s">
        <v>417</v>
      </c>
      <c r="D45" s="25">
        <v>59</v>
      </c>
      <c r="E45" s="35" cm="1">
        <f t="array" ref="E45">IFERROR(INDEX($H$5:$AVV$5, _xlfn.AGGREGATE(15,6, COLUMN(H45:AVV45)-COLUMN(H45)+F45 / (H45:AVV45="T"), $A$2)), "")</f>
        <v>45966</v>
      </c>
      <c r="F45" s="97">
        <v>1</v>
      </c>
      <c r="G45" s="38" t="s">
        <v>10</v>
      </c>
      <c r="H45" s="33"/>
      <c r="I45" s="33"/>
      <c r="J45" s="33"/>
      <c r="K45" s="33"/>
      <c r="L45" s="33" t="s">
        <v>12</v>
      </c>
      <c r="M45" s="98"/>
      <c r="N45" s="98"/>
      <c r="O45" s="98"/>
      <c r="P45" s="99"/>
      <c r="Q45" s="98"/>
      <c r="R45" s="98"/>
      <c r="S45" s="100" t="s">
        <v>16</v>
      </c>
      <c r="T45" s="101" t="s">
        <v>13</v>
      </c>
      <c r="U45" s="98"/>
      <c r="V45" s="98"/>
      <c r="W45" s="99"/>
      <c r="X45" s="98"/>
      <c r="Y45" s="98"/>
      <c r="Z45" s="100" t="s">
        <v>14</v>
      </c>
      <c r="AA45" s="101" t="s">
        <v>11</v>
      </c>
      <c r="AB45" s="98"/>
      <c r="AC45" s="98"/>
      <c r="AD45" s="28"/>
      <c r="AE45" s="27"/>
      <c r="AF45" s="29" t="s">
        <v>15</v>
      </c>
      <c r="AG45" s="27"/>
      <c r="AH45" s="27"/>
      <c r="AI45" s="25">
        <v>17</v>
      </c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31"/>
      <c r="AU45" s="25"/>
      <c r="AV45" s="25"/>
      <c r="AW45" s="25"/>
      <c r="AX45" s="25"/>
      <c r="AY45" s="25"/>
      <c r="AZ45" s="25"/>
      <c r="BA45" s="25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</row>
    <row r="46" spans="1:92" x14ac:dyDescent="0.25">
      <c r="A46" s="25" t="s">
        <v>56</v>
      </c>
      <c r="B46" s="25" t="s">
        <v>273</v>
      </c>
      <c r="C46" s="25" t="s">
        <v>418</v>
      </c>
      <c r="D46" s="25">
        <v>60</v>
      </c>
      <c r="E46" s="35" cm="1">
        <f t="array" ref="E46">IFERROR(INDEX($H$5:$AVV$5, _xlfn.AGGREGATE(15,6, COLUMN(H46:AVV46)-COLUMN(H46)+F46 / (H46:AVV46="T"), $A$2)), "")</f>
        <v>45966</v>
      </c>
      <c r="F46" s="97">
        <v>1</v>
      </c>
      <c r="G46" s="38" t="s">
        <v>10</v>
      </c>
      <c r="H46" s="33"/>
      <c r="I46" s="33"/>
      <c r="J46" s="33"/>
      <c r="K46" s="33"/>
      <c r="L46" s="33" t="s">
        <v>12</v>
      </c>
      <c r="M46" s="98"/>
      <c r="N46" s="98"/>
      <c r="O46" s="98"/>
      <c r="P46" s="99"/>
      <c r="Q46" s="98"/>
      <c r="R46" s="98"/>
      <c r="S46" s="100" t="s">
        <v>16</v>
      </c>
      <c r="T46" s="101" t="s">
        <v>13</v>
      </c>
      <c r="U46" s="98"/>
      <c r="V46" s="98"/>
      <c r="W46" s="99"/>
      <c r="X46" s="98"/>
      <c r="Y46" s="98"/>
      <c r="Z46" s="100" t="s">
        <v>14</v>
      </c>
      <c r="AA46" s="101" t="s">
        <v>11</v>
      </c>
      <c r="AB46" s="98"/>
      <c r="AC46" s="98"/>
      <c r="AD46" s="28"/>
      <c r="AE46" s="27"/>
      <c r="AF46" s="29" t="s">
        <v>15</v>
      </c>
      <c r="AG46" s="27"/>
      <c r="AH46" s="27"/>
      <c r="AI46" s="25">
        <v>17</v>
      </c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31"/>
      <c r="AU46" s="25"/>
      <c r="AV46" s="25"/>
      <c r="AW46" s="25"/>
      <c r="AX46" s="25"/>
      <c r="AY46" s="25"/>
      <c r="AZ46" s="25"/>
      <c r="BA46" s="25"/>
      <c r="BB46" s="33"/>
      <c r="BC46" s="33"/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</row>
    <row r="47" spans="1:92" x14ac:dyDescent="0.25">
      <c r="A47" s="25" t="s">
        <v>56</v>
      </c>
      <c r="B47" s="25" t="s">
        <v>274</v>
      </c>
      <c r="C47" s="25" t="s">
        <v>419</v>
      </c>
      <c r="D47" s="25">
        <v>61</v>
      </c>
      <c r="E47" s="35" cm="1">
        <f t="array" ref="E47">IFERROR(INDEX($H$5:$AVV$5, _xlfn.AGGREGATE(15,6, COLUMN(H47:AVV47)-COLUMN(H47)+F47 / (H47:AVV47="T"), $A$2)), "")</f>
        <v>45966</v>
      </c>
      <c r="F47" s="97">
        <v>1</v>
      </c>
      <c r="G47" s="38" t="s">
        <v>10</v>
      </c>
      <c r="H47" s="33"/>
      <c r="I47" s="33"/>
      <c r="J47" s="33"/>
      <c r="K47" s="33"/>
      <c r="L47" s="33" t="s">
        <v>12</v>
      </c>
      <c r="M47" s="98"/>
      <c r="N47" s="98"/>
      <c r="O47" s="98"/>
      <c r="P47" s="99"/>
      <c r="Q47" s="98"/>
      <c r="R47" s="98"/>
      <c r="S47" s="100" t="s">
        <v>16</v>
      </c>
      <c r="T47" s="101" t="s">
        <v>13</v>
      </c>
      <c r="U47" s="98"/>
      <c r="V47" s="98"/>
      <c r="W47" s="99"/>
      <c r="X47" s="98"/>
      <c r="Y47" s="98"/>
      <c r="Z47" s="100" t="s">
        <v>14</v>
      </c>
      <c r="AA47" s="101" t="s">
        <v>11</v>
      </c>
      <c r="AB47" s="98"/>
      <c r="AC47" s="98"/>
      <c r="AD47" s="28"/>
      <c r="AE47" s="27"/>
      <c r="AF47" s="29" t="s">
        <v>15</v>
      </c>
      <c r="AG47" s="27"/>
      <c r="AH47" s="27"/>
      <c r="AI47" s="25">
        <v>17</v>
      </c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31"/>
      <c r="AU47" s="25"/>
      <c r="AV47" s="25"/>
      <c r="AW47" s="25"/>
      <c r="AX47" s="25"/>
      <c r="AY47" s="25"/>
      <c r="AZ47" s="25"/>
      <c r="BA47" s="25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</row>
    <row r="48" spans="1:92" x14ac:dyDescent="0.25">
      <c r="A48" s="25" t="s">
        <v>56</v>
      </c>
      <c r="B48" s="25" t="s">
        <v>275</v>
      </c>
      <c r="C48" s="25" t="s">
        <v>420</v>
      </c>
      <c r="D48" s="25">
        <v>62</v>
      </c>
      <c r="E48" s="35" cm="1">
        <f t="array" ref="E48">IFERROR(INDEX($H$5:$AVV$5, _xlfn.AGGREGATE(15,6, COLUMN(H48:AVV48)-COLUMN(H48)+F48 / (H48:AVV48="T"), $A$2)), "")</f>
        <v>45966</v>
      </c>
      <c r="F48" s="97">
        <v>1</v>
      </c>
      <c r="G48" s="38" t="s">
        <v>10</v>
      </c>
      <c r="H48" s="33"/>
      <c r="I48" s="33"/>
      <c r="J48" s="33"/>
      <c r="K48" s="33"/>
      <c r="L48" s="33" t="s">
        <v>12</v>
      </c>
      <c r="M48" s="98"/>
      <c r="N48" s="98"/>
      <c r="O48" s="98"/>
      <c r="P48" s="99"/>
      <c r="Q48" s="98"/>
      <c r="R48" s="98"/>
      <c r="S48" s="100" t="s">
        <v>16</v>
      </c>
      <c r="T48" s="101" t="s">
        <v>13</v>
      </c>
      <c r="U48" s="98"/>
      <c r="V48" s="98"/>
      <c r="W48" s="99"/>
      <c r="X48" s="98"/>
      <c r="Y48" s="98"/>
      <c r="Z48" s="100" t="s">
        <v>14</v>
      </c>
      <c r="AA48" s="101" t="s">
        <v>11</v>
      </c>
      <c r="AB48" s="98"/>
      <c r="AC48" s="98"/>
      <c r="AD48" s="99"/>
      <c r="AE48" s="27"/>
      <c r="AF48" s="29" t="s">
        <v>15</v>
      </c>
      <c r="AG48" s="27"/>
      <c r="AH48" s="27"/>
      <c r="AI48" s="25">
        <v>17</v>
      </c>
      <c r="AJ48" s="25"/>
      <c r="AK48" s="25"/>
      <c r="AL48" s="25"/>
      <c r="AM48" s="25"/>
      <c r="AN48" s="25"/>
      <c r="AO48" s="25"/>
      <c r="AP48" s="25"/>
      <c r="AQ48" s="25"/>
      <c r="AR48" s="25"/>
      <c r="AS48" s="31"/>
      <c r="AT48" s="25"/>
      <c r="AU48" s="25"/>
      <c r="AV48" s="25"/>
      <c r="AW48" s="25"/>
      <c r="AX48" s="25"/>
      <c r="AY48" s="25"/>
      <c r="AZ48" s="25"/>
      <c r="BA48" s="25"/>
      <c r="BB48" s="25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</row>
    <row r="49" spans="1:92" x14ac:dyDescent="0.25">
      <c r="A49" s="25" t="s">
        <v>56</v>
      </c>
      <c r="B49" s="25" t="s">
        <v>299</v>
      </c>
      <c r="C49" s="25" t="s">
        <v>444</v>
      </c>
      <c r="D49" s="25">
        <v>86</v>
      </c>
      <c r="E49" s="35" cm="1">
        <f t="array" ref="E49">IFERROR(INDEX($H$5:$AVV$5, _xlfn.AGGREGATE(15,6, COLUMN(H49:AVV49)-COLUMN(H49)+F49 / (H49:AVV49="T"), $A$2)), "")</f>
        <v>45967</v>
      </c>
      <c r="F49" s="97">
        <v>1</v>
      </c>
      <c r="G49" s="38" t="s">
        <v>10</v>
      </c>
      <c r="H49" s="33"/>
      <c r="I49" s="33"/>
      <c r="J49" s="33"/>
      <c r="K49" s="33"/>
      <c r="L49" s="33"/>
      <c r="M49" s="33" t="s">
        <v>12</v>
      </c>
      <c r="N49" s="98"/>
      <c r="O49" s="98"/>
      <c r="P49" s="98"/>
      <c r="Q49" s="99"/>
      <c r="R49" s="98"/>
      <c r="S49" s="98"/>
      <c r="T49" s="100" t="s">
        <v>16</v>
      </c>
      <c r="U49" s="101" t="s">
        <v>13</v>
      </c>
      <c r="V49" s="98"/>
      <c r="W49" s="98"/>
      <c r="X49" s="99"/>
      <c r="Y49" s="98"/>
      <c r="Z49" s="98"/>
      <c r="AA49" s="100" t="s">
        <v>14</v>
      </c>
      <c r="AB49" s="101" t="s">
        <v>11</v>
      </c>
      <c r="AC49" s="98"/>
      <c r="AD49" s="98"/>
      <c r="AE49" s="28"/>
      <c r="AF49" s="27"/>
      <c r="AG49" s="29" t="s">
        <v>15</v>
      </c>
      <c r="AH49" s="27"/>
      <c r="AI49" s="27"/>
      <c r="AJ49" s="25">
        <v>17</v>
      </c>
      <c r="AK49" s="25"/>
      <c r="AL49" s="25"/>
      <c r="AM49" s="25"/>
      <c r="AN49" s="25"/>
      <c r="AO49" s="25"/>
      <c r="AP49" s="25"/>
      <c r="AQ49" s="25"/>
      <c r="AR49" s="25"/>
      <c r="AS49" s="31"/>
      <c r="AT49" s="25"/>
      <c r="AU49" s="25"/>
      <c r="AV49" s="25"/>
      <c r="AW49" s="25"/>
      <c r="AX49" s="25"/>
      <c r="AY49" s="25"/>
      <c r="AZ49" s="25"/>
      <c r="BA49" s="25"/>
      <c r="BB49" s="25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</row>
    <row r="50" spans="1:92" x14ac:dyDescent="0.25">
      <c r="A50" s="25" t="s">
        <v>56</v>
      </c>
      <c r="B50" s="25" t="s">
        <v>300</v>
      </c>
      <c r="C50" s="25" t="s">
        <v>445</v>
      </c>
      <c r="D50" s="25">
        <v>87</v>
      </c>
      <c r="E50" s="35" cm="1">
        <f t="array" ref="E50">IFERROR(INDEX($H$5:$AVV$5, _xlfn.AGGREGATE(15,6, COLUMN(H50:AVV50)-COLUMN(H50)+F50 / (H50:AVV50="T"), $A$2)), "")</f>
        <v>45967</v>
      </c>
      <c r="F50" s="97">
        <v>1</v>
      </c>
      <c r="G50" s="38" t="s">
        <v>10</v>
      </c>
      <c r="H50" s="33"/>
      <c r="I50" s="33"/>
      <c r="J50" s="33"/>
      <c r="K50" s="33"/>
      <c r="L50" s="33"/>
      <c r="M50" s="33" t="s">
        <v>12</v>
      </c>
      <c r="N50" s="98"/>
      <c r="O50" s="98"/>
      <c r="P50" s="98"/>
      <c r="Q50" s="99"/>
      <c r="R50" s="98"/>
      <c r="S50" s="98"/>
      <c r="T50" s="100" t="s">
        <v>16</v>
      </c>
      <c r="U50" s="101" t="s">
        <v>13</v>
      </c>
      <c r="V50" s="98"/>
      <c r="W50" s="98"/>
      <c r="X50" s="99"/>
      <c r="Y50" s="98"/>
      <c r="Z50" s="98"/>
      <c r="AA50" s="100" t="s">
        <v>14</v>
      </c>
      <c r="AB50" s="101" t="s">
        <v>11</v>
      </c>
      <c r="AC50" s="98"/>
      <c r="AD50" s="98"/>
      <c r="AE50" s="99"/>
      <c r="AF50" s="27"/>
      <c r="AG50" s="29" t="s">
        <v>15</v>
      </c>
      <c r="AH50" s="27"/>
      <c r="AI50" s="27"/>
      <c r="AJ50" s="25">
        <v>17</v>
      </c>
      <c r="AK50" s="25"/>
      <c r="AL50" s="25"/>
      <c r="AM50" s="25"/>
      <c r="AN50" s="25"/>
      <c r="AO50" s="25"/>
      <c r="AP50" s="25"/>
      <c r="AQ50" s="25"/>
      <c r="AR50" s="25"/>
      <c r="AS50" s="25"/>
      <c r="AT50" s="31"/>
      <c r="AU50" s="25"/>
      <c r="AV50" s="25"/>
      <c r="AW50" s="25"/>
      <c r="AX50" s="25"/>
      <c r="AY50" s="25"/>
      <c r="AZ50" s="25"/>
      <c r="BA50" s="25"/>
      <c r="BB50" s="25"/>
      <c r="BC50" s="25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</row>
    <row r="51" spans="1:92" s="40" customFormat="1" x14ac:dyDescent="0.25">
      <c r="A51" s="25" t="s">
        <v>56</v>
      </c>
      <c r="B51" s="25" t="s">
        <v>301</v>
      </c>
      <c r="C51" s="25" t="s">
        <v>446</v>
      </c>
      <c r="D51" s="25">
        <v>88</v>
      </c>
      <c r="E51" s="35" cm="1">
        <f t="array" ref="E51">IFERROR(INDEX($H$5:$AVV$5, _xlfn.AGGREGATE(15,6, COLUMN(H51:AVV51)-COLUMN(H51)+F51 / (H51:AVV51="T"), $A$2)), "")</f>
        <v>45967</v>
      </c>
      <c r="F51" s="97">
        <v>1</v>
      </c>
      <c r="G51" s="38" t="s">
        <v>10</v>
      </c>
      <c r="H51" s="33"/>
      <c r="I51" s="33"/>
      <c r="J51" s="33"/>
      <c r="K51" s="33"/>
      <c r="L51" s="33"/>
      <c r="M51" s="33" t="s">
        <v>12</v>
      </c>
      <c r="N51" s="98"/>
      <c r="O51" s="98"/>
      <c r="P51" s="98"/>
      <c r="Q51" s="99"/>
      <c r="R51" s="98"/>
      <c r="S51" s="98"/>
      <c r="T51" s="100" t="s">
        <v>16</v>
      </c>
      <c r="U51" s="101" t="s">
        <v>13</v>
      </c>
      <c r="V51" s="98"/>
      <c r="W51" s="98"/>
      <c r="X51" s="99"/>
      <c r="Y51" s="98"/>
      <c r="Z51" s="98"/>
      <c r="AA51" s="100" t="s">
        <v>14</v>
      </c>
      <c r="AB51" s="101" t="s">
        <v>11</v>
      </c>
      <c r="AC51" s="98"/>
      <c r="AD51" s="98"/>
      <c r="AE51" s="99"/>
      <c r="AF51" s="27"/>
      <c r="AG51" s="29" t="s">
        <v>15</v>
      </c>
      <c r="AH51" s="27"/>
      <c r="AI51" s="27"/>
      <c r="AJ51" s="25">
        <v>17</v>
      </c>
      <c r="AK51" s="25"/>
      <c r="AL51" s="25"/>
      <c r="AM51" s="25"/>
      <c r="AN51" s="25"/>
      <c r="AO51" s="25"/>
      <c r="AP51" s="25"/>
      <c r="AQ51" s="25"/>
      <c r="AR51" s="25"/>
      <c r="AS51" s="25"/>
      <c r="AT51" s="31"/>
      <c r="AU51" s="25"/>
      <c r="AV51" s="25"/>
      <c r="AW51" s="25"/>
      <c r="AX51" s="25"/>
      <c r="AY51" s="25"/>
      <c r="AZ51" s="25"/>
      <c r="BA51" s="25"/>
      <c r="BB51" s="25"/>
      <c r="BC51" s="25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</row>
    <row r="52" spans="1:92" s="40" customFormat="1" x14ac:dyDescent="0.25">
      <c r="A52" s="25" t="s">
        <v>56</v>
      </c>
      <c r="B52" s="25" t="s">
        <v>302</v>
      </c>
      <c r="C52" s="25" t="s">
        <v>447</v>
      </c>
      <c r="D52" s="25">
        <v>89</v>
      </c>
      <c r="E52" s="35" cm="1">
        <f t="array" ref="E52">IFERROR(INDEX($H$5:$AVV$5, _xlfn.AGGREGATE(15,6, COLUMN(H52:AVV52)-COLUMN(H52)+F52 / (H52:AVV52="T"), $A$2)), "")</f>
        <v>45967</v>
      </c>
      <c r="F52" s="97">
        <v>1</v>
      </c>
      <c r="G52" s="38" t="s">
        <v>10</v>
      </c>
      <c r="H52" s="33"/>
      <c r="I52" s="33"/>
      <c r="J52" s="33"/>
      <c r="K52" s="33"/>
      <c r="L52" s="33"/>
      <c r="M52" s="33" t="s">
        <v>12</v>
      </c>
      <c r="N52" s="98"/>
      <c r="O52" s="98"/>
      <c r="P52" s="98"/>
      <c r="Q52" s="99"/>
      <c r="R52" s="98"/>
      <c r="S52" s="98"/>
      <c r="T52" s="100" t="s">
        <v>16</v>
      </c>
      <c r="U52" s="101" t="s">
        <v>13</v>
      </c>
      <c r="V52" s="98"/>
      <c r="W52" s="98"/>
      <c r="X52" s="99"/>
      <c r="Y52" s="98"/>
      <c r="Z52" s="98"/>
      <c r="AA52" s="100" t="s">
        <v>14</v>
      </c>
      <c r="AB52" s="101" t="s">
        <v>11</v>
      </c>
      <c r="AC52" s="98"/>
      <c r="AD52" s="98"/>
      <c r="AE52" s="99"/>
      <c r="AF52" s="27"/>
      <c r="AG52" s="29" t="s">
        <v>15</v>
      </c>
      <c r="AH52" s="27"/>
      <c r="AI52" s="27"/>
      <c r="AJ52" s="25">
        <v>17</v>
      </c>
      <c r="AK52" s="25"/>
      <c r="AL52" s="25"/>
      <c r="AM52" s="25"/>
      <c r="AN52" s="25"/>
      <c r="AO52" s="25"/>
      <c r="AP52" s="25"/>
      <c r="AQ52" s="25"/>
      <c r="AR52" s="25"/>
      <c r="AS52" s="25"/>
      <c r="AT52" s="31"/>
      <c r="AU52" s="25"/>
      <c r="AV52" s="25"/>
      <c r="AW52" s="25"/>
      <c r="AX52" s="25"/>
      <c r="AY52" s="25"/>
      <c r="AZ52" s="25"/>
      <c r="BA52" s="25"/>
      <c r="BB52" s="25"/>
      <c r="BC52" s="25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</row>
    <row r="53" spans="1:92" s="40" customFormat="1" x14ac:dyDescent="0.25">
      <c r="A53" s="25" t="s">
        <v>56</v>
      </c>
      <c r="B53" s="25" t="s">
        <v>303</v>
      </c>
      <c r="C53" s="25" t="s">
        <v>448</v>
      </c>
      <c r="D53" s="25">
        <v>90</v>
      </c>
      <c r="E53" s="35" cm="1">
        <f t="array" ref="E53">IFERROR(INDEX($H$5:$AVV$5, _xlfn.AGGREGATE(15,6, COLUMN(H53:AVV53)-COLUMN(H53)+F53 / (H53:AVV53="T"), $A$2)), "")</f>
        <v>45967</v>
      </c>
      <c r="F53" s="97">
        <v>1</v>
      </c>
      <c r="G53" s="38" t="s">
        <v>10</v>
      </c>
      <c r="H53" s="33"/>
      <c r="I53" s="33"/>
      <c r="J53" s="33"/>
      <c r="K53" s="33"/>
      <c r="L53" s="33"/>
      <c r="M53" s="33" t="s">
        <v>12</v>
      </c>
      <c r="N53" s="98"/>
      <c r="O53" s="98"/>
      <c r="P53" s="98"/>
      <c r="Q53" s="99"/>
      <c r="R53" s="98"/>
      <c r="S53" s="98"/>
      <c r="T53" s="100" t="s">
        <v>16</v>
      </c>
      <c r="U53" s="101" t="s">
        <v>13</v>
      </c>
      <c r="V53" s="98"/>
      <c r="W53" s="98"/>
      <c r="X53" s="99"/>
      <c r="Y53" s="98"/>
      <c r="Z53" s="98"/>
      <c r="AA53" s="100" t="s">
        <v>14</v>
      </c>
      <c r="AB53" s="101" t="s">
        <v>11</v>
      </c>
      <c r="AC53" s="98"/>
      <c r="AD53" s="98"/>
      <c r="AE53" s="99"/>
      <c r="AF53" s="98"/>
      <c r="AG53" s="100" t="s">
        <v>15</v>
      </c>
      <c r="AH53" s="98"/>
      <c r="AI53" s="98"/>
      <c r="AJ53" s="33">
        <v>17</v>
      </c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</row>
    <row r="54" spans="1:92" x14ac:dyDescent="0.25">
      <c r="A54" s="25" t="s">
        <v>56</v>
      </c>
      <c r="B54" s="25" t="s">
        <v>304</v>
      </c>
      <c r="C54" s="25" t="s">
        <v>449</v>
      </c>
      <c r="D54" s="25">
        <v>91</v>
      </c>
      <c r="E54" s="35" cm="1">
        <f t="array" ref="E54">IFERROR(INDEX($H$5:$AVV$5, _xlfn.AGGREGATE(15,6, COLUMN(H54:AVV54)-COLUMN(H54)+F54 / (H54:AVV54="T"), $A$2)), "")</f>
        <v>45967</v>
      </c>
      <c r="F54" s="97">
        <v>1</v>
      </c>
      <c r="G54" s="38" t="s">
        <v>10</v>
      </c>
      <c r="H54" s="33"/>
      <c r="I54" s="33"/>
      <c r="J54" s="33"/>
      <c r="K54" s="33"/>
      <c r="L54" s="33"/>
      <c r="M54" s="33" t="s">
        <v>12</v>
      </c>
      <c r="N54" s="98"/>
      <c r="O54" s="98"/>
      <c r="P54" s="98"/>
      <c r="Q54" s="99"/>
      <c r="R54" s="98"/>
      <c r="S54" s="98"/>
      <c r="T54" s="100" t="s">
        <v>16</v>
      </c>
      <c r="U54" s="101" t="s">
        <v>13</v>
      </c>
      <c r="V54" s="98"/>
      <c r="W54" s="98"/>
      <c r="X54" s="99"/>
      <c r="Y54" s="98"/>
      <c r="Z54" s="98"/>
      <c r="AA54" s="100" t="s">
        <v>14</v>
      </c>
      <c r="AB54" s="101" t="s">
        <v>11</v>
      </c>
      <c r="AC54" s="98"/>
      <c r="AD54" s="98"/>
      <c r="AE54" s="99"/>
      <c r="AF54" s="98"/>
      <c r="AG54" s="100" t="s">
        <v>15</v>
      </c>
      <c r="AH54" s="98"/>
      <c r="AI54" s="98"/>
      <c r="AJ54" s="33">
        <v>17</v>
      </c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</row>
    <row r="55" spans="1:92" x14ac:dyDescent="0.25">
      <c r="A55" s="25" t="s">
        <v>56</v>
      </c>
      <c r="B55" s="25" t="s">
        <v>305</v>
      </c>
      <c r="C55" s="25" t="s">
        <v>450</v>
      </c>
      <c r="D55" s="25">
        <v>92</v>
      </c>
      <c r="E55" s="35" cm="1">
        <f t="array" ref="E55">IFERROR(INDEX($H$5:$AVV$5, _xlfn.AGGREGATE(15,6, COLUMN(H55:AVV55)-COLUMN(H55)+F55 / (H55:AVV55="T"), $A$2)), "")</f>
        <v>45967</v>
      </c>
      <c r="F55" s="97">
        <v>1</v>
      </c>
      <c r="G55" s="38" t="s">
        <v>10</v>
      </c>
      <c r="H55" s="33"/>
      <c r="I55" s="33"/>
      <c r="J55" s="33"/>
      <c r="K55" s="33"/>
      <c r="L55" s="33"/>
      <c r="M55" s="33" t="s">
        <v>12</v>
      </c>
      <c r="N55" s="98"/>
      <c r="O55" s="98"/>
      <c r="P55" s="98"/>
      <c r="Q55" s="99"/>
      <c r="R55" s="98"/>
      <c r="S55" s="98"/>
      <c r="T55" s="100" t="s">
        <v>16</v>
      </c>
      <c r="U55" s="101" t="s">
        <v>13</v>
      </c>
      <c r="V55" s="98"/>
      <c r="W55" s="98"/>
      <c r="X55" s="99"/>
      <c r="Y55" s="98"/>
      <c r="Z55" s="98"/>
      <c r="AA55" s="100" t="s">
        <v>14</v>
      </c>
      <c r="AB55" s="101" t="s">
        <v>11</v>
      </c>
      <c r="AC55" s="98"/>
      <c r="AD55" s="98"/>
      <c r="AE55" s="99"/>
      <c r="AF55" s="98"/>
      <c r="AG55" s="100" t="s">
        <v>15</v>
      </c>
      <c r="AH55" s="98"/>
      <c r="AI55" s="98"/>
      <c r="AJ55" s="33">
        <v>17</v>
      </c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</row>
    <row r="56" spans="1:92" x14ac:dyDescent="0.25">
      <c r="A56" s="25" t="s">
        <v>56</v>
      </c>
      <c r="B56" s="25" t="s">
        <v>267</v>
      </c>
      <c r="C56" s="25" t="s">
        <v>412</v>
      </c>
      <c r="D56" s="25">
        <v>54</v>
      </c>
      <c r="E56" s="35" cm="1">
        <f t="array" ref="E56">IFERROR(INDEX($H$5:$AVV$5, _xlfn.AGGREGATE(15,6, COLUMN(H56:AVV56)-COLUMN(H56)+F56 / (H56:AVV56="T"), $A$2)), "")</f>
        <v>45968</v>
      </c>
      <c r="F56" s="97">
        <v>1</v>
      </c>
      <c r="G56" s="38" t="s">
        <v>10</v>
      </c>
      <c r="H56" s="33"/>
      <c r="I56" s="33"/>
      <c r="J56" s="33"/>
      <c r="K56" s="33"/>
      <c r="L56" s="33"/>
      <c r="M56" s="33"/>
      <c r="N56" s="33" t="s">
        <v>12</v>
      </c>
      <c r="O56" s="98"/>
      <c r="P56" s="98"/>
      <c r="Q56" s="98"/>
      <c r="R56" s="99"/>
      <c r="S56" s="98"/>
      <c r="T56" s="98"/>
      <c r="U56" s="100" t="s">
        <v>16</v>
      </c>
      <c r="V56" s="101" t="s">
        <v>13</v>
      </c>
      <c r="W56" s="98"/>
      <c r="X56" s="98"/>
      <c r="Y56" s="99"/>
      <c r="Z56" s="98"/>
      <c r="AA56" s="98"/>
      <c r="AB56" s="100" t="s">
        <v>14</v>
      </c>
      <c r="AC56" s="101" t="s">
        <v>11</v>
      </c>
      <c r="AD56" s="98"/>
      <c r="AE56" s="98"/>
      <c r="AF56" s="99"/>
      <c r="AG56" s="98"/>
      <c r="AH56" s="100" t="s">
        <v>15</v>
      </c>
      <c r="AI56" s="98"/>
      <c r="AJ56" s="98"/>
      <c r="AK56" s="33">
        <v>17</v>
      </c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</row>
    <row r="57" spans="1:92" x14ac:dyDescent="0.25">
      <c r="A57" s="25" t="s">
        <v>56</v>
      </c>
      <c r="B57" s="25" t="s">
        <v>268</v>
      </c>
      <c r="C57" s="25" t="s">
        <v>413</v>
      </c>
      <c r="D57" s="25">
        <v>55</v>
      </c>
      <c r="E57" s="35" cm="1">
        <f t="array" ref="E57">IFERROR(INDEX($H$5:$AVV$5, _xlfn.AGGREGATE(15,6, COLUMN(H57:AVV57)-COLUMN(H57)+F57 / (H57:AVV57="T"), $A$2)), "")</f>
        <v>45968</v>
      </c>
      <c r="F57" s="97">
        <v>1</v>
      </c>
      <c r="G57" s="38" t="s">
        <v>10</v>
      </c>
      <c r="H57" s="33"/>
      <c r="I57" s="33"/>
      <c r="J57" s="33"/>
      <c r="K57" s="33"/>
      <c r="L57" s="33"/>
      <c r="M57" s="33"/>
      <c r="N57" s="33" t="s">
        <v>12</v>
      </c>
      <c r="O57" s="98"/>
      <c r="P57" s="98"/>
      <c r="Q57" s="98"/>
      <c r="R57" s="99"/>
      <c r="S57" s="98"/>
      <c r="T57" s="98"/>
      <c r="U57" s="100" t="s">
        <v>16</v>
      </c>
      <c r="V57" s="101" t="s">
        <v>13</v>
      </c>
      <c r="W57" s="98"/>
      <c r="X57" s="98"/>
      <c r="Y57" s="99"/>
      <c r="Z57" s="98"/>
      <c r="AA57" s="98"/>
      <c r="AB57" s="100" t="s">
        <v>14</v>
      </c>
      <c r="AC57" s="101" t="s">
        <v>11</v>
      </c>
      <c r="AD57" s="98"/>
      <c r="AE57" s="98"/>
      <c r="AF57" s="99"/>
      <c r="AG57" s="98"/>
      <c r="AH57" s="100" t="s">
        <v>15</v>
      </c>
      <c r="AI57" s="98"/>
      <c r="AJ57" s="98"/>
      <c r="AK57" s="33">
        <v>17</v>
      </c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</row>
    <row r="58" spans="1:92" x14ac:dyDescent="0.25">
      <c r="A58" s="25" t="s">
        <v>56</v>
      </c>
      <c r="B58" s="25" t="s">
        <v>297</v>
      </c>
      <c r="C58" s="25" t="s">
        <v>442</v>
      </c>
      <c r="D58" s="25">
        <v>84</v>
      </c>
      <c r="E58" s="35" cm="1">
        <f t="array" ref="E58">IFERROR(INDEX($H$5:$AVV$5, _xlfn.AGGREGATE(15,6, COLUMN(H58:AVV58)-COLUMN(H58)+F58 / (H58:AVV58="T"), $A$2)), "")</f>
        <v>45968</v>
      </c>
      <c r="F58" s="97">
        <v>1</v>
      </c>
      <c r="G58" s="38" t="s">
        <v>10</v>
      </c>
      <c r="H58" s="33"/>
      <c r="I58" s="33"/>
      <c r="J58" s="33"/>
      <c r="K58" s="33"/>
      <c r="L58" s="33"/>
      <c r="M58" s="33"/>
      <c r="N58" s="33" t="s">
        <v>12</v>
      </c>
      <c r="O58" s="98"/>
      <c r="P58" s="98"/>
      <c r="Q58" s="98"/>
      <c r="R58" s="99"/>
      <c r="S58" s="98"/>
      <c r="T58" s="98"/>
      <c r="U58" s="100" t="s">
        <v>16</v>
      </c>
      <c r="V58" s="101" t="s">
        <v>13</v>
      </c>
      <c r="W58" s="98"/>
      <c r="X58" s="98"/>
      <c r="Y58" s="99"/>
      <c r="Z58" s="98"/>
      <c r="AA58" s="98"/>
      <c r="AB58" s="100" t="s">
        <v>14</v>
      </c>
      <c r="AC58" s="101" t="s">
        <v>11</v>
      </c>
      <c r="AD58" s="98"/>
      <c r="AE58" s="98"/>
      <c r="AF58" s="99"/>
      <c r="AG58" s="98"/>
      <c r="AH58" s="100" t="s">
        <v>15</v>
      </c>
      <c r="AI58" s="98"/>
      <c r="AJ58" s="98"/>
      <c r="AK58" s="33">
        <v>17</v>
      </c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</row>
    <row r="59" spans="1:92" x14ac:dyDescent="0.25">
      <c r="A59" s="25" t="s">
        <v>56</v>
      </c>
      <c r="B59" s="25" t="s">
        <v>298</v>
      </c>
      <c r="C59" s="25" t="s">
        <v>443</v>
      </c>
      <c r="D59" s="25">
        <v>85</v>
      </c>
      <c r="E59" s="35" cm="1">
        <f t="array" ref="E59">IFERROR(INDEX($H$5:$AVV$5, _xlfn.AGGREGATE(15,6, COLUMN(H59:AVV59)-COLUMN(H59)+F59 / (H59:AVV59="T"), $A$2)), "")</f>
        <v>45968</v>
      </c>
      <c r="F59" s="97">
        <v>1</v>
      </c>
      <c r="G59" s="38" t="s">
        <v>10</v>
      </c>
      <c r="H59" s="33"/>
      <c r="I59" s="33"/>
      <c r="J59" s="33"/>
      <c r="K59" s="33"/>
      <c r="L59" s="33"/>
      <c r="M59" s="33"/>
      <c r="N59" s="33" t="s">
        <v>12</v>
      </c>
      <c r="O59" s="98"/>
      <c r="P59" s="98"/>
      <c r="Q59" s="98"/>
      <c r="R59" s="99"/>
      <c r="S59" s="98"/>
      <c r="T59" s="98"/>
      <c r="U59" s="100" t="s">
        <v>16</v>
      </c>
      <c r="V59" s="101" t="s">
        <v>13</v>
      </c>
      <c r="W59" s="98"/>
      <c r="X59" s="98"/>
      <c r="Y59" s="99"/>
      <c r="Z59" s="98"/>
      <c r="AA59" s="98"/>
      <c r="AB59" s="100" t="s">
        <v>14</v>
      </c>
      <c r="AC59" s="101" t="s">
        <v>11</v>
      </c>
      <c r="AD59" s="98"/>
      <c r="AE59" s="98"/>
      <c r="AF59" s="99"/>
      <c r="AG59" s="27"/>
      <c r="AH59" s="29" t="s">
        <v>15</v>
      </c>
      <c r="AI59" s="27"/>
      <c r="AJ59" s="27"/>
      <c r="AK59" s="25">
        <v>17</v>
      </c>
      <c r="AL59" s="25"/>
      <c r="AM59" s="25"/>
      <c r="AN59" s="25"/>
      <c r="AO59" s="25"/>
      <c r="AP59" s="25"/>
      <c r="AQ59" s="25"/>
      <c r="AR59" s="25"/>
      <c r="AS59" s="25"/>
      <c r="AT59" s="25"/>
      <c r="AU59" s="31"/>
      <c r="AV59" s="25"/>
      <c r="AW59" s="25"/>
      <c r="AX59" s="25"/>
      <c r="AY59" s="25"/>
      <c r="AZ59" s="25"/>
      <c r="BA59" s="25"/>
      <c r="BB59" s="25"/>
      <c r="BC59" s="25"/>
      <c r="BD59" s="25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</row>
    <row r="60" spans="1:92" x14ac:dyDescent="0.25">
      <c r="A60" s="39" t="s">
        <v>56</v>
      </c>
      <c r="B60" s="39" t="s">
        <v>327</v>
      </c>
      <c r="C60" s="25" t="s">
        <v>472</v>
      </c>
      <c r="D60" s="25">
        <v>114</v>
      </c>
      <c r="E60" s="35" cm="1">
        <f t="array" ref="E60">IFERROR(INDEX($H$5:$AVV$5, _xlfn.AGGREGATE(15,6, COLUMN(H60:AVV60)-COLUMN(H60)+F60 / (H60:AVV60="T"), $A$2)), "")</f>
        <v>45968</v>
      </c>
      <c r="F60" s="97">
        <v>1</v>
      </c>
      <c r="G60" s="44" t="s">
        <v>10</v>
      </c>
      <c r="H60" s="33"/>
      <c r="I60" s="33"/>
      <c r="J60" s="33"/>
      <c r="K60" s="33"/>
      <c r="L60" s="33"/>
      <c r="M60" s="33"/>
      <c r="N60" s="33" t="s">
        <v>12</v>
      </c>
      <c r="O60" s="98"/>
      <c r="P60" s="98"/>
      <c r="Q60" s="98"/>
      <c r="R60" s="99"/>
      <c r="S60" s="98"/>
      <c r="T60" s="98"/>
      <c r="U60" s="100" t="s">
        <v>16</v>
      </c>
      <c r="V60" s="101" t="s">
        <v>13</v>
      </c>
      <c r="W60" s="98"/>
      <c r="X60" s="98"/>
      <c r="Y60" s="99"/>
      <c r="Z60" s="98"/>
      <c r="AA60" s="98"/>
      <c r="AB60" s="100" t="s">
        <v>14</v>
      </c>
      <c r="AC60" s="101" t="s">
        <v>11</v>
      </c>
      <c r="AD60" s="98"/>
      <c r="AE60" s="98"/>
      <c r="AF60" s="99"/>
      <c r="AG60" s="27"/>
      <c r="AH60" s="29" t="s">
        <v>15</v>
      </c>
      <c r="AI60" s="27"/>
      <c r="AJ60" s="27"/>
      <c r="AK60" s="25">
        <v>17</v>
      </c>
      <c r="AL60" s="25"/>
      <c r="AM60" s="25"/>
      <c r="AN60" s="25"/>
      <c r="AO60" s="25"/>
      <c r="AP60" s="25"/>
      <c r="AQ60" s="25"/>
      <c r="AR60" s="25"/>
      <c r="AS60" s="25"/>
      <c r="AT60" s="25"/>
      <c r="AU60" s="31"/>
      <c r="AV60" s="25"/>
      <c r="AW60" s="25"/>
      <c r="AX60" s="25"/>
      <c r="AY60" s="25"/>
      <c r="AZ60" s="25"/>
      <c r="BA60" s="25"/>
      <c r="BB60" s="25"/>
      <c r="BC60" s="25"/>
      <c r="BD60" s="25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</row>
    <row r="61" spans="1:92" x14ac:dyDescent="0.25">
      <c r="A61" s="39" t="s">
        <v>56</v>
      </c>
      <c r="B61" s="39" t="s">
        <v>328</v>
      </c>
      <c r="C61" s="25" t="s">
        <v>473</v>
      </c>
      <c r="D61" s="25">
        <v>115</v>
      </c>
      <c r="E61" s="35" cm="1">
        <f t="array" ref="E61">IFERROR(INDEX($H$5:$AVV$5, _xlfn.AGGREGATE(15,6, COLUMN(H61:AVV61)-COLUMN(H61)+F61 / (H61:AVV61="T"), $A$2)), "")</f>
        <v>45968</v>
      </c>
      <c r="F61" s="97">
        <v>1</v>
      </c>
      <c r="G61" s="44" t="s">
        <v>10</v>
      </c>
      <c r="H61" s="33"/>
      <c r="I61" s="33"/>
      <c r="J61" s="33"/>
      <c r="K61" s="33"/>
      <c r="L61" s="33"/>
      <c r="M61" s="33"/>
      <c r="N61" s="33" t="s">
        <v>12</v>
      </c>
      <c r="O61" s="98"/>
      <c r="P61" s="98"/>
      <c r="Q61" s="98"/>
      <c r="R61" s="99"/>
      <c r="S61" s="98"/>
      <c r="T61" s="98"/>
      <c r="U61" s="100" t="s">
        <v>16</v>
      </c>
      <c r="V61" s="101" t="s">
        <v>13</v>
      </c>
      <c r="W61" s="98"/>
      <c r="X61" s="98"/>
      <c r="Y61" s="99"/>
      <c r="Z61" s="98"/>
      <c r="AA61" s="98"/>
      <c r="AB61" s="100" t="s">
        <v>14</v>
      </c>
      <c r="AC61" s="101" t="s">
        <v>11</v>
      </c>
      <c r="AD61" s="98"/>
      <c r="AE61" s="98"/>
      <c r="AF61" s="99"/>
      <c r="AG61" s="27"/>
      <c r="AH61" s="29" t="s">
        <v>15</v>
      </c>
      <c r="AI61" s="27"/>
      <c r="AJ61" s="27"/>
      <c r="AK61" s="25">
        <v>17</v>
      </c>
      <c r="AL61" s="25"/>
      <c r="AM61" s="25"/>
      <c r="AN61" s="25"/>
      <c r="AO61" s="25"/>
      <c r="AP61" s="25"/>
      <c r="AQ61" s="25"/>
      <c r="AR61" s="25"/>
      <c r="AS61" s="25"/>
      <c r="AT61" s="25"/>
      <c r="AU61" s="31"/>
      <c r="AV61" s="25"/>
      <c r="AW61" s="25"/>
      <c r="AX61" s="25"/>
      <c r="AY61" s="25"/>
      <c r="AZ61" s="25"/>
      <c r="BA61" s="25"/>
      <c r="BB61" s="25"/>
      <c r="BC61" s="25"/>
      <c r="BD61" s="25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</row>
    <row r="62" spans="1:92" x14ac:dyDescent="0.25">
      <c r="A62" s="49" t="s">
        <v>56</v>
      </c>
      <c r="B62" s="49" t="s">
        <v>329</v>
      </c>
      <c r="C62" s="25" t="s">
        <v>474</v>
      </c>
      <c r="D62" s="25">
        <v>116</v>
      </c>
      <c r="E62" s="35" cm="1">
        <f t="array" ref="E62">IFERROR(INDEX($H$5:$AVV$5, _xlfn.AGGREGATE(15,6, COLUMN(H62:AVV62)-COLUMN(H62)+F62 / (H62:AVV62="T"), $A$2)), "")</f>
        <v>45968</v>
      </c>
      <c r="F62" s="97">
        <v>1</v>
      </c>
      <c r="G62" s="50" t="s">
        <v>10</v>
      </c>
      <c r="H62" s="33"/>
      <c r="I62" s="33"/>
      <c r="J62" s="33"/>
      <c r="K62" s="33"/>
      <c r="L62" s="33"/>
      <c r="M62" s="33"/>
      <c r="N62" s="33" t="s">
        <v>12</v>
      </c>
      <c r="O62" s="98"/>
      <c r="P62" s="98"/>
      <c r="Q62" s="98"/>
      <c r="R62" s="99"/>
      <c r="S62" s="98"/>
      <c r="T62" s="98"/>
      <c r="U62" s="100" t="s">
        <v>16</v>
      </c>
      <c r="V62" s="101" t="s">
        <v>13</v>
      </c>
      <c r="W62" s="98"/>
      <c r="X62" s="98"/>
      <c r="Y62" s="99"/>
      <c r="Z62" s="98"/>
      <c r="AA62" s="98"/>
      <c r="AB62" s="100" t="s">
        <v>14</v>
      </c>
      <c r="AC62" s="101" t="s">
        <v>11</v>
      </c>
      <c r="AD62" s="98"/>
      <c r="AE62" s="98"/>
      <c r="AF62" s="99"/>
      <c r="AG62" s="27"/>
      <c r="AH62" s="29" t="s">
        <v>15</v>
      </c>
      <c r="AI62" s="27"/>
      <c r="AJ62" s="27"/>
      <c r="AK62" s="25">
        <v>17</v>
      </c>
      <c r="AL62" s="25"/>
      <c r="AM62" s="25"/>
      <c r="AN62" s="25"/>
      <c r="AO62" s="25"/>
      <c r="AP62" s="25"/>
      <c r="AQ62" s="25"/>
      <c r="AR62" s="25"/>
      <c r="AS62" s="25"/>
      <c r="AT62" s="25"/>
      <c r="AU62" s="31"/>
      <c r="AV62" s="25"/>
      <c r="AW62" s="25"/>
      <c r="AX62" s="25"/>
      <c r="AY62" s="25"/>
      <c r="AZ62" s="25"/>
      <c r="BA62" s="25"/>
      <c r="BB62" s="25"/>
      <c r="BC62" s="25"/>
      <c r="BD62" s="25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</row>
    <row r="63" spans="1:92" x14ac:dyDescent="0.25">
      <c r="A63" s="25" t="s">
        <v>132</v>
      </c>
      <c r="B63" s="25" t="s">
        <v>214</v>
      </c>
      <c r="C63" s="25" t="s">
        <v>476</v>
      </c>
      <c r="D63" s="25">
        <v>118</v>
      </c>
      <c r="E63" s="35" cm="1">
        <f t="array" ref="E63">IFERROR(INDEX($H$5:$AVV$5, _xlfn.AGGREGATE(15,6, COLUMN(H63:AVV63)-COLUMN(H63)+F63 / (H63:AVV63="T"), $A$2)), "")</f>
        <v>45969</v>
      </c>
      <c r="F63" s="97">
        <v>1</v>
      </c>
      <c r="G63" s="38" t="s">
        <v>10</v>
      </c>
      <c r="H63" s="33"/>
      <c r="I63" s="33"/>
      <c r="J63" s="33"/>
      <c r="K63" s="33"/>
      <c r="L63" s="33"/>
      <c r="M63" s="33"/>
      <c r="N63" s="33"/>
      <c r="O63" s="33" t="s">
        <v>12</v>
      </c>
      <c r="P63" s="98"/>
      <c r="Q63" s="98"/>
      <c r="R63" s="98"/>
      <c r="S63" s="99"/>
      <c r="T63" s="98"/>
      <c r="U63" s="98"/>
      <c r="V63" s="100" t="s">
        <v>16</v>
      </c>
      <c r="W63" s="101" t="s">
        <v>13</v>
      </c>
      <c r="X63" s="98"/>
      <c r="Y63" s="98"/>
      <c r="Z63" s="99"/>
      <c r="AA63" s="98"/>
      <c r="AB63" s="98"/>
      <c r="AC63" s="100" t="s">
        <v>14</v>
      </c>
      <c r="AD63" s="101" t="s">
        <v>11</v>
      </c>
      <c r="AE63" s="98"/>
      <c r="AF63" s="27"/>
      <c r="AG63" s="28"/>
      <c r="AH63" s="27"/>
      <c r="AI63" s="29" t="s">
        <v>15</v>
      </c>
      <c r="AJ63" s="27"/>
      <c r="AK63" s="27"/>
      <c r="AL63" s="25">
        <v>17</v>
      </c>
      <c r="AM63" s="25"/>
      <c r="AN63" s="25"/>
      <c r="AO63" s="25"/>
      <c r="AP63" s="25"/>
      <c r="AQ63" s="25"/>
      <c r="AR63" s="25"/>
      <c r="AS63" s="25"/>
      <c r="AT63" s="31"/>
      <c r="AU63" s="25"/>
      <c r="AV63" s="25"/>
      <c r="AW63" s="25"/>
      <c r="AX63" s="25"/>
      <c r="AY63" s="25"/>
      <c r="AZ63" s="25"/>
      <c r="BA63" s="25"/>
      <c r="BB63" s="25"/>
      <c r="BC63" s="25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</row>
    <row r="64" spans="1:92" x14ac:dyDescent="0.25">
      <c r="A64" s="25" t="s">
        <v>132</v>
      </c>
      <c r="B64" s="25" t="s">
        <v>215</v>
      </c>
      <c r="C64" s="25" t="s">
        <v>477</v>
      </c>
      <c r="D64" s="25">
        <v>119</v>
      </c>
      <c r="E64" s="35" cm="1">
        <f t="array" ref="E64">IFERROR(INDEX($H$5:$AVV$5, _xlfn.AGGREGATE(15,6, COLUMN(H64:AVV64)-COLUMN(H64)+F64 / (H64:AVV64="T"), $A$2)), "")</f>
        <v>45969</v>
      </c>
      <c r="F64" s="97">
        <v>1</v>
      </c>
      <c r="G64" s="38" t="s">
        <v>10</v>
      </c>
      <c r="H64" s="33"/>
      <c r="I64" s="33"/>
      <c r="J64" s="33"/>
      <c r="K64" s="33"/>
      <c r="L64" s="33"/>
      <c r="M64" s="33"/>
      <c r="N64" s="33"/>
      <c r="O64" s="33" t="s">
        <v>12</v>
      </c>
      <c r="P64" s="98"/>
      <c r="Q64" s="98"/>
      <c r="R64" s="98"/>
      <c r="S64" s="99"/>
      <c r="T64" s="98"/>
      <c r="U64" s="98"/>
      <c r="V64" s="100" t="s">
        <v>16</v>
      </c>
      <c r="W64" s="101" t="s">
        <v>13</v>
      </c>
      <c r="X64" s="98"/>
      <c r="Y64" s="98"/>
      <c r="Z64" s="99"/>
      <c r="AA64" s="98"/>
      <c r="AB64" s="98"/>
      <c r="AC64" s="100" t="s">
        <v>14</v>
      </c>
      <c r="AD64" s="101" t="s">
        <v>11</v>
      </c>
      <c r="AE64" s="98"/>
      <c r="AF64" s="27"/>
      <c r="AG64" s="28"/>
      <c r="AH64" s="27"/>
      <c r="AI64" s="29" t="s">
        <v>15</v>
      </c>
      <c r="AJ64" s="27"/>
      <c r="AK64" s="27"/>
      <c r="AL64" s="25">
        <v>17</v>
      </c>
      <c r="AM64" s="25"/>
      <c r="AN64" s="25"/>
      <c r="AO64" s="25"/>
      <c r="AP64" s="25"/>
      <c r="AQ64" s="25"/>
      <c r="AR64" s="25"/>
      <c r="AS64" s="25"/>
      <c r="AT64" s="31"/>
      <c r="AU64" s="25"/>
      <c r="AV64" s="25"/>
      <c r="AW64" s="25"/>
      <c r="AX64" s="25"/>
      <c r="AY64" s="25"/>
      <c r="AZ64" s="25"/>
      <c r="BA64" s="25"/>
      <c r="BB64" s="25"/>
      <c r="BC64" s="25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</row>
    <row r="65" spans="1:92" x14ac:dyDescent="0.25">
      <c r="A65" s="25" t="s">
        <v>132</v>
      </c>
      <c r="B65" s="25" t="s">
        <v>216</v>
      </c>
      <c r="C65" s="25" t="s">
        <v>478</v>
      </c>
      <c r="D65" s="25">
        <v>120</v>
      </c>
      <c r="E65" s="35" cm="1">
        <f t="array" ref="E65">IFERROR(INDEX($H$5:$AVV$5, _xlfn.AGGREGATE(15,6, COLUMN(H65:AVV65)-COLUMN(H65)+F65 / (H65:AVV65="T"), $A$2)), "")</f>
        <v>45969</v>
      </c>
      <c r="F65" s="97">
        <v>1</v>
      </c>
      <c r="G65" s="38" t="s">
        <v>10</v>
      </c>
      <c r="H65" s="33"/>
      <c r="I65" s="33"/>
      <c r="J65" s="33"/>
      <c r="K65" s="33"/>
      <c r="L65" s="33"/>
      <c r="M65" s="33"/>
      <c r="N65" s="33"/>
      <c r="O65" s="33" t="s">
        <v>12</v>
      </c>
      <c r="P65" s="98"/>
      <c r="Q65" s="98"/>
      <c r="R65" s="98"/>
      <c r="S65" s="99"/>
      <c r="T65" s="98"/>
      <c r="U65" s="98"/>
      <c r="V65" s="100" t="s">
        <v>16</v>
      </c>
      <c r="W65" s="101" t="s">
        <v>13</v>
      </c>
      <c r="X65" s="98"/>
      <c r="Y65" s="98"/>
      <c r="Z65" s="99"/>
      <c r="AA65" s="98"/>
      <c r="AB65" s="98"/>
      <c r="AC65" s="100" t="s">
        <v>14</v>
      </c>
      <c r="AD65" s="101" t="s">
        <v>11</v>
      </c>
      <c r="AE65" s="98"/>
      <c r="AF65" s="27"/>
      <c r="AG65" s="28"/>
      <c r="AH65" s="27"/>
      <c r="AI65" s="29" t="s">
        <v>15</v>
      </c>
      <c r="AJ65" s="27"/>
      <c r="AK65" s="27"/>
      <c r="AL65" s="25">
        <v>17</v>
      </c>
      <c r="AM65" s="25"/>
      <c r="AN65" s="25"/>
      <c r="AO65" s="25"/>
      <c r="AP65" s="25"/>
      <c r="AQ65" s="25"/>
      <c r="AR65" s="25"/>
      <c r="AS65" s="25"/>
      <c r="AT65" s="31"/>
      <c r="AU65" s="25"/>
      <c r="AV65" s="25"/>
      <c r="AW65" s="25"/>
      <c r="AX65" s="25"/>
      <c r="AY65" s="25"/>
      <c r="AZ65" s="25"/>
      <c r="BA65" s="25"/>
      <c r="BB65" s="25"/>
      <c r="BC65" s="25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</row>
    <row r="66" spans="1:92" x14ac:dyDescent="0.25">
      <c r="A66" s="25" t="s">
        <v>132</v>
      </c>
      <c r="B66" s="25" t="s">
        <v>217</v>
      </c>
      <c r="C66" s="25" t="s">
        <v>479</v>
      </c>
      <c r="D66" s="25">
        <v>121</v>
      </c>
      <c r="E66" s="35" cm="1">
        <f t="array" ref="E66">IFERROR(INDEX($H$5:$AVV$5, _xlfn.AGGREGATE(15,6, COLUMN(H66:AVV66)-COLUMN(H66)+F66 / (H66:AVV66="T"), $A$2)), "")</f>
        <v>45969</v>
      </c>
      <c r="F66" s="97">
        <v>1</v>
      </c>
      <c r="G66" s="38" t="s">
        <v>10</v>
      </c>
      <c r="H66" s="33"/>
      <c r="I66" s="33"/>
      <c r="J66" s="33"/>
      <c r="K66" s="33"/>
      <c r="L66" s="33"/>
      <c r="M66" s="33"/>
      <c r="N66" s="33"/>
      <c r="O66" s="33" t="s">
        <v>12</v>
      </c>
      <c r="P66" s="98"/>
      <c r="Q66" s="98"/>
      <c r="R66" s="98"/>
      <c r="S66" s="99"/>
      <c r="T66" s="98"/>
      <c r="U66" s="98"/>
      <c r="V66" s="100" t="s">
        <v>16</v>
      </c>
      <c r="W66" s="101" t="s">
        <v>13</v>
      </c>
      <c r="X66" s="98"/>
      <c r="Y66" s="98"/>
      <c r="Z66" s="99"/>
      <c r="AA66" s="98"/>
      <c r="AB66" s="98"/>
      <c r="AC66" s="100" t="s">
        <v>14</v>
      </c>
      <c r="AD66" s="101" t="s">
        <v>11</v>
      </c>
      <c r="AE66" s="98"/>
      <c r="AF66" s="27"/>
      <c r="AG66" s="28"/>
      <c r="AH66" s="27"/>
      <c r="AI66" s="29" t="s">
        <v>15</v>
      </c>
      <c r="AJ66" s="27"/>
      <c r="AK66" s="27"/>
      <c r="AL66" s="25">
        <v>17</v>
      </c>
      <c r="AM66" s="25"/>
      <c r="AN66" s="25"/>
      <c r="AO66" s="25"/>
      <c r="AP66" s="25"/>
      <c r="AQ66" s="25"/>
      <c r="AR66" s="25"/>
      <c r="AS66" s="25"/>
      <c r="AT66" s="31"/>
      <c r="AU66" s="25"/>
      <c r="AV66" s="25"/>
      <c r="AW66" s="25"/>
      <c r="AX66" s="25"/>
      <c r="AY66" s="25"/>
      <c r="AZ66" s="25"/>
      <c r="BA66" s="25"/>
      <c r="BB66" s="25"/>
      <c r="BC66" s="25"/>
      <c r="BD66" s="33"/>
      <c r="BE66" s="33"/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</row>
    <row r="67" spans="1:92" s="40" customFormat="1" x14ac:dyDescent="0.25">
      <c r="A67" s="25" t="s">
        <v>132</v>
      </c>
      <c r="B67" s="25" t="s">
        <v>218</v>
      </c>
      <c r="C67" s="25" t="s">
        <v>480</v>
      </c>
      <c r="D67" s="25">
        <v>122</v>
      </c>
      <c r="E67" s="35" cm="1">
        <f t="array" ref="E67">IFERROR(INDEX($H$5:$AVV$5, _xlfn.AGGREGATE(15,6, COLUMN(H67:AVV67)-COLUMN(H67)+F67 / (H67:AVV67="T"), $A$2)), "")</f>
        <v>45969</v>
      </c>
      <c r="F67" s="97">
        <v>1</v>
      </c>
      <c r="G67" s="38" t="s">
        <v>10</v>
      </c>
      <c r="H67" s="33"/>
      <c r="I67" s="33"/>
      <c r="J67" s="33"/>
      <c r="K67" s="33"/>
      <c r="L67" s="33"/>
      <c r="M67" s="33"/>
      <c r="N67" s="25"/>
      <c r="O67" s="25" t="s">
        <v>12</v>
      </c>
      <c r="P67" s="27"/>
      <c r="Q67" s="27"/>
      <c r="R67" s="27"/>
      <c r="S67" s="28"/>
      <c r="T67" s="27"/>
      <c r="U67" s="27"/>
      <c r="V67" s="29" t="s">
        <v>16</v>
      </c>
      <c r="W67" s="30" t="s">
        <v>13</v>
      </c>
      <c r="X67" s="27"/>
      <c r="Y67" s="27"/>
      <c r="Z67" s="28"/>
      <c r="AA67" s="27"/>
      <c r="AB67" s="37"/>
      <c r="AC67" s="29" t="s">
        <v>14</v>
      </c>
      <c r="AD67" s="30" t="s">
        <v>11</v>
      </c>
      <c r="AE67" s="27"/>
      <c r="AF67" s="27"/>
      <c r="AG67" s="28"/>
      <c r="AH67" s="27"/>
      <c r="AI67" s="29" t="s">
        <v>15</v>
      </c>
      <c r="AJ67" s="27"/>
      <c r="AK67" s="27"/>
      <c r="AL67" s="33">
        <v>17</v>
      </c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</row>
    <row r="68" spans="1:92" s="40" customFormat="1" x14ac:dyDescent="0.25">
      <c r="A68" s="25" t="s">
        <v>132</v>
      </c>
      <c r="B68" s="25" t="s">
        <v>219</v>
      </c>
      <c r="C68" s="25" t="s">
        <v>481</v>
      </c>
      <c r="D68" s="25">
        <v>123</v>
      </c>
      <c r="E68" s="35" cm="1">
        <f t="array" ref="E68">IFERROR(INDEX($H$5:$AVV$5, _xlfn.AGGREGATE(15,6, COLUMN(H68:AVV68)-COLUMN(H68)+F68 / (H68:AVV68="T"), $A$2)), "")</f>
        <v>45969</v>
      </c>
      <c r="F68" s="97">
        <v>1</v>
      </c>
      <c r="G68" s="38" t="s">
        <v>10</v>
      </c>
      <c r="H68" s="33"/>
      <c r="I68" s="33"/>
      <c r="J68" s="33"/>
      <c r="K68" s="33"/>
      <c r="L68" s="33"/>
      <c r="M68" s="33"/>
      <c r="N68" s="25"/>
      <c r="O68" s="25" t="s">
        <v>12</v>
      </c>
      <c r="P68" s="27"/>
      <c r="Q68" s="27"/>
      <c r="R68" s="27"/>
      <c r="S68" s="28"/>
      <c r="T68" s="27"/>
      <c r="U68" s="27"/>
      <c r="V68" s="29" t="s">
        <v>16</v>
      </c>
      <c r="W68" s="30" t="s">
        <v>13</v>
      </c>
      <c r="X68" s="27"/>
      <c r="Y68" s="27"/>
      <c r="Z68" s="28"/>
      <c r="AA68" s="27"/>
      <c r="AB68" s="37"/>
      <c r="AC68" s="29" t="s">
        <v>14</v>
      </c>
      <c r="AD68" s="30" t="s">
        <v>11</v>
      </c>
      <c r="AE68" s="27"/>
      <c r="AF68" s="27"/>
      <c r="AG68" s="28"/>
      <c r="AH68" s="27"/>
      <c r="AI68" s="29" t="s">
        <v>15</v>
      </c>
      <c r="AJ68" s="27"/>
      <c r="AK68" s="27"/>
      <c r="AL68" s="33">
        <v>17</v>
      </c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</row>
    <row r="69" spans="1:92" s="40" customFormat="1" x14ac:dyDescent="0.25">
      <c r="A69" s="25" t="s">
        <v>132</v>
      </c>
      <c r="B69" s="25" t="s">
        <v>220</v>
      </c>
      <c r="C69" s="25" t="s">
        <v>482</v>
      </c>
      <c r="D69" s="25">
        <v>124</v>
      </c>
      <c r="E69" s="35" cm="1">
        <f t="array" ref="E69">IFERROR(INDEX($H$5:$AVV$5, _xlfn.AGGREGATE(15,6, COLUMN(H69:AVV69)-COLUMN(H69)+F69 / (H69:AVV69="T"), $A$2)), "")</f>
        <v>45969</v>
      </c>
      <c r="F69" s="97">
        <v>1</v>
      </c>
      <c r="G69" s="38" t="s">
        <v>10</v>
      </c>
      <c r="H69" s="33"/>
      <c r="I69" s="33"/>
      <c r="J69" s="33"/>
      <c r="K69" s="33"/>
      <c r="L69" s="25"/>
      <c r="M69" s="25"/>
      <c r="N69" s="25"/>
      <c r="O69" s="25" t="s">
        <v>12</v>
      </c>
      <c r="P69" s="27"/>
      <c r="Q69" s="27"/>
      <c r="R69" s="27"/>
      <c r="S69" s="28"/>
      <c r="T69" s="27"/>
      <c r="U69" s="27"/>
      <c r="V69" s="29" t="s">
        <v>16</v>
      </c>
      <c r="W69" s="30" t="s">
        <v>13</v>
      </c>
      <c r="X69" s="27"/>
      <c r="Y69" s="27"/>
      <c r="Z69" s="103"/>
      <c r="AA69" s="27"/>
      <c r="AB69" s="27"/>
      <c r="AC69" s="29" t="s">
        <v>14</v>
      </c>
      <c r="AD69" s="30" t="s">
        <v>11</v>
      </c>
      <c r="AE69" s="27"/>
      <c r="AF69" s="27"/>
      <c r="AG69" s="28"/>
      <c r="AH69" s="27"/>
      <c r="AI69" s="29" t="s">
        <v>15</v>
      </c>
      <c r="AJ69" s="98"/>
      <c r="AK69" s="98"/>
      <c r="AL69" s="33">
        <v>17</v>
      </c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</row>
    <row r="70" spans="1:92" s="40" customFormat="1" x14ac:dyDescent="0.25">
      <c r="A70" s="25" t="s">
        <v>132</v>
      </c>
      <c r="B70" s="25" t="s">
        <v>221</v>
      </c>
      <c r="C70" s="25" t="s">
        <v>483</v>
      </c>
      <c r="D70" s="25">
        <v>125</v>
      </c>
      <c r="E70" s="35" cm="1">
        <f t="array" ref="E70">IFERROR(INDEX($H$5:$AVV$5, _xlfn.AGGREGATE(15,6, COLUMN(H70:AVV70)-COLUMN(H70)+F70 / (H70:AVV70="T"), $A$2)), "")</f>
        <v>45970</v>
      </c>
      <c r="F70" s="97">
        <v>1</v>
      </c>
      <c r="G70" s="38" t="s">
        <v>10</v>
      </c>
      <c r="H70" s="33"/>
      <c r="I70" s="33"/>
      <c r="J70" s="33"/>
      <c r="K70" s="33"/>
      <c r="L70" s="25"/>
      <c r="M70" s="25"/>
      <c r="N70" s="25"/>
      <c r="O70" s="25"/>
      <c r="P70" s="25" t="s">
        <v>12</v>
      </c>
      <c r="Q70" s="27"/>
      <c r="R70" s="27"/>
      <c r="S70" s="27"/>
      <c r="T70" s="28"/>
      <c r="U70" s="27"/>
      <c r="V70" s="27"/>
      <c r="W70" s="29" t="s">
        <v>16</v>
      </c>
      <c r="X70" s="30" t="s">
        <v>13</v>
      </c>
      <c r="Y70" s="27"/>
      <c r="Z70" s="27"/>
      <c r="AA70" s="28"/>
      <c r="AB70" s="37"/>
      <c r="AC70" s="27"/>
      <c r="AD70" s="29" t="s">
        <v>14</v>
      </c>
      <c r="AE70" s="30" t="s">
        <v>11</v>
      </c>
      <c r="AF70" s="27"/>
      <c r="AG70" s="27"/>
      <c r="AH70" s="28"/>
      <c r="AI70" s="27"/>
      <c r="AJ70" s="100" t="s">
        <v>15</v>
      </c>
      <c r="AK70" s="98"/>
      <c r="AL70" s="98"/>
      <c r="AM70" s="33">
        <v>17</v>
      </c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33"/>
      <c r="BI70" s="33"/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</row>
    <row r="71" spans="1:92" x14ac:dyDescent="0.25">
      <c r="A71" s="25" t="s">
        <v>132</v>
      </c>
      <c r="B71" s="25" t="s">
        <v>222</v>
      </c>
      <c r="C71" s="25" t="s">
        <v>484</v>
      </c>
      <c r="D71" s="25">
        <v>126</v>
      </c>
      <c r="E71" s="35" cm="1">
        <f t="array" ref="E71">IFERROR(INDEX($H$5:$AVV$5, _xlfn.AGGREGATE(15,6, COLUMN(H71:AVV71)-COLUMN(H71)+F71 / (H71:AVV71="T"), $A$2)), "")</f>
        <v>45970</v>
      </c>
      <c r="F71" s="97">
        <v>1</v>
      </c>
      <c r="G71" s="38" t="s">
        <v>10</v>
      </c>
      <c r="H71" s="33"/>
      <c r="I71" s="33"/>
      <c r="J71" s="33"/>
      <c r="K71" s="33"/>
      <c r="L71" s="25"/>
      <c r="M71" s="25"/>
      <c r="N71" s="25"/>
      <c r="O71" s="25"/>
      <c r="P71" s="25" t="s">
        <v>12</v>
      </c>
      <c r="Q71" s="27"/>
      <c r="R71" s="27"/>
      <c r="S71" s="27"/>
      <c r="T71" s="28"/>
      <c r="U71" s="27"/>
      <c r="V71" s="27"/>
      <c r="W71" s="29" t="s">
        <v>16</v>
      </c>
      <c r="X71" s="30" t="s">
        <v>13</v>
      </c>
      <c r="Y71" s="27"/>
      <c r="Z71" s="27"/>
      <c r="AA71" s="28"/>
      <c r="AB71" s="37"/>
      <c r="AC71" s="27"/>
      <c r="AD71" s="29" t="s">
        <v>14</v>
      </c>
      <c r="AE71" s="30" t="s">
        <v>11</v>
      </c>
      <c r="AF71" s="27"/>
      <c r="AG71" s="27"/>
      <c r="AH71" s="28"/>
      <c r="AI71" s="27"/>
      <c r="AJ71" s="100" t="s">
        <v>15</v>
      </c>
      <c r="AK71" s="98"/>
      <c r="AL71" s="98"/>
      <c r="AM71" s="33">
        <v>17</v>
      </c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</row>
    <row r="72" spans="1:92" x14ac:dyDescent="0.25">
      <c r="A72" s="25" t="s">
        <v>132</v>
      </c>
      <c r="B72" s="25" t="s">
        <v>223</v>
      </c>
      <c r="C72" s="25" t="s">
        <v>485</v>
      </c>
      <c r="D72" s="25">
        <v>127</v>
      </c>
      <c r="E72" s="35" cm="1">
        <f t="array" ref="E72">IFERROR(INDEX($H$5:$AVV$5, _xlfn.AGGREGATE(15,6, COLUMN(H72:AVV72)-COLUMN(H72)+F72 / (H72:AVV72="T"), $A$2)), "")</f>
        <v>45970</v>
      </c>
      <c r="F72" s="97">
        <v>1</v>
      </c>
      <c r="G72" s="38" t="s">
        <v>10</v>
      </c>
      <c r="H72" s="33"/>
      <c r="I72" s="33"/>
      <c r="J72" s="33"/>
      <c r="K72" s="33"/>
      <c r="L72" s="25"/>
      <c r="M72" s="25"/>
      <c r="N72" s="25"/>
      <c r="O72" s="25"/>
      <c r="P72" s="25" t="s">
        <v>12</v>
      </c>
      <c r="Q72" s="27"/>
      <c r="R72" s="27"/>
      <c r="S72" s="27"/>
      <c r="T72" s="28"/>
      <c r="U72" s="27"/>
      <c r="V72" s="27"/>
      <c r="W72" s="29" t="s">
        <v>16</v>
      </c>
      <c r="X72" s="30" t="s">
        <v>13</v>
      </c>
      <c r="Y72" s="27"/>
      <c r="Z72" s="27"/>
      <c r="AA72" s="28"/>
      <c r="AB72" s="37"/>
      <c r="AC72" s="27"/>
      <c r="AD72" s="29" t="s">
        <v>14</v>
      </c>
      <c r="AE72" s="30" t="s">
        <v>11</v>
      </c>
      <c r="AF72" s="27"/>
      <c r="AG72" s="27"/>
      <c r="AH72" s="28"/>
      <c r="AI72" s="27"/>
      <c r="AJ72" s="100" t="s">
        <v>15</v>
      </c>
      <c r="AK72" s="98"/>
      <c r="AL72" s="98"/>
      <c r="AM72" s="33">
        <v>17</v>
      </c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  <c r="BH72" s="33"/>
      <c r="BI72" s="33"/>
      <c r="BJ72" s="33"/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</row>
    <row r="73" spans="1:92" x14ac:dyDescent="0.25">
      <c r="A73" s="25" t="s">
        <v>132</v>
      </c>
      <c r="B73" s="25" t="s">
        <v>224</v>
      </c>
      <c r="C73" s="25" t="s">
        <v>486</v>
      </c>
      <c r="D73" s="25">
        <v>128</v>
      </c>
      <c r="E73" s="35" cm="1">
        <f t="array" ref="E73">IFERROR(INDEX($H$5:$AVV$5, _xlfn.AGGREGATE(15,6, COLUMN(H73:AVV73)-COLUMN(H73)+F73 / (H73:AVV73="T"), $A$2)), "")</f>
        <v>45970</v>
      </c>
      <c r="F73" s="97">
        <v>1</v>
      </c>
      <c r="G73" s="38" t="s">
        <v>10</v>
      </c>
      <c r="H73" s="33"/>
      <c r="I73" s="33"/>
      <c r="J73" s="33"/>
      <c r="K73" s="33"/>
      <c r="L73" s="25"/>
      <c r="M73" s="25"/>
      <c r="N73" s="25"/>
      <c r="O73" s="25"/>
      <c r="P73" s="25" t="s">
        <v>12</v>
      </c>
      <c r="Q73" s="27"/>
      <c r="R73" s="27"/>
      <c r="S73" s="27"/>
      <c r="T73" s="28"/>
      <c r="U73" s="27"/>
      <c r="V73" s="27"/>
      <c r="W73" s="29" t="s">
        <v>16</v>
      </c>
      <c r="X73" s="30" t="s">
        <v>13</v>
      </c>
      <c r="Y73" s="27"/>
      <c r="Z73" s="27"/>
      <c r="AA73" s="28"/>
      <c r="AB73" s="37"/>
      <c r="AC73" s="27"/>
      <c r="AD73" s="29" t="s">
        <v>14</v>
      </c>
      <c r="AE73" s="30" t="s">
        <v>11</v>
      </c>
      <c r="AF73" s="27"/>
      <c r="AG73" s="27"/>
      <c r="AH73" s="28"/>
      <c r="AI73" s="27"/>
      <c r="AJ73" s="100" t="s">
        <v>15</v>
      </c>
      <c r="AK73" s="98"/>
      <c r="AL73" s="98"/>
      <c r="AM73" s="33">
        <v>17</v>
      </c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</row>
    <row r="74" spans="1:92" x14ac:dyDescent="0.25">
      <c r="A74" s="25" t="s">
        <v>132</v>
      </c>
      <c r="B74" s="25" t="s">
        <v>225</v>
      </c>
      <c r="C74" s="25" t="s">
        <v>487</v>
      </c>
      <c r="D74" s="25">
        <v>129</v>
      </c>
      <c r="E74" s="35" cm="1">
        <f t="array" ref="E74">IFERROR(INDEX($H$5:$AVV$5, _xlfn.AGGREGATE(15,6, COLUMN(H74:AVV74)-COLUMN(H74)+F74 / (H74:AVV74="T"), $A$2)), "")</f>
        <v>45970</v>
      </c>
      <c r="F74" s="97">
        <v>1</v>
      </c>
      <c r="G74" s="38" t="s">
        <v>10</v>
      </c>
      <c r="H74" s="33"/>
      <c r="I74" s="33"/>
      <c r="J74" s="33"/>
      <c r="K74" s="33"/>
      <c r="L74" s="25"/>
      <c r="M74" s="25"/>
      <c r="N74" s="25"/>
      <c r="O74" s="25"/>
      <c r="P74" s="25" t="s">
        <v>12</v>
      </c>
      <c r="Q74" s="27"/>
      <c r="R74" s="27"/>
      <c r="S74" s="27"/>
      <c r="T74" s="28"/>
      <c r="U74" s="27"/>
      <c r="V74" s="27"/>
      <c r="W74" s="29" t="s">
        <v>16</v>
      </c>
      <c r="X74" s="30" t="s">
        <v>13</v>
      </c>
      <c r="Y74" s="27"/>
      <c r="Z74" s="27"/>
      <c r="AA74" s="28"/>
      <c r="AB74" s="37"/>
      <c r="AC74" s="27"/>
      <c r="AD74" s="29" t="s">
        <v>14</v>
      </c>
      <c r="AE74" s="30" t="s">
        <v>11</v>
      </c>
      <c r="AF74" s="27"/>
      <c r="AG74" s="27"/>
      <c r="AH74" s="28"/>
      <c r="AI74" s="27"/>
      <c r="AJ74" s="100" t="s">
        <v>15</v>
      </c>
      <c r="AK74" s="98"/>
      <c r="AL74" s="98"/>
      <c r="AM74" s="33">
        <v>17</v>
      </c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</row>
    <row r="75" spans="1:92" x14ac:dyDescent="0.25">
      <c r="A75" s="25" t="s">
        <v>132</v>
      </c>
      <c r="B75" s="25" t="s">
        <v>234</v>
      </c>
      <c r="C75" s="25" t="s">
        <v>488</v>
      </c>
      <c r="D75" s="25">
        <v>130</v>
      </c>
      <c r="E75" s="35" cm="1">
        <f t="array" ref="E75">IFERROR(INDEX($H$5:$AVV$5, _xlfn.AGGREGATE(15,6, COLUMN(H75:AVV75)-COLUMN(H75)+F75 / (H75:AVV75="T"), $A$2)), "")</f>
        <v>45970</v>
      </c>
      <c r="F75" s="97">
        <v>1</v>
      </c>
      <c r="G75" s="38" t="s">
        <v>10</v>
      </c>
      <c r="H75" s="33"/>
      <c r="I75" s="33"/>
      <c r="J75" s="33"/>
      <c r="K75" s="33"/>
      <c r="L75" s="25"/>
      <c r="M75" s="25"/>
      <c r="N75" s="25"/>
      <c r="O75" s="25"/>
      <c r="P75" s="25" t="s">
        <v>12</v>
      </c>
      <c r="Q75" s="27"/>
      <c r="R75" s="27"/>
      <c r="S75" s="27"/>
      <c r="T75" s="28"/>
      <c r="U75" s="27"/>
      <c r="V75" s="27"/>
      <c r="W75" s="29" t="s">
        <v>16</v>
      </c>
      <c r="X75" s="30" t="s">
        <v>13</v>
      </c>
      <c r="Y75" s="27"/>
      <c r="Z75" s="27"/>
      <c r="AA75" s="28"/>
      <c r="AB75" s="37"/>
      <c r="AC75" s="27"/>
      <c r="AD75" s="29" t="s">
        <v>14</v>
      </c>
      <c r="AE75" s="30" t="s">
        <v>11</v>
      </c>
      <c r="AF75" s="27"/>
      <c r="AG75" s="27"/>
      <c r="AH75" s="28"/>
      <c r="AI75" s="27"/>
      <c r="AJ75" s="100" t="s">
        <v>15</v>
      </c>
      <c r="AK75" s="98"/>
      <c r="AL75" s="98"/>
      <c r="AM75" s="33">
        <v>17</v>
      </c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</row>
    <row r="76" spans="1:92" x14ac:dyDescent="0.25">
      <c r="A76" s="25" t="s">
        <v>132</v>
      </c>
      <c r="B76" s="25" t="s">
        <v>235</v>
      </c>
      <c r="C76" s="25" t="s">
        <v>489</v>
      </c>
      <c r="D76" s="25">
        <v>131</v>
      </c>
      <c r="E76" s="35" cm="1">
        <f t="array" ref="E76">IFERROR(INDEX($H$5:$AVV$5, _xlfn.AGGREGATE(15,6, COLUMN(H76:AVV76)-COLUMN(H76)+F76 / (H76:AVV76="T"), $A$2)), "")</f>
        <v>45970</v>
      </c>
      <c r="F76" s="97">
        <v>1</v>
      </c>
      <c r="G76" s="38" t="s">
        <v>10</v>
      </c>
      <c r="H76" s="33"/>
      <c r="I76" s="25"/>
      <c r="J76" s="25"/>
      <c r="K76" s="25"/>
      <c r="L76" s="25"/>
      <c r="M76" s="25"/>
      <c r="N76" s="25"/>
      <c r="O76" s="25"/>
      <c r="P76" s="25" t="s">
        <v>12</v>
      </c>
      <c r="Q76" s="27"/>
      <c r="R76" s="27"/>
      <c r="S76" s="27"/>
      <c r="T76" s="28"/>
      <c r="U76" s="27"/>
      <c r="V76" s="27"/>
      <c r="W76" s="32" t="s">
        <v>16</v>
      </c>
      <c r="X76" s="30" t="s">
        <v>13</v>
      </c>
      <c r="Y76" s="27"/>
      <c r="Z76" s="27"/>
      <c r="AA76" s="28"/>
      <c r="AB76" s="27"/>
      <c r="AC76" s="27"/>
      <c r="AD76" s="29" t="s">
        <v>14</v>
      </c>
      <c r="AE76" s="30" t="s">
        <v>11</v>
      </c>
      <c r="AF76" s="27"/>
      <c r="AG76" s="98"/>
      <c r="AH76" s="99"/>
      <c r="AI76" s="98"/>
      <c r="AJ76" s="100" t="s">
        <v>15</v>
      </c>
      <c r="AK76" s="98"/>
      <c r="AL76" s="98"/>
      <c r="AM76" s="33">
        <v>17</v>
      </c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  <c r="BH76" s="33"/>
      <c r="BI76" s="33"/>
      <c r="BJ76" s="33"/>
      <c r="BK76" s="33"/>
      <c r="BL76" s="33"/>
      <c r="BM76" s="33"/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</row>
    <row r="77" spans="1:92" x14ac:dyDescent="0.25">
      <c r="A77" s="25" t="s">
        <v>132</v>
      </c>
      <c r="B77" s="25" t="s">
        <v>236</v>
      </c>
      <c r="C77" s="25" t="s">
        <v>490</v>
      </c>
      <c r="D77" s="25">
        <v>132</v>
      </c>
      <c r="E77" s="35" cm="1">
        <f t="array" ref="E77">IFERROR(INDEX($H$5:$AVV$5, _xlfn.AGGREGATE(15,6, COLUMN(H77:AVV77)-COLUMN(H77)+F77 / (H77:AVV77="T"), $A$2)), "")</f>
        <v>45971</v>
      </c>
      <c r="F77" s="97">
        <v>1</v>
      </c>
      <c r="G77" s="38" t="s">
        <v>10</v>
      </c>
      <c r="H77" s="33"/>
      <c r="I77" s="25"/>
      <c r="J77" s="25"/>
      <c r="K77" s="25"/>
      <c r="L77" s="25"/>
      <c r="M77" s="25"/>
      <c r="N77" s="25"/>
      <c r="O77" s="25"/>
      <c r="P77" s="25"/>
      <c r="Q77" s="25" t="s">
        <v>12</v>
      </c>
      <c r="R77" s="27"/>
      <c r="S77" s="27"/>
      <c r="T77" s="27"/>
      <c r="U77" s="28"/>
      <c r="V77" s="27"/>
      <c r="W77" s="27"/>
      <c r="X77" s="29" t="s">
        <v>16</v>
      </c>
      <c r="Y77" s="102" t="s">
        <v>13</v>
      </c>
      <c r="Z77" s="27"/>
      <c r="AA77" s="27"/>
      <c r="AB77" s="28"/>
      <c r="AC77" s="27"/>
      <c r="AD77" s="27"/>
      <c r="AE77" s="29" t="s">
        <v>14</v>
      </c>
      <c r="AF77" s="30" t="s">
        <v>11</v>
      </c>
      <c r="AG77" s="98"/>
      <c r="AH77" s="98"/>
      <c r="AI77" s="99"/>
      <c r="AJ77" s="98"/>
      <c r="AK77" s="100" t="s">
        <v>15</v>
      </c>
      <c r="AL77" s="98"/>
      <c r="AM77" s="98"/>
      <c r="AN77" s="33">
        <v>17</v>
      </c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</row>
    <row r="78" spans="1:92" x14ac:dyDescent="0.25">
      <c r="A78" s="25" t="s">
        <v>132</v>
      </c>
      <c r="B78" s="25" t="s">
        <v>237</v>
      </c>
      <c r="C78" s="25" t="s">
        <v>491</v>
      </c>
      <c r="D78" s="25">
        <v>133</v>
      </c>
      <c r="E78" s="35" cm="1">
        <f t="array" ref="E78">IFERROR(INDEX($H$5:$AVV$5, _xlfn.AGGREGATE(15,6, COLUMN(H78:AVV78)-COLUMN(H78)+F78 / (H78:AVV78="T"), $A$2)), "")</f>
        <v>45971</v>
      </c>
      <c r="F78" s="97">
        <v>1</v>
      </c>
      <c r="G78" s="38" t="s">
        <v>10</v>
      </c>
      <c r="H78" s="33"/>
      <c r="I78" s="25"/>
      <c r="J78" s="25"/>
      <c r="K78" s="25"/>
      <c r="L78" s="25"/>
      <c r="M78" s="25"/>
      <c r="N78" s="25"/>
      <c r="O78" s="25"/>
      <c r="P78" s="25"/>
      <c r="Q78" s="25" t="s">
        <v>12</v>
      </c>
      <c r="R78" s="27"/>
      <c r="S78" s="27"/>
      <c r="T78" s="27"/>
      <c r="U78" s="28"/>
      <c r="V78" s="27"/>
      <c r="W78" s="27"/>
      <c r="X78" s="29" t="s">
        <v>16</v>
      </c>
      <c r="Y78" s="102" t="s">
        <v>13</v>
      </c>
      <c r="Z78" s="27"/>
      <c r="AA78" s="27"/>
      <c r="AB78" s="28"/>
      <c r="AC78" s="27"/>
      <c r="AD78" s="27"/>
      <c r="AE78" s="29" t="s">
        <v>14</v>
      </c>
      <c r="AF78" s="30" t="s">
        <v>11</v>
      </c>
      <c r="AG78" s="98"/>
      <c r="AH78" s="98"/>
      <c r="AI78" s="99"/>
      <c r="AJ78" s="98"/>
      <c r="AK78" s="100" t="s">
        <v>15</v>
      </c>
      <c r="AL78" s="98"/>
      <c r="AM78" s="98"/>
      <c r="AN78" s="33">
        <v>17</v>
      </c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</row>
    <row r="79" spans="1:92" x14ac:dyDescent="0.25">
      <c r="A79" s="25" t="s">
        <v>132</v>
      </c>
      <c r="B79" s="25" t="s">
        <v>238</v>
      </c>
      <c r="C79" s="25" t="s">
        <v>492</v>
      </c>
      <c r="D79" s="25">
        <v>134</v>
      </c>
      <c r="E79" s="35" cm="1">
        <f t="array" ref="E79">IFERROR(INDEX($H$5:$AVV$5, _xlfn.AGGREGATE(15,6, COLUMN(H79:AVV79)-COLUMN(H79)+F79 / (H79:AVV79="T"), $A$2)), "")</f>
        <v>45971</v>
      </c>
      <c r="F79" s="97">
        <v>1</v>
      </c>
      <c r="G79" s="38" t="s">
        <v>10</v>
      </c>
      <c r="H79" s="33"/>
      <c r="I79" s="25"/>
      <c r="J79" s="25"/>
      <c r="K79" s="25"/>
      <c r="L79" s="25"/>
      <c r="M79" s="25"/>
      <c r="N79" s="25"/>
      <c r="O79" s="25"/>
      <c r="P79" s="25"/>
      <c r="Q79" s="25" t="s">
        <v>12</v>
      </c>
      <c r="R79" s="27"/>
      <c r="S79" s="27"/>
      <c r="T79" s="27"/>
      <c r="U79" s="28"/>
      <c r="V79" s="27"/>
      <c r="W79" s="27"/>
      <c r="X79" s="29" t="s">
        <v>16</v>
      </c>
      <c r="Y79" s="102" t="s">
        <v>13</v>
      </c>
      <c r="Z79" s="27"/>
      <c r="AA79" s="27"/>
      <c r="AB79" s="28"/>
      <c r="AC79" s="27"/>
      <c r="AD79" s="27"/>
      <c r="AE79" s="29" t="s">
        <v>14</v>
      </c>
      <c r="AF79" s="30" t="s">
        <v>11</v>
      </c>
      <c r="AG79" s="98"/>
      <c r="AH79" s="98"/>
      <c r="AI79" s="99"/>
      <c r="AJ79" s="98"/>
      <c r="AK79" s="100" t="s">
        <v>15</v>
      </c>
      <c r="AL79" s="27"/>
      <c r="AM79" s="27"/>
      <c r="AN79" s="25">
        <v>17</v>
      </c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31"/>
      <c r="BA79" s="25"/>
      <c r="BB79" s="25"/>
      <c r="BC79" s="25"/>
      <c r="BD79" s="25"/>
      <c r="BE79" s="25"/>
      <c r="BF79" s="25"/>
      <c r="BG79" s="25"/>
      <c r="BH79" s="25"/>
      <c r="BI79" s="25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</row>
    <row r="80" spans="1:92" x14ac:dyDescent="0.25">
      <c r="A80" s="25" t="s">
        <v>132</v>
      </c>
      <c r="B80" s="25" t="s">
        <v>239</v>
      </c>
      <c r="C80" s="25" t="s">
        <v>493</v>
      </c>
      <c r="D80" s="25">
        <v>135</v>
      </c>
      <c r="E80" s="35" cm="1">
        <f t="array" ref="E80">IFERROR(INDEX($H$5:$AVV$5, _xlfn.AGGREGATE(15,6, COLUMN(H80:AVV80)-COLUMN(H80)+F80 / (H80:AVV80="T"), $A$2)), "")</f>
        <v>45971</v>
      </c>
      <c r="F80" s="97">
        <v>1</v>
      </c>
      <c r="G80" s="38" t="s">
        <v>10</v>
      </c>
      <c r="H80" s="33"/>
      <c r="I80" s="25"/>
      <c r="J80" s="25"/>
      <c r="K80" s="25"/>
      <c r="L80" s="25"/>
      <c r="M80" s="25"/>
      <c r="N80" s="25"/>
      <c r="O80" s="25"/>
      <c r="P80" s="25"/>
      <c r="Q80" s="25" t="s">
        <v>12</v>
      </c>
      <c r="R80" s="27"/>
      <c r="S80" s="27"/>
      <c r="T80" s="27"/>
      <c r="U80" s="28"/>
      <c r="V80" s="27"/>
      <c r="W80" s="27"/>
      <c r="X80" s="29" t="s">
        <v>16</v>
      </c>
      <c r="Y80" s="102" t="s">
        <v>13</v>
      </c>
      <c r="Z80" s="27"/>
      <c r="AA80" s="27"/>
      <c r="AB80" s="28"/>
      <c r="AC80" s="27"/>
      <c r="AD80" s="27"/>
      <c r="AE80" s="29" t="s">
        <v>14</v>
      </c>
      <c r="AF80" s="30" t="s">
        <v>11</v>
      </c>
      <c r="AG80" s="98"/>
      <c r="AH80" s="98"/>
      <c r="AI80" s="99"/>
      <c r="AJ80" s="98"/>
      <c r="AK80" s="100" t="s">
        <v>15</v>
      </c>
      <c r="AL80" s="27"/>
      <c r="AM80" s="27"/>
      <c r="AN80" s="25">
        <v>17</v>
      </c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31"/>
      <c r="BA80" s="25"/>
      <c r="BB80" s="25"/>
      <c r="BC80" s="25"/>
      <c r="BD80" s="25"/>
      <c r="BE80" s="25"/>
      <c r="BF80" s="25"/>
      <c r="BG80" s="25"/>
      <c r="BH80" s="25"/>
      <c r="BI80" s="25"/>
      <c r="BJ80" s="33"/>
      <c r="BK80" s="33"/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</row>
    <row r="81" spans="1:92" x14ac:dyDescent="0.25">
      <c r="A81" s="25" t="s">
        <v>132</v>
      </c>
      <c r="B81" s="25" t="s">
        <v>240</v>
      </c>
      <c r="C81" s="25" t="s">
        <v>494</v>
      </c>
      <c r="D81" s="25">
        <v>136</v>
      </c>
      <c r="E81" s="35" cm="1">
        <f t="array" ref="E81">IFERROR(INDEX($H$5:$AVV$5, _xlfn.AGGREGATE(15,6, COLUMN(H81:AVV81)-COLUMN(H81)+F81 / (H81:AVV81="T"), $A$2)), "")</f>
        <v>45971</v>
      </c>
      <c r="F81" s="97">
        <v>1</v>
      </c>
      <c r="G81" s="38" t="s">
        <v>10</v>
      </c>
      <c r="H81" s="33"/>
      <c r="I81" s="25"/>
      <c r="J81" s="25"/>
      <c r="K81" s="25"/>
      <c r="L81" s="25"/>
      <c r="M81" s="25"/>
      <c r="N81" s="25"/>
      <c r="O81" s="25"/>
      <c r="P81" s="25"/>
      <c r="Q81" s="25" t="s">
        <v>12</v>
      </c>
      <c r="R81" s="27"/>
      <c r="S81" s="27"/>
      <c r="T81" s="27"/>
      <c r="U81" s="28"/>
      <c r="V81" s="27"/>
      <c r="W81" s="27"/>
      <c r="X81" s="29" t="s">
        <v>16</v>
      </c>
      <c r="Y81" s="102" t="s">
        <v>13</v>
      </c>
      <c r="Z81" s="27"/>
      <c r="AA81" s="27"/>
      <c r="AB81" s="28"/>
      <c r="AC81" s="27"/>
      <c r="AD81" s="27"/>
      <c r="AE81" s="29" t="s">
        <v>14</v>
      </c>
      <c r="AF81" s="30" t="s">
        <v>11</v>
      </c>
      <c r="AG81" s="98"/>
      <c r="AH81" s="98"/>
      <c r="AI81" s="99"/>
      <c r="AJ81" s="98"/>
      <c r="AK81" s="100" t="s">
        <v>15</v>
      </c>
      <c r="AL81" s="27"/>
      <c r="AM81" s="27"/>
      <c r="AN81" s="25">
        <v>17</v>
      </c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31"/>
      <c r="BA81" s="25"/>
      <c r="BB81" s="25"/>
      <c r="BC81" s="25"/>
      <c r="BD81" s="25"/>
      <c r="BE81" s="25"/>
      <c r="BF81" s="25"/>
      <c r="BG81" s="25"/>
      <c r="BH81" s="25"/>
      <c r="BI81" s="25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</row>
    <row r="82" spans="1:92" x14ac:dyDescent="0.25">
      <c r="A82" s="25" t="s">
        <v>132</v>
      </c>
      <c r="B82" s="25" t="s">
        <v>241</v>
      </c>
      <c r="C82" s="25" t="s">
        <v>495</v>
      </c>
      <c r="D82" s="25">
        <v>137</v>
      </c>
      <c r="E82" s="35" cm="1">
        <f t="array" ref="E82">IFERROR(INDEX($H$5:$AVV$5, _xlfn.AGGREGATE(15,6, COLUMN(H82:AVV82)-COLUMN(H82)+F82 / (H82:AVV82="T"), $A$2)), "")</f>
        <v>45971</v>
      </c>
      <c r="F82" s="97">
        <v>1</v>
      </c>
      <c r="G82" s="38" t="s">
        <v>10</v>
      </c>
      <c r="H82" s="33"/>
      <c r="I82" s="25"/>
      <c r="J82" s="25"/>
      <c r="K82" s="25"/>
      <c r="L82" s="25"/>
      <c r="M82" s="25"/>
      <c r="N82" s="25"/>
      <c r="O82" s="25"/>
      <c r="P82" s="25"/>
      <c r="Q82" s="25" t="s">
        <v>12</v>
      </c>
      <c r="R82" s="27"/>
      <c r="S82" s="27"/>
      <c r="T82" s="27"/>
      <c r="U82" s="28"/>
      <c r="V82" s="27"/>
      <c r="W82" s="27"/>
      <c r="X82" s="29" t="s">
        <v>16</v>
      </c>
      <c r="Y82" s="102" t="s">
        <v>13</v>
      </c>
      <c r="Z82" s="27"/>
      <c r="AA82" s="27"/>
      <c r="AB82" s="28"/>
      <c r="AC82" s="27"/>
      <c r="AD82" s="27"/>
      <c r="AE82" s="29" t="s">
        <v>14</v>
      </c>
      <c r="AF82" s="30" t="s">
        <v>11</v>
      </c>
      <c r="AG82" s="98"/>
      <c r="AH82" s="98"/>
      <c r="AI82" s="99"/>
      <c r="AJ82" s="98"/>
      <c r="AK82" s="100" t="s">
        <v>15</v>
      </c>
      <c r="AL82" s="27"/>
      <c r="AM82" s="27"/>
      <c r="AN82" s="25">
        <v>17</v>
      </c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31"/>
      <c r="BA82" s="25"/>
      <c r="BB82" s="25"/>
      <c r="BC82" s="25"/>
      <c r="BD82" s="25"/>
      <c r="BE82" s="25"/>
      <c r="BF82" s="25"/>
      <c r="BG82" s="25"/>
      <c r="BH82" s="25"/>
      <c r="BI82" s="25"/>
      <c r="BJ82" s="33"/>
      <c r="BK82" s="33"/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</row>
    <row r="83" spans="1:92" x14ac:dyDescent="0.25">
      <c r="A83" s="25" t="s">
        <v>132</v>
      </c>
      <c r="B83" s="25" t="s">
        <v>242</v>
      </c>
      <c r="C83" s="25" t="s">
        <v>496</v>
      </c>
      <c r="D83" s="25">
        <v>138</v>
      </c>
      <c r="E83" s="35" cm="1">
        <f t="array" ref="E83">IFERROR(INDEX($H$5:$AVV$5, _xlfn.AGGREGATE(15,6, COLUMN(H83:AVV83)-COLUMN(H83)+F83 / (H83:AVV83="T"), $A$2)), "")</f>
        <v>45971</v>
      </c>
      <c r="F83" s="97">
        <v>1</v>
      </c>
      <c r="G83" s="38" t="s">
        <v>10</v>
      </c>
      <c r="H83" s="33"/>
      <c r="I83" s="33"/>
      <c r="J83" s="33"/>
      <c r="K83" s="33"/>
      <c r="L83" s="33"/>
      <c r="M83" s="33"/>
      <c r="N83" s="33"/>
      <c r="O83" s="33"/>
      <c r="P83" s="33"/>
      <c r="Q83" s="33" t="s">
        <v>12</v>
      </c>
      <c r="R83" s="98"/>
      <c r="S83" s="98"/>
      <c r="T83" s="98"/>
      <c r="U83" s="99"/>
      <c r="V83" s="98"/>
      <c r="W83" s="98"/>
      <c r="X83" s="100" t="s">
        <v>16</v>
      </c>
      <c r="Y83" s="101" t="s">
        <v>13</v>
      </c>
      <c r="Z83" s="98"/>
      <c r="AA83" s="98"/>
      <c r="AB83" s="99"/>
      <c r="AC83" s="98"/>
      <c r="AD83" s="98"/>
      <c r="AE83" s="100" t="s">
        <v>14</v>
      </c>
      <c r="AF83" s="101" t="s">
        <v>11</v>
      </c>
      <c r="AG83" s="98"/>
      <c r="AH83" s="27"/>
      <c r="AI83" s="28"/>
      <c r="AJ83" s="27"/>
      <c r="AK83" s="29" t="s">
        <v>15</v>
      </c>
      <c r="AL83" s="27"/>
      <c r="AM83" s="27"/>
      <c r="AN83" s="25">
        <v>17</v>
      </c>
      <c r="AO83" s="25"/>
      <c r="AP83" s="25"/>
      <c r="AQ83" s="25"/>
      <c r="AR83" s="25"/>
      <c r="AS83" s="25"/>
      <c r="AT83" s="25"/>
      <c r="AU83" s="25"/>
      <c r="AV83" s="31"/>
      <c r="AW83" s="25"/>
      <c r="AX83" s="25"/>
      <c r="AY83" s="25"/>
      <c r="AZ83" s="25"/>
      <c r="BA83" s="25"/>
      <c r="BB83" s="25"/>
      <c r="BC83" s="25"/>
      <c r="BD83" s="25"/>
      <c r="BE83" s="25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</row>
    <row r="84" spans="1:92" x14ac:dyDescent="0.25">
      <c r="A84" s="25" t="s">
        <v>132</v>
      </c>
      <c r="B84" s="25" t="s">
        <v>243</v>
      </c>
      <c r="C84" s="25" t="s">
        <v>497</v>
      </c>
      <c r="D84" s="25">
        <v>139</v>
      </c>
      <c r="E84" s="35" cm="1">
        <f t="array" ref="E84">IFERROR(INDEX($H$5:$AVV$5, _xlfn.AGGREGATE(15,6, COLUMN(H84:AVV84)-COLUMN(H84)+F84 / (H84:AVV84="T"), $A$2)), "")</f>
        <v>45972</v>
      </c>
      <c r="F84" s="97">
        <v>1</v>
      </c>
      <c r="G84" s="38" t="s">
        <v>10</v>
      </c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 t="s">
        <v>12</v>
      </c>
      <c r="S84" s="98"/>
      <c r="T84" s="98"/>
      <c r="U84" s="98"/>
      <c r="V84" s="99"/>
      <c r="W84" s="98"/>
      <c r="X84" s="98"/>
      <c r="Y84" s="100" t="s">
        <v>16</v>
      </c>
      <c r="Z84" s="101" t="s">
        <v>13</v>
      </c>
      <c r="AA84" s="98"/>
      <c r="AB84" s="98"/>
      <c r="AC84" s="99"/>
      <c r="AD84" s="98"/>
      <c r="AE84" s="98"/>
      <c r="AF84" s="100" t="s">
        <v>14</v>
      </c>
      <c r="AG84" s="101" t="s">
        <v>11</v>
      </c>
      <c r="AH84" s="27"/>
      <c r="AI84" s="27"/>
      <c r="AJ84" s="28"/>
      <c r="AK84" s="27"/>
      <c r="AL84" s="29" t="s">
        <v>15</v>
      </c>
      <c r="AM84" s="27"/>
      <c r="AN84" s="27"/>
      <c r="AO84" s="25">
        <v>17</v>
      </c>
      <c r="AP84" s="25"/>
      <c r="AQ84" s="25"/>
      <c r="AR84" s="25"/>
      <c r="AS84" s="25"/>
      <c r="AT84" s="25"/>
      <c r="AU84" s="25"/>
      <c r="AV84" s="31"/>
      <c r="AW84" s="25"/>
      <c r="AX84" s="25"/>
      <c r="AY84" s="25"/>
      <c r="AZ84" s="25"/>
      <c r="BA84" s="25"/>
      <c r="BB84" s="25"/>
      <c r="BC84" s="25"/>
      <c r="BD84" s="25"/>
      <c r="BE84" s="25"/>
      <c r="BF84" s="33"/>
      <c r="BG84" s="33"/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</row>
    <row r="85" spans="1:92" ht="15" customHeight="1" x14ac:dyDescent="0.25">
      <c r="A85" s="25" t="s">
        <v>132</v>
      </c>
      <c r="B85" s="25" t="s">
        <v>244</v>
      </c>
      <c r="C85" s="25" t="s">
        <v>498</v>
      </c>
      <c r="D85" s="25">
        <v>140</v>
      </c>
      <c r="E85" s="35" cm="1">
        <f t="array" ref="E85">IFERROR(INDEX($H$5:$AVV$5, _xlfn.AGGREGATE(15,6, COLUMN(H85:AVV85)-COLUMN(H85)+F85 / (H85:AVV85="T"), $A$2)), "")</f>
        <v>45972</v>
      </c>
      <c r="F85" s="97">
        <v>1</v>
      </c>
      <c r="G85" s="38" t="s">
        <v>10</v>
      </c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 t="s">
        <v>12</v>
      </c>
      <c r="S85" s="98"/>
      <c r="T85" s="98"/>
      <c r="U85" s="98"/>
      <c r="V85" s="99"/>
      <c r="W85" s="98"/>
      <c r="X85" s="98"/>
      <c r="Y85" s="100" t="s">
        <v>16</v>
      </c>
      <c r="Z85" s="101" t="s">
        <v>13</v>
      </c>
      <c r="AA85" s="98"/>
      <c r="AB85" s="98"/>
      <c r="AC85" s="99"/>
      <c r="AD85" s="98"/>
      <c r="AE85" s="98"/>
      <c r="AF85" s="100" t="s">
        <v>14</v>
      </c>
      <c r="AG85" s="101" t="s">
        <v>11</v>
      </c>
      <c r="AH85" s="27"/>
      <c r="AI85" s="27"/>
      <c r="AJ85" s="28"/>
      <c r="AK85" s="27"/>
      <c r="AL85" s="29" t="s">
        <v>15</v>
      </c>
      <c r="AM85" s="27"/>
      <c r="AN85" s="27"/>
      <c r="AO85" s="25">
        <v>17</v>
      </c>
      <c r="AP85" s="25"/>
      <c r="AQ85" s="25"/>
      <c r="AR85" s="25"/>
      <c r="AS85" s="25"/>
      <c r="AT85" s="25"/>
      <c r="AU85" s="25"/>
      <c r="AV85" s="31"/>
      <c r="AW85" s="25"/>
      <c r="AX85" s="25"/>
      <c r="AY85" s="25"/>
      <c r="AZ85" s="25"/>
      <c r="BA85" s="25"/>
      <c r="BB85" s="25"/>
      <c r="BC85" s="25"/>
      <c r="BD85" s="25"/>
      <c r="BE85" s="25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</row>
    <row r="86" spans="1:92" x14ac:dyDescent="0.25">
      <c r="A86" s="25" t="s">
        <v>132</v>
      </c>
      <c r="B86" s="25" t="s">
        <v>245</v>
      </c>
      <c r="C86" s="25" t="s">
        <v>499</v>
      </c>
      <c r="D86" s="25">
        <v>141</v>
      </c>
      <c r="E86" s="35" cm="1">
        <f t="array" ref="E86">IFERROR(INDEX($H$5:$AVV$5, _xlfn.AGGREGATE(15,6, COLUMN(H86:AVV86)-COLUMN(H86)+F86 / (H86:AVV86="T"), $A$2)), "")</f>
        <v>45972</v>
      </c>
      <c r="F86" s="97">
        <v>1</v>
      </c>
      <c r="G86" s="38" t="s">
        <v>10</v>
      </c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 t="s">
        <v>12</v>
      </c>
      <c r="S86" s="98"/>
      <c r="T86" s="98"/>
      <c r="U86" s="98"/>
      <c r="V86" s="99"/>
      <c r="W86" s="98"/>
      <c r="X86" s="98"/>
      <c r="Y86" s="100" t="s">
        <v>16</v>
      </c>
      <c r="Z86" s="101" t="s">
        <v>13</v>
      </c>
      <c r="AA86" s="98"/>
      <c r="AB86" s="98"/>
      <c r="AC86" s="99"/>
      <c r="AD86" s="98"/>
      <c r="AE86" s="98"/>
      <c r="AF86" s="100" t="s">
        <v>14</v>
      </c>
      <c r="AG86" s="30" t="s">
        <v>11</v>
      </c>
      <c r="AH86" s="27"/>
      <c r="AI86" s="27"/>
      <c r="AJ86" s="28"/>
      <c r="AK86" s="27"/>
      <c r="AL86" s="29" t="s">
        <v>15</v>
      </c>
      <c r="AM86" s="27"/>
      <c r="AN86" s="27"/>
      <c r="AO86" s="25">
        <v>17</v>
      </c>
      <c r="AP86" s="25"/>
      <c r="AQ86" s="25"/>
      <c r="AR86" s="25"/>
      <c r="AS86" s="25"/>
      <c r="AT86" s="25"/>
      <c r="AU86" s="31"/>
      <c r="AV86" s="25"/>
      <c r="AW86" s="25"/>
      <c r="AX86" s="25"/>
      <c r="AY86" s="25"/>
      <c r="AZ86" s="25"/>
      <c r="BA86" s="25"/>
      <c r="BB86" s="25"/>
      <c r="BC86" s="25"/>
      <c r="BD86" s="25"/>
      <c r="BE86" s="33"/>
      <c r="BF86" s="33"/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</row>
    <row r="87" spans="1:92" ht="15" customHeight="1" x14ac:dyDescent="0.25">
      <c r="A87" s="25" t="s">
        <v>132</v>
      </c>
      <c r="B87" s="25" t="s">
        <v>331</v>
      </c>
      <c r="C87" s="25" t="s">
        <v>500</v>
      </c>
      <c r="D87" s="25">
        <v>142</v>
      </c>
      <c r="E87" s="35" cm="1">
        <f t="array" ref="E87">IFERROR(INDEX($H$5:$AVV$5, _xlfn.AGGREGATE(15,6, COLUMN(H87:AVV87)-COLUMN(H87)+F87 / (H87:AVV87="T"), $A$2)), "")</f>
        <v>45972</v>
      </c>
      <c r="F87" s="97">
        <v>1</v>
      </c>
      <c r="G87" s="38" t="s">
        <v>10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 t="s">
        <v>12</v>
      </c>
      <c r="S87" s="98"/>
      <c r="T87" s="98"/>
      <c r="U87" s="98"/>
      <c r="V87" s="99"/>
      <c r="W87" s="98"/>
      <c r="X87" s="98"/>
      <c r="Y87" s="100" t="s">
        <v>16</v>
      </c>
      <c r="Z87" s="101" t="s">
        <v>13</v>
      </c>
      <c r="AA87" s="98"/>
      <c r="AB87" s="98"/>
      <c r="AC87" s="99"/>
      <c r="AD87" s="98"/>
      <c r="AE87" s="98"/>
      <c r="AF87" s="100" t="s">
        <v>14</v>
      </c>
      <c r="AG87" s="30" t="s">
        <v>11</v>
      </c>
      <c r="AH87" s="27"/>
      <c r="AI87" s="27"/>
      <c r="AJ87" s="28"/>
      <c r="AK87" s="27"/>
      <c r="AL87" s="29" t="s">
        <v>15</v>
      </c>
      <c r="AM87" s="27"/>
      <c r="AN87" s="27"/>
      <c r="AO87" s="25">
        <v>17</v>
      </c>
      <c r="AP87" s="25"/>
      <c r="AQ87" s="25"/>
      <c r="AR87" s="25"/>
      <c r="AS87" s="25"/>
      <c r="AT87" s="25"/>
      <c r="AU87" s="31"/>
      <c r="AV87" s="25"/>
      <c r="AW87" s="25"/>
      <c r="AX87" s="25"/>
      <c r="AY87" s="25"/>
      <c r="AZ87" s="25"/>
      <c r="BA87" s="25"/>
      <c r="BB87" s="25"/>
      <c r="BC87" s="25"/>
      <c r="BD87" s="25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</row>
    <row r="88" spans="1:92" x14ac:dyDescent="0.25">
      <c r="A88" s="25" t="s">
        <v>132</v>
      </c>
      <c r="B88" s="25" t="s">
        <v>332</v>
      </c>
      <c r="C88" s="25" t="s">
        <v>501</v>
      </c>
      <c r="D88" s="25">
        <v>143</v>
      </c>
      <c r="E88" s="35" cm="1">
        <f t="array" ref="E88">IFERROR(INDEX($H$5:$AVV$5, _xlfn.AGGREGATE(15,6, COLUMN(H88:AVV88)-COLUMN(H88)+F88 / (H88:AVV88="T"), $A$2)), "")</f>
        <v>45972</v>
      </c>
      <c r="F88" s="97">
        <v>1</v>
      </c>
      <c r="G88" s="38" t="s">
        <v>10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 t="s">
        <v>12</v>
      </c>
      <c r="S88" s="98"/>
      <c r="T88" s="98"/>
      <c r="U88" s="98"/>
      <c r="V88" s="99"/>
      <c r="W88" s="98"/>
      <c r="X88" s="98"/>
      <c r="Y88" s="100" t="s">
        <v>16</v>
      </c>
      <c r="Z88" s="101" t="s">
        <v>13</v>
      </c>
      <c r="AA88" s="98"/>
      <c r="AB88" s="98"/>
      <c r="AC88" s="99"/>
      <c r="AD88" s="98"/>
      <c r="AE88" s="98"/>
      <c r="AF88" s="100" t="s">
        <v>14</v>
      </c>
      <c r="AG88" s="30" t="s">
        <v>11</v>
      </c>
      <c r="AH88" s="27"/>
      <c r="AI88" s="27"/>
      <c r="AJ88" s="28"/>
      <c r="AK88" s="27"/>
      <c r="AL88" s="29" t="s">
        <v>15</v>
      </c>
      <c r="AM88" s="27"/>
      <c r="AN88" s="27"/>
      <c r="AO88" s="25">
        <v>17</v>
      </c>
      <c r="AP88" s="25"/>
      <c r="AQ88" s="25"/>
      <c r="AR88" s="25"/>
      <c r="AS88" s="25"/>
      <c r="AT88" s="25"/>
      <c r="AU88" s="31"/>
      <c r="AV88" s="25"/>
      <c r="AW88" s="25"/>
      <c r="AX88" s="25"/>
      <c r="AY88" s="25"/>
      <c r="AZ88" s="25"/>
      <c r="BA88" s="25"/>
      <c r="BB88" s="25"/>
      <c r="BC88" s="25"/>
      <c r="BD88" s="25"/>
      <c r="BE88" s="33"/>
      <c r="BF88" s="33"/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</row>
    <row r="89" spans="1:92" x14ac:dyDescent="0.25">
      <c r="A89" s="25" t="s">
        <v>132</v>
      </c>
      <c r="B89" s="25" t="s">
        <v>333</v>
      </c>
      <c r="C89" s="25" t="s">
        <v>502</v>
      </c>
      <c r="D89" s="25">
        <v>144</v>
      </c>
      <c r="E89" s="35" cm="1">
        <f t="array" ref="E89">IFERROR(INDEX($H$5:$AVV$5, _xlfn.AGGREGATE(15,6, COLUMN(H89:AVV89)-COLUMN(H89)+F89 / (H89:AVV89="T"), $A$2)), "")</f>
        <v>45972</v>
      </c>
      <c r="F89" s="97">
        <v>1</v>
      </c>
      <c r="G89" s="38" t="s">
        <v>10</v>
      </c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 t="s">
        <v>12</v>
      </c>
      <c r="S89" s="98"/>
      <c r="T89" s="98"/>
      <c r="U89" s="98"/>
      <c r="V89" s="99"/>
      <c r="W89" s="98"/>
      <c r="X89" s="98"/>
      <c r="Y89" s="100" t="s">
        <v>16</v>
      </c>
      <c r="Z89" s="101" t="s">
        <v>13</v>
      </c>
      <c r="AA89" s="98"/>
      <c r="AB89" s="98"/>
      <c r="AC89" s="99"/>
      <c r="AD89" s="98"/>
      <c r="AE89" s="98"/>
      <c r="AF89" s="100" t="s">
        <v>14</v>
      </c>
      <c r="AG89" s="30" t="s">
        <v>11</v>
      </c>
      <c r="AH89" s="27"/>
      <c r="AI89" s="27"/>
      <c r="AJ89" s="28"/>
      <c r="AK89" s="27"/>
      <c r="AL89" s="29" t="s">
        <v>15</v>
      </c>
      <c r="AM89" s="27"/>
      <c r="AN89" s="27"/>
      <c r="AO89" s="25">
        <v>17</v>
      </c>
      <c r="AP89" s="25"/>
      <c r="AQ89" s="25"/>
      <c r="AR89" s="25"/>
      <c r="AS89" s="25"/>
      <c r="AT89" s="25"/>
      <c r="AU89" s="31"/>
      <c r="AV89" s="25"/>
      <c r="AW89" s="25"/>
      <c r="AX89" s="25"/>
      <c r="AY89" s="25"/>
      <c r="AZ89" s="25"/>
      <c r="BA89" s="25"/>
      <c r="BB89" s="25"/>
      <c r="BC89" s="25"/>
      <c r="BD89" s="25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</row>
    <row r="90" spans="1:92" x14ac:dyDescent="0.25">
      <c r="A90" s="25" t="s">
        <v>132</v>
      </c>
      <c r="B90" s="25" t="s">
        <v>334</v>
      </c>
      <c r="C90" s="25" t="s">
        <v>503</v>
      </c>
      <c r="D90" s="25">
        <v>145</v>
      </c>
      <c r="E90" s="35" cm="1">
        <f t="array" ref="E90">IFERROR(INDEX($H$5:$AVV$5, _xlfn.AGGREGATE(15,6, COLUMN(H90:AVV90)-COLUMN(H90)+F90 / (H90:AVV90="T"), $A$2)), "")</f>
        <v>45972</v>
      </c>
      <c r="F90" s="97">
        <v>1</v>
      </c>
      <c r="G90" s="38" t="s">
        <v>10</v>
      </c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 t="s">
        <v>12</v>
      </c>
      <c r="S90" s="98"/>
      <c r="T90" s="98"/>
      <c r="U90" s="98"/>
      <c r="V90" s="99"/>
      <c r="W90" s="98"/>
      <c r="X90" s="98"/>
      <c r="Y90" s="100" t="s">
        <v>16</v>
      </c>
      <c r="Z90" s="30" t="s">
        <v>13</v>
      </c>
      <c r="AA90" s="27"/>
      <c r="AB90" s="27"/>
      <c r="AC90" s="28"/>
      <c r="AD90" s="27"/>
      <c r="AE90" s="27"/>
      <c r="AF90" s="29" t="s">
        <v>14</v>
      </c>
      <c r="AG90" s="30" t="s">
        <v>11</v>
      </c>
      <c r="AH90" s="27"/>
      <c r="AI90" s="27"/>
      <c r="AJ90" s="28"/>
      <c r="AK90" s="27"/>
      <c r="AL90" s="29" t="s">
        <v>15</v>
      </c>
      <c r="AM90" s="27"/>
      <c r="AN90" s="37"/>
      <c r="AO90" s="25">
        <v>17</v>
      </c>
      <c r="AP90" s="25"/>
      <c r="AQ90" s="25"/>
      <c r="AR90" s="25"/>
      <c r="AS90" s="25"/>
      <c r="AT90" s="25"/>
      <c r="AU90" s="25"/>
      <c r="AV90" s="25"/>
      <c r="AW90" s="25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</row>
    <row r="91" spans="1:92" x14ac:dyDescent="0.25">
      <c r="A91" s="25" t="s">
        <v>132</v>
      </c>
      <c r="B91" s="25" t="s">
        <v>335</v>
      </c>
      <c r="C91" s="25" t="s">
        <v>504</v>
      </c>
      <c r="D91" s="25">
        <v>146</v>
      </c>
      <c r="E91" s="35" cm="1">
        <f t="array" ref="E91">IFERROR(INDEX($H$5:$AVV$5, _xlfn.AGGREGATE(15,6, COLUMN(H91:AVV91)-COLUMN(H91)+F91 / (H91:AVV91="T"), $A$2)), "")</f>
        <v>45973</v>
      </c>
      <c r="F91" s="97">
        <v>1</v>
      </c>
      <c r="G91" s="38" t="s">
        <v>10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 t="s">
        <v>12</v>
      </c>
      <c r="T91" s="98"/>
      <c r="U91" s="98"/>
      <c r="V91" s="98"/>
      <c r="W91" s="99"/>
      <c r="X91" s="98"/>
      <c r="Y91" s="98"/>
      <c r="Z91" s="29" t="s">
        <v>16</v>
      </c>
      <c r="AA91" s="30" t="s">
        <v>13</v>
      </c>
      <c r="AB91" s="27"/>
      <c r="AC91" s="27"/>
      <c r="AD91" s="28"/>
      <c r="AE91" s="27"/>
      <c r="AF91" s="27"/>
      <c r="AG91" s="29" t="s">
        <v>14</v>
      </c>
      <c r="AH91" s="30" t="s">
        <v>11</v>
      </c>
      <c r="AI91" s="27"/>
      <c r="AJ91" s="27"/>
      <c r="AK91" s="28"/>
      <c r="AL91" s="27"/>
      <c r="AM91" s="29" t="s">
        <v>15</v>
      </c>
      <c r="AN91" s="27"/>
      <c r="AO91" s="27"/>
      <c r="AP91" s="31">
        <v>17</v>
      </c>
      <c r="AQ91" s="25"/>
      <c r="AR91" s="25"/>
      <c r="AS91" s="25"/>
      <c r="AT91" s="25"/>
      <c r="AU91" s="25"/>
      <c r="AV91" s="25"/>
      <c r="AW91" s="25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</row>
    <row r="92" spans="1:92" x14ac:dyDescent="0.25">
      <c r="A92" s="25" t="s">
        <v>132</v>
      </c>
      <c r="B92" s="25" t="s">
        <v>254</v>
      </c>
      <c r="C92" s="25" t="s">
        <v>505</v>
      </c>
      <c r="D92" s="25">
        <v>147</v>
      </c>
      <c r="E92" s="35" cm="1">
        <f t="array" ref="E92">IFERROR(INDEX($H$5:$AVV$5, _xlfn.AGGREGATE(15,6, COLUMN(H92:AVV92)-COLUMN(H92)+F92 / (H92:AVV92="T"), $A$2)), "")</f>
        <v>45973</v>
      </c>
      <c r="F92" s="97">
        <v>1</v>
      </c>
      <c r="G92" s="38" t="s">
        <v>10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 t="s">
        <v>12</v>
      </c>
      <c r="T92" s="98"/>
      <c r="U92" s="98"/>
      <c r="V92" s="98"/>
      <c r="W92" s="99"/>
      <c r="X92" s="98"/>
      <c r="Y92" s="98"/>
      <c r="Z92" s="29" t="s">
        <v>16</v>
      </c>
      <c r="AA92" s="30" t="s">
        <v>13</v>
      </c>
      <c r="AB92" s="27"/>
      <c r="AC92" s="27"/>
      <c r="AD92" s="28"/>
      <c r="AE92" s="27"/>
      <c r="AF92" s="27"/>
      <c r="AG92" s="29" t="s">
        <v>14</v>
      </c>
      <c r="AH92" s="30" t="s">
        <v>11</v>
      </c>
      <c r="AI92" s="27"/>
      <c r="AJ92" s="27"/>
      <c r="AK92" s="28"/>
      <c r="AL92" s="27"/>
      <c r="AM92" s="29" t="s">
        <v>15</v>
      </c>
      <c r="AN92" s="27"/>
      <c r="AO92" s="27"/>
      <c r="AP92" s="31">
        <v>17</v>
      </c>
      <c r="AQ92" s="25"/>
      <c r="AR92" s="25"/>
      <c r="AS92" s="25"/>
      <c r="AT92" s="25"/>
      <c r="AU92" s="25"/>
      <c r="AV92" s="25"/>
      <c r="AW92" s="25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</row>
    <row r="93" spans="1:92" x14ac:dyDescent="0.25">
      <c r="A93" s="25" t="s">
        <v>132</v>
      </c>
      <c r="B93" s="25" t="s">
        <v>255</v>
      </c>
      <c r="C93" s="25" t="s">
        <v>506</v>
      </c>
      <c r="D93" s="25">
        <v>148</v>
      </c>
      <c r="E93" s="35" cm="1">
        <f t="array" ref="E93">IFERROR(INDEX($H$5:$AVV$5, _xlfn.AGGREGATE(15,6, COLUMN(H93:AVV93)-COLUMN(H93)+F93 / (H93:AVV93="T"), $A$2)), "")</f>
        <v>45973</v>
      </c>
      <c r="F93" s="97">
        <v>1</v>
      </c>
      <c r="G93" s="38" t="s">
        <v>10</v>
      </c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 t="s">
        <v>12</v>
      </c>
      <c r="T93" s="98"/>
      <c r="U93" s="98"/>
      <c r="V93" s="98"/>
      <c r="W93" s="99"/>
      <c r="X93" s="98"/>
      <c r="Y93" s="98"/>
      <c r="Z93" s="29" t="s">
        <v>16</v>
      </c>
      <c r="AA93" s="30" t="s">
        <v>13</v>
      </c>
      <c r="AB93" s="27"/>
      <c r="AC93" s="27"/>
      <c r="AD93" s="28"/>
      <c r="AE93" s="27"/>
      <c r="AF93" s="27"/>
      <c r="AG93" s="29" t="s">
        <v>14</v>
      </c>
      <c r="AH93" s="30" t="s">
        <v>11</v>
      </c>
      <c r="AI93" s="27"/>
      <c r="AJ93" s="27"/>
      <c r="AK93" s="28"/>
      <c r="AL93" s="27"/>
      <c r="AM93" s="29" t="s">
        <v>15</v>
      </c>
      <c r="AN93" s="27"/>
      <c r="AO93" s="27"/>
      <c r="AP93" s="31">
        <v>17</v>
      </c>
      <c r="AQ93" s="25"/>
      <c r="AR93" s="25"/>
      <c r="AS93" s="25"/>
      <c r="AT93" s="25"/>
      <c r="AU93" s="25"/>
      <c r="AV93" s="25"/>
      <c r="AW93" s="25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</row>
    <row r="94" spans="1:92" x14ac:dyDescent="0.25">
      <c r="A94" s="25" t="s">
        <v>132</v>
      </c>
      <c r="B94" s="25" t="s">
        <v>336</v>
      </c>
      <c r="C94" s="25" t="s">
        <v>507</v>
      </c>
      <c r="D94" s="25">
        <v>149</v>
      </c>
      <c r="E94" s="35" cm="1">
        <f t="array" ref="E94">IFERROR(INDEX($H$5:$AVV$5, _xlfn.AGGREGATE(15,6, COLUMN(H94:AVV94)-COLUMN(H94)+F94 / (H94:AVV94="T"), $A$2)), "")</f>
        <v>45973</v>
      </c>
      <c r="F94" s="97">
        <v>1</v>
      </c>
      <c r="G94" s="38" t="s">
        <v>10</v>
      </c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 t="s">
        <v>12</v>
      </c>
      <c r="T94" s="98"/>
      <c r="U94" s="98"/>
      <c r="V94" s="98"/>
      <c r="W94" s="99"/>
      <c r="X94" s="98"/>
      <c r="Y94" s="98"/>
      <c r="Z94" s="29" t="s">
        <v>16</v>
      </c>
      <c r="AA94" s="30" t="s">
        <v>13</v>
      </c>
      <c r="AB94" s="27"/>
      <c r="AC94" s="27"/>
      <c r="AD94" s="28"/>
      <c r="AE94" s="27"/>
      <c r="AF94" s="27"/>
      <c r="AG94" s="29" t="s">
        <v>14</v>
      </c>
      <c r="AH94" s="30" t="s">
        <v>11</v>
      </c>
      <c r="AI94" s="27"/>
      <c r="AJ94" s="27"/>
      <c r="AK94" s="28"/>
      <c r="AL94" s="27"/>
      <c r="AM94" s="29" t="s">
        <v>15</v>
      </c>
      <c r="AN94" s="27"/>
      <c r="AO94" s="27"/>
      <c r="AP94" s="31">
        <v>17</v>
      </c>
      <c r="AQ94" s="25"/>
      <c r="AR94" s="25"/>
      <c r="AS94" s="25"/>
      <c r="AT94" s="25"/>
      <c r="AU94" s="25"/>
      <c r="AV94" s="25"/>
      <c r="AW94" s="25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</row>
    <row r="95" spans="1:92" x14ac:dyDescent="0.25">
      <c r="A95" s="25" t="s">
        <v>132</v>
      </c>
      <c r="B95" s="25" t="s">
        <v>337</v>
      </c>
      <c r="C95" s="25" t="s">
        <v>508</v>
      </c>
      <c r="D95" s="25">
        <v>150</v>
      </c>
      <c r="E95" s="35" cm="1">
        <f t="array" ref="E95">IFERROR(INDEX($H$5:$AVV$5, _xlfn.AGGREGATE(15,6, COLUMN(H95:AVV95)-COLUMN(H95)+F95 / (H95:AVV95="T"), $A$2)), "")</f>
        <v>45973</v>
      </c>
      <c r="F95" s="97">
        <v>1</v>
      </c>
      <c r="G95" s="38" t="s">
        <v>10</v>
      </c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 t="s">
        <v>12</v>
      </c>
      <c r="T95" s="98"/>
      <c r="U95" s="98"/>
      <c r="V95" s="98"/>
      <c r="W95" s="99"/>
      <c r="X95" s="98"/>
      <c r="Y95" s="98"/>
      <c r="Z95" s="29" t="s">
        <v>16</v>
      </c>
      <c r="AA95" s="30" t="s">
        <v>13</v>
      </c>
      <c r="AB95" s="27"/>
      <c r="AC95" s="27"/>
      <c r="AD95" s="28"/>
      <c r="AE95" s="27"/>
      <c r="AF95" s="27"/>
      <c r="AG95" s="29" t="s">
        <v>14</v>
      </c>
      <c r="AH95" s="30" t="s">
        <v>11</v>
      </c>
      <c r="AI95" s="27"/>
      <c r="AJ95" s="27"/>
      <c r="AK95" s="28"/>
      <c r="AL95" s="27"/>
      <c r="AM95" s="29" t="s">
        <v>15</v>
      </c>
      <c r="AN95" s="27"/>
      <c r="AO95" s="27"/>
      <c r="AP95" s="31">
        <v>17</v>
      </c>
      <c r="AQ95" s="25"/>
      <c r="AR95" s="25"/>
      <c r="AS95" s="25"/>
      <c r="AT95" s="25"/>
      <c r="AU95" s="25"/>
      <c r="AV95" s="25"/>
      <c r="AW95" s="25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</row>
    <row r="96" spans="1:92" x14ac:dyDescent="0.25">
      <c r="A96" s="25" t="s">
        <v>132</v>
      </c>
      <c r="B96" s="25" t="s">
        <v>256</v>
      </c>
      <c r="C96" s="25" t="s">
        <v>509</v>
      </c>
      <c r="D96" s="25">
        <v>151</v>
      </c>
      <c r="E96" s="35" cm="1">
        <f t="array" ref="E96">IFERROR(INDEX($H$5:$AVV$5, _xlfn.AGGREGATE(15,6, COLUMN(H96:AVV96)-COLUMN(H96)+F96 / (H96:AVV96="T"), $A$2)), "")</f>
        <v>45973</v>
      </c>
      <c r="F96" s="97">
        <v>1</v>
      </c>
      <c r="G96" s="38" t="s">
        <v>10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 t="s">
        <v>12</v>
      </c>
      <c r="T96" s="98"/>
      <c r="U96" s="98"/>
      <c r="V96" s="98"/>
      <c r="W96" s="99"/>
      <c r="X96" s="98"/>
      <c r="Y96" s="98"/>
      <c r="Z96" s="29" t="s">
        <v>16</v>
      </c>
      <c r="AA96" s="30" t="s">
        <v>13</v>
      </c>
      <c r="AB96" s="27"/>
      <c r="AC96" s="27"/>
      <c r="AD96" s="28"/>
      <c r="AE96" s="27"/>
      <c r="AF96" s="27"/>
      <c r="AG96" s="29" t="s">
        <v>14</v>
      </c>
      <c r="AH96" s="30" t="s">
        <v>11</v>
      </c>
      <c r="AI96" s="27"/>
      <c r="AJ96" s="27"/>
      <c r="AK96" s="28"/>
      <c r="AL96" s="27"/>
      <c r="AM96" s="29" t="s">
        <v>15</v>
      </c>
      <c r="AN96" s="27"/>
      <c r="AO96" s="27"/>
      <c r="AP96" s="31">
        <v>17</v>
      </c>
      <c r="AQ96" s="25"/>
      <c r="AR96" s="25"/>
      <c r="AS96" s="25"/>
      <c r="AT96" s="25"/>
      <c r="AU96" s="25"/>
      <c r="AV96" s="25"/>
      <c r="AW96" s="25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</row>
    <row r="97" spans="1:92" ht="15" customHeight="1" x14ac:dyDescent="0.25">
      <c r="A97" s="25" t="s">
        <v>132</v>
      </c>
      <c r="B97" s="25" t="s">
        <v>257</v>
      </c>
      <c r="C97" s="25" t="s">
        <v>510</v>
      </c>
      <c r="D97" s="25">
        <v>152</v>
      </c>
      <c r="E97" s="35" cm="1">
        <f t="array" ref="E97">IFERROR(INDEX($H$5:$AVV$5, _xlfn.AGGREGATE(15,6, COLUMN(H97:AVV97)-COLUMN(H97)+F97 / (H97:AVV97="T"), $A$2)), "")</f>
        <v>45973</v>
      </c>
      <c r="F97" s="97">
        <v>1</v>
      </c>
      <c r="G97" s="38" t="s">
        <v>10</v>
      </c>
      <c r="H97" s="33"/>
      <c r="I97" s="33"/>
      <c r="J97" s="33"/>
      <c r="K97" s="33"/>
      <c r="L97" s="33"/>
      <c r="M97" s="33"/>
      <c r="N97" s="25"/>
      <c r="O97" s="25"/>
      <c r="P97" s="25"/>
      <c r="Q97" s="25"/>
      <c r="R97" s="25"/>
      <c r="S97" s="25" t="s">
        <v>12</v>
      </c>
      <c r="T97" s="27"/>
      <c r="U97" s="27"/>
      <c r="V97" s="27"/>
      <c r="W97" s="28"/>
      <c r="X97" s="27"/>
      <c r="Y97" s="27"/>
      <c r="Z97" s="29" t="s">
        <v>16</v>
      </c>
      <c r="AA97" s="30" t="s">
        <v>13</v>
      </c>
      <c r="AB97" s="37"/>
      <c r="AC97" s="27"/>
      <c r="AD97" s="28"/>
      <c r="AE97" s="27"/>
      <c r="AF97" s="27"/>
      <c r="AG97" s="29" t="s">
        <v>14</v>
      </c>
      <c r="AH97" s="30" t="s">
        <v>11</v>
      </c>
      <c r="AI97" s="27"/>
      <c r="AJ97" s="27"/>
      <c r="AK97" s="28"/>
      <c r="AL97" s="98"/>
      <c r="AM97" s="100" t="s">
        <v>15</v>
      </c>
      <c r="AN97" s="98"/>
      <c r="AO97" s="98"/>
      <c r="AP97" s="33">
        <v>17</v>
      </c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</row>
    <row r="98" spans="1:92" x14ac:dyDescent="0.25">
      <c r="A98" s="25" t="s">
        <v>146</v>
      </c>
      <c r="B98" s="25" t="s">
        <v>313</v>
      </c>
      <c r="C98" s="25" t="s">
        <v>552</v>
      </c>
      <c r="D98" s="25">
        <v>194</v>
      </c>
      <c r="E98" s="35" cm="1">
        <f t="array" ref="E98">IFERROR(INDEX($H$5:$AVV$5, _xlfn.AGGREGATE(15,6, COLUMN(H98:AVV98)-COLUMN(H98)+F98 / (H98:AVV98="T"), $A$2)), "")</f>
        <v>45974</v>
      </c>
      <c r="F98" s="97">
        <v>1</v>
      </c>
      <c r="G98" s="38" t="s">
        <v>10</v>
      </c>
      <c r="H98" s="33"/>
      <c r="I98" s="33"/>
      <c r="J98" s="33"/>
      <c r="K98" s="33"/>
      <c r="L98" s="33"/>
      <c r="M98" s="33"/>
      <c r="N98" s="25"/>
      <c r="O98" s="25"/>
      <c r="P98" s="25"/>
      <c r="Q98" s="25"/>
      <c r="R98" s="25"/>
      <c r="S98" s="25"/>
      <c r="T98" s="25" t="s">
        <v>12</v>
      </c>
      <c r="U98" s="27"/>
      <c r="V98" s="27"/>
      <c r="W98" s="27"/>
      <c r="X98" s="28"/>
      <c r="Y98" s="27"/>
      <c r="Z98" s="27"/>
      <c r="AA98" s="29" t="s">
        <v>16</v>
      </c>
      <c r="AB98" s="102" t="s">
        <v>13</v>
      </c>
      <c r="AC98" s="27"/>
      <c r="AD98" s="27"/>
      <c r="AE98" s="28"/>
      <c r="AF98" s="27"/>
      <c r="AG98" s="27"/>
      <c r="AH98" s="29" t="s">
        <v>14</v>
      </c>
      <c r="AI98" s="30" t="s">
        <v>11</v>
      </c>
      <c r="AJ98" s="27"/>
      <c r="AK98" s="27"/>
      <c r="AL98" s="99"/>
      <c r="AM98" s="98"/>
      <c r="AN98" s="100" t="s">
        <v>15</v>
      </c>
      <c r="AO98" s="98"/>
      <c r="AP98" s="98"/>
      <c r="AQ98" s="33">
        <v>17</v>
      </c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</row>
    <row r="99" spans="1:92" x14ac:dyDescent="0.25">
      <c r="A99" s="25" t="s">
        <v>146</v>
      </c>
      <c r="B99" s="25" t="s">
        <v>314</v>
      </c>
      <c r="C99" s="25" t="s">
        <v>553</v>
      </c>
      <c r="D99" s="25">
        <v>195</v>
      </c>
      <c r="E99" s="35" cm="1">
        <f t="array" ref="E99">IFERROR(INDEX($H$5:$AVV$5, _xlfn.AGGREGATE(15,6, COLUMN(H99:AVV99)-COLUMN(H99)+F99 / (H99:AVV99="T"), $A$2)), "")</f>
        <v>45974</v>
      </c>
      <c r="F99" s="97">
        <v>1</v>
      </c>
      <c r="G99" s="38" t="s">
        <v>10</v>
      </c>
      <c r="H99" s="33"/>
      <c r="I99" s="33"/>
      <c r="J99" s="33"/>
      <c r="K99" s="33"/>
      <c r="L99" s="33"/>
      <c r="M99" s="25"/>
      <c r="N99" s="25"/>
      <c r="O99" s="25"/>
      <c r="P99" s="25"/>
      <c r="Q99" s="25"/>
      <c r="R99" s="25"/>
      <c r="S99" s="25"/>
      <c r="T99" s="25" t="s">
        <v>12</v>
      </c>
      <c r="U99" s="27"/>
      <c r="V99" s="27"/>
      <c r="W99" s="27"/>
      <c r="X99" s="28"/>
      <c r="Y99" s="27"/>
      <c r="Z99" s="27"/>
      <c r="AA99" s="32" t="s">
        <v>16</v>
      </c>
      <c r="AB99" s="30" t="s">
        <v>13</v>
      </c>
      <c r="AC99" s="27"/>
      <c r="AD99" s="27"/>
      <c r="AE99" s="28"/>
      <c r="AF99" s="27"/>
      <c r="AG99" s="27"/>
      <c r="AH99" s="29" t="s">
        <v>14</v>
      </c>
      <c r="AI99" s="30" t="s">
        <v>11</v>
      </c>
      <c r="AJ99" s="27"/>
      <c r="AK99" s="98"/>
      <c r="AL99" s="99"/>
      <c r="AM99" s="98"/>
      <c r="AN99" s="100" t="s">
        <v>15</v>
      </c>
      <c r="AO99" s="98"/>
      <c r="AP99" s="98"/>
      <c r="AQ99" s="33">
        <v>17</v>
      </c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</row>
    <row r="100" spans="1:92" x14ac:dyDescent="0.25">
      <c r="A100" s="25" t="s">
        <v>146</v>
      </c>
      <c r="B100" s="25" t="s">
        <v>315</v>
      </c>
      <c r="C100" s="25" t="s">
        <v>554</v>
      </c>
      <c r="D100" s="25">
        <v>196</v>
      </c>
      <c r="E100" s="35" cm="1">
        <f t="array" ref="E100">IFERROR(INDEX($H$5:$AVV$5, _xlfn.AGGREGATE(15,6, COLUMN(H100:AVV100)-COLUMN(H100)+F100 / (H100:AVV100="T"), $A$2)), "")</f>
        <v>45974</v>
      </c>
      <c r="F100" s="97">
        <v>1</v>
      </c>
      <c r="G100" s="38" t="s">
        <v>10</v>
      </c>
      <c r="H100" s="33"/>
      <c r="I100" s="33"/>
      <c r="J100" s="33"/>
      <c r="K100" s="33"/>
      <c r="L100" s="33"/>
      <c r="M100" s="25"/>
      <c r="N100" s="25"/>
      <c r="O100" s="25"/>
      <c r="P100" s="25"/>
      <c r="Q100" s="25"/>
      <c r="R100" s="25"/>
      <c r="S100" s="25"/>
      <c r="T100" s="25" t="s">
        <v>12</v>
      </c>
      <c r="U100" s="27"/>
      <c r="V100" s="27"/>
      <c r="W100" s="27"/>
      <c r="X100" s="28"/>
      <c r="Y100" s="27"/>
      <c r="Z100" s="27"/>
      <c r="AA100" s="29" t="s">
        <v>16</v>
      </c>
      <c r="AB100" s="30" t="s">
        <v>13</v>
      </c>
      <c r="AC100" s="37"/>
      <c r="AD100" s="27"/>
      <c r="AE100" s="28"/>
      <c r="AF100" s="27"/>
      <c r="AG100" s="27"/>
      <c r="AH100" s="29" t="s">
        <v>14</v>
      </c>
      <c r="AI100" s="30" t="s">
        <v>11</v>
      </c>
      <c r="AJ100" s="27"/>
      <c r="AK100" s="98"/>
      <c r="AL100" s="99"/>
      <c r="AM100" s="98"/>
      <c r="AN100" s="100" t="s">
        <v>15</v>
      </c>
      <c r="AO100" s="98"/>
      <c r="AP100" s="98"/>
      <c r="AQ100" s="33">
        <v>17</v>
      </c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</row>
    <row r="101" spans="1:92" x14ac:dyDescent="0.25">
      <c r="A101" s="25" t="s">
        <v>146</v>
      </c>
      <c r="B101" s="25" t="s">
        <v>316</v>
      </c>
      <c r="C101" s="25" t="s">
        <v>555</v>
      </c>
      <c r="D101" s="25">
        <v>197</v>
      </c>
      <c r="E101" s="35" cm="1">
        <f t="array" ref="E101">IFERROR(INDEX($H$5:$AVV$5, _xlfn.AGGREGATE(15,6, COLUMN(H101:AVV101)-COLUMN(H101)+F101 / (H101:AVV101="T"), $A$2)), "")</f>
        <v>45974</v>
      </c>
      <c r="F101" s="97">
        <v>1</v>
      </c>
      <c r="G101" s="38" t="s">
        <v>10</v>
      </c>
      <c r="H101" s="33"/>
      <c r="I101" s="33"/>
      <c r="J101" s="33"/>
      <c r="K101" s="33"/>
      <c r="L101" s="33"/>
      <c r="M101" s="25"/>
      <c r="N101" s="25"/>
      <c r="O101" s="25"/>
      <c r="P101" s="25"/>
      <c r="Q101" s="25"/>
      <c r="R101" s="25"/>
      <c r="S101" s="25"/>
      <c r="T101" s="25" t="s">
        <v>12</v>
      </c>
      <c r="U101" s="27"/>
      <c r="V101" s="27"/>
      <c r="W101" s="27"/>
      <c r="X101" s="28"/>
      <c r="Y101" s="27"/>
      <c r="Z101" s="27"/>
      <c r="AA101" s="29" t="s">
        <v>16</v>
      </c>
      <c r="AB101" s="30" t="s">
        <v>13</v>
      </c>
      <c r="AC101" s="37"/>
      <c r="AD101" s="27"/>
      <c r="AE101" s="28"/>
      <c r="AF101" s="27"/>
      <c r="AG101" s="27"/>
      <c r="AH101" s="29" t="s">
        <v>14</v>
      </c>
      <c r="AI101" s="30" t="s">
        <v>11</v>
      </c>
      <c r="AJ101" s="27"/>
      <c r="AK101" s="98"/>
      <c r="AL101" s="99"/>
      <c r="AM101" s="98"/>
      <c r="AN101" s="100" t="s">
        <v>15</v>
      </c>
      <c r="AO101" s="98"/>
      <c r="AP101" s="98"/>
      <c r="AQ101" s="33">
        <v>17</v>
      </c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</row>
    <row r="102" spans="1:92" x14ac:dyDescent="0.25">
      <c r="A102" s="25" t="s">
        <v>146</v>
      </c>
      <c r="B102" s="25" t="s">
        <v>317</v>
      </c>
      <c r="C102" s="25" t="s">
        <v>556</v>
      </c>
      <c r="D102" s="25">
        <v>198</v>
      </c>
      <c r="E102" s="35" cm="1">
        <f t="array" ref="E102">IFERROR(INDEX($H$5:$AVV$5, _xlfn.AGGREGATE(15,6, COLUMN(H102:AVV102)-COLUMN(H102)+F102 / (H102:AVV102="T"), $A$2)), "")</f>
        <v>45974</v>
      </c>
      <c r="F102" s="97">
        <v>1</v>
      </c>
      <c r="G102" s="38" t="s">
        <v>10</v>
      </c>
      <c r="H102" s="33"/>
      <c r="I102" s="33"/>
      <c r="J102" s="33"/>
      <c r="K102" s="33"/>
      <c r="L102" s="33"/>
      <c r="M102" s="25"/>
      <c r="N102" s="25"/>
      <c r="O102" s="25"/>
      <c r="P102" s="25"/>
      <c r="Q102" s="25"/>
      <c r="R102" s="25"/>
      <c r="S102" s="25"/>
      <c r="T102" s="25" t="s">
        <v>12</v>
      </c>
      <c r="U102" s="27"/>
      <c r="V102" s="27"/>
      <c r="W102" s="27"/>
      <c r="X102" s="28"/>
      <c r="Y102" s="27"/>
      <c r="Z102" s="27"/>
      <c r="AA102" s="29" t="s">
        <v>16</v>
      </c>
      <c r="AB102" s="30" t="s">
        <v>13</v>
      </c>
      <c r="AC102" s="37"/>
      <c r="AD102" s="27"/>
      <c r="AE102" s="28"/>
      <c r="AF102" s="27"/>
      <c r="AG102" s="27"/>
      <c r="AH102" s="29" t="s">
        <v>14</v>
      </c>
      <c r="AI102" s="30" t="s">
        <v>11</v>
      </c>
      <c r="AJ102" s="27"/>
      <c r="AK102" s="98"/>
      <c r="AL102" s="99"/>
      <c r="AM102" s="98"/>
      <c r="AN102" s="100" t="s">
        <v>15</v>
      </c>
      <c r="AO102" s="98"/>
      <c r="AP102" s="98"/>
      <c r="AQ102" s="33">
        <v>17</v>
      </c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</row>
    <row r="103" spans="1:92" x14ac:dyDescent="0.25">
      <c r="A103" s="25" t="s">
        <v>146</v>
      </c>
      <c r="B103" s="25" t="s">
        <v>318</v>
      </c>
      <c r="C103" s="25" t="s">
        <v>557</v>
      </c>
      <c r="D103" s="25">
        <v>199</v>
      </c>
      <c r="E103" s="35" cm="1">
        <f t="array" ref="E103">IFERROR(INDEX($H$5:$AVV$5, _xlfn.AGGREGATE(15,6, COLUMN(H103:AVV103)-COLUMN(H103)+F103 / (H103:AVV103="T"), $A$2)), "")</f>
        <v>45974</v>
      </c>
      <c r="F103" s="97">
        <v>1</v>
      </c>
      <c r="G103" s="38" t="s">
        <v>10</v>
      </c>
      <c r="H103" s="33"/>
      <c r="I103" s="33"/>
      <c r="J103" s="33"/>
      <c r="K103" s="33"/>
      <c r="L103" s="33"/>
      <c r="M103" s="25"/>
      <c r="N103" s="25"/>
      <c r="O103" s="25"/>
      <c r="P103" s="25"/>
      <c r="Q103" s="25"/>
      <c r="R103" s="25"/>
      <c r="S103" s="25"/>
      <c r="T103" s="25" t="s">
        <v>12</v>
      </c>
      <c r="U103" s="27"/>
      <c r="V103" s="27"/>
      <c r="W103" s="27"/>
      <c r="X103" s="28"/>
      <c r="Y103" s="27"/>
      <c r="Z103" s="27"/>
      <c r="AA103" s="29" t="s">
        <v>16</v>
      </c>
      <c r="AB103" s="30" t="s">
        <v>13</v>
      </c>
      <c r="AC103" s="37"/>
      <c r="AD103" s="27"/>
      <c r="AE103" s="28"/>
      <c r="AF103" s="27"/>
      <c r="AG103" s="27"/>
      <c r="AH103" s="29" t="s">
        <v>14</v>
      </c>
      <c r="AI103" s="30" t="s">
        <v>11</v>
      </c>
      <c r="AJ103" s="27"/>
      <c r="AK103" s="98"/>
      <c r="AL103" s="99"/>
      <c r="AM103" s="98"/>
      <c r="AN103" s="100" t="s">
        <v>15</v>
      </c>
      <c r="AO103" s="98"/>
      <c r="AP103" s="98"/>
      <c r="AQ103" s="33">
        <v>17</v>
      </c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</row>
    <row r="104" spans="1:92" x14ac:dyDescent="0.25">
      <c r="A104" s="25" t="s">
        <v>146</v>
      </c>
      <c r="B104" s="25" t="s">
        <v>319</v>
      </c>
      <c r="C104" s="25" t="s">
        <v>558</v>
      </c>
      <c r="D104" s="25">
        <v>200</v>
      </c>
      <c r="E104" s="35" cm="1">
        <f t="array" ref="E104">IFERROR(INDEX($H$5:$AVV$5, _xlfn.AGGREGATE(15,6, COLUMN(H104:AVV104)-COLUMN(H104)+F104 / (H104:AVV104="T"), $A$2)), "")</f>
        <v>45974</v>
      </c>
      <c r="F104" s="97">
        <v>1</v>
      </c>
      <c r="G104" s="38" t="s">
        <v>10</v>
      </c>
      <c r="H104" s="33"/>
      <c r="I104" s="33"/>
      <c r="J104" s="33"/>
      <c r="K104" s="33"/>
      <c r="L104" s="33"/>
      <c r="M104" s="25"/>
      <c r="N104" s="25"/>
      <c r="O104" s="25"/>
      <c r="P104" s="25"/>
      <c r="Q104" s="25"/>
      <c r="R104" s="25"/>
      <c r="S104" s="25"/>
      <c r="T104" s="25" t="s">
        <v>12</v>
      </c>
      <c r="U104" s="27"/>
      <c r="V104" s="27"/>
      <c r="W104" s="27"/>
      <c r="X104" s="28"/>
      <c r="Y104" s="27"/>
      <c r="Z104" s="27"/>
      <c r="AA104" s="29" t="s">
        <v>16</v>
      </c>
      <c r="AB104" s="30" t="s">
        <v>13</v>
      </c>
      <c r="AC104" s="37"/>
      <c r="AD104" s="27"/>
      <c r="AE104" s="28"/>
      <c r="AF104" s="27"/>
      <c r="AG104" s="27"/>
      <c r="AH104" s="29" t="s">
        <v>14</v>
      </c>
      <c r="AI104" s="30" t="s">
        <v>11</v>
      </c>
      <c r="AJ104" s="27"/>
      <c r="AK104" s="98"/>
      <c r="AL104" s="99"/>
      <c r="AM104" s="98"/>
      <c r="AN104" s="100" t="s">
        <v>15</v>
      </c>
      <c r="AO104" s="98"/>
      <c r="AP104" s="98"/>
      <c r="AQ104" s="33">
        <v>17</v>
      </c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33"/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</row>
    <row r="105" spans="1:92" x14ac:dyDescent="0.25">
      <c r="A105" s="25" t="s">
        <v>146</v>
      </c>
      <c r="B105" s="25" t="s">
        <v>306</v>
      </c>
      <c r="C105" s="25" t="s">
        <v>545</v>
      </c>
      <c r="D105" s="25">
        <v>187</v>
      </c>
      <c r="E105" s="35" cm="1">
        <f t="array" ref="E105">IFERROR(INDEX($H$5:$AVV$5, _xlfn.AGGREGATE(15,6, COLUMN(H105:AVV105)-COLUMN(H105)+F105 / (H105:AVV105="T"), $A$2)), "")</f>
        <v>45975</v>
      </c>
      <c r="F105" s="97">
        <v>1</v>
      </c>
      <c r="G105" s="38" t="s">
        <v>10</v>
      </c>
      <c r="H105" s="33"/>
      <c r="I105" s="33"/>
      <c r="J105" s="33"/>
      <c r="K105" s="33"/>
      <c r="L105" s="33"/>
      <c r="M105" s="25"/>
      <c r="N105" s="25"/>
      <c r="O105" s="25"/>
      <c r="P105" s="25"/>
      <c r="Q105" s="25"/>
      <c r="R105" s="25"/>
      <c r="S105" s="25"/>
      <c r="T105" s="25"/>
      <c r="U105" s="25" t="s">
        <v>12</v>
      </c>
      <c r="V105" s="27"/>
      <c r="W105" s="27"/>
      <c r="X105" s="27"/>
      <c r="Y105" s="28"/>
      <c r="Z105" s="27"/>
      <c r="AA105" s="27"/>
      <c r="AB105" s="29" t="s">
        <v>16</v>
      </c>
      <c r="AC105" s="102" t="s">
        <v>13</v>
      </c>
      <c r="AD105" s="27"/>
      <c r="AE105" s="27"/>
      <c r="AF105" s="28"/>
      <c r="AG105" s="27"/>
      <c r="AH105" s="27"/>
      <c r="AI105" s="29" t="s">
        <v>14</v>
      </c>
      <c r="AJ105" s="30" t="s">
        <v>11</v>
      </c>
      <c r="AK105" s="98"/>
      <c r="AL105" s="98"/>
      <c r="AM105" s="99"/>
      <c r="AN105" s="98"/>
      <c r="AO105" s="100" t="s">
        <v>15</v>
      </c>
      <c r="AP105" s="98"/>
      <c r="AQ105" s="98"/>
      <c r="AR105" s="33">
        <v>17</v>
      </c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</row>
    <row r="106" spans="1:92" x14ac:dyDescent="0.25">
      <c r="A106" s="25" t="s">
        <v>146</v>
      </c>
      <c r="B106" s="25" t="s">
        <v>307</v>
      </c>
      <c r="C106" s="25" t="s">
        <v>546</v>
      </c>
      <c r="D106" s="25">
        <v>188</v>
      </c>
      <c r="E106" s="35" cm="1">
        <f t="array" ref="E106">IFERROR(INDEX($H$5:$AVV$5, _xlfn.AGGREGATE(15,6, COLUMN(H106:AVV106)-COLUMN(H106)+F106 / (H106:AVV106="T"), $A$2)), "")</f>
        <v>45975</v>
      </c>
      <c r="F106" s="97">
        <v>1</v>
      </c>
      <c r="G106" s="38" t="s">
        <v>10</v>
      </c>
      <c r="H106" s="33"/>
      <c r="I106" s="33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 t="s">
        <v>12</v>
      </c>
      <c r="V106" s="27"/>
      <c r="W106" s="27"/>
      <c r="X106" s="37"/>
      <c r="Y106" s="28"/>
      <c r="Z106" s="27"/>
      <c r="AA106" s="27"/>
      <c r="AB106" s="29" t="s">
        <v>16</v>
      </c>
      <c r="AC106" s="30" t="s">
        <v>13</v>
      </c>
      <c r="AD106" s="27"/>
      <c r="AE106" s="27"/>
      <c r="AF106" s="28"/>
      <c r="AG106" s="27"/>
      <c r="AH106" s="98"/>
      <c r="AI106" s="100" t="s">
        <v>14</v>
      </c>
      <c r="AJ106" s="101" t="s">
        <v>11</v>
      </c>
      <c r="AK106" s="98"/>
      <c r="AL106" s="98"/>
      <c r="AM106" s="99"/>
      <c r="AN106" s="98"/>
      <c r="AO106" s="100" t="s">
        <v>15</v>
      </c>
      <c r="AP106" s="98"/>
      <c r="AQ106" s="98"/>
      <c r="AR106" s="33">
        <v>17</v>
      </c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33"/>
      <c r="BJ106" s="33"/>
      <c r="BK106" s="33"/>
      <c r="BL106" s="33"/>
      <c r="BM106" s="33"/>
      <c r="BN106" s="33"/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</row>
    <row r="107" spans="1:92" s="48" customFormat="1" x14ac:dyDescent="0.25">
      <c r="A107" s="25" t="s">
        <v>146</v>
      </c>
      <c r="B107" s="25" t="s">
        <v>308</v>
      </c>
      <c r="C107" s="25" t="s">
        <v>547</v>
      </c>
      <c r="D107" s="25">
        <v>189</v>
      </c>
      <c r="E107" s="35" cm="1">
        <f t="array" ref="E107">IFERROR(INDEX($H$5:$AVV$5, _xlfn.AGGREGATE(15,6, COLUMN(H107:AVV107)-COLUMN(H107)+F107 / (H107:AVV107="T"), $A$2)), "")</f>
        <v>45975</v>
      </c>
      <c r="F107" s="97">
        <v>1</v>
      </c>
      <c r="G107" s="38" t="s">
        <v>10</v>
      </c>
      <c r="H107" s="33"/>
      <c r="I107" s="33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 t="s">
        <v>12</v>
      </c>
      <c r="V107" s="27"/>
      <c r="W107" s="27"/>
      <c r="X107" s="27"/>
      <c r="Y107" s="28"/>
      <c r="Z107" s="37"/>
      <c r="AA107" s="27"/>
      <c r="AB107" s="29" t="s">
        <v>16</v>
      </c>
      <c r="AC107" s="30" t="s">
        <v>13</v>
      </c>
      <c r="AD107" s="27"/>
      <c r="AE107" s="27"/>
      <c r="AF107" s="28"/>
      <c r="AG107" s="27"/>
      <c r="AH107" s="98"/>
      <c r="AI107" s="100" t="s">
        <v>14</v>
      </c>
      <c r="AJ107" s="101" t="s">
        <v>11</v>
      </c>
      <c r="AK107" s="98"/>
      <c r="AL107" s="98"/>
      <c r="AM107" s="99"/>
      <c r="AN107" s="98"/>
      <c r="AO107" s="100" t="s">
        <v>15</v>
      </c>
      <c r="AP107" s="98"/>
      <c r="AQ107" s="98"/>
      <c r="AR107" s="33">
        <v>17</v>
      </c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</row>
    <row r="108" spans="1:92" s="48" customFormat="1" x14ac:dyDescent="0.25">
      <c r="A108" s="25" t="s">
        <v>146</v>
      </c>
      <c r="B108" s="25" t="s">
        <v>309</v>
      </c>
      <c r="C108" s="25" t="s">
        <v>548</v>
      </c>
      <c r="D108" s="25">
        <v>190</v>
      </c>
      <c r="E108" s="35" cm="1">
        <f t="array" ref="E108">IFERROR(INDEX($H$5:$AVV$5, _xlfn.AGGREGATE(15,6, COLUMN(H108:AVV108)-COLUMN(H108)+F108 / (H108:AVV108="T"), $A$2)), "")</f>
        <v>45975</v>
      </c>
      <c r="F108" s="97">
        <v>1</v>
      </c>
      <c r="G108" s="38" t="s">
        <v>10</v>
      </c>
      <c r="H108" s="33"/>
      <c r="I108" s="33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 t="s">
        <v>12</v>
      </c>
      <c r="V108" s="27"/>
      <c r="W108" s="27"/>
      <c r="X108" s="27"/>
      <c r="Y108" s="28"/>
      <c r="Z108" s="37"/>
      <c r="AA108" s="27"/>
      <c r="AB108" s="29" t="s">
        <v>16</v>
      </c>
      <c r="AC108" s="30" t="s">
        <v>13</v>
      </c>
      <c r="AD108" s="27"/>
      <c r="AE108" s="27"/>
      <c r="AF108" s="28"/>
      <c r="AG108" s="27"/>
      <c r="AH108" s="98"/>
      <c r="AI108" s="100" t="s">
        <v>14</v>
      </c>
      <c r="AJ108" s="101" t="s">
        <v>11</v>
      </c>
      <c r="AK108" s="98"/>
      <c r="AL108" s="98"/>
      <c r="AM108" s="99"/>
      <c r="AN108" s="98"/>
      <c r="AO108" s="100" t="s">
        <v>15</v>
      </c>
      <c r="AP108" s="98"/>
      <c r="AQ108" s="98"/>
      <c r="AR108" s="33">
        <v>17</v>
      </c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33"/>
      <c r="BJ108" s="33"/>
      <c r="BK108" s="33"/>
      <c r="BL108" s="33"/>
      <c r="BM108" s="33"/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</row>
    <row r="109" spans="1:92" s="48" customFormat="1" ht="15" customHeight="1" x14ac:dyDescent="0.25">
      <c r="A109" s="25" t="s">
        <v>146</v>
      </c>
      <c r="B109" s="25" t="s">
        <v>310</v>
      </c>
      <c r="C109" s="25" t="s">
        <v>549</v>
      </c>
      <c r="D109" s="25">
        <v>191</v>
      </c>
      <c r="E109" s="35" cm="1">
        <f t="array" ref="E109">IFERROR(INDEX($H$5:$AVV$5, _xlfn.AGGREGATE(15,6, COLUMN(H109:AVV109)-COLUMN(H109)+F109 / (H109:AVV109="T"), $A$2)), "")</f>
        <v>45975</v>
      </c>
      <c r="F109" s="97">
        <v>1</v>
      </c>
      <c r="G109" s="38" t="s">
        <v>10</v>
      </c>
      <c r="H109" s="33"/>
      <c r="I109" s="33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 t="s">
        <v>12</v>
      </c>
      <c r="V109" s="27"/>
      <c r="W109" s="27"/>
      <c r="X109" s="27"/>
      <c r="Y109" s="28"/>
      <c r="Z109" s="37"/>
      <c r="AA109" s="27"/>
      <c r="AB109" s="29" t="s">
        <v>16</v>
      </c>
      <c r="AC109" s="30" t="s">
        <v>13</v>
      </c>
      <c r="AD109" s="27"/>
      <c r="AE109" s="27"/>
      <c r="AF109" s="28"/>
      <c r="AG109" s="27"/>
      <c r="AH109" s="98"/>
      <c r="AI109" s="100" t="s">
        <v>14</v>
      </c>
      <c r="AJ109" s="101" t="s">
        <v>11</v>
      </c>
      <c r="AK109" s="98"/>
      <c r="AL109" s="98"/>
      <c r="AM109" s="99"/>
      <c r="AN109" s="98"/>
      <c r="AO109" s="100" t="s">
        <v>15</v>
      </c>
      <c r="AP109" s="98"/>
      <c r="AQ109" s="98"/>
      <c r="AR109" s="33">
        <v>17</v>
      </c>
      <c r="AS109" s="33"/>
      <c r="AT109" s="33"/>
      <c r="AU109" s="33"/>
      <c r="AV109" s="33"/>
      <c r="AW109" s="33"/>
      <c r="AX109" s="33"/>
      <c r="AY109" s="33"/>
      <c r="AZ109" s="33"/>
      <c r="BA109" s="33"/>
      <c r="BB109" s="33"/>
      <c r="BC109" s="33"/>
      <c r="BD109" s="33"/>
      <c r="BE109" s="33"/>
      <c r="BF109" s="33"/>
      <c r="BG109" s="33"/>
      <c r="BH109" s="33"/>
      <c r="BI109" s="33"/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</row>
    <row r="110" spans="1:92" x14ac:dyDescent="0.25">
      <c r="A110" s="25" t="s">
        <v>146</v>
      </c>
      <c r="B110" s="25" t="s">
        <v>311</v>
      </c>
      <c r="C110" s="25" t="s">
        <v>550</v>
      </c>
      <c r="D110" s="25">
        <v>192</v>
      </c>
      <c r="E110" s="35" cm="1">
        <f t="array" ref="E110">IFERROR(INDEX($H$5:$AVV$5, _xlfn.AGGREGATE(15,6, COLUMN(H110:AVV110)-COLUMN(H110)+F110 / (H110:AVV110="T"), $A$2)), "")</f>
        <v>45975</v>
      </c>
      <c r="F110" s="97">
        <v>1</v>
      </c>
      <c r="G110" s="38" t="s">
        <v>10</v>
      </c>
      <c r="H110" s="33"/>
      <c r="I110" s="33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 t="s">
        <v>12</v>
      </c>
      <c r="V110" s="27"/>
      <c r="W110" s="27"/>
      <c r="X110" s="27"/>
      <c r="Y110" s="28"/>
      <c r="Z110" s="37"/>
      <c r="AA110" s="27"/>
      <c r="AB110" s="29" t="s">
        <v>16</v>
      </c>
      <c r="AC110" s="30" t="s">
        <v>13</v>
      </c>
      <c r="AD110" s="27"/>
      <c r="AE110" s="27"/>
      <c r="AF110" s="28"/>
      <c r="AG110" s="27"/>
      <c r="AH110" s="98"/>
      <c r="AI110" s="100" t="s">
        <v>14</v>
      </c>
      <c r="AJ110" s="101" t="s">
        <v>11</v>
      </c>
      <c r="AK110" s="98"/>
      <c r="AL110" s="98"/>
      <c r="AM110" s="99"/>
      <c r="AN110" s="98"/>
      <c r="AO110" s="100" t="s">
        <v>15</v>
      </c>
      <c r="AP110" s="98"/>
      <c r="AQ110" s="98"/>
      <c r="AR110" s="33">
        <v>17</v>
      </c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33"/>
      <c r="BJ110" s="33"/>
      <c r="BK110" s="33"/>
      <c r="BL110" s="33"/>
      <c r="BM110" s="33"/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</row>
    <row r="111" spans="1:92" x14ac:dyDescent="0.25">
      <c r="A111" s="25" t="s">
        <v>146</v>
      </c>
      <c r="B111" s="25" t="s">
        <v>312</v>
      </c>
      <c r="C111" s="25" t="s">
        <v>551</v>
      </c>
      <c r="D111" s="25">
        <v>193</v>
      </c>
      <c r="E111" s="35" cm="1">
        <f t="array" ref="E111">IFERROR(INDEX($H$5:$AVV$5, _xlfn.AGGREGATE(15,6, COLUMN(H111:AVV111)-COLUMN(H111)+F111 / (H111:AVV111="T"), $A$2)), "")</f>
        <v>45975</v>
      </c>
      <c r="F111" s="97">
        <v>1</v>
      </c>
      <c r="G111" s="38" t="s">
        <v>10</v>
      </c>
      <c r="H111" s="33"/>
      <c r="I111" s="33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 t="s">
        <v>12</v>
      </c>
      <c r="V111" s="27"/>
      <c r="W111" s="27"/>
      <c r="X111" s="27"/>
      <c r="Y111" s="28"/>
      <c r="Z111" s="37"/>
      <c r="AA111" s="27"/>
      <c r="AB111" s="29" t="s">
        <v>16</v>
      </c>
      <c r="AC111" s="30" t="s">
        <v>13</v>
      </c>
      <c r="AD111" s="27"/>
      <c r="AE111" s="27"/>
      <c r="AF111" s="28"/>
      <c r="AG111" s="27"/>
      <c r="AH111" s="98"/>
      <c r="AI111" s="100" t="s">
        <v>14</v>
      </c>
      <c r="AJ111" s="101" t="s">
        <v>11</v>
      </c>
      <c r="AK111" s="98"/>
      <c r="AL111" s="98"/>
      <c r="AM111" s="99"/>
      <c r="AN111" s="98"/>
      <c r="AO111" s="100" t="s">
        <v>15</v>
      </c>
      <c r="AP111" s="98"/>
      <c r="AQ111" s="98"/>
      <c r="AR111" s="33">
        <v>17</v>
      </c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</row>
    <row r="112" spans="1:92" s="48" customFormat="1" x14ac:dyDescent="0.25">
      <c r="A112" s="25" t="s">
        <v>146</v>
      </c>
      <c r="B112" s="25" t="s">
        <v>298</v>
      </c>
      <c r="C112" s="25" t="s">
        <v>537</v>
      </c>
      <c r="D112" s="25">
        <v>179</v>
      </c>
      <c r="E112" s="35" cm="1">
        <f t="array" ref="E112">IFERROR(INDEX($H$5:$AVV$5, _xlfn.AGGREGATE(15,6, COLUMN(H112:AVV112)-COLUMN(H112)+F112 / (H112:AVV112="T"), $A$2)), "")</f>
        <v>45976</v>
      </c>
      <c r="F112" s="97">
        <v>1</v>
      </c>
      <c r="G112" s="38" t="s">
        <v>10</v>
      </c>
      <c r="H112" s="33"/>
      <c r="I112" s="33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 t="s">
        <v>12</v>
      </c>
      <c r="W112" s="27"/>
      <c r="X112" s="27"/>
      <c r="Y112" s="27"/>
      <c r="Z112" s="103"/>
      <c r="AA112" s="27"/>
      <c r="AB112" s="27"/>
      <c r="AC112" s="29" t="s">
        <v>16</v>
      </c>
      <c r="AD112" s="30" t="s">
        <v>13</v>
      </c>
      <c r="AE112" s="27"/>
      <c r="AF112" s="27"/>
      <c r="AG112" s="28"/>
      <c r="AH112" s="98"/>
      <c r="AI112" s="98"/>
      <c r="AJ112" s="100" t="s">
        <v>14</v>
      </c>
      <c r="AK112" s="101" t="s">
        <v>11</v>
      </c>
      <c r="AL112" s="98"/>
      <c r="AM112" s="98"/>
      <c r="AN112" s="99"/>
      <c r="AO112" s="98"/>
      <c r="AP112" s="100" t="s">
        <v>15</v>
      </c>
      <c r="AQ112" s="98"/>
      <c r="AR112" s="98"/>
      <c r="AS112" s="33">
        <v>17</v>
      </c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33"/>
      <c r="BJ112" s="33"/>
      <c r="BK112" s="33"/>
      <c r="BL112" s="33"/>
      <c r="BM112" s="33"/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</row>
    <row r="113" spans="1:92" s="48" customFormat="1" x14ac:dyDescent="0.25">
      <c r="A113" s="25" t="s">
        <v>146</v>
      </c>
      <c r="B113" s="25" t="s">
        <v>299</v>
      </c>
      <c r="C113" s="25" t="s">
        <v>538</v>
      </c>
      <c r="D113" s="25">
        <v>180</v>
      </c>
      <c r="E113" s="35" cm="1">
        <f t="array" ref="E113">IFERROR(INDEX($H$5:$AVV$5, _xlfn.AGGREGATE(15,6, COLUMN(H113:AVV113)-COLUMN(H113)+F113 / (H113:AVV113="T"), $A$2)), "")</f>
        <v>45976</v>
      </c>
      <c r="F113" s="97">
        <v>1</v>
      </c>
      <c r="G113" s="38" t="s">
        <v>10</v>
      </c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31" t="s">
        <v>12</v>
      </c>
      <c r="W113" s="27"/>
      <c r="X113" s="27"/>
      <c r="Y113" s="27"/>
      <c r="Z113" s="28"/>
      <c r="AA113" s="27"/>
      <c r="AB113" s="27"/>
      <c r="AC113" s="29" t="s">
        <v>16</v>
      </c>
      <c r="AD113" s="30" t="s">
        <v>13</v>
      </c>
      <c r="AE113" s="27"/>
      <c r="AF113" s="98"/>
      <c r="AG113" s="99"/>
      <c r="AH113" s="98"/>
      <c r="AI113" s="98"/>
      <c r="AJ113" s="100" t="s">
        <v>14</v>
      </c>
      <c r="AK113" s="30" t="s">
        <v>11</v>
      </c>
      <c r="AL113" s="27"/>
      <c r="AM113" s="27"/>
      <c r="AN113" s="28"/>
      <c r="AO113" s="27"/>
      <c r="AP113" s="29" t="s">
        <v>15</v>
      </c>
      <c r="AQ113" s="27"/>
      <c r="AR113" s="27"/>
      <c r="AS113" s="25">
        <v>17</v>
      </c>
      <c r="AT113" s="25"/>
      <c r="AU113" s="25"/>
      <c r="AV113" s="25"/>
      <c r="AW113" s="25"/>
      <c r="AX113" s="25"/>
      <c r="AY113" s="31"/>
      <c r="AZ113" s="25"/>
      <c r="BA113" s="25"/>
      <c r="BB113" s="25"/>
      <c r="BC113" s="25"/>
      <c r="BD113" s="25"/>
      <c r="BE113" s="25"/>
      <c r="BF113" s="25"/>
      <c r="BG113" s="25"/>
      <c r="BH113" s="25"/>
      <c r="BI113" s="33"/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</row>
    <row r="114" spans="1:92" s="48" customFormat="1" x14ac:dyDescent="0.25">
      <c r="A114" s="25" t="s">
        <v>146</v>
      </c>
      <c r="B114" s="25" t="s">
        <v>300</v>
      </c>
      <c r="C114" s="25" t="s">
        <v>539</v>
      </c>
      <c r="D114" s="25">
        <v>181</v>
      </c>
      <c r="E114" s="35" cm="1">
        <f t="array" ref="E114">IFERROR(INDEX($H$5:$AVV$5, _xlfn.AGGREGATE(15,6, COLUMN(H114:AVV114)-COLUMN(H114)+F114 / (H114:AVV114="T"), $A$2)), "")</f>
        <v>45976</v>
      </c>
      <c r="F114" s="97">
        <v>1</v>
      </c>
      <c r="G114" s="38" t="s">
        <v>10</v>
      </c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 t="s">
        <v>12</v>
      </c>
      <c r="W114" s="27"/>
      <c r="X114" s="37"/>
      <c r="Y114" s="27"/>
      <c r="Z114" s="28"/>
      <c r="AA114" s="27"/>
      <c r="AB114" s="27"/>
      <c r="AC114" s="29" t="s">
        <v>16</v>
      </c>
      <c r="AD114" s="30" t="s">
        <v>13</v>
      </c>
      <c r="AE114" s="27"/>
      <c r="AF114" s="98"/>
      <c r="AG114" s="99"/>
      <c r="AH114" s="98"/>
      <c r="AI114" s="98"/>
      <c r="AJ114" s="100" t="s">
        <v>14</v>
      </c>
      <c r="AK114" s="30" t="s">
        <v>11</v>
      </c>
      <c r="AL114" s="27"/>
      <c r="AM114" s="27"/>
      <c r="AN114" s="28"/>
      <c r="AO114" s="27"/>
      <c r="AP114" s="29" t="s">
        <v>15</v>
      </c>
      <c r="AQ114" s="27"/>
      <c r="AR114" s="27"/>
      <c r="AS114" s="25">
        <v>17</v>
      </c>
      <c r="AT114" s="25"/>
      <c r="AU114" s="25"/>
      <c r="AV114" s="25"/>
      <c r="AW114" s="25"/>
      <c r="AX114" s="25"/>
      <c r="AY114" s="31"/>
      <c r="AZ114" s="25"/>
      <c r="BA114" s="25"/>
      <c r="BB114" s="25"/>
      <c r="BC114" s="25"/>
      <c r="BD114" s="25"/>
      <c r="BE114" s="25"/>
      <c r="BF114" s="25"/>
      <c r="BG114" s="25"/>
      <c r="BH114" s="25"/>
      <c r="BI114" s="33"/>
      <c r="BJ114" s="33"/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</row>
    <row r="115" spans="1:92" x14ac:dyDescent="0.25">
      <c r="A115" s="25" t="s">
        <v>146</v>
      </c>
      <c r="B115" s="25" t="s">
        <v>301</v>
      </c>
      <c r="C115" s="25" t="s">
        <v>540</v>
      </c>
      <c r="D115" s="25">
        <v>182</v>
      </c>
      <c r="E115" s="35" cm="1">
        <f t="array" ref="E115">IFERROR(INDEX($H$5:$AVV$5, _xlfn.AGGREGATE(15,6, COLUMN(H115:AVV115)-COLUMN(H115)+F115 / (H115:AVV115="T"), $A$2)), "")</f>
        <v>45976</v>
      </c>
      <c r="F115" s="97">
        <v>1</v>
      </c>
      <c r="G115" s="38" t="s">
        <v>10</v>
      </c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 t="s">
        <v>12</v>
      </c>
      <c r="W115" s="27"/>
      <c r="X115" s="37"/>
      <c r="Y115" s="27"/>
      <c r="Z115" s="28"/>
      <c r="AA115" s="27"/>
      <c r="AB115" s="27"/>
      <c r="AC115" s="29" t="s">
        <v>16</v>
      </c>
      <c r="AD115" s="30" t="s">
        <v>13</v>
      </c>
      <c r="AE115" s="27"/>
      <c r="AF115" s="98"/>
      <c r="AG115" s="99"/>
      <c r="AH115" s="98"/>
      <c r="AI115" s="98"/>
      <c r="AJ115" s="100" t="s">
        <v>14</v>
      </c>
      <c r="AK115" s="30" t="s">
        <v>11</v>
      </c>
      <c r="AL115" s="27"/>
      <c r="AM115" s="27"/>
      <c r="AN115" s="28"/>
      <c r="AO115" s="27"/>
      <c r="AP115" s="29" t="s">
        <v>15</v>
      </c>
      <c r="AQ115" s="27"/>
      <c r="AR115" s="27"/>
      <c r="AS115" s="25">
        <v>17</v>
      </c>
      <c r="AT115" s="25"/>
      <c r="AU115" s="25"/>
      <c r="AV115" s="25"/>
      <c r="AW115" s="25"/>
      <c r="AX115" s="25"/>
      <c r="AY115" s="31"/>
      <c r="AZ115" s="25"/>
      <c r="BA115" s="25"/>
      <c r="BB115" s="25"/>
      <c r="BC115" s="25"/>
      <c r="BD115" s="25"/>
      <c r="BE115" s="25"/>
      <c r="BF115" s="25"/>
      <c r="BG115" s="25"/>
      <c r="BH115" s="25"/>
      <c r="BI115" s="33"/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</row>
    <row r="116" spans="1:92" x14ac:dyDescent="0.25">
      <c r="A116" s="25" t="s">
        <v>146</v>
      </c>
      <c r="B116" s="25" t="s">
        <v>302</v>
      </c>
      <c r="C116" s="25" t="s">
        <v>541</v>
      </c>
      <c r="D116" s="25">
        <v>183</v>
      </c>
      <c r="E116" s="35" cm="1">
        <f t="array" ref="E116">IFERROR(INDEX($H$5:$AVV$5, _xlfn.AGGREGATE(15,6, COLUMN(H116:AVV116)-COLUMN(H116)+F116 / (H116:AVV116="T"), $A$2)), "")</f>
        <v>45976</v>
      </c>
      <c r="F116" s="97">
        <v>1</v>
      </c>
      <c r="G116" s="38" t="s">
        <v>10</v>
      </c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 t="s">
        <v>12</v>
      </c>
      <c r="W116" s="27"/>
      <c r="X116" s="37"/>
      <c r="Y116" s="27"/>
      <c r="Z116" s="28"/>
      <c r="AA116" s="27"/>
      <c r="AB116" s="27"/>
      <c r="AC116" s="29" t="s">
        <v>16</v>
      </c>
      <c r="AD116" s="30" t="s">
        <v>13</v>
      </c>
      <c r="AE116" s="27"/>
      <c r="AF116" s="98"/>
      <c r="AG116" s="99"/>
      <c r="AH116" s="98"/>
      <c r="AI116" s="98"/>
      <c r="AJ116" s="100" t="s">
        <v>14</v>
      </c>
      <c r="AK116" s="30" t="s">
        <v>11</v>
      </c>
      <c r="AL116" s="27"/>
      <c r="AM116" s="27"/>
      <c r="AN116" s="28"/>
      <c r="AO116" s="27"/>
      <c r="AP116" s="29" t="s">
        <v>15</v>
      </c>
      <c r="AQ116" s="27"/>
      <c r="AR116" s="27"/>
      <c r="AS116" s="25">
        <v>17</v>
      </c>
      <c r="AT116" s="25"/>
      <c r="AU116" s="25"/>
      <c r="AV116" s="25"/>
      <c r="AW116" s="25"/>
      <c r="AX116" s="25"/>
      <c r="AY116" s="31"/>
      <c r="AZ116" s="25"/>
      <c r="BA116" s="25"/>
      <c r="BB116" s="25"/>
      <c r="BC116" s="25"/>
      <c r="BD116" s="25"/>
      <c r="BE116" s="25"/>
      <c r="BF116" s="25"/>
      <c r="BG116" s="25"/>
      <c r="BH116" s="25"/>
      <c r="BI116" s="33"/>
      <c r="BJ116" s="33"/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</row>
    <row r="117" spans="1:92" s="48" customFormat="1" x14ac:dyDescent="0.25">
      <c r="A117" s="25" t="s">
        <v>146</v>
      </c>
      <c r="B117" s="25" t="s">
        <v>303</v>
      </c>
      <c r="C117" s="25" t="s">
        <v>542</v>
      </c>
      <c r="D117" s="25">
        <v>184</v>
      </c>
      <c r="E117" s="35" cm="1">
        <f t="array" ref="E117">IFERROR(INDEX($H$5:$AVV$5, _xlfn.AGGREGATE(15,6, COLUMN(H117:AVV117)-COLUMN(H117)+F117 / (H117:AVV117="T"), $A$2)), "")</f>
        <v>45976</v>
      </c>
      <c r="F117" s="97">
        <v>1</v>
      </c>
      <c r="G117" s="38" t="s">
        <v>10</v>
      </c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 t="s">
        <v>12</v>
      </c>
      <c r="W117" s="27"/>
      <c r="X117" s="37"/>
      <c r="Y117" s="27"/>
      <c r="Z117" s="28"/>
      <c r="AA117" s="27"/>
      <c r="AB117" s="27"/>
      <c r="AC117" s="29" t="s">
        <v>16</v>
      </c>
      <c r="AD117" s="30" t="s">
        <v>13</v>
      </c>
      <c r="AE117" s="27"/>
      <c r="AF117" s="98"/>
      <c r="AG117" s="99"/>
      <c r="AH117" s="98"/>
      <c r="AI117" s="98"/>
      <c r="AJ117" s="100" t="s">
        <v>14</v>
      </c>
      <c r="AK117" s="101" t="s">
        <v>11</v>
      </c>
      <c r="AL117" s="27"/>
      <c r="AM117" s="27"/>
      <c r="AN117" s="28"/>
      <c r="AO117" s="27"/>
      <c r="AP117" s="29" t="s">
        <v>15</v>
      </c>
      <c r="AQ117" s="27"/>
      <c r="AR117" s="27"/>
      <c r="AS117" s="25">
        <v>17</v>
      </c>
      <c r="AT117" s="25"/>
      <c r="AU117" s="25"/>
      <c r="AV117" s="25"/>
      <c r="AW117" s="25"/>
      <c r="AX117" s="25"/>
      <c r="AY117" s="25"/>
      <c r="AZ117" s="31"/>
      <c r="BA117" s="25"/>
      <c r="BB117" s="25"/>
      <c r="BC117" s="25"/>
      <c r="BD117" s="25"/>
      <c r="BE117" s="25"/>
      <c r="BF117" s="25"/>
      <c r="BG117" s="25"/>
      <c r="BH117" s="25"/>
      <c r="BI117" s="25"/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</row>
    <row r="118" spans="1:92" s="48" customFormat="1" x14ac:dyDescent="0.25">
      <c r="A118" s="25" t="s">
        <v>146</v>
      </c>
      <c r="B118" s="25" t="s">
        <v>304</v>
      </c>
      <c r="C118" s="25" t="s">
        <v>543</v>
      </c>
      <c r="D118" s="25">
        <v>185</v>
      </c>
      <c r="E118" s="35" cm="1">
        <f t="array" ref="E118">IFERROR(INDEX($H$5:$AVV$5, _xlfn.AGGREGATE(15,6, COLUMN(H118:AVV118)-COLUMN(H118)+F118 / (H118:AVV118="T"), $A$2)), "")</f>
        <v>45976</v>
      </c>
      <c r="F118" s="97">
        <v>1</v>
      </c>
      <c r="G118" s="38" t="s">
        <v>10</v>
      </c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 t="s">
        <v>12</v>
      </c>
      <c r="W118" s="27"/>
      <c r="X118" s="37"/>
      <c r="Y118" s="27"/>
      <c r="Z118" s="28"/>
      <c r="AA118" s="27"/>
      <c r="AB118" s="27"/>
      <c r="AC118" s="29" t="s">
        <v>16</v>
      </c>
      <c r="AD118" s="30" t="s">
        <v>13</v>
      </c>
      <c r="AE118" s="27"/>
      <c r="AF118" s="98"/>
      <c r="AG118" s="99"/>
      <c r="AH118" s="98"/>
      <c r="AI118" s="98"/>
      <c r="AJ118" s="100" t="s">
        <v>14</v>
      </c>
      <c r="AK118" s="101" t="s">
        <v>11</v>
      </c>
      <c r="AL118" s="27"/>
      <c r="AM118" s="27"/>
      <c r="AN118" s="28"/>
      <c r="AO118" s="27"/>
      <c r="AP118" s="29" t="s">
        <v>15</v>
      </c>
      <c r="AQ118" s="27"/>
      <c r="AR118" s="27"/>
      <c r="AS118" s="25">
        <v>17</v>
      </c>
      <c r="AT118" s="25"/>
      <c r="AU118" s="25"/>
      <c r="AV118" s="25"/>
      <c r="AW118" s="25"/>
      <c r="AX118" s="25"/>
      <c r="AY118" s="25"/>
      <c r="AZ118" s="31"/>
      <c r="BA118" s="25"/>
      <c r="BB118" s="25"/>
      <c r="BC118" s="25"/>
      <c r="BD118" s="25"/>
      <c r="BE118" s="25"/>
      <c r="BF118" s="25"/>
      <c r="BG118" s="25"/>
      <c r="BH118" s="25"/>
      <c r="BI118" s="25"/>
      <c r="BJ118" s="33"/>
      <c r="BK118" s="33"/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</row>
    <row r="119" spans="1:92" s="48" customFormat="1" x14ac:dyDescent="0.25">
      <c r="A119" s="25" t="s">
        <v>146</v>
      </c>
      <c r="B119" s="25" t="s">
        <v>305</v>
      </c>
      <c r="C119" s="25" t="s">
        <v>544</v>
      </c>
      <c r="D119" s="25">
        <v>186</v>
      </c>
      <c r="E119" s="35" cm="1">
        <f t="array" ref="E119">IFERROR(INDEX($H$5:$AVV$5, _xlfn.AGGREGATE(15,6, COLUMN(H119:AVV119)-COLUMN(H119)+F119 / (H119:AVV119="T"), $A$2)), "")</f>
        <v>45976</v>
      </c>
      <c r="F119" s="97">
        <v>1</v>
      </c>
      <c r="G119" s="38" t="s">
        <v>10</v>
      </c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 t="s">
        <v>12</v>
      </c>
      <c r="W119" s="27"/>
      <c r="X119" s="37"/>
      <c r="Y119" s="27"/>
      <c r="Z119" s="28"/>
      <c r="AA119" s="27"/>
      <c r="AB119" s="27"/>
      <c r="AC119" s="29" t="s">
        <v>16</v>
      </c>
      <c r="AD119" s="30" t="s">
        <v>13</v>
      </c>
      <c r="AE119" s="27"/>
      <c r="AF119" s="98"/>
      <c r="AG119" s="99"/>
      <c r="AH119" s="98"/>
      <c r="AI119" s="98"/>
      <c r="AJ119" s="100" t="s">
        <v>14</v>
      </c>
      <c r="AK119" s="101" t="s">
        <v>11</v>
      </c>
      <c r="AL119" s="27"/>
      <c r="AM119" s="27"/>
      <c r="AN119" s="28"/>
      <c r="AO119" s="27"/>
      <c r="AP119" s="29" t="s">
        <v>15</v>
      </c>
      <c r="AQ119" s="27"/>
      <c r="AR119" s="27"/>
      <c r="AS119" s="25">
        <v>17</v>
      </c>
      <c r="AT119" s="25"/>
      <c r="AU119" s="25"/>
      <c r="AV119" s="25"/>
      <c r="AW119" s="25"/>
      <c r="AX119" s="25"/>
      <c r="AY119" s="25"/>
      <c r="AZ119" s="31"/>
      <c r="BA119" s="25"/>
      <c r="BB119" s="25"/>
      <c r="BC119" s="25"/>
      <c r="BD119" s="25"/>
      <c r="BE119" s="25"/>
      <c r="BF119" s="25"/>
      <c r="BG119" s="25"/>
      <c r="BH119" s="25"/>
      <c r="BI119" s="25"/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</row>
    <row r="120" spans="1:92" ht="15" customHeight="1" x14ac:dyDescent="0.25">
      <c r="A120" s="25" t="s">
        <v>146</v>
      </c>
      <c r="B120" s="25" t="s">
        <v>267</v>
      </c>
      <c r="C120" s="25" t="s">
        <v>513</v>
      </c>
      <c r="D120" s="25">
        <v>155</v>
      </c>
      <c r="E120" s="35" cm="1">
        <f t="array" ref="E120">IFERROR(INDEX($H$5:$AVV$5, _xlfn.AGGREGATE(15,6, COLUMN(H120:AVV120)-COLUMN(H120)+F120 / (H120:AVV120="T"), $A$2)), "")</f>
        <v>45977</v>
      </c>
      <c r="F120" s="97">
        <v>1</v>
      </c>
      <c r="G120" s="38" t="s">
        <v>10</v>
      </c>
      <c r="H120" s="33"/>
      <c r="I120" s="33"/>
      <c r="J120" s="33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 t="s">
        <v>12</v>
      </c>
      <c r="X120" s="27"/>
      <c r="Y120" s="27"/>
      <c r="Z120" s="27"/>
      <c r="AA120" s="103"/>
      <c r="AB120" s="27"/>
      <c r="AC120" s="27"/>
      <c r="AD120" s="29" t="s">
        <v>16</v>
      </c>
      <c r="AE120" s="30" t="s">
        <v>13</v>
      </c>
      <c r="AF120" s="27"/>
      <c r="AG120" s="27"/>
      <c r="AH120" s="28"/>
      <c r="AI120" s="98"/>
      <c r="AJ120" s="98"/>
      <c r="AK120" s="100" t="s">
        <v>14</v>
      </c>
      <c r="AL120" s="101" t="s">
        <v>11</v>
      </c>
      <c r="AM120" s="98"/>
      <c r="AN120" s="98"/>
      <c r="AO120" s="99"/>
      <c r="AP120" s="98"/>
      <c r="AQ120" s="100" t="s">
        <v>15</v>
      </c>
      <c r="AR120" s="98"/>
      <c r="AS120" s="98"/>
      <c r="AT120" s="33">
        <v>17</v>
      </c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33"/>
      <c r="BJ120" s="33"/>
      <c r="BK120" s="33"/>
      <c r="BL120" s="33"/>
      <c r="BM120" s="33"/>
      <c r="BN120" s="33"/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</row>
    <row r="121" spans="1:92" x14ac:dyDescent="0.25">
      <c r="A121" s="25" t="s">
        <v>146</v>
      </c>
      <c r="B121" s="25" t="s">
        <v>268</v>
      </c>
      <c r="C121" s="25" t="s">
        <v>514</v>
      </c>
      <c r="D121" s="25">
        <v>156</v>
      </c>
      <c r="E121" s="35" cm="1">
        <f t="array" ref="E121">IFERROR(INDEX($H$5:$AVV$5, _xlfn.AGGREGATE(15,6, COLUMN(H121:AVV121)-COLUMN(H121)+F121 / (H121:AVV121="T"), $A$2)), "")</f>
        <v>45977</v>
      </c>
      <c r="F121" s="97">
        <v>1</v>
      </c>
      <c r="G121" s="38" t="s">
        <v>10</v>
      </c>
      <c r="H121" s="33"/>
      <c r="I121" s="33"/>
      <c r="J121" s="33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 t="s">
        <v>12</v>
      </c>
      <c r="X121" s="27"/>
      <c r="Y121" s="27"/>
      <c r="Z121" s="27"/>
      <c r="AA121" s="103"/>
      <c r="AB121" s="27"/>
      <c r="AC121" s="27"/>
      <c r="AD121" s="29" t="s">
        <v>16</v>
      </c>
      <c r="AE121" s="30" t="s">
        <v>13</v>
      </c>
      <c r="AF121" s="27"/>
      <c r="AG121" s="27"/>
      <c r="AH121" s="28"/>
      <c r="AI121" s="98"/>
      <c r="AJ121" s="98"/>
      <c r="AK121" s="100" t="s">
        <v>14</v>
      </c>
      <c r="AL121" s="101" t="s">
        <v>11</v>
      </c>
      <c r="AM121" s="98"/>
      <c r="AN121" s="98"/>
      <c r="AO121" s="99"/>
      <c r="AP121" s="98"/>
      <c r="AQ121" s="100" t="s">
        <v>15</v>
      </c>
      <c r="AR121" s="98"/>
      <c r="AS121" s="98"/>
      <c r="AT121" s="33">
        <v>17</v>
      </c>
      <c r="AU121" s="33"/>
      <c r="AV121" s="33"/>
      <c r="AW121" s="33"/>
      <c r="AX121" s="33"/>
      <c r="AY121" s="33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</row>
    <row r="122" spans="1:92" x14ac:dyDescent="0.25">
      <c r="A122" s="25" t="s">
        <v>146</v>
      </c>
      <c r="B122" s="25" t="s">
        <v>269</v>
      </c>
      <c r="C122" s="25" t="s">
        <v>515</v>
      </c>
      <c r="D122" s="25">
        <v>157</v>
      </c>
      <c r="E122" s="35" cm="1">
        <f t="array" ref="E122">IFERROR(INDEX($H$5:$AVV$5, _xlfn.AGGREGATE(15,6, COLUMN(H122:AVV122)-COLUMN(H122)+F122 / (H122:AVV122="T"), $A$2)), "")</f>
        <v>45977</v>
      </c>
      <c r="F122" s="97">
        <v>1</v>
      </c>
      <c r="G122" s="38" t="s">
        <v>10</v>
      </c>
      <c r="H122" s="33"/>
      <c r="I122" s="33"/>
      <c r="J122" s="33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 t="s">
        <v>12</v>
      </c>
      <c r="X122" s="27"/>
      <c r="Y122" s="27"/>
      <c r="Z122" s="27"/>
      <c r="AA122" s="103"/>
      <c r="AB122" s="27"/>
      <c r="AC122" s="27"/>
      <c r="AD122" s="29" t="s">
        <v>16</v>
      </c>
      <c r="AE122" s="30" t="s">
        <v>13</v>
      </c>
      <c r="AF122" s="27"/>
      <c r="AG122" s="27"/>
      <c r="AH122" s="28"/>
      <c r="AI122" s="98"/>
      <c r="AJ122" s="98"/>
      <c r="AK122" s="100" t="s">
        <v>14</v>
      </c>
      <c r="AL122" s="101" t="s">
        <v>11</v>
      </c>
      <c r="AM122" s="98"/>
      <c r="AN122" s="98"/>
      <c r="AO122" s="99"/>
      <c r="AP122" s="98"/>
      <c r="AQ122" s="100" t="s">
        <v>15</v>
      </c>
      <c r="AR122" s="98"/>
      <c r="AS122" s="98"/>
      <c r="AT122" s="33">
        <v>17</v>
      </c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33"/>
      <c r="BJ122" s="33"/>
      <c r="BK122" s="33"/>
      <c r="BL122" s="33"/>
      <c r="BM122" s="33"/>
      <c r="BN122" s="33"/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</row>
    <row r="123" spans="1:92" x14ac:dyDescent="0.25">
      <c r="A123" s="25" t="s">
        <v>146</v>
      </c>
      <c r="B123" s="25" t="s">
        <v>270</v>
      </c>
      <c r="C123" s="25" t="s">
        <v>516</v>
      </c>
      <c r="D123" s="25">
        <v>158</v>
      </c>
      <c r="E123" s="35" cm="1">
        <f t="array" ref="E123">IFERROR(INDEX($H$5:$AVV$5, _xlfn.AGGREGATE(15,6, COLUMN(H123:AVV123)-COLUMN(H123)+F123 / (H123:AVV123="T"), $A$2)), "")</f>
        <v>45977</v>
      </c>
      <c r="F123" s="97">
        <v>1</v>
      </c>
      <c r="G123" s="38" t="s">
        <v>10</v>
      </c>
      <c r="H123" s="33"/>
      <c r="I123" s="33"/>
      <c r="J123" s="33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 t="s">
        <v>12</v>
      </c>
      <c r="X123" s="27"/>
      <c r="Y123" s="27"/>
      <c r="Z123" s="27"/>
      <c r="AA123" s="103"/>
      <c r="AB123" s="27"/>
      <c r="AC123" s="27"/>
      <c r="AD123" s="29" t="s">
        <v>16</v>
      </c>
      <c r="AE123" s="30" t="s">
        <v>13</v>
      </c>
      <c r="AF123" s="27"/>
      <c r="AG123" s="27"/>
      <c r="AH123" s="28"/>
      <c r="AI123" s="98"/>
      <c r="AJ123" s="98"/>
      <c r="AK123" s="100" t="s">
        <v>14</v>
      </c>
      <c r="AL123" s="101" t="s">
        <v>11</v>
      </c>
      <c r="AM123" s="98"/>
      <c r="AN123" s="98"/>
      <c r="AO123" s="99"/>
      <c r="AP123" s="98"/>
      <c r="AQ123" s="100" t="s">
        <v>15</v>
      </c>
      <c r="AR123" s="98"/>
      <c r="AS123" s="98"/>
      <c r="AT123" s="33">
        <v>17</v>
      </c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</row>
    <row r="124" spans="1:92" x14ac:dyDescent="0.25">
      <c r="A124" s="25" t="s">
        <v>146</v>
      </c>
      <c r="B124" s="25" t="s">
        <v>271</v>
      </c>
      <c r="C124" s="25" t="s">
        <v>517</v>
      </c>
      <c r="D124" s="25">
        <v>159</v>
      </c>
      <c r="E124" s="35" cm="1">
        <f t="array" ref="E124">IFERROR(INDEX($H$5:$AVV$5, _xlfn.AGGREGATE(15,6, COLUMN(H124:AVV124)-COLUMN(H124)+F124 / (H124:AVV124="T"), $A$2)), "")</f>
        <v>45977</v>
      </c>
      <c r="F124" s="97">
        <v>1</v>
      </c>
      <c r="G124" s="38" t="s">
        <v>10</v>
      </c>
      <c r="H124" s="33"/>
      <c r="I124" s="33"/>
      <c r="J124" s="33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 t="s">
        <v>12</v>
      </c>
      <c r="X124" s="27"/>
      <c r="Y124" s="27"/>
      <c r="Z124" s="27"/>
      <c r="AA124" s="103"/>
      <c r="AB124" s="27"/>
      <c r="AC124" s="27"/>
      <c r="AD124" s="29" t="s">
        <v>16</v>
      </c>
      <c r="AE124" s="30" t="s">
        <v>13</v>
      </c>
      <c r="AF124" s="27"/>
      <c r="AG124" s="27"/>
      <c r="AH124" s="28"/>
      <c r="AI124" s="98"/>
      <c r="AJ124" s="98"/>
      <c r="AK124" s="100" t="s">
        <v>14</v>
      </c>
      <c r="AL124" s="101" t="s">
        <v>11</v>
      </c>
      <c r="AM124" s="98"/>
      <c r="AN124" s="98"/>
      <c r="AO124" s="99"/>
      <c r="AP124" s="98"/>
      <c r="AQ124" s="100" t="s">
        <v>15</v>
      </c>
      <c r="AR124" s="98"/>
      <c r="AS124" s="98"/>
      <c r="AT124" s="33">
        <v>17</v>
      </c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33"/>
      <c r="BJ124" s="33"/>
      <c r="BK124" s="33"/>
      <c r="BL124" s="33"/>
      <c r="BM124" s="33"/>
      <c r="BN124" s="33"/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</row>
    <row r="125" spans="1:92" x14ac:dyDescent="0.25">
      <c r="A125" s="25" t="s">
        <v>146</v>
      </c>
      <c r="B125" s="25" t="s">
        <v>272</v>
      </c>
      <c r="C125" s="25" t="s">
        <v>518</v>
      </c>
      <c r="D125" s="25">
        <v>160</v>
      </c>
      <c r="E125" s="35" cm="1">
        <f t="array" ref="E125">IFERROR(INDEX($H$5:$AVV$5, _xlfn.AGGREGATE(15,6, COLUMN(H125:AVV125)-COLUMN(H125)+F125 / (H125:AVV125="T"), $A$2)), "")</f>
        <v>45977</v>
      </c>
      <c r="F125" s="97">
        <v>1</v>
      </c>
      <c r="G125" s="38" t="s">
        <v>10</v>
      </c>
      <c r="H125" s="33"/>
      <c r="I125" s="33"/>
      <c r="J125" s="33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 t="s">
        <v>12</v>
      </c>
      <c r="X125" s="27"/>
      <c r="Y125" s="27"/>
      <c r="Z125" s="27"/>
      <c r="AA125" s="103"/>
      <c r="AB125" s="27"/>
      <c r="AC125" s="27"/>
      <c r="AD125" s="29" t="s">
        <v>16</v>
      </c>
      <c r="AE125" s="30" t="s">
        <v>13</v>
      </c>
      <c r="AF125" s="27"/>
      <c r="AG125" s="27"/>
      <c r="AH125" s="28"/>
      <c r="AI125" s="98"/>
      <c r="AJ125" s="98"/>
      <c r="AK125" s="100" t="s">
        <v>14</v>
      </c>
      <c r="AL125" s="101" t="s">
        <v>11</v>
      </c>
      <c r="AM125" s="98"/>
      <c r="AN125" s="98"/>
      <c r="AO125" s="99"/>
      <c r="AP125" s="98"/>
      <c r="AQ125" s="100" t="s">
        <v>15</v>
      </c>
      <c r="AR125" s="98"/>
      <c r="AS125" s="98"/>
      <c r="AT125" s="33">
        <v>17</v>
      </c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</row>
    <row r="126" spans="1:92" x14ac:dyDescent="0.25">
      <c r="A126" s="25" t="s">
        <v>146</v>
      </c>
      <c r="B126" s="25" t="s">
        <v>273</v>
      </c>
      <c r="C126" s="25" t="s">
        <v>519</v>
      </c>
      <c r="D126" s="25">
        <v>161</v>
      </c>
      <c r="E126" s="35" cm="1">
        <f t="array" ref="E126">IFERROR(INDEX($H$5:$AVV$5, _xlfn.AGGREGATE(15,6, COLUMN(H126:AVV126)-COLUMN(H126)+F126 / (H126:AVV126="T"), $A$2)), "")</f>
        <v>45977</v>
      </c>
      <c r="F126" s="97">
        <v>1</v>
      </c>
      <c r="G126" s="38" t="s">
        <v>10</v>
      </c>
      <c r="H126" s="33"/>
      <c r="I126" s="33"/>
      <c r="J126" s="33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 t="s">
        <v>12</v>
      </c>
      <c r="X126" s="27"/>
      <c r="Y126" s="27"/>
      <c r="Z126" s="27"/>
      <c r="AA126" s="103"/>
      <c r="AB126" s="27"/>
      <c r="AC126" s="27"/>
      <c r="AD126" s="29" t="s">
        <v>16</v>
      </c>
      <c r="AE126" s="30" t="s">
        <v>13</v>
      </c>
      <c r="AF126" s="27"/>
      <c r="AG126" s="27"/>
      <c r="AH126" s="28"/>
      <c r="AI126" s="98"/>
      <c r="AJ126" s="98"/>
      <c r="AK126" s="100" t="s">
        <v>14</v>
      </c>
      <c r="AL126" s="101" t="s">
        <v>11</v>
      </c>
      <c r="AM126" s="98"/>
      <c r="AN126" s="98"/>
      <c r="AO126" s="99"/>
      <c r="AP126" s="98"/>
      <c r="AQ126" s="100" t="s">
        <v>15</v>
      </c>
      <c r="AR126" s="98"/>
      <c r="AS126" s="98"/>
      <c r="AT126" s="33">
        <v>17</v>
      </c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33"/>
      <c r="BJ126" s="33"/>
      <c r="BK126" s="33"/>
      <c r="BL126" s="33"/>
      <c r="BM126" s="33"/>
      <c r="BN126" s="33"/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</row>
    <row r="127" spans="1:92" x14ac:dyDescent="0.25">
      <c r="A127" s="25" t="s">
        <v>146</v>
      </c>
      <c r="B127" s="25" t="s">
        <v>274</v>
      </c>
      <c r="C127" s="25" t="s">
        <v>520</v>
      </c>
      <c r="D127" s="25">
        <v>162</v>
      </c>
      <c r="E127" s="35" cm="1">
        <f t="array" ref="E127">IFERROR(INDEX($H$5:$AVV$5, _xlfn.AGGREGATE(15,6, COLUMN(H127:AVV127)-COLUMN(H127)+F127 / (H127:AVV127="T"), $A$2)), "")</f>
        <v>45978</v>
      </c>
      <c r="F127" s="97">
        <v>1</v>
      </c>
      <c r="G127" s="38" t="s">
        <v>10</v>
      </c>
      <c r="H127" s="33"/>
      <c r="I127" s="33"/>
      <c r="J127" s="33"/>
      <c r="K127" s="33"/>
      <c r="L127" s="33"/>
      <c r="M127" s="33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12</v>
      </c>
      <c r="Y127" s="27"/>
      <c r="Z127" s="27"/>
      <c r="AA127" s="27"/>
      <c r="AB127" s="103"/>
      <c r="AC127" s="27"/>
      <c r="AD127" s="27"/>
      <c r="AE127" s="29" t="s">
        <v>16</v>
      </c>
      <c r="AF127" s="30" t="s">
        <v>13</v>
      </c>
      <c r="AG127" s="27"/>
      <c r="AH127" s="27"/>
      <c r="AI127" s="28"/>
      <c r="AJ127" s="27"/>
      <c r="AK127" s="27"/>
      <c r="AL127" s="100" t="s">
        <v>14</v>
      </c>
      <c r="AM127" s="101" t="s">
        <v>11</v>
      </c>
      <c r="AN127" s="98"/>
      <c r="AO127" s="98"/>
      <c r="AP127" s="99"/>
      <c r="AQ127" s="98"/>
      <c r="AR127" s="100" t="s">
        <v>15</v>
      </c>
      <c r="AS127" s="98"/>
      <c r="AT127" s="98"/>
      <c r="AU127" s="33">
        <v>17</v>
      </c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</row>
    <row r="128" spans="1:92" s="40" customFormat="1" x14ac:dyDescent="0.25">
      <c r="A128" s="25" t="s">
        <v>146</v>
      </c>
      <c r="B128" s="25" t="s">
        <v>275</v>
      </c>
      <c r="C128" s="25" t="s">
        <v>521</v>
      </c>
      <c r="D128" s="25">
        <v>163</v>
      </c>
      <c r="E128" s="35" cm="1">
        <f t="array" ref="E128">IFERROR(INDEX($H$5:$AVV$5, _xlfn.AGGREGATE(15,6, COLUMN(H128:AVV128)-COLUMN(H128)+F128 / (H128:AVV128="T"), $A$2)), "")</f>
        <v>45978</v>
      </c>
      <c r="F128" s="97">
        <v>1</v>
      </c>
      <c r="G128" s="38" t="s">
        <v>10</v>
      </c>
      <c r="H128" s="33"/>
      <c r="I128" s="33"/>
      <c r="J128" s="33"/>
      <c r="K128" s="33"/>
      <c r="L128" s="33"/>
      <c r="M128" s="33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12</v>
      </c>
      <c r="Y128" s="27"/>
      <c r="Z128" s="27"/>
      <c r="AA128" s="27"/>
      <c r="AB128" s="103"/>
      <c r="AC128" s="27"/>
      <c r="AD128" s="27"/>
      <c r="AE128" s="29" t="s">
        <v>16</v>
      </c>
      <c r="AF128" s="30" t="s">
        <v>13</v>
      </c>
      <c r="AG128" s="27"/>
      <c r="AH128" s="27"/>
      <c r="AI128" s="28"/>
      <c r="AJ128" s="27"/>
      <c r="AK128" s="27"/>
      <c r="AL128" s="100" t="s">
        <v>14</v>
      </c>
      <c r="AM128" s="101" t="s">
        <v>11</v>
      </c>
      <c r="AN128" s="98"/>
      <c r="AO128" s="98"/>
      <c r="AP128" s="99"/>
      <c r="AQ128" s="98"/>
      <c r="AR128" s="100" t="s">
        <v>15</v>
      </c>
      <c r="AS128" s="98"/>
      <c r="AT128" s="98"/>
      <c r="AU128" s="33">
        <v>17</v>
      </c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</row>
    <row r="129" spans="1:93" s="40" customFormat="1" x14ac:dyDescent="0.25">
      <c r="A129" s="25" t="s">
        <v>146</v>
      </c>
      <c r="B129" s="25" t="s">
        <v>276</v>
      </c>
      <c r="C129" s="25" t="s">
        <v>522</v>
      </c>
      <c r="D129" s="25">
        <v>164</v>
      </c>
      <c r="E129" s="35" cm="1">
        <f t="array" ref="E129">IFERROR(INDEX($H$5:$AVV$5, _xlfn.AGGREGATE(15,6, COLUMN(H129:AVV129)-COLUMN(H129)+F129 / (H129:AVV129="T"), $A$2)), "")</f>
        <v>45978</v>
      </c>
      <c r="F129" s="97">
        <v>1</v>
      </c>
      <c r="G129" s="38" t="s">
        <v>10</v>
      </c>
      <c r="H129" s="33"/>
      <c r="I129" s="33"/>
      <c r="J129" s="33"/>
      <c r="K129" s="33"/>
      <c r="L129" s="33"/>
      <c r="M129" s="33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 t="s">
        <v>12</v>
      </c>
      <c r="Y129" s="27"/>
      <c r="Z129" s="27"/>
      <c r="AA129" s="27"/>
      <c r="AB129" s="103"/>
      <c r="AC129" s="27"/>
      <c r="AD129" s="27"/>
      <c r="AE129" s="29" t="s">
        <v>16</v>
      </c>
      <c r="AF129" s="30" t="s">
        <v>13</v>
      </c>
      <c r="AG129" s="27"/>
      <c r="AH129" s="27"/>
      <c r="AI129" s="28"/>
      <c r="AJ129" s="27"/>
      <c r="AK129" s="27"/>
      <c r="AL129" s="100" t="s">
        <v>14</v>
      </c>
      <c r="AM129" s="101" t="s">
        <v>11</v>
      </c>
      <c r="AN129" s="98"/>
      <c r="AO129" s="98"/>
      <c r="AP129" s="99"/>
      <c r="AQ129" s="98"/>
      <c r="AR129" s="100" t="s">
        <v>15</v>
      </c>
      <c r="AS129" s="98"/>
      <c r="AT129" s="98"/>
      <c r="AU129" s="33">
        <v>17</v>
      </c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</row>
    <row r="130" spans="1:93" s="40" customFormat="1" x14ac:dyDescent="0.25">
      <c r="A130" s="25" t="s">
        <v>146</v>
      </c>
      <c r="B130" s="25" t="s">
        <v>277</v>
      </c>
      <c r="C130" s="25" t="s">
        <v>523</v>
      </c>
      <c r="D130" s="25">
        <v>165</v>
      </c>
      <c r="E130" s="35" cm="1">
        <f t="array" ref="E130">IFERROR(INDEX($H$5:$AVV$5, _xlfn.AGGREGATE(15,6, COLUMN(H130:AVV130)-COLUMN(H130)+F130 / (H130:AVV130="T"), $A$2)), "")</f>
        <v>45978</v>
      </c>
      <c r="F130" s="97">
        <v>1</v>
      </c>
      <c r="G130" s="38" t="s">
        <v>10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 t="s">
        <v>12</v>
      </c>
      <c r="Y130" s="98"/>
      <c r="Z130" s="98"/>
      <c r="AA130" s="98"/>
      <c r="AB130" s="99"/>
      <c r="AC130" s="98"/>
      <c r="AD130" s="98"/>
      <c r="AE130" s="100" t="s">
        <v>16</v>
      </c>
      <c r="AF130" s="101" t="s">
        <v>13</v>
      </c>
      <c r="AG130" s="98"/>
      <c r="AH130" s="98"/>
      <c r="AI130" s="99"/>
      <c r="AJ130" s="98"/>
      <c r="AK130" s="98"/>
      <c r="AL130" s="100" t="s">
        <v>14</v>
      </c>
      <c r="AM130" s="101" t="s">
        <v>11</v>
      </c>
      <c r="AN130" s="98"/>
      <c r="AO130" s="98"/>
      <c r="AP130" s="99"/>
      <c r="AQ130" s="98"/>
      <c r="AR130" s="100" t="s">
        <v>15</v>
      </c>
      <c r="AS130" s="98"/>
      <c r="AT130" s="98"/>
      <c r="AU130" s="33">
        <v>17</v>
      </c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</row>
    <row r="131" spans="1:93" s="40" customFormat="1" x14ac:dyDescent="0.25">
      <c r="A131" s="25" t="s">
        <v>146</v>
      </c>
      <c r="B131" s="25" t="s">
        <v>278</v>
      </c>
      <c r="C131" s="25" t="s">
        <v>524</v>
      </c>
      <c r="D131" s="25">
        <v>166</v>
      </c>
      <c r="E131" s="35" cm="1">
        <f t="array" ref="E131">IFERROR(INDEX($H$5:$AVV$5, _xlfn.AGGREGATE(15,6, COLUMN(H131:AVV131)-COLUMN(H131)+F131 / (H131:AVV131="T"), $A$2)), "")</f>
        <v>45978</v>
      </c>
      <c r="F131" s="97">
        <v>1</v>
      </c>
      <c r="G131" s="38" t="s">
        <v>10</v>
      </c>
      <c r="H131" s="33"/>
      <c r="I131" s="33"/>
      <c r="J131" s="33"/>
      <c r="K131" s="33"/>
      <c r="L131" s="33"/>
      <c r="M131" s="33"/>
      <c r="N131" s="33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12</v>
      </c>
      <c r="Y131" s="27"/>
      <c r="Z131" s="27"/>
      <c r="AA131" s="27"/>
      <c r="AB131" s="28"/>
      <c r="AC131" s="37"/>
      <c r="AD131" s="27"/>
      <c r="AE131" s="29" t="s">
        <v>16</v>
      </c>
      <c r="AF131" s="30" t="s">
        <v>13</v>
      </c>
      <c r="AG131" s="27"/>
      <c r="AH131" s="27"/>
      <c r="AI131" s="28"/>
      <c r="AJ131" s="27"/>
      <c r="AK131" s="27"/>
      <c r="AL131" s="29" t="s">
        <v>14</v>
      </c>
      <c r="AM131" s="101" t="s">
        <v>11</v>
      </c>
      <c r="AN131" s="98"/>
      <c r="AO131" s="98"/>
      <c r="AP131" s="99"/>
      <c r="AQ131" s="98"/>
      <c r="AR131" s="100" t="s">
        <v>15</v>
      </c>
      <c r="AS131" s="98"/>
      <c r="AT131" s="98"/>
      <c r="AU131" s="33">
        <v>17</v>
      </c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</row>
    <row r="132" spans="1:93" s="40" customFormat="1" x14ac:dyDescent="0.25">
      <c r="A132" s="25" t="s">
        <v>146</v>
      </c>
      <c r="B132" s="25" t="s">
        <v>279</v>
      </c>
      <c r="C132" s="25" t="s">
        <v>525</v>
      </c>
      <c r="D132" s="25">
        <v>167</v>
      </c>
      <c r="E132" s="35" cm="1">
        <f t="array" ref="E132">IFERROR(INDEX($H$5:$AVV$5, _xlfn.AGGREGATE(15,6, COLUMN(H132:AVV132)-COLUMN(H132)+F132 / (H132:AVV132="T"), $A$2)), "")</f>
        <v>45978</v>
      </c>
      <c r="F132" s="97">
        <v>1</v>
      </c>
      <c r="G132" s="38" t="s">
        <v>10</v>
      </c>
      <c r="H132" s="33"/>
      <c r="I132" s="33"/>
      <c r="J132" s="33"/>
      <c r="K132" s="33"/>
      <c r="L132" s="33"/>
      <c r="M132" s="33"/>
      <c r="N132" s="33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12</v>
      </c>
      <c r="Y132" s="27"/>
      <c r="Z132" s="27"/>
      <c r="AA132" s="27"/>
      <c r="AB132" s="28"/>
      <c r="AC132" s="27"/>
      <c r="AD132" s="27"/>
      <c r="AE132" s="32" t="s">
        <v>16</v>
      </c>
      <c r="AF132" s="30" t="s">
        <v>13</v>
      </c>
      <c r="AG132" s="27"/>
      <c r="AH132" s="27"/>
      <c r="AI132" s="28"/>
      <c r="AJ132" s="27"/>
      <c r="AK132" s="27"/>
      <c r="AL132" s="29" t="s">
        <v>14</v>
      </c>
      <c r="AM132" s="101" t="s">
        <v>11</v>
      </c>
      <c r="AN132" s="98"/>
      <c r="AO132" s="98"/>
      <c r="AP132" s="99"/>
      <c r="AQ132" s="98"/>
      <c r="AR132" s="100" t="s">
        <v>15</v>
      </c>
      <c r="AS132" s="98"/>
      <c r="AT132" s="98"/>
      <c r="AU132" s="33">
        <v>17</v>
      </c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</row>
    <row r="133" spans="1:93" s="40" customFormat="1" x14ac:dyDescent="0.25">
      <c r="A133" s="25" t="s">
        <v>146</v>
      </c>
      <c r="B133" s="25" t="s">
        <v>280</v>
      </c>
      <c r="C133" s="25" t="s">
        <v>526</v>
      </c>
      <c r="D133" s="25">
        <v>168</v>
      </c>
      <c r="E133" s="35" cm="1">
        <f t="array" ref="E133">IFERROR(INDEX($H$5:$AVV$5, _xlfn.AGGREGATE(15,6, COLUMN(H133:AVV133)-COLUMN(H133)+F133 / (H133:AVV133="T"), $A$2)), "")</f>
        <v>45978</v>
      </c>
      <c r="F133" s="97">
        <v>1</v>
      </c>
      <c r="G133" s="38" t="s">
        <v>10</v>
      </c>
      <c r="H133" s="33"/>
      <c r="I133" s="33"/>
      <c r="J133" s="33"/>
      <c r="K133" s="33"/>
      <c r="L133" s="33"/>
      <c r="M133" s="33"/>
      <c r="N133" s="33"/>
      <c r="O133" s="25"/>
      <c r="P133" s="25"/>
      <c r="Q133" s="25"/>
      <c r="R133" s="25"/>
      <c r="S133" s="25"/>
      <c r="T133" s="25"/>
      <c r="U133" s="25"/>
      <c r="V133" s="25"/>
      <c r="W133" s="25"/>
      <c r="X133" s="25" t="s">
        <v>12</v>
      </c>
      <c r="Y133" s="27"/>
      <c r="Z133" s="27"/>
      <c r="AA133" s="27"/>
      <c r="AB133" s="28"/>
      <c r="AC133" s="27"/>
      <c r="AD133" s="27"/>
      <c r="AE133" s="32" t="s">
        <v>16</v>
      </c>
      <c r="AF133" s="30" t="s">
        <v>13</v>
      </c>
      <c r="AG133" s="27"/>
      <c r="AH133" s="27"/>
      <c r="AI133" s="28"/>
      <c r="AJ133" s="27"/>
      <c r="AK133" s="27"/>
      <c r="AL133" s="29" t="s">
        <v>14</v>
      </c>
      <c r="AM133" s="101" t="s">
        <v>11</v>
      </c>
      <c r="AN133" s="98"/>
      <c r="AO133" s="98"/>
      <c r="AP133" s="99"/>
      <c r="AQ133" s="98"/>
      <c r="AR133" s="100" t="s">
        <v>15</v>
      </c>
      <c r="AS133" s="98"/>
      <c r="AT133" s="98"/>
      <c r="AU133" s="33">
        <v>17</v>
      </c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</row>
    <row r="134" spans="1:93" s="40" customFormat="1" x14ac:dyDescent="0.25">
      <c r="A134" s="25" t="s">
        <v>146</v>
      </c>
      <c r="B134" s="25" t="s">
        <v>281</v>
      </c>
      <c r="C134" s="25" t="s">
        <v>527</v>
      </c>
      <c r="D134" s="25">
        <v>169</v>
      </c>
      <c r="E134" s="35" cm="1">
        <f t="array" ref="E134">IFERROR(INDEX($H$5:$AVV$5, _xlfn.AGGREGATE(15,6, COLUMN(H134:AVV134)-COLUMN(H134)+F134 / (H134:AVV134="T"), $A$2)), "")</f>
        <v>45979</v>
      </c>
      <c r="F134" s="97">
        <v>1</v>
      </c>
      <c r="G134" s="38" t="s">
        <v>10</v>
      </c>
      <c r="H134" s="33"/>
      <c r="I134" s="33"/>
      <c r="J134" s="33"/>
      <c r="K134" s="33"/>
      <c r="L134" s="33"/>
      <c r="M134" s="33"/>
      <c r="N134" s="33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 t="s">
        <v>12</v>
      </c>
      <c r="Z134" s="27"/>
      <c r="AA134" s="27"/>
      <c r="AB134" s="27"/>
      <c r="AC134" s="28"/>
      <c r="AD134" s="27"/>
      <c r="AE134" s="37"/>
      <c r="AF134" s="29" t="s">
        <v>16</v>
      </c>
      <c r="AG134" s="30" t="s">
        <v>13</v>
      </c>
      <c r="AH134" s="27"/>
      <c r="AI134" s="27"/>
      <c r="AJ134" s="28"/>
      <c r="AK134" s="27"/>
      <c r="AL134" s="27"/>
      <c r="AM134" s="100" t="s">
        <v>14</v>
      </c>
      <c r="AN134" s="101" t="s">
        <v>11</v>
      </c>
      <c r="AO134" s="98"/>
      <c r="AP134" s="98"/>
      <c r="AQ134" s="99"/>
      <c r="AR134" s="98"/>
      <c r="AS134" s="100" t="s">
        <v>15</v>
      </c>
      <c r="AT134" s="98"/>
      <c r="AU134" s="98"/>
      <c r="AV134" s="33">
        <v>17</v>
      </c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</row>
    <row r="135" spans="1:93" x14ac:dyDescent="0.25">
      <c r="A135" s="25" t="s">
        <v>146</v>
      </c>
      <c r="B135" s="25" t="s">
        <v>282</v>
      </c>
      <c r="C135" s="25" t="s">
        <v>528</v>
      </c>
      <c r="D135" s="25">
        <v>170</v>
      </c>
      <c r="E135" s="35" cm="1">
        <f t="array" ref="E135">IFERROR(INDEX($H$5:$AVV$5, _xlfn.AGGREGATE(15,6, COLUMN(H135:AVV135)-COLUMN(H135)+F135 / (H135:AVV135="T"), $A$2)), "")</f>
        <v>45979</v>
      </c>
      <c r="F135" s="97">
        <v>1</v>
      </c>
      <c r="G135" s="38" t="s">
        <v>10</v>
      </c>
      <c r="H135" s="33"/>
      <c r="I135" s="33"/>
      <c r="J135" s="33"/>
      <c r="K135" s="33"/>
      <c r="L135" s="33"/>
      <c r="M135" s="33"/>
      <c r="N135" s="33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 t="s">
        <v>12</v>
      </c>
      <c r="Z135" s="27"/>
      <c r="AA135" s="27"/>
      <c r="AB135" s="27"/>
      <c r="AC135" s="28"/>
      <c r="AD135" s="27"/>
      <c r="AE135" s="37"/>
      <c r="AF135" s="29" t="s">
        <v>16</v>
      </c>
      <c r="AG135" s="30" t="s">
        <v>13</v>
      </c>
      <c r="AH135" s="27"/>
      <c r="AI135" s="27"/>
      <c r="AJ135" s="28"/>
      <c r="AK135" s="27"/>
      <c r="AL135" s="27"/>
      <c r="AM135" s="100" t="s">
        <v>14</v>
      </c>
      <c r="AN135" s="101" t="s">
        <v>11</v>
      </c>
      <c r="AO135" s="98"/>
      <c r="AP135" s="98"/>
      <c r="AQ135" s="99"/>
      <c r="AR135" s="98"/>
      <c r="AS135" s="100" t="s">
        <v>15</v>
      </c>
      <c r="AT135" s="98"/>
      <c r="AU135" s="98"/>
      <c r="AV135" s="33">
        <v>17</v>
      </c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</row>
    <row r="136" spans="1:93" x14ac:dyDescent="0.25">
      <c r="A136" s="25" t="s">
        <v>146</v>
      </c>
      <c r="B136" s="25" t="s">
        <v>283</v>
      </c>
      <c r="C136" s="25" t="s">
        <v>529</v>
      </c>
      <c r="D136" s="25">
        <v>171</v>
      </c>
      <c r="E136" s="35" cm="1">
        <f t="array" ref="E136">IFERROR(INDEX($H$5:$AVV$5, _xlfn.AGGREGATE(15,6, COLUMN(H136:AVV136)-COLUMN(H136)+F136 / (H136:AVV136="T"), $A$2)), "")</f>
        <v>45979</v>
      </c>
      <c r="F136" s="97">
        <v>1</v>
      </c>
      <c r="G136" s="38" t="s">
        <v>10</v>
      </c>
      <c r="H136" s="33"/>
      <c r="I136" s="33"/>
      <c r="J136" s="33"/>
      <c r="K136" s="33"/>
      <c r="L136" s="33"/>
      <c r="M136" s="33"/>
      <c r="N136" s="33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 t="s">
        <v>12</v>
      </c>
      <c r="Z136" s="27"/>
      <c r="AA136" s="27"/>
      <c r="AB136" s="27"/>
      <c r="AC136" s="28"/>
      <c r="AD136" s="27"/>
      <c r="AE136" s="37"/>
      <c r="AF136" s="29" t="s">
        <v>16</v>
      </c>
      <c r="AG136" s="30" t="s">
        <v>13</v>
      </c>
      <c r="AH136" s="27"/>
      <c r="AI136" s="27"/>
      <c r="AJ136" s="28"/>
      <c r="AK136" s="27"/>
      <c r="AL136" s="27"/>
      <c r="AM136" s="100" t="s">
        <v>14</v>
      </c>
      <c r="AN136" s="101" t="s">
        <v>11</v>
      </c>
      <c r="AO136" s="98"/>
      <c r="AP136" s="98"/>
      <c r="AQ136" s="99"/>
      <c r="AR136" s="98"/>
      <c r="AS136" s="100" t="s">
        <v>15</v>
      </c>
      <c r="AT136" s="98"/>
      <c r="AU136" s="98"/>
      <c r="AV136" s="33">
        <v>17</v>
      </c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</row>
    <row r="137" spans="1:93" x14ac:dyDescent="0.25">
      <c r="A137" s="25" t="s">
        <v>146</v>
      </c>
      <c r="B137" s="25" t="s">
        <v>284</v>
      </c>
      <c r="C137" s="25" t="s">
        <v>530</v>
      </c>
      <c r="D137" s="25">
        <v>172</v>
      </c>
      <c r="E137" s="35" cm="1">
        <f t="array" ref="E137">IFERROR(INDEX($H$5:$AVV$5, _xlfn.AGGREGATE(15,6, COLUMN(H137:AVV137)-COLUMN(H137)+F137 / (H137:AVV137="T"), $A$2)), "")</f>
        <v>45979</v>
      </c>
      <c r="F137" s="97">
        <v>1</v>
      </c>
      <c r="G137" s="38" t="s">
        <v>10</v>
      </c>
      <c r="H137" s="33"/>
      <c r="I137" s="33"/>
      <c r="J137" s="33"/>
      <c r="K137" s="33"/>
      <c r="L137" s="33"/>
      <c r="M137" s="33"/>
      <c r="N137" s="33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 t="s">
        <v>12</v>
      </c>
      <c r="Z137" s="27"/>
      <c r="AA137" s="27"/>
      <c r="AB137" s="27"/>
      <c r="AC137" s="28"/>
      <c r="AD137" s="27"/>
      <c r="AE137" s="37"/>
      <c r="AF137" s="29" t="s">
        <v>16</v>
      </c>
      <c r="AG137" s="30" t="s">
        <v>13</v>
      </c>
      <c r="AH137" s="27"/>
      <c r="AI137" s="27"/>
      <c r="AJ137" s="28"/>
      <c r="AK137" s="27"/>
      <c r="AL137" s="27"/>
      <c r="AM137" s="100" t="s">
        <v>14</v>
      </c>
      <c r="AN137" s="101" t="s">
        <v>11</v>
      </c>
      <c r="AO137" s="98"/>
      <c r="AP137" s="98"/>
      <c r="AQ137" s="99"/>
      <c r="AR137" s="98"/>
      <c r="AS137" s="100" t="s">
        <v>15</v>
      </c>
      <c r="AT137" s="98"/>
      <c r="AU137" s="98"/>
      <c r="AV137" s="33">
        <v>17</v>
      </c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</row>
    <row r="138" spans="1:93" x14ac:dyDescent="0.25">
      <c r="A138" s="25" t="s">
        <v>146</v>
      </c>
      <c r="B138" s="25" t="s">
        <v>285</v>
      </c>
      <c r="C138" s="25" t="s">
        <v>531</v>
      </c>
      <c r="D138" s="25">
        <v>173</v>
      </c>
      <c r="E138" s="35" cm="1">
        <f t="array" ref="E138">IFERROR(INDEX($H$5:$AVV$5, _xlfn.AGGREGATE(15,6, COLUMN(H138:AVV138)-COLUMN(H138)+F138 / (H138:AVV138="T"), $A$2)), "")</f>
        <v>45979</v>
      </c>
      <c r="F138" s="97">
        <v>1</v>
      </c>
      <c r="G138" s="38" t="s">
        <v>10</v>
      </c>
      <c r="H138" s="33"/>
      <c r="I138" s="33"/>
      <c r="J138" s="33"/>
      <c r="K138" s="33"/>
      <c r="L138" s="33"/>
      <c r="M138" s="33"/>
      <c r="N138" s="33"/>
      <c r="O138" s="33"/>
      <c r="P138" s="25"/>
      <c r="Q138" s="25"/>
      <c r="R138" s="25"/>
      <c r="S138" s="25"/>
      <c r="T138" s="25"/>
      <c r="U138" s="25"/>
      <c r="V138" s="25"/>
      <c r="W138" s="25"/>
      <c r="X138" s="25"/>
      <c r="Y138" s="25" t="s">
        <v>12</v>
      </c>
      <c r="Z138" s="27"/>
      <c r="AA138" s="27"/>
      <c r="AB138" s="27"/>
      <c r="AC138" s="28"/>
      <c r="AD138" s="37"/>
      <c r="AE138" s="27"/>
      <c r="AF138" s="29" t="s">
        <v>16</v>
      </c>
      <c r="AG138" s="30" t="s">
        <v>13</v>
      </c>
      <c r="AH138" s="27"/>
      <c r="AI138" s="27"/>
      <c r="AJ138" s="28"/>
      <c r="AK138" s="27"/>
      <c r="AL138" s="27"/>
      <c r="AM138" s="29" t="s">
        <v>14</v>
      </c>
      <c r="AN138" s="101" t="s">
        <v>11</v>
      </c>
      <c r="AO138" s="98"/>
      <c r="AP138" s="98"/>
      <c r="AQ138" s="99"/>
      <c r="AR138" s="98"/>
      <c r="AS138" s="100" t="s">
        <v>15</v>
      </c>
      <c r="AT138" s="98"/>
      <c r="AU138" s="98"/>
      <c r="AV138" s="33">
        <v>17</v>
      </c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25"/>
    </row>
    <row r="139" spans="1:93" x14ac:dyDescent="0.25">
      <c r="A139" s="25" t="s">
        <v>146</v>
      </c>
      <c r="B139" s="25" t="s">
        <v>286</v>
      </c>
      <c r="C139" s="25" t="s">
        <v>532</v>
      </c>
      <c r="D139" s="25">
        <v>174</v>
      </c>
      <c r="E139" s="35" cm="1">
        <f t="array" ref="E139">IFERROR(INDEX($H$5:$AVV$5, _xlfn.AGGREGATE(15,6, COLUMN(H139:AVV139)-COLUMN(H139)+F139 / (H139:AVV139="T"), $A$2)), "")</f>
        <v>45979</v>
      </c>
      <c r="F139" s="97">
        <v>1</v>
      </c>
      <c r="G139" s="38" t="s">
        <v>10</v>
      </c>
      <c r="H139" s="33"/>
      <c r="I139" s="33"/>
      <c r="J139" s="33"/>
      <c r="K139" s="33"/>
      <c r="L139" s="33"/>
      <c r="M139" s="33"/>
      <c r="N139" s="33"/>
      <c r="O139" s="33"/>
      <c r="P139" s="25"/>
      <c r="Q139" s="25"/>
      <c r="R139" s="25"/>
      <c r="S139" s="25"/>
      <c r="T139" s="25"/>
      <c r="U139" s="25"/>
      <c r="V139" s="25"/>
      <c r="W139" s="25"/>
      <c r="X139" s="25"/>
      <c r="Y139" s="25" t="s">
        <v>12</v>
      </c>
      <c r="Z139" s="27"/>
      <c r="AA139" s="27"/>
      <c r="AB139" s="27"/>
      <c r="AC139" s="28"/>
      <c r="AD139" s="27"/>
      <c r="AE139" s="27"/>
      <c r="AF139" s="32" t="s">
        <v>16</v>
      </c>
      <c r="AG139" s="30" t="s">
        <v>13</v>
      </c>
      <c r="AH139" s="27"/>
      <c r="AI139" s="27"/>
      <c r="AJ139" s="28"/>
      <c r="AK139" s="27"/>
      <c r="AL139" s="27"/>
      <c r="AM139" s="29" t="s">
        <v>14</v>
      </c>
      <c r="AN139" s="101" t="s">
        <v>11</v>
      </c>
      <c r="AO139" s="98"/>
      <c r="AP139" s="98"/>
      <c r="AQ139" s="99"/>
      <c r="AR139" s="98"/>
      <c r="AS139" s="100" t="s">
        <v>15</v>
      </c>
      <c r="AT139" s="98"/>
      <c r="AU139" s="98"/>
      <c r="AV139" s="33">
        <v>17</v>
      </c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</row>
    <row r="140" spans="1:93" x14ac:dyDescent="0.25">
      <c r="A140" s="25" t="s">
        <v>146</v>
      </c>
      <c r="B140" s="25" t="s">
        <v>287</v>
      </c>
      <c r="C140" s="25" t="s">
        <v>533</v>
      </c>
      <c r="D140" s="25">
        <v>175</v>
      </c>
      <c r="E140" s="35" cm="1">
        <f t="array" ref="E140">IFERROR(INDEX($H$5:$AVV$5, _xlfn.AGGREGATE(15,6, COLUMN(H140:AVV140)-COLUMN(H140)+F140 / (H140:AVV140="T"), $A$2)), "")</f>
        <v>45979</v>
      </c>
      <c r="F140" s="97">
        <v>1</v>
      </c>
      <c r="G140" s="38" t="s">
        <v>10</v>
      </c>
      <c r="H140" s="33"/>
      <c r="I140" s="33"/>
      <c r="J140" s="33"/>
      <c r="K140" s="33"/>
      <c r="L140" s="33"/>
      <c r="M140" s="33"/>
      <c r="N140" s="33"/>
      <c r="O140" s="33"/>
      <c r="P140" s="25"/>
      <c r="Q140" s="25"/>
      <c r="R140" s="25"/>
      <c r="S140" s="25"/>
      <c r="T140" s="25"/>
      <c r="U140" s="25"/>
      <c r="V140" s="25"/>
      <c r="W140" s="25"/>
      <c r="X140" s="25"/>
      <c r="Y140" s="25" t="s">
        <v>12</v>
      </c>
      <c r="Z140" s="27"/>
      <c r="AA140" s="27"/>
      <c r="AB140" s="27"/>
      <c r="AC140" s="28"/>
      <c r="AD140" s="27"/>
      <c r="AE140" s="27"/>
      <c r="AF140" s="32" t="s">
        <v>16</v>
      </c>
      <c r="AG140" s="30" t="s">
        <v>13</v>
      </c>
      <c r="AH140" s="27"/>
      <c r="AI140" s="27"/>
      <c r="AJ140" s="28"/>
      <c r="AK140" s="27"/>
      <c r="AL140" s="27"/>
      <c r="AM140" s="29" t="s">
        <v>14</v>
      </c>
      <c r="AN140" s="101" t="s">
        <v>11</v>
      </c>
      <c r="AO140" s="98"/>
      <c r="AP140" s="98"/>
      <c r="AQ140" s="99"/>
      <c r="AR140" s="98"/>
      <c r="AS140" s="100" t="s">
        <v>15</v>
      </c>
      <c r="AT140" s="98"/>
      <c r="AU140" s="98"/>
      <c r="AV140" s="33">
        <v>17</v>
      </c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25"/>
    </row>
    <row r="141" spans="1:93" x14ac:dyDescent="0.25">
      <c r="A141" s="41" t="s">
        <v>146</v>
      </c>
      <c r="B141" s="41" t="s">
        <v>288</v>
      </c>
      <c r="C141" s="25" t="s">
        <v>534</v>
      </c>
      <c r="D141" s="25">
        <v>176</v>
      </c>
      <c r="E141" s="35" cm="1">
        <f t="array" ref="E141">IFERROR(INDEX($H$5:$AVV$5, _xlfn.AGGREGATE(15,6, COLUMN(H141:AVV141)-COLUMN(H141)+F141 / (H141:AVV141="T"), $A$2)), "")</f>
        <v>45979</v>
      </c>
      <c r="F141" s="97">
        <v>1</v>
      </c>
      <c r="G141" s="42" t="s">
        <v>10</v>
      </c>
      <c r="H141" s="33"/>
      <c r="I141" s="33"/>
      <c r="J141" s="33"/>
      <c r="K141" s="33"/>
      <c r="L141" s="33"/>
      <c r="M141" s="33"/>
      <c r="N141" s="33"/>
      <c r="O141" s="33"/>
      <c r="P141" s="25"/>
      <c r="Q141" s="25"/>
      <c r="R141" s="25"/>
      <c r="S141" s="25"/>
      <c r="T141" s="25"/>
      <c r="U141" s="25"/>
      <c r="V141" s="25"/>
      <c r="W141" s="25"/>
      <c r="X141" s="25"/>
      <c r="Y141" s="25" t="s">
        <v>12</v>
      </c>
      <c r="Z141" s="27"/>
      <c r="AA141" s="27"/>
      <c r="AB141" s="27"/>
      <c r="AC141" s="28"/>
      <c r="AD141" s="27"/>
      <c r="AE141" s="27"/>
      <c r="AF141" s="32" t="s">
        <v>16</v>
      </c>
      <c r="AG141" s="30" t="s">
        <v>13</v>
      </c>
      <c r="AH141" s="27"/>
      <c r="AI141" s="27"/>
      <c r="AJ141" s="28"/>
      <c r="AK141" s="27"/>
      <c r="AL141" s="27"/>
      <c r="AM141" s="29" t="s">
        <v>14</v>
      </c>
      <c r="AN141" s="101" t="s">
        <v>11</v>
      </c>
      <c r="AO141" s="98"/>
      <c r="AP141" s="98"/>
      <c r="AQ141" s="99"/>
      <c r="AR141" s="98"/>
      <c r="AS141" s="100" t="s">
        <v>15</v>
      </c>
      <c r="AT141" s="98"/>
      <c r="AU141" s="98"/>
      <c r="AV141" s="33">
        <v>17</v>
      </c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25"/>
    </row>
    <row r="142" spans="1:93" x14ac:dyDescent="0.25">
      <c r="A142" s="41" t="s">
        <v>146</v>
      </c>
      <c r="B142" s="41" t="s">
        <v>289</v>
      </c>
      <c r="C142" s="25" t="s">
        <v>535</v>
      </c>
      <c r="D142" s="25">
        <v>177</v>
      </c>
      <c r="E142" s="35" cm="1">
        <f t="array" ref="E142">IFERROR(INDEX($H$5:$AVV$5, _xlfn.AGGREGATE(15,6, COLUMN(H142:AVV142)-COLUMN(H142)+F142 / (H142:AVV142="T"), $A$2)), "")</f>
        <v>45979</v>
      </c>
      <c r="F142" s="97">
        <v>1</v>
      </c>
      <c r="G142" s="42" t="s">
        <v>10</v>
      </c>
      <c r="H142" s="33"/>
      <c r="I142" s="33"/>
      <c r="J142" s="33"/>
      <c r="K142" s="33"/>
      <c r="L142" s="33"/>
      <c r="M142" s="33"/>
      <c r="N142" s="33"/>
      <c r="O142" s="33"/>
      <c r="P142" s="25"/>
      <c r="Q142" s="25"/>
      <c r="R142" s="25"/>
      <c r="S142" s="25"/>
      <c r="T142" s="25"/>
      <c r="U142" s="25"/>
      <c r="V142" s="25"/>
      <c r="W142" s="25"/>
      <c r="X142" s="25"/>
      <c r="Y142" s="25" t="s">
        <v>12</v>
      </c>
      <c r="Z142" s="27"/>
      <c r="AA142" s="27"/>
      <c r="AB142" s="27"/>
      <c r="AC142" s="28"/>
      <c r="AD142" s="27"/>
      <c r="AE142" s="27"/>
      <c r="AF142" s="32" t="s">
        <v>16</v>
      </c>
      <c r="AG142" s="30" t="s">
        <v>13</v>
      </c>
      <c r="AH142" s="27"/>
      <c r="AI142" s="27"/>
      <c r="AJ142" s="28"/>
      <c r="AK142" s="27"/>
      <c r="AL142" s="27"/>
      <c r="AM142" s="29" t="s">
        <v>14</v>
      </c>
      <c r="AN142" s="101" t="s">
        <v>11</v>
      </c>
      <c r="AO142" s="98"/>
      <c r="AP142" s="98"/>
      <c r="AQ142" s="99"/>
      <c r="AR142" s="98"/>
      <c r="AS142" s="100" t="s">
        <v>15</v>
      </c>
      <c r="AT142" s="98"/>
      <c r="AU142" s="98"/>
      <c r="AV142" s="33">
        <v>17</v>
      </c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25"/>
    </row>
    <row r="143" spans="1:93" x14ac:dyDescent="0.25">
      <c r="A143" s="25" t="s">
        <v>56</v>
      </c>
      <c r="B143" s="25" t="s">
        <v>290</v>
      </c>
      <c r="C143" s="25" t="s">
        <v>435</v>
      </c>
      <c r="D143" s="25">
        <v>77</v>
      </c>
      <c r="E143" s="35" cm="1">
        <f t="array" ref="E143">IFERROR(INDEX($H$5:$AVV$5, _xlfn.AGGREGATE(15,6, COLUMN(H143:AVV143)-COLUMN(H143)+F143 / (H143:AVV143="T"), $A$2)), "")</f>
        <v>45980</v>
      </c>
      <c r="F143" s="97">
        <v>1</v>
      </c>
      <c r="G143" s="38" t="s">
        <v>10</v>
      </c>
      <c r="H143" s="33"/>
      <c r="I143" s="33"/>
      <c r="J143" s="33"/>
      <c r="K143" s="33"/>
      <c r="L143" s="33"/>
      <c r="M143" s="33"/>
      <c r="N143" s="33"/>
      <c r="O143" s="33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 t="s">
        <v>12</v>
      </c>
      <c r="AA143" s="27"/>
      <c r="AB143" s="27"/>
      <c r="AC143" s="27"/>
      <c r="AD143" s="28"/>
      <c r="AE143" s="27"/>
      <c r="AF143" s="37"/>
      <c r="AG143" s="29" t="s">
        <v>16</v>
      </c>
      <c r="AH143" s="30" t="s">
        <v>13</v>
      </c>
      <c r="AI143" s="27"/>
      <c r="AJ143" s="27"/>
      <c r="AK143" s="28"/>
      <c r="AL143" s="27"/>
      <c r="AM143" s="27"/>
      <c r="AN143" s="100" t="s">
        <v>14</v>
      </c>
      <c r="AO143" s="101" t="s">
        <v>11</v>
      </c>
      <c r="AP143" s="98"/>
      <c r="AQ143" s="98"/>
      <c r="AR143" s="99"/>
      <c r="AS143" s="98"/>
      <c r="AT143" s="100" t="s">
        <v>15</v>
      </c>
      <c r="AU143" s="98"/>
      <c r="AV143" s="98"/>
      <c r="AW143" s="33">
        <v>17</v>
      </c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25"/>
    </row>
    <row r="144" spans="1:93" x14ac:dyDescent="0.25">
      <c r="A144" s="25" t="s">
        <v>56</v>
      </c>
      <c r="B144" s="25" t="s">
        <v>291</v>
      </c>
      <c r="C144" s="25" t="s">
        <v>436</v>
      </c>
      <c r="D144" s="25">
        <v>78</v>
      </c>
      <c r="E144" s="35" cm="1">
        <f t="array" ref="E144">IFERROR(INDEX($H$5:$AVV$5, _xlfn.AGGREGATE(15,6, COLUMN(H144:AVV144)-COLUMN(H144)+F144 / (H144:AVV144="T"), $A$2)), "")</f>
        <v>45980</v>
      </c>
      <c r="F144" s="97">
        <v>1</v>
      </c>
      <c r="G144" s="38" t="s">
        <v>10</v>
      </c>
      <c r="H144" s="33"/>
      <c r="I144" s="33"/>
      <c r="J144" s="33"/>
      <c r="K144" s="33"/>
      <c r="L144" s="33"/>
      <c r="M144" s="33"/>
      <c r="N144" s="33"/>
      <c r="O144" s="33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 t="s">
        <v>12</v>
      </c>
      <c r="AA144" s="27"/>
      <c r="AB144" s="27"/>
      <c r="AC144" s="27"/>
      <c r="AD144" s="28"/>
      <c r="AE144" s="27"/>
      <c r="AF144" s="37"/>
      <c r="AG144" s="29" t="s">
        <v>16</v>
      </c>
      <c r="AH144" s="30" t="s">
        <v>13</v>
      </c>
      <c r="AI144" s="27"/>
      <c r="AJ144" s="27"/>
      <c r="AK144" s="28"/>
      <c r="AL144" s="27"/>
      <c r="AM144" s="27"/>
      <c r="AN144" s="100" t="s">
        <v>14</v>
      </c>
      <c r="AO144" s="101" t="s">
        <v>11</v>
      </c>
      <c r="AP144" s="98"/>
      <c r="AQ144" s="98"/>
      <c r="AR144" s="99"/>
      <c r="AS144" s="98"/>
      <c r="AT144" s="100" t="s">
        <v>15</v>
      </c>
      <c r="AU144" s="98"/>
      <c r="AV144" s="98"/>
      <c r="AW144" s="33">
        <v>17</v>
      </c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25"/>
    </row>
    <row r="145" spans="1:94" x14ac:dyDescent="0.25">
      <c r="A145" s="25" t="s">
        <v>56</v>
      </c>
      <c r="B145" s="25" t="s">
        <v>292</v>
      </c>
      <c r="C145" s="25" t="s">
        <v>437</v>
      </c>
      <c r="D145" s="25">
        <v>79</v>
      </c>
      <c r="E145" s="35" cm="1">
        <f t="array" ref="E145">IFERROR(INDEX($H$5:$AVV$5, _xlfn.AGGREGATE(15,6, COLUMN(H145:AVV145)-COLUMN(H145)+F145 / (H145:AVV145="T"), $A$2)), "")</f>
        <v>45980</v>
      </c>
      <c r="F145" s="97">
        <v>1</v>
      </c>
      <c r="G145" s="38" t="s">
        <v>10</v>
      </c>
      <c r="H145" s="33"/>
      <c r="I145" s="33"/>
      <c r="J145" s="33"/>
      <c r="K145" s="33"/>
      <c r="L145" s="33"/>
      <c r="M145" s="33"/>
      <c r="N145" s="33"/>
      <c r="O145" s="33"/>
      <c r="P145" s="33"/>
      <c r="Q145" s="25"/>
      <c r="R145" s="25"/>
      <c r="S145" s="25"/>
      <c r="T145" s="25"/>
      <c r="U145" s="25"/>
      <c r="V145" s="25"/>
      <c r="W145" s="25"/>
      <c r="X145" s="25"/>
      <c r="Y145" s="25"/>
      <c r="Z145" s="25" t="s">
        <v>12</v>
      </c>
      <c r="AA145" s="27"/>
      <c r="AB145" s="27"/>
      <c r="AC145" s="27"/>
      <c r="AD145" s="28"/>
      <c r="AE145" s="37"/>
      <c r="AF145" s="27"/>
      <c r="AG145" s="29" t="s">
        <v>16</v>
      </c>
      <c r="AH145" s="30" t="s">
        <v>13</v>
      </c>
      <c r="AI145" s="27"/>
      <c r="AJ145" s="27"/>
      <c r="AK145" s="28"/>
      <c r="AL145" s="27"/>
      <c r="AM145" s="27"/>
      <c r="AN145" s="29" t="s">
        <v>14</v>
      </c>
      <c r="AO145" s="101" t="s">
        <v>11</v>
      </c>
      <c r="AP145" s="98"/>
      <c r="AQ145" s="98"/>
      <c r="AR145" s="99"/>
      <c r="AS145" s="98"/>
      <c r="AT145" s="100" t="s">
        <v>15</v>
      </c>
      <c r="AU145" s="98"/>
      <c r="AV145" s="98"/>
      <c r="AW145" s="33">
        <v>17</v>
      </c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25"/>
      <c r="CP145" s="25"/>
    </row>
    <row r="146" spans="1:94" x14ac:dyDescent="0.25">
      <c r="A146" s="25" t="s">
        <v>56</v>
      </c>
      <c r="B146" s="25" t="s">
        <v>293</v>
      </c>
      <c r="C146" s="25" t="s">
        <v>438</v>
      </c>
      <c r="D146" s="25">
        <v>80</v>
      </c>
      <c r="E146" s="35" cm="1">
        <f t="array" ref="E146">IFERROR(INDEX($H$5:$AVV$5, _xlfn.AGGREGATE(15,6, COLUMN(H146:AVV146)-COLUMN(H146)+F146 / (H146:AVV146="T"), $A$2)), "")</f>
        <v>45980</v>
      </c>
      <c r="F146" s="97">
        <v>1</v>
      </c>
      <c r="G146" s="38" t="s">
        <v>10</v>
      </c>
      <c r="H146" s="33"/>
      <c r="I146" s="33"/>
      <c r="J146" s="33"/>
      <c r="K146" s="33"/>
      <c r="L146" s="33"/>
      <c r="M146" s="33"/>
      <c r="N146" s="33"/>
      <c r="O146" s="33"/>
      <c r="P146" s="33"/>
      <c r="Q146" s="25"/>
      <c r="R146" s="25"/>
      <c r="S146" s="25"/>
      <c r="T146" s="25"/>
      <c r="U146" s="25"/>
      <c r="V146" s="25"/>
      <c r="W146" s="25"/>
      <c r="X146" s="25"/>
      <c r="Y146" s="25"/>
      <c r="Z146" s="25" t="s">
        <v>12</v>
      </c>
      <c r="AA146" s="27"/>
      <c r="AB146" s="27"/>
      <c r="AC146" s="27"/>
      <c r="AD146" s="28"/>
      <c r="AE146" s="27"/>
      <c r="AF146" s="27"/>
      <c r="AG146" s="32" t="s">
        <v>16</v>
      </c>
      <c r="AH146" s="30" t="s">
        <v>13</v>
      </c>
      <c r="AI146" s="27"/>
      <c r="AJ146" s="27"/>
      <c r="AK146" s="28"/>
      <c r="AL146" s="27"/>
      <c r="AM146" s="27"/>
      <c r="AN146" s="29" t="s">
        <v>14</v>
      </c>
      <c r="AO146" s="101" t="s">
        <v>11</v>
      </c>
      <c r="AP146" s="98"/>
      <c r="AQ146" s="98"/>
      <c r="AR146" s="99"/>
      <c r="AS146" s="98"/>
      <c r="AT146" s="100" t="s">
        <v>15</v>
      </c>
      <c r="AU146" s="98"/>
      <c r="AV146" s="98"/>
      <c r="AW146" s="33">
        <v>17</v>
      </c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</row>
    <row r="147" spans="1:94" x14ac:dyDescent="0.25">
      <c r="A147" s="25" t="s">
        <v>56</v>
      </c>
      <c r="B147" s="25" t="s">
        <v>294</v>
      </c>
      <c r="C147" s="25" t="s">
        <v>439</v>
      </c>
      <c r="D147" s="25">
        <v>81</v>
      </c>
      <c r="E147" s="35" cm="1">
        <f t="array" ref="E147">IFERROR(INDEX($H$5:$AVV$5, _xlfn.AGGREGATE(15,6, COLUMN(H147:AVV147)-COLUMN(H147)+F147 / (H147:AVV147="T"), $A$2)), "")</f>
        <v>45980</v>
      </c>
      <c r="F147" s="97">
        <v>1</v>
      </c>
      <c r="G147" s="38" t="s">
        <v>10</v>
      </c>
      <c r="H147" s="33"/>
      <c r="I147" s="33"/>
      <c r="J147" s="33"/>
      <c r="K147" s="33"/>
      <c r="L147" s="33"/>
      <c r="M147" s="33"/>
      <c r="N147" s="33"/>
      <c r="O147" s="33"/>
      <c r="P147" s="33"/>
      <c r="Q147" s="25"/>
      <c r="R147" s="25"/>
      <c r="S147" s="25"/>
      <c r="T147" s="25"/>
      <c r="U147" s="25"/>
      <c r="V147" s="25"/>
      <c r="W147" s="25"/>
      <c r="X147" s="25"/>
      <c r="Y147" s="25"/>
      <c r="Z147" s="25" t="s">
        <v>12</v>
      </c>
      <c r="AA147" s="27"/>
      <c r="AB147" s="27"/>
      <c r="AC147" s="27"/>
      <c r="AD147" s="28"/>
      <c r="AE147" s="27"/>
      <c r="AF147" s="27"/>
      <c r="AG147" s="32" t="s">
        <v>16</v>
      </c>
      <c r="AH147" s="30" t="s">
        <v>13</v>
      </c>
      <c r="AI147" s="27"/>
      <c r="AJ147" s="27"/>
      <c r="AK147" s="28"/>
      <c r="AL147" s="27"/>
      <c r="AM147" s="27"/>
      <c r="AN147" s="29" t="s">
        <v>14</v>
      </c>
      <c r="AO147" s="101" t="s">
        <v>11</v>
      </c>
      <c r="AP147" s="98"/>
      <c r="AQ147" s="98"/>
      <c r="AR147" s="99"/>
      <c r="AS147" s="98"/>
      <c r="AT147" s="100" t="s">
        <v>15</v>
      </c>
      <c r="AU147" s="98"/>
      <c r="AV147" s="98"/>
      <c r="AW147" s="33">
        <v>17</v>
      </c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25"/>
      <c r="CP147" s="25"/>
    </row>
    <row r="148" spans="1:94" s="40" customFormat="1" x14ac:dyDescent="0.25">
      <c r="A148" s="25" t="s">
        <v>56</v>
      </c>
      <c r="B148" s="25" t="s">
        <v>295</v>
      </c>
      <c r="C148" s="25" t="s">
        <v>440</v>
      </c>
      <c r="D148" s="25">
        <v>82</v>
      </c>
      <c r="E148" s="35" cm="1">
        <f t="array" ref="E148">IFERROR(INDEX($H$5:$AVV$5, _xlfn.AGGREGATE(15,6, COLUMN(H148:AVV148)-COLUMN(H148)+F148 / (H148:AVV148="T"), $A$2)), "")</f>
        <v>45980</v>
      </c>
      <c r="F148" s="97">
        <v>1</v>
      </c>
      <c r="G148" s="38" t="s">
        <v>10</v>
      </c>
      <c r="H148" s="33"/>
      <c r="I148" s="33"/>
      <c r="J148" s="33"/>
      <c r="K148" s="33"/>
      <c r="L148" s="33"/>
      <c r="M148" s="33"/>
      <c r="N148" s="33"/>
      <c r="O148" s="33"/>
      <c r="P148" s="33"/>
      <c r="Q148" s="25"/>
      <c r="R148" s="25"/>
      <c r="S148" s="25"/>
      <c r="T148" s="25"/>
      <c r="U148" s="25"/>
      <c r="V148" s="25"/>
      <c r="W148" s="25"/>
      <c r="X148" s="25"/>
      <c r="Y148" s="25"/>
      <c r="Z148" s="25" t="s">
        <v>12</v>
      </c>
      <c r="AA148" s="27"/>
      <c r="AB148" s="27"/>
      <c r="AC148" s="27"/>
      <c r="AD148" s="28"/>
      <c r="AE148" s="27"/>
      <c r="AF148" s="27"/>
      <c r="AG148" s="32" t="s">
        <v>16</v>
      </c>
      <c r="AH148" s="30" t="s">
        <v>13</v>
      </c>
      <c r="AI148" s="27"/>
      <c r="AJ148" s="27"/>
      <c r="AK148" s="28"/>
      <c r="AL148" s="27"/>
      <c r="AM148" s="27"/>
      <c r="AN148" s="29" t="s">
        <v>14</v>
      </c>
      <c r="AO148" s="101" t="s">
        <v>11</v>
      </c>
      <c r="AP148" s="98"/>
      <c r="AQ148" s="98"/>
      <c r="AR148" s="99"/>
      <c r="AS148" s="98"/>
      <c r="AT148" s="100" t="s">
        <v>15</v>
      </c>
      <c r="AU148" s="98"/>
      <c r="AV148" s="98"/>
      <c r="AW148" s="33">
        <v>17</v>
      </c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25"/>
      <c r="CP148" s="25"/>
    </row>
    <row r="149" spans="1:94" x14ac:dyDescent="0.25">
      <c r="A149" s="25" t="s">
        <v>56</v>
      </c>
      <c r="B149" s="25" t="s">
        <v>296</v>
      </c>
      <c r="C149" s="25" t="s">
        <v>441</v>
      </c>
      <c r="D149" s="25">
        <v>83</v>
      </c>
      <c r="E149" s="35" cm="1">
        <f t="array" ref="E149">IFERROR(INDEX($H$5:$AVV$5, _xlfn.AGGREGATE(15,6, COLUMN(H149:AVV149)-COLUMN(H149)+F149 / (H149:AVV149="T"), $A$2)), "")</f>
        <v>45980</v>
      </c>
      <c r="F149" s="97">
        <v>1</v>
      </c>
      <c r="G149" s="38" t="s">
        <v>10</v>
      </c>
      <c r="H149" s="33"/>
      <c r="I149" s="33"/>
      <c r="J149" s="33"/>
      <c r="K149" s="33"/>
      <c r="L149" s="33"/>
      <c r="M149" s="33"/>
      <c r="N149" s="33"/>
      <c r="O149" s="33"/>
      <c r="P149" s="33"/>
      <c r="Q149" s="25"/>
      <c r="R149" s="25"/>
      <c r="S149" s="25"/>
      <c r="T149" s="25"/>
      <c r="U149" s="25"/>
      <c r="V149" s="25"/>
      <c r="W149" s="25"/>
      <c r="X149" s="25"/>
      <c r="Y149" s="25"/>
      <c r="Z149" s="25" t="s">
        <v>12</v>
      </c>
      <c r="AA149" s="27"/>
      <c r="AB149" s="27"/>
      <c r="AC149" s="27"/>
      <c r="AD149" s="28"/>
      <c r="AE149" s="27"/>
      <c r="AF149" s="27"/>
      <c r="AG149" s="32" t="s">
        <v>16</v>
      </c>
      <c r="AH149" s="30" t="s">
        <v>13</v>
      </c>
      <c r="AI149" s="27"/>
      <c r="AJ149" s="27"/>
      <c r="AK149" s="28"/>
      <c r="AL149" s="27"/>
      <c r="AM149" s="27"/>
      <c r="AN149" s="29" t="s">
        <v>14</v>
      </c>
      <c r="AO149" s="101" t="s">
        <v>11</v>
      </c>
      <c r="AP149" s="98"/>
      <c r="AQ149" s="98"/>
      <c r="AR149" s="99"/>
      <c r="AS149" s="98"/>
      <c r="AT149" s="100" t="s">
        <v>15</v>
      </c>
      <c r="AU149" s="98"/>
      <c r="AV149" s="98"/>
      <c r="AW149" s="33">
        <v>17</v>
      </c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25"/>
      <c r="CP149" s="25"/>
    </row>
    <row r="150" spans="1:94" x14ac:dyDescent="0.25">
      <c r="A150" s="25" t="s">
        <v>8</v>
      </c>
      <c r="B150" s="25" t="s">
        <v>214</v>
      </c>
      <c r="C150" s="25" t="s">
        <v>359</v>
      </c>
      <c r="D150" s="25">
        <v>1</v>
      </c>
      <c r="E150" s="35" cm="1">
        <f t="array" ref="E150">IFERROR(INDEX($H$5:$AVV$5, _xlfn.AGGREGATE(15,6, COLUMN(H150:AVV150)-COLUMN(H150)+F150 / (H150:AVV150="T"), $A$2)), "")</f>
        <v>45981</v>
      </c>
      <c r="F150" s="97">
        <v>1</v>
      </c>
      <c r="G150" s="38" t="s">
        <v>10</v>
      </c>
      <c r="H150" s="33"/>
      <c r="I150" s="33"/>
      <c r="J150" s="33"/>
      <c r="K150" s="33"/>
      <c r="L150" s="33"/>
      <c r="M150" s="33"/>
      <c r="N150" s="33"/>
      <c r="O150" s="33"/>
      <c r="P150" s="33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 t="s">
        <v>12</v>
      </c>
      <c r="AB150" s="27"/>
      <c r="AC150" s="27"/>
      <c r="AD150" s="27"/>
      <c r="AE150" s="28"/>
      <c r="AF150" s="27"/>
      <c r="AG150" s="37"/>
      <c r="AH150" s="29" t="s">
        <v>16</v>
      </c>
      <c r="AI150" s="30" t="s">
        <v>13</v>
      </c>
      <c r="AJ150" s="27"/>
      <c r="AK150" s="27"/>
      <c r="AL150" s="28"/>
      <c r="AM150" s="27"/>
      <c r="AN150" s="27"/>
      <c r="AO150" s="100" t="s">
        <v>14</v>
      </c>
      <c r="AP150" s="101" t="s">
        <v>11</v>
      </c>
      <c r="AQ150" s="98"/>
      <c r="AR150" s="98"/>
      <c r="AS150" s="99"/>
      <c r="AT150" s="98"/>
      <c r="AU150" s="100" t="s">
        <v>15</v>
      </c>
      <c r="AV150" s="98"/>
      <c r="AW150" s="98"/>
      <c r="AX150" s="33">
        <v>17</v>
      </c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25"/>
      <c r="CP150" s="25"/>
    </row>
    <row r="151" spans="1:94" x14ac:dyDescent="0.25">
      <c r="A151" s="25" t="s">
        <v>8</v>
      </c>
      <c r="B151" s="25" t="s">
        <v>215</v>
      </c>
      <c r="C151" s="25" t="s">
        <v>360</v>
      </c>
      <c r="D151" s="25">
        <v>2</v>
      </c>
      <c r="E151" s="35" cm="1">
        <f t="array" ref="E151">IFERROR(INDEX($H$5:$AVV$5, _xlfn.AGGREGATE(15,6, COLUMN(H151:AVV151)-COLUMN(H151)+F151 / (H151:AVV151="T"), $A$2)), "")</f>
        <v>45981</v>
      </c>
      <c r="F151" s="97">
        <v>1</v>
      </c>
      <c r="G151" s="38" t="s">
        <v>10</v>
      </c>
      <c r="H151" s="33"/>
      <c r="I151" s="33"/>
      <c r="J151" s="33"/>
      <c r="K151" s="33"/>
      <c r="L151" s="33"/>
      <c r="M151" s="33"/>
      <c r="N151" s="33"/>
      <c r="O151" s="33"/>
      <c r="P151" s="33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 t="s">
        <v>12</v>
      </c>
      <c r="AB151" s="27"/>
      <c r="AC151" s="27"/>
      <c r="AD151" s="27"/>
      <c r="AE151" s="28"/>
      <c r="AF151" s="27"/>
      <c r="AG151" s="37"/>
      <c r="AH151" s="29" t="s">
        <v>16</v>
      </c>
      <c r="AI151" s="30" t="s">
        <v>13</v>
      </c>
      <c r="AJ151" s="27"/>
      <c r="AK151" s="27"/>
      <c r="AL151" s="28"/>
      <c r="AM151" s="27"/>
      <c r="AN151" s="27"/>
      <c r="AO151" s="100" t="s">
        <v>14</v>
      </c>
      <c r="AP151" s="101" t="s">
        <v>11</v>
      </c>
      <c r="AQ151" s="98"/>
      <c r="AR151" s="98"/>
      <c r="AS151" s="99"/>
      <c r="AT151" s="98"/>
      <c r="AU151" s="100" t="s">
        <v>15</v>
      </c>
      <c r="AV151" s="98"/>
      <c r="AW151" s="98"/>
      <c r="AX151" s="33">
        <v>17</v>
      </c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25"/>
      <c r="CP151" s="25"/>
    </row>
    <row r="152" spans="1:94" x14ac:dyDescent="0.25">
      <c r="A152" s="25" t="s">
        <v>8</v>
      </c>
      <c r="B152" s="25" t="s">
        <v>216</v>
      </c>
      <c r="C152" s="25" t="s">
        <v>361</v>
      </c>
      <c r="D152" s="25">
        <v>3</v>
      </c>
      <c r="E152" s="35" cm="1">
        <f t="array" ref="E152">IFERROR(INDEX($H$5:$AVV$5, _xlfn.AGGREGATE(15,6, COLUMN(H152:AVV152)-COLUMN(H152)+F152 / (H152:AVV152="T"), $A$2)), "")</f>
        <v>45981</v>
      </c>
      <c r="F152" s="97">
        <v>1</v>
      </c>
      <c r="G152" s="38" t="s">
        <v>10</v>
      </c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25"/>
      <c r="S152" s="25"/>
      <c r="T152" s="25"/>
      <c r="U152" s="25"/>
      <c r="V152" s="25"/>
      <c r="W152" s="25"/>
      <c r="X152" s="25"/>
      <c r="Y152" s="25"/>
      <c r="Z152" s="25"/>
      <c r="AA152" s="25" t="s">
        <v>12</v>
      </c>
      <c r="AB152" s="27"/>
      <c r="AC152" s="27"/>
      <c r="AD152" s="27"/>
      <c r="AE152" s="28"/>
      <c r="AF152" s="37"/>
      <c r="AG152" s="27"/>
      <c r="AH152" s="29" t="s">
        <v>16</v>
      </c>
      <c r="AI152" s="30" t="s">
        <v>13</v>
      </c>
      <c r="AJ152" s="27"/>
      <c r="AK152" s="27"/>
      <c r="AL152" s="28"/>
      <c r="AM152" s="27"/>
      <c r="AN152" s="27"/>
      <c r="AO152" s="29" t="s">
        <v>14</v>
      </c>
      <c r="AP152" s="101" t="s">
        <v>11</v>
      </c>
      <c r="AQ152" s="98"/>
      <c r="AR152" s="98"/>
      <c r="AS152" s="99"/>
      <c r="AT152" s="98"/>
      <c r="AU152" s="100" t="s">
        <v>15</v>
      </c>
      <c r="AV152" s="98"/>
      <c r="AW152" s="98"/>
      <c r="AX152" s="33">
        <v>17</v>
      </c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25"/>
    </row>
    <row r="153" spans="1:94" x14ac:dyDescent="0.25">
      <c r="A153" s="25" t="s">
        <v>8</v>
      </c>
      <c r="B153" s="25" t="s">
        <v>217</v>
      </c>
      <c r="C153" s="25" t="s">
        <v>362</v>
      </c>
      <c r="D153" s="25">
        <v>4</v>
      </c>
      <c r="E153" s="35" cm="1">
        <f t="array" ref="E153">IFERROR(INDEX($H$5:$AVV$5, _xlfn.AGGREGATE(15,6, COLUMN(H153:AVV153)-COLUMN(H153)+F153 / (H153:AVV153="T"), $A$2)), "")</f>
        <v>45981</v>
      </c>
      <c r="F153" s="97">
        <v>1</v>
      </c>
      <c r="G153" s="38" t="s">
        <v>10</v>
      </c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25"/>
      <c r="S153" s="25"/>
      <c r="T153" s="25"/>
      <c r="U153" s="25"/>
      <c r="V153" s="25"/>
      <c r="W153" s="25"/>
      <c r="X153" s="25"/>
      <c r="Y153" s="25"/>
      <c r="Z153" s="25"/>
      <c r="AA153" s="25" t="s">
        <v>12</v>
      </c>
      <c r="AB153" s="27"/>
      <c r="AC153" s="27"/>
      <c r="AD153" s="27"/>
      <c r="AE153" s="28"/>
      <c r="AF153" s="27"/>
      <c r="AG153" s="27"/>
      <c r="AH153" s="32" t="s">
        <v>16</v>
      </c>
      <c r="AI153" s="30" t="s">
        <v>13</v>
      </c>
      <c r="AJ153" s="27"/>
      <c r="AK153" s="27"/>
      <c r="AL153" s="28"/>
      <c r="AM153" s="27"/>
      <c r="AN153" s="27"/>
      <c r="AO153" s="29" t="s">
        <v>14</v>
      </c>
      <c r="AP153" s="101" t="s">
        <v>11</v>
      </c>
      <c r="AQ153" s="98"/>
      <c r="AR153" s="98"/>
      <c r="AS153" s="99"/>
      <c r="AT153" s="98"/>
      <c r="AU153" s="100" t="s">
        <v>15</v>
      </c>
      <c r="AV153" s="98"/>
      <c r="AW153" s="98"/>
      <c r="AX153" s="33">
        <v>17</v>
      </c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</row>
    <row r="154" spans="1:94" x14ac:dyDescent="0.25">
      <c r="A154" s="25" t="s">
        <v>8</v>
      </c>
      <c r="B154" s="25" t="s">
        <v>218</v>
      </c>
      <c r="C154" s="25" t="s">
        <v>363</v>
      </c>
      <c r="D154" s="25">
        <v>5</v>
      </c>
      <c r="E154" s="35" cm="1">
        <f t="array" ref="E154">IFERROR(INDEX($H$5:$AVV$5, _xlfn.AGGREGATE(15,6, COLUMN(H154:AVV154)-COLUMN(H154)+F154 / (H154:AVV154="T"), $A$2)), "")</f>
        <v>45981</v>
      </c>
      <c r="F154" s="97">
        <v>1</v>
      </c>
      <c r="G154" s="38" t="s">
        <v>10</v>
      </c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25"/>
      <c r="S154" s="25"/>
      <c r="T154" s="25"/>
      <c r="U154" s="25"/>
      <c r="V154" s="25"/>
      <c r="W154" s="25"/>
      <c r="X154" s="25"/>
      <c r="Y154" s="25"/>
      <c r="Z154" s="25"/>
      <c r="AA154" s="25" t="s">
        <v>12</v>
      </c>
      <c r="AB154" s="27"/>
      <c r="AC154" s="27"/>
      <c r="AD154" s="27"/>
      <c r="AE154" s="28"/>
      <c r="AF154" s="27"/>
      <c r="AG154" s="27"/>
      <c r="AH154" s="32" t="s">
        <v>16</v>
      </c>
      <c r="AI154" s="30" t="s">
        <v>13</v>
      </c>
      <c r="AJ154" s="27"/>
      <c r="AK154" s="27"/>
      <c r="AL154" s="28"/>
      <c r="AM154" s="27"/>
      <c r="AN154" s="27"/>
      <c r="AO154" s="29" t="s">
        <v>14</v>
      </c>
      <c r="AP154" s="101" t="s">
        <v>11</v>
      </c>
      <c r="AQ154" s="98"/>
      <c r="AR154" s="98"/>
      <c r="AS154" s="99"/>
      <c r="AT154" s="98"/>
      <c r="AU154" s="100" t="s">
        <v>15</v>
      </c>
      <c r="AV154" s="98"/>
      <c r="AW154" s="98"/>
      <c r="AX154" s="33">
        <v>17</v>
      </c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25"/>
    </row>
    <row r="155" spans="1:94" x14ac:dyDescent="0.25">
      <c r="A155" s="25" t="s">
        <v>8</v>
      </c>
      <c r="B155" s="25" t="s">
        <v>219</v>
      </c>
      <c r="C155" s="25" t="s">
        <v>364</v>
      </c>
      <c r="D155" s="25">
        <v>6</v>
      </c>
      <c r="E155" s="35" cm="1">
        <f t="array" ref="E155">IFERROR(INDEX($H$5:$AVV$5, _xlfn.AGGREGATE(15,6, COLUMN(H155:AVV155)-COLUMN(H155)+F155 / (H155:AVV155="T"), $A$2)), "")</f>
        <v>45981</v>
      </c>
      <c r="F155" s="97">
        <v>1</v>
      </c>
      <c r="G155" s="38" t="s">
        <v>10</v>
      </c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25"/>
      <c r="S155" s="25"/>
      <c r="T155" s="25"/>
      <c r="U155" s="25"/>
      <c r="V155" s="25"/>
      <c r="W155" s="25"/>
      <c r="X155" s="25"/>
      <c r="Y155" s="25"/>
      <c r="Z155" s="25"/>
      <c r="AA155" s="25" t="s">
        <v>12</v>
      </c>
      <c r="AB155" s="27"/>
      <c r="AC155" s="27"/>
      <c r="AD155" s="27"/>
      <c r="AE155" s="28"/>
      <c r="AF155" s="27"/>
      <c r="AG155" s="27"/>
      <c r="AH155" s="32" t="s">
        <v>16</v>
      </c>
      <c r="AI155" s="30" t="s">
        <v>13</v>
      </c>
      <c r="AJ155" s="27"/>
      <c r="AK155" s="27"/>
      <c r="AL155" s="28"/>
      <c r="AM155" s="27"/>
      <c r="AN155" s="27"/>
      <c r="AO155" s="29" t="s">
        <v>14</v>
      </c>
      <c r="AP155" s="101" t="s">
        <v>11</v>
      </c>
      <c r="AQ155" s="98"/>
      <c r="AR155" s="98"/>
      <c r="AS155" s="99"/>
      <c r="AT155" s="98"/>
      <c r="AU155" s="100" t="s">
        <v>15</v>
      </c>
      <c r="AV155" s="98"/>
      <c r="AW155" s="98"/>
      <c r="AX155" s="33">
        <v>17</v>
      </c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25"/>
    </row>
    <row r="156" spans="1:94" x14ac:dyDescent="0.25">
      <c r="A156" s="25" t="s">
        <v>8</v>
      </c>
      <c r="B156" s="25" t="s">
        <v>220</v>
      </c>
      <c r="C156" s="25" t="s">
        <v>365</v>
      </c>
      <c r="D156" s="25">
        <v>7</v>
      </c>
      <c r="E156" s="35" cm="1">
        <f t="array" ref="E156">IFERROR(INDEX($H$5:$AVV$5, _xlfn.AGGREGATE(15,6, COLUMN(H156:AVV156)-COLUMN(H156)+F156 / (H156:AVV156="T"), $A$2)), "")</f>
        <v>45981</v>
      </c>
      <c r="F156" s="97">
        <v>1</v>
      </c>
      <c r="G156" s="38" t="s">
        <v>10</v>
      </c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25"/>
      <c r="S156" s="25"/>
      <c r="T156" s="25"/>
      <c r="U156" s="25"/>
      <c r="V156" s="25"/>
      <c r="W156" s="25"/>
      <c r="X156" s="25"/>
      <c r="Y156" s="25"/>
      <c r="Z156" s="25"/>
      <c r="AA156" s="25" t="s">
        <v>12</v>
      </c>
      <c r="AB156" s="27"/>
      <c r="AC156" s="27"/>
      <c r="AD156" s="27"/>
      <c r="AE156" s="28"/>
      <c r="AF156" s="27"/>
      <c r="AG156" s="27"/>
      <c r="AH156" s="32" t="s">
        <v>16</v>
      </c>
      <c r="AI156" s="30" t="s">
        <v>13</v>
      </c>
      <c r="AJ156" s="27"/>
      <c r="AK156" s="27"/>
      <c r="AL156" s="28"/>
      <c r="AM156" s="27"/>
      <c r="AN156" s="27"/>
      <c r="AO156" s="29" t="s">
        <v>14</v>
      </c>
      <c r="AP156" s="101" t="s">
        <v>11</v>
      </c>
      <c r="AQ156" s="98"/>
      <c r="AR156" s="98"/>
      <c r="AS156" s="99"/>
      <c r="AT156" s="98"/>
      <c r="AU156" s="100" t="s">
        <v>15</v>
      </c>
      <c r="AV156" s="98"/>
      <c r="AW156" s="98"/>
      <c r="AX156" s="33">
        <v>17</v>
      </c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25"/>
    </row>
    <row r="157" spans="1:94" x14ac:dyDescent="0.25">
      <c r="A157" s="25" t="s">
        <v>8</v>
      </c>
      <c r="B157" s="25" t="s">
        <v>234</v>
      </c>
      <c r="C157" s="25" t="s">
        <v>379</v>
      </c>
      <c r="D157" s="25">
        <v>21</v>
      </c>
      <c r="E157" s="35" cm="1">
        <f t="array" ref="E157">IFERROR(INDEX($H$5:$AVV$5, _xlfn.AGGREGATE(15,6, COLUMN(H157:AVV157)-COLUMN(H157)+F157 / (H157:AVV157="T"), $A$2)), "")</f>
        <v>45982</v>
      </c>
      <c r="F157" s="97">
        <v>1</v>
      </c>
      <c r="G157" s="38" t="s">
        <v>10</v>
      </c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 t="s">
        <v>12</v>
      </c>
      <c r="AC157" s="27"/>
      <c r="AD157" s="27"/>
      <c r="AE157" s="27"/>
      <c r="AF157" s="28"/>
      <c r="AG157" s="27"/>
      <c r="AH157" s="37"/>
      <c r="AI157" s="29" t="s">
        <v>16</v>
      </c>
      <c r="AJ157" s="30" t="s">
        <v>13</v>
      </c>
      <c r="AK157" s="27"/>
      <c r="AL157" s="27"/>
      <c r="AM157" s="28"/>
      <c r="AN157" s="27"/>
      <c r="AO157" s="27"/>
      <c r="AP157" s="100" t="s">
        <v>14</v>
      </c>
      <c r="AQ157" s="101" t="s">
        <v>11</v>
      </c>
      <c r="AR157" s="98"/>
      <c r="AS157" s="98"/>
      <c r="AT157" s="99"/>
      <c r="AU157" s="98"/>
      <c r="AV157" s="100" t="s">
        <v>15</v>
      </c>
      <c r="AW157" s="98"/>
      <c r="AX157" s="98"/>
      <c r="AY157" s="33">
        <v>17</v>
      </c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25"/>
    </row>
    <row r="158" spans="1:94" x14ac:dyDescent="0.25">
      <c r="A158" s="25" t="s">
        <v>8</v>
      </c>
      <c r="B158" s="25" t="s">
        <v>235</v>
      </c>
      <c r="C158" s="25" t="s">
        <v>380</v>
      </c>
      <c r="D158" s="25">
        <v>22</v>
      </c>
      <c r="E158" s="35" cm="1">
        <f t="array" ref="E158">IFERROR(INDEX($H$5:$AVV$5, _xlfn.AGGREGATE(15,6, COLUMN(H158:AVV158)-COLUMN(H158)+F158 / (H158:AVV158="T"), $A$2)), "")</f>
        <v>45982</v>
      </c>
      <c r="F158" s="97">
        <v>1</v>
      </c>
      <c r="G158" s="38" t="s">
        <v>10</v>
      </c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 t="s">
        <v>12</v>
      </c>
      <c r="AC158" s="27"/>
      <c r="AD158" s="27"/>
      <c r="AE158" s="27"/>
      <c r="AF158" s="28"/>
      <c r="AG158" s="27"/>
      <c r="AH158" s="37"/>
      <c r="AI158" s="29" t="s">
        <v>16</v>
      </c>
      <c r="AJ158" s="30" t="s">
        <v>13</v>
      </c>
      <c r="AK158" s="27"/>
      <c r="AL158" s="27"/>
      <c r="AM158" s="28"/>
      <c r="AN158" s="27"/>
      <c r="AO158" s="27"/>
      <c r="AP158" s="100" t="s">
        <v>14</v>
      </c>
      <c r="AQ158" s="101" t="s">
        <v>11</v>
      </c>
      <c r="AR158" s="98"/>
      <c r="AS158" s="98"/>
      <c r="AT158" s="99"/>
      <c r="AU158" s="98"/>
      <c r="AV158" s="100" t="s">
        <v>15</v>
      </c>
      <c r="AW158" s="98"/>
      <c r="AX158" s="98"/>
      <c r="AY158" s="33">
        <v>17</v>
      </c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25"/>
    </row>
    <row r="159" spans="1:94" x14ac:dyDescent="0.25">
      <c r="A159" s="25" t="s">
        <v>8</v>
      </c>
      <c r="B159" s="25" t="s">
        <v>236</v>
      </c>
      <c r="C159" s="25" t="s">
        <v>381</v>
      </c>
      <c r="D159" s="25">
        <v>23</v>
      </c>
      <c r="E159" s="35" cm="1">
        <f t="array" ref="E159">IFERROR(INDEX($H$5:$AVV$5, _xlfn.AGGREGATE(15,6, COLUMN(H159:AVV159)-COLUMN(H159)+F159 / (H159:AVV159="T"), $A$2)), "")</f>
        <v>45982</v>
      </c>
      <c r="F159" s="97">
        <v>1</v>
      </c>
      <c r="G159" s="38" t="s">
        <v>10</v>
      </c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25"/>
      <c r="T159" s="25"/>
      <c r="U159" s="25"/>
      <c r="V159" s="25"/>
      <c r="W159" s="25"/>
      <c r="X159" s="25"/>
      <c r="Y159" s="25"/>
      <c r="Z159" s="25"/>
      <c r="AA159" s="25"/>
      <c r="AB159" s="25" t="s">
        <v>12</v>
      </c>
      <c r="AC159" s="27"/>
      <c r="AD159" s="27"/>
      <c r="AE159" s="27"/>
      <c r="AF159" s="28"/>
      <c r="AG159" s="37"/>
      <c r="AH159" s="27"/>
      <c r="AI159" s="29" t="s">
        <v>16</v>
      </c>
      <c r="AJ159" s="30" t="s">
        <v>13</v>
      </c>
      <c r="AK159" s="27"/>
      <c r="AL159" s="27"/>
      <c r="AM159" s="28"/>
      <c r="AN159" s="27"/>
      <c r="AO159" s="27"/>
      <c r="AP159" s="29" t="s">
        <v>14</v>
      </c>
      <c r="AQ159" s="101" t="s">
        <v>11</v>
      </c>
      <c r="AR159" s="98"/>
      <c r="AS159" s="98"/>
      <c r="AT159" s="99"/>
      <c r="AU159" s="98"/>
      <c r="AV159" s="100" t="s">
        <v>15</v>
      </c>
      <c r="AW159" s="98"/>
      <c r="AX159" s="98"/>
      <c r="AY159" s="33">
        <v>17</v>
      </c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25"/>
    </row>
    <row r="160" spans="1:94" x14ac:dyDescent="0.25">
      <c r="A160" s="25" t="s">
        <v>8</v>
      </c>
      <c r="B160" s="25" t="s">
        <v>237</v>
      </c>
      <c r="C160" s="25" t="s">
        <v>382</v>
      </c>
      <c r="D160" s="25">
        <v>24</v>
      </c>
      <c r="E160" s="35" cm="1">
        <f t="array" ref="E160">IFERROR(INDEX($H$5:$AVV$5, _xlfn.AGGREGATE(15,6, COLUMN(H160:AVV160)-COLUMN(H160)+F160 / (H160:AVV160="T"), $A$2)), "")</f>
        <v>45982</v>
      </c>
      <c r="F160" s="97">
        <v>1</v>
      </c>
      <c r="G160" s="38" t="s">
        <v>10</v>
      </c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25"/>
      <c r="T160" s="25"/>
      <c r="U160" s="25"/>
      <c r="V160" s="25"/>
      <c r="W160" s="25"/>
      <c r="X160" s="25"/>
      <c r="Y160" s="25"/>
      <c r="Z160" s="25"/>
      <c r="AA160" s="25"/>
      <c r="AB160" s="25" t="s">
        <v>12</v>
      </c>
      <c r="AC160" s="27"/>
      <c r="AD160" s="27"/>
      <c r="AE160" s="27"/>
      <c r="AF160" s="28"/>
      <c r="AG160" s="27"/>
      <c r="AH160" s="27"/>
      <c r="AI160" s="32" t="s">
        <v>16</v>
      </c>
      <c r="AJ160" s="30" t="s">
        <v>13</v>
      </c>
      <c r="AK160" s="27"/>
      <c r="AL160" s="27"/>
      <c r="AM160" s="28"/>
      <c r="AN160" s="27"/>
      <c r="AO160" s="27"/>
      <c r="AP160" s="29" t="s">
        <v>14</v>
      </c>
      <c r="AQ160" s="101" t="s">
        <v>11</v>
      </c>
      <c r="AR160" s="98"/>
      <c r="AS160" s="98"/>
      <c r="AT160" s="99"/>
      <c r="AU160" s="98"/>
      <c r="AV160" s="100" t="s">
        <v>15</v>
      </c>
      <c r="AW160" s="98"/>
      <c r="AX160" s="98"/>
      <c r="AY160" s="33">
        <v>17</v>
      </c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</row>
    <row r="161" spans="1:93" x14ac:dyDescent="0.25">
      <c r="A161" s="25" t="s">
        <v>8</v>
      </c>
      <c r="B161" s="25" t="s">
        <v>238</v>
      </c>
      <c r="C161" s="25" t="s">
        <v>383</v>
      </c>
      <c r="D161" s="25">
        <v>25</v>
      </c>
      <c r="E161" s="35" cm="1">
        <f t="array" ref="E161">IFERROR(INDEX($H$5:$AVV$5, _xlfn.AGGREGATE(15,6, COLUMN(H161:AVV161)-COLUMN(H161)+F161 / (H161:AVV161="T"), $A$2)), "")</f>
        <v>45982</v>
      </c>
      <c r="F161" s="97">
        <v>1</v>
      </c>
      <c r="G161" s="38" t="s">
        <v>10</v>
      </c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25"/>
      <c r="T161" s="25"/>
      <c r="U161" s="25"/>
      <c r="V161" s="25"/>
      <c r="W161" s="25"/>
      <c r="X161" s="25"/>
      <c r="Y161" s="25"/>
      <c r="Z161" s="25"/>
      <c r="AA161" s="25"/>
      <c r="AB161" s="25" t="s">
        <v>12</v>
      </c>
      <c r="AC161" s="27"/>
      <c r="AD161" s="27"/>
      <c r="AE161" s="27"/>
      <c r="AF161" s="28"/>
      <c r="AG161" s="27"/>
      <c r="AH161" s="27"/>
      <c r="AI161" s="32" t="s">
        <v>16</v>
      </c>
      <c r="AJ161" s="30" t="s">
        <v>13</v>
      </c>
      <c r="AK161" s="27"/>
      <c r="AL161" s="27"/>
      <c r="AM161" s="28"/>
      <c r="AN161" s="27"/>
      <c r="AO161" s="27"/>
      <c r="AP161" s="29" t="s">
        <v>14</v>
      </c>
      <c r="AQ161" s="101" t="s">
        <v>11</v>
      </c>
      <c r="AR161" s="98"/>
      <c r="AS161" s="98"/>
      <c r="AT161" s="99"/>
      <c r="AU161" s="98"/>
      <c r="AV161" s="100" t="s">
        <v>15</v>
      </c>
      <c r="AW161" s="98"/>
      <c r="AX161" s="98"/>
      <c r="AY161" s="33">
        <v>17</v>
      </c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25"/>
    </row>
    <row r="162" spans="1:93" x14ac:dyDescent="0.25">
      <c r="A162" s="25" t="s">
        <v>8</v>
      </c>
      <c r="B162" s="25" t="s">
        <v>239</v>
      </c>
      <c r="C162" s="25" t="s">
        <v>384</v>
      </c>
      <c r="D162" s="25">
        <v>26</v>
      </c>
      <c r="E162" s="35" cm="1">
        <f t="array" ref="E162">IFERROR(INDEX($H$5:$AVV$5, _xlfn.AGGREGATE(15,6, COLUMN(H162:AVV162)-COLUMN(H162)+F162 / (H162:AVV162="T"), $A$2)), "")</f>
        <v>45982</v>
      </c>
      <c r="F162" s="97">
        <v>1</v>
      </c>
      <c r="G162" s="38" t="s">
        <v>10</v>
      </c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25"/>
      <c r="T162" s="25"/>
      <c r="U162" s="25"/>
      <c r="V162" s="25"/>
      <c r="W162" s="25"/>
      <c r="X162" s="25"/>
      <c r="Y162" s="25"/>
      <c r="Z162" s="25"/>
      <c r="AA162" s="25"/>
      <c r="AB162" s="25" t="s">
        <v>12</v>
      </c>
      <c r="AC162" s="27"/>
      <c r="AD162" s="27"/>
      <c r="AE162" s="27"/>
      <c r="AF162" s="28"/>
      <c r="AG162" s="27"/>
      <c r="AH162" s="27"/>
      <c r="AI162" s="32" t="s">
        <v>16</v>
      </c>
      <c r="AJ162" s="30" t="s">
        <v>13</v>
      </c>
      <c r="AK162" s="27"/>
      <c r="AL162" s="27"/>
      <c r="AM162" s="28"/>
      <c r="AN162" s="27"/>
      <c r="AO162" s="27"/>
      <c r="AP162" s="29" t="s">
        <v>14</v>
      </c>
      <c r="AQ162" s="101" t="s">
        <v>11</v>
      </c>
      <c r="AR162" s="98"/>
      <c r="AS162" s="98"/>
      <c r="AT162" s="99"/>
      <c r="AU162" s="98"/>
      <c r="AV162" s="100" t="s">
        <v>15</v>
      </c>
      <c r="AW162" s="98"/>
      <c r="AX162" s="98"/>
      <c r="AY162" s="33">
        <v>17</v>
      </c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25"/>
    </row>
    <row r="163" spans="1:93" x14ac:dyDescent="0.25">
      <c r="A163" s="25" t="s">
        <v>8</v>
      </c>
      <c r="B163" s="25" t="s">
        <v>240</v>
      </c>
      <c r="C163" s="25" t="s">
        <v>385</v>
      </c>
      <c r="D163" s="25">
        <v>27</v>
      </c>
      <c r="E163" s="35" cm="1">
        <f t="array" ref="E163">IFERROR(INDEX($H$5:$AVV$5, _xlfn.AGGREGATE(15,6, COLUMN(H163:AVV163)-COLUMN(H163)+F163 / (H163:AVV163="T"), $A$2)), "")</f>
        <v>45982</v>
      </c>
      <c r="F163" s="97">
        <v>1</v>
      </c>
      <c r="G163" s="38" t="s">
        <v>10</v>
      </c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25"/>
      <c r="T163" s="25"/>
      <c r="U163" s="25"/>
      <c r="V163" s="25"/>
      <c r="W163" s="25"/>
      <c r="X163" s="25"/>
      <c r="Y163" s="25"/>
      <c r="Z163" s="25"/>
      <c r="AA163" s="25"/>
      <c r="AB163" s="25" t="s">
        <v>12</v>
      </c>
      <c r="AC163" s="27"/>
      <c r="AD163" s="27"/>
      <c r="AE163" s="27"/>
      <c r="AF163" s="28"/>
      <c r="AG163" s="27"/>
      <c r="AH163" s="27"/>
      <c r="AI163" s="32" t="s">
        <v>16</v>
      </c>
      <c r="AJ163" s="30" t="s">
        <v>13</v>
      </c>
      <c r="AK163" s="27"/>
      <c r="AL163" s="27"/>
      <c r="AM163" s="28"/>
      <c r="AN163" s="27"/>
      <c r="AO163" s="27"/>
      <c r="AP163" s="29" t="s">
        <v>14</v>
      </c>
      <c r="AQ163" s="101" t="s">
        <v>11</v>
      </c>
      <c r="AR163" s="98"/>
      <c r="AS163" s="98"/>
      <c r="AT163" s="99"/>
      <c r="AU163" s="98"/>
      <c r="AV163" s="100" t="s">
        <v>15</v>
      </c>
      <c r="AW163" s="98"/>
      <c r="AX163" s="98"/>
      <c r="AY163" s="33">
        <v>17</v>
      </c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25"/>
    </row>
    <row r="164" spans="1:93" x14ac:dyDescent="0.25">
      <c r="A164" s="25" t="s">
        <v>8</v>
      </c>
      <c r="B164" s="25" t="s">
        <v>221</v>
      </c>
      <c r="C164" s="25" t="s">
        <v>366</v>
      </c>
      <c r="D164" s="25">
        <v>8</v>
      </c>
      <c r="E164" s="35" cm="1">
        <f t="array" ref="E164">IFERROR(INDEX($H$5:$AVV$5, _xlfn.AGGREGATE(15,6, COLUMN(H164:AVV164)-COLUMN(H164)+F164 / (H164:AVV164="T"), $A$2)), "")</f>
        <v>45983</v>
      </c>
      <c r="F164" s="97">
        <v>1</v>
      </c>
      <c r="G164" s="38" t="s">
        <v>10</v>
      </c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 t="s">
        <v>12</v>
      </c>
      <c r="AD164" s="27"/>
      <c r="AE164" s="27"/>
      <c r="AF164" s="27"/>
      <c r="AG164" s="28"/>
      <c r="AH164" s="27"/>
      <c r="AI164" s="37"/>
      <c r="AJ164" s="29" t="s">
        <v>16</v>
      </c>
      <c r="AK164" s="30" t="s">
        <v>13</v>
      </c>
      <c r="AL164" s="27"/>
      <c r="AM164" s="27"/>
      <c r="AN164" s="28"/>
      <c r="AO164" s="27"/>
      <c r="AP164" s="27"/>
      <c r="AQ164" s="100" t="s">
        <v>14</v>
      </c>
      <c r="AR164" s="101" t="s">
        <v>11</v>
      </c>
      <c r="AS164" s="98"/>
      <c r="AT164" s="98"/>
      <c r="AU164" s="99"/>
      <c r="AV164" s="98"/>
      <c r="AW164" s="100" t="s">
        <v>15</v>
      </c>
      <c r="AX164" s="98"/>
      <c r="AY164" s="98"/>
      <c r="AZ164" s="33">
        <v>17</v>
      </c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25"/>
    </row>
    <row r="165" spans="1:93" x14ac:dyDescent="0.25">
      <c r="A165" s="25" t="s">
        <v>8</v>
      </c>
      <c r="B165" s="25" t="s">
        <v>222</v>
      </c>
      <c r="C165" s="25" t="s">
        <v>367</v>
      </c>
      <c r="D165" s="25">
        <v>9</v>
      </c>
      <c r="E165" s="35" cm="1">
        <f t="array" ref="E165">IFERROR(INDEX($H$5:$AVV$5, _xlfn.AGGREGATE(15,6, COLUMN(H165:AVV165)-COLUMN(H165)+F165 / (H165:AVV165="T"), $A$2)), "")</f>
        <v>45983</v>
      </c>
      <c r="F165" s="97">
        <v>1</v>
      </c>
      <c r="G165" s="38" t="s">
        <v>10</v>
      </c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 t="s">
        <v>12</v>
      </c>
      <c r="AD165" s="27"/>
      <c r="AE165" s="27"/>
      <c r="AF165" s="27"/>
      <c r="AG165" s="28"/>
      <c r="AH165" s="27"/>
      <c r="AI165" s="37"/>
      <c r="AJ165" s="29" t="s">
        <v>16</v>
      </c>
      <c r="AK165" s="30" t="s">
        <v>13</v>
      </c>
      <c r="AL165" s="27"/>
      <c r="AM165" s="27"/>
      <c r="AN165" s="28"/>
      <c r="AO165" s="27"/>
      <c r="AP165" s="27"/>
      <c r="AQ165" s="100" t="s">
        <v>14</v>
      </c>
      <c r="AR165" s="101" t="s">
        <v>11</v>
      </c>
      <c r="AS165" s="98"/>
      <c r="AT165" s="98"/>
      <c r="AU165" s="99"/>
      <c r="AV165" s="98"/>
      <c r="AW165" s="100" t="s">
        <v>15</v>
      </c>
      <c r="AX165" s="98"/>
      <c r="AY165" s="98"/>
      <c r="AZ165" s="33">
        <v>17</v>
      </c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25"/>
    </row>
    <row r="166" spans="1:93" x14ac:dyDescent="0.25">
      <c r="A166" s="25" t="s">
        <v>8</v>
      </c>
      <c r="B166" s="25" t="s">
        <v>223</v>
      </c>
      <c r="C166" s="25" t="s">
        <v>368</v>
      </c>
      <c r="D166" s="25">
        <v>10</v>
      </c>
      <c r="E166" s="35" cm="1">
        <f t="array" ref="E166">IFERROR(INDEX($H$5:$AVV$5, _xlfn.AGGREGATE(15,6, COLUMN(H166:AVV166)-COLUMN(H166)+F166 / (H166:AVV166="T"), $A$2)), "")</f>
        <v>45983</v>
      </c>
      <c r="F166" s="97">
        <v>1</v>
      </c>
      <c r="G166" s="38" t="s">
        <v>10</v>
      </c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 t="s">
        <v>12</v>
      </c>
      <c r="AD166" s="98"/>
      <c r="AE166" s="98"/>
      <c r="AF166" s="98"/>
      <c r="AG166" s="99"/>
      <c r="AH166" s="98"/>
      <c r="AI166" s="98"/>
      <c r="AJ166" s="100" t="s">
        <v>16</v>
      </c>
      <c r="AK166" s="101" t="s">
        <v>13</v>
      </c>
      <c r="AL166" s="98"/>
      <c r="AM166" s="98"/>
      <c r="AN166" s="99"/>
      <c r="AO166" s="98"/>
      <c r="AP166" s="98"/>
      <c r="AQ166" s="100" t="s">
        <v>14</v>
      </c>
      <c r="AR166" s="101" t="s">
        <v>11</v>
      </c>
      <c r="AS166" s="98"/>
      <c r="AT166" s="98"/>
      <c r="AU166" s="99"/>
      <c r="AV166" s="98"/>
      <c r="AW166" s="100" t="s">
        <v>15</v>
      </c>
      <c r="AX166" s="98"/>
      <c r="AY166" s="98"/>
      <c r="AZ166" s="33">
        <v>17</v>
      </c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</row>
    <row r="167" spans="1:93" x14ac:dyDescent="0.25">
      <c r="A167" s="25" t="s">
        <v>8</v>
      </c>
      <c r="B167" s="25" t="s">
        <v>224</v>
      </c>
      <c r="C167" s="25" t="s">
        <v>369</v>
      </c>
      <c r="D167" s="25">
        <v>11</v>
      </c>
      <c r="E167" s="35" cm="1">
        <f t="array" ref="E167">IFERROR(INDEX($H$5:$AVV$5, _xlfn.AGGREGATE(15,6, COLUMN(H167:AVV167)-COLUMN(H167)+F167 / (H167:AVV167="T"), $A$2)), "")</f>
        <v>45983</v>
      </c>
      <c r="F167" s="97">
        <v>1</v>
      </c>
      <c r="G167" s="38" t="s">
        <v>10</v>
      </c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 t="s">
        <v>12</v>
      </c>
      <c r="AD167" s="98"/>
      <c r="AE167" s="98"/>
      <c r="AF167" s="98"/>
      <c r="AG167" s="99"/>
      <c r="AH167" s="98"/>
      <c r="AI167" s="98"/>
      <c r="AJ167" s="100" t="s">
        <v>16</v>
      </c>
      <c r="AK167" s="101" t="s">
        <v>13</v>
      </c>
      <c r="AL167" s="98"/>
      <c r="AM167" s="98"/>
      <c r="AN167" s="99"/>
      <c r="AO167" s="98"/>
      <c r="AP167" s="98"/>
      <c r="AQ167" s="100" t="s">
        <v>14</v>
      </c>
      <c r="AR167" s="101" t="s">
        <v>11</v>
      </c>
      <c r="AS167" s="98"/>
      <c r="AT167" s="98"/>
      <c r="AU167" s="99"/>
      <c r="AV167" s="98"/>
      <c r="AW167" s="100" t="s">
        <v>15</v>
      </c>
      <c r="AX167" s="98"/>
      <c r="AY167" s="98"/>
      <c r="AZ167" s="33">
        <v>17</v>
      </c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</row>
    <row r="168" spans="1:93" x14ac:dyDescent="0.25">
      <c r="A168" s="25" t="s">
        <v>8</v>
      </c>
      <c r="B168" s="25" t="s">
        <v>225</v>
      </c>
      <c r="C168" s="25" t="s">
        <v>370</v>
      </c>
      <c r="D168" s="25">
        <v>12</v>
      </c>
      <c r="E168" s="35" cm="1">
        <f t="array" ref="E168">IFERROR(INDEX($H$5:$AVV$5, _xlfn.AGGREGATE(15,6, COLUMN(H168:AVV168)-COLUMN(H168)+F168 / (H168:AVV168="T"), $A$2)), "")</f>
        <v>45983</v>
      </c>
      <c r="F168" s="97">
        <v>1</v>
      </c>
      <c r="G168" s="38" t="s">
        <v>10</v>
      </c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25"/>
      <c r="X168" s="25"/>
      <c r="Y168" s="25"/>
      <c r="Z168" s="25"/>
      <c r="AA168" s="25"/>
      <c r="AB168" s="25"/>
      <c r="AC168" s="25" t="s">
        <v>12</v>
      </c>
      <c r="AD168" s="27"/>
      <c r="AE168" s="27"/>
      <c r="AF168" s="27"/>
      <c r="AG168" s="28"/>
      <c r="AH168" s="27"/>
      <c r="AI168" s="27"/>
      <c r="AJ168" s="29" t="s">
        <v>16</v>
      </c>
      <c r="AK168" s="102" t="s">
        <v>13</v>
      </c>
      <c r="AL168" s="27"/>
      <c r="AM168" s="27"/>
      <c r="AN168" s="28"/>
      <c r="AO168" s="27"/>
      <c r="AP168" s="27"/>
      <c r="AQ168" s="29" t="s">
        <v>14</v>
      </c>
      <c r="AR168" s="30" t="s">
        <v>11</v>
      </c>
      <c r="AS168" s="27"/>
      <c r="AT168" s="27"/>
      <c r="AU168" s="99"/>
      <c r="AV168" s="98"/>
      <c r="AW168" s="100" t="s">
        <v>15</v>
      </c>
      <c r="AX168" s="98"/>
      <c r="AY168" s="98"/>
      <c r="AZ168" s="33">
        <v>17</v>
      </c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</row>
    <row r="169" spans="1:93" x14ac:dyDescent="0.25">
      <c r="A169" s="25" t="s">
        <v>8</v>
      </c>
      <c r="B169" s="25" t="s">
        <v>226</v>
      </c>
      <c r="C169" s="25" t="s">
        <v>371</v>
      </c>
      <c r="D169" s="25">
        <v>13</v>
      </c>
      <c r="E169" s="35" cm="1">
        <f t="array" ref="E169">IFERROR(INDEX($H$5:$AVV$5, _xlfn.AGGREGATE(15,6, COLUMN(H169:AVV169)-COLUMN(H169)+F169 / (H169:AVV169="T"), $A$2)), "")</f>
        <v>45983</v>
      </c>
      <c r="F169" s="97">
        <v>1</v>
      </c>
      <c r="G169" s="38" t="s">
        <v>10</v>
      </c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25"/>
      <c r="X169" s="25"/>
      <c r="Y169" s="25"/>
      <c r="Z169" s="25"/>
      <c r="AA169" s="25"/>
      <c r="AB169" s="25"/>
      <c r="AC169" s="25" t="s">
        <v>12</v>
      </c>
      <c r="AD169" s="27"/>
      <c r="AE169" s="27"/>
      <c r="AF169" s="27"/>
      <c r="AG169" s="28"/>
      <c r="AH169" s="27"/>
      <c r="AI169" s="27"/>
      <c r="AJ169" s="29" t="s">
        <v>16</v>
      </c>
      <c r="AK169" s="30" t="s">
        <v>13</v>
      </c>
      <c r="AL169" s="27"/>
      <c r="AM169" s="37"/>
      <c r="AN169" s="28"/>
      <c r="AO169" s="27"/>
      <c r="AP169" s="27"/>
      <c r="AQ169" s="29" t="s">
        <v>14</v>
      </c>
      <c r="AR169" s="30" t="s">
        <v>11</v>
      </c>
      <c r="AS169" s="27"/>
      <c r="AT169" s="27"/>
      <c r="AU169" s="99"/>
      <c r="AV169" s="98"/>
      <c r="AW169" s="100" t="s">
        <v>15</v>
      </c>
      <c r="AX169" s="98"/>
      <c r="AY169" s="98"/>
      <c r="AZ169" s="33">
        <v>17</v>
      </c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</row>
    <row r="170" spans="1:93" s="40" customFormat="1" x14ac:dyDescent="0.25">
      <c r="A170" s="25" t="s">
        <v>8</v>
      </c>
      <c r="B170" s="25" t="s">
        <v>227</v>
      </c>
      <c r="C170" s="25" t="s">
        <v>372</v>
      </c>
      <c r="D170" s="25">
        <v>14</v>
      </c>
      <c r="E170" s="35" cm="1">
        <f t="array" ref="E170">IFERROR(INDEX($H$5:$AVV$5, _xlfn.AGGREGATE(15,6, COLUMN(H170:AVV170)-COLUMN(H170)+F170 / (H170:AVV170="T"), $A$2)), "")</f>
        <v>45983</v>
      </c>
      <c r="F170" s="97">
        <v>1</v>
      </c>
      <c r="G170" s="38" t="s">
        <v>10</v>
      </c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25"/>
      <c r="X170" s="25"/>
      <c r="Y170" s="25"/>
      <c r="Z170" s="25"/>
      <c r="AA170" s="25"/>
      <c r="AB170" s="25"/>
      <c r="AC170" s="25" t="s">
        <v>12</v>
      </c>
      <c r="AD170" s="27"/>
      <c r="AE170" s="27"/>
      <c r="AF170" s="27"/>
      <c r="AG170" s="28"/>
      <c r="AH170" s="27"/>
      <c r="AI170" s="27"/>
      <c r="AJ170" s="29" t="s">
        <v>16</v>
      </c>
      <c r="AK170" s="30" t="s">
        <v>13</v>
      </c>
      <c r="AL170" s="27"/>
      <c r="AM170" s="37"/>
      <c r="AN170" s="28"/>
      <c r="AO170" s="27"/>
      <c r="AP170" s="27"/>
      <c r="AQ170" s="29" t="s">
        <v>14</v>
      </c>
      <c r="AR170" s="30" t="s">
        <v>11</v>
      </c>
      <c r="AS170" s="27"/>
      <c r="AT170" s="27"/>
      <c r="AU170" s="99"/>
      <c r="AV170" s="98"/>
      <c r="AW170" s="100" t="s">
        <v>15</v>
      </c>
      <c r="AX170" s="98"/>
      <c r="AY170" s="98"/>
      <c r="AZ170" s="33">
        <v>17</v>
      </c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</row>
    <row r="171" spans="1:93" s="40" customFormat="1" x14ac:dyDescent="0.25">
      <c r="A171" s="25" t="s">
        <v>8</v>
      </c>
      <c r="B171" s="25" t="s">
        <v>241</v>
      </c>
      <c r="C171" s="25" t="s">
        <v>386</v>
      </c>
      <c r="D171" s="25">
        <v>28</v>
      </c>
      <c r="E171" s="35" cm="1">
        <f t="array" ref="E171">IFERROR(INDEX($H$5:$AVV$5, _xlfn.AGGREGATE(15,6, COLUMN(H171:AVV171)-COLUMN(H171)+F171 / (H171:AVV171="T"), $A$2)), "")</f>
        <v>45984</v>
      </c>
      <c r="F171" s="97">
        <v>1</v>
      </c>
      <c r="G171" s="38" t="s">
        <v>10</v>
      </c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25"/>
      <c r="X171" s="25"/>
      <c r="Y171" s="25"/>
      <c r="Z171" s="25"/>
      <c r="AA171" s="25"/>
      <c r="AB171" s="25"/>
      <c r="AC171" s="25"/>
      <c r="AD171" s="25" t="s">
        <v>12</v>
      </c>
      <c r="AE171" s="27"/>
      <c r="AF171" s="27"/>
      <c r="AG171" s="27"/>
      <c r="AH171" s="28"/>
      <c r="AI171" s="27"/>
      <c r="AJ171" s="27"/>
      <c r="AK171" s="29" t="s">
        <v>16</v>
      </c>
      <c r="AL171" s="30" t="s">
        <v>13</v>
      </c>
      <c r="AM171" s="37"/>
      <c r="AN171" s="27"/>
      <c r="AO171" s="28"/>
      <c r="AP171" s="27"/>
      <c r="AQ171" s="27"/>
      <c r="AR171" s="29" t="s">
        <v>14</v>
      </c>
      <c r="AS171" s="30" t="s">
        <v>11</v>
      </c>
      <c r="AT171" s="27"/>
      <c r="AU171" s="98"/>
      <c r="AV171" s="99"/>
      <c r="AW171" s="98"/>
      <c r="AX171" s="100" t="s">
        <v>15</v>
      </c>
      <c r="AY171" s="98"/>
      <c r="AZ171" s="98"/>
      <c r="BA171" s="33">
        <v>17</v>
      </c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</row>
    <row r="172" spans="1:93" x14ac:dyDescent="0.25">
      <c r="A172" s="25" t="s">
        <v>8</v>
      </c>
      <c r="B172" s="25" t="s">
        <v>242</v>
      </c>
      <c r="C172" s="25" t="s">
        <v>387</v>
      </c>
      <c r="D172" s="25">
        <v>29</v>
      </c>
      <c r="E172" s="35" cm="1">
        <f t="array" ref="E172">IFERROR(INDEX($H$5:$AVV$5, _xlfn.AGGREGATE(15,6, COLUMN(H172:AVV172)-COLUMN(H172)+F172 / (H172:AVV172="T"), $A$2)), "")</f>
        <v>45984</v>
      </c>
      <c r="F172" s="97">
        <v>1</v>
      </c>
      <c r="G172" s="38" t="s">
        <v>10</v>
      </c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25"/>
      <c r="X172" s="25"/>
      <c r="Y172" s="25"/>
      <c r="Z172" s="25"/>
      <c r="AA172" s="25"/>
      <c r="AB172" s="25"/>
      <c r="AC172" s="25"/>
      <c r="AD172" s="25" t="s">
        <v>12</v>
      </c>
      <c r="AE172" s="27"/>
      <c r="AF172" s="27"/>
      <c r="AG172" s="27"/>
      <c r="AH172" s="28"/>
      <c r="AI172" s="27"/>
      <c r="AJ172" s="27"/>
      <c r="AK172" s="29" t="s">
        <v>16</v>
      </c>
      <c r="AL172" s="30" t="s">
        <v>13</v>
      </c>
      <c r="AM172" s="37"/>
      <c r="AN172" s="27"/>
      <c r="AO172" s="28"/>
      <c r="AP172" s="27"/>
      <c r="AQ172" s="27"/>
      <c r="AR172" s="29" t="s">
        <v>14</v>
      </c>
      <c r="AS172" s="30" t="s">
        <v>11</v>
      </c>
      <c r="AT172" s="27"/>
      <c r="AU172" s="98"/>
      <c r="AV172" s="99"/>
      <c r="AW172" s="98"/>
      <c r="AX172" s="100" t="s">
        <v>15</v>
      </c>
      <c r="AY172" s="98"/>
      <c r="AZ172" s="98"/>
      <c r="BA172" s="33">
        <v>17</v>
      </c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</row>
    <row r="173" spans="1:93" x14ac:dyDescent="0.25">
      <c r="A173" s="25" t="s">
        <v>8</v>
      </c>
      <c r="B173" s="25" t="s">
        <v>243</v>
      </c>
      <c r="C173" s="25" t="s">
        <v>388</v>
      </c>
      <c r="D173" s="25">
        <v>30</v>
      </c>
      <c r="E173" s="35" cm="1">
        <f t="array" ref="E173">IFERROR(INDEX($H$5:$AVV$5, _xlfn.AGGREGATE(15,6, COLUMN(H173:AVV173)-COLUMN(H173)+F173 / (H173:AVV173="T"), $A$2)), "")</f>
        <v>45984</v>
      </c>
      <c r="F173" s="97">
        <v>1</v>
      </c>
      <c r="G173" s="38" t="s">
        <v>10</v>
      </c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25"/>
      <c r="X173" s="25"/>
      <c r="Y173" s="25"/>
      <c r="Z173" s="25"/>
      <c r="AA173" s="25"/>
      <c r="AB173" s="25"/>
      <c r="AC173" s="25"/>
      <c r="AD173" s="25" t="s">
        <v>12</v>
      </c>
      <c r="AE173" s="27"/>
      <c r="AF173" s="27"/>
      <c r="AG173" s="27"/>
      <c r="AH173" s="28"/>
      <c r="AI173" s="27"/>
      <c r="AJ173" s="27"/>
      <c r="AK173" s="29" t="s">
        <v>16</v>
      </c>
      <c r="AL173" s="30" t="s">
        <v>13</v>
      </c>
      <c r="AM173" s="37"/>
      <c r="AN173" s="27"/>
      <c r="AO173" s="28"/>
      <c r="AP173" s="27"/>
      <c r="AQ173" s="27"/>
      <c r="AR173" s="29" t="s">
        <v>14</v>
      </c>
      <c r="AS173" s="30" t="s">
        <v>11</v>
      </c>
      <c r="AT173" s="27"/>
      <c r="AU173" s="98"/>
      <c r="AV173" s="99"/>
      <c r="AW173" s="98"/>
      <c r="AX173" s="100" t="s">
        <v>15</v>
      </c>
      <c r="AY173" s="98"/>
      <c r="AZ173" s="98"/>
      <c r="BA173" s="33">
        <v>17</v>
      </c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</row>
    <row r="174" spans="1:93" x14ac:dyDescent="0.25">
      <c r="A174" s="25" t="s">
        <v>8</v>
      </c>
      <c r="B174" s="25" t="s">
        <v>244</v>
      </c>
      <c r="C174" s="25" t="s">
        <v>389</v>
      </c>
      <c r="D174" s="25">
        <v>31</v>
      </c>
      <c r="E174" s="35" cm="1">
        <f t="array" ref="E174">IFERROR(INDEX($H$5:$AVV$5, _xlfn.AGGREGATE(15,6, COLUMN(H174:AVV174)-COLUMN(H174)+F174 / (H174:AVV174="T"), $A$2)), "")</f>
        <v>45984</v>
      </c>
      <c r="F174" s="97">
        <v>1</v>
      </c>
      <c r="G174" s="38" t="s">
        <v>10</v>
      </c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25"/>
      <c r="X174" s="25"/>
      <c r="Y174" s="25"/>
      <c r="Z174" s="25"/>
      <c r="AA174" s="25"/>
      <c r="AB174" s="25"/>
      <c r="AC174" s="25"/>
      <c r="AD174" s="25" t="s">
        <v>12</v>
      </c>
      <c r="AE174" s="27"/>
      <c r="AF174" s="27"/>
      <c r="AG174" s="27"/>
      <c r="AH174" s="28"/>
      <c r="AI174" s="27"/>
      <c r="AJ174" s="27"/>
      <c r="AK174" s="29" t="s">
        <v>16</v>
      </c>
      <c r="AL174" s="30" t="s">
        <v>13</v>
      </c>
      <c r="AM174" s="37"/>
      <c r="AN174" s="27"/>
      <c r="AO174" s="28"/>
      <c r="AP174" s="27"/>
      <c r="AQ174" s="27"/>
      <c r="AR174" s="29" t="s">
        <v>14</v>
      </c>
      <c r="AS174" s="30" t="s">
        <v>11</v>
      </c>
      <c r="AT174" s="27"/>
      <c r="AU174" s="98"/>
      <c r="AV174" s="99"/>
      <c r="AW174" s="98"/>
      <c r="AX174" s="100" t="s">
        <v>15</v>
      </c>
      <c r="AY174" s="98"/>
      <c r="AZ174" s="98"/>
      <c r="BA174" s="33">
        <v>17</v>
      </c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</row>
    <row r="175" spans="1:93" x14ac:dyDescent="0.25">
      <c r="A175" s="25" t="s">
        <v>8</v>
      </c>
      <c r="B175" s="25" t="s">
        <v>245</v>
      </c>
      <c r="C175" s="25" t="s">
        <v>390</v>
      </c>
      <c r="D175" s="25">
        <v>32</v>
      </c>
      <c r="E175" s="35" cm="1">
        <f t="array" ref="E175">IFERROR(INDEX($H$5:$AVV$5, _xlfn.AGGREGATE(15,6, COLUMN(H175:AVV175)-COLUMN(H175)+F175 / (H175:AVV175="T"), $A$2)), "")</f>
        <v>45984</v>
      </c>
      <c r="F175" s="97">
        <v>1</v>
      </c>
      <c r="G175" s="38" t="s">
        <v>10</v>
      </c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25"/>
      <c r="Y175" s="25"/>
      <c r="Z175" s="25"/>
      <c r="AA175" s="25"/>
      <c r="AB175" s="25"/>
      <c r="AC175" s="25"/>
      <c r="AD175" s="25" t="s">
        <v>12</v>
      </c>
      <c r="AE175" s="27"/>
      <c r="AF175" s="27"/>
      <c r="AG175" s="27"/>
      <c r="AH175" s="28"/>
      <c r="AI175" s="27"/>
      <c r="AJ175" s="27"/>
      <c r="AK175" s="29" t="s">
        <v>16</v>
      </c>
      <c r="AL175" s="102" t="s">
        <v>13</v>
      </c>
      <c r="AM175" s="27"/>
      <c r="AN175" s="27"/>
      <c r="AO175" s="28"/>
      <c r="AP175" s="27"/>
      <c r="AQ175" s="27"/>
      <c r="AR175" s="29" t="s">
        <v>14</v>
      </c>
      <c r="AS175" s="30" t="s">
        <v>11</v>
      </c>
      <c r="AT175" s="27"/>
      <c r="AU175" s="27"/>
      <c r="AV175" s="99"/>
      <c r="AW175" s="98"/>
      <c r="AX175" s="100" t="s">
        <v>15</v>
      </c>
      <c r="AY175" s="98"/>
      <c r="AZ175" s="98"/>
      <c r="BA175" s="33">
        <v>17</v>
      </c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</row>
    <row r="176" spans="1:93" x14ac:dyDescent="0.25">
      <c r="A176" s="25" t="s">
        <v>8</v>
      </c>
      <c r="B176" s="25" t="s">
        <v>246</v>
      </c>
      <c r="C176" s="25" t="s">
        <v>391</v>
      </c>
      <c r="D176" s="25">
        <v>33</v>
      </c>
      <c r="E176" s="35" cm="1">
        <f t="array" ref="E176">IFERROR(INDEX($H$5:$AVV$5, _xlfn.AGGREGATE(15,6, COLUMN(H176:AVV176)-COLUMN(H176)+F176 / (H176:AVV176="T"), $A$2)), "")</f>
        <v>45984</v>
      </c>
      <c r="F176" s="97">
        <v>1</v>
      </c>
      <c r="G176" s="38" t="s">
        <v>10</v>
      </c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25"/>
      <c r="Y176" s="25"/>
      <c r="Z176" s="25"/>
      <c r="AA176" s="25"/>
      <c r="AB176" s="25"/>
      <c r="AC176" s="25"/>
      <c r="AD176" s="25" t="s">
        <v>12</v>
      </c>
      <c r="AE176" s="27"/>
      <c r="AF176" s="27"/>
      <c r="AG176" s="27"/>
      <c r="AH176" s="28"/>
      <c r="AI176" s="27"/>
      <c r="AJ176" s="27"/>
      <c r="AK176" s="29" t="s">
        <v>16</v>
      </c>
      <c r="AL176" s="30" t="s">
        <v>13</v>
      </c>
      <c r="AM176" s="27"/>
      <c r="AN176" s="37"/>
      <c r="AO176" s="28"/>
      <c r="AP176" s="27"/>
      <c r="AQ176" s="27"/>
      <c r="AR176" s="29" t="s">
        <v>14</v>
      </c>
      <c r="AS176" s="30" t="s">
        <v>11</v>
      </c>
      <c r="AT176" s="27"/>
      <c r="AU176" s="27"/>
      <c r="AV176" s="99"/>
      <c r="AW176" s="98"/>
      <c r="AX176" s="100" t="s">
        <v>15</v>
      </c>
      <c r="AY176" s="98"/>
      <c r="AZ176" s="98"/>
      <c r="BA176" s="33">
        <v>17</v>
      </c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</row>
    <row r="177" spans="1:92" x14ac:dyDescent="0.25">
      <c r="A177" s="25" t="s">
        <v>8</v>
      </c>
      <c r="B177" s="25" t="s">
        <v>247</v>
      </c>
      <c r="C177" s="25" t="s">
        <v>392</v>
      </c>
      <c r="D177" s="25">
        <v>34</v>
      </c>
      <c r="E177" s="35" cm="1">
        <f t="array" ref="E177">IFERROR(INDEX($H$5:$AVV$5, _xlfn.AGGREGATE(15,6, COLUMN(H177:AVV177)-COLUMN(H177)+F177 / (H177:AVV177="T"), $A$2)), "")</f>
        <v>45984</v>
      </c>
      <c r="F177" s="97">
        <v>1</v>
      </c>
      <c r="G177" s="38" t="s">
        <v>10</v>
      </c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25"/>
      <c r="Y177" s="25"/>
      <c r="Z177" s="25"/>
      <c r="AA177" s="25"/>
      <c r="AB177" s="25"/>
      <c r="AC177" s="25"/>
      <c r="AD177" s="25" t="s">
        <v>12</v>
      </c>
      <c r="AE177" s="27"/>
      <c r="AF177" s="27"/>
      <c r="AG177" s="27"/>
      <c r="AH177" s="28"/>
      <c r="AI177" s="27"/>
      <c r="AJ177" s="27"/>
      <c r="AK177" s="29" t="s">
        <v>16</v>
      </c>
      <c r="AL177" s="30" t="s">
        <v>13</v>
      </c>
      <c r="AM177" s="27"/>
      <c r="AN177" s="37"/>
      <c r="AO177" s="28"/>
      <c r="AP177" s="27"/>
      <c r="AQ177" s="27"/>
      <c r="AR177" s="29" t="s">
        <v>14</v>
      </c>
      <c r="AS177" s="30" t="s">
        <v>11</v>
      </c>
      <c r="AT177" s="27"/>
      <c r="AU177" s="27"/>
      <c r="AV177" s="99"/>
      <c r="AW177" s="98"/>
      <c r="AX177" s="100" t="s">
        <v>15</v>
      </c>
      <c r="AY177" s="98"/>
      <c r="AZ177" s="98"/>
      <c r="BA177" s="33">
        <v>17</v>
      </c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</row>
    <row r="178" spans="1:92" x14ac:dyDescent="0.25">
      <c r="A178" s="25" t="s">
        <v>8</v>
      </c>
      <c r="B178" s="25" t="s">
        <v>228</v>
      </c>
      <c r="C178" s="25" t="s">
        <v>373</v>
      </c>
      <c r="D178" s="25">
        <v>15</v>
      </c>
      <c r="E178" s="35" cm="1">
        <f t="array" ref="E178">IFERROR(INDEX($H$5:$AVV$5, _xlfn.AGGREGATE(15,6, COLUMN(H178:AVV178)-COLUMN(H178)+F178 / (H178:AVV178="T"), $A$2)), "")</f>
        <v>45985</v>
      </c>
      <c r="F178" s="97">
        <v>1</v>
      </c>
      <c r="G178" s="38" t="s">
        <v>10</v>
      </c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25"/>
      <c r="Y178" s="25"/>
      <c r="Z178" s="25"/>
      <c r="AA178" s="25"/>
      <c r="AB178" s="25"/>
      <c r="AC178" s="25"/>
      <c r="AD178" s="25"/>
      <c r="AE178" s="25" t="s">
        <v>12</v>
      </c>
      <c r="AF178" s="27"/>
      <c r="AG178" s="27"/>
      <c r="AH178" s="27"/>
      <c r="AI178" s="28"/>
      <c r="AJ178" s="27"/>
      <c r="AK178" s="27"/>
      <c r="AL178" s="29" t="s">
        <v>16</v>
      </c>
      <c r="AM178" s="30" t="s">
        <v>13</v>
      </c>
      <c r="AN178" s="37"/>
      <c r="AO178" s="27"/>
      <c r="AP178" s="28"/>
      <c r="AQ178" s="27"/>
      <c r="AR178" s="27"/>
      <c r="AS178" s="29" t="s">
        <v>14</v>
      </c>
      <c r="AT178" s="30" t="s">
        <v>11</v>
      </c>
      <c r="AU178" s="27"/>
      <c r="AV178" s="98"/>
      <c r="AW178" s="99"/>
      <c r="AX178" s="98"/>
      <c r="AY178" s="100" t="s">
        <v>15</v>
      </c>
      <c r="AZ178" s="98"/>
      <c r="BA178" s="98"/>
      <c r="BB178" s="33">
        <v>17</v>
      </c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</row>
    <row r="179" spans="1:92" x14ac:dyDescent="0.25">
      <c r="A179" s="25" t="s">
        <v>8</v>
      </c>
      <c r="B179" s="25" t="s">
        <v>229</v>
      </c>
      <c r="C179" s="25" t="s">
        <v>374</v>
      </c>
      <c r="D179" s="25">
        <v>16</v>
      </c>
      <c r="E179" s="35" cm="1">
        <f t="array" ref="E179">IFERROR(INDEX($H$5:$AVV$5, _xlfn.AGGREGATE(15,6, COLUMN(H179:AVV179)-COLUMN(H179)+F179 / (H179:AVV179="T"), $A$2)), "")</f>
        <v>45985</v>
      </c>
      <c r="F179" s="97">
        <v>1</v>
      </c>
      <c r="G179" s="38" t="s">
        <v>10</v>
      </c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25"/>
      <c r="Y179" s="25"/>
      <c r="Z179" s="25"/>
      <c r="AA179" s="25"/>
      <c r="AB179" s="25"/>
      <c r="AC179" s="25"/>
      <c r="AD179" s="25"/>
      <c r="AE179" s="25" t="s">
        <v>12</v>
      </c>
      <c r="AF179" s="27"/>
      <c r="AG179" s="27"/>
      <c r="AH179" s="27"/>
      <c r="AI179" s="28"/>
      <c r="AJ179" s="27"/>
      <c r="AK179" s="27"/>
      <c r="AL179" s="29" t="s">
        <v>16</v>
      </c>
      <c r="AM179" s="30" t="s">
        <v>13</v>
      </c>
      <c r="AN179" s="37"/>
      <c r="AO179" s="27"/>
      <c r="AP179" s="28"/>
      <c r="AQ179" s="27"/>
      <c r="AR179" s="27"/>
      <c r="AS179" s="29" t="s">
        <v>14</v>
      </c>
      <c r="AT179" s="30" t="s">
        <v>11</v>
      </c>
      <c r="AU179" s="27"/>
      <c r="AV179" s="98"/>
      <c r="AW179" s="99"/>
      <c r="AX179" s="98"/>
      <c r="AY179" s="100" t="s">
        <v>15</v>
      </c>
      <c r="AZ179" s="98"/>
      <c r="BA179" s="98"/>
      <c r="BB179" s="33">
        <v>17</v>
      </c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</row>
    <row r="180" spans="1:92" x14ac:dyDescent="0.25">
      <c r="A180" s="25" t="s">
        <v>8</v>
      </c>
      <c r="B180" s="25" t="s">
        <v>230</v>
      </c>
      <c r="C180" s="25" t="s">
        <v>375</v>
      </c>
      <c r="D180" s="25">
        <v>17</v>
      </c>
      <c r="E180" s="35" cm="1">
        <f t="array" ref="E180">IFERROR(INDEX($H$5:$AVV$5, _xlfn.AGGREGATE(15,6, COLUMN(H180:AVV180)-COLUMN(H180)+F180 / (H180:AVV180="T"), $A$2)), "")</f>
        <v>45985</v>
      </c>
      <c r="F180" s="97">
        <v>1</v>
      </c>
      <c r="G180" s="38" t="s">
        <v>10</v>
      </c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25"/>
      <c r="Y180" s="25"/>
      <c r="Z180" s="25"/>
      <c r="AA180" s="25"/>
      <c r="AB180" s="25"/>
      <c r="AC180" s="25"/>
      <c r="AD180" s="25"/>
      <c r="AE180" s="25" t="s">
        <v>12</v>
      </c>
      <c r="AF180" s="27"/>
      <c r="AG180" s="27"/>
      <c r="AH180" s="27"/>
      <c r="AI180" s="28"/>
      <c r="AJ180" s="27"/>
      <c r="AK180" s="27"/>
      <c r="AL180" s="29" t="s">
        <v>16</v>
      </c>
      <c r="AM180" s="30" t="s">
        <v>13</v>
      </c>
      <c r="AN180" s="37"/>
      <c r="AO180" s="27"/>
      <c r="AP180" s="28"/>
      <c r="AQ180" s="27"/>
      <c r="AR180" s="27"/>
      <c r="AS180" s="29" t="s">
        <v>14</v>
      </c>
      <c r="AT180" s="30" t="s">
        <v>11</v>
      </c>
      <c r="AU180" s="27"/>
      <c r="AV180" s="98"/>
      <c r="AW180" s="99"/>
      <c r="AX180" s="98"/>
      <c r="AY180" s="100" t="s">
        <v>15</v>
      </c>
      <c r="AZ180" s="98"/>
      <c r="BA180" s="98"/>
      <c r="BB180" s="33">
        <v>17</v>
      </c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</row>
    <row r="181" spans="1:92" x14ac:dyDescent="0.25">
      <c r="A181" s="25" t="s">
        <v>8</v>
      </c>
      <c r="B181" s="25" t="s">
        <v>231</v>
      </c>
      <c r="C181" s="25" t="s">
        <v>376</v>
      </c>
      <c r="D181" s="25">
        <v>18</v>
      </c>
      <c r="E181" s="35" cm="1">
        <f t="array" ref="E181">IFERROR(INDEX($H$5:$AVV$5, _xlfn.AGGREGATE(15,6, COLUMN(H181:AVV181)-COLUMN(H181)+F181 / (H181:AVV181="T"), $A$2)), "")</f>
        <v>45985</v>
      </c>
      <c r="F181" s="97">
        <v>1</v>
      </c>
      <c r="G181" s="38" t="s">
        <v>10</v>
      </c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25"/>
      <c r="Y181" s="25"/>
      <c r="Z181" s="25"/>
      <c r="AA181" s="25"/>
      <c r="AB181" s="25"/>
      <c r="AC181" s="25"/>
      <c r="AD181" s="25"/>
      <c r="AE181" s="25" t="s">
        <v>12</v>
      </c>
      <c r="AF181" s="27"/>
      <c r="AG181" s="27"/>
      <c r="AH181" s="27"/>
      <c r="AI181" s="28"/>
      <c r="AJ181" s="27"/>
      <c r="AK181" s="27"/>
      <c r="AL181" s="29" t="s">
        <v>16</v>
      </c>
      <c r="AM181" s="30" t="s">
        <v>13</v>
      </c>
      <c r="AN181" s="37"/>
      <c r="AO181" s="27"/>
      <c r="AP181" s="28"/>
      <c r="AQ181" s="27"/>
      <c r="AR181" s="27"/>
      <c r="AS181" s="29" t="s">
        <v>14</v>
      </c>
      <c r="AT181" s="30" t="s">
        <v>11</v>
      </c>
      <c r="AU181" s="27"/>
      <c r="AV181" s="98"/>
      <c r="AW181" s="99"/>
      <c r="AX181" s="98"/>
      <c r="AY181" s="100" t="s">
        <v>15</v>
      </c>
      <c r="AZ181" s="98"/>
      <c r="BA181" s="98"/>
      <c r="BB181" s="33">
        <v>17</v>
      </c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</row>
    <row r="182" spans="1:92" x14ac:dyDescent="0.25">
      <c r="A182" s="25" t="s">
        <v>8</v>
      </c>
      <c r="B182" s="25" t="s">
        <v>232</v>
      </c>
      <c r="C182" s="25" t="s">
        <v>377</v>
      </c>
      <c r="D182" s="25">
        <v>19</v>
      </c>
      <c r="E182" s="35" cm="1">
        <f t="array" ref="E182">IFERROR(INDEX($H$5:$AVV$5, _xlfn.AGGREGATE(15,6, COLUMN(H182:AVV182)-COLUMN(H182)+F182 / (H182:AVV182="T"), $A$2)), "")</f>
        <v>45985</v>
      </c>
      <c r="F182" s="97">
        <v>1</v>
      </c>
      <c r="G182" s="38" t="s">
        <v>10</v>
      </c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25"/>
      <c r="Z182" s="25"/>
      <c r="AA182" s="25"/>
      <c r="AB182" s="25"/>
      <c r="AC182" s="25"/>
      <c r="AD182" s="25"/>
      <c r="AE182" s="25" t="s">
        <v>12</v>
      </c>
      <c r="AF182" s="27"/>
      <c r="AG182" s="27"/>
      <c r="AH182" s="27"/>
      <c r="AI182" s="28"/>
      <c r="AJ182" s="27"/>
      <c r="AK182" s="27"/>
      <c r="AL182" s="29" t="s">
        <v>16</v>
      </c>
      <c r="AM182" s="102" t="s">
        <v>13</v>
      </c>
      <c r="AN182" s="27"/>
      <c r="AO182" s="27"/>
      <c r="AP182" s="28"/>
      <c r="AQ182" s="27"/>
      <c r="AR182" s="27"/>
      <c r="AS182" s="29" t="s">
        <v>14</v>
      </c>
      <c r="AT182" s="30" t="s">
        <v>11</v>
      </c>
      <c r="AU182" s="27"/>
      <c r="AV182" s="27"/>
      <c r="AW182" s="99"/>
      <c r="AX182" s="98"/>
      <c r="AY182" s="100" t="s">
        <v>15</v>
      </c>
      <c r="AZ182" s="98"/>
      <c r="BA182" s="98"/>
      <c r="BB182" s="33">
        <v>17</v>
      </c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</row>
    <row r="183" spans="1:92" x14ac:dyDescent="0.25">
      <c r="A183" s="25" t="s">
        <v>8</v>
      </c>
      <c r="B183" s="25" t="s">
        <v>248</v>
      </c>
      <c r="C183" s="25" t="s">
        <v>393</v>
      </c>
      <c r="D183" s="25">
        <v>35</v>
      </c>
      <c r="E183" s="35" cm="1">
        <f t="array" ref="E183">IFERROR(INDEX($H$5:$AVV$5, _xlfn.AGGREGATE(15,6, COLUMN(H183:AVV183)-COLUMN(H183)+F183 / (H183:AVV183="T"), $A$2)), "")</f>
        <v>45985</v>
      </c>
      <c r="F183" s="97">
        <v>1</v>
      </c>
      <c r="G183" s="38" t="s">
        <v>10</v>
      </c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25"/>
      <c r="Z183" s="25"/>
      <c r="AA183" s="25"/>
      <c r="AB183" s="25"/>
      <c r="AC183" s="25"/>
      <c r="AD183" s="25"/>
      <c r="AE183" s="25" t="s">
        <v>12</v>
      </c>
      <c r="AF183" s="27"/>
      <c r="AG183" s="27"/>
      <c r="AH183" s="27"/>
      <c r="AI183" s="28"/>
      <c r="AJ183" s="27"/>
      <c r="AK183" s="27"/>
      <c r="AL183" s="29" t="s">
        <v>16</v>
      </c>
      <c r="AM183" s="30" t="s">
        <v>13</v>
      </c>
      <c r="AN183" s="27"/>
      <c r="AO183" s="37"/>
      <c r="AP183" s="28"/>
      <c r="AQ183" s="27"/>
      <c r="AR183" s="27"/>
      <c r="AS183" s="29" t="s">
        <v>14</v>
      </c>
      <c r="AT183" s="30" t="s">
        <v>11</v>
      </c>
      <c r="AU183" s="27"/>
      <c r="AV183" s="27"/>
      <c r="AW183" s="99"/>
      <c r="AX183" s="98"/>
      <c r="AY183" s="100" t="s">
        <v>15</v>
      </c>
      <c r="AZ183" s="98"/>
      <c r="BA183" s="98"/>
      <c r="BB183" s="33">
        <v>17</v>
      </c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</row>
    <row r="184" spans="1:92" x14ac:dyDescent="0.25">
      <c r="A184" s="25" t="s">
        <v>8</v>
      </c>
      <c r="B184" s="25" t="s">
        <v>249</v>
      </c>
      <c r="C184" s="25" t="s">
        <v>394</v>
      </c>
      <c r="D184" s="25">
        <v>36</v>
      </c>
      <c r="E184" s="35" cm="1">
        <f t="array" ref="E184">IFERROR(INDEX($H$5:$AVV$5, _xlfn.AGGREGATE(15,6, COLUMN(H184:AVV184)-COLUMN(H184)+F184 / (H184:AVV184="T"), $A$2)), "")</f>
        <v>45985</v>
      </c>
      <c r="F184" s="97">
        <v>1</v>
      </c>
      <c r="G184" s="38" t="s">
        <v>10</v>
      </c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25"/>
      <c r="Z184" s="25"/>
      <c r="AA184" s="25"/>
      <c r="AB184" s="25"/>
      <c r="AC184" s="25"/>
      <c r="AD184" s="25"/>
      <c r="AE184" s="25" t="s">
        <v>12</v>
      </c>
      <c r="AF184" s="27"/>
      <c r="AG184" s="27"/>
      <c r="AH184" s="27"/>
      <c r="AI184" s="28"/>
      <c r="AJ184" s="27"/>
      <c r="AK184" s="27"/>
      <c r="AL184" s="29" t="s">
        <v>16</v>
      </c>
      <c r="AM184" s="30" t="s">
        <v>13</v>
      </c>
      <c r="AN184" s="27"/>
      <c r="AO184" s="37"/>
      <c r="AP184" s="28"/>
      <c r="AQ184" s="27"/>
      <c r="AR184" s="27"/>
      <c r="AS184" s="29" t="s">
        <v>14</v>
      </c>
      <c r="AT184" s="30" t="s">
        <v>11</v>
      </c>
      <c r="AU184" s="27"/>
      <c r="AV184" s="27"/>
      <c r="AW184" s="99"/>
      <c r="AX184" s="98"/>
      <c r="AY184" s="100" t="s">
        <v>15</v>
      </c>
      <c r="AZ184" s="98"/>
      <c r="BA184" s="98"/>
      <c r="BB184" s="33">
        <v>17</v>
      </c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</row>
    <row r="185" spans="1:92" x14ac:dyDescent="0.25">
      <c r="A185" s="25" t="s">
        <v>8</v>
      </c>
      <c r="B185" s="25" t="s">
        <v>250</v>
      </c>
      <c r="C185" s="25" t="s">
        <v>395</v>
      </c>
      <c r="D185" s="25">
        <v>37</v>
      </c>
      <c r="E185" s="35" cm="1">
        <f t="array" ref="E185">IFERROR(INDEX($H$5:$AVV$5, _xlfn.AGGREGATE(15,6, COLUMN(H185:AVV185)-COLUMN(H185)+F185 / (H185:AVV185="T"), $A$2)), "")</f>
        <v>45986</v>
      </c>
      <c r="F185" s="97">
        <v>1</v>
      </c>
      <c r="G185" s="38" t="s">
        <v>10</v>
      </c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25"/>
      <c r="Z185" s="25"/>
      <c r="AA185" s="25"/>
      <c r="AB185" s="25"/>
      <c r="AC185" s="25"/>
      <c r="AD185" s="25"/>
      <c r="AE185" s="25"/>
      <c r="AF185" s="25" t="s">
        <v>12</v>
      </c>
      <c r="AG185" s="27"/>
      <c r="AH185" s="27"/>
      <c r="AI185" s="27"/>
      <c r="AJ185" s="28"/>
      <c r="AK185" s="27"/>
      <c r="AL185" s="27"/>
      <c r="AM185" s="29" t="s">
        <v>16</v>
      </c>
      <c r="AN185" s="30" t="s">
        <v>13</v>
      </c>
      <c r="AO185" s="37"/>
      <c r="AP185" s="27"/>
      <c r="AQ185" s="28"/>
      <c r="AR185" s="27"/>
      <c r="AS185" s="27"/>
      <c r="AT185" s="29" t="s">
        <v>14</v>
      </c>
      <c r="AU185" s="30" t="s">
        <v>11</v>
      </c>
      <c r="AV185" s="27"/>
      <c r="AW185" s="98"/>
      <c r="AX185" s="99"/>
      <c r="AY185" s="98"/>
      <c r="AZ185" s="100" t="s">
        <v>15</v>
      </c>
      <c r="BA185" s="98"/>
      <c r="BB185" s="98"/>
      <c r="BC185" s="33">
        <v>17</v>
      </c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</row>
    <row r="186" spans="1:92" x14ac:dyDescent="0.25">
      <c r="A186" s="39" t="s">
        <v>8</v>
      </c>
      <c r="B186" s="39" t="s">
        <v>251</v>
      </c>
      <c r="C186" s="25" t="s">
        <v>396</v>
      </c>
      <c r="D186" s="25">
        <v>38</v>
      </c>
      <c r="E186" s="35" cm="1">
        <f t="array" ref="E186">IFERROR(INDEX($H$5:$AVV$5, _xlfn.AGGREGATE(15,6, COLUMN(H186:AVV186)-COLUMN(H186)+F186 / (H186:AVV186="T"), $A$2)), "")</f>
        <v>45986</v>
      </c>
      <c r="F186" s="97">
        <v>1</v>
      </c>
      <c r="G186" s="44" t="s">
        <v>10</v>
      </c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25"/>
      <c r="Z186" s="25"/>
      <c r="AA186" s="25"/>
      <c r="AB186" s="25"/>
      <c r="AC186" s="25"/>
      <c r="AD186" s="25"/>
      <c r="AE186" s="25"/>
      <c r="AF186" s="25" t="s">
        <v>12</v>
      </c>
      <c r="AG186" s="27"/>
      <c r="AH186" s="27"/>
      <c r="AI186" s="27"/>
      <c r="AJ186" s="28"/>
      <c r="AK186" s="27"/>
      <c r="AL186" s="27"/>
      <c r="AM186" s="29" t="s">
        <v>16</v>
      </c>
      <c r="AN186" s="30" t="s">
        <v>13</v>
      </c>
      <c r="AO186" s="37"/>
      <c r="AP186" s="27"/>
      <c r="AQ186" s="28"/>
      <c r="AR186" s="27"/>
      <c r="AS186" s="27"/>
      <c r="AT186" s="29" t="s">
        <v>14</v>
      </c>
      <c r="AU186" s="30" t="s">
        <v>11</v>
      </c>
      <c r="AV186" s="27"/>
      <c r="AW186" s="98"/>
      <c r="AX186" s="99"/>
      <c r="AY186" s="98"/>
      <c r="AZ186" s="100" t="s">
        <v>15</v>
      </c>
      <c r="BA186" s="98"/>
      <c r="BB186" s="98"/>
      <c r="BC186" s="33">
        <v>17</v>
      </c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</row>
    <row r="187" spans="1:92" x14ac:dyDescent="0.25">
      <c r="A187" s="45" t="s">
        <v>8</v>
      </c>
      <c r="B187" s="45" t="s">
        <v>252</v>
      </c>
      <c r="C187" s="25" t="s">
        <v>397</v>
      </c>
      <c r="D187" s="25">
        <v>39</v>
      </c>
      <c r="E187" s="35" cm="1">
        <f t="array" ref="E187">IFERROR(INDEX($H$5:$AVV$5, _xlfn.AGGREGATE(15,6, COLUMN(H187:AVV187)-COLUMN(H187)+F187 / (H187:AVV187="T"), $A$2)), "")</f>
        <v>45986</v>
      </c>
      <c r="F187" s="97">
        <v>1</v>
      </c>
      <c r="G187" s="46" t="s">
        <v>10</v>
      </c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25"/>
      <c r="Z187" s="25"/>
      <c r="AA187" s="25"/>
      <c r="AB187" s="25"/>
      <c r="AC187" s="25"/>
      <c r="AD187" s="25"/>
      <c r="AE187" s="25"/>
      <c r="AF187" s="25" t="s">
        <v>12</v>
      </c>
      <c r="AG187" s="27"/>
      <c r="AH187" s="27"/>
      <c r="AI187" s="27"/>
      <c r="AJ187" s="28"/>
      <c r="AK187" s="27"/>
      <c r="AL187" s="27"/>
      <c r="AM187" s="29" t="s">
        <v>16</v>
      </c>
      <c r="AN187" s="30" t="s">
        <v>13</v>
      </c>
      <c r="AO187" s="37"/>
      <c r="AP187" s="27"/>
      <c r="AQ187" s="28"/>
      <c r="AR187" s="27"/>
      <c r="AS187" s="27"/>
      <c r="AT187" s="29" t="s">
        <v>14</v>
      </c>
      <c r="AU187" s="30" t="s">
        <v>11</v>
      </c>
      <c r="AV187" s="27"/>
      <c r="AW187" s="98"/>
      <c r="AX187" s="99"/>
      <c r="AY187" s="98"/>
      <c r="AZ187" s="100" t="s">
        <v>15</v>
      </c>
      <c r="BA187" s="98"/>
      <c r="BB187" s="98"/>
      <c r="BC187" s="33">
        <v>17</v>
      </c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</row>
    <row r="188" spans="1:92" x14ac:dyDescent="0.25">
      <c r="A188" s="45" t="s">
        <v>8</v>
      </c>
      <c r="B188" s="45" t="s">
        <v>263</v>
      </c>
      <c r="C188" s="25" t="s">
        <v>408</v>
      </c>
      <c r="D188" s="25">
        <v>50</v>
      </c>
      <c r="E188" s="35" cm="1">
        <f t="array" ref="E188">IFERROR(INDEX($H$5:$AVV$5, _xlfn.AGGREGATE(15,6, COLUMN(H188:AVV188)-COLUMN(H188)+F188 / (H188:AVV188="T"), $A$2)), "")</f>
        <v>45986</v>
      </c>
      <c r="F188" s="97">
        <v>1</v>
      </c>
      <c r="G188" s="44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25"/>
      <c r="Z188" s="25"/>
      <c r="AA188" s="25"/>
      <c r="AB188" s="25"/>
      <c r="AC188" s="25"/>
      <c r="AD188" s="25"/>
      <c r="AE188" s="25"/>
      <c r="AF188" s="25" t="s">
        <v>12</v>
      </c>
      <c r="AG188" s="27"/>
      <c r="AH188" s="27"/>
      <c r="AI188" s="27"/>
      <c r="AJ188" s="28"/>
      <c r="AK188" s="27"/>
      <c r="AL188" s="27"/>
      <c r="AM188" s="29" t="s">
        <v>16</v>
      </c>
      <c r="AN188" s="30" t="s">
        <v>13</v>
      </c>
      <c r="AO188" s="37"/>
      <c r="AP188" s="27"/>
      <c r="AQ188" s="28"/>
      <c r="AR188" s="27"/>
      <c r="AS188" s="27"/>
      <c r="AT188" s="29" t="s">
        <v>14</v>
      </c>
      <c r="AU188" s="30" t="s">
        <v>11</v>
      </c>
      <c r="AV188" s="27"/>
      <c r="AW188" s="98"/>
      <c r="AX188" s="99"/>
      <c r="AY188" s="98"/>
      <c r="AZ188" s="100" t="s">
        <v>15</v>
      </c>
      <c r="BA188" s="98"/>
      <c r="BB188" s="98"/>
      <c r="BC188" s="33">
        <v>17</v>
      </c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</row>
    <row r="189" spans="1:92" x14ac:dyDescent="0.25">
      <c r="A189" s="45" t="s">
        <v>8</v>
      </c>
      <c r="B189" s="45" t="s">
        <v>264</v>
      </c>
      <c r="C189" s="25" t="s">
        <v>409</v>
      </c>
      <c r="D189" s="25">
        <v>51</v>
      </c>
      <c r="E189" s="35" cm="1">
        <f t="array" ref="E189">IFERROR(INDEX($H$5:$AVV$5, _xlfn.AGGREGATE(15,6, COLUMN(H189:AVV189)-COLUMN(H189)+F189 / (H189:AVV189="T"), $A$2)), "")</f>
        <v>45986</v>
      </c>
      <c r="F189" s="97">
        <v>1</v>
      </c>
      <c r="G189" s="44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25"/>
      <c r="Z189" s="25"/>
      <c r="AA189" s="25"/>
      <c r="AB189" s="25"/>
      <c r="AC189" s="25"/>
      <c r="AD189" s="25"/>
      <c r="AE189" s="25"/>
      <c r="AF189" s="25" t="s">
        <v>12</v>
      </c>
      <c r="AG189" s="27"/>
      <c r="AH189" s="27"/>
      <c r="AI189" s="27"/>
      <c r="AJ189" s="28"/>
      <c r="AK189" s="27"/>
      <c r="AL189" s="27"/>
      <c r="AM189" s="29" t="s">
        <v>16</v>
      </c>
      <c r="AN189" s="30" t="s">
        <v>13</v>
      </c>
      <c r="AO189" s="37"/>
      <c r="AP189" s="27"/>
      <c r="AQ189" s="28"/>
      <c r="AR189" s="27"/>
      <c r="AS189" s="27"/>
      <c r="AT189" s="29" t="s">
        <v>14</v>
      </c>
      <c r="AU189" s="30" t="s">
        <v>11</v>
      </c>
      <c r="AV189" s="27"/>
      <c r="AW189" s="98"/>
      <c r="AX189" s="99"/>
      <c r="AY189" s="98"/>
      <c r="AZ189" s="100" t="s">
        <v>15</v>
      </c>
      <c r="BA189" s="98"/>
      <c r="BB189" s="98"/>
      <c r="BC189" s="33">
        <v>17</v>
      </c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</row>
    <row r="190" spans="1:92" x14ac:dyDescent="0.25">
      <c r="A190" s="45" t="s">
        <v>8</v>
      </c>
      <c r="B190" s="45" t="s">
        <v>265</v>
      </c>
      <c r="C190" s="25" t="s">
        <v>410</v>
      </c>
      <c r="D190" s="25">
        <v>52</v>
      </c>
      <c r="E190" s="35" cm="1">
        <f t="array" ref="E190">IFERROR(INDEX($H$5:$AVV$5, _xlfn.AGGREGATE(15,6, COLUMN(H190:AVV190)-COLUMN(H190)+F190 / (H190:AVV190="T"), $A$2)), "")</f>
        <v>45986</v>
      </c>
      <c r="F190" s="97">
        <v>1</v>
      </c>
      <c r="G190" s="44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25"/>
      <c r="Z190" s="25"/>
      <c r="AA190" s="25"/>
      <c r="AB190" s="25"/>
      <c r="AC190" s="25"/>
      <c r="AD190" s="25"/>
      <c r="AE190" s="25"/>
      <c r="AF190" s="25" t="s">
        <v>12</v>
      </c>
      <c r="AG190" s="27"/>
      <c r="AH190" s="27"/>
      <c r="AI190" s="27"/>
      <c r="AJ190" s="28"/>
      <c r="AK190" s="27"/>
      <c r="AL190" s="27"/>
      <c r="AM190" s="29" t="s">
        <v>16</v>
      </c>
      <c r="AN190" s="30" t="s">
        <v>13</v>
      </c>
      <c r="AO190" s="37"/>
      <c r="AP190" s="27"/>
      <c r="AQ190" s="28"/>
      <c r="AR190" s="27"/>
      <c r="AS190" s="27"/>
      <c r="AT190" s="29" t="s">
        <v>14</v>
      </c>
      <c r="AU190" s="30" t="s">
        <v>11</v>
      </c>
      <c r="AV190" s="27"/>
      <c r="AW190" s="98"/>
      <c r="AX190" s="99"/>
      <c r="AY190" s="98"/>
      <c r="AZ190" s="100" t="s">
        <v>15</v>
      </c>
      <c r="BA190" s="98"/>
      <c r="BB190" s="98"/>
      <c r="BC190" s="33">
        <v>17</v>
      </c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</row>
    <row r="191" spans="1:92" x14ac:dyDescent="0.25">
      <c r="A191" s="45" t="s">
        <v>8</v>
      </c>
      <c r="B191" s="45" t="s">
        <v>266</v>
      </c>
      <c r="C191" s="25" t="s">
        <v>411</v>
      </c>
      <c r="D191" s="25">
        <v>53</v>
      </c>
      <c r="E191" s="35" cm="1">
        <f t="array" ref="E191">IFERROR(INDEX($H$5:$AVV$5, _xlfn.AGGREGATE(15,6, COLUMN(H191:AVV191)-COLUMN(H191)+F191 / (H191:AVV191="T"), $A$2)), "")</f>
        <v>45986</v>
      </c>
      <c r="F191" s="97">
        <v>1</v>
      </c>
      <c r="G191" s="44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 t="s">
        <v>12</v>
      </c>
      <c r="AG191" s="98"/>
      <c r="AH191" s="98"/>
      <c r="AI191" s="98"/>
      <c r="AJ191" s="99"/>
      <c r="AK191" s="98"/>
      <c r="AL191" s="98"/>
      <c r="AM191" s="100" t="s">
        <v>16</v>
      </c>
      <c r="AN191" s="101" t="s">
        <v>13</v>
      </c>
      <c r="AO191" s="98"/>
      <c r="AP191" s="98"/>
      <c r="AQ191" s="99"/>
      <c r="AR191" s="98"/>
      <c r="AS191" s="98"/>
      <c r="AT191" s="100" t="s">
        <v>14</v>
      </c>
      <c r="AU191" s="101" t="s">
        <v>11</v>
      </c>
      <c r="AV191" s="98"/>
      <c r="AW191" s="98"/>
      <c r="AX191" s="99"/>
      <c r="AY191" s="98"/>
      <c r="AZ191" s="100" t="s">
        <v>15</v>
      </c>
      <c r="BA191" s="98"/>
      <c r="BB191" s="98"/>
      <c r="BC191" s="33">
        <v>17</v>
      </c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</row>
    <row r="192" spans="1:92" x14ac:dyDescent="0.25">
      <c r="A192" s="45" t="s">
        <v>8</v>
      </c>
      <c r="B192" s="45" t="s">
        <v>259</v>
      </c>
      <c r="C192" s="25" t="s">
        <v>404</v>
      </c>
      <c r="D192" s="25">
        <v>46</v>
      </c>
      <c r="E192" s="35" cm="1">
        <f t="array" ref="E192">IFERROR(INDEX($H$5:$AVV$5, _xlfn.AGGREGATE(15,6, COLUMN(H192:AVV192)-COLUMN(H192)+F192 / (H192:AVV192="T"), $A$2)), "")</f>
        <v>45987</v>
      </c>
      <c r="F192" s="97">
        <v>1</v>
      </c>
      <c r="G192" s="44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 t="s">
        <v>12</v>
      </c>
      <c r="AH192" s="27"/>
      <c r="AI192" s="27"/>
      <c r="AJ192" s="37"/>
      <c r="AK192" s="28"/>
      <c r="AL192" s="27"/>
      <c r="AM192" s="27"/>
      <c r="AN192" s="29" t="s">
        <v>16</v>
      </c>
      <c r="AO192" s="30" t="s">
        <v>13</v>
      </c>
      <c r="AP192" s="27"/>
      <c r="AQ192" s="27"/>
      <c r="AR192" s="28"/>
      <c r="AS192" s="27"/>
      <c r="AT192" s="98"/>
      <c r="AU192" s="100" t="s">
        <v>14</v>
      </c>
      <c r="AV192" s="101" t="s">
        <v>11</v>
      </c>
      <c r="AW192" s="98"/>
      <c r="AX192" s="98"/>
      <c r="AY192" s="99"/>
      <c r="AZ192" s="98"/>
      <c r="BA192" s="100" t="s">
        <v>15</v>
      </c>
      <c r="BB192" s="98"/>
      <c r="BC192" s="98"/>
      <c r="BD192" s="33">
        <v>17</v>
      </c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</row>
    <row r="193" spans="1:92" s="43" customFormat="1" x14ac:dyDescent="0.25">
      <c r="A193" s="45" t="s">
        <v>8</v>
      </c>
      <c r="B193" s="45" t="s">
        <v>260</v>
      </c>
      <c r="C193" s="25" t="s">
        <v>405</v>
      </c>
      <c r="D193" s="25">
        <v>47</v>
      </c>
      <c r="E193" s="35" cm="1">
        <f t="array" ref="E193">IFERROR(INDEX($H$5:$AVV$5, _xlfn.AGGREGATE(15,6, COLUMN(H193:AVV193)-COLUMN(H193)+F193 / (H193:AVV193="T"), $A$2)), "")</f>
        <v>45987</v>
      </c>
      <c r="F193" s="97">
        <v>1</v>
      </c>
      <c r="G193" s="44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 t="s">
        <v>12</v>
      </c>
      <c r="AH193" s="27"/>
      <c r="AI193" s="27"/>
      <c r="AJ193" s="37"/>
      <c r="AK193" s="28"/>
      <c r="AL193" s="27"/>
      <c r="AM193" s="27"/>
      <c r="AN193" s="29" t="s">
        <v>16</v>
      </c>
      <c r="AO193" s="30" t="s">
        <v>13</v>
      </c>
      <c r="AP193" s="27"/>
      <c r="AQ193" s="27"/>
      <c r="AR193" s="28"/>
      <c r="AS193" s="27"/>
      <c r="AT193" s="98"/>
      <c r="AU193" s="100" t="s">
        <v>14</v>
      </c>
      <c r="AV193" s="101" t="s">
        <v>11</v>
      </c>
      <c r="AW193" s="98"/>
      <c r="AX193" s="98"/>
      <c r="AY193" s="99"/>
      <c r="AZ193" s="98"/>
      <c r="BA193" s="100" t="s">
        <v>15</v>
      </c>
      <c r="BB193" s="98"/>
      <c r="BC193" s="98"/>
      <c r="BD193" s="33">
        <v>17</v>
      </c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</row>
    <row r="194" spans="1:92" s="48" customFormat="1" x14ac:dyDescent="0.25">
      <c r="A194" s="45" t="s">
        <v>8</v>
      </c>
      <c r="B194" s="45" t="s">
        <v>261</v>
      </c>
      <c r="C194" s="25" t="s">
        <v>406</v>
      </c>
      <c r="D194" s="25">
        <v>48</v>
      </c>
      <c r="E194" s="35" cm="1">
        <f t="array" ref="E194">IFERROR(INDEX($H$5:$AVV$5, _xlfn.AGGREGATE(15,6, COLUMN(H194:AVV194)-COLUMN(H194)+F194 / (H194:AVV194="T"), $A$2)), "")</f>
        <v>45987</v>
      </c>
      <c r="F194" s="97">
        <v>1</v>
      </c>
      <c r="G194" s="44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 t="s">
        <v>12</v>
      </c>
      <c r="AH194" s="27"/>
      <c r="AI194" s="27"/>
      <c r="AJ194" s="27"/>
      <c r="AK194" s="28"/>
      <c r="AL194" s="37"/>
      <c r="AM194" s="27"/>
      <c r="AN194" s="29" t="s">
        <v>16</v>
      </c>
      <c r="AO194" s="30" t="s">
        <v>13</v>
      </c>
      <c r="AP194" s="27"/>
      <c r="AQ194" s="27"/>
      <c r="AR194" s="28"/>
      <c r="AS194" s="27"/>
      <c r="AT194" s="98"/>
      <c r="AU194" s="100" t="s">
        <v>14</v>
      </c>
      <c r="AV194" s="101" t="s">
        <v>11</v>
      </c>
      <c r="AW194" s="98"/>
      <c r="AX194" s="98"/>
      <c r="AY194" s="99"/>
      <c r="AZ194" s="98"/>
      <c r="BA194" s="100" t="s">
        <v>15</v>
      </c>
      <c r="BB194" s="98"/>
      <c r="BC194" s="98"/>
      <c r="BD194" s="33">
        <v>17</v>
      </c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</row>
    <row r="195" spans="1:92" s="48" customFormat="1" x14ac:dyDescent="0.25">
      <c r="A195" s="45" t="s">
        <v>8</v>
      </c>
      <c r="B195" s="45" t="s">
        <v>262</v>
      </c>
      <c r="C195" s="25" t="s">
        <v>407</v>
      </c>
      <c r="D195" s="25">
        <v>49</v>
      </c>
      <c r="E195" s="35" cm="1">
        <f t="array" ref="E195">IFERROR(INDEX($H$5:$AVV$5, _xlfn.AGGREGATE(15,6, COLUMN(H195:AVV195)-COLUMN(H195)+F195 / (H195:AVV195="T"), $A$2)), "")</f>
        <v>45987</v>
      </c>
      <c r="F195" s="97">
        <v>1</v>
      </c>
      <c r="G195" s="44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 t="s">
        <v>12</v>
      </c>
      <c r="AH195" s="27"/>
      <c r="AI195" s="27"/>
      <c r="AJ195" s="27"/>
      <c r="AK195" s="28"/>
      <c r="AL195" s="37"/>
      <c r="AM195" s="27"/>
      <c r="AN195" s="29" t="s">
        <v>16</v>
      </c>
      <c r="AO195" s="30" t="s">
        <v>13</v>
      </c>
      <c r="AP195" s="27"/>
      <c r="AQ195" s="27"/>
      <c r="AR195" s="28"/>
      <c r="AS195" s="27"/>
      <c r="AT195" s="98"/>
      <c r="AU195" s="100" t="s">
        <v>14</v>
      </c>
      <c r="AV195" s="101" t="s">
        <v>11</v>
      </c>
      <c r="AW195" s="98"/>
      <c r="AX195" s="98"/>
      <c r="AY195" s="99"/>
      <c r="AZ195" s="98"/>
      <c r="BA195" s="100" t="s">
        <v>15</v>
      </c>
      <c r="BB195" s="98"/>
      <c r="BC195" s="98"/>
      <c r="BD195" s="33">
        <v>17</v>
      </c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</row>
    <row r="196" spans="1:92" s="48" customFormat="1" x14ac:dyDescent="0.25">
      <c r="A196" s="25" t="s">
        <v>56</v>
      </c>
      <c r="B196" s="25" t="s">
        <v>286</v>
      </c>
      <c r="C196" s="25" t="s">
        <v>431</v>
      </c>
      <c r="D196" s="25">
        <v>73</v>
      </c>
      <c r="E196" s="35" cm="1">
        <f t="array" ref="E196">IFERROR(INDEX($H$5:$AVV$5, _xlfn.AGGREGATE(15,6, COLUMN(H196:AVV196)-COLUMN(H196)+F196 / (H196:AVV196="T"), $A$2)), "")</f>
        <v>45987</v>
      </c>
      <c r="F196" s="97">
        <v>1</v>
      </c>
      <c r="G196" s="38" t="s">
        <v>10</v>
      </c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 t="s">
        <v>12</v>
      </c>
      <c r="AH196" s="27"/>
      <c r="AI196" s="27"/>
      <c r="AJ196" s="27"/>
      <c r="AK196" s="28"/>
      <c r="AL196" s="37"/>
      <c r="AM196" s="27"/>
      <c r="AN196" s="29" t="s">
        <v>16</v>
      </c>
      <c r="AO196" s="30" t="s">
        <v>13</v>
      </c>
      <c r="AP196" s="27"/>
      <c r="AQ196" s="27"/>
      <c r="AR196" s="28"/>
      <c r="AS196" s="27"/>
      <c r="AT196" s="98"/>
      <c r="AU196" s="100" t="s">
        <v>14</v>
      </c>
      <c r="AV196" s="101" t="s">
        <v>11</v>
      </c>
      <c r="AW196" s="98"/>
      <c r="AX196" s="98"/>
      <c r="AY196" s="99"/>
      <c r="AZ196" s="98"/>
      <c r="BA196" s="100" t="s">
        <v>15</v>
      </c>
      <c r="BB196" s="98"/>
      <c r="BC196" s="98"/>
      <c r="BD196" s="33">
        <v>17</v>
      </c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</row>
    <row r="197" spans="1:92" s="48" customFormat="1" x14ac:dyDescent="0.25">
      <c r="A197" s="25" t="s">
        <v>56</v>
      </c>
      <c r="B197" s="25" t="s">
        <v>287</v>
      </c>
      <c r="C197" s="25" t="s">
        <v>432</v>
      </c>
      <c r="D197" s="25">
        <v>74</v>
      </c>
      <c r="E197" s="35" cm="1">
        <f t="array" ref="E197">IFERROR(INDEX($H$5:$AVV$5, _xlfn.AGGREGATE(15,6, COLUMN(H197:AVV197)-COLUMN(H197)+F197 / (H197:AVV197="T"), $A$2)), "")</f>
        <v>45987</v>
      </c>
      <c r="F197" s="97">
        <v>1</v>
      </c>
      <c r="G197" s="38" t="s">
        <v>10</v>
      </c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 t="s">
        <v>12</v>
      </c>
      <c r="AH197" s="27"/>
      <c r="AI197" s="27"/>
      <c r="AJ197" s="27"/>
      <c r="AK197" s="28"/>
      <c r="AL197" s="37"/>
      <c r="AM197" s="27"/>
      <c r="AN197" s="29" t="s">
        <v>16</v>
      </c>
      <c r="AO197" s="30" t="s">
        <v>13</v>
      </c>
      <c r="AP197" s="27"/>
      <c r="AQ197" s="27"/>
      <c r="AR197" s="28"/>
      <c r="AS197" s="27"/>
      <c r="AT197" s="98"/>
      <c r="AU197" s="100" t="s">
        <v>14</v>
      </c>
      <c r="AV197" s="101" t="s">
        <v>11</v>
      </c>
      <c r="AW197" s="98"/>
      <c r="AX197" s="98"/>
      <c r="AY197" s="99"/>
      <c r="AZ197" s="98"/>
      <c r="BA197" s="100" t="s">
        <v>15</v>
      </c>
      <c r="BB197" s="98"/>
      <c r="BC197" s="98"/>
      <c r="BD197" s="33">
        <v>17</v>
      </c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</row>
    <row r="198" spans="1:92" s="48" customFormat="1" x14ac:dyDescent="0.25">
      <c r="A198" s="25" t="s">
        <v>56</v>
      </c>
      <c r="B198" s="25" t="s">
        <v>288</v>
      </c>
      <c r="C198" s="25" t="s">
        <v>433</v>
      </c>
      <c r="D198" s="25">
        <v>75</v>
      </c>
      <c r="E198" s="35" cm="1">
        <f t="array" ref="E198">IFERROR(INDEX($H$5:$AVV$5, _xlfn.AGGREGATE(15,6, COLUMN(H198:AVV198)-COLUMN(H198)+F198 / (H198:AVV198="T"), $A$2)), "")</f>
        <v>45987</v>
      </c>
      <c r="F198" s="97">
        <v>1</v>
      </c>
      <c r="G198" s="38" t="s">
        <v>10</v>
      </c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 t="s">
        <v>12</v>
      </c>
      <c r="AH198" s="27"/>
      <c r="AI198" s="27"/>
      <c r="AJ198" s="27"/>
      <c r="AK198" s="28"/>
      <c r="AL198" s="37"/>
      <c r="AM198" s="27"/>
      <c r="AN198" s="29" t="s">
        <v>16</v>
      </c>
      <c r="AO198" s="30" t="s">
        <v>13</v>
      </c>
      <c r="AP198" s="27"/>
      <c r="AQ198" s="27"/>
      <c r="AR198" s="28"/>
      <c r="AS198" s="27"/>
      <c r="AT198" s="98"/>
      <c r="AU198" s="100" t="s">
        <v>14</v>
      </c>
      <c r="AV198" s="101" t="s">
        <v>11</v>
      </c>
      <c r="AW198" s="98"/>
      <c r="AX198" s="98"/>
      <c r="AY198" s="99"/>
      <c r="AZ198" s="98"/>
      <c r="BA198" s="100" t="s">
        <v>15</v>
      </c>
      <c r="BB198" s="98"/>
      <c r="BC198" s="98"/>
      <c r="BD198" s="33">
        <v>17</v>
      </c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</row>
    <row r="199" spans="1:92" x14ac:dyDescent="0.25">
      <c r="A199" s="25" t="s">
        <v>56</v>
      </c>
      <c r="B199" s="25" t="s">
        <v>289</v>
      </c>
      <c r="C199" s="25" t="s">
        <v>434</v>
      </c>
      <c r="D199" s="25">
        <v>76</v>
      </c>
      <c r="E199" s="35" cm="1">
        <f t="array" ref="E199">IFERROR(INDEX($H$5:$AVV$5, _xlfn.AGGREGATE(15,6, COLUMN(H199:AVV199)-COLUMN(H199)+F199 / (H199:AVV199="T"), $A$2)), "")</f>
        <v>45987</v>
      </c>
      <c r="F199" s="97">
        <v>1</v>
      </c>
      <c r="G199" s="38" t="s">
        <v>10</v>
      </c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 t="s">
        <v>12</v>
      </c>
      <c r="AH199" s="27"/>
      <c r="AI199" s="27"/>
      <c r="AJ199" s="27"/>
      <c r="AK199" s="28"/>
      <c r="AL199" s="37"/>
      <c r="AM199" s="27"/>
      <c r="AN199" s="29" t="s">
        <v>16</v>
      </c>
      <c r="AO199" s="30" t="s">
        <v>13</v>
      </c>
      <c r="AP199" s="27"/>
      <c r="AQ199" s="27"/>
      <c r="AR199" s="28"/>
      <c r="AS199" s="27"/>
      <c r="AT199" s="98"/>
      <c r="AU199" s="100" t="s">
        <v>14</v>
      </c>
      <c r="AV199" s="101" t="s">
        <v>11</v>
      </c>
      <c r="AW199" s="98"/>
      <c r="AX199" s="98"/>
      <c r="AY199" s="99"/>
      <c r="AZ199" s="98"/>
      <c r="BA199" s="100" t="s">
        <v>15</v>
      </c>
      <c r="BB199" s="98"/>
      <c r="BC199" s="98"/>
      <c r="BD199" s="33">
        <v>17</v>
      </c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</row>
    <row r="200" spans="1:92" x14ac:dyDescent="0.25">
      <c r="A200" s="25" t="s">
        <v>56</v>
      </c>
      <c r="B200" s="25" t="s">
        <v>283</v>
      </c>
      <c r="C200" s="25" t="s">
        <v>428</v>
      </c>
      <c r="D200" s="25">
        <v>70</v>
      </c>
      <c r="E200" s="35" cm="1">
        <f t="array" ref="E200">IFERROR(INDEX($H$5:$AVV$5, _xlfn.AGGREGATE(15,6, COLUMN(H200:AVV200)-COLUMN(H200)+F200 / (H200:AVV200="T"), $A$2)), "")</f>
        <v>45988</v>
      </c>
      <c r="F200" s="97">
        <v>1</v>
      </c>
      <c r="G200" s="38" t="s">
        <v>10</v>
      </c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 t="s">
        <v>12</v>
      </c>
      <c r="AI200" s="37"/>
      <c r="AJ200" s="27"/>
      <c r="AK200" s="27"/>
      <c r="AL200" s="28"/>
      <c r="AM200" s="27"/>
      <c r="AN200" s="27"/>
      <c r="AO200" s="29" t="s">
        <v>16</v>
      </c>
      <c r="AP200" s="30" t="s">
        <v>13</v>
      </c>
      <c r="AQ200" s="27"/>
      <c r="AR200" s="27"/>
      <c r="AS200" s="99"/>
      <c r="AT200" s="98"/>
      <c r="AU200" s="98"/>
      <c r="AV200" s="100" t="s">
        <v>14</v>
      </c>
      <c r="AW200" s="101" t="s">
        <v>11</v>
      </c>
      <c r="AX200" s="98"/>
      <c r="AY200" s="98"/>
      <c r="AZ200" s="99"/>
      <c r="BA200" s="98"/>
      <c r="BB200" s="100" t="s">
        <v>15</v>
      </c>
      <c r="BC200" s="98"/>
      <c r="BD200" s="98"/>
      <c r="BE200" s="33">
        <v>17</v>
      </c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</row>
    <row r="201" spans="1:92" x14ac:dyDescent="0.25">
      <c r="A201" s="25" t="s">
        <v>56</v>
      </c>
      <c r="B201" s="25" t="s">
        <v>284</v>
      </c>
      <c r="C201" s="25" t="s">
        <v>429</v>
      </c>
      <c r="D201" s="25">
        <v>71</v>
      </c>
      <c r="E201" s="35" cm="1">
        <f t="array" ref="E201">IFERROR(INDEX($H$5:$AVV$5, _xlfn.AGGREGATE(15,6, COLUMN(H201:AVV201)-COLUMN(H201)+F201 / (H201:AVV201="T"), $A$2)), "")</f>
        <v>45988</v>
      </c>
      <c r="F201" s="97">
        <v>1</v>
      </c>
      <c r="G201" s="38" t="s">
        <v>10</v>
      </c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 t="s">
        <v>12</v>
      </c>
      <c r="AI201" s="27"/>
      <c r="AJ201" s="27"/>
      <c r="AK201" s="37"/>
      <c r="AL201" s="28"/>
      <c r="AM201" s="27"/>
      <c r="AN201" s="27"/>
      <c r="AO201" s="29" t="s">
        <v>16</v>
      </c>
      <c r="AP201" s="30" t="s">
        <v>13</v>
      </c>
      <c r="AQ201" s="27"/>
      <c r="AR201" s="27"/>
      <c r="AS201" s="99"/>
      <c r="AT201" s="98"/>
      <c r="AU201" s="98"/>
      <c r="AV201" s="100" t="s">
        <v>14</v>
      </c>
      <c r="AW201" s="101" t="s">
        <v>11</v>
      </c>
      <c r="AX201" s="98"/>
      <c r="AY201" s="98"/>
      <c r="AZ201" s="99"/>
      <c r="BA201" s="98"/>
      <c r="BB201" s="100" t="s">
        <v>15</v>
      </c>
      <c r="BC201" s="98"/>
      <c r="BD201" s="98"/>
      <c r="BE201" s="33">
        <v>17</v>
      </c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</row>
    <row r="202" spans="1:92" x14ac:dyDescent="0.25">
      <c r="A202" s="25" t="s">
        <v>56</v>
      </c>
      <c r="B202" s="25" t="s">
        <v>285</v>
      </c>
      <c r="C202" s="25" t="s">
        <v>430</v>
      </c>
      <c r="D202" s="25">
        <v>72</v>
      </c>
      <c r="E202" s="35" cm="1">
        <f t="array" ref="E202">IFERROR(INDEX($H$5:$AVV$5, _xlfn.AGGREGATE(15,6, COLUMN(H202:AVV202)-COLUMN(H202)+F202 / (H202:AVV202="T"), $A$2)), "")</f>
        <v>45988</v>
      </c>
      <c r="F202" s="97">
        <v>1</v>
      </c>
      <c r="G202" s="38" t="s">
        <v>10</v>
      </c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 t="s">
        <v>12</v>
      </c>
      <c r="AI202" s="27"/>
      <c r="AJ202" s="27"/>
      <c r="AK202" s="37"/>
      <c r="AL202" s="28"/>
      <c r="AM202" s="27"/>
      <c r="AN202" s="27"/>
      <c r="AO202" s="29" t="s">
        <v>16</v>
      </c>
      <c r="AP202" s="30" t="s">
        <v>13</v>
      </c>
      <c r="AQ202" s="27"/>
      <c r="AR202" s="27"/>
      <c r="AS202" s="99"/>
      <c r="AT202" s="98"/>
      <c r="AU202" s="98"/>
      <c r="AV202" s="100" t="s">
        <v>14</v>
      </c>
      <c r="AW202" s="101" t="s">
        <v>11</v>
      </c>
      <c r="AX202" s="98"/>
      <c r="AY202" s="98"/>
      <c r="AZ202" s="99"/>
      <c r="BA202" s="98"/>
      <c r="BB202" s="100" t="s">
        <v>15</v>
      </c>
      <c r="BC202" s="98"/>
      <c r="BD202" s="98"/>
      <c r="BE202" s="33">
        <v>17</v>
      </c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</row>
    <row r="203" spans="1:92" x14ac:dyDescent="0.25">
      <c r="A203" s="25" t="s">
        <v>147</v>
      </c>
      <c r="B203" s="25" t="s">
        <v>338</v>
      </c>
      <c r="C203" s="25" t="s">
        <v>559</v>
      </c>
      <c r="D203" s="25">
        <v>201</v>
      </c>
      <c r="E203" s="35" cm="1">
        <f t="array" ref="E203">IFERROR(INDEX($H$5:$AVV$5, _xlfn.AGGREGATE(15,6, COLUMN(H203:AVV203)-COLUMN(H203)+F203 / (H203:AVV203="T"), $A$2)), "")</f>
        <v>45988</v>
      </c>
      <c r="F203" s="97">
        <v>1</v>
      </c>
      <c r="G203" s="38" t="s">
        <v>10</v>
      </c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 t="s">
        <v>12</v>
      </c>
      <c r="AI203" s="27"/>
      <c r="AJ203" s="27"/>
      <c r="AK203" s="37"/>
      <c r="AL203" s="28"/>
      <c r="AM203" s="27"/>
      <c r="AN203" s="27"/>
      <c r="AO203" s="29" t="s">
        <v>16</v>
      </c>
      <c r="AP203" s="30" t="s">
        <v>13</v>
      </c>
      <c r="AQ203" s="27"/>
      <c r="AR203" s="27"/>
      <c r="AS203" s="99"/>
      <c r="AT203" s="98"/>
      <c r="AU203" s="98"/>
      <c r="AV203" s="100" t="s">
        <v>14</v>
      </c>
      <c r="AW203" s="101" t="s">
        <v>11</v>
      </c>
      <c r="AX203" s="98"/>
      <c r="AY203" s="98"/>
      <c r="AZ203" s="99"/>
      <c r="BA203" s="98"/>
      <c r="BB203" s="100" t="s">
        <v>15</v>
      </c>
      <c r="BC203" s="98"/>
      <c r="BD203" s="98"/>
      <c r="BE203" s="33">
        <v>17</v>
      </c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</row>
    <row r="204" spans="1:92" x14ac:dyDescent="0.25">
      <c r="A204" s="25" t="s">
        <v>147</v>
      </c>
      <c r="B204" s="25" t="s">
        <v>339</v>
      </c>
      <c r="C204" s="25" t="s">
        <v>560</v>
      </c>
      <c r="D204" s="25">
        <v>202</v>
      </c>
      <c r="E204" s="35" cm="1">
        <f t="array" ref="E204">IFERROR(INDEX($H$5:$AVV$5, _xlfn.AGGREGATE(15,6, COLUMN(H204:AVV204)-COLUMN(H204)+F204 / (H204:AVV204="T"), $A$2)), "")</f>
        <v>45988</v>
      </c>
      <c r="F204" s="97">
        <v>1</v>
      </c>
      <c r="G204" s="38" t="s">
        <v>10</v>
      </c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 t="s">
        <v>12</v>
      </c>
      <c r="AI204" s="27"/>
      <c r="AJ204" s="27"/>
      <c r="AK204" s="37"/>
      <c r="AL204" s="28"/>
      <c r="AM204" s="27"/>
      <c r="AN204" s="27"/>
      <c r="AO204" s="29" t="s">
        <v>16</v>
      </c>
      <c r="AP204" s="30" t="s">
        <v>13</v>
      </c>
      <c r="AQ204" s="27"/>
      <c r="AR204" s="27"/>
      <c r="AS204" s="99"/>
      <c r="AT204" s="98"/>
      <c r="AU204" s="98"/>
      <c r="AV204" s="100" t="s">
        <v>14</v>
      </c>
      <c r="AW204" s="101" t="s">
        <v>11</v>
      </c>
      <c r="AX204" s="98"/>
      <c r="AY204" s="98"/>
      <c r="AZ204" s="99"/>
      <c r="BA204" s="98"/>
      <c r="BB204" s="100" t="s">
        <v>15</v>
      </c>
      <c r="BC204" s="98"/>
      <c r="BD204" s="98"/>
      <c r="BE204" s="33">
        <v>17</v>
      </c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</row>
    <row r="205" spans="1:92" x14ac:dyDescent="0.25">
      <c r="A205" s="25" t="s">
        <v>147</v>
      </c>
      <c r="B205" s="25" t="s">
        <v>340</v>
      </c>
      <c r="C205" s="25" t="s">
        <v>561</v>
      </c>
      <c r="D205" s="25">
        <v>203</v>
      </c>
      <c r="E205" s="35" cm="1">
        <f t="array" ref="E205">IFERROR(INDEX($H$5:$AVV$5, _xlfn.AGGREGATE(15,6, COLUMN(H205:AVV205)-COLUMN(H205)+F205 / (H205:AVV205="T"), $A$2)), "")</f>
        <v>45988</v>
      </c>
      <c r="F205" s="97">
        <v>1</v>
      </c>
      <c r="G205" s="38" t="s">
        <v>10</v>
      </c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 t="s">
        <v>12</v>
      </c>
      <c r="AI205" s="27"/>
      <c r="AJ205" s="27"/>
      <c r="AK205" s="37"/>
      <c r="AL205" s="28"/>
      <c r="AM205" s="27"/>
      <c r="AN205" s="27"/>
      <c r="AO205" s="29" t="s">
        <v>16</v>
      </c>
      <c r="AP205" s="30" t="s">
        <v>13</v>
      </c>
      <c r="AQ205" s="27"/>
      <c r="AR205" s="27"/>
      <c r="AS205" s="99"/>
      <c r="AT205" s="98"/>
      <c r="AU205" s="98"/>
      <c r="AV205" s="100" t="s">
        <v>14</v>
      </c>
      <c r="AW205" s="101" t="s">
        <v>11</v>
      </c>
      <c r="AX205" s="98"/>
      <c r="AY205" s="98"/>
      <c r="AZ205" s="99"/>
      <c r="BA205" s="98"/>
      <c r="BB205" s="100" t="s">
        <v>15</v>
      </c>
      <c r="BC205" s="98"/>
      <c r="BD205" s="98"/>
      <c r="BE205" s="33">
        <v>17</v>
      </c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</row>
    <row r="206" spans="1:92" x14ac:dyDescent="0.25">
      <c r="A206" s="25" t="s">
        <v>147</v>
      </c>
      <c r="B206" s="25" t="s">
        <v>341</v>
      </c>
      <c r="C206" s="25" t="s">
        <v>562</v>
      </c>
      <c r="D206" s="25">
        <v>204</v>
      </c>
      <c r="E206" s="35" cm="1">
        <f t="array" ref="E206">IFERROR(INDEX($H$5:$AVV$5, _xlfn.AGGREGATE(15,6, COLUMN(H206:AVV206)-COLUMN(H206)+F206 / (H206:AVV206="T"), $A$2)), "")</f>
        <v>45988</v>
      </c>
      <c r="F206" s="97">
        <v>1</v>
      </c>
      <c r="G206" s="38" t="s">
        <v>10</v>
      </c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 t="s">
        <v>12</v>
      </c>
      <c r="AI206" s="27"/>
      <c r="AJ206" s="27"/>
      <c r="AK206" s="37"/>
      <c r="AL206" s="28"/>
      <c r="AM206" s="27"/>
      <c r="AN206" s="27"/>
      <c r="AO206" s="29" t="s">
        <v>16</v>
      </c>
      <c r="AP206" s="30" t="s">
        <v>13</v>
      </c>
      <c r="AQ206" s="27"/>
      <c r="AR206" s="27"/>
      <c r="AS206" s="99"/>
      <c r="AT206" s="98"/>
      <c r="AU206" s="98"/>
      <c r="AV206" s="100" t="s">
        <v>14</v>
      </c>
      <c r="AW206" s="101" t="s">
        <v>11</v>
      </c>
      <c r="AX206" s="98"/>
      <c r="AY206" s="98"/>
      <c r="AZ206" s="99"/>
      <c r="BA206" s="98"/>
      <c r="BB206" s="100" t="s">
        <v>15</v>
      </c>
      <c r="BC206" s="98"/>
      <c r="BD206" s="98"/>
      <c r="BE206" s="33">
        <v>17</v>
      </c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</row>
    <row r="207" spans="1:92" x14ac:dyDescent="0.25">
      <c r="A207" s="25" t="s">
        <v>147</v>
      </c>
      <c r="B207" s="25" t="s">
        <v>342</v>
      </c>
      <c r="C207" s="25" t="s">
        <v>563</v>
      </c>
      <c r="D207" s="25">
        <v>205</v>
      </c>
      <c r="E207" s="35" cm="1">
        <f t="array" ref="E207">IFERROR(INDEX($H$5:$AVV$5, _xlfn.AGGREGATE(15,6, COLUMN(H207:AVV207)-COLUMN(H207)+F207 / (H207:AVV207="T"), $A$2)), "")</f>
        <v>45989</v>
      </c>
      <c r="F207" s="97">
        <v>1</v>
      </c>
      <c r="G207" s="38" t="s">
        <v>10</v>
      </c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31"/>
      <c r="AI207" s="25" t="s">
        <v>12</v>
      </c>
      <c r="AJ207" s="27"/>
      <c r="AK207" s="27"/>
      <c r="AL207" s="27"/>
      <c r="AM207" s="28"/>
      <c r="AN207" s="27"/>
      <c r="AO207" s="27"/>
      <c r="AP207" s="29" t="s">
        <v>16</v>
      </c>
      <c r="AQ207" s="30" t="s">
        <v>13</v>
      </c>
      <c r="AR207" s="98"/>
      <c r="AS207" s="98"/>
      <c r="AT207" s="99"/>
      <c r="AU207" s="98"/>
      <c r="AV207" s="98"/>
      <c r="AW207" s="100" t="s">
        <v>14</v>
      </c>
      <c r="AX207" s="101" t="s">
        <v>11</v>
      </c>
      <c r="AY207" s="98"/>
      <c r="AZ207" s="98"/>
      <c r="BA207" s="99"/>
      <c r="BB207" s="98"/>
      <c r="BC207" s="100" t="s">
        <v>15</v>
      </c>
      <c r="BD207" s="98"/>
      <c r="BE207" s="98"/>
      <c r="BF207" s="33">
        <v>17</v>
      </c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</row>
    <row r="208" spans="1:92" x14ac:dyDescent="0.25">
      <c r="A208" s="25" t="s">
        <v>147</v>
      </c>
      <c r="B208" s="25" t="s">
        <v>343</v>
      </c>
      <c r="C208" s="25" t="s">
        <v>564</v>
      </c>
      <c r="D208" s="25">
        <v>206</v>
      </c>
      <c r="E208" s="35" cm="1">
        <f t="array" ref="E208">IFERROR(INDEX($H$5:$AVV$5, _xlfn.AGGREGATE(15,6, COLUMN(H208:AVV208)-COLUMN(H208)+F208 / (H208:AVV208="T"), $A$2)), "")</f>
        <v>45989</v>
      </c>
      <c r="F208" s="97">
        <v>1</v>
      </c>
      <c r="G208" s="38" t="s">
        <v>10</v>
      </c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 t="s">
        <v>12</v>
      </c>
      <c r="AJ208" s="37"/>
      <c r="AK208" s="27"/>
      <c r="AL208" s="27"/>
      <c r="AM208" s="28"/>
      <c r="AN208" s="27"/>
      <c r="AO208" s="27"/>
      <c r="AP208" s="29" t="s">
        <v>16</v>
      </c>
      <c r="AQ208" s="30" t="s">
        <v>13</v>
      </c>
      <c r="AR208" s="98"/>
      <c r="AS208" s="98"/>
      <c r="AT208" s="99"/>
      <c r="AU208" s="98"/>
      <c r="AV208" s="98"/>
      <c r="AW208" s="100" t="s">
        <v>14</v>
      </c>
      <c r="AX208" s="101" t="s">
        <v>11</v>
      </c>
      <c r="AY208" s="98"/>
      <c r="AZ208" s="98"/>
      <c r="BA208" s="99"/>
      <c r="BB208" s="98"/>
      <c r="BC208" s="100" t="s">
        <v>15</v>
      </c>
      <c r="BD208" s="98"/>
      <c r="BE208" s="98"/>
      <c r="BF208" s="33">
        <v>17</v>
      </c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</row>
    <row r="209" spans="1:92" x14ac:dyDescent="0.25">
      <c r="A209" s="25" t="s">
        <v>147</v>
      </c>
      <c r="B209" s="25" t="s">
        <v>344</v>
      </c>
      <c r="C209" s="25" t="s">
        <v>565</v>
      </c>
      <c r="D209" s="25">
        <v>207</v>
      </c>
      <c r="E209" s="35" cm="1">
        <f t="array" ref="E209">IFERROR(INDEX($H$5:$AVV$5, _xlfn.AGGREGATE(15,6, COLUMN(H209:AVV209)-COLUMN(H209)+F209 / (H209:AVV209="T"), $A$2)), "")</f>
        <v>45989</v>
      </c>
      <c r="F209" s="97">
        <v>1</v>
      </c>
      <c r="G209" s="38" t="s">
        <v>10</v>
      </c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 t="s">
        <v>12</v>
      </c>
      <c r="AJ209" s="37"/>
      <c r="AK209" s="27"/>
      <c r="AL209" s="27"/>
      <c r="AM209" s="28"/>
      <c r="AN209" s="27"/>
      <c r="AO209" s="27"/>
      <c r="AP209" s="29" t="s">
        <v>16</v>
      </c>
      <c r="AQ209" s="30" t="s">
        <v>13</v>
      </c>
      <c r="AR209" s="98"/>
      <c r="AS209" s="98"/>
      <c r="AT209" s="99"/>
      <c r="AU209" s="98"/>
      <c r="AV209" s="98"/>
      <c r="AW209" s="100" t="s">
        <v>14</v>
      </c>
      <c r="AX209" s="101" t="s">
        <v>11</v>
      </c>
      <c r="AY209" s="98"/>
      <c r="AZ209" s="98"/>
      <c r="BA209" s="99"/>
      <c r="BB209" s="98"/>
      <c r="BC209" s="100" t="s">
        <v>15</v>
      </c>
      <c r="BD209" s="98"/>
      <c r="BE209" s="98"/>
      <c r="BF209" s="33">
        <v>17</v>
      </c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</row>
    <row r="210" spans="1:92" x14ac:dyDescent="0.25">
      <c r="A210" s="25" t="s">
        <v>147</v>
      </c>
      <c r="B210" s="25" t="s">
        <v>345</v>
      </c>
      <c r="C210" s="25" t="s">
        <v>566</v>
      </c>
      <c r="D210" s="25">
        <v>208</v>
      </c>
      <c r="E210" s="35" cm="1">
        <f t="array" ref="E210">IFERROR(INDEX($H$5:$AVV$5, _xlfn.AGGREGATE(15,6, COLUMN(H210:AVV210)-COLUMN(H210)+F210 / (H210:AVV210="T"), $A$2)), "")</f>
        <v>45989</v>
      </c>
      <c r="F210" s="97">
        <v>1</v>
      </c>
      <c r="G210" s="38" t="s">
        <v>10</v>
      </c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 t="s">
        <v>12</v>
      </c>
      <c r="AJ210" s="37"/>
      <c r="AK210" s="27"/>
      <c r="AL210" s="27"/>
      <c r="AM210" s="28"/>
      <c r="AN210" s="27"/>
      <c r="AO210" s="27"/>
      <c r="AP210" s="29" t="s">
        <v>16</v>
      </c>
      <c r="AQ210" s="30" t="s">
        <v>13</v>
      </c>
      <c r="AR210" s="98"/>
      <c r="AS210" s="98"/>
      <c r="AT210" s="99"/>
      <c r="AU210" s="98"/>
      <c r="AV210" s="98"/>
      <c r="AW210" s="100" t="s">
        <v>14</v>
      </c>
      <c r="AX210" s="101" t="s">
        <v>11</v>
      </c>
      <c r="AY210" s="98"/>
      <c r="AZ210" s="98"/>
      <c r="BA210" s="99"/>
      <c r="BB210" s="98"/>
      <c r="BC210" s="100" t="s">
        <v>15</v>
      </c>
      <c r="BD210" s="98"/>
      <c r="BE210" s="98"/>
      <c r="BF210" s="33">
        <v>17</v>
      </c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</row>
    <row r="211" spans="1:92" x14ac:dyDescent="0.25">
      <c r="A211" s="25" t="s">
        <v>147</v>
      </c>
      <c r="B211" s="25" t="s">
        <v>346</v>
      </c>
      <c r="C211" s="25" t="s">
        <v>567</v>
      </c>
      <c r="D211" s="25">
        <v>209</v>
      </c>
      <c r="E211" s="35" cm="1">
        <f t="array" ref="E211">IFERROR(INDEX($H$5:$AVV$5, _xlfn.AGGREGATE(15,6, COLUMN(H211:AVV211)-COLUMN(H211)+F211 / (H211:AVV211="T"), $A$2)), "")</f>
        <v>45989</v>
      </c>
      <c r="F211" s="97">
        <v>1</v>
      </c>
      <c r="G211" s="38" t="s">
        <v>10</v>
      </c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 t="s">
        <v>12</v>
      </c>
      <c r="AJ211" s="37"/>
      <c r="AK211" s="27"/>
      <c r="AL211" s="27"/>
      <c r="AM211" s="28"/>
      <c r="AN211" s="27"/>
      <c r="AO211" s="27"/>
      <c r="AP211" s="29" t="s">
        <v>16</v>
      </c>
      <c r="AQ211" s="30" t="s">
        <v>13</v>
      </c>
      <c r="AR211" s="98"/>
      <c r="AS211" s="98"/>
      <c r="AT211" s="99"/>
      <c r="AU211" s="98"/>
      <c r="AV211" s="98"/>
      <c r="AW211" s="100" t="s">
        <v>14</v>
      </c>
      <c r="AX211" s="101" t="s">
        <v>11</v>
      </c>
      <c r="AY211" s="98"/>
      <c r="AZ211" s="98"/>
      <c r="BA211" s="99"/>
      <c r="BB211" s="98"/>
      <c r="BC211" s="100" t="s">
        <v>15</v>
      </c>
      <c r="BD211" s="98"/>
      <c r="BE211" s="98"/>
      <c r="BF211" s="33">
        <v>17</v>
      </c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</row>
    <row r="212" spans="1:92" x14ac:dyDescent="0.25">
      <c r="A212" s="25" t="s">
        <v>147</v>
      </c>
      <c r="B212" s="25" t="s">
        <v>347</v>
      </c>
      <c r="C212" s="25" t="s">
        <v>568</v>
      </c>
      <c r="D212" s="25">
        <v>210</v>
      </c>
      <c r="E212" s="35" cm="1">
        <f t="array" ref="E212">IFERROR(INDEX($H$5:$AVV$5, _xlfn.AGGREGATE(15,6, COLUMN(H212:AVV212)-COLUMN(H212)+F212 / (H212:AVV212="T"), $A$2)), "")</f>
        <v>45989</v>
      </c>
      <c r="F212" s="97">
        <v>1</v>
      </c>
      <c r="G212" s="38" t="s">
        <v>10</v>
      </c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 t="s">
        <v>12</v>
      </c>
      <c r="AJ212" s="37"/>
      <c r="AK212" s="27"/>
      <c r="AL212" s="27"/>
      <c r="AM212" s="28"/>
      <c r="AN212" s="27"/>
      <c r="AO212" s="27"/>
      <c r="AP212" s="29" t="s">
        <v>16</v>
      </c>
      <c r="AQ212" s="30" t="s">
        <v>13</v>
      </c>
      <c r="AR212" s="98"/>
      <c r="AS212" s="98"/>
      <c r="AT212" s="99"/>
      <c r="AU212" s="98"/>
      <c r="AV212" s="98"/>
      <c r="AW212" s="100" t="s">
        <v>14</v>
      </c>
      <c r="AX212" s="101" t="s">
        <v>11</v>
      </c>
      <c r="AY212" s="98"/>
      <c r="AZ212" s="98"/>
      <c r="BA212" s="99"/>
      <c r="BB212" s="98"/>
      <c r="BC212" s="100" t="s">
        <v>15</v>
      </c>
      <c r="BD212" s="98"/>
      <c r="BE212" s="98"/>
      <c r="BF212" s="33">
        <v>17</v>
      </c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</row>
    <row r="213" spans="1:92" x14ac:dyDescent="0.25">
      <c r="A213" s="25" t="s">
        <v>147</v>
      </c>
      <c r="B213" s="25" t="s">
        <v>348</v>
      </c>
      <c r="C213" s="25" t="s">
        <v>569</v>
      </c>
      <c r="D213" s="25">
        <v>211</v>
      </c>
      <c r="E213" s="35" cm="1">
        <f t="array" ref="E213">IFERROR(INDEX($H$5:$AVV$5, _xlfn.AGGREGATE(15,6, COLUMN(H213:AVV213)-COLUMN(H213)+F213 / (H213:AVV213="T"), $A$2)), "")</f>
        <v>45989</v>
      </c>
      <c r="F213" s="97">
        <v>1</v>
      </c>
      <c r="G213" s="38" t="s">
        <v>10</v>
      </c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 t="s">
        <v>12</v>
      </c>
      <c r="AJ213" s="37"/>
      <c r="AK213" s="27"/>
      <c r="AL213" s="27"/>
      <c r="AM213" s="28"/>
      <c r="AN213" s="27"/>
      <c r="AO213" s="27"/>
      <c r="AP213" s="29" t="s">
        <v>16</v>
      </c>
      <c r="AQ213" s="30" t="s">
        <v>13</v>
      </c>
      <c r="AR213" s="98"/>
      <c r="AS213" s="98"/>
      <c r="AT213" s="99"/>
      <c r="AU213" s="98"/>
      <c r="AV213" s="98"/>
      <c r="AW213" s="100" t="s">
        <v>14</v>
      </c>
      <c r="AX213" s="101" t="s">
        <v>11</v>
      </c>
      <c r="AY213" s="98"/>
      <c r="AZ213" s="98"/>
      <c r="BA213" s="99"/>
      <c r="BB213" s="98"/>
      <c r="BC213" s="100" t="s">
        <v>15</v>
      </c>
      <c r="BD213" s="98"/>
      <c r="BE213" s="98"/>
      <c r="BF213" s="33">
        <v>17</v>
      </c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</row>
    <row r="214" spans="1:92" x14ac:dyDescent="0.25">
      <c r="A214" s="25" t="s">
        <v>147</v>
      </c>
      <c r="B214" s="25" t="s">
        <v>349</v>
      </c>
      <c r="C214" s="25" t="s">
        <v>570</v>
      </c>
      <c r="D214" s="25">
        <v>212</v>
      </c>
      <c r="E214" s="35" cm="1">
        <f t="array" ref="E214">IFERROR(INDEX($H$5:$AVV$5, _xlfn.AGGREGATE(15,6, COLUMN(H214:AVV214)-COLUMN(H214)+F214 / (H214:AVV214="T"), $A$2)), "")</f>
        <v>45990</v>
      </c>
      <c r="F214" s="97">
        <v>1</v>
      </c>
      <c r="G214" s="38" t="s">
        <v>10</v>
      </c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25"/>
      <c r="AI214" s="25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37"/>
      <c r="AW214" s="27"/>
      <c r="AX214" s="29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98"/>
      <c r="BG214" s="33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</row>
    <row r="215" spans="1:92" x14ac:dyDescent="0.25">
      <c r="A215" s="25" t="s">
        <v>147</v>
      </c>
      <c r="B215" s="25" t="s">
        <v>350</v>
      </c>
      <c r="C215" s="25" t="s">
        <v>571</v>
      </c>
      <c r="D215" s="25">
        <v>213</v>
      </c>
      <c r="E215" s="35" cm="1">
        <f t="array" ref="E215">IFERROR(INDEX($H$5:$AVV$5, _xlfn.AGGREGATE(15,6, COLUMN(H215:AVV215)-COLUMN(H215)+F215 / (H215:AVV215="T"), $A$2)), "")</f>
        <v>45990</v>
      </c>
      <c r="F215" s="97">
        <v>1</v>
      </c>
      <c r="G215" s="38" t="s">
        <v>10</v>
      </c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25"/>
      <c r="AI215" s="25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37"/>
      <c r="AW215" s="27"/>
      <c r="AX215" s="29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98"/>
      <c r="BG215" s="33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</row>
    <row r="216" spans="1:92" x14ac:dyDescent="0.25">
      <c r="A216" s="25" t="s">
        <v>147</v>
      </c>
      <c r="B216" s="25" t="s">
        <v>351</v>
      </c>
      <c r="C216" s="25" t="s">
        <v>572</v>
      </c>
      <c r="D216" s="25">
        <v>214</v>
      </c>
      <c r="E216" s="35" cm="1">
        <f t="array" ref="E216">IFERROR(INDEX($H$5:$AVV$5, _xlfn.AGGREGATE(15,6, COLUMN(H216:AVV216)-COLUMN(H216)+F216 / (H216:AVV216="T"), $A$2)), "")</f>
        <v>45990</v>
      </c>
      <c r="F216" s="97">
        <v>1</v>
      </c>
      <c r="G216" s="38" t="s">
        <v>10</v>
      </c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25"/>
      <c r="AI216" s="25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37"/>
      <c r="AW216" s="27"/>
      <c r="AX216" s="29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98"/>
      <c r="BG216" s="33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</row>
    <row r="217" spans="1:92" x14ac:dyDescent="0.25">
      <c r="A217" s="25" t="s">
        <v>147</v>
      </c>
      <c r="B217" s="25" t="s">
        <v>352</v>
      </c>
      <c r="C217" s="25" t="s">
        <v>573</v>
      </c>
      <c r="D217" s="25">
        <v>215</v>
      </c>
      <c r="E217" s="35" cm="1">
        <f t="array" ref="E217">IFERROR(INDEX($H$5:$AVV$5, _xlfn.AGGREGATE(15,6, COLUMN(H217:AVV217)-COLUMN(H217)+F217 / (H217:AVV217="T"), $A$2)), "")</f>
        <v>45990</v>
      </c>
      <c r="F217" s="97">
        <v>1</v>
      </c>
      <c r="G217" s="38" t="s">
        <v>10</v>
      </c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25"/>
      <c r="AI217" s="25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37"/>
      <c r="AW217" s="27"/>
      <c r="AX217" s="29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98"/>
      <c r="BG217" s="33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</row>
    <row r="218" spans="1:92" x14ac:dyDescent="0.25">
      <c r="A218" s="25" t="s">
        <v>147</v>
      </c>
      <c r="B218" s="25" t="s">
        <v>353</v>
      </c>
      <c r="C218" s="25" t="s">
        <v>574</v>
      </c>
      <c r="D218" s="25">
        <v>216</v>
      </c>
      <c r="E218" s="35" cm="1">
        <f t="array" ref="E218">IFERROR(INDEX($H$5:$AVV$5, _xlfn.AGGREGATE(15,6, COLUMN(H218:AVV218)-COLUMN(H218)+F218 / (H218:AVV218="T"), $A$2)), "")</f>
        <v>45990</v>
      </c>
      <c r="F218" s="97">
        <v>1</v>
      </c>
      <c r="G218" s="38" t="s">
        <v>10</v>
      </c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25"/>
      <c r="AJ218" s="25" t="s">
        <v>12</v>
      </c>
      <c r="AK218" s="27"/>
      <c r="AL218" s="27"/>
      <c r="AM218" s="27"/>
      <c r="AN218" s="28"/>
      <c r="AO218" s="27"/>
      <c r="AP218" s="27"/>
      <c r="AQ218" s="29" t="s">
        <v>16</v>
      </c>
      <c r="AR218" s="30" t="s">
        <v>13</v>
      </c>
      <c r="AS218" s="27"/>
      <c r="AT218" s="27"/>
      <c r="AU218" s="28"/>
      <c r="AV218" s="27"/>
      <c r="AW218" s="37"/>
      <c r="AX218" s="29" t="s">
        <v>14</v>
      </c>
      <c r="AY218" s="30" t="s">
        <v>11</v>
      </c>
      <c r="AZ218" s="27"/>
      <c r="BA218" s="27"/>
      <c r="BB218" s="28"/>
      <c r="BC218" s="27"/>
      <c r="BD218" s="29" t="s">
        <v>15</v>
      </c>
      <c r="BE218" s="27"/>
      <c r="BF218" s="27"/>
      <c r="BG218" s="33">
        <v>17</v>
      </c>
      <c r="BH218" s="33"/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</row>
    <row r="219" spans="1:92" x14ac:dyDescent="0.25">
      <c r="A219" s="25" t="s">
        <v>147</v>
      </c>
      <c r="B219" s="25" t="s">
        <v>354</v>
      </c>
      <c r="C219" s="25" t="s">
        <v>575</v>
      </c>
      <c r="D219" s="25">
        <v>217</v>
      </c>
      <c r="E219" s="35" cm="1">
        <f t="array" ref="E219">IFERROR(INDEX($H$5:$AVV$5, _xlfn.AGGREGATE(15,6, COLUMN(H219:AVV219)-COLUMN(H219)+F219 / (H219:AVV219="T"), $A$2)), "")</f>
        <v>45990</v>
      </c>
      <c r="F219" s="97">
        <v>1</v>
      </c>
      <c r="G219" s="38" t="s">
        <v>10</v>
      </c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25"/>
      <c r="AJ219" s="25" t="s">
        <v>12</v>
      </c>
      <c r="AK219" s="27"/>
      <c r="AL219" s="27"/>
      <c r="AM219" s="27"/>
      <c r="AN219" s="28"/>
      <c r="AO219" s="27"/>
      <c r="AP219" s="27"/>
      <c r="AQ219" s="29" t="s">
        <v>16</v>
      </c>
      <c r="AR219" s="30" t="s">
        <v>13</v>
      </c>
      <c r="AS219" s="27"/>
      <c r="AT219" s="27"/>
      <c r="AU219" s="28"/>
      <c r="AV219" s="27"/>
      <c r="AW219" s="37"/>
      <c r="AX219" s="29" t="s">
        <v>14</v>
      </c>
      <c r="AY219" s="30" t="s">
        <v>11</v>
      </c>
      <c r="AZ219" s="27"/>
      <c r="BA219" s="27"/>
      <c r="BB219" s="28"/>
      <c r="BC219" s="27"/>
      <c r="BD219" s="29" t="s">
        <v>15</v>
      </c>
      <c r="BE219" s="27"/>
      <c r="BF219" s="27"/>
      <c r="BG219" s="33">
        <v>17</v>
      </c>
      <c r="BH219" s="33"/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</row>
    <row r="220" spans="1:92" x14ac:dyDescent="0.25">
      <c r="A220" s="25" t="s">
        <v>147</v>
      </c>
      <c r="B220" s="25" t="s">
        <v>355</v>
      </c>
      <c r="C220" s="25" t="s">
        <v>576</v>
      </c>
      <c r="D220" s="25">
        <v>218</v>
      </c>
      <c r="E220" s="35" cm="1">
        <f t="array" ref="E220">IFERROR(INDEX($H$5:$AVV$5, _xlfn.AGGREGATE(15,6, COLUMN(H220:AVV220)-COLUMN(H220)+F220 / (H220:AVV220="T"), $A$2)), "")</f>
        <v>45990</v>
      </c>
      <c r="F220" s="97">
        <v>1</v>
      </c>
      <c r="G220" s="38" t="s">
        <v>10</v>
      </c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25"/>
      <c r="AJ220" s="25" t="s">
        <v>12</v>
      </c>
      <c r="AK220" s="27"/>
      <c r="AL220" s="27"/>
      <c r="AM220" s="27"/>
      <c r="AN220" s="28"/>
      <c r="AO220" s="27"/>
      <c r="AP220" s="27"/>
      <c r="AQ220" s="29" t="s">
        <v>16</v>
      </c>
      <c r="AR220" s="30" t="s">
        <v>13</v>
      </c>
      <c r="AS220" s="27"/>
      <c r="AT220" s="27"/>
      <c r="AU220" s="28"/>
      <c r="AV220" s="27"/>
      <c r="AW220" s="37"/>
      <c r="AX220" s="29" t="s">
        <v>14</v>
      </c>
      <c r="AY220" s="30" t="s">
        <v>11</v>
      </c>
      <c r="AZ220" s="27"/>
      <c r="BA220" s="27"/>
      <c r="BB220" s="28"/>
      <c r="BC220" s="27"/>
      <c r="BD220" s="29" t="s">
        <v>15</v>
      </c>
      <c r="BE220" s="27"/>
      <c r="BF220" s="27"/>
      <c r="BG220" s="33">
        <v>17</v>
      </c>
      <c r="BH220" s="33"/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</row>
    <row r="221" spans="1:92" x14ac:dyDescent="0.25">
      <c r="A221" s="25" t="s">
        <v>147</v>
      </c>
      <c r="B221" s="25" t="s">
        <v>356</v>
      </c>
      <c r="C221" s="25" t="s">
        <v>577</v>
      </c>
      <c r="D221" s="25">
        <v>219</v>
      </c>
      <c r="E221" s="35" cm="1">
        <f t="array" ref="E221">IFERROR(INDEX($H$5:$AVV$5, _xlfn.AGGREGATE(15,6, COLUMN(H221:AVV221)-COLUMN(H221)+F221 / (H221:AVV221="T"), $A$2)), "")</f>
        <v>45991</v>
      </c>
      <c r="F221" s="97">
        <v>1</v>
      </c>
      <c r="G221" s="38" t="s">
        <v>10</v>
      </c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25"/>
      <c r="AJ221" s="25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37"/>
      <c r="AX221" s="27"/>
      <c r="AY221" s="29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98"/>
      <c r="BH221" s="33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</row>
    <row r="222" spans="1:92" x14ac:dyDescent="0.25">
      <c r="A222" s="25" t="s">
        <v>147</v>
      </c>
      <c r="B222" s="25" t="s">
        <v>357</v>
      </c>
      <c r="C222" s="25" t="s">
        <v>578</v>
      </c>
      <c r="D222" s="25">
        <v>220</v>
      </c>
      <c r="E222" s="35" cm="1">
        <f t="array" ref="E222">IFERROR(INDEX($H$5:$AVV$5, _xlfn.AGGREGATE(15,6, COLUMN(H222:AVV222)-COLUMN(H222)+F222 / (H222:AVV222="T"), $A$2)), "")</f>
        <v>45991</v>
      </c>
      <c r="F222" s="97">
        <v>1</v>
      </c>
      <c r="G222" s="38" t="s">
        <v>10</v>
      </c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25"/>
      <c r="AJ222" s="25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37"/>
      <c r="AX222" s="27"/>
      <c r="AY222" s="29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98"/>
      <c r="BH222" s="33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</row>
    <row r="223" spans="1:92" x14ac:dyDescent="0.25">
      <c r="A223" s="25" t="s">
        <v>147</v>
      </c>
      <c r="B223" s="25" t="s">
        <v>358</v>
      </c>
      <c r="C223" s="25" t="s">
        <v>579</v>
      </c>
      <c r="D223" s="25">
        <v>221</v>
      </c>
      <c r="E223" s="35" cm="1">
        <f t="array" ref="E223">IFERROR(INDEX($H$5:$AVV$5, _xlfn.AGGREGATE(15,6, COLUMN(H223:AVV223)-COLUMN(H223)+F223 / (H223:AVV223="T"), $A$2)), "")</f>
        <v>45991</v>
      </c>
      <c r="F223" s="97">
        <v>1</v>
      </c>
      <c r="G223" s="38" t="s">
        <v>10</v>
      </c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25"/>
      <c r="AJ223" s="25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37"/>
      <c r="AX223" s="27"/>
      <c r="AY223" s="29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98"/>
      <c r="BH223" s="33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</row>
    <row r="224" spans="1:92" x14ac:dyDescent="0.25">
      <c r="A224" s="41" t="s">
        <v>8</v>
      </c>
      <c r="B224" s="41" t="s">
        <v>233</v>
      </c>
      <c r="C224" s="25" t="s">
        <v>378</v>
      </c>
      <c r="D224" s="25">
        <v>20</v>
      </c>
      <c r="E224" s="35" t="str" cm="1">
        <f t="array" ref="E224">IFERROR(INDEX($H$5:$AVV$5, _xlfn.AGGREGATE(15,6, COLUMN(H224:AVV224)-COLUMN(H224)+F224 / (H224:AVV224="T"), $A$2)), "")</f>
        <v/>
      </c>
      <c r="F224" s="97">
        <v>1</v>
      </c>
      <c r="G224" s="42" t="s">
        <v>10</v>
      </c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25"/>
      <c r="AJ224" s="25"/>
      <c r="AK224" s="25"/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  <c r="AW224" s="31"/>
      <c r="AX224" s="25"/>
      <c r="AY224" s="25"/>
      <c r="AZ224" s="25"/>
      <c r="BA224" s="25"/>
      <c r="BB224" s="25"/>
      <c r="BC224" s="25"/>
      <c r="BD224" s="25"/>
      <c r="BE224" s="25"/>
      <c r="BF224" s="25"/>
      <c r="BG224" s="33"/>
      <c r="BH224" s="33"/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</row>
    <row r="225" spans="1:92" x14ac:dyDescent="0.25">
      <c r="A225" s="39" t="s">
        <v>8</v>
      </c>
      <c r="B225" s="39" t="s">
        <v>253</v>
      </c>
      <c r="C225" s="25" t="s">
        <v>398</v>
      </c>
      <c r="D225" s="25">
        <v>40</v>
      </c>
      <c r="E225" s="35" t="str" cm="1">
        <f t="array" ref="E225">IFERROR(INDEX($H$5:$AVV$5, _xlfn.AGGREGATE(15,6, COLUMN(H225:AVV225)-COLUMN(H225)+F225 / (H225:AVV225="T"), $A$2)), "")</f>
        <v/>
      </c>
      <c r="F225" s="97">
        <v>1</v>
      </c>
      <c r="G225" s="44" t="s">
        <v>10</v>
      </c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25"/>
      <c r="AK225" s="25"/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  <c r="AW225" s="25"/>
      <c r="AX225" s="31"/>
      <c r="AY225" s="25"/>
      <c r="AZ225" s="25"/>
      <c r="BA225" s="25"/>
      <c r="BB225" s="25"/>
      <c r="BC225" s="25"/>
      <c r="BD225" s="25"/>
      <c r="BE225" s="25"/>
      <c r="BF225" s="25"/>
      <c r="BG225" s="25"/>
      <c r="BH225" s="33"/>
      <c r="BI225" s="33"/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</row>
    <row r="226" spans="1:92" x14ac:dyDescent="0.25">
      <c r="A226" s="45" t="s">
        <v>8</v>
      </c>
      <c r="B226" s="45" t="s">
        <v>254</v>
      </c>
      <c r="C226" s="25" t="s">
        <v>399</v>
      </c>
      <c r="D226" s="25">
        <v>41</v>
      </c>
      <c r="E226" s="35" t="str" cm="1">
        <f t="array" ref="E226">IFERROR(INDEX($H$5:$AVV$5, _xlfn.AGGREGATE(15,6, COLUMN(H226:AVV226)-COLUMN(H226)+F226 / (H226:AVV226="T"), $A$2)), "")</f>
        <v/>
      </c>
      <c r="F226" s="97">
        <v>1</v>
      </c>
      <c r="G226" s="44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25"/>
      <c r="AK226" s="25"/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  <c r="AW226" s="25"/>
      <c r="AX226" s="31"/>
      <c r="AY226" s="25"/>
      <c r="AZ226" s="25"/>
      <c r="BA226" s="25"/>
      <c r="BB226" s="25"/>
      <c r="BC226" s="25"/>
      <c r="BD226" s="25"/>
      <c r="BE226" s="25"/>
      <c r="BF226" s="25"/>
      <c r="BG226" s="25"/>
      <c r="BH226" s="33"/>
      <c r="BI226" s="33"/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</row>
    <row r="227" spans="1:92" x14ac:dyDescent="0.25">
      <c r="A227" s="45" t="s">
        <v>8</v>
      </c>
      <c r="B227" s="45" t="s">
        <v>255</v>
      </c>
      <c r="C227" s="25" t="s">
        <v>400</v>
      </c>
      <c r="D227" s="25">
        <v>42</v>
      </c>
      <c r="E227" s="35" t="str" cm="1">
        <f t="array" ref="E227">IFERROR(INDEX($H$5:$AVV$5, _xlfn.AGGREGATE(15,6, COLUMN(H227:AVV227)-COLUMN(H227)+F227 / (H227:AVV227="T"), $A$2)), "")</f>
        <v/>
      </c>
      <c r="F227" s="97">
        <v>1</v>
      </c>
      <c r="G227" s="44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25"/>
      <c r="AK227" s="25"/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  <c r="AW227" s="25"/>
      <c r="AX227" s="31"/>
      <c r="AY227" s="25"/>
      <c r="AZ227" s="25"/>
      <c r="BA227" s="25"/>
      <c r="BB227" s="25"/>
      <c r="BC227" s="25"/>
      <c r="BD227" s="25"/>
      <c r="BE227" s="25"/>
      <c r="BF227" s="25"/>
      <c r="BG227" s="25"/>
      <c r="BH227" s="33"/>
      <c r="BI227" s="33"/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</row>
    <row r="228" spans="1:92" x14ac:dyDescent="0.25">
      <c r="A228" s="45" t="s">
        <v>8</v>
      </c>
      <c r="B228" s="45" t="s">
        <v>256</v>
      </c>
      <c r="C228" s="25" t="s">
        <v>401</v>
      </c>
      <c r="D228" s="25">
        <v>43</v>
      </c>
      <c r="E228" s="35" t="str" cm="1">
        <f t="array" ref="E228">IFERROR(INDEX($H$5:$AVV$5, _xlfn.AGGREGATE(15,6, COLUMN(H228:AVV228)-COLUMN(H228)+F228 / (H228:AVV228="T"), $A$2)), "")</f>
        <v/>
      </c>
      <c r="F228" s="97">
        <v>1</v>
      </c>
      <c r="G228" s="44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25"/>
      <c r="AK228" s="25"/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  <c r="AW228" s="25"/>
      <c r="AX228" s="31"/>
      <c r="AY228" s="25"/>
      <c r="AZ228" s="25"/>
      <c r="BA228" s="25"/>
      <c r="BB228" s="25"/>
      <c r="BC228" s="25"/>
      <c r="BD228" s="25"/>
      <c r="BE228" s="25"/>
      <c r="BF228" s="25"/>
      <c r="BG228" s="25"/>
      <c r="BH228" s="33"/>
      <c r="BI228" s="33"/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</row>
    <row r="229" spans="1:92" x14ac:dyDescent="0.25">
      <c r="A229" s="45" t="s">
        <v>8</v>
      </c>
      <c r="B229" s="45" t="s">
        <v>257</v>
      </c>
      <c r="C229" s="25" t="s">
        <v>402</v>
      </c>
      <c r="D229" s="25">
        <v>44</v>
      </c>
      <c r="E229" s="35" t="str" cm="1">
        <f t="array" ref="E229">IFERROR(INDEX($H$5:$AVV$5, _xlfn.AGGREGATE(15,6, COLUMN(H229:AVV229)-COLUMN(H229)+F229 / (H229:AVV229="T"), $A$2)), "")</f>
        <v/>
      </c>
      <c r="F229" s="97">
        <v>1</v>
      </c>
      <c r="G229" s="44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25"/>
      <c r="AK229" s="25"/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  <c r="AW229" s="25"/>
      <c r="AX229" s="31"/>
      <c r="AY229" s="25"/>
      <c r="AZ229" s="25"/>
      <c r="BA229" s="25"/>
      <c r="BB229" s="25"/>
      <c r="BC229" s="25"/>
      <c r="BD229" s="25"/>
      <c r="BE229" s="25"/>
      <c r="BF229" s="25"/>
      <c r="BG229" s="25"/>
      <c r="BH229" s="33"/>
      <c r="BI229" s="33"/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</row>
    <row r="230" spans="1:92" x14ac:dyDescent="0.25">
      <c r="A230" s="45" t="s">
        <v>8</v>
      </c>
      <c r="B230" s="45" t="s">
        <v>258</v>
      </c>
      <c r="C230" s="25" t="s">
        <v>403</v>
      </c>
      <c r="D230" s="25">
        <v>45</v>
      </c>
      <c r="E230" s="35" t="str" cm="1">
        <f t="array" ref="E230">IFERROR(INDEX($H$5:$AVV$5, _xlfn.AGGREGATE(15,6, COLUMN(H230:AVV230)-COLUMN(H230)+F230 / (H230:AVV230="T"), $A$2)), "")</f>
        <v/>
      </c>
      <c r="F230" s="97">
        <v>1</v>
      </c>
      <c r="G230" s="44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25"/>
      <c r="AK230" s="25"/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  <c r="AW230" s="25"/>
      <c r="AX230" s="31"/>
      <c r="AY230" s="25"/>
      <c r="AZ230" s="25"/>
      <c r="BA230" s="25"/>
      <c r="BB230" s="25"/>
      <c r="BC230" s="25"/>
      <c r="BD230" s="25"/>
      <c r="BE230" s="25"/>
      <c r="BF230" s="25"/>
      <c r="BG230" s="25"/>
      <c r="BH230" s="33"/>
      <c r="BI230" s="33"/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</row>
    <row r="231" spans="1:92" x14ac:dyDescent="0.25">
      <c r="A231" s="49" t="s">
        <v>56</v>
      </c>
      <c r="B231" s="49" t="s">
        <v>330</v>
      </c>
      <c r="C231" s="25" t="s">
        <v>475</v>
      </c>
      <c r="D231" s="25">
        <v>117</v>
      </c>
      <c r="E231" s="35" t="str" cm="1">
        <f t="array" ref="E231">IFERROR(INDEX($H$5:$AVV$5, _xlfn.AGGREGATE(15,6, COLUMN(H231:AVV231)-COLUMN(H231)+F231 / (H231:AVV231="T"), $A$2)), "")</f>
        <v/>
      </c>
      <c r="F231" s="97">
        <v>1</v>
      </c>
      <c r="G231" s="50" t="s">
        <v>10</v>
      </c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25"/>
      <c r="AK231" s="25"/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  <c r="AW231" s="25"/>
      <c r="AX231" s="31"/>
      <c r="AY231" s="25"/>
      <c r="AZ231" s="25"/>
      <c r="BA231" s="25"/>
      <c r="BB231" s="25"/>
      <c r="BC231" s="25"/>
      <c r="BD231" s="25"/>
      <c r="BE231" s="25"/>
      <c r="BF231" s="25"/>
      <c r="BG231" s="25"/>
      <c r="BH231" s="33"/>
      <c r="BI231" s="33"/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</row>
    <row r="232" spans="1:92" x14ac:dyDescent="0.25">
      <c r="A232" s="39" t="s">
        <v>132</v>
      </c>
      <c r="B232" s="39" t="s">
        <v>258</v>
      </c>
      <c r="C232" s="25" t="s">
        <v>511</v>
      </c>
      <c r="D232" s="25">
        <v>153</v>
      </c>
      <c r="E232" s="35" t="str" cm="1">
        <f t="array" ref="E232">IFERROR(INDEX($H$5:$AVV$5, _xlfn.AGGREGATE(15,6, COLUMN(H232:AVV232)-COLUMN(H232)+F232 / (H232:AVV232="T"), $A$2)), "")</f>
        <v/>
      </c>
      <c r="F232" s="97">
        <v>1</v>
      </c>
      <c r="G232" s="44" t="s">
        <v>10</v>
      </c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25"/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  <c r="AW232" s="25"/>
      <c r="AX232" s="25"/>
      <c r="AY232" s="31"/>
      <c r="AZ232" s="25"/>
      <c r="BA232" s="25"/>
      <c r="BB232" s="25"/>
      <c r="BC232" s="25"/>
      <c r="BD232" s="25"/>
      <c r="BE232" s="25"/>
      <c r="BF232" s="25"/>
      <c r="BG232" s="25"/>
      <c r="BH232" s="25"/>
      <c r="BI232" s="33"/>
      <c r="BJ232" s="33"/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</row>
    <row r="233" spans="1:92" x14ac:dyDescent="0.25">
      <c r="A233" s="39" t="s">
        <v>132</v>
      </c>
      <c r="B233" s="39" t="s">
        <v>259</v>
      </c>
      <c r="C233" s="25" t="s">
        <v>512</v>
      </c>
      <c r="D233" s="25">
        <v>154</v>
      </c>
      <c r="E233" s="35" t="str" cm="1">
        <f t="array" ref="E233">IFERROR(INDEX($H$5:$AVV$5, _xlfn.AGGREGATE(15,6, COLUMN(H233:AVV233)-COLUMN(H233)+F233 / (H233:AVV233="T"), $A$2)), "")</f>
        <v/>
      </c>
      <c r="F233" s="97">
        <v>1</v>
      </c>
      <c r="G233" s="44" t="s">
        <v>10</v>
      </c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25"/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  <c r="AW233" s="25"/>
      <c r="AX233" s="25"/>
      <c r="AY233" s="31"/>
      <c r="AZ233" s="25"/>
      <c r="BA233" s="25"/>
      <c r="BB233" s="25"/>
      <c r="BC233" s="25"/>
      <c r="BD233" s="25"/>
      <c r="BE233" s="25"/>
      <c r="BF233" s="25"/>
      <c r="BG233" s="25"/>
      <c r="BH233" s="25"/>
      <c r="BI233" s="33"/>
      <c r="BJ233" s="33"/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</row>
    <row r="234" spans="1:92" x14ac:dyDescent="0.25">
      <c r="A234" s="41" t="s">
        <v>146</v>
      </c>
      <c r="B234" s="41" t="s">
        <v>297</v>
      </c>
      <c r="C234" s="25" t="s">
        <v>536</v>
      </c>
      <c r="D234" s="25">
        <v>178</v>
      </c>
      <c r="E234" s="35" t="str" cm="1">
        <f t="array" ref="E234">IFERROR(INDEX($H$5:$AVV$5, _xlfn.AGGREGATE(15,6, COLUMN(H234:AVV234)-COLUMN(H234)+F234 / (H234:AVV234="T"), $A$2)), "")</f>
        <v/>
      </c>
      <c r="F234" s="97">
        <v>1</v>
      </c>
      <c r="G234" s="42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25"/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  <c r="AW234" s="25"/>
      <c r="AX234" s="25"/>
      <c r="AY234" s="31"/>
      <c r="AZ234" s="25"/>
      <c r="BA234" s="25"/>
      <c r="BB234" s="25"/>
      <c r="BC234" s="25"/>
      <c r="BD234" s="25"/>
      <c r="BE234" s="25"/>
      <c r="BF234" s="25"/>
      <c r="BG234" s="25"/>
      <c r="BH234" s="25"/>
      <c r="BI234" s="33"/>
      <c r="BJ234" s="33"/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</row>
  </sheetData>
  <autoFilter ref="A13:BQ234" xr:uid="{B02859C0-7031-4F52-8D1A-FCBDF86448AE}">
    <sortState xmlns:xlrd2="http://schemas.microsoft.com/office/spreadsheetml/2017/richdata2" ref="A14:BQ234">
      <sortCondition ref="E13:E234"/>
    </sortState>
  </autoFilter>
  <sortState xmlns:xlrd2="http://schemas.microsoft.com/office/spreadsheetml/2017/richdata2" ref="B54:B66">
    <sortCondition ref="B54:B66"/>
  </sortState>
  <mergeCells count="6">
    <mergeCell ref="B12:G12"/>
    <mergeCell ref="A1:B1"/>
    <mergeCell ref="B8:G8"/>
    <mergeCell ref="B9:G9"/>
    <mergeCell ref="B10:G10"/>
    <mergeCell ref="B11:G11"/>
  </mergeCells>
  <conditionalFormatting sqref="E14:F234">
    <cfRule type="containsBlanks" dxfId="752" priority="468">
      <formula>LEN(TRIM(E14))=0</formula>
    </cfRule>
  </conditionalFormatting>
  <conditionalFormatting sqref="H114:H119">
    <cfRule type="containsText" dxfId="751" priority="463" operator="containsText" text="T">
      <formula>NOT(ISERROR(SEARCH("T",H114)))</formula>
    </cfRule>
  </conditionalFormatting>
  <conditionalFormatting sqref="H113:R113">
    <cfRule type="containsText" dxfId="750" priority="455" operator="containsText" text="17">
      <formula>NOT(ISERROR(SEARCH("17",H113)))</formula>
    </cfRule>
    <cfRule type="containsText" dxfId="749" priority="456" operator="containsText" text="T">
      <formula>NOT(ISERROR(SEARCH("T",H113)))</formula>
    </cfRule>
  </conditionalFormatting>
  <conditionalFormatting sqref="H67:V68">
    <cfRule type="containsText" dxfId="748" priority="400" operator="containsText" text="17">
      <formula>NOT(ISERROR(SEARCH("17",H67)))</formula>
    </cfRule>
  </conditionalFormatting>
  <conditionalFormatting sqref="H97:V98">
    <cfRule type="containsText" dxfId="747" priority="390" operator="containsText" text="17">
      <formula>NOT(ISERROR(SEARCH("17",H97)))</formula>
    </cfRule>
  </conditionalFormatting>
  <conditionalFormatting sqref="H67:X68">
    <cfRule type="containsText" dxfId="746" priority="394" operator="containsText" text="T">
      <formula>NOT(ISERROR(SEARCH("T",H67)))</formula>
    </cfRule>
  </conditionalFormatting>
  <conditionalFormatting sqref="H97:X98">
    <cfRule type="containsText" dxfId="745" priority="384" operator="containsText" text="T">
      <formula>NOT(ISERROR(SEARCH("T",H97)))</formula>
    </cfRule>
  </conditionalFormatting>
  <conditionalFormatting sqref="H127:X130">
    <cfRule type="containsText" dxfId="744" priority="364" operator="containsText" text="T">
      <formula>NOT(ISERROR(SEARCH("T",H127)))</formula>
    </cfRule>
  </conditionalFormatting>
  <conditionalFormatting sqref="H114:AB119 H113:P113">
    <cfRule type="containsText" dxfId="743" priority="462" operator="containsText" text="17">
      <formula>NOT(ISERROR(SEARCH("17",H113)))</formula>
    </cfRule>
  </conditionalFormatting>
  <conditionalFormatting sqref="H48:AM49">
    <cfRule type="containsText" dxfId="742" priority="137" operator="containsText" text="17">
      <formula>NOT(ISERROR(SEARCH("17",H48)))</formula>
    </cfRule>
  </conditionalFormatting>
  <conditionalFormatting sqref="H63:AN66">
    <cfRule type="containsText" dxfId="741" priority="117" operator="containsText" text="17">
      <formula>NOT(ISERROR(SEARCH("17",H63)))</formula>
    </cfRule>
  </conditionalFormatting>
  <conditionalFormatting sqref="H48:AO49">
    <cfRule type="containsText" dxfId="740" priority="131" operator="containsText" text="T">
      <formula>NOT(ISERROR(SEARCH("T",H48)))</formula>
    </cfRule>
  </conditionalFormatting>
  <conditionalFormatting sqref="H59:AO62">
    <cfRule type="containsText" dxfId="739" priority="103" operator="containsText" text="17">
      <formula>NOT(ISERROR(SEARCH("17",H59)))</formula>
    </cfRule>
  </conditionalFormatting>
  <conditionalFormatting sqref="H86:AO89">
    <cfRule type="containsText" dxfId="738" priority="93" operator="containsText" text="17">
      <formula>NOT(ISERROR(SEARCH("17",H86)))</formula>
    </cfRule>
  </conditionalFormatting>
  <conditionalFormatting sqref="H50:AP53">
    <cfRule type="containsText" dxfId="737" priority="121" operator="containsText" text="T">
      <formula>NOT(ISERROR(SEARCH("T",H50)))</formula>
    </cfRule>
  </conditionalFormatting>
  <conditionalFormatting sqref="H63:AP66">
    <cfRule type="containsText" dxfId="736" priority="111" operator="containsText" text="T">
      <formula>NOT(ISERROR(SEARCH("T",H63)))</formula>
    </cfRule>
  </conditionalFormatting>
  <conditionalFormatting sqref="H83:AP85">
    <cfRule type="containsText" dxfId="735" priority="83" operator="containsText" text="17">
      <formula>NOT(ISERROR(SEARCH("17",H83)))</formula>
    </cfRule>
  </conditionalFormatting>
  <conditionalFormatting sqref="H214:AP217">
    <cfRule type="containsText" dxfId="734" priority="73" operator="containsText" text="17">
      <formula>NOT(ISERROR(SEARCH("17",H214)))</formula>
    </cfRule>
  </conditionalFormatting>
  <conditionalFormatting sqref="H59:AQ62">
    <cfRule type="containsText" dxfId="733" priority="97" operator="containsText" text="T">
      <formula>NOT(ISERROR(SEARCH("T",H59)))</formula>
    </cfRule>
  </conditionalFormatting>
  <conditionalFormatting sqref="H86:AQ89">
    <cfRule type="containsText" dxfId="732" priority="87" operator="containsText" text="T">
      <formula>NOT(ISERROR(SEARCH("T",H86)))</formula>
    </cfRule>
  </conditionalFormatting>
  <conditionalFormatting sqref="H83:AR85">
    <cfRule type="containsText" dxfId="731" priority="77" operator="containsText" text="T">
      <formula>NOT(ISERROR(SEARCH("T",H83)))</formula>
    </cfRule>
  </conditionalFormatting>
  <conditionalFormatting sqref="H214:AR217">
    <cfRule type="containsText" dxfId="730" priority="67" operator="containsText" text="T">
      <formula>NOT(ISERROR(SEARCH("T",H214)))</formula>
    </cfRule>
  </conditionalFormatting>
  <conditionalFormatting sqref="I77:I82">
    <cfRule type="containsText" dxfId="729" priority="450" operator="containsText" text="T">
      <formula>NOT(ISERROR(SEARCH("T",I77)))</formula>
    </cfRule>
  </conditionalFormatting>
  <conditionalFormatting sqref="I76:S76">
    <cfRule type="containsText" dxfId="728" priority="442" operator="containsText" text="17">
      <formula>NOT(ISERROR(SEARCH("17",I76)))</formula>
    </cfRule>
    <cfRule type="containsText" dxfId="727" priority="443" operator="containsText" text="T">
      <formula>NOT(ISERROR(SEARCH("T",I76)))</formula>
    </cfRule>
  </conditionalFormatting>
  <conditionalFormatting sqref="I77:AC82 I76:Q76">
    <cfRule type="containsText" dxfId="726" priority="449" operator="containsText" text="17">
      <formula>NOT(ISERROR(SEARCH("17",I76)))</formula>
    </cfRule>
  </conditionalFormatting>
  <conditionalFormatting sqref="J107:J112">
    <cfRule type="containsText" dxfId="725" priority="437" operator="containsText" text="T">
      <formula>NOT(ISERROR(SEARCH("T",J107)))</formula>
    </cfRule>
  </conditionalFormatting>
  <conditionalFormatting sqref="J106:T106">
    <cfRule type="containsText" dxfId="724" priority="429" operator="containsText" text="17">
      <formula>NOT(ISERROR(SEARCH("17",J106)))</formula>
    </cfRule>
    <cfRule type="containsText" dxfId="723" priority="430" operator="containsText" text="T">
      <formula>NOT(ISERROR(SEARCH("T",J106)))</formula>
    </cfRule>
  </conditionalFormatting>
  <conditionalFormatting sqref="J107:AD112 J106:R106">
    <cfRule type="containsText" dxfId="722" priority="436" operator="containsText" text="17">
      <formula>NOT(ISERROR(SEARCH("17",J106)))</formula>
    </cfRule>
  </conditionalFormatting>
  <conditionalFormatting sqref="L70:L75">
    <cfRule type="containsText" dxfId="721" priority="424" operator="containsText" text="T">
      <formula>NOT(ISERROR(SEARCH("T",L70)))</formula>
    </cfRule>
  </conditionalFormatting>
  <conditionalFormatting sqref="L69:V69">
    <cfRule type="containsText" dxfId="720" priority="416" operator="containsText" text="17">
      <formula>NOT(ISERROR(SEARCH("17",L69)))</formula>
    </cfRule>
    <cfRule type="containsText" dxfId="719" priority="417" operator="containsText" text="T">
      <formula>NOT(ISERROR(SEARCH("T",L69)))</formula>
    </cfRule>
  </conditionalFormatting>
  <conditionalFormatting sqref="L70:AF75 L69:T69">
    <cfRule type="containsText" dxfId="718" priority="423" operator="containsText" text="17">
      <formula>NOT(ISERROR(SEARCH("17",L69)))</formula>
    </cfRule>
  </conditionalFormatting>
  <conditionalFormatting sqref="M100:M105">
    <cfRule type="containsText" dxfId="717" priority="411" operator="containsText" text="T">
      <formula>NOT(ISERROR(SEARCH("T",M100)))</formula>
    </cfRule>
  </conditionalFormatting>
  <conditionalFormatting sqref="M99:W99">
    <cfRule type="containsText" dxfId="716" priority="403" operator="containsText" text="17">
      <formula>NOT(ISERROR(SEARCH("17",M99)))</formula>
    </cfRule>
    <cfRule type="containsText" dxfId="715" priority="404" operator="containsText" text="T">
      <formula>NOT(ISERROR(SEARCH("T",M99)))</formula>
    </cfRule>
  </conditionalFormatting>
  <conditionalFormatting sqref="M100:AG105 M99:U99">
    <cfRule type="containsText" dxfId="714" priority="410" operator="containsText" text="17">
      <formula>NOT(ISERROR(SEARCH("17",M99)))</formula>
    </cfRule>
  </conditionalFormatting>
  <conditionalFormatting sqref="N67:X68">
    <cfRule type="containsText" dxfId="713" priority="393" operator="containsText" text="17">
      <formula>NOT(ISERROR(SEARCH("17",N67)))</formula>
    </cfRule>
  </conditionalFormatting>
  <conditionalFormatting sqref="N97:X98">
    <cfRule type="containsText" dxfId="712" priority="383" operator="containsText" text="17">
      <formula>NOT(ISERROR(SEARCH("17",N97)))</formula>
    </cfRule>
  </conditionalFormatting>
  <conditionalFormatting sqref="N127:X130">
    <cfRule type="containsText" dxfId="711" priority="363" operator="containsText" text="17">
      <formula>NOT(ISERROR(SEARCH("17",N127)))</formula>
    </cfRule>
  </conditionalFormatting>
  <conditionalFormatting sqref="O132:O137">
    <cfRule type="containsText" dxfId="710" priority="358" operator="containsText" text="T">
      <formula>NOT(ISERROR(SEARCH("T",O132)))</formula>
    </cfRule>
  </conditionalFormatting>
  <conditionalFormatting sqref="O131:Y131">
    <cfRule type="containsText" dxfId="709" priority="350" operator="containsText" text="17">
      <formula>NOT(ISERROR(SEARCH("17",O131)))</formula>
    </cfRule>
    <cfRule type="containsText" dxfId="708" priority="351" operator="containsText" text="T">
      <formula>NOT(ISERROR(SEARCH("T",O131)))</formula>
    </cfRule>
  </conditionalFormatting>
  <conditionalFormatting sqref="O132:AI137 O131:W131">
    <cfRule type="containsText" dxfId="707" priority="357" operator="containsText" text="17">
      <formula>NOT(ISERROR(SEARCH("17",O131)))</formula>
    </cfRule>
  </conditionalFormatting>
  <conditionalFormatting sqref="P139:P144">
    <cfRule type="containsText" dxfId="706" priority="345" operator="containsText" text="T">
      <formula>NOT(ISERROR(SEARCH("T",P139)))</formula>
    </cfRule>
  </conditionalFormatting>
  <conditionalFormatting sqref="P138:Z138">
    <cfRule type="containsText" dxfId="705" priority="337" operator="containsText" text="17">
      <formula>NOT(ISERROR(SEARCH("17",P138)))</formula>
    </cfRule>
    <cfRule type="containsText" dxfId="704" priority="338" operator="containsText" text="T">
      <formula>NOT(ISERROR(SEARCH("T",P138)))</formula>
    </cfRule>
  </conditionalFormatting>
  <conditionalFormatting sqref="P139:AJ144 P138:X138">
    <cfRule type="containsText" dxfId="703" priority="344" operator="containsText" text="17">
      <formula>NOT(ISERROR(SEARCH("17",P138)))</formula>
    </cfRule>
  </conditionalFormatting>
  <conditionalFormatting sqref="Q146:Q151">
    <cfRule type="containsText" dxfId="702" priority="332" operator="containsText" text="T">
      <formula>NOT(ISERROR(SEARCH("T",Q146)))</formula>
    </cfRule>
  </conditionalFormatting>
  <conditionalFormatting sqref="Q145:AA145">
    <cfRule type="containsText" dxfId="701" priority="324" operator="containsText" text="17">
      <formula>NOT(ISERROR(SEARCH("17",Q145)))</formula>
    </cfRule>
    <cfRule type="containsText" dxfId="700" priority="325" operator="containsText" text="T">
      <formula>NOT(ISERROR(SEARCH("T",Q145)))</formula>
    </cfRule>
  </conditionalFormatting>
  <conditionalFormatting sqref="Q146:AK151 Q145:Y145">
    <cfRule type="containsText" dxfId="699" priority="331" operator="containsText" text="17">
      <formula>NOT(ISERROR(SEARCH("17",Q145)))</formula>
    </cfRule>
  </conditionalFormatting>
  <conditionalFormatting sqref="R153:R158">
    <cfRule type="containsText" dxfId="698" priority="319" operator="containsText" text="T">
      <formula>NOT(ISERROR(SEARCH("T",R153)))</formula>
    </cfRule>
  </conditionalFormatting>
  <conditionalFormatting sqref="R152:AB152">
    <cfRule type="containsText" dxfId="697" priority="311" operator="containsText" text="17">
      <formula>NOT(ISERROR(SEARCH("17",R152)))</formula>
    </cfRule>
    <cfRule type="containsText" dxfId="696" priority="312" operator="containsText" text="T">
      <formula>NOT(ISERROR(SEARCH("T",R152)))</formula>
    </cfRule>
  </conditionalFormatting>
  <conditionalFormatting sqref="R153:AL158 R152:Z152">
    <cfRule type="containsText" dxfId="695" priority="318" operator="containsText" text="17">
      <formula>NOT(ISERROR(SEARCH("17",R152)))</formula>
    </cfRule>
  </conditionalFormatting>
  <conditionalFormatting sqref="S160:S165">
    <cfRule type="containsText" dxfId="694" priority="306" operator="containsText" text="T">
      <formula>NOT(ISERROR(SEARCH("T",S160)))</formula>
    </cfRule>
  </conditionalFormatting>
  <conditionalFormatting sqref="S113:Y113">
    <cfRule type="containsText" dxfId="693" priority="464" operator="containsText" text="17">
      <formula>NOT(ISERROR(SEARCH("17",S113)))</formula>
    </cfRule>
    <cfRule type="containsText" dxfId="692" priority="465" operator="containsText" text="T">
      <formula>NOT(ISERROR(SEARCH("T",S113)))</formula>
    </cfRule>
  </conditionalFormatting>
  <conditionalFormatting sqref="S159:AC159">
    <cfRule type="containsText" dxfId="691" priority="298" operator="containsText" text="17">
      <formula>NOT(ISERROR(SEARCH("17",S159)))</formula>
    </cfRule>
    <cfRule type="containsText" dxfId="690" priority="299" operator="containsText" text="T">
      <formula>NOT(ISERROR(SEARCH("T",S159)))</formula>
    </cfRule>
  </conditionalFormatting>
  <conditionalFormatting sqref="S160:AM165 S159:AA159">
    <cfRule type="containsText" dxfId="689" priority="305" operator="containsText" text="17">
      <formula>NOT(ISERROR(SEARCH("17",S159)))</formula>
    </cfRule>
  </conditionalFormatting>
  <conditionalFormatting sqref="T113">
    <cfRule type="containsText" dxfId="688" priority="460" operator="containsText" text="17">
      <formula>NOT(ISERROR(SEARCH("17",T113)))</formula>
    </cfRule>
    <cfRule type="containsText" dxfId="687" priority="461" operator="containsText" text="T">
      <formula>NOT(ISERROR(SEARCH("T",T113)))</formula>
    </cfRule>
  </conditionalFormatting>
  <conditionalFormatting sqref="T208:T213">
    <cfRule type="containsText" dxfId="686" priority="293" operator="containsText" text="T">
      <formula>NOT(ISERROR(SEARCH("T",T208)))</formula>
    </cfRule>
  </conditionalFormatting>
  <conditionalFormatting sqref="T76:Z76">
    <cfRule type="containsText" dxfId="685" priority="451" operator="containsText" text="17">
      <formula>NOT(ISERROR(SEARCH("17",T76)))</formula>
    </cfRule>
    <cfRule type="containsText" dxfId="684" priority="452" operator="containsText" text="T">
      <formula>NOT(ISERROR(SEARCH("T",T76)))</formula>
    </cfRule>
  </conditionalFormatting>
  <conditionalFormatting sqref="T207:AD207">
    <cfRule type="containsText" dxfId="683" priority="285" operator="containsText" text="17">
      <formula>NOT(ISERROR(SEARCH("17",T207)))</formula>
    </cfRule>
    <cfRule type="containsText" dxfId="682" priority="286" operator="containsText" text="T">
      <formula>NOT(ISERROR(SEARCH("T",T207)))</formula>
    </cfRule>
  </conditionalFormatting>
  <conditionalFormatting sqref="T208:AN213 T207:AB207">
    <cfRule type="containsText" dxfId="681" priority="292" operator="containsText" text="17">
      <formula>NOT(ISERROR(SEARCH("17",T207)))</formula>
    </cfRule>
  </conditionalFormatting>
  <conditionalFormatting sqref="U76">
    <cfRule type="containsText" dxfId="680" priority="447" operator="containsText" text="17">
      <formula>NOT(ISERROR(SEARCH("17",U76)))</formula>
    </cfRule>
    <cfRule type="containsText" dxfId="679" priority="448" operator="containsText" text="T">
      <formula>NOT(ISERROR(SEARCH("T",U76)))</formula>
    </cfRule>
  </conditionalFormatting>
  <conditionalFormatting sqref="U201:U206">
    <cfRule type="containsText" dxfId="678" priority="280" operator="containsText" text="T">
      <formula>NOT(ISERROR(SEARCH("T",U201)))</formula>
    </cfRule>
  </conditionalFormatting>
  <conditionalFormatting sqref="U106:AA106">
    <cfRule type="containsText" dxfId="677" priority="438" operator="containsText" text="17">
      <formula>NOT(ISERROR(SEARCH("17",U106)))</formula>
    </cfRule>
    <cfRule type="containsText" dxfId="676" priority="439" operator="containsText" text="T">
      <formula>NOT(ISERROR(SEARCH("T",U106)))</formula>
    </cfRule>
  </conditionalFormatting>
  <conditionalFormatting sqref="U200:AE200">
    <cfRule type="containsText" dxfId="675" priority="272" operator="containsText" text="17">
      <formula>NOT(ISERROR(SEARCH("17",U200)))</formula>
    </cfRule>
    <cfRule type="containsText" dxfId="674" priority="273" operator="containsText" text="T">
      <formula>NOT(ISERROR(SEARCH("T",U200)))</formula>
    </cfRule>
  </conditionalFormatting>
  <conditionalFormatting sqref="U201:AO206 U200:AC200">
    <cfRule type="containsText" dxfId="673" priority="279" operator="containsText" text="17">
      <formula>NOT(ISERROR(SEARCH("17",U200)))</formula>
    </cfRule>
  </conditionalFormatting>
  <conditionalFormatting sqref="V106">
    <cfRule type="containsText" dxfId="672" priority="434" operator="containsText" text="17">
      <formula>NOT(ISERROR(SEARCH("17",V106)))</formula>
    </cfRule>
    <cfRule type="containsText" dxfId="671" priority="435" operator="containsText" text="T">
      <formula>NOT(ISERROR(SEARCH("T",V106)))</formula>
    </cfRule>
  </conditionalFormatting>
  <conditionalFormatting sqref="V194:V199">
    <cfRule type="containsText" dxfId="670" priority="267" operator="containsText" text="T">
      <formula>NOT(ISERROR(SEARCH("T",V194)))</formula>
    </cfRule>
  </conditionalFormatting>
  <conditionalFormatting sqref="V192:AF193">
    <cfRule type="containsText" dxfId="669" priority="254" operator="containsText" text="17">
      <formula>NOT(ISERROR(SEARCH("17",V192)))</formula>
    </cfRule>
    <cfRule type="containsText" dxfId="668" priority="255" operator="containsText" text="T">
      <formula>NOT(ISERROR(SEARCH("T",V192)))</formula>
    </cfRule>
  </conditionalFormatting>
  <conditionalFormatting sqref="W169:W174">
    <cfRule type="containsText" dxfId="667" priority="249" operator="containsText" text="T">
      <formula>NOT(ISERROR(SEARCH("T",W169)))</formula>
    </cfRule>
  </conditionalFormatting>
  <conditionalFormatting sqref="W69:AC69">
    <cfRule type="containsText" dxfId="666" priority="425" operator="containsText" text="17">
      <formula>NOT(ISERROR(SEARCH("17",W69)))</formula>
    </cfRule>
    <cfRule type="containsText" dxfId="665" priority="426" operator="containsText" text="T">
      <formula>NOT(ISERROR(SEARCH("T",W69)))</formula>
    </cfRule>
  </conditionalFormatting>
  <conditionalFormatting sqref="W168:AG168">
    <cfRule type="containsText" dxfId="664" priority="241" operator="containsText" text="17">
      <formula>NOT(ISERROR(SEARCH("17",W168)))</formula>
    </cfRule>
    <cfRule type="containsText" dxfId="663" priority="242" operator="containsText" text="T">
      <formula>NOT(ISERROR(SEARCH("T",W168)))</formula>
    </cfRule>
  </conditionalFormatting>
  <conditionalFormatting sqref="W169:AQ174 W168:AE168">
    <cfRule type="containsText" dxfId="662" priority="248" operator="containsText" text="17">
      <formula>NOT(ISERROR(SEARCH("17",W168)))</formula>
    </cfRule>
  </conditionalFormatting>
  <conditionalFormatting sqref="X69">
    <cfRule type="containsText" dxfId="661" priority="421" operator="containsText" text="17">
      <formula>NOT(ISERROR(SEARCH("17",X69)))</formula>
    </cfRule>
    <cfRule type="containsText" dxfId="660" priority="422" operator="containsText" text="T">
      <formula>NOT(ISERROR(SEARCH("T",X69)))</formula>
    </cfRule>
  </conditionalFormatting>
  <conditionalFormatting sqref="X176:X181">
    <cfRule type="containsText" dxfId="659" priority="236" operator="containsText" text="T">
      <formula>NOT(ISERROR(SEARCH("T",X176)))</formula>
    </cfRule>
  </conditionalFormatting>
  <conditionalFormatting sqref="X99:AD99">
    <cfRule type="containsText" dxfId="658" priority="412" operator="containsText" text="17">
      <formula>NOT(ISERROR(SEARCH("17",X99)))</formula>
    </cfRule>
    <cfRule type="containsText" dxfId="657" priority="413" operator="containsText" text="T">
      <formula>NOT(ISERROR(SEARCH("T",X99)))</formula>
    </cfRule>
  </conditionalFormatting>
  <conditionalFormatting sqref="X175:AH175">
    <cfRule type="containsText" dxfId="656" priority="228" operator="containsText" text="17">
      <formula>NOT(ISERROR(SEARCH("17",X175)))</formula>
    </cfRule>
    <cfRule type="containsText" dxfId="655" priority="229" operator="containsText" text="T">
      <formula>NOT(ISERROR(SEARCH("T",X175)))</formula>
    </cfRule>
  </conditionalFormatting>
  <conditionalFormatting sqref="X176:AR181 X175:AF175">
    <cfRule type="containsText" dxfId="654" priority="235" operator="containsText" text="17">
      <formula>NOT(ISERROR(SEARCH("17",X175)))</formula>
    </cfRule>
  </conditionalFormatting>
  <conditionalFormatting sqref="Y99">
    <cfRule type="containsText" dxfId="653" priority="408" operator="containsText" text="17">
      <formula>NOT(ISERROR(SEARCH("17",Y99)))</formula>
    </cfRule>
    <cfRule type="containsText" dxfId="652" priority="409" operator="containsText" text="T">
      <formula>NOT(ISERROR(SEARCH("T",Y99)))</formula>
    </cfRule>
  </conditionalFormatting>
  <conditionalFormatting sqref="Y113 AC113:AE113 H114:AB119 AE114:AE119">
    <cfRule type="containsText" dxfId="651" priority="457" operator="containsText" text="T">
      <formula>NOT(ISERROR(SEARCH("T",H113)))</formula>
    </cfRule>
  </conditionalFormatting>
  <conditionalFormatting sqref="Y183:Y190">
    <cfRule type="containsText" dxfId="650" priority="223" operator="containsText" text="T">
      <formula>NOT(ISERROR(SEARCH("T",Y183)))</formula>
    </cfRule>
  </conditionalFormatting>
  <conditionalFormatting sqref="Y113:Z113 AC113:AE113 AE114:AE119">
    <cfRule type="containsText" dxfId="649" priority="458" operator="containsText" text="17">
      <formula>NOT(ISERROR(SEARCH("17",Y113)))</formula>
    </cfRule>
  </conditionalFormatting>
  <conditionalFormatting sqref="Y67:AE68">
    <cfRule type="containsText" dxfId="648" priority="401" operator="containsText" text="17">
      <formula>NOT(ISERROR(SEARCH("17",Y67)))</formula>
    </cfRule>
    <cfRule type="containsText" dxfId="647" priority="402" operator="containsText" text="T">
      <formula>NOT(ISERROR(SEARCH("T",Y67)))</formula>
    </cfRule>
  </conditionalFormatting>
  <conditionalFormatting sqref="Y97:AE98">
    <cfRule type="containsText" dxfId="646" priority="391" operator="containsText" text="17">
      <formula>NOT(ISERROR(SEARCH("17",Y97)))</formula>
    </cfRule>
    <cfRule type="containsText" dxfId="645" priority="392" operator="containsText" text="T">
      <formula>NOT(ISERROR(SEARCH("T",Y97)))</formula>
    </cfRule>
  </conditionalFormatting>
  <conditionalFormatting sqref="Y127:AE130">
    <cfRule type="containsText" dxfId="644" priority="371" operator="containsText" text="17">
      <formula>NOT(ISERROR(SEARCH("17",Y127)))</formula>
    </cfRule>
    <cfRule type="containsText" dxfId="643" priority="372" operator="containsText" text="T">
      <formula>NOT(ISERROR(SEARCH("T",Y127)))</formula>
    </cfRule>
  </conditionalFormatting>
  <conditionalFormatting sqref="Y182:AI182">
    <cfRule type="containsText" dxfId="642" priority="215" operator="containsText" text="17">
      <formula>NOT(ISERROR(SEARCH("17",Y182)))</formula>
    </cfRule>
    <cfRule type="containsText" dxfId="641" priority="216" operator="containsText" text="T">
      <formula>NOT(ISERROR(SEARCH("T",Y182)))</formula>
    </cfRule>
  </conditionalFormatting>
  <conditionalFormatting sqref="Y183:AS190 Y182:AG182">
    <cfRule type="containsText" dxfId="640" priority="222" operator="containsText" text="17">
      <formula>NOT(ISERROR(SEARCH("17",Y182)))</formula>
    </cfRule>
  </conditionalFormatting>
  <conditionalFormatting sqref="Z67:Z68">
    <cfRule type="containsText" dxfId="639" priority="398" operator="containsText" text="17">
      <formula>NOT(ISERROR(SEARCH("17",Z67)))</formula>
    </cfRule>
    <cfRule type="containsText" dxfId="638" priority="399" operator="containsText" text="T">
      <formula>NOT(ISERROR(SEARCH("T",Z67)))</formula>
    </cfRule>
  </conditionalFormatting>
  <conditionalFormatting sqref="Z76 AD76:AF76 I77:AC82 AF77:AF82">
    <cfRule type="containsText" dxfId="637" priority="444" operator="containsText" text="T">
      <formula>NOT(ISERROR(SEARCH("T",I76)))</formula>
    </cfRule>
  </conditionalFormatting>
  <conditionalFormatting sqref="Z91:Z96">
    <cfRule type="containsText" dxfId="636" priority="210" operator="containsText" text="T">
      <formula>NOT(ISERROR(SEARCH("T",Z91)))</formula>
    </cfRule>
  </conditionalFormatting>
  <conditionalFormatting sqref="Z97:Z98">
    <cfRule type="containsText" dxfId="635" priority="388" operator="containsText" text="17">
      <formula>NOT(ISERROR(SEARCH("17",Z97)))</formula>
    </cfRule>
    <cfRule type="containsText" dxfId="634" priority="389" operator="containsText" text="T">
      <formula>NOT(ISERROR(SEARCH("T",Z97)))</formula>
    </cfRule>
  </conditionalFormatting>
  <conditionalFormatting sqref="Z113">
    <cfRule type="containsText" dxfId="633" priority="459" operator="containsText" text="T">
      <formula>NOT(ISERROR(SEARCH("T",Z113)))</formula>
    </cfRule>
  </conditionalFormatting>
  <conditionalFormatting sqref="Z127:Z130">
    <cfRule type="containsText" dxfId="632" priority="368" operator="containsText" text="17">
      <formula>NOT(ISERROR(SEARCH("17",Z127)))</formula>
    </cfRule>
    <cfRule type="containsText" dxfId="631" priority="369" operator="containsText" text="T">
      <formula>NOT(ISERROR(SEARCH("T",Z127)))</formula>
    </cfRule>
  </conditionalFormatting>
  <conditionalFormatting sqref="Z76:AA76 AD76:AF76 AF77:AF82">
    <cfRule type="containsText" dxfId="630" priority="445" operator="containsText" text="17">
      <formula>NOT(ISERROR(SEARCH("17",Z76)))</formula>
    </cfRule>
  </conditionalFormatting>
  <conditionalFormatting sqref="Z131:AF131">
    <cfRule type="containsText" dxfId="629" priority="359" operator="containsText" text="17">
      <formula>NOT(ISERROR(SEARCH("17",Z131)))</formula>
    </cfRule>
    <cfRule type="containsText" dxfId="628" priority="360" operator="containsText" text="T">
      <formula>NOT(ISERROR(SEARCH("T",Z131)))</formula>
    </cfRule>
  </conditionalFormatting>
  <conditionalFormatting sqref="Z90:AJ90">
    <cfRule type="containsText" dxfId="627" priority="202" operator="containsText" text="17">
      <formula>NOT(ISERROR(SEARCH("17",Z90)))</formula>
    </cfRule>
    <cfRule type="containsText" dxfId="626" priority="203" operator="containsText" text="T">
      <formula>NOT(ISERROR(SEARCH("T",Z90)))</formula>
    </cfRule>
  </conditionalFormatting>
  <conditionalFormatting sqref="Z91:AT96 Z90:AH90">
    <cfRule type="containsText" dxfId="625" priority="209" operator="containsText" text="17">
      <formula>NOT(ISERROR(SEARCH("17",Z90)))</formula>
    </cfRule>
  </conditionalFormatting>
  <conditionalFormatting sqref="AA15:AA20">
    <cfRule type="containsText" dxfId="624" priority="197" operator="containsText" text="T">
      <formula>NOT(ISERROR(SEARCH("T",AA15)))</formula>
    </cfRule>
  </conditionalFormatting>
  <conditionalFormatting sqref="AA76">
    <cfRule type="containsText" dxfId="623" priority="446" operator="containsText" text="T">
      <formula>NOT(ISERROR(SEARCH("T",AA76)))</formula>
    </cfRule>
  </conditionalFormatting>
  <conditionalFormatting sqref="AA106 AE106:AG106 J107:AD112 AG107:AG112">
    <cfRule type="containsText" dxfId="622" priority="431" operator="containsText" text="T">
      <formula>NOT(ISERROR(SEARCH("T",J106)))</formula>
    </cfRule>
  </conditionalFormatting>
  <conditionalFormatting sqref="AA131">
    <cfRule type="containsText" dxfId="621" priority="355" operator="containsText" text="17">
      <formula>NOT(ISERROR(SEARCH("17",AA131)))</formula>
    </cfRule>
    <cfRule type="containsText" dxfId="620" priority="356" operator="containsText" text="T">
      <formula>NOT(ISERROR(SEARCH("T",AA131)))</formula>
    </cfRule>
  </conditionalFormatting>
  <conditionalFormatting sqref="AA106:AB106 AE106:AG106 AG107:AG112">
    <cfRule type="containsText" dxfId="619" priority="432" operator="containsText" text="17">
      <formula>NOT(ISERROR(SEARCH("17",AA106)))</formula>
    </cfRule>
  </conditionalFormatting>
  <conditionalFormatting sqref="AA138:AG138">
    <cfRule type="containsText" dxfId="618" priority="346" operator="containsText" text="17">
      <formula>NOT(ISERROR(SEARCH("17",AA138)))</formula>
    </cfRule>
    <cfRule type="containsText" dxfId="617" priority="347" operator="containsText" text="T">
      <formula>NOT(ISERROR(SEARCH("T",AA138)))</formula>
    </cfRule>
  </conditionalFormatting>
  <conditionalFormatting sqref="AA14:AK14">
    <cfRule type="containsText" dxfId="616" priority="189" operator="containsText" text="17">
      <formula>NOT(ISERROR(SEARCH("17",AA14)))</formula>
    </cfRule>
    <cfRule type="containsText" dxfId="615" priority="190" operator="containsText" text="T">
      <formula>NOT(ISERROR(SEARCH("T",AA14)))</formula>
    </cfRule>
  </conditionalFormatting>
  <conditionalFormatting sqref="AA15:AU20 AA14:AI14">
    <cfRule type="containsText" dxfId="614" priority="196" operator="containsText" text="17">
      <formula>NOT(ISERROR(SEARCH("17",AA14)))</formula>
    </cfRule>
  </conditionalFormatting>
  <conditionalFormatting sqref="AB35:AB40">
    <cfRule type="containsText" dxfId="613" priority="184" operator="containsText" text="T">
      <formula>NOT(ISERROR(SEARCH("T",AB35)))</formula>
    </cfRule>
  </conditionalFormatting>
  <conditionalFormatting sqref="AB106">
    <cfRule type="containsText" dxfId="612" priority="433" operator="containsText" text="T">
      <formula>NOT(ISERROR(SEARCH("T",AB106)))</formula>
    </cfRule>
  </conditionalFormatting>
  <conditionalFormatting sqref="AB138">
    <cfRule type="containsText" dxfId="611" priority="342" operator="containsText" text="17">
      <formula>NOT(ISERROR(SEARCH("17",AB138)))</formula>
    </cfRule>
    <cfRule type="containsText" dxfId="610" priority="343" operator="containsText" text="T">
      <formula>NOT(ISERROR(SEARCH("T",AB138)))</formula>
    </cfRule>
  </conditionalFormatting>
  <conditionalFormatting sqref="AB145:AH145">
    <cfRule type="containsText" dxfId="609" priority="333" operator="containsText" text="17">
      <formula>NOT(ISERROR(SEARCH("17",AB145)))</formula>
    </cfRule>
    <cfRule type="containsText" dxfId="608" priority="334" operator="containsText" text="T">
      <formula>NOT(ISERROR(SEARCH("T",AB145)))</formula>
    </cfRule>
  </conditionalFormatting>
  <conditionalFormatting sqref="AB34:AL34">
    <cfRule type="containsText" dxfId="607" priority="176" operator="containsText" text="17">
      <formula>NOT(ISERROR(SEARCH("17",AB34)))</formula>
    </cfRule>
    <cfRule type="containsText" dxfId="606" priority="177" operator="containsText" text="T">
      <formula>NOT(ISERROR(SEARCH("T",AB34)))</formula>
    </cfRule>
  </conditionalFormatting>
  <conditionalFormatting sqref="AB35:AV40 AB34:AJ34">
    <cfRule type="containsText" dxfId="605" priority="183" operator="containsText" text="17">
      <formula>NOT(ISERROR(SEARCH("17",AB34)))</formula>
    </cfRule>
  </conditionalFormatting>
  <conditionalFormatting sqref="AC22:AC27">
    <cfRule type="containsText" dxfId="604" priority="171" operator="containsText" text="T">
      <formula>NOT(ISERROR(SEARCH("T",AC22)))</formula>
    </cfRule>
  </conditionalFormatting>
  <conditionalFormatting sqref="AC69 AG69:AI69 L70:AF75 AI70:AI75">
    <cfRule type="containsText" dxfId="603" priority="418" operator="containsText" text="T">
      <formula>NOT(ISERROR(SEARCH("T",L69)))</formula>
    </cfRule>
  </conditionalFormatting>
  <conditionalFormatting sqref="AC145">
    <cfRule type="containsText" dxfId="602" priority="329" operator="containsText" text="17">
      <formula>NOT(ISERROR(SEARCH("17",AC145)))</formula>
    </cfRule>
    <cfRule type="containsText" dxfId="601" priority="330" operator="containsText" text="T">
      <formula>NOT(ISERROR(SEARCH("T",AC145)))</formula>
    </cfRule>
  </conditionalFormatting>
  <conditionalFormatting sqref="AC69:AD69 AG69:AI69 AI70:AI75">
    <cfRule type="containsText" dxfId="600" priority="419" operator="containsText" text="17">
      <formula>NOT(ISERROR(SEARCH("17",AC69)))</formula>
    </cfRule>
  </conditionalFormatting>
  <conditionalFormatting sqref="AC152:AI152">
    <cfRule type="containsText" dxfId="599" priority="320" operator="containsText" text="17">
      <formula>NOT(ISERROR(SEARCH("17",AC152)))</formula>
    </cfRule>
    <cfRule type="containsText" dxfId="598" priority="321" operator="containsText" text="T">
      <formula>NOT(ISERROR(SEARCH("T",AC152)))</formula>
    </cfRule>
  </conditionalFormatting>
  <conditionalFormatting sqref="AC21:AM21">
    <cfRule type="containsText" dxfId="597" priority="163" operator="containsText" text="17">
      <formula>NOT(ISERROR(SEARCH("17",AC21)))</formula>
    </cfRule>
    <cfRule type="containsText" dxfId="596" priority="164" operator="containsText" text="T">
      <formula>NOT(ISERROR(SEARCH("T",AC21)))</formula>
    </cfRule>
  </conditionalFormatting>
  <conditionalFormatting sqref="AC22:AW27 AC21:AK21">
    <cfRule type="containsText" dxfId="595" priority="170" operator="containsText" text="17">
      <formula>NOT(ISERROR(SEARCH("17",AC21)))</formula>
    </cfRule>
  </conditionalFormatting>
  <conditionalFormatting sqref="AD42:AD47">
    <cfRule type="containsText" dxfId="594" priority="158" operator="containsText" text="T">
      <formula>NOT(ISERROR(SEARCH("T",AD42)))</formula>
    </cfRule>
  </conditionalFormatting>
  <conditionalFormatting sqref="AD69">
    <cfRule type="containsText" dxfId="593" priority="420" operator="containsText" text="T">
      <formula>NOT(ISERROR(SEARCH("T",AD69)))</formula>
    </cfRule>
  </conditionalFormatting>
  <conditionalFormatting sqref="AD99 AH99:AJ99 M100:AG105 AJ100:AJ105">
    <cfRule type="containsText" dxfId="592" priority="405" operator="containsText" text="T">
      <formula>NOT(ISERROR(SEARCH("T",M99)))</formula>
    </cfRule>
  </conditionalFormatting>
  <conditionalFormatting sqref="AD152">
    <cfRule type="containsText" dxfId="591" priority="316" operator="containsText" text="17">
      <formula>NOT(ISERROR(SEARCH("17",AD152)))</formula>
    </cfRule>
    <cfRule type="containsText" dxfId="590" priority="317" operator="containsText" text="T">
      <formula>NOT(ISERROR(SEARCH("T",AD152)))</formula>
    </cfRule>
  </conditionalFormatting>
  <conditionalFormatting sqref="AD99:AE99 AH99:AJ99 AJ100:AJ105">
    <cfRule type="containsText" dxfId="589" priority="406" operator="containsText" text="17">
      <formula>NOT(ISERROR(SEARCH("17",AD99)))</formula>
    </cfRule>
  </conditionalFormatting>
  <conditionalFormatting sqref="AD159:AJ159">
    <cfRule type="containsText" dxfId="588" priority="307" operator="containsText" text="17">
      <formula>NOT(ISERROR(SEARCH("17",AD159)))</formula>
    </cfRule>
    <cfRule type="containsText" dxfId="587" priority="308" operator="containsText" text="T">
      <formula>NOT(ISERROR(SEARCH("T",AD159)))</formula>
    </cfRule>
  </conditionalFormatting>
  <conditionalFormatting sqref="AD41:AN41">
    <cfRule type="containsText" dxfId="586" priority="150" operator="containsText" text="17">
      <formula>NOT(ISERROR(SEARCH("17",AD41)))</formula>
    </cfRule>
    <cfRule type="containsText" dxfId="585" priority="151" operator="containsText" text="T">
      <formula>NOT(ISERROR(SEARCH("T",AD41)))</formula>
    </cfRule>
  </conditionalFormatting>
  <conditionalFormatting sqref="AD42:AX47 AD41:AL41">
    <cfRule type="containsText" dxfId="584" priority="157" operator="containsText" text="17">
      <formula>NOT(ISERROR(SEARCH("17",AD41)))</formula>
    </cfRule>
  </conditionalFormatting>
  <conditionalFormatting sqref="AE67:AE68 AI67:AK68">
    <cfRule type="containsText" dxfId="583" priority="395" operator="containsText" text="T">
      <formula>NOT(ISERROR(SEARCH("T",AE67)))</formula>
    </cfRule>
  </conditionalFormatting>
  <conditionalFormatting sqref="AE97:AE98 AI97:CN98">
    <cfRule type="containsText" dxfId="582" priority="385" operator="containsText" text="T">
      <formula>NOT(ISERROR(SEARCH("T",AE97)))</formula>
    </cfRule>
  </conditionalFormatting>
  <conditionalFormatting sqref="AE99">
    <cfRule type="containsText" dxfId="581" priority="407" operator="containsText" text="T">
      <formula>NOT(ISERROR(SEARCH("T",AE99)))</formula>
    </cfRule>
  </conditionalFormatting>
  <conditionalFormatting sqref="AE114:AE119">
    <cfRule type="containsText" dxfId="580" priority="467" operator="containsText" text="T">
      <formula>NOT(ISERROR(SEARCH("T",AE114)))</formula>
    </cfRule>
  </conditionalFormatting>
  <conditionalFormatting sqref="AE127:AE130 AI127:AK130">
    <cfRule type="containsText" dxfId="579" priority="365" operator="containsText" text="T">
      <formula>NOT(ISERROR(SEARCH("T",AE127)))</formula>
    </cfRule>
  </conditionalFormatting>
  <conditionalFormatting sqref="AE159">
    <cfRule type="containsText" dxfId="578" priority="303" operator="containsText" text="17">
      <formula>NOT(ISERROR(SEARCH("17",AE159)))</formula>
    </cfRule>
    <cfRule type="containsText" dxfId="577" priority="304" operator="containsText" text="T">
      <formula>NOT(ISERROR(SEARCH("T",AE159)))</formula>
    </cfRule>
  </conditionalFormatting>
  <conditionalFormatting sqref="AE67:AF68 AI67:AK68">
    <cfRule type="containsText" dxfId="576" priority="396" operator="containsText" text="17">
      <formula>NOT(ISERROR(SEARCH("17",AE67)))</formula>
    </cfRule>
  </conditionalFormatting>
  <conditionalFormatting sqref="AE97:AF98 AI97:CN98">
    <cfRule type="containsText" dxfId="575" priority="386" operator="containsText" text="17">
      <formula>NOT(ISERROR(SEARCH("17",AE97)))</formula>
    </cfRule>
  </conditionalFormatting>
  <conditionalFormatting sqref="AE127:AF130 AI127:AK130">
    <cfRule type="containsText" dxfId="574" priority="366" operator="containsText" text="17">
      <formula>NOT(ISERROR(SEARCH("17",AE127)))</formula>
    </cfRule>
  </conditionalFormatting>
  <conditionalFormatting sqref="AE207:AK207">
    <cfRule type="containsText" dxfId="573" priority="294" operator="containsText" text="17">
      <formula>NOT(ISERROR(SEARCH("17",AE207)))</formula>
    </cfRule>
    <cfRule type="containsText" dxfId="572" priority="295" operator="containsText" text="T">
      <formula>NOT(ISERROR(SEARCH("T",AE207)))</formula>
    </cfRule>
  </conditionalFormatting>
  <conditionalFormatting sqref="AE28:AM32">
    <cfRule type="containsText" dxfId="571" priority="147" operator="containsText" text="17">
      <formula>NOT(ISERROR(SEARCH("17",AE28)))</formula>
    </cfRule>
  </conditionalFormatting>
  <conditionalFormatting sqref="AE28:AO32">
    <cfRule type="containsText" dxfId="570" priority="140" operator="containsText" text="17">
      <formula>NOT(ISERROR(SEARCH("17",AE28)))</formula>
    </cfRule>
    <cfRule type="containsText" dxfId="569" priority="141" operator="containsText" text="T">
      <formula>NOT(ISERROR(SEARCH("T",AE28)))</formula>
    </cfRule>
  </conditionalFormatting>
  <conditionalFormatting sqref="AE48:AO49">
    <cfRule type="containsText" dxfId="568" priority="130" operator="containsText" text="17">
      <formula>NOT(ISERROR(SEARCH("17",AE48)))</formula>
    </cfRule>
  </conditionalFormatting>
  <conditionalFormatting sqref="AF67:AF68">
    <cfRule type="containsText" dxfId="567" priority="397" operator="containsText" text="T">
      <formula>NOT(ISERROR(SEARCH("T",AF67)))</formula>
    </cfRule>
  </conditionalFormatting>
  <conditionalFormatting sqref="AF77:AF82">
    <cfRule type="containsText" dxfId="566" priority="454" operator="containsText" text="T">
      <formula>NOT(ISERROR(SEARCH("T",AF77)))</formula>
    </cfRule>
  </conditionalFormatting>
  <conditionalFormatting sqref="AF97:AF98">
    <cfRule type="containsText" dxfId="565" priority="387" operator="containsText" text="T">
      <formula>NOT(ISERROR(SEARCH("T",AF97)))</formula>
    </cfRule>
  </conditionalFormatting>
  <conditionalFormatting sqref="AF127:AF130">
    <cfRule type="containsText" dxfId="564" priority="367" operator="containsText" text="T">
      <formula>NOT(ISERROR(SEARCH("T",AF127)))</formula>
    </cfRule>
  </conditionalFormatting>
  <conditionalFormatting sqref="AF131 AJ131:AL131 O132:AI137 AL132:AL137">
    <cfRule type="containsText" dxfId="563" priority="352" operator="containsText" text="T">
      <formula>NOT(ISERROR(SEARCH("T",O131)))</formula>
    </cfRule>
  </conditionalFormatting>
  <conditionalFormatting sqref="AF207">
    <cfRule type="containsText" dxfId="562" priority="290" operator="containsText" text="17">
      <formula>NOT(ISERROR(SEARCH("17",AF207)))</formula>
    </cfRule>
    <cfRule type="containsText" dxfId="561" priority="291" operator="containsText" text="T">
      <formula>NOT(ISERROR(SEARCH("T",AF207)))</formula>
    </cfRule>
  </conditionalFormatting>
  <conditionalFormatting sqref="AF131:AG131 AJ131:AL131 AL132:AL137">
    <cfRule type="containsText" dxfId="560" priority="353" operator="containsText" text="17">
      <formula>NOT(ISERROR(SEARCH("17",AF131)))</formula>
    </cfRule>
  </conditionalFormatting>
  <conditionalFormatting sqref="AF200:AL200">
    <cfRule type="containsText" dxfId="559" priority="281" operator="containsText" text="17">
      <formula>NOT(ISERROR(SEARCH("17",AF200)))</formula>
    </cfRule>
    <cfRule type="containsText" dxfId="558" priority="282" operator="containsText" text="T">
      <formula>NOT(ISERROR(SEARCH("T",AF200)))</formula>
    </cfRule>
  </conditionalFormatting>
  <conditionalFormatting sqref="AF50:AN53">
    <cfRule type="containsText" dxfId="557" priority="127" operator="containsText" text="17">
      <formula>NOT(ISERROR(SEARCH("17",AF50)))</formula>
    </cfRule>
  </conditionalFormatting>
  <conditionalFormatting sqref="AF50:AP53">
    <cfRule type="containsText" dxfId="556" priority="120" operator="containsText" text="17">
      <formula>NOT(ISERROR(SEARCH("17",AF50)))</formula>
    </cfRule>
  </conditionalFormatting>
  <conditionalFormatting sqref="AF63:AP66">
    <cfRule type="containsText" dxfId="555" priority="110" operator="containsText" text="17">
      <formula>NOT(ISERROR(SEARCH("17",AF63)))</formula>
    </cfRule>
  </conditionalFormatting>
  <conditionalFormatting sqref="AG107:AG112">
    <cfRule type="containsText" dxfId="554" priority="441" operator="containsText" text="T">
      <formula>NOT(ISERROR(SEARCH("T",AG107)))</formula>
    </cfRule>
  </conditionalFormatting>
  <conditionalFormatting sqref="AG131">
    <cfRule type="containsText" dxfId="553" priority="354" operator="containsText" text="T">
      <formula>NOT(ISERROR(SEARCH("T",AG131)))</formula>
    </cfRule>
  </conditionalFormatting>
  <conditionalFormatting sqref="AG138 AK138:AM138 P139:AJ144 AM139:AM144">
    <cfRule type="containsText" dxfId="552" priority="339" operator="containsText" text="T">
      <formula>NOT(ISERROR(SEARCH("T",P138)))</formula>
    </cfRule>
  </conditionalFormatting>
  <conditionalFormatting sqref="AG200">
    <cfRule type="containsText" dxfId="551" priority="277" operator="containsText" text="17">
      <formula>NOT(ISERROR(SEARCH("17",AG200)))</formula>
    </cfRule>
    <cfRule type="containsText" dxfId="550" priority="278" operator="containsText" text="T">
      <formula>NOT(ISERROR(SEARCH("T",AG200)))</formula>
    </cfRule>
  </conditionalFormatting>
  <conditionalFormatting sqref="AG138:AH138 AK138:AM138 AM139:AM144">
    <cfRule type="containsText" dxfId="549" priority="340" operator="containsText" text="17">
      <formula>NOT(ISERROR(SEARCH("17",AG138)))</formula>
    </cfRule>
  </conditionalFormatting>
  <conditionalFormatting sqref="AG192:AM192">
    <cfRule type="containsText" dxfId="548" priority="258" operator="containsText" text="T">
      <formula>NOT(ISERROR(SEARCH("T",AG192)))</formula>
    </cfRule>
  </conditionalFormatting>
  <conditionalFormatting sqref="AG193:AM193">
    <cfRule type="containsText" dxfId="547" priority="268" operator="containsText" text="17">
      <formula>NOT(ISERROR(SEARCH("17",AG193)))</formula>
    </cfRule>
    <cfRule type="containsText" dxfId="546" priority="269" operator="containsText" text="T">
      <formula>NOT(ISERROR(SEARCH("T",AG193)))</formula>
    </cfRule>
  </conditionalFormatting>
  <conditionalFormatting sqref="AG192:AN192 AQ192:AS192">
    <cfRule type="containsText" dxfId="545" priority="256" operator="containsText" text="17">
      <formula>NOT(ISERROR(SEARCH("17",AG192)))</formula>
    </cfRule>
  </conditionalFormatting>
  <conditionalFormatting sqref="AG59:AQ62">
    <cfRule type="containsText" dxfId="544" priority="96" operator="containsText" text="17">
      <formula>NOT(ISERROR(SEARCH("17",AG59)))</formula>
    </cfRule>
  </conditionalFormatting>
  <conditionalFormatting sqref="AG86:AQ89">
    <cfRule type="containsText" dxfId="543" priority="86" operator="containsText" text="17">
      <formula>NOT(ISERROR(SEARCH("17",AG86)))</formula>
    </cfRule>
  </conditionalFormatting>
  <conditionalFormatting sqref="AH138">
    <cfRule type="containsText" dxfId="542" priority="341" operator="containsText" text="T">
      <formula>NOT(ISERROR(SEARCH("T",AH138)))</formula>
    </cfRule>
  </conditionalFormatting>
  <conditionalFormatting sqref="AH145 AL145:AN145 Q146:AK151 AN146:AN151">
    <cfRule type="containsText" dxfId="541" priority="326" operator="containsText" text="T">
      <formula>NOT(ISERROR(SEARCH("T",Q145)))</formula>
    </cfRule>
  </conditionalFormatting>
  <conditionalFormatting sqref="AH192:AH193">
    <cfRule type="containsText" dxfId="540" priority="264" operator="containsText" text="17">
      <formula>NOT(ISERROR(SEARCH("17",AH192)))</formula>
    </cfRule>
    <cfRule type="containsText" dxfId="539" priority="265" operator="containsText" text="T">
      <formula>NOT(ISERROR(SEARCH("T",AH192)))</formula>
    </cfRule>
  </conditionalFormatting>
  <conditionalFormatting sqref="AH145:AI145 AL145:AN145 AN146:AN151">
    <cfRule type="containsText" dxfId="538" priority="327" operator="containsText" text="17">
      <formula>NOT(ISERROR(SEARCH("17",AH145)))</formula>
    </cfRule>
  </conditionalFormatting>
  <conditionalFormatting sqref="AH168:AN168">
    <cfRule type="containsText" dxfId="537" priority="250" operator="containsText" text="17">
      <formula>NOT(ISERROR(SEARCH("17",AH168)))</formula>
    </cfRule>
    <cfRule type="containsText" dxfId="536" priority="251" operator="containsText" text="T">
      <formula>NOT(ISERROR(SEARCH("T",AH168)))</formula>
    </cfRule>
  </conditionalFormatting>
  <conditionalFormatting sqref="AH83:AR85">
    <cfRule type="containsText" dxfId="535" priority="76" operator="containsText" text="17">
      <formula>NOT(ISERROR(SEARCH("17",AH83)))</formula>
    </cfRule>
  </conditionalFormatting>
  <conditionalFormatting sqref="AH214:AR217">
    <cfRule type="containsText" dxfId="534" priority="66" operator="containsText" text="17">
      <formula>NOT(ISERROR(SEARCH("17",AH214)))</formula>
    </cfRule>
  </conditionalFormatting>
  <conditionalFormatting sqref="AI70:AI75">
    <cfRule type="containsText" dxfId="533" priority="428" operator="containsText" text="T">
      <formula>NOT(ISERROR(SEARCH("T",AI70)))</formula>
    </cfRule>
  </conditionalFormatting>
  <conditionalFormatting sqref="AI129:AI130 N127:V130">
    <cfRule type="containsText" dxfId="532" priority="370" operator="containsText" text="17">
      <formula>NOT(ISERROR(SEARCH("17",N127)))</formula>
    </cfRule>
  </conditionalFormatting>
  <conditionalFormatting sqref="AI145">
    <cfRule type="containsText" dxfId="531" priority="328" operator="containsText" text="T">
      <formula>NOT(ISERROR(SEARCH("T",AI145)))</formula>
    </cfRule>
  </conditionalFormatting>
  <conditionalFormatting sqref="AI152 AM152:AO152 R153:AL158 AO153:AO158">
    <cfRule type="containsText" dxfId="530" priority="313" operator="containsText" text="T">
      <formula>NOT(ISERROR(SEARCH("T",R152)))</formula>
    </cfRule>
  </conditionalFormatting>
  <conditionalFormatting sqref="AI168">
    <cfRule type="containsText" dxfId="529" priority="246" operator="containsText" text="17">
      <formula>NOT(ISERROR(SEARCH("17",AI168)))</formula>
    </cfRule>
    <cfRule type="containsText" dxfId="528" priority="247" operator="containsText" text="T">
      <formula>NOT(ISERROR(SEARCH("T",AI168)))</formula>
    </cfRule>
  </conditionalFormatting>
  <conditionalFormatting sqref="AI152:AJ152 AM152:AO152 AO153:AO158">
    <cfRule type="containsText" dxfId="527" priority="314" operator="containsText" text="17">
      <formula>NOT(ISERROR(SEARCH("17",AI152)))</formula>
    </cfRule>
  </conditionalFormatting>
  <conditionalFormatting sqref="AI175:AO175">
    <cfRule type="containsText" dxfId="526" priority="237" operator="containsText" text="17">
      <formula>NOT(ISERROR(SEARCH("17",AI175)))</formula>
    </cfRule>
    <cfRule type="containsText" dxfId="525" priority="238" operator="containsText" text="T">
      <formula>NOT(ISERROR(SEARCH("T",AI175)))</formula>
    </cfRule>
  </conditionalFormatting>
  <conditionalFormatting sqref="AJ100:AJ105">
    <cfRule type="containsText" dxfId="524" priority="415" operator="containsText" text="T">
      <formula>NOT(ISERROR(SEARCH("T",AJ100)))</formula>
    </cfRule>
  </conditionalFormatting>
  <conditionalFormatting sqref="AJ152">
    <cfRule type="containsText" dxfId="523" priority="315" operator="containsText" text="T">
      <formula>NOT(ISERROR(SEARCH("T",AJ152)))</formula>
    </cfRule>
  </conditionalFormatting>
  <conditionalFormatting sqref="AJ159 AN159:AP159 S160:AM165 AP160:AP165">
    <cfRule type="containsText" dxfId="522" priority="300" operator="containsText" text="T">
      <formula>NOT(ISERROR(SEARCH("T",S159)))</formula>
    </cfRule>
  </conditionalFormatting>
  <conditionalFormatting sqref="AJ175">
    <cfRule type="containsText" dxfId="521" priority="233" operator="containsText" text="17">
      <formula>NOT(ISERROR(SEARCH("17",AJ175)))</formula>
    </cfRule>
    <cfRule type="containsText" dxfId="520" priority="234" operator="containsText" text="T">
      <formula>NOT(ISERROR(SEARCH("T",AJ175)))</formula>
    </cfRule>
  </conditionalFormatting>
  <conditionalFormatting sqref="AJ159:AK159 AN159:AP159 AP160:AP165">
    <cfRule type="containsText" dxfId="519" priority="301" operator="containsText" text="17">
      <formula>NOT(ISERROR(SEARCH("17",AJ159)))</formula>
    </cfRule>
  </conditionalFormatting>
  <conditionalFormatting sqref="AJ182:AP182">
    <cfRule type="containsText" dxfId="518" priority="224" operator="containsText" text="17">
      <formula>NOT(ISERROR(SEARCH("17",AJ182)))</formula>
    </cfRule>
    <cfRule type="containsText" dxfId="517" priority="225" operator="containsText" text="T">
      <formula>NOT(ISERROR(SEARCH("T",AJ182)))</formula>
    </cfRule>
  </conditionalFormatting>
  <conditionalFormatting sqref="AK159">
    <cfRule type="containsText" dxfId="516" priority="302" operator="containsText" text="T">
      <formula>NOT(ISERROR(SEARCH("T",AK159)))</formula>
    </cfRule>
  </conditionalFormatting>
  <conditionalFormatting sqref="AK182">
    <cfRule type="containsText" dxfId="515" priority="220" operator="containsText" text="17">
      <formula>NOT(ISERROR(SEARCH("17",AK182)))</formula>
    </cfRule>
    <cfRule type="containsText" dxfId="514" priority="221" operator="containsText" text="T">
      <formula>NOT(ISERROR(SEARCH("T",AK182)))</formula>
    </cfRule>
  </conditionalFormatting>
  <conditionalFormatting sqref="AK207 AO207:AQ207 T208:AN213 AQ208:AQ213">
    <cfRule type="containsText" dxfId="513" priority="287" operator="containsText" text="T">
      <formula>NOT(ISERROR(SEARCH("T",T207)))</formula>
    </cfRule>
  </conditionalFormatting>
  <conditionalFormatting sqref="AK207:AL207 AO207:AQ207 AQ208:AQ213">
    <cfRule type="containsText" dxfId="512" priority="288" operator="containsText" text="17">
      <formula>NOT(ISERROR(SEARCH("17",AK207)))</formula>
    </cfRule>
  </conditionalFormatting>
  <conditionalFormatting sqref="AK90:AQ90">
    <cfRule type="containsText" dxfId="511" priority="211" operator="containsText" text="17">
      <formula>NOT(ISERROR(SEARCH("17",AK90)))</formula>
    </cfRule>
    <cfRule type="containsText" dxfId="510" priority="212" operator="containsText" text="T">
      <formula>NOT(ISERROR(SEARCH("T",AK90)))</formula>
    </cfRule>
  </conditionalFormatting>
  <conditionalFormatting sqref="AL90">
    <cfRule type="containsText" dxfId="509" priority="207" operator="containsText" text="17">
      <formula>NOT(ISERROR(SEARCH("17",AL90)))</formula>
    </cfRule>
    <cfRule type="containsText" dxfId="508" priority="208" operator="containsText" text="T">
      <formula>NOT(ISERROR(SEARCH("T",AL90)))</formula>
    </cfRule>
  </conditionalFormatting>
  <conditionalFormatting sqref="AL132:AL137">
    <cfRule type="containsText" dxfId="507" priority="362" operator="containsText" text="T">
      <formula>NOT(ISERROR(SEARCH("T",AL132)))</formula>
    </cfRule>
  </conditionalFormatting>
  <conditionalFormatting sqref="AL200 AP200:AR200 U201:AO206 AR201:AR206">
    <cfRule type="containsText" dxfId="506" priority="274" operator="containsText" text="T">
      <formula>NOT(ISERROR(SEARCH("T",U200)))</formula>
    </cfRule>
  </conditionalFormatting>
  <conditionalFormatting sqref="AL207">
    <cfRule type="containsText" dxfId="505" priority="289" operator="containsText" text="T">
      <formula>NOT(ISERROR(SEARCH("T",AL207)))</formula>
    </cfRule>
  </conditionalFormatting>
  <conditionalFormatting sqref="AL200:AM200 AP200:AR200 AR201:AR206">
    <cfRule type="containsText" dxfId="504" priority="275" operator="containsText" text="17">
      <formula>NOT(ISERROR(SEARCH("17",AL200)))</formula>
    </cfRule>
  </conditionalFormatting>
  <conditionalFormatting sqref="AL14:AR14">
    <cfRule type="containsText" dxfId="503" priority="198" operator="containsText" text="17">
      <formula>NOT(ISERROR(SEARCH("17",AL14)))</formula>
    </cfRule>
    <cfRule type="containsText" dxfId="502" priority="199" operator="containsText" text="T">
      <formula>NOT(ISERROR(SEARCH("T",AL14)))</formula>
    </cfRule>
  </conditionalFormatting>
  <conditionalFormatting sqref="AM14">
    <cfRule type="containsText" dxfId="501" priority="194" operator="containsText" text="17">
      <formula>NOT(ISERROR(SEARCH("17",AM14)))</formula>
    </cfRule>
    <cfRule type="containsText" dxfId="500" priority="195" operator="containsText" text="T">
      <formula>NOT(ISERROR(SEARCH("T",AM14)))</formula>
    </cfRule>
  </conditionalFormatting>
  <conditionalFormatting sqref="AM139:AM144">
    <cfRule type="containsText" dxfId="499" priority="349" operator="containsText" text="T">
      <formula>NOT(ISERROR(SEARCH("T",AM139)))</formula>
    </cfRule>
  </conditionalFormatting>
  <conditionalFormatting sqref="AM192:AM193 AQ192:AS193 V194:AP199 AS194:AS199">
    <cfRule type="containsText" dxfId="498" priority="261" operator="containsText" text="T">
      <formula>NOT(ISERROR(SEARCH("T",V192)))</formula>
    </cfRule>
  </conditionalFormatting>
  <conditionalFormatting sqref="AM200">
    <cfRule type="containsText" dxfId="497" priority="276" operator="containsText" text="T">
      <formula>NOT(ISERROR(SEARCH("T",AM200)))</formula>
    </cfRule>
  </conditionalFormatting>
  <conditionalFormatting sqref="AM193:AN193 AQ193:AS193 AS194:AS199">
    <cfRule type="containsText" dxfId="496" priority="262" operator="containsText" text="17">
      <formula>NOT(ISERROR(SEARCH("17",AM193)))</formula>
    </cfRule>
  </conditionalFormatting>
  <conditionalFormatting sqref="AM34:AS34">
    <cfRule type="containsText" dxfId="495" priority="185" operator="containsText" text="17">
      <formula>NOT(ISERROR(SEARCH("17",AM34)))</formula>
    </cfRule>
    <cfRule type="containsText" dxfId="494" priority="186" operator="containsText" text="T">
      <formula>NOT(ISERROR(SEARCH("T",AM34)))</formula>
    </cfRule>
  </conditionalFormatting>
  <conditionalFormatting sqref="AN34">
    <cfRule type="containsText" dxfId="493" priority="181" operator="containsText" text="17">
      <formula>NOT(ISERROR(SEARCH("17",AN34)))</formula>
    </cfRule>
    <cfRule type="containsText" dxfId="492" priority="182" operator="containsText" text="T">
      <formula>NOT(ISERROR(SEARCH("T",AN34)))</formula>
    </cfRule>
  </conditionalFormatting>
  <conditionalFormatting sqref="AN146:AN151">
    <cfRule type="containsText" dxfId="491" priority="336" operator="containsText" text="T">
      <formula>NOT(ISERROR(SEARCH("T",AN146)))</formula>
    </cfRule>
  </conditionalFormatting>
  <conditionalFormatting sqref="AN168 AR168:AT168 W169:AQ174 AT169:AT174">
    <cfRule type="containsText" dxfId="490" priority="243" operator="containsText" text="T">
      <formula>NOT(ISERROR(SEARCH("T",W168)))</formula>
    </cfRule>
  </conditionalFormatting>
  <conditionalFormatting sqref="AN192:AN193">
    <cfRule type="containsText" dxfId="489" priority="263" operator="containsText" text="T">
      <formula>NOT(ISERROR(SEARCH("T",AN192)))</formula>
    </cfRule>
  </conditionalFormatting>
  <conditionalFormatting sqref="AN168:AO168 AR168:AT168 AT169:AT174">
    <cfRule type="containsText" dxfId="488" priority="244" operator="containsText" text="17">
      <formula>NOT(ISERROR(SEARCH("17",AN168)))</formula>
    </cfRule>
  </conditionalFormatting>
  <conditionalFormatting sqref="AN21:AT21">
    <cfRule type="containsText" dxfId="487" priority="172" operator="containsText" text="17">
      <formula>NOT(ISERROR(SEARCH("17",AN21)))</formula>
    </cfRule>
    <cfRule type="containsText" dxfId="486" priority="173" operator="containsText" text="T">
      <formula>NOT(ISERROR(SEARCH("T",AN21)))</formula>
    </cfRule>
  </conditionalFormatting>
  <conditionalFormatting sqref="AO21">
    <cfRule type="containsText" dxfId="485" priority="168" operator="containsText" text="17">
      <formula>NOT(ISERROR(SEARCH("17",AO21)))</formula>
    </cfRule>
    <cfRule type="containsText" dxfId="484" priority="169" operator="containsText" text="T">
      <formula>NOT(ISERROR(SEARCH("T",AO21)))</formula>
    </cfRule>
  </conditionalFormatting>
  <conditionalFormatting sqref="AO153:AO158">
    <cfRule type="containsText" dxfId="483" priority="323" operator="containsText" text="T">
      <formula>NOT(ISERROR(SEARCH("T",AO153)))</formula>
    </cfRule>
  </conditionalFormatting>
  <conditionalFormatting sqref="AO168">
    <cfRule type="containsText" dxfId="482" priority="245" operator="containsText" text="T">
      <formula>NOT(ISERROR(SEARCH("T",AO168)))</formula>
    </cfRule>
  </conditionalFormatting>
  <conditionalFormatting sqref="AO175 AS175:AU175 X176:AR181 AU176:AU181">
    <cfRule type="containsText" dxfId="481" priority="230" operator="containsText" text="T">
      <formula>NOT(ISERROR(SEARCH("T",X175)))</formula>
    </cfRule>
  </conditionalFormatting>
  <conditionalFormatting sqref="AO175:AP175 AS175:AU175 AU176:AU181">
    <cfRule type="containsText" dxfId="480" priority="231" operator="containsText" text="17">
      <formula>NOT(ISERROR(SEARCH("17",AO175)))</formula>
    </cfRule>
  </conditionalFormatting>
  <conditionalFormatting sqref="AO41:AU41">
    <cfRule type="containsText" dxfId="479" priority="159" operator="containsText" text="17">
      <formula>NOT(ISERROR(SEARCH("17",AO41)))</formula>
    </cfRule>
    <cfRule type="containsText" dxfId="478" priority="160" operator="containsText" text="T">
      <formula>NOT(ISERROR(SEARCH("T",AO41)))</formula>
    </cfRule>
  </conditionalFormatting>
  <conditionalFormatting sqref="AP41">
    <cfRule type="containsText" dxfId="477" priority="155" operator="containsText" text="17">
      <formula>NOT(ISERROR(SEARCH("17",AP41)))</formula>
    </cfRule>
    <cfRule type="containsText" dxfId="476" priority="156" operator="containsText" text="T">
      <formula>NOT(ISERROR(SEARCH("T",AP41)))</formula>
    </cfRule>
  </conditionalFormatting>
  <conditionalFormatting sqref="AP160:AP165">
    <cfRule type="containsText" dxfId="475" priority="310" operator="containsText" text="T">
      <formula>NOT(ISERROR(SEARCH("T",AP160)))</formula>
    </cfRule>
  </conditionalFormatting>
  <conditionalFormatting sqref="AP175">
    <cfRule type="containsText" dxfId="474" priority="232" operator="containsText" text="T">
      <formula>NOT(ISERROR(SEARCH("T",AP175)))</formula>
    </cfRule>
  </conditionalFormatting>
  <conditionalFormatting sqref="AP182 AT182:AV182 Y183:AS190 AV183:AV190">
    <cfRule type="containsText" dxfId="473" priority="217" operator="containsText" text="T">
      <formula>NOT(ISERROR(SEARCH("T",Y182)))</formula>
    </cfRule>
  </conditionalFormatting>
  <conditionalFormatting sqref="AP182:AQ182 AT182:AV182 AV183:AV190">
    <cfRule type="containsText" dxfId="472" priority="218" operator="containsText" text="17">
      <formula>NOT(ISERROR(SEARCH("17",AP182)))</formula>
    </cfRule>
  </conditionalFormatting>
  <conditionalFormatting sqref="AP28:AV32">
    <cfRule type="containsText" dxfId="471" priority="148" operator="containsText" text="17">
      <formula>NOT(ISERROR(SEARCH("17",AP28)))</formula>
    </cfRule>
    <cfRule type="containsText" dxfId="470" priority="149" operator="containsText" text="T">
      <formula>NOT(ISERROR(SEARCH("T",AP28)))</formula>
    </cfRule>
  </conditionalFormatting>
  <conditionalFormatting sqref="AP48:AV49">
    <cfRule type="containsText" dxfId="469" priority="138" operator="containsText" text="17">
      <formula>NOT(ISERROR(SEARCH("17",AP48)))</formula>
    </cfRule>
    <cfRule type="containsText" dxfId="468" priority="139" operator="containsText" text="T">
      <formula>NOT(ISERROR(SEARCH("T",AP48)))</formula>
    </cfRule>
  </conditionalFormatting>
  <conditionalFormatting sqref="AQ28:AQ32">
    <cfRule type="containsText" dxfId="467" priority="145" operator="containsText" text="17">
      <formula>NOT(ISERROR(SEARCH("17",AQ28)))</formula>
    </cfRule>
    <cfRule type="containsText" dxfId="466" priority="146" operator="containsText" text="T">
      <formula>NOT(ISERROR(SEARCH("T",AQ28)))</formula>
    </cfRule>
  </conditionalFormatting>
  <conditionalFormatting sqref="AQ48:AQ49">
    <cfRule type="containsText" dxfId="465" priority="135" operator="containsText" text="17">
      <formula>NOT(ISERROR(SEARCH("17",AQ48)))</formula>
    </cfRule>
    <cfRule type="containsText" dxfId="464" priority="136" operator="containsText" text="T">
      <formula>NOT(ISERROR(SEARCH("T",AQ48)))</formula>
    </cfRule>
  </conditionalFormatting>
  <conditionalFormatting sqref="AQ90 AU90:AW90 Z91:AT96 AW91:AW96">
    <cfRule type="containsText" dxfId="463" priority="204" operator="containsText" text="T">
      <formula>NOT(ISERROR(SEARCH("T",Z90)))</formula>
    </cfRule>
  </conditionalFormatting>
  <conditionalFormatting sqref="AQ182">
    <cfRule type="containsText" dxfId="462" priority="219" operator="containsText" text="T">
      <formula>NOT(ISERROR(SEARCH("T",AQ182)))</formula>
    </cfRule>
  </conditionalFormatting>
  <conditionalFormatting sqref="AQ192:AQ193 V194:AP199 V192:AD193">
    <cfRule type="containsText" dxfId="461" priority="266" operator="containsText" text="17">
      <formula>NOT(ISERROR(SEARCH("17",V192)))</formula>
    </cfRule>
  </conditionalFormatting>
  <conditionalFormatting sqref="AQ208:AQ213">
    <cfRule type="containsText" dxfId="460" priority="297" operator="containsText" text="T">
      <formula>NOT(ISERROR(SEARCH("T",AQ208)))</formula>
    </cfRule>
  </conditionalFormatting>
  <conditionalFormatting sqref="AQ90:AR90 AU90:AW90 AW91:AW96">
    <cfRule type="containsText" dxfId="459" priority="205" operator="containsText" text="17">
      <formula>NOT(ISERROR(SEARCH("17",AQ90)))</formula>
    </cfRule>
  </conditionalFormatting>
  <conditionalFormatting sqref="AQ50:AW53">
    <cfRule type="containsText" dxfId="458" priority="128" operator="containsText" text="17">
      <formula>NOT(ISERROR(SEARCH("17",AQ50)))</formula>
    </cfRule>
    <cfRule type="containsText" dxfId="457" priority="129" operator="containsText" text="T">
      <formula>NOT(ISERROR(SEARCH("T",AQ50)))</formula>
    </cfRule>
  </conditionalFormatting>
  <conditionalFormatting sqref="AQ63:AW66">
    <cfRule type="containsText" dxfId="456" priority="118" operator="containsText" text="17">
      <formula>NOT(ISERROR(SEARCH("17",AQ63)))</formula>
    </cfRule>
    <cfRule type="containsText" dxfId="455" priority="119" operator="containsText" text="T">
      <formula>NOT(ISERROR(SEARCH("T",AQ63)))</formula>
    </cfRule>
  </conditionalFormatting>
  <conditionalFormatting sqref="AR14 AV14:AX14 AA15:AU20 AX15:AX20">
    <cfRule type="containsText" dxfId="454" priority="191" operator="containsText" text="T">
      <formula>NOT(ISERROR(SEARCH("T",AA14)))</formula>
    </cfRule>
  </conditionalFormatting>
  <conditionalFormatting sqref="AR50:AR53">
    <cfRule type="containsText" dxfId="453" priority="125" operator="containsText" text="17">
      <formula>NOT(ISERROR(SEARCH("17",AR50)))</formula>
    </cfRule>
    <cfRule type="containsText" dxfId="452" priority="126" operator="containsText" text="T">
      <formula>NOT(ISERROR(SEARCH("T",AR50)))</formula>
    </cfRule>
  </conditionalFormatting>
  <conditionalFormatting sqref="AR63:AR66">
    <cfRule type="containsText" dxfId="451" priority="115" operator="containsText" text="17">
      <formula>NOT(ISERROR(SEARCH("17",AR63)))</formula>
    </cfRule>
    <cfRule type="containsText" dxfId="450" priority="116" operator="containsText" text="T">
      <formula>NOT(ISERROR(SEARCH("T",AR63)))</formula>
    </cfRule>
  </conditionalFormatting>
  <conditionalFormatting sqref="AR90">
    <cfRule type="containsText" dxfId="449" priority="206" operator="containsText" text="T">
      <formula>NOT(ISERROR(SEARCH("T",AR90)))</formula>
    </cfRule>
  </conditionalFormatting>
  <conditionalFormatting sqref="AR201:AR206">
    <cfRule type="containsText" dxfId="448" priority="284" operator="containsText" text="T">
      <formula>NOT(ISERROR(SEARCH("T",AR201)))</formula>
    </cfRule>
  </conditionalFormatting>
  <conditionalFormatting sqref="AR14:AS14 AV14:AX14 AX15:AX20">
    <cfRule type="containsText" dxfId="447" priority="192" operator="containsText" text="17">
      <formula>NOT(ISERROR(SEARCH("17",AR14)))</formula>
    </cfRule>
  </conditionalFormatting>
  <conditionalFormatting sqref="AR59:AX62">
    <cfRule type="containsText" dxfId="446" priority="104" operator="containsText" text="17">
      <formula>NOT(ISERROR(SEARCH("17",AR59)))</formula>
    </cfRule>
    <cfRule type="containsText" dxfId="445" priority="105" operator="containsText" text="T">
      <formula>NOT(ISERROR(SEARCH("T",AR59)))</formula>
    </cfRule>
  </conditionalFormatting>
  <conditionalFormatting sqref="AR86:AX89">
    <cfRule type="containsText" dxfId="444" priority="94" operator="containsText" text="17">
      <formula>NOT(ISERROR(SEARCH("17",AR86)))</formula>
    </cfRule>
    <cfRule type="containsText" dxfId="443" priority="95" operator="containsText" text="T">
      <formula>NOT(ISERROR(SEARCH("T",AR86)))</formula>
    </cfRule>
  </conditionalFormatting>
  <conditionalFormatting sqref="AS14">
    <cfRule type="containsText" dxfId="442" priority="193" operator="containsText" text="T">
      <formula>NOT(ISERROR(SEARCH("T",AS14)))</formula>
    </cfRule>
  </conditionalFormatting>
  <conditionalFormatting sqref="AS34 AW34:AY34 AB35:AV40 AY35:AY40">
    <cfRule type="containsText" dxfId="441" priority="178" operator="containsText" text="T">
      <formula>NOT(ISERROR(SEARCH("T",AB34)))</formula>
    </cfRule>
  </conditionalFormatting>
  <conditionalFormatting sqref="AS59:AS62">
    <cfRule type="containsText" dxfId="440" priority="101" operator="containsText" text="17">
      <formula>NOT(ISERROR(SEARCH("17",AS59)))</formula>
    </cfRule>
    <cfRule type="containsText" dxfId="439" priority="102" operator="containsText" text="T">
      <formula>NOT(ISERROR(SEARCH("T",AS59)))</formula>
    </cfRule>
  </conditionalFormatting>
  <conditionalFormatting sqref="AS86:AS89">
    <cfRule type="containsText" dxfId="438" priority="91" operator="containsText" text="17">
      <formula>NOT(ISERROR(SEARCH("17",AS86)))</formula>
    </cfRule>
    <cfRule type="containsText" dxfId="437" priority="92" operator="containsText" text="T">
      <formula>NOT(ISERROR(SEARCH("T",AS86)))</formula>
    </cfRule>
  </conditionalFormatting>
  <conditionalFormatting sqref="AS194:AS199">
    <cfRule type="containsText" dxfId="436" priority="271" operator="containsText" text="T">
      <formula>NOT(ISERROR(SEARCH("T",AS194)))</formula>
    </cfRule>
  </conditionalFormatting>
  <conditionalFormatting sqref="AS34:AT34 AW34:AY34 AY35:AY40">
    <cfRule type="containsText" dxfId="435" priority="179" operator="containsText" text="17">
      <formula>NOT(ISERROR(SEARCH("17",AS34)))</formula>
    </cfRule>
  </conditionalFormatting>
  <conditionalFormatting sqref="AS83:AY85">
    <cfRule type="containsText" dxfId="434" priority="84" operator="containsText" text="17">
      <formula>NOT(ISERROR(SEARCH("17",AS83)))</formula>
    </cfRule>
    <cfRule type="containsText" dxfId="433" priority="85" operator="containsText" text="T">
      <formula>NOT(ISERROR(SEARCH("T",AS83)))</formula>
    </cfRule>
  </conditionalFormatting>
  <conditionalFormatting sqref="AS214:AY217">
    <cfRule type="containsText" dxfId="432" priority="74" operator="containsText" text="17">
      <formula>NOT(ISERROR(SEARCH("17",AS214)))</formula>
    </cfRule>
    <cfRule type="containsText" dxfId="431" priority="75" operator="containsText" text="T">
      <formula>NOT(ISERROR(SEARCH("T",AS214)))</formula>
    </cfRule>
  </conditionalFormatting>
  <conditionalFormatting sqref="AS200:CN206 AR207:CN213 AW182:CN190 H191:CN191 AY14:CN20 H33:CN33 AZ34:CN40 AJ69:CN75 AP152:CN158 AV175:CN181 H14:Z20 H21:AB27 BA21:CN27 H28:AC32 BC28:CN32 AC28:AD33 H34:AA40 H41:AC47 BB41:CN47 BC48:CN49 H50:AE53 BD50:CN53 AE53:BE53 H54:CN58 BE59:CN62 BD63:CN66 AL67:CN68 H69:K75 H76:H82 AG76:CN78 BF83:CN85 BE86:CN89 H90:Y96 AX90:CN96 H99:L105 AK99:CN105 H106:I112 AH106:CN112 AF117:AK119 H120:J126 H127:M130 AL127:CN130 M130:AM130 H131:N137 AM131:CN137 H138:O144 AN138:CN144 H145:P151 AO145:CN151 H152:Q158 H159:R165 AQ159:CN165 H166:CN167 H168:V174 AU168:CN174 H175:W181 H182:X190 H192:U199 AT192:CN199 H200:T206 H207:S213 BF214:XFD217 BG218:XFD220 H218:AH224 BG218:CN224 H225:AI231 BH225:CN231 H232:AJ234 BI232:CN234 AF113:AJ116 BI113:CN116 BJ117:CN119 AG79:AK82 BJ79:CN82 AI120:CN126">
    <cfRule type="containsText" dxfId="430" priority="8090" operator="containsText" text="17">
      <formula>NOT(ISERROR(SEARCH("17",H14)))</formula>
    </cfRule>
  </conditionalFormatting>
  <conditionalFormatting sqref="AT21 AX21:AZ21 AC22:AW27">
    <cfRule type="containsText" dxfId="429" priority="165" operator="containsText" text="T">
      <formula>NOT(ISERROR(SEARCH("T",AC21)))</formula>
    </cfRule>
  </conditionalFormatting>
  <conditionalFormatting sqref="AT34">
    <cfRule type="containsText" dxfId="428" priority="180" operator="containsText" text="T">
      <formula>NOT(ISERROR(SEARCH("T",AT34)))</formula>
    </cfRule>
  </conditionalFormatting>
  <conditionalFormatting sqref="AT83:AT85">
    <cfRule type="containsText" dxfId="427" priority="81" operator="containsText" text="17">
      <formula>NOT(ISERROR(SEARCH("17",AT83)))</formula>
    </cfRule>
    <cfRule type="containsText" dxfId="426" priority="82" operator="containsText" text="T">
      <formula>NOT(ISERROR(SEARCH("T",AT83)))</formula>
    </cfRule>
  </conditionalFormatting>
  <conditionalFormatting sqref="AT169:AT174">
    <cfRule type="containsText" dxfId="425" priority="253" operator="containsText" text="T">
      <formula>NOT(ISERROR(SEARCH("T",AT169)))</formula>
    </cfRule>
  </conditionalFormatting>
  <conditionalFormatting sqref="AT214:AT217">
    <cfRule type="containsText" dxfId="424" priority="71" operator="containsText" text="17">
      <formula>NOT(ISERROR(SEARCH("17",AT214)))</formula>
    </cfRule>
    <cfRule type="containsText" dxfId="423" priority="72" operator="containsText" text="T">
      <formula>NOT(ISERROR(SEARCH("T",AT214)))</formula>
    </cfRule>
  </conditionalFormatting>
  <conditionalFormatting sqref="AT21:AU21 AX21:AZ21 AZ22:BW27">
    <cfRule type="containsText" dxfId="422" priority="166" operator="containsText" text="17">
      <formula>NOT(ISERROR(SEARCH("17",AT21)))</formula>
    </cfRule>
  </conditionalFormatting>
  <conditionalFormatting sqref="AT192:CN199 BF214:XFD217 BG218:XFD220 AS200:CN206 AR207:CN213 AL127:CN130 AW182:CN190 AH106:CN112 AF117:AK119 H120:J126 AK99:CN105 BE86:CN89 AX90:CN96 AG76:CN78 AJ69:CN75 AO145:CN151 AN138:CN144 AM131:CN137 AP152:CN158 AQ159:CN165 BA21:CN27 BC28:CN32 H33:CN33 AZ34:CN40 BB41:CN47 BC48:CN49 BD50:CN53 AE53:BE53 H54:CN58 BE59:CN62 BD63:CN66 AL67:CN68 BF83:CN85 AU168:CN174 AV175:CN181 M130:AM130 H14:Z20 AY14:CN20 H21:AB27 H28:AC32 AC28:AD33 H34:AA40 H41:AC47 H69:K75 H76:H82 H90:Y96 H99:L105 H106:I112 H131:N137 H138:O144 H145:P151 H152:Q158 H159:R165 H166:CN167 H168:V174 H175:W181 H182:X190 H191:CN191 H192:U199 H200:T206 H207:S213 H218:AH224 BG218:CN224 H225:AI231 BH225:CN231 H232:AJ234 BI232:CN234 AF113:AJ116 BI113:CN116 BJ117:CN119 AG79:AK82 BJ79:CN82 AI120:CN126">
    <cfRule type="containsText" dxfId="421" priority="6860" operator="containsText" text="T">
      <formula>NOT(ISERROR(SEARCH("T",H14)))</formula>
    </cfRule>
  </conditionalFormatting>
  <conditionalFormatting sqref="AU21">
    <cfRule type="containsText" dxfId="420" priority="167" operator="containsText" text="T">
      <formula>NOT(ISERROR(SEARCH("T",AU21)))</formula>
    </cfRule>
  </conditionalFormatting>
  <conditionalFormatting sqref="AU41 AY41:BA41 AD42:AX47 BA42:BA47">
    <cfRule type="containsText" dxfId="419" priority="152" operator="containsText" text="T">
      <formula>NOT(ISERROR(SEARCH("T",AD41)))</formula>
    </cfRule>
  </conditionalFormatting>
  <conditionalFormatting sqref="AU176:AU181">
    <cfRule type="containsText" dxfId="418" priority="240" operator="containsText" text="T">
      <formula>NOT(ISERROR(SEARCH("T",AU176)))</formula>
    </cfRule>
  </conditionalFormatting>
  <conditionalFormatting sqref="AU41:AV41 AY41:BA41 BA42:BA47">
    <cfRule type="containsText" dxfId="417" priority="153" operator="containsText" text="17">
      <formula>NOT(ISERROR(SEARCH("17",AU41)))</formula>
    </cfRule>
  </conditionalFormatting>
  <conditionalFormatting sqref="AV28:AV32 AZ28:BB32">
    <cfRule type="containsText" dxfId="416" priority="142" operator="containsText" text="T">
      <formula>NOT(ISERROR(SEARCH("T",AV28)))</formula>
    </cfRule>
  </conditionalFormatting>
  <conditionalFormatting sqref="AV41">
    <cfRule type="containsText" dxfId="415" priority="154" operator="containsText" text="T">
      <formula>NOT(ISERROR(SEARCH("T",AV41)))</formula>
    </cfRule>
  </conditionalFormatting>
  <conditionalFormatting sqref="AV48:AV49 AZ48:BB49">
    <cfRule type="containsText" dxfId="414" priority="132" operator="containsText" text="T">
      <formula>NOT(ISERROR(SEARCH("T",AV48)))</formula>
    </cfRule>
  </conditionalFormatting>
  <conditionalFormatting sqref="AV109">
    <cfRule type="containsText" dxfId="413" priority="3987" operator="containsText" text="17">
      <formula>NOT(ISERROR(SEARCH("17",AV109)))</formula>
    </cfRule>
    <cfRule type="containsText" dxfId="412" priority="3988" operator="containsText" text="T">
      <formula>NOT(ISERROR(SEARCH("T",AV109)))</formula>
    </cfRule>
  </conditionalFormatting>
  <conditionalFormatting sqref="AV145:AV148">
    <cfRule type="containsText" dxfId="411" priority="1226" operator="containsText" text="17">
      <formula>NOT(ISERROR(SEARCH("17",AV145)))</formula>
    </cfRule>
    <cfRule type="containsText" dxfId="410" priority="1227" operator="containsText" text="T">
      <formula>NOT(ISERROR(SEARCH("T",AV145)))</formula>
    </cfRule>
  </conditionalFormatting>
  <conditionalFormatting sqref="AV170">
    <cfRule type="containsText" dxfId="409" priority="8285" operator="containsText" text="17">
      <formula>NOT(ISERROR(SEARCH("17",AV170)))</formula>
    </cfRule>
    <cfRule type="containsText" dxfId="408" priority="8286" operator="containsText" text="T">
      <formula>NOT(ISERROR(SEARCH("T",AV170)))</formula>
    </cfRule>
  </conditionalFormatting>
  <conditionalFormatting sqref="AV183:AV190">
    <cfRule type="containsText" dxfId="407" priority="227" operator="containsText" text="T">
      <formula>NOT(ISERROR(SEARCH("T",AV183)))</formula>
    </cfRule>
  </conditionalFormatting>
  <conditionalFormatting sqref="AV192">
    <cfRule type="containsText" dxfId="406" priority="1926" operator="containsText" text="17">
      <formula>NOT(ISERROR(SEARCH("17",AV192)))</formula>
    </cfRule>
    <cfRule type="containsText" dxfId="405" priority="1927" operator="containsText" text="T">
      <formula>NOT(ISERROR(SEARCH("T",AV192)))</formula>
    </cfRule>
    <cfRule type="containsText" dxfId="404" priority="5823" operator="containsText" text="17">
      <formula>NOT(ISERROR(SEARCH("17",AV192)))</formula>
    </cfRule>
    <cfRule type="containsText" dxfId="403" priority="5824" operator="containsText" text="T">
      <formula>NOT(ISERROR(SEARCH("T",AV192)))</formula>
    </cfRule>
  </conditionalFormatting>
  <conditionalFormatting sqref="AV196:AV198">
    <cfRule type="containsText" dxfId="402" priority="6851" operator="containsText" text="17">
      <formula>NOT(ISERROR(SEARCH("17",AV196)))</formula>
    </cfRule>
    <cfRule type="containsText" dxfId="401" priority="6852" operator="containsText" text="T">
      <formula>NOT(ISERROR(SEARCH("T",AV196)))</formula>
    </cfRule>
  </conditionalFormatting>
  <conditionalFormatting sqref="AV28:AW32 AZ28:BB32">
    <cfRule type="containsText" dxfId="400" priority="143" operator="containsText" text="17">
      <formula>NOT(ISERROR(SEARCH("17",AV28)))</formula>
    </cfRule>
  </conditionalFormatting>
  <conditionalFormatting sqref="AV48:AW49 AZ48:BB49">
    <cfRule type="containsText" dxfId="399" priority="133" operator="containsText" text="17">
      <formula>NOT(ISERROR(SEARCH("17",AV48)))</formula>
    </cfRule>
  </conditionalFormatting>
  <conditionalFormatting sqref="AV131:AW136 AZ131:AZ136 BB131:BD136 AX135:AY136 BA135:BA136 BE135:BI136 AV137:BJ137 AV138:AX142 BA138:BA142 BC138:BE142 AY142:AZ142 BB142 BF142:BJ142 AV143:BK144 BM143:BN144 BR145:BR148 AV149:BL154 BO152:BP158 AV155:BD155 BF155:BL155 BE155:BE158 AV156:AZ158 BC156:BC158 BF156:BG158 BP159:BP160 AV159:BM162 BN161:BN165 AV163:BA165 BD163:BD165 BF163:BH165">
    <cfRule type="containsText" dxfId="398" priority="8091" operator="containsText" text="T">
      <formula>NOT(ISERROR(SEARCH("T",AV131)))</formula>
    </cfRule>
  </conditionalFormatting>
  <conditionalFormatting sqref="AV72:AX72">
    <cfRule type="containsText" dxfId="397" priority="3169" operator="containsText" text="17">
      <formula>NOT(ISERROR(SEARCH("17",AV72)))</formula>
    </cfRule>
    <cfRule type="containsText" dxfId="396" priority="3170" operator="containsText" text="T">
      <formula>NOT(ISERROR(SEARCH("T",AV72)))</formula>
    </cfRule>
  </conditionalFormatting>
  <conditionalFormatting sqref="AX93:AZ93">
    <cfRule type="containsText" dxfId="395" priority="3613" operator="containsText" text="17">
      <formula>NOT(ISERROR(SEARCH("17",AX93)))</formula>
    </cfRule>
    <cfRule type="containsText" dxfId="394" priority="3614" operator="containsText" text="T">
      <formula>NOT(ISERROR(SEARCH("T",AX93)))</formula>
    </cfRule>
  </conditionalFormatting>
  <conditionalFormatting sqref="AV156:AX158">
    <cfRule type="containsText" dxfId="393" priority="996" operator="containsText" text="17">
      <formula>NOT(ISERROR(SEARCH("17",AV156)))</formula>
    </cfRule>
    <cfRule type="containsText" dxfId="392" priority="997" operator="containsText" text="T">
      <formula>NOT(ISERROR(SEARCH("T",AV156)))</formula>
    </cfRule>
  </conditionalFormatting>
  <conditionalFormatting sqref="AV131:AY134">
    <cfRule type="containsText" dxfId="391" priority="1198" operator="containsText" text="17">
      <formula>NOT(ISERROR(SEARCH("17",AV131)))</formula>
    </cfRule>
    <cfRule type="containsText" dxfId="390" priority="1199" operator="containsText" text="T">
      <formula>NOT(ISERROR(SEARCH("T",AV131)))</formula>
    </cfRule>
  </conditionalFormatting>
  <conditionalFormatting sqref="AV163:AY165">
    <cfRule type="containsText" dxfId="389" priority="986" operator="containsText" text="17">
      <formula>NOT(ISERROR(SEARCH("17",AV163)))</formula>
    </cfRule>
    <cfRule type="containsText" dxfId="388" priority="987" operator="containsText" text="T">
      <formula>NOT(ISERROR(SEARCH("T",AV163)))</formula>
    </cfRule>
  </conditionalFormatting>
  <conditionalFormatting sqref="AV138:AZ141">
    <cfRule type="containsText" dxfId="387" priority="1170" operator="containsText" text="17">
      <formula>NOT(ISERROR(SEARCH("17",AV138)))</formula>
    </cfRule>
    <cfRule type="containsText" dxfId="386" priority="1171" operator="containsText" text="T">
      <formula>NOT(ISERROR(SEARCH("T",AV138)))</formula>
    </cfRule>
  </conditionalFormatting>
  <conditionalFormatting sqref="AV199:AZ199 AV206:AY206 AV213:AX213 BN199:BP199 BM206:BO206 BL213:BN213 BR199 BQ206 BP213 BT199 BS206 BR213">
    <cfRule type="containsText" dxfId="385" priority="4617" operator="containsText" text="17">
      <formula>NOT(ISERROR(SEARCH("17",AV199)))</formula>
    </cfRule>
  </conditionalFormatting>
  <conditionalFormatting sqref="AV199:AZ199 BN199:BP199 BR199 BT199 AV206:AY206 BM206:BO206 BQ206 BS206 AV213:AX213 BL213:BN213 BP213 BR213">
    <cfRule type="containsText" dxfId="384" priority="4618" operator="containsText" text="T">
      <formula>NOT(ISERROR(SEARCH("T",AV199)))</formula>
    </cfRule>
  </conditionalFormatting>
  <conditionalFormatting sqref="AV33:BA33">
    <cfRule type="containsText" dxfId="383" priority="8389" operator="containsText" text="T">
      <formula>NOT(ISERROR(SEARCH("T",AV33)))</formula>
    </cfRule>
  </conditionalFormatting>
  <conditionalFormatting sqref="AV70:BA70">
    <cfRule type="containsText" dxfId="382" priority="7412" operator="containsText" text="T">
      <formula>NOT(ISERROR(SEARCH("T",AV70)))</formula>
    </cfRule>
  </conditionalFormatting>
  <conditionalFormatting sqref="AV145:BA148">
    <cfRule type="containsText" dxfId="381" priority="1224" operator="containsText" text="17">
      <formula>NOT(ISERROR(SEARCH("17",AV145)))</formula>
    </cfRule>
    <cfRule type="containsText" dxfId="380" priority="1225" operator="containsText" text="T">
      <formula>NOT(ISERROR(SEARCH("T",AV145)))</formula>
    </cfRule>
  </conditionalFormatting>
  <conditionalFormatting sqref="AV199:BC199 AV206:BB206 AV213:BA213">
    <cfRule type="containsText" dxfId="379" priority="4625" operator="containsText" text="17">
      <formula>NOT(ISERROR(SEARCH("17",AV199)))</formula>
    </cfRule>
    <cfRule type="containsText" dxfId="378" priority="4626" operator="containsText" text="T">
      <formula>NOT(ISERROR(SEARCH("T",AV199)))</formula>
    </cfRule>
  </conditionalFormatting>
  <conditionalFormatting sqref="AV102:BD102">
    <cfRule type="containsText" dxfId="377" priority="3703" operator="containsText" text="17">
      <formula>NOT(ISERROR(SEARCH("17",AV102)))</formula>
    </cfRule>
    <cfRule type="containsText" dxfId="376" priority="3704" operator="containsText" text="T">
      <formula>NOT(ISERROR(SEARCH("T",AV102)))</formula>
    </cfRule>
  </conditionalFormatting>
  <conditionalFormatting sqref="AV109:BE109 AV123:BB123">
    <cfRule type="containsText" dxfId="375" priority="3965" operator="containsText" text="17">
      <formula>NOT(ISERROR(SEARCH("17",AV109)))</formula>
    </cfRule>
    <cfRule type="containsText" dxfId="374" priority="3966" operator="containsText" text="T">
      <formula>NOT(ISERROR(SEARCH("T",AV109)))</formula>
    </cfRule>
  </conditionalFormatting>
  <conditionalFormatting sqref="AV72:BG72">
    <cfRule type="containsText" dxfId="373" priority="3147" operator="containsText" text="17">
      <formula>NOT(ISERROR(SEARCH("17",AV72)))</formula>
    </cfRule>
    <cfRule type="containsText" dxfId="372" priority="3148" operator="containsText" text="T">
      <formula>NOT(ISERROR(SEARCH("T",AV72)))</formula>
    </cfRule>
  </conditionalFormatting>
  <conditionalFormatting sqref="AV101:BG101">
    <cfRule type="containsText" dxfId="371" priority="8309" operator="containsText" text="17">
      <formula>NOT(ISERROR(SEARCH("17",AV101)))</formula>
    </cfRule>
    <cfRule type="containsText" dxfId="370" priority="8310" operator="containsText" text="T">
      <formula>NOT(ISERROR(SEARCH("T",AV101)))</formula>
    </cfRule>
  </conditionalFormatting>
  <conditionalFormatting sqref="AV131:BI134">
    <cfRule type="containsText" dxfId="369" priority="1178" operator="containsText" text="17">
      <formula>NOT(ISERROR(SEARCH("17",AV131)))</formula>
    </cfRule>
    <cfRule type="containsText" dxfId="368" priority="1179" operator="containsText" text="T">
      <formula>NOT(ISERROR(SEARCH("T",AV131)))</formula>
    </cfRule>
  </conditionalFormatting>
  <conditionalFormatting sqref="AV71:BJ71">
    <cfRule type="containsText" dxfId="367" priority="8325" operator="containsText" text="17">
      <formula>NOT(ISERROR(SEARCH("17",AV71)))</formula>
    </cfRule>
    <cfRule type="containsText" dxfId="366" priority="8326" operator="containsText" text="T">
      <formula>NOT(ISERROR(SEARCH("T",AV71)))</formula>
    </cfRule>
  </conditionalFormatting>
  <conditionalFormatting sqref="AV138:BJ141">
    <cfRule type="containsText" dxfId="365" priority="1152" operator="containsText" text="17">
      <formula>NOT(ISERROR(SEARCH("17",AV138)))</formula>
    </cfRule>
    <cfRule type="containsText" dxfId="364" priority="1153" operator="containsText" text="T">
      <formula>NOT(ISERROR(SEARCH("T",AV138)))</formula>
    </cfRule>
  </conditionalFormatting>
  <conditionalFormatting sqref="BI232:BT234 BH228:BT231">
    <cfRule type="containsText" dxfId="363" priority="5243" operator="containsText" text="17">
      <formula>NOT(ISERROR(SEARCH("17",BH228)))</formula>
    </cfRule>
    <cfRule type="containsText" dxfId="362" priority="5244" operator="containsText" text="T">
      <formula>NOT(ISERROR(SEARCH("T",BH228)))</formula>
    </cfRule>
    <cfRule type="containsText" dxfId="361" priority="5247" operator="containsText" text="17">
      <formula>NOT(ISERROR(SEARCH("17",BH228)))</formula>
    </cfRule>
    <cfRule type="containsText" dxfId="360" priority="5248" operator="containsText" text="T">
      <formula>NOT(ISERROR(SEARCH("T",BH228)))</formula>
    </cfRule>
  </conditionalFormatting>
  <conditionalFormatting sqref="AW28:AW32">
    <cfRule type="containsText" dxfId="359" priority="144" operator="containsText" text="T">
      <formula>NOT(ISERROR(SEARCH("T",AW28)))</formula>
    </cfRule>
  </conditionalFormatting>
  <conditionalFormatting sqref="AW33">
    <cfRule type="containsText" dxfId="358" priority="7763" operator="containsText" text="17">
      <formula>NOT(ISERROR(SEARCH("17",AW33)))</formula>
    </cfRule>
    <cfRule type="containsText" dxfId="357" priority="7764" operator="containsText" text="T">
      <formula>NOT(ISERROR(SEARCH("T",AW33)))</formula>
    </cfRule>
  </conditionalFormatting>
  <conditionalFormatting sqref="AW48:AW49">
    <cfRule type="containsText" dxfId="356" priority="134" operator="containsText" text="T">
      <formula>NOT(ISERROR(SEARCH("T",AW48)))</formula>
    </cfRule>
  </conditionalFormatting>
  <conditionalFormatting sqref="AW50:AW53 BA50:BC53">
    <cfRule type="containsText" dxfId="355" priority="122" operator="containsText" text="T">
      <formula>NOT(ISERROR(SEARCH("T",AW50)))</formula>
    </cfRule>
  </conditionalFormatting>
  <conditionalFormatting sqref="AW63:AW66 BA63:BL66">
    <cfRule type="containsText" dxfId="354" priority="112" operator="containsText" text="T">
      <formula>NOT(ISERROR(SEARCH("T",AW63)))</formula>
    </cfRule>
  </conditionalFormatting>
  <conditionalFormatting sqref="AW91:AW96">
    <cfRule type="containsText" dxfId="353" priority="214" operator="containsText" text="T">
      <formula>NOT(ISERROR(SEARCH("T",AW91)))</formula>
    </cfRule>
  </conditionalFormatting>
  <conditionalFormatting sqref="AW189">
    <cfRule type="containsText" dxfId="352" priority="4449" operator="containsText" text="17">
      <formula>NOT(ISERROR(SEARCH("17",AW189)))</formula>
    </cfRule>
    <cfRule type="containsText" dxfId="351" priority="4450" operator="containsText" text="T">
      <formula>NOT(ISERROR(SEARCH("T",AW189)))</formula>
    </cfRule>
    <cfRule type="containsText" dxfId="350" priority="4467" operator="containsText" text="17">
      <formula>NOT(ISERROR(SEARCH("17",AW189)))</formula>
    </cfRule>
    <cfRule type="containsText" dxfId="349" priority="4468" operator="containsText" text="T">
      <formula>NOT(ISERROR(SEARCH("T",AW189)))</formula>
    </cfRule>
  </conditionalFormatting>
  <conditionalFormatting sqref="AW190 AV191:BF191 BI191 BM191:BQ191">
    <cfRule type="containsText" dxfId="348" priority="8071" operator="containsText" text="T">
      <formula>NOT(ISERROR(SEARCH("T",AV190)))</formula>
    </cfRule>
  </conditionalFormatting>
  <conditionalFormatting sqref="AW199 AV206">
    <cfRule type="containsText" dxfId="347" priority="1700" operator="containsText" text="17">
      <formula>NOT(ISERROR(SEARCH("17",AV199)))</formula>
    </cfRule>
    <cfRule type="containsText" dxfId="346" priority="1701" operator="containsText" text="T">
      <formula>NOT(ISERROR(SEARCH("T",AV199)))</formula>
    </cfRule>
  </conditionalFormatting>
  <conditionalFormatting sqref="AW50:AX53 BA50:BC53">
    <cfRule type="containsText" dxfId="345" priority="123" operator="containsText" text="17">
      <formula>NOT(ISERROR(SEARCH("17",AW50)))</formula>
    </cfRule>
  </conditionalFormatting>
  <conditionalFormatting sqref="AW63:AX66 BA63:BC66">
    <cfRule type="containsText" dxfId="344" priority="113" operator="containsText" text="17">
      <formula>NOT(ISERROR(SEARCH("17",AW63)))</formula>
    </cfRule>
  </conditionalFormatting>
  <conditionalFormatting sqref="AW145:BJ148">
    <cfRule type="containsText" dxfId="343" priority="1204" operator="containsText" text="17">
      <formula>NOT(ISERROR(SEARCH("17",AW145)))</formula>
    </cfRule>
    <cfRule type="containsText" dxfId="342" priority="1205" operator="containsText" text="T">
      <formula>NOT(ISERROR(SEARCH("T",AW145)))</formula>
    </cfRule>
  </conditionalFormatting>
  <conditionalFormatting sqref="AW169:BT173 AW174">
    <cfRule type="containsText" dxfId="341" priority="496" operator="containsText" text="T">
      <formula>NOT(ISERROR(SEARCH("T",AW169)))</formula>
    </cfRule>
  </conditionalFormatting>
  <conditionalFormatting sqref="AW193:BT213 AV195:BT195 BF214:BT215">
    <cfRule type="containsText" dxfId="340" priority="471" operator="containsText" text="T">
      <formula>NOT(ISERROR(SEARCH("T",AV193)))</formula>
    </cfRule>
    <cfRule type="containsText" dxfId="339" priority="472" operator="containsText" text="17">
      <formula>NOT(ISERROR(SEARCH("17",AV193)))</formula>
    </cfRule>
  </conditionalFormatting>
  <conditionalFormatting sqref="AX15:AX20">
    <cfRule type="containsText" dxfId="338" priority="201" operator="containsText" text="T">
      <formula>NOT(ISERROR(SEARCH("T",AX15)))</formula>
    </cfRule>
  </conditionalFormatting>
  <conditionalFormatting sqref="AX50:AX53">
    <cfRule type="containsText" dxfId="337" priority="124" operator="containsText" text="T">
      <formula>NOT(ISERROR(SEARCH("T",AX50)))</formula>
    </cfRule>
  </conditionalFormatting>
  <conditionalFormatting sqref="AX63:AX66">
    <cfRule type="containsText" dxfId="336" priority="114" operator="containsText" text="T">
      <formula>NOT(ISERROR(SEARCH("T",AX63)))</formula>
    </cfRule>
  </conditionalFormatting>
  <conditionalFormatting sqref="AX86:AX89 BB86:BD89">
    <cfRule type="containsText" dxfId="335" priority="88" operator="containsText" text="T">
      <formula>NOT(ISERROR(SEARCH("T",AX86)))</formula>
    </cfRule>
  </conditionalFormatting>
  <conditionalFormatting sqref="AX59:AY62 BB59:BD62">
    <cfRule type="containsText" dxfId="334" priority="99" operator="containsText" text="17">
      <formula>NOT(ISERROR(SEARCH("17",AX59)))</formula>
    </cfRule>
  </conditionalFormatting>
  <conditionalFormatting sqref="AX86:AY89 BB86:BD89">
    <cfRule type="containsText" dxfId="333" priority="89" operator="containsText" text="17">
      <formula>NOT(ISERROR(SEARCH("17",AX86)))</formula>
    </cfRule>
  </conditionalFormatting>
  <conditionalFormatting sqref="AX175:BU178">
    <cfRule type="containsText" dxfId="332" priority="490" operator="containsText" text="T">
      <formula>NOT(ISERROR(SEARCH("T",AX175)))</formula>
    </cfRule>
  </conditionalFormatting>
  <conditionalFormatting sqref="AX180:BU183">
    <cfRule type="containsText" dxfId="331" priority="484" operator="containsText" text="T">
      <formula>NOT(ISERROR(SEARCH("T",AX180)))</formula>
    </cfRule>
  </conditionalFormatting>
  <conditionalFormatting sqref="AX185:BU190">
    <cfRule type="containsText" dxfId="330" priority="478" operator="containsText" text="T">
      <formula>NOT(ISERROR(SEARCH("T",AX185)))</formula>
    </cfRule>
  </conditionalFormatting>
  <conditionalFormatting sqref="AY22:AY27">
    <cfRule type="containsText" dxfId="329" priority="106" operator="containsText" text="T">
      <formula>NOT(ISERROR(SEARCH("T",AY22)))</formula>
    </cfRule>
    <cfRule type="containsText" dxfId="328" priority="107" operator="containsText" text="17">
      <formula>NOT(ISERROR(SEARCH("17",AY22)))</formula>
    </cfRule>
  </conditionalFormatting>
  <conditionalFormatting sqref="AY35:AY40">
    <cfRule type="containsText" dxfId="327" priority="188" operator="containsText" text="T">
      <formula>NOT(ISERROR(SEARCH("T",AY35)))</formula>
    </cfRule>
  </conditionalFormatting>
  <conditionalFormatting sqref="AY59:AY62">
    <cfRule type="containsText" dxfId="326" priority="100" operator="containsText" text="T">
      <formula>NOT(ISERROR(SEARCH("T",AY59)))</formula>
    </cfRule>
  </conditionalFormatting>
  <conditionalFormatting sqref="AY83:AY85 BC83:BE85">
    <cfRule type="containsText" dxfId="325" priority="78" operator="containsText" text="T">
      <formula>NOT(ISERROR(SEARCH("T",AY83)))</formula>
    </cfRule>
  </conditionalFormatting>
  <conditionalFormatting sqref="AY86:AY89">
    <cfRule type="containsText" dxfId="324" priority="90" operator="containsText" text="T">
      <formula>NOT(ISERROR(SEARCH("T",AY86)))</formula>
    </cfRule>
  </conditionalFormatting>
  <conditionalFormatting sqref="AY102">
    <cfRule type="containsText" dxfId="323" priority="3719" operator="containsText" text="17">
      <formula>NOT(ISERROR(SEARCH("17",AY102)))</formula>
    </cfRule>
    <cfRule type="containsText" dxfId="322" priority="3720" operator="containsText" text="T">
      <formula>NOT(ISERROR(SEARCH("T",AY102)))</formula>
    </cfRule>
  </conditionalFormatting>
  <conditionalFormatting sqref="AY199 AX206 AW213">
    <cfRule type="containsText" dxfId="321" priority="4613" operator="containsText" text="17">
      <formula>NOT(ISERROR(SEARCH("17",AW199)))</formula>
    </cfRule>
    <cfRule type="containsText" dxfId="320" priority="4614" operator="containsText" text="T">
      <formula>NOT(ISERROR(SEARCH("T",AW199)))</formula>
    </cfRule>
  </conditionalFormatting>
  <conditionalFormatting sqref="AY214:AY217 BC214:BE217">
    <cfRule type="containsText" dxfId="319" priority="68" operator="containsText" text="T">
      <formula>NOT(ISERROR(SEARCH("T",AY214)))</formula>
    </cfRule>
  </conditionalFormatting>
  <conditionalFormatting sqref="AY22:AZ27">
    <cfRule type="containsText" dxfId="318" priority="109" operator="containsText" text="T">
      <formula>NOT(ISERROR(SEARCH("T",AY22)))</formula>
    </cfRule>
  </conditionalFormatting>
  <conditionalFormatting sqref="AY83:AZ85 BC83:BE85">
    <cfRule type="containsText" dxfId="317" priority="79" operator="containsText" text="17">
      <formula>NOT(ISERROR(SEARCH("17",AY83)))</formula>
    </cfRule>
  </conditionalFormatting>
  <conditionalFormatting sqref="AY214:AZ217 BC214:BE217">
    <cfRule type="containsText" dxfId="316" priority="69" operator="containsText" text="17">
      <formula>NOT(ISERROR(SEARCH("17",AY214)))</formula>
    </cfRule>
  </conditionalFormatting>
  <conditionalFormatting sqref="AZ22:AZ27">
    <cfRule type="containsText" dxfId="315" priority="175" operator="containsText" text="T">
      <formula>NOT(ISERROR(SEARCH("T",AZ22)))</formula>
    </cfRule>
  </conditionalFormatting>
  <conditionalFormatting sqref="AZ83:AZ85">
    <cfRule type="containsText" dxfId="314" priority="80" operator="containsText" text="T">
      <formula>NOT(ISERROR(SEARCH("T",AZ83)))</formula>
    </cfRule>
  </conditionalFormatting>
  <conditionalFormatting sqref="AZ109 AW123">
    <cfRule type="containsText" dxfId="313" priority="3981" operator="containsText" text="17">
      <formula>NOT(ISERROR(SEARCH("17",AW109)))</formula>
    </cfRule>
    <cfRule type="containsText" dxfId="312" priority="3982" operator="containsText" text="T">
      <formula>NOT(ISERROR(SEARCH("T",AW109)))</formula>
    </cfRule>
  </conditionalFormatting>
  <conditionalFormatting sqref="AZ199 BB199:BG199 AY206 BA206:BF206 AX213 AZ213:BE213">
    <cfRule type="containsText" dxfId="311" priority="4627" operator="containsText" text="17">
      <formula>NOT(ISERROR(SEARCH("17",AX199)))</formula>
    </cfRule>
    <cfRule type="containsText" dxfId="310" priority="4628" operator="containsText" text="T">
      <formula>NOT(ISERROR(SEARCH("T",AX199)))</formula>
    </cfRule>
  </conditionalFormatting>
  <conditionalFormatting sqref="AZ214:AZ217">
    <cfRule type="containsText" dxfId="309" priority="70" operator="containsText" text="T">
      <formula>NOT(ISERROR(SEARCH("T",AZ214)))</formula>
    </cfRule>
  </conditionalFormatting>
  <conditionalFormatting sqref="AZ35:BA40 AV54:BA58 AV67:BA69 BI69:BK69 BL69:BL70 AV73:BH78 AZ93:BA96 BD93:BD96 AW99:AX100 BH120:BI120 BH121:BH122 BB124:BB126 BI131:BI136 BQ161:BQ165 AV166:BG167 BJ166:BK167 BN166:BQ167 AV175:AV178 AV196:AV198 AV203:BR205 BT203:BT205 BS210:BS212 AV212:BQ212 BM97:BN97 BQ97:BR97 AV97:AX98 AZ97:AZ98">
    <cfRule type="containsText" dxfId="308" priority="8103" operator="containsText" text="T">
      <formula>NOT(ISERROR(SEARCH("T",AV35)))</formula>
    </cfRule>
  </conditionalFormatting>
  <conditionalFormatting sqref="AZ156:BB158">
    <cfRule type="containsText" dxfId="307" priority="998" operator="containsText" text="17">
      <formula>NOT(ISERROR(SEARCH("17",AZ156)))</formula>
    </cfRule>
    <cfRule type="containsText" dxfId="306" priority="999" operator="containsText" text="T">
      <formula>NOT(ISERROR(SEARCH("T",AZ156)))</formula>
    </cfRule>
  </conditionalFormatting>
  <conditionalFormatting sqref="AZ169:BJ173">
    <cfRule type="containsText" dxfId="305" priority="500" operator="containsText" text="17">
      <formula>NOT(ISERROR(SEARCH("17",AZ169)))</formula>
    </cfRule>
  </conditionalFormatting>
  <conditionalFormatting sqref="AZ170:BL173">
    <cfRule type="containsText" dxfId="304" priority="497" operator="containsText" text="17">
      <formula>NOT(ISERROR(SEARCH("17",AZ170)))</formula>
    </cfRule>
  </conditionalFormatting>
  <conditionalFormatting sqref="AZ194:BL194 AZ196:BL198">
    <cfRule type="containsText" dxfId="303" priority="473" operator="containsText" text="17">
      <formula>NOT(ISERROR(SEARCH("17",AZ194)))</formula>
    </cfRule>
  </conditionalFormatting>
  <conditionalFormatting sqref="BA34">
    <cfRule type="containsText" dxfId="302" priority="7617" operator="containsText" text="17">
      <formula>NOT(ISERROR(SEARCH("17",BA34)))</formula>
    </cfRule>
    <cfRule type="containsText" dxfId="301" priority="7618" operator="containsText" text="T">
      <formula>NOT(ISERROR(SEARCH("T",BA34)))</formula>
    </cfRule>
    <cfRule type="containsText" dxfId="300" priority="7619" operator="containsText" text="17">
      <formula>NOT(ISERROR(SEARCH("17",BA34)))</formula>
    </cfRule>
    <cfRule type="containsText" dxfId="299" priority="7620" operator="containsText" text="T">
      <formula>NOT(ISERROR(SEARCH("T",BA34)))</formula>
    </cfRule>
  </conditionalFormatting>
  <conditionalFormatting sqref="BA42:BA47">
    <cfRule type="containsText" dxfId="298" priority="162" operator="containsText" text="T">
      <formula>NOT(ISERROR(SEARCH("T",BA42)))</formula>
    </cfRule>
  </conditionalFormatting>
  <conditionalFormatting sqref="BA199 AZ206 AY213 BQ127">
    <cfRule type="containsText" dxfId="297" priority="1702" operator="containsText" text="17">
      <formula>NOT(ISERROR(SEARCH("17",AY127)))</formula>
    </cfRule>
  </conditionalFormatting>
  <conditionalFormatting sqref="BA163:BC165">
    <cfRule type="containsText" dxfId="296" priority="988" operator="containsText" text="17">
      <formula>NOT(ISERROR(SEARCH("17",BA163)))</formula>
    </cfRule>
    <cfRule type="containsText" dxfId="295" priority="989" operator="containsText" text="T">
      <formula>NOT(ISERROR(SEARCH("T",BA163)))</formula>
    </cfRule>
  </conditionalFormatting>
  <conditionalFormatting sqref="BA156:BD158 BG156:BL158">
    <cfRule type="containsText" dxfId="294" priority="994" operator="containsText" text="17">
      <formula>NOT(ISERROR(SEARCH("17",BA156)))</formula>
    </cfRule>
    <cfRule type="containsText" dxfId="293" priority="995" operator="containsText" text="T">
      <formula>NOT(ISERROR(SEARCH("T",BA156)))</formula>
    </cfRule>
  </conditionalFormatting>
  <conditionalFormatting sqref="BA16:BM20">
    <cfRule type="containsText" dxfId="292" priority="7936" operator="containsText" text="17">
      <formula>NOT(ISERROR(SEARCH("17",BA16)))</formula>
    </cfRule>
  </conditionalFormatting>
  <conditionalFormatting sqref="BA176:BM178">
    <cfRule type="containsText" dxfId="291" priority="491" operator="containsText" text="17">
      <formula>NOT(ISERROR(SEARCH("17",BA176)))</formula>
    </cfRule>
  </conditionalFormatting>
  <conditionalFormatting sqref="BA181:BM183">
    <cfRule type="containsText" dxfId="290" priority="485" operator="containsText" text="17">
      <formula>NOT(ISERROR(SEARCH("17",BA181)))</formula>
    </cfRule>
  </conditionalFormatting>
  <conditionalFormatting sqref="BA186:BM190">
    <cfRule type="containsText" dxfId="289" priority="479" operator="containsText" text="17">
      <formula>NOT(ISERROR(SEARCH("17",BA186)))</formula>
    </cfRule>
  </conditionalFormatting>
  <conditionalFormatting sqref="BA199:BP199 AZ206:BO206 AY213:BN213 BQ127">
    <cfRule type="containsText" dxfId="288" priority="4607" operator="containsText" text="17">
      <formula>NOT(ISERROR(SEARCH("17",AY127)))</formula>
    </cfRule>
  </conditionalFormatting>
  <conditionalFormatting sqref="BB72">
    <cfRule type="containsText" dxfId="287" priority="3163" operator="containsText" text="17">
      <formula>NOT(ISERROR(SEARCH("17",BB72)))</formula>
    </cfRule>
    <cfRule type="containsText" dxfId="286" priority="3164" operator="containsText" text="T">
      <formula>NOT(ISERROR(SEARCH("T",BB72)))</formula>
    </cfRule>
  </conditionalFormatting>
  <conditionalFormatting sqref="BB163:BE165 BH163:BM165">
    <cfRule type="containsText" dxfId="285" priority="984" operator="containsText" text="17">
      <formula>NOT(ISERROR(SEARCH("17",BB163)))</formula>
    </cfRule>
    <cfRule type="containsText" dxfId="284" priority="985" operator="containsText" text="T">
      <formula>NOT(ISERROR(SEARCH("T",BB163)))</formula>
    </cfRule>
  </conditionalFormatting>
  <conditionalFormatting sqref="BB54:BL62 AX59:AX62">
    <cfRule type="containsText" dxfId="283" priority="98" operator="containsText" text="T">
      <formula>NOT(ISERROR(SEARCH("T",AX54)))</formula>
    </cfRule>
  </conditionalFormatting>
  <conditionalFormatting sqref="BB35:BY39">
    <cfRule type="containsText" dxfId="282" priority="606" operator="containsText" text="T">
      <formula>NOT(ISERROR(SEARCH("T",BB35)))</formula>
    </cfRule>
  </conditionalFormatting>
  <conditionalFormatting sqref="BB41:BY45">
    <cfRule type="containsText" dxfId="281" priority="599" operator="containsText" text="T">
      <formula>NOT(ISERROR(SEARCH("T",BB41)))</formula>
    </cfRule>
  </conditionalFormatting>
  <conditionalFormatting sqref="BB47:BY47 BC48:BY48">
    <cfRule type="containsText" dxfId="280" priority="594" operator="containsText" text="T">
      <formula>NOT(ISERROR(SEARCH("T",BB47)))</formula>
    </cfRule>
  </conditionalFormatting>
  <conditionalFormatting sqref="BC131:BC134">
    <cfRule type="containsText" dxfId="279" priority="1192" operator="containsText" text="17">
      <formula>NOT(ISERROR(SEARCH("17",BC131)))</formula>
    </cfRule>
    <cfRule type="containsText" dxfId="278" priority="1193" operator="containsText" text="T">
      <formula>NOT(ISERROR(SEARCH("T",BC131)))</formula>
    </cfRule>
  </conditionalFormatting>
  <conditionalFormatting sqref="BC199:BD199 BB206:BC206 BA213:BB213">
    <cfRule type="containsText" dxfId="277" priority="1698" operator="containsText" text="17">
      <formula>NOT(ISERROR(SEARCH("17",BA199)))</formula>
    </cfRule>
    <cfRule type="containsText" dxfId="276" priority="1699" operator="containsText" text="T">
      <formula>NOT(ISERROR(SEARCH("T",BA199)))</formula>
    </cfRule>
  </conditionalFormatting>
  <conditionalFormatting sqref="BC23:BO27">
    <cfRule type="containsText" dxfId="275" priority="619" operator="containsText" text="17">
      <formula>NOT(ISERROR(SEARCH("17",BC23)))</formula>
    </cfRule>
  </conditionalFormatting>
  <conditionalFormatting sqref="BD93:BD96 AX94:AZ96 AV97:BM97 BQ97 AV98:BJ98 AV124:BC126 BE69:BG69 BE94:BG96 BO149:BO151 BK231:BT234">
    <cfRule type="containsText" dxfId="274" priority="8132" operator="containsText" text="17">
      <formula>NOT(ISERROR(SEARCH("17",AV69)))</formula>
    </cfRule>
  </conditionalFormatting>
  <conditionalFormatting sqref="BD138:BD141">
    <cfRule type="containsText" dxfId="273" priority="1166" operator="containsText" text="17">
      <formula>NOT(ISERROR(SEARCH("17",BD138)))</formula>
    </cfRule>
    <cfRule type="containsText" dxfId="272" priority="1167" operator="containsText" text="T">
      <formula>NOT(ISERROR(SEARCH("T",BD138)))</formula>
    </cfRule>
  </conditionalFormatting>
  <conditionalFormatting sqref="BD102:BE102 BH102">
    <cfRule type="containsText" dxfId="271" priority="3716" operator="containsText" text="T">
      <formula>NOT(ISERROR(SEARCH("T",BD102)))</formula>
    </cfRule>
  </conditionalFormatting>
  <conditionalFormatting sqref="BD50:BY52 BD53:BL53 BB67:BL68">
    <cfRule type="containsText" dxfId="270" priority="589" operator="containsText" text="T">
      <formula>NOT(ISERROR(SEARCH("T",BB50)))</formula>
    </cfRule>
  </conditionalFormatting>
  <conditionalFormatting sqref="BE70">
    <cfRule type="containsText" dxfId="269" priority="8339" operator="containsText" text="17">
      <formula>NOT(ISERROR(SEARCH("17",BE70)))</formula>
    </cfRule>
    <cfRule type="containsText" dxfId="268" priority="8340" operator="containsText" text="T">
      <formula>NOT(ISERROR(SEARCH("T",BE70)))</formula>
    </cfRule>
    <cfRule type="containsText" dxfId="267" priority="8343" operator="containsText" text="17">
      <formula>NOT(ISERROR(SEARCH("17",BE70)))</formula>
    </cfRule>
    <cfRule type="containsText" dxfId="266" priority="8344" operator="containsText" text="T">
      <formula>NOT(ISERROR(SEARCH("T",BE70)))</formula>
    </cfRule>
  </conditionalFormatting>
  <conditionalFormatting sqref="BE86 BE93:BG93">
    <cfRule type="containsText" dxfId="265" priority="3657" operator="containsText" text="17">
      <formula>NOT(ISERROR(SEARCH("17",BE86)))</formula>
    </cfRule>
    <cfRule type="containsText" dxfId="264" priority="3658" operator="containsText" text="T">
      <formula>NOT(ISERROR(SEARCH("T",BE86)))</formula>
    </cfRule>
  </conditionalFormatting>
  <conditionalFormatting sqref="BE131:BE133">
    <cfRule type="containsText" dxfId="263" priority="1176" operator="containsText" text="17">
      <formula>NOT(ISERROR(SEARCH("17",BE131)))</formula>
    </cfRule>
    <cfRule type="containsText" dxfId="262" priority="1177" operator="containsText" text="T">
      <formula>NOT(ISERROR(SEARCH("T",BE131)))</formula>
    </cfRule>
  </conditionalFormatting>
  <conditionalFormatting sqref="BE145:BE148">
    <cfRule type="containsText" dxfId="261" priority="1220" operator="containsText" text="17">
      <formula>NOT(ISERROR(SEARCH("17",BE145)))</formula>
    </cfRule>
    <cfRule type="containsText" dxfId="260" priority="1221" operator="containsText" text="T">
      <formula>NOT(ISERROR(SEARCH("T",BE145)))</formula>
    </cfRule>
  </conditionalFormatting>
  <conditionalFormatting sqref="BJ79">
    <cfRule type="containsText" dxfId="259" priority="3426" operator="containsText" text="T">
      <formula>NOT(ISERROR(SEARCH("T",BJ79)))</formula>
    </cfRule>
  </conditionalFormatting>
  <conditionalFormatting sqref="BE109:BF109 BI109 BB123:BC123 BF123">
    <cfRule type="containsText" dxfId="258" priority="3978" operator="containsText" text="T">
      <formula>NOT(ISERROR(SEARCH("T",BB109)))</formula>
    </cfRule>
  </conditionalFormatting>
  <conditionalFormatting sqref="BE69:BG69 BD93:BD96 AX94:AZ96 BE94:BG96 AV97:BM97 BQ97 AV98:BJ98 AV124:BC126 BO149:BO151 BK231:BT234">
    <cfRule type="containsText" dxfId="257" priority="8133" operator="containsText" text="T">
      <formula>NOT(ISERROR(SEARCH("T",AV69)))</formula>
    </cfRule>
  </conditionalFormatting>
  <conditionalFormatting sqref="BE35:BO39">
    <cfRule type="containsText" dxfId="256" priority="610" operator="containsText" text="17">
      <formula>NOT(ISERROR(SEARCH("17",BE35)))</formula>
    </cfRule>
  </conditionalFormatting>
  <conditionalFormatting sqref="BE41:BO45">
    <cfRule type="containsText" dxfId="255" priority="603" operator="containsText" text="17">
      <formula>NOT(ISERROR(SEARCH("17",BE41)))</formula>
    </cfRule>
  </conditionalFormatting>
  <conditionalFormatting sqref="BE47:BO48">
    <cfRule type="containsText" dxfId="254" priority="598" operator="containsText" text="17">
      <formula>NOT(ISERROR(SEARCH("17",BE47)))</formula>
    </cfRule>
  </conditionalFormatting>
  <conditionalFormatting sqref="BE50:BO52">
    <cfRule type="containsText" dxfId="253" priority="593" operator="containsText" text="17">
      <formula>NOT(ISERROR(SEARCH("17",BE50)))</formula>
    </cfRule>
  </conditionalFormatting>
  <conditionalFormatting sqref="BE30:BQ33">
    <cfRule type="containsText" dxfId="252" priority="613" operator="containsText" text="17">
      <formula>NOT(ISERROR(SEARCH("17",BE30)))</formula>
    </cfRule>
  </conditionalFormatting>
  <conditionalFormatting sqref="BE36:BQ39">
    <cfRule type="containsText" dxfId="251" priority="607" operator="containsText" text="17">
      <formula>NOT(ISERROR(SEARCH("17",BE36)))</formula>
    </cfRule>
  </conditionalFormatting>
  <conditionalFormatting sqref="BE42:BQ45">
    <cfRule type="containsText" dxfId="250" priority="600" operator="containsText" text="17">
      <formula>NOT(ISERROR(SEARCH("17",BE42)))</formula>
    </cfRule>
  </conditionalFormatting>
  <conditionalFormatting sqref="BE48:BQ48">
    <cfRule type="containsText" dxfId="249" priority="595" operator="containsText" text="17">
      <formula>NOT(ISERROR(SEARCH("17",BE48)))</formula>
    </cfRule>
  </conditionalFormatting>
  <conditionalFormatting sqref="BE51:BQ52 BE53:BL68">
    <cfRule type="containsText" dxfId="248" priority="590" operator="containsText" text="17">
      <formula>NOT(ISERROR(SEARCH("17",BE51)))</formula>
    </cfRule>
  </conditionalFormatting>
  <conditionalFormatting sqref="BF138:BF140">
    <cfRule type="containsText" dxfId="247" priority="1202" operator="containsText" text="17">
      <formula>NOT(ISERROR(SEARCH("17",BF138)))</formula>
    </cfRule>
    <cfRule type="containsText" dxfId="246" priority="1203" operator="containsText" text="T">
      <formula>NOT(ISERROR(SEARCH("T",BF138)))</formula>
    </cfRule>
  </conditionalFormatting>
  <conditionalFormatting sqref="BF214:BG216">
    <cfRule type="containsText" dxfId="245" priority="5413" operator="containsText" text="17">
      <formula>NOT(ISERROR(SEARCH("17",BF214)))</formula>
    </cfRule>
    <cfRule type="containsText" dxfId="244" priority="5414" operator="containsText" text="T">
      <formula>NOT(ISERROR(SEARCH("T",BF214)))</formula>
    </cfRule>
  </conditionalFormatting>
  <conditionalFormatting sqref="BF84:CC89">
    <cfRule type="containsText" dxfId="243" priority="566" operator="containsText" text="17">
      <formula>NOT(ISERROR(SEARCH("17",BF84)))</formula>
    </cfRule>
  </conditionalFormatting>
  <conditionalFormatting sqref="BG72:BH72 BK72">
    <cfRule type="containsText" dxfId="242" priority="3160" operator="containsText" text="T">
      <formula>NOT(ISERROR(SEARCH("T",BG72)))</formula>
    </cfRule>
  </conditionalFormatting>
  <conditionalFormatting sqref="BG214:BH216 BK214:BK216">
    <cfRule type="containsText" dxfId="241" priority="5420" operator="containsText" text="T">
      <formula>NOT(ISERROR(SEARCH("T",BG214)))</formula>
    </cfRule>
  </conditionalFormatting>
  <conditionalFormatting sqref="BH102 BD102:BE102">
    <cfRule type="containsText" dxfId="240" priority="3715" operator="containsText" text="17">
      <formula>NOT(ISERROR(SEARCH("17",BD102)))</formula>
    </cfRule>
  </conditionalFormatting>
  <conditionalFormatting sqref="BH102">
    <cfRule type="containsText" dxfId="239" priority="3713" operator="containsText" text="17">
      <formula>NOT(ISERROR(SEARCH("17",BH102)))</formula>
    </cfRule>
    <cfRule type="containsText" dxfId="238" priority="3714" operator="containsText" text="T">
      <formula>NOT(ISERROR(SEARCH("T",BH102)))</formula>
    </cfRule>
  </conditionalFormatting>
  <conditionalFormatting sqref="BH152:BH154">
    <cfRule type="containsText" dxfId="237" priority="992" operator="containsText" text="17">
      <formula>NOT(ISERROR(SEARCH("17",BH152)))</formula>
    </cfRule>
    <cfRule type="containsText" dxfId="236" priority="993" operator="containsText" text="T">
      <formula>NOT(ISERROR(SEARCH("T",BH152)))</formula>
    </cfRule>
  </conditionalFormatting>
  <conditionalFormatting sqref="BH199 BG206 BF213">
    <cfRule type="containsText" dxfId="235" priority="4605" operator="containsText" text="17">
      <formula>NOT(ISERROR(SEARCH("17",BF199)))</formula>
    </cfRule>
    <cfRule type="containsText" dxfId="234" priority="4606" operator="containsText" text="T">
      <formula>NOT(ISERROR(SEARCH("T",BF199)))</formula>
    </cfRule>
  </conditionalFormatting>
  <conditionalFormatting sqref="BH131:BI134 BL131:BL134">
    <cfRule type="containsText" dxfId="233" priority="1189" operator="containsText" text="T">
      <formula>NOT(ISERROR(SEARCH("T",BH131)))</formula>
    </cfRule>
  </conditionalFormatting>
  <conditionalFormatting sqref="BI109 BF123 BE109:BF109 BB123:BC123">
    <cfRule type="containsText" dxfId="232" priority="3977" operator="containsText" text="17">
      <formula>NOT(ISERROR(SEARCH("17",BB109)))</formula>
    </cfRule>
  </conditionalFormatting>
  <conditionalFormatting sqref="BI109 BF123">
    <cfRule type="containsText" dxfId="231" priority="3975" operator="containsText" text="17">
      <formula>NOT(ISERROR(SEARCH("17",BF109)))</formula>
    </cfRule>
    <cfRule type="containsText" dxfId="230" priority="3976" operator="containsText" text="T">
      <formula>NOT(ISERROR(SEARCH("T",BF109)))</formula>
    </cfRule>
  </conditionalFormatting>
  <conditionalFormatting sqref="BI199 BH206 BG213">
    <cfRule type="containsText" dxfId="229" priority="4621" operator="containsText" text="17">
      <formula>NOT(ISERROR(SEARCH("17",BG199)))</formula>
    </cfRule>
    <cfRule type="containsText" dxfId="228" priority="4622" operator="containsText" text="T">
      <formula>NOT(ISERROR(SEARCH("T",BG199)))</formula>
    </cfRule>
  </conditionalFormatting>
  <conditionalFormatting sqref="BI217:BI223 BJ224:BJ230">
    <cfRule type="containsText" dxfId="227" priority="5171" operator="containsText" text="17">
      <formula>NOT(ISERROR(SEARCH("17",BI217)))</formula>
    </cfRule>
    <cfRule type="containsText" dxfId="226" priority="5172" operator="containsText" text="T">
      <formula>NOT(ISERROR(SEARCH("T",BI217)))</formula>
    </cfRule>
  </conditionalFormatting>
  <conditionalFormatting sqref="BJ79">
    <cfRule type="containsText" dxfId="225" priority="3425" operator="containsText" text="17">
      <formula>NOT(ISERROR(SEARCH("17",BJ79)))</formula>
    </cfRule>
  </conditionalFormatting>
  <conditionalFormatting sqref="BI138:BJ141 BM138:BM141">
    <cfRule type="containsText" dxfId="224" priority="1163" operator="containsText" text="T">
      <formula>NOT(ISERROR(SEARCH("T",BI138)))</formula>
    </cfRule>
  </conditionalFormatting>
  <conditionalFormatting sqref="BI70:BK70">
    <cfRule type="containsText" dxfId="223" priority="7411" operator="containsText" text="T">
      <formula>NOT(ISERROR(SEARCH("T",BI70)))</formula>
    </cfRule>
  </conditionalFormatting>
  <conditionalFormatting sqref="BI217:BL217">
    <cfRule type="containsText" dxfId="222" priority="4869" operator="containsText" text="17">
      <formula>NOT(ISERROR(SEARCH("17",BI217)))</formula>
    </cfRule>
    <cfRule type="containsText" dxfId="221" priority="4870" operator="containsText" text="T">
      <formula>NOT(ISERROR(SEARCH("T",BI217)))</formula>
    </cfRule>
  </conditionalFormatting>
  <conditionalFormatting sqref="BI218:BL223">
    <cfRule type="containsText" dxfId="220" priority="5177" operator="containsText" text="17">
      <formula>NOT(ISERROR(SEARCH("17",BI218)))</formula>
    </cfRule>
    <cfRule type="containsText" dxfId="219" priority="5178" operator="containsText" text="T">
      <formula>NOT(ISERROR(SEARCH("T",BI218)))</formula>
    </cfRule>
  </conditionalFormatting>
  <conditionalFormatting sqref="BI85:BU89">
    <cfRule type="containsText" dxfId="218" priority="567" operator="containsText" text="17">
      <formula>NOT(ISERROR(SEARCH("17",BI85)))</formula>
    </cfRule>
  </conditionalFormatting>
  <conditionalFormatting sqref="BJ145:BK148 BN145:BO148">
    <cfRule type="containsText" dxfId="217" priority="1217" operator="containsText" text="T">
      <formula>NOT(ISERROR(SEARCH("T",BJ145)))</formula>
    </cfRule>
  </conditionalFormatting>
  <conditionalFormatting sqref="BJ199:BK199 BI206:BJ206 BH213:BI213">
    <cfRule type="containsText" dxfId="216" priority="1696" operator="containsText" text="17">
      <formula>NOT(ISERROR(SEARCH("17",BH199)))</formula>
    </cfRule>
    <cfRule type="containsText" dxfId="215" priority="1697" operator="containsText" text="T">
      <formula>NOT(ISERROR(SEARCH("T",BH199)))</formula>
    </cfRule>
  </conditionalFormatting>
  <conditionalFormatting sqref="BJ224:BN230 BM214:BM223">
    <cfRule type="containsText" dxfId="214" priority="5175" operator="containsText" text="17">
      <formula>NOT(ISERROR(SEARCH("17",BJ214)))</formula>
    </cfRule>
  </conditionalFormatting>
  <conditionalFormatting sqref="BJ217:BO217">
    <cfRule type="containsText" dxfId="213" priority="4871" operator="containsText" text="17">
      <formula>NOT(ISERROR(SEARCH("17",BJ217)))</formula>
    </cfRule>
    <cfRule type="containsText" dxfId="212" priority="4872" operator="containsText" text="T">
      <formula>NOT(ISERROR(SEARCH("T",BJ217)))</formula>
    </cfRule>
  </conditionalFormatting>
  <conditionalFormatting sqref="BJ218:BO223 BK224:BT230">
    <cfRule type="containsText" dxfId="211" priority="5183" operator="containsText" text="17">
      <formula>NOT(ISERROR(SEARCH("17",BJ218)))</formula>
    </cfRule>
    <cfRule type="containsText" dxfId="210" priority="5184" operator="containsText" text="T">
      <formula>NOT(ISERROR(SEARCH("T",BJ218)))</formula>
    </cfRule>
  </conditionalFormatting>
  <conditionalFormatting sqref="BJ117:CG120 CG121:CG122">
    <cfRule type="containsText" dxfId="209" priority="538" operator="containsText" text="17">
      <formula>NOT(ISERROR(SEARCH("17",BJ117)))</formula>
    </cfRule>
  </conditionalFormatting>
  <conditionalFormatting sqref="BK72 BG72:BH72">
    <cfRule type="containsText" dxfId="208" priority="3159" operator="containsText" text="17">
      <formula>NOT(ISERROR(SEARCH("17",BG72)))</formula>
    </cfRule>
  </conditionalFormatting>
  <conditionalFormatting sqref="BK72">
    <cfRule type="containsText" dxfId="207" priority="3157" operator="containsText" text="17">
      <formula>NOT(ISERROR(SEARCH("17",BK72)))</formula>
    </cfRule>
    <cfRule type="containsText" dxfId="206" priority="3158" operator="containsText" text="T">
      <formula>NOT(ISERROR(SEARCH("T",BK72)))</formula>
    </cfRule>
  </conditionalFormatting>
  <conditionalFormatting sqref="BK214:BK216 BG214:BH216">
    <cfRule type="containsText" dxfId="205" priority="5419" operator="containsText" text="17">
      <formula>NOT(ISERROR(SEARCH("17",BG214)))</formula>
    </cfRule>
  </conditionalFormatting>
  <conditionalFormatting sqref="BK214:BK216">
    <cfRule type="containsText" dxfId="204" priority="5417" operator="containsText" text="17">
      <formula>NOT(ISERROR(SEARCH("17",BK214)))</formula>
    </cfRule>
    <cfRule type="containsText" dxfId="203" priority="5418" operator="containsText" text="T">
      <formula>NOT(ISERROR(SEARCH("T",BK214)))</formula>
    </cfRule>
  </conditionalFormatting>
  <conditionalFormatting sqref="BK169:BL169 BM169:BS173">
    <cfRule type="containsText" dxfId="202" priority="498" operator="containsText" text="17">
      <formula>NOT(ISERROR(SEARCH("17",BK169)))</formula>
    </cfRule>
    <cfRule type="containsText" dxfId="201" priority="499" operator="containsText" text="T">
      <formula>NOT(ISERROR(SEARCH("T",BK169)))</formula>
    </cfRule>
  </conditionalFormatting>
  <conditionalFormatting sqref="BK193:BL215 BN193:BS215">
    <cfRule type="containsText" dxfId="200" priority="475" operator="containsText" text="T">
      <formula>NOT(ISERROR(SEARCH("T",BK193)))</formula>
    </cfRule>
  </conditionalFormatting>
  <conditionalFormatting sqref="BK193:BS215">
    <cfRule type="containsText" dxfId="199" priority="474" operator="containsText" text="17">
      <formula>NOT(ISERROR(SEARCH("17",BK193)))</formula>
    </cfRule>
  </conditionalFormatting>
  <conditionalFormatting sqref="BK92:BW96">
    <cfRule type="containsText" dxfId="198" priority="561" operator="containsText" text="17">
      <formula>NOT(ISERROR(SEARCH("17",BK92)))</formula>
    </cfRule>
  </conditionalFormatting>
  <conditionalFormatting sqref="BK79:CH82 CD83:CH84">
    <cfRule type="containsText" dxfId="197" priority="572" operator="containsText" text="17">
      <formula>NOT(ISERROR(SEARCH("17",BK79)))</formula>
    </cfRule>
  </conditionalFormatting>
  <conditionalFormatting sqref="BK105:CH109">
    <cfRule type="containsText" dxfId="196" priority="550" operator="containsText" text="17">
      <formula>NOT(ISERROR(SEARCH("17",BK105)))</formula>
    </cfRule>
  </conditionalFormatting>
  <conditionalFormatting sqref="BK111:CH115 CH116">
    <cfRule type="containsText" dxfId="195" priority="544" operator="containsText" text="17">
      <formula>NOT(ISERROR(SEARCH("17",BK111)))</formula>
    </cfRule>
  </conditionalFormatting>
  <conditionalFormatting sqref="BL131:BL134 BH131:BI134">
    <cfRule type="containsText" dxfId="194" priority="1188" operator="containsText" text="17">
      <formula>NOT(ISERROR(SEARCH("17",BH131)))</formula>
    </cfRule>
  </conditionalFormatting>
  <conditionalFormatting sqref="BL131:BL134">
    <cfRule type="containsText" dxfId="193" priority="1186" operator="containsText" text="17">
      <formula>NOT(ISERROR(SEARCH("17",BL131)))</formula>
    </cfRule>
    <cfRule type="containsText" dxfId="192" priority="1187" operator="containsText" text="T">
      <formula>NOT(ISERROR(SEARCH("T",BL131)))</formula>
    </cfRule>
  </conditionalFormatting>
  <conditionalFormatting sqref="BL15:BM15 BN15:BT20">
    <cfRule type="containsText" dxfId="191" priority="7937" operator="containsText" text="17">
      <formula>NOT(ISERROR(SEARCH("17",BL15)))</formula>
    </cfRule>
  </conditionalFormatting>
  <conditionalFormatting sqref="BL15:BM15 BO15:BS15">
    <cfRule type="containsText" dxfId="190" priority="7938" operator="containsText" text="T">
      <formula>NOT(ISERROR(SEARCH("T",BL15)))</formula>
    </cfRule>
  </conditionalFormatting>
  <conditionalFormatting sqref="BL175:BM175 BN175:BT178">
    <cfRule type="containsText" dxfId="189" priority="492" operator="containsText" text="17">
      <formula>NOT(ISERROR(SEARCH("17",BL175)))</formula>
    </cfRule>
    <cfRule type="containsText" dxfId="188" priority="493" operator="containsText" text="T">
      <formula>NOT(ISERROR(SEARCH("T",BL175)))</formula>
    </cfRule>
  </conditionalFormatting>
  <conditionalFormatting sqref="BL180:BM180 BN180:BT183">
    <cfRule type="containsText" dxfId="187" priority="486" operator="containsText" text="17">
      <formula>NOT(ISERROR(SEARCH("17",BL180)))</formula>
    </cfRule>
    <cfRule type="containsText" dxfId="186" priority="487" operator="containsText" text="T">
      <formula>NOT(ISERROR(SEARCH("T",BL180)))</formula>
    </cfRule>
  </conditionalFormatting>
  <conditionalFormatting sqref="BL185:BM185 BN185:BT190">
    <cfRule type="containsText" dxfId="185" priority="480" operator="containsText" text="17">
      <formula>NOT(ISERROR(SEARCH("17",BL185)))</formula>
    </cfRule>
    <cfRule type="containsText" dxfId="184" priority="481" operator="containsText" text="T">
      <formula>NOT(ISERROR(SEARCH("T",BL185)))</formula>
    </cfRule>
  </conditionalFormatting>
  <conditionalFormatting sqref="BL123:BX126">
    <cfRule type="containsText" dxfId="183" priority="533" operator="containsText" text="17">
      <formula>NOT(ISERROR(SEARCH("17",BL123)))</formula>
    </cfRule>
  </conditionalFormatting>
  <conditionalFormatting sqref="BL73:CI77 CI78">
    <cfRule type="containsText" dxfId="182" priority="578" operator="containsText" text="17">
      <formula>NOT(ISERROR(SEARCH("17",BL73)))</formula>
    </cfRule>
  </conditionalFormatting>
  <conditionalFormatting sqref="BM134">
    <cfRule type="containsText" dxfId="181" priority="1200" operator="containsText" text="17">
      <formula>NOT(ISERROR(SEARCH("17",BM134)))</formula>
    </cfRule>
    <cfRule type="containsText" dxfId="180" priority="1201" operator="containsText" text="T">
      <formula>NOT(ISERROR(SEARCH("T",BM134)))</formula>
    </cfRule>
  </conditionalFormatting>
  <conditionalFormatting sqref="BM138:BM141 BI138:BJ141">
    <cfRule type="containsText" dxfId="179" priority="1162" operator="containsText" text="17">
      <formula>NOT(ISERROR(SEARCH("17",BI138)))</formula>
    </cfRule>
  </conditionalFormatting>
  <conditionalFormatting sqref="BM138:BM141">
    <cfRule type="containsText" dxfId="178" priority="1160" operator="containsText" text="17">
      <formula>NOT(ISERROR(SEARCH("17",BM138)))</formula>
    </cfRule>
    <cfRule type="containsText" dxfId="177" priority="1161" operator="containsText" text="T">
      <formula>NOT(ISERROR(SEARCH("T",BM138)))</formula>
    </cfRule>
  </conditionalFormatting>
  <conditionalFormatting sqref="BM193:BM215 BN194:BR194 BK195:BQ195 BM196:BR198">
    <cfRule type="containsText" dxfId="176" priority="477" operator="containsText" text="T">
      <formula>NOT(ISERROR(SEARCH("T",BK193)))</formula>
    </cfRule>
  </conditionalFormatting>
  <conditionalFormatting sqref="BM214:BM216">
    <cfRule type="containsText" dxfId="175" priority="5441" operator="containsText" text="17">
      <formula>NOT(ISERROR(SEARCH("17",BM214)))</formula>
    </cfRule>
    <cfRule type="containsText" dxfId="174" priority="5442" operator="containsText" text="T">
      <formula>NOT(ISERROR(SEARCH("T",BM214)))</formula>
    </cfRule>
  </conditionalFormatting>
  <conditionalFormatting sqref="BM214:BM223 BJ224:BN230">
    <cfRule type="containsText" dxfId="173" priority="5176" operator="containsText" text="T">
      <formula>NOT(ISERROR(SEARCH("T",BJ214)))</formula>
    </cfRule>
  </conditionalFormatting>
  <conditionalFormatting sqref="BM118:BY120">
    <cfRule type="containsText" dxfId="172" priority="539" operator="containsText" text="17">
      <formula>NOT(ISERROR(SEARCH("17",BM118)))</formula>
    </cfRule>
  </conditionalFormatting>
  <conditionalFormatting sqref="BN141">
    <cfRule type="containsText" dxfId="171" priority="1174" operator="containsText" text="17">
      <formula>NOT(ISERROR(SEARCH("17",BN141)))</formula>
    </cfRule>
    <cfRule type="containsText" dxfId="170" priority="1175" operator="containsText" text="T">
      <formula>NOT(ISERROR(SEARCH("T",BN141)))</formula>
    </cfRule>
  </conditionalFormatting>
  <conditionalFormatting sqref="BN145:BN148">
    <cfRule type="containsText" dxfId="169" priority="1214" operator="containsText" text="17">
      <formula>NOT(ISERROR(SEARCH("17",BN145)))</formula>
    </cfRule>
    <cfRule type="containsText" dxfId="168" priority="1215" operator="containsText" text="T">
      <formula>NOT(ISERROR(SEARCH("T",BN145)))</formula>
    </cfRule>
  </conditionalFormatting>
  <conditionalFormatting sqref="BN217:BN223 BO224:BO230 BP217:BS223">
    <cfRule type="containsText" dxfId="167" priority="5185" operator="containsText" text="17">
      <formula>NOT(ISERROR(SEARCH("17",BN217)))</formula>
    </cfRule>
  </conditionalFormatting>
  <conditionalFormatting sqref="BN217:BN223 BP217:BS223 BO224:BO230">
    <cfRule type="containsText" dxfId="166" priority="5186" operator="containsText" text="T">
      <formula>NOT(ISERROR(SEARCH("T",BN217)))</formula>
    </cfRule>
  </conditionalFormatting>
  <conditionalFormatting sqref="BN22:BO22 BP22:BV27">
    <cfRule type="containsText" dxfId="165" priority="621" operator="containsText" text="T">
      <formula>NOT(ISERROR(SEARCH("T",BN22)))</formula>
    </cfRule>
  </conditionalFormatting>
  <conditionalFormatting sqref="BN22:BO22">
    <cfRule type="containsText" dxfId="164" priority="620" operator="containsText" text="17">
      <formula>NOT(ISERROR(SEARCH("17",BN22)))</formula>
    </cfRule>
  </conditionalFormatting>
  <conditionalFormatting sqref="BN145:BO148 BJ145:BK148">
    <cfRule type="containsText" dxfId="163" priority="1216" operator="containsText" text="17">
      <formula>NOT(ISERROR(SEARCH("17",BJ145)))</formula>
    </cfRule>
  </conditionalFormatting>
  <conditionalFormatting sqref="BN194:BR194 BK195:BQ195 BM196:BR198">
    <cfRule type="containsText" dxfId="162" priority="476" operator="containsText" text="17">
      <formula>NOT(ISERROR(SEARCH("17",BK194)))</formula>
    </cfRule>
  </conditionalFormatting>
  <conditionalFormatting sqref="BN80:BZ82">
    <cfRule type="containsText" dxfId="161" priority="573" operator="containsText" text="17">
      <formula>NOT(ISERROR(SEARCH("17",BN80)))</formula>
    </cfRule>
  </conditionalFormatting>
  <conditionalFormatting sqref="BN100:BZ103">
    <cfRule type="containsText" dxfId="160" priority="556" operator="containsText" text="17">
      <formula>NOT(ISERROR(SEARCH("17",BN100)))</formula>
    </cfRule>
  </conditionalFormatting>
  <conditionalFormatting sqref="BN106:BZ109">
    <cfRule type="containsText" dxfId="159" priority="551" operator="containsText" text="17">
      <formula>NOT(ISERROR(SEARCH("17",BN106)))</formula>
    </cfRule>
  </conditionalFormatting>
  <conditionalFormatting sqref="BN112:BZ115">
    <cfRule type="containsText" dxfId="158" priority="545" operator="containsText" text="17">
      <formula>NOT(ISERROR(SEARCH("17",BN112)))</formula>
    </cfRule>
  </conditionalFormatting>
  <conditionalFormatting sqref="BO214:BO223">
    <cfRule type="containsText" dxfId="157" priority="5169" operator="containsText" text="17">
      <formula>NOT(ISERROR(SEARCH("17",BO214)))</formula>
    </cfRule>
    <cfRule type="containsText" dxfId="156" priority="5170" operator="containsText" text="T">
      <formula>NOT(ISERROR(SEARCH("T",BO214)))</formula>
    </cfRule>
  </conditionalFormatting>
  <conditionalFormatting sqref="BO214:BS216">
    <cfRule type="containsText" dxfId="155" priority="5397" operator="containsText" text="17">
      <formula>NOT(ISERROR(SEARCH("17",BO214)))</formula>
    </cfRule>
    <cfRule type="containsText" dxfId="154" priority="5398" operator="containsText" text="T">
      <formula>NOT(ISERROR(SEARCH("T",BO214)))</formula>
    </cfRule>
  </conditionalFormatting>
  <conditionalFormatting sqref="BP155">
    <cfRule type="containsText" dxfId="153" priority="1000" operator="containsText" text="17">
      <formula>NOT(ISERROR(SEARCH("17",BP155)))</formula>
    </cfRule>
    <cfRule type="containsText" dxfId="152" priority="1001" operator="containsText" text="T">
      <formula>NOT(ISERROR(SEARCH("T",BP155)))</formula>
    </cfRule>
  </conditionalFormatting>
  <conditionalFormatting sqref="BP29:BQ29 BR29:BX33">
    <cfRule type="containsText" dxfId="151" priority="614" operator="containsText" text="17">
      <formula>NOT(ISERROR(SEARCH("17",BP29)))</formula>
    </cfRule>
    <cfRule type="containsText" dxfId="150" priority="615" operator="containsText" text="T">
      <formula>NOT(ISERROR(SEARCH("T",BP29)))</formula>
    </cfRule>
  </conditionalFormatting>
  <conditionalFormatting sqref="BP35:BQ35 BR35:BX39">
    <cfRule type="containsText" dxfId="149" priority="608" operator="containsText" text="17">
      <formula>NOT(ISERROR(SEARCH("17",BP35)))</formula>
    </cfRule>
    <cfRule type="containsText" dxfId="148" priority="609" operator="containsText" text="T">
      <formula>NOT(ISERROR(SEARCH("T",BP35)))</formula>
    </cfRule>
  </conditionalFormatting>
  <conditionalFormatting sqref="BP41:BQ41 BR41:BX45">
    <cfRule type="containsText" dxfId="147" priority="601" operator="containsText" text="17">
      <formula>NOT(ISERROR(SEARCH("17",BP41)))</formula>
    </cfRule>
    <cfRule type="containsText" dxfId="146" priority="602" operator="containsText" text="T">
      <formula>NOT(ISERROR(SEARCH("T",BP41)))</formula>
    </cfRule>
  </conditionalFormatting>
  <conditionalFormatting sqref="BP47:BQ47 BS47:BW47">
    <cfRule type="containsText" dxfId="145" priority="596" operator="containsText" text="17">
      <formula>NOT(ISERROR(SEARCH("17",BP47)))</formula>
    </cfRule>
    <cfRule type="containsText" dxfId="144" priority="597" operator="containsText" text="T">
      <formula>NOT(ISERROR(SEARCH("T",BP47)))</formula>
    </cfRule>
  </conditionalFormatting>
  <conditionalFormatting sqref="BP50:BQ50 BS50:BW50">
    <cfRule type="containsText" dxfId="143" priority="591" operator="containsText" text="17">
      <formula>NOT(ISERROR(SEARCH("17",BP50)))</formula>
    </cfRule>
    <cfRule type="containsText" dxfId="142" priority="592" operator="containsText" text="T">
      <formula>NOT(ISERROR(SEARCH("T",BP50)))</formula>
    </cfRule>
  </conditionalFormatting>
  <conditionalFormatting sqref="BP214:BT216">
    <cfRule type="containsText" dxfId="141" priority="5403" operator="containsText" text="17">
      <formula>NOT(ISERROR(SEARCH("17",BP214)))</formula>
    </cfRule>
    <cfRule type="containsText" dxfId="140" priority="5404" operator="containsText" text="T">
      <formula>NOT(ISERROR(SEARCH("T",BP214)))</formula>
    </cfRule>
  </conditionalFormatting>
  <conditionalFormatting sqref="BP217:BT230">
    <cfRule type="containsText" dxfId="139" priority="4867" operator="containsText" text="17">
      <formula>NOT(ISERROR(SEARCH("17",BP217)))</formula>
    </cfRule>
    <cfRule type="containsText" dxfId="138" priority="4868" operator="containsText" text="T">
      <formula>NOT(ISERROR(SEARCH("T",BP217)))</formula>
    </cfRule>
  </conditionalFormatting>
  <conditionalFormatting sqref="BP68:CB71 BO74:CA77">
    <cfRule type="containsText" dxfId="137" priority="579" operator="containsText" text="17">
      <formula>NOT(ISERROR(SEARCH("17",BO68)))</formula>
    </cfRule>
  </conditionalFormatting>
  <conditionalFormatting sqref="BQ127 BA199 AZ206 AY213">
    <cfRule type="containsText" dxfId="136" priority="1703" operator="containsText" text="T">
      <formula>NOT(ISERROR(SEARCH("T",AY127)))</formula>
    </cfRule>
  </conditionalFormatting>
  <conditionalFormatting sqref="BQ127 BA199:BP199 AZ206:BO206 AY213:BN213">
    <cfRule type="containsText" dxfId="135" priority="4608" operator="containsText" text="T">
      <formula>NOT(ISERROR(SEARCH("T",AY127)))</formula>
    </cfRule>
  </conditionalFormatting>
  <conditionalFormatting sqref="BQ154 AV180:AV181 AW182:AW185 BK191 BS200:BS202 BT203:BT205 BR207:BR209 BT207:BT209 BS210:BS212">
    <cfRule type="containsText" dxfId="134" priority="6875" operator="containsText" text="17">
      <formula>NOT(ISERROR(SEARCH("17",AV154)))</formula>
    </cfRule>
    <cfRule type="containsText" dxfId="133" priority="6876" operator="containsText" text="T">
      <formula>NOT(ISERROR(SEARCH("T",AV154)))</formula>
    </cfRule>
    <cfRule type="containsText" dxfId="132" priority="6877" operator="containsText" text="17">
      <formula>NOT(ISERROR(SEARCH("17",AV154)))</formula>
    </cfRule>
    <cfRule type="containsText" dxfId="131" priority="6878" operator="containsText" text="T">
      <formula>NOT(ISERROR(SEARCH("T",AV154)))</formula>
    </cfRule>
  </conditionalFormatting>
  <conditionalFormatting sqref="BQ156:BQ158">
    <cfRule type="containsText" dxfId="130" priority="1016" operator="containsText" text="17">
      <formula>NOT(ISERROR(SEARCH("17",BQ156)))</formula>
    </cfRule>
    <cfRule type="containsText" dxfId="129" priority="1017" operator="containsText" text="T">
      <formula>NOT(ISERROR(SEARCH("T",BQ156)))</formula>
    </cfRule>
    <cfRule type="containsText" dxfId="128" priority="1018" operator="containsText" text="17">
      <formula>NOT(ISERROR(SEARCH("17",BQ156)))</formula>
    </cfRule>
    <cfRule type="containsText" dxfId="127" priority="1019" operator="containsText" text="T">
      <formula>NOT(ISERROR(SEARCH("T",BQ156)))</formula>
    </cfRule>
  </conditionalFormatting>
  <conditionalFormatting sqref="BQ162">
    <cfRule type="containsText" dxfId="126" priority="990" operator="containsText" text="17">
      <formula>NOT(ISERROR(SEARCH("17",BQ162)))</formula>
    </cfRule>
    <cfRule type="containsText" dxfId="125" priority="991" operator="containsText" text="T">
      <formula>NOT(ISERROR(SEARCH("T",BQ162)))</formula>
    </cfRule>
  </conditionalFormatting>
  <conditionalFormatting sqref="BQ199:BR199 BP206:BQ206 BO213:BP213">
    <cfRule type="containsText" dxfId="120" priority="1706" operator="containsText" text="17">
      <formula>NOT(ISERROR(SEARCH("17",BO199)))</formula>
    </cfRule>
    <cfRule type="containsText" dxfId="119" priority="1707" operator="containsText" text="T">
      <formula>NOT(ISERROR(SEARCH("T",BO199)))</formula>
    </cfRule>
  </conditionalFormatting>
  <conditionalFormatting sqref="BR47:BR48 BX47:BX48 BS48:BW48 BR50:BR52 BX50:BX52 BS51:BW52 BN15:BN20 BT15:BT20 BO16:BS20">
    <cfRule type="containsText" dxfId="118" priority="8117" operator="containsText" text="T">
      <formula>NOT(ISERROR(SEARCH("T",BN15)))</formula>
    </cfRule>
  </conditionalFormatting>
  <conditionalFormatting sqref="BR47:BR48 BX47:BX48 BS48:BW48 BR50:BR52 BX50:BX52 BS51:BW52">
    <cfRule type="containsText" dxfId="117" priority="8116" operator="containsText" text="17">
      <formula>NOT(ISERROR(SEARCH("17",BR47)))</formula>
    </cfRule>
  </conditionalFormatting>
  <conditionalFormatting sqref="BR145:BR148">
    <cfRule type="containsText" dxfId="116" priority="1146" operator="containsText" text="17">
      <formula>NOT(ISERROR(SEARCH("17",BR145)))</formula>
    </cfRule>
    <cfRule type="containsText" dxfId="115" priority="1147" operator="containsText" text="T">
      <formula>NOT(ISERROR(SEARCH("T",BR145)))</formula>
    </cfRule>
  </conditionalFormatting>
  <conditionalFormatting sqref="BR139:CO144">
    <cfRule type="containsText" dxfId="114" priority="522" operator="containsText" text="17">
      <formula>NOT(ISERROR(SEARCH("17",BR139)))</formula>
    </cfRule>
  </conditionalFormatting>
  <conditionalFormatting sqref="BR153:CO158">
    <cfRule type="containsText" dxfId="113" priority="509" operator="containsText" text="17">
      <formula>NOT(ISERROR(SEARCH("17",BR153)))</formula>
    </cfRule>
  </conditionalFormatting>
  <conditionalFormatting sqref="BR160:CO165">
    <cfRule type="containsText" dxfId="112" priority="508" operator="containsText" text="T">
      <formula>NOT(ISERROR(SEARCH("T",BR160)))</formula>
    </cfRule>
  </conditionalFormatting>
  <conditionalFormatting sqref="BS200:BS202 BR207:BR209 AV210:BQ211">
    <cfRule type="containsText" dxfId="111" priority="8077" operator="containsText" text="T">
      <formula>NOT(ISERROR(SEARCH("T",AV200)))</formula>
    </cfRule>
  </conditionalFormatting>
  <conditionalFormatting sqref="BS200:BS202 BR207:BR209 AW190 AV191:BF191 BI191 BM191:BQ191">
    <cfRule type="containsText" dxfId="110" priority="8070" operator="containsText" text="17">
      <formula>NOT(ISERROR(SEARCH("17",AV190)))</formula>
    </cfRule>
  </conditionalFormatting>
  <conditionalFormatting sqref="BS206 BR213 BT199">
    <cfRule type="containsText" dxfId="109" priority="1704" operator="containsText" text="17">
      <formula>NOT(ISERROR(SEARCH("17",BR199)))</formula>
    </cfRule>
  </conditionalFormatting>
  <conditionalFormatting sqref="BS146:CP151 BR160:CO165">
    <cfRule type="containsText" dxfId="108" priority="7924" operator="containsText" text="17">
      <formula>NOT(ISERROR(SEARCH("17",BR146)))</formula>
    </cfRule>
  </conditionalFormatting>
  <conditionalFormatting sqref="BS146:CP151">
    <cfRule type="containsText" dxfId="107" priority="521" operator="containsText" text="T">
      <formula>NOT(ISERROR(SEARCH("T",BS146)))</formula>
    </cfRule>
  </conditionalFormatting>
  <conditionalFormatting sqref="BT199 BS206 BR213">
    <cfRule type="containsText" dxfId="106" priority="1705" operator="containsText" text="T">
      <formula>NOT(ISERROR(SEARCH("T",BR199)))</formula>
    </cfRule>
  </conditionalFormatting>
  <conditionalFormatting sqref="BT213">
    <cfRule type="containsText" dxfId="105" priority="4597" operator="containsText" text="17">
      <formula>NOT(ISERROR(SEARCH("17",BT213)))</formula>
    </cfRule>
    <cfRule type="containsText" dxfId="104" priority="4598" operator="containsText" text="T">
      <formula>NOT(ISERROR(SEARCH("T",BT213)))</formula>
    </cfRule>
  </conditionalFormatting>
  <conditionalFormatting sqref="BT214:BT216">
    <cfRule type="containsText" dxfId="103" priority="5405" operator="containsText" text="17">
      <formula>NOT(ISERROR(SEARCH("17",BT214)))</formula>
    </cfRule>
    <cfRule type="containsText" dxfId="102" priority="5406" operator="containsText" text="T">
      <formula>NOT(ISERROR(SEARCH("T",BT214)))</formula>
    </cfRule>
  </conditionalFormatting>
  <conditionalFormatting sqref="BT84:BU84 BV84:CB89">
    <cfRule type="containsText" dxfId="101" priority="569" operator="containsText" text="T">
      <formula>NOT(ISERROR(SEARCH("T",BT84)))</formula>
    </cfRule>
  </conditionalFormatting>
  <conditionalFormatting sqref="BT84:BU84">
    <cfRule type="containsText" dxfId="100" priority="568" operator="containsText" text="17">
      <formula>NOT(ISERROR(SEARCH("17",BT84)))</formula>
    </cfRule>
  </conditionalFormatting>
  <conditionalFormatting sqref="BT133:CF137">
    <cfRule type="containsText" dxfId="99" priority="528" operator="containsText" text="17">
      <formula>NOT(ISERROR(SEARCH("17",BT133)))</formula>
    </cfRule>
  </conditionalFormatting>
  <conditionalFormatting sqref="BU160:CE165">
    <cfRule type="containsText" dxfId="98" priority="506" operator="containsText" text="17">
      <formula>NOT(ISERROR(SEARCH("17",BU160)))</formula>
    </cfRule>
  </conditionalFormatting>
  <conditionalFormatting sqref="BU140:CG144">
    <cfRule type="containsText" dxfId="97" priority="523" operator="containsText" text="17">
      <formula>NOT(ISERROR(SEARCH("17",BU140)))</formula>
    </cfRule>
  </conditionalFormatting>
  <conditionalFormatting sqref="BU154:CG158">
    <cfRule type="containsText" dxfId="96" priority="510" operator="containsText" text="17">
      <formula>NOT(ISERROR(SEARCH("17",BU154)))</formula>
    </cfRule>
  </conditionalFormatting>
  <conditionalFormatting sqref="BU161:CG165">
    <cfRule type="containsText" dxfId="95" priority="503" operator="containsText" text="17">
      <formula>NOT(ISERROR(SEARCH("17",BU161)))</formula>
    </cfRule>
  </conditionalFormatting>
  <conditionalFormatting sqref="BV91:BW91 BX91:CD96">
    <cfRule type="containsText" dxfId="94" priority="562" operator="containsText" text="17">
      <formula>NOT(ISERROR(SEARCH("17",BV91)))</formula>
    </cfRule>
    <cfRule type="containsText" dxfId="93" priority="563" operator="containsText" text="T">
      <formula>NOT(ISERROR(SEARCH("T",BV91)))</formula>
    </cfRule>
  </conditionalFormatting>
  <conditionalFormatting sqref="BV146:CF151">
    <cfRule type="containsText" dxfId="92" priority="519" operator="containsText" text="17">
      <formula>NOT(ISERROR(SEARCH("17",BV146)))</formula>
    </cfRule>
  </conditionalFormatting>
  <conditionalFormatting sqref="BV147:CH151">
    <cfRule type="containsText" dxfId="91" priority="516" operator="containsText" text="17">
      <formula>NOT(ISERROR(SEARCH("17",BV147)))</formula>
    </cfRule>
  </conditionalFormatting>
  <conditionalFormatting sqref="BW122:BX122 BY122:CE126">
    <cfRule type="containsText" dxfId="90" priority="534" operator="containsText" text="17">
      <formula>NOT(ISERROR(SEARCH("17",BW122)))</formula>
    </cfRule>
    <cfRule type="containsText" dxfId="89" priority="535" operator="containsText" text="T">
      <formula>NOT(ISERROR(SEARCH("T",BW122)))</formula>
    </cfRule>
  </conditionalFormatting>
  <conditionalFormatting sqref="BX117:BY117 BZ117:CF120">
    <cfRule type="containsText" dxfId="88" priority="541" operator="containsText" text="T">
      <formula>NOT(ISERROR(SEARCH("T",BX117)))</formula>
    </cfRule>
  </conditionalFormatting>
  <conditionalFormatting sqref="BX117:BY117">
    <cfRule type="containsText" dxfId="87" priority="540" operator="containsText" text="17">
      <formula>NOT(ISERROR(SEARCH("17",BX117)))</formula>
    </cfRule>
  </conditionalFormatting>
  <conditionalFormatting sqref="BY79:BZ79 CA79:CF82">
    <cfRule type="containsText" dxfId="86" priority="575" operator="containsText" text="T">
      <formula>NOT(ISERROR(SEARCH("T",BY79)))</formula>
    </cfRule>
  </conditionalFormatting>
  <conditionalFormatting sqref="BY79:BZ79">
    <cfRule type="containsText" dxfId="85" priority="574" operator="containsText" text="17">
      <formula>NOT(ISERROR(SEARCH("17",BY79)))</formula>
    </cfRule>
  </conditionalFormatting>
  <conditionalFormatting sqref="BY99:BZ99 CA99:CG103">
    <cfRule type="containsText" dxfId="84" priority="557" operator="containsText" text="17">
      <formula>NOT(ISERROR(SEARCH("17",BY99)))</formula>
    </cfRule>
    <cfRule type="containsText" dxfId="83" priority="558" operator="containsText" text="T">
      <formula>NOT(ISERROR(SEARCH("T",BY99)))</formula>
    </cfRule>
  </conditionalFormatting>
  <conditionalFormatting sqref="BY105:BZ105 CA105:CG109">
    <cfRule type="containsText" dxfId="82" priority="553" operator="containsText" text="T">
      <formula>NOT(ISERROR(SEARCH("T",BY105)))</formula>
    </cfRule>
  </conditionalFormatting>
  <conditionalFormatting sqref="BY105:BZ105">
    <cfRule type="containsText" dxfId="81" priority="552" operator="containsText" text="17">
      <formula>NOT(ISERROR(SEARCH("17",BY105)))</formula>
    </cfRule>
  </conditionalFormatting>
  <conditionalFormatting sqref="BY111:BZ111 CA111:CG115">
    <cfRule type="containsText" dxfId="80" priority="547" operator="containsText" text="T">
      <formula>NOT(ISERROR(SEARCH("T",BY111)))</formula>
    </cfRule>
  </conditionalFormatting>
  <conditionalFormatting sqref="BY111:BZ111">
    <cfRule type="containsText" dxfId="79" priority="546" operator="containsText" text="17">
      <formula>NOT(ISERROR(SEARCH("17",BY111)))</formula>
    </cfRule>
  </conditionalFormatting>
  <conditionalFormatting sqref="CA67:CB67 CC67:CI71 BZ73:CA73 CB73:CH77">
    <cfRule type="containsText" dxfId="78" priority="581" operator="containsText" text="T">
      <formula>NOT(ISERROR(SEARCH("T",BZ67)))</formula>
    </cfRule>
  </conditionalFormatting>
  <conditionalFormatting sqref="CA67:CB67 CC67:CI71 BZ73:CA73">
    <cfRule type="containsText" dxfId="77" priority="580" operator="containsText" text="17">
      <formula>NOT(ISERROR(SEARCH("17",BZ67)))</formula>
    </cfRule>
  </conditionalFormatting>
  <conditionalFormatting sqref="CE132:CF132 CG132:CM137">
    <cfRule type="containsText" dxfId="76" priority="529" operator="containsText" text="17">
      <formula>NOT(ISERROR(SEARCH("17",CE132)))</formula>
    </cfRule>
    <cfRule type="containsText" dxfId="75" priority="530" operator="containsText" text="T">
      <formula>NOT(ISERROR(SEARCH("T",CE132)))</formula>
    </cfRule>
  </conditionalFormatting>
  <conditionalFormatting sqref="BR139:CO144">
    <cfRule type="containsText" dxfId="74" priority="525" operator="containsText" text="T">
      <formula>NOT(ISERROR(SEARCH("T",BR139)))</formula>
    </cfRule>
  </conditionalFormatting>
  <conditionalFormatting sqref="CF139:CG139">
    <cfRule type="containsText" dxfId="73" priority="524" operator="containsText" text="17">
      <formula>NOT(ISERROR(SEARCH("17",CF139)))</formula>
    </cfRule>
  </conditionalFormatting>
  <conditionalFormatting sqref="BR153:CO158">
    <cfRule type="containsText" dxfId="72" priority="512" operator="containsText" text="T">
      <formula>NOT(ISERROR(SEARCH("T",BR153)))</formula>
    </cfRule>
  </conditionalFormatting>
  <conditionalFormatting sqref="CF153:CG153">
    <cfRule type="containsText" dxfId="71" priority="511" operator="containsText" text="17">
      <formula>NOT(ISERROR(SEARCH("17",CF153)))</formula>
    </cfRule>
  </conditionalFormatting>
  <conditionalFormatting sqref="CF160:CG160 CH160:CN165">
    <cfRule type="containsText" dxfId="70" priority="504" operator="containsText" text="17">
      <formula>NOT(ISERROR(SEARCH("17",CF160)))</formula>
    </cfRule>
  </conditionalFormatting>
  <conditionalFormatting sqref="CF160:CG160 CI160:CM165">
    <cfRule type="containsText" dxfId="69" priority="505" operator="containsText" text="T">
      <formula>NOT(ISERROR(SEARCH("T",CF160)))</formula>
    </cfRule>
  </conditionalFormatting>
  <conditionalFormatting sqref="CG79:CG84 CD83:CF84">
    <cfRule type="containsText" dxfId="68" priority="577" operator="containsText" text="T">
      <formula>NOT(ISERROR(SEARCH("T",CD79)))</formula>
    </cfRule>
  </conditionalFormatting>
  <conditionalFormatting sqref="CG79:CG84">
    <cfRule type="containsText" dxfId="67" priority="576" operator="containsText" text="17">
      <formula>NOT(ISERROR(SEARCH("17",CG79)))</formula>
    </cfRule>
  </conditionalFormatting>
  <conditionalFormatting sqref="CG146:CH146 CI146:CO151">
    <cfRule type="containsText" dxfId="66" priority="517" operator="containsText" text="17">
      <formula>NOT(ISERROR(SEARCH("17",CG146)))</formula>
    </cfRule>
  </conditionalFormatting>
  <conditionalFormatting sqref="CG146:CH146 CJ146:CN151">
    <cfRule type="containsText" dxfId="65" priority="518" operator="containsText" text="T">
      <formula>NOT(ISERROR(SEARCH("T",CG146)))</formula>
    </cfRule>
  </conditionalFormatting>
  <conditionalFormatting sqref="AI218:AS224">
    <cfRule type="containsText" dxfId="64" priority="57" operator="containsText" text="T">
      <formula>NOT(ISERROR(SEARCH("T",AI218)))</formula>
    </cfRule>
  </conditionalFormatting>
  <conditionalFormatting sqref="AI218:AQ224">
    <cfRule type="containsText" dxfId="63" priority="63" operator="containsText" text="17">
      <formula>NOT(ISERROR(SEARCH("17",AI218)))</formula>
    </cfRule>
  </conditionalFormatting>
  <conditionalFormatting sqref="AI218:AS224">
    <cfRule type="containsText" dxfId="62" priority="56" operator="containsText" text="17">
      <formula>NOT(ISERROR(SEARCH("17",AI218)))</formula>
    </cfRule>
  </conditionalFormatting>
  <conditionalFormatting sqref="AT218:AZ224">
    <cfRule type="containsText" dxfId="61" priority="64" operator="containsText" text="17">
      <formula>NOT(ISERROR(SEARCH("17",AT218)))</formula>
    </cfRule>
    <cfRule type="containsText" dxfId="60" priority="65" operator="containsText" text="T">
      <formula>NOT(ISERROR(SEARCH("T",AT218)))</formula>
    </cfRule>
  </conditionalFormatting>
  <conditionalFormatting sqref="AU218:AU224">
    <cfRule type="containsText" dxfId="59" priority="61" operator="containsText" text="17">
      <formula>NOT(ISERROR(SEARCH("17",AU218)))</formula>
    </cfRule>
    <cfRule type="containsText" dxfId="58" priority="62" operator="containsText" text="T">
      <formula>NOT(ISERROR(SEARCH("T",AU218)))</formula>
    </cfRule>
  </conditionalFormatting>
  <conditionalFormatting sqref="AZ218:AZ224 BD218:BF224">
    <cfRule type="containsText" dxfId="57" priority="58" operator="containsText" text="T">
      <formula>NOT(ISERROR(SEARCH("T",AZ218)))</formula>
    </cfRule>
  </conditionalFormatting>
  <conditionalFormatting sqref="AZ218:BA224 BD218:BF224">
    <cfRule type="containsText" dxfId="56" priority="59" operator="containsText" text="17">
      <formula>NOT(ISERROR(SEARCH("17",AZ218)))</formula>
    </cfRule>
  </conditionalFormatting>
  <conditionalFormatting sqref="BA218:BA224">
    <cfRule type="containsText" dxfId="55" priority="60" operator="containsText" text="T">
      <formula>NOT(ISERROR(SEARCH("T",BA218)))</formula>
    </cfRule>
  </conditionalFormatting>
  <conditionalFormatting sqref="AJ225:AT231">
    <cfRule type="containsText" dxfId="54" priority="47" operator="containsText" text="T">
      <formula>NOT(ISERROR(SEARCH("T",AJ225)))</formula>
    </cfRule>
  </conditionalFormatting>
  <conditionalFormatting sqref="AJ225:AR231">
    <cfRule type="containsText" dxfId="53" priority="53" operator="containsText" text="17">
      <formula>NOT(ISERROR(SEARCH("17",AJ225)))</formula>
    </cfRule>
  </conditionalFormatting>
  <conditionalFormatting sqref="AJ225:AT231">
    <cfRule type="containsText" dxfId="52" priority="46" operator="containsText" text="17">
      <formula>NOT(ISERROR(SEARCH("17",AJ225)))</formula>
    </cfRule>
  </conditionalFormatting>
  <conditionalFormatting sqref="AU225:BA231">
    <cfRule type="containsText" dxfId="51" priority="54" operator="containsText" text="17">
      <formula>NOT(ISERROR(SEARCH("17",AU225)))</formula>
    </cfRule>
    <cfRule type="containsText" dxfId="50" priority="55" operator="containsText" text="T">
      <formula>NOT(ISERROR(SEARCH("T",AU225)))</formula>
    </cfRule>
  </conditionalFormatting>
  <conditionalFormatting sqref="AV225:AV231">
    <cfRule type="containsText" dxfId="49" priority="51" operator="containsText" text="17">
      <formula>NOT(ISERROR(SEARCH("17",AV225)))</formula>
    </cfRule>
    <cfRule type="containsText" dxfId="48" priority="52" operator="containsText" text="T">
      <formula>NOT(ISERROR(SEARCH("T",AV225)))</formula>
    </cfRule>
  </conditionalFormatting>
  <conditionalFormatting sqref="BA225:BA231 BE225:BG231">
    <cfRule type="containsText" dxfId="47" priority="48" operator="containsText" text="T">
      <formula>NOT(ISERROR(SEARCH("T",BA225)))</formula>
    </cfRule>
  </conditionalFormatting>
  <conditionalFormatting sqref="BA225:BB231 BE225:BG231">
    <cfRule type="containsText" dxfId="46" priority="49" operator="containsText" text="17">
      <formula>NOT(ISERROR(SEARCH("17",BA225)))</formula>
    </cfRule>
  </conditionalFormatting>
  <conditionalFormatting sqref="BB225:BB231">
    <cfRule type="containsText" dxfId="45" priority="50" operator="containsText" text="T">
      <formula>NOT(ISERROR(SEARCH("T",BB225)))</formula>
    </cfRule>
  </conditionalFormatting>
  <conditionalFormatting sqref="AK232:AU234">
    <cfRule type="containsText" dxfId="44" priority="37" operator="containsText" text="T">
      <formula>NOT(ISERROR(SEARCH("T",AK232)))</formula>
    </cfRule>
  </conditionalFormatting>
  <conditionalFormatting sqref="AK232:AS234">
    <cfRule type="containsText" dxfId="43" priority="43" operator="containsText" text="17">
      <formula>NOT(ISERROR(SEARCH("17",AK232)))</formula>
    </cfRule>
  </conditionalFormatting>
  <conditionalFormatting sqref="AK232:AU234">
    <cfRule type="containsText" dxfId="42" priority="36" operator="containsText" text="17">
      <formula>NOT(ISERROR(SEARCH("17",AK232)))</formula>
    </cfRule>
  </conditionalFormatting>
  <conditionalFormatting sqref="AV232:BB234">
    <cfRule type="containsText" dxfId="41" priority="44" operator="containsText" text="17">
      <formula>NOT(ISERROR(SEARCH("17",AV232)))</formula>
    </cfRule>
    <cfRule type="containsText" dxfId="40" priority="45" operator="containsText" text="T">
      <formula>NOT(ISERROR(SEARCH("T",AV232)))</formula>
    </cfRule>
  </conditionalFormatting>
  <conditionalFormatting sqref="AW232:AW234">
    <cfRule type="containsText" dxfId="39" priority="41" operator="containsText" text="17">
      <formula>NOT(ISERROR(SEARCH("17",AW232)))</formula>
    </cfRule>
    <cfRule type="containsText" dxfId="38" priority="42" operator="containsText" text="T">
      <formula>NOT(ISERROR(SEARCH("T",AW232)))</formula>
    </cfRule>
  </conditionalFormatting>
  <conditionalFormatting sqref="BB232:BB234 BF232:BH234">
    <cfRule type="containsText" dxfId="37" priority="38" operator="containsText" text="T">
      <formula>NOT(ISERROR(SEARCH("T",BB232)))</formula>
    </cfRule>
  </conditionalFormatting>
  <conditionalFormatting sqref="BB232:BC234 BF232:BH234">
    <cfRule type="containsText" dxfId="36" priority="39" operator="containsText" text="17">
      <formula>NOT(ISERROR(SEARCH("17",BB232)))</formula>
    </cfRule>
  </conditionalFormatting>
  <conditionalFormatting sqref="BC232:BC234">
    <cfRule type="containsText" dxfId="35" priority="40" operator="containsText" text="T">
      <formula>NOT(ISERROR(SEARCH("T",BC232)))</formula>
    </cfRule>
  </conditionalFormatting>
  <conditionalFormatting sqref="AK113:AU116">
    <cfRule type="containsText" dxfId="34" priority="27" operator="containsText" text="T">
      <formula>NOT(ISERROR(SEARCH("T",AK113)))</formula>
    </cfRule>
  </conditionalFormatting>
  <conditionalFormatting sqref="AK113:AS116">
    <cfRule type="containsText" dxfId="33" priority="33" operator="containsText" text="17">
      <formula>NOT(ISERROR(SEARCH("17",AK113)))</formula>
    </cfRule>
  </conditionalFormatting>
  <conditionalFormatting sqref="AK113:AU116">
    <cfRule type="containsText" dxfId="32" priority="26" operator="containsText" text="17">
      <formula>NOT(ISERROR(SEARCH("17",AK113)))</formula>
    </cfRule>
  </conditionalFormatting>
  <conditionalFormatting sqref="AV113:BB116">
    <cfRule type="containsText" dxfId="31" priority="34" operator="containsText" text="17">
      <formula>NOT(ISERROR(SEARCH("17",AV113)))</formula>
    </cfRule>
    <cfRule type="containsText" dxfId="30" priority="35" operator="containsText" text="T">
      <formula>NOT(ISERROR(SEARCH("T",AV113)))</formula>
    </cfRule>
  </conditionalFormatting>
  <conditionalFormatting sqref="AW113:AW116">
    <cfRule type="containsText" dxfId="29" priority="31" operator="containsText" text="17">
      <formula>NOT(ISERROR(SEARCH("17",AW113)))</formula>
    </cfRule>
    <cfRule type="containsText" dxfId="28" priority="32" operator="containsText" text="T">
      <formula>NOT(ISERROR(SEARCH("T",AW113)))</formula>
    </cfRule>
  </conditionalFormatting>
  <conditionalFormatting sqref="BB113:BB116 BF113:BH116">
    <cfRule type="containsText" dxfId="27" priority="28" operator="containsText" text="T">
      <formula>NOT(ISERROR(SEARCH("T",BB113)))</formula>
    </cfRule>
  </conditionalFormatting>
  <conditionalFormatting sqref="BB113:BC116 BF113:BH116">
    <cfRule type="containsText" dxfId="26" priority="29" operator="containsText" text="17">
      <formula>NOT(ISERROR(SEARCH("17",BB113)))</formula>
    </cfRule>
  </conditionalFormatting>
  <conditionalFormatting sqref="BC113:BC116">
    <cfRule type="containsText" dxfId="25" priority="30" operator="containsText" text="T">
      <formula>NOT(ISERROR(SEARCH("T",BC113)))</formula>
    </cfRule>
  </conditionalFormatting>
  <conditionalFormatting sqref="AL117:AV119">
    <cfRule type="containsText" dxfId="24" priority="17" operator="containsText" text="T">
      <formula>NOT(ISERROR(SEARCH("T",AL117)))</formula>
    </cfRule>
  </conditionalFormatting>
  <conditionalFormatting sqref="AL117:AT119">
    <cfRule type="containsText" dxfId="23" priority="23" operator="containsText" text="17">
      <formula>NOT(ISERROR(SEARCH("17",AL117)))</formula>
    </cfRule>
  </conditionalFormatting>
  <conditionalFormatting sqref="AL117:AV119">
    <cfRule type="containsText" dxfId="22" priority="16" operator="containsText" text="17">
      <formula>NOT(ISERROR(SEARCH("17",AL117)))</formula>
    </cfRule>
  </conditionalFormatting>
  <conditionalFormatting sqref="AW117:BC119">
    <cfRule type="containsText" dxfId="21" priority="24" operator="containsText" text="17">
      <formula>NOT(ISERROR(SEARCH("17",AW117)))</formula>
    </cfRule>
    <cfRule type="containsText" dxfId="20" priority="25" operator="containsText" text="T">
      <formula>NOT(ISERROR(SEARCH("T",AW117)))</formula>
    </cfRule>
  </conditionalFormatting>
  <conditionalFormatting sqref="AX117:AX119">
    <cfRule type="containsText" dxfId="19" priority="21" operator="containsText" text="17">
      <formula>NOT(ISERROR(SEARCH("17",AX117)))</formula>
    </cfRule>
    <cfRule type="containsText" dxfId="18" priority="22" operator="containsText" text="T">
      <formula>NOT(ISERROR(SEARCH("T",AX117)))</formula>
    </cfRule>
  </conditionalFormatting>
  <conditionalFormatting sqref="BC117:BC119 BG117:BI119">
    <cfRule type="containsText" dxfId="17" priority="18" operator="containsText" text="T">
      <formula>NOT(ISERROR(SEARCH("T",BC117)))</formula>
    </cfRule>
  </conditionalFormatting>
  <conditionalFormatting sqref="BC117:BD119 BG117:BI119">
    <cfRule type="containsText" dxfId="16" priority="19" operator="containsText" text="17">
      <formula>NOT(ISERROR(SEARCH("17",BC117)))</formula>
    </cfRule>
  </conditionalFormatting>
  <conditionalFormatting sqref="BD117:BD119">
    <cfRule type="containsText" dxfId="15" priority="20" operator="containsText" text="T">
      <formula>NOT(ISERROR(SEARCH("T",BD117)))</formula>
    </cfRule>
  </conditionalFormatting>
  <conditionalFormatting sqref="AL79:AV82">
    <cfRule type="containsText" dxfId="14" priority="7" operator="containsText" text="T">
      <formula>NOT(ISERROR(SEARCH("T",AL79)))</formula>
    </cfRule>
  </conditionalFormatting>
  <conditionalFormatting sqref="AL79:AT82">
    <cfRule type="containsText" dxfId="13" priority="13" operator="containsText" text="17">
      <formula>NOT(ISERROR(SEARCH("17",AL79)))</formula>
    </cfRule>
  </conditionalFormatting>
  <conditionalFormatting sqref="AL79:AV82">
    <cfRule type="containsText" dxfId="12" priority="6" operator="containsText" text="17">
      <formula>NOT(ISERROR(SEARCH("17",AL79)))</formula>
    </cfRule>
  </conditionalFormatting>
  <conditionalFormatting sqref="AW79:BC82">
    <cfRule type="containsText" dxfId="11" priority="14" operator="containsText" text="17">
      <formula>NOT(ISERROR(SEARCH("17",AW79)))</formula>
    </cfRule>
    <cfRule type="containsText" dxfId="10" priority="15" operator="containsText" text="T">
      <formula>NOT(ISERROR(SEARCH("T",AW79)))</formula>
    </cfRule>
  </conditionalFormatting>
  <conditionalFormatting sqref="AX79:AX82">
    <cfRule type="containsText" dxfId="9" priority="11" operator="containsText" text="17">
      <formula>NOT(ISERROR(SEARCH("17",AX79)))</formula>
    </cfRule>
    <cfRule type="containsText" dxfId="8" priority="12" operator="containsText" text="T">
      <formula>NOT(ISERROR(SEARCH("T",AX79)))</formula>
    </cfRule>
  </conditionalFormatting>
  <conditionalFormatting sqref="BC79:BC82 BG79:BI82">
    <cfRule type="containsText" dxfId="7" priority="8" operator="containsText" text="T">
      <formula>NOT(ISERROR(SEARCH("T",BC79)))</formula>
    </cfRule>
  </conditionalFormatting>
  <conditionalFormatting sqref="BC79:BD82 BG79:BI82">
    <cfRule type="containsText" dxfId="6" priority="9" operator="containsText" text="17">
      <formula>NOT(ISERROR(SEARCH("17",BC79)))</formula>
    </cfRule>
  </conditionalFormatting>
  <conditionalFormatting sqref="BD79:BD82">
    <cfRule type="containsText" dxfId="5" priority="10" operator="containsText" text="T">
      <formula>NOT(ISERROR(SEARCH("T",BD79)))</formula>
    </cfRule>
  </conditionalFormatting>
  <conditionalFormatting sqref="K120:K126">
    <cfRule type="containsText" dxfId="4" priority="4" operator="containsText" text="T">
      <formula>NOT(ISERROR(SEARCH("T",K120)))</formula>
    </cfRule>
  </conditionalFormatting>
  <conditionalFormatting sqref="K120:AE126">
    <cfRule type="containsText" dxfId="3" priority="3" operator="containsText" text="17">
      <formula>NOT(ISERROR(SEARCH("17",K120)))</formula>
    </cfRule>
  </conditionalFormatting>
  <conditionalFormatting sqref="K120:AE126 AH120:AH126">
    <cfRule type="containsText" dxfId="2" priority="1" operator="containsText" text="T">
      <formula>NOT(ISERROR(SEARCH("T",K120)))</formula>
    </cfRule>
  </conditionalFormatting>
  <conditionalFormatting sqref="AH120:AH126">
    <cfRule type="containsText" dxfId="1" priority="2" operator="containsText" text="17">
      <formula>NOT(ISERROR(SEARCH("17",AH120)))</formula>
    </cfRule>
  </conditionalFormatting>
  <conditionalFormatting sqref="AH120:AH126">
    <cfRule type="containsText" dxfId="0" priority="5" operator="containsText" text="T">
      <formula>NOT(ISERROR(SEARCH("T",AH120)))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22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8" sqref="I8"/>
    </sheetView>
  </sheetViews>
  <sheetFormatPr defaultRowHeight="15" x14ac:dyDescent="0.25"/>
  <cols>
    <col min="1" max="1" width="10.7109375" bestFit="1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104">
        <v>45962</v>
      </c>
      <c r="B2" s="25" t="s">
        <v>458</v>
      </c>
      <c r="C2" s="104">
        <f>A2+23</f>
        <v>45985</v>
      </c>
      <c r="D2" s="104">
        <f>A2+7</f>
        <v>45969</v>
      </c>
      <c r="E2" s="104">
        <f>A2+14</f>
        <v>45976</v>
      </c>
      <c r="F2" s="104">
        <f>A2+20</f>
        <v>45982</v>
      </c>
      <c r="G2" s="104">
        <f>A2+8</f>
        <v>45970</v>
      </c>
      <c r="H2" s="104">
        <f>A2+15</f>
        <v>45977</v>
      </c>
      <c r="I2" s="104"/>
      <c r="J2" s="105"/>
      <c r="K2" s="25"/>
      <c r="L2" s="25"/>
      <c r="M2" s="25"/>
      <c r="N2" s="25"/>
    </row>
    <row r="3" spans="1:14" x14ac:dyDescent="0.25">
      <c r="A3" s="104">
        <v>45962</v>
      </c>
      <c r="B3" s="25" t="s">
        <v>459</v>
      </c>
      <c r="C3" s="104">
        <f t="shared" ref="C3:C9" si="0">A3+23</f>
        <v>45985</v>
      </c>
      <c r="D3" s="104">
        <f t="shared" ref="D3:D9" si="1">A3+7</f>
        <v>45969</v>
      </c>
      <c r="E3" s="104">
        <f t="shared" ref="E3:E9" si="2">A3+14</f>
        <v>45976</v>
      </c>
      <c r="F3" s="104">
        <f t="shared" ref="F3:F9" si="3">A3+20</f>
        <v>45982</v>
      </c>
      <c r="G3" s="104">
        <f t="shared" ref="G3:G9" si="4">A3+8</f>
        <v>45970</v>
      </c>
      <c r="H3" s="104">
        <f t="shared" ref="H3:H9" si="5">A3+15</f>
        <v>45977</v>
      </c>
      <c r="I3" s="104"/>
      <c r="J3" s="105"/>
      <c r="K3" s="25"/>
      <c r="L3" s="25"/>
      <c r="M3" s="25"/>
      <c r="N3" s="25"/>
    </row>
    <row r="4" spans="1:14" x14ac:dyDescent="0.25">
      <c r="A4" s="104">
        <v>45962</v>
      </c>
      <c r="B4" s="25" t="s">
        <v>460</v>
      </c>
      <c r="C4" s="104">
        <f t="shared" si="0"/>
        <v>45985</v>
      </c>
      <c r="D4" s="104">
        <f t="shared" si="1"/>
        <v>45969</v>
      </c>
      <c r="E4" s="104">
        <f t="shared" si="2"/>
        <v>45976</v>
      </c>
      <c r="F4" s="104">
        <f t="shared" si="3"/>
        <v>45982</v>
      </c>
      <c r="G4" s="104">
        <f t="shared" si="4"/>
        <v>45970</v>
      </c>
      <c r="H4" s="104">
        <f t="shared" si="5"/>
        <v>45977</v>
      </c>
      <c r="I4" s="104"/>
      <c r="J4" s="105"/>
      <c r="K4" s="25"/>
      <c r="L4" s="25"/>
      <c r="M4" s="25"/>
      <c r="N4" s="25"/>
    </row>
    <row r="5" spans="1:14" x14ac:dyDescent="0.25">
      <c r="A5" s="104">
        <v>45962</v>
      </c>
      <c r="B5" s="25" t="s">
        <v>461</v>
      </c>
      <c r="C5" s="104">
        <f t="shared" si="0"/>
        <v>45985</v>
      </c>
      <c r="D5" s="104">
        <f t="shared" si="1"/>
        <v>45969</v>
      </c>
      <c r="E5" s="104">
        <f t="shared" si="2"/>
        <v>45976</v>
      </c>
      <c r="F5" s="104">
        <f t="shared" si="3"/>
        <v>45982</v>
      </c>
      <c r="G5" s="104">
        <f t="shared" si="4"/>
        <v>45970</v>
      </c>
      <c r="H5" s="104">
        <f t="shared" si="5"/>
        <v>45977</v>
      </c>
      <c r="I5" s="104"/>
      <c r="J5" s="105"/>
      <c r="K5" s="25"/>
      <c r="L5" s="25"/>
      <c r="M5" s="25"/>
      <c r="N5" s="25"/>
    </row>
    <row r="6" spans="1:14" x14ac:dyDescent="0.25">
      <c r="A6" s="104">
        <v>45962</v>
      </c>
      <c r="B6" s="25" t="s">
        <v>462</v>
      </c>
      <c r="C6" s="104">
        <f t="shared" si="0"/>
        <v>45985</v>
      </c>
      <c r="D6" s="104">
        <f t="shared" si="1"/>
        <v>45969</v>
      </c>
      <c r="E6" s="104">
        <f t="shared" si="2"/>
        <v>45976</v>
      </c>
      <c r="F6" s="104">
        <f t="shared" si="3"/>
        <v>45982</v>
      </c>
      <c r="G6" s="104">
        <f t="shared" si="4"/>
        <v>45970</v>
      </c>
      <c r="H6" s="104">
        <f t="shared" si="5"/>
        <v>45977</v>
      </c>
      <c r="I6" s="104"/>
      <c r="J6" s="105"/>
      <c r="K6" s="25"/>
      <c r="L6" s="25"/>
      <c r="M6" s="25"/>
      <c r="N6" s="25"/>
    </row>
    <row r="7" spans="1:14" x14ac:dyDescent="0.25">
      <c r="A7" s="104">
        <v>45962</v>
      </c>
      <c r="B7" s="25" t="s">
        <v>463</v>
      </c>
      <c r="C7" s="104">
        <f t="shared" si="0"/>
        <v>45985</v>
      </c>
      <c r="D7" s="104">
        <f t="shared" si="1"/>
        <v>45969</v>
      </c>
      <c r="E7" s="104">
        <f t="shared" si="2"/>
        <v>45976</v>
      </c>
      <c r="F7" s="104">
        <f t="shared" si="3"/>
        <v>45982</v>
      </c>
      <c r="G7" s="104">
        <f t="shared" si="4"/>
        <v>45970</v>
      </c>
      <c r="H7" s="104">
        <f t="shared" si="5"/>
        <v>45977</v>
      </c>
      <c r="I7" s="104">
        <v>45992</v>
      </c>
      <c r="J7" s="105">
        <f>I7-A7</f>
        <v>30</v>
      </c>
      <c r="K7" s="25">
        <v>19.91</v>
      </c>
      <c r="L7" s="25">
        <v>10.84</v>
      </c>
      <c r="M7" s="25">
        <f>K7-L7</f>
        <v>9.07</v>
      </c>
      <c r="N7" s="25" t="s">
        <v>592</v>
      </c>
    </row>
    <row r="8" spans="1:14" x14ac:dyDescent="0.25">
      <c r="A8" s="104">
        <v>45962</v>
      </c>
      <c r="B8" s="25" t="s">
        <v>464</v>
      </c>
      <c r="C8" s="104">
        <f t="shared" si="0"/>
        <v>45985</v>
      </c>
      <c r="D8" s="104">
        <f t="shared" si="1"/>
        <v>45969</v>
      </c>
      <c r="E8" s="104">
        <f t="shared" si="2"/>
        <v>45976</v>
      </c>
      <c r="F8" s="104">
        <f t="shared" si="3"/>
        <v>45982</v>
      </c>
      <c r="G8" s="104">
        <f t="shared" si="4"/>
        <v>45970</v>
      </c>
      <c r="H8" s="104">
        <f t="shared" si="5"/>
        <v>45977</v>
      </c>
      <c r="I8" s="104"/>
      <c r="J8" s="105"/>
      <c r="K8" s="25"/>
      <c r="L8" s="25"/>
      <c r="M8" s="25"/>
      <c r="N8" s="25"/>
    </row>
    <row r="9" spans="1:14" x14ac:dyDescent="0.25">
      <c r="A9" s="104">
        <v>45963</v>
      </c>
      <c r="B9" s="25" t="s">
        <v>421</v>
      </c>
      <c r="C9" s="104">
        <f t="shared" si="0"/>
        <v>45986</v>
      </c>
      <c r="D9" s="104">
        <f t="shared" si="1"/>
        <v>45970</v>
      </c>
      <c r="E9" s="104">
        <f t="shared" si="2"/>
        <v>45977</v>
      </c>
      <c r="F9" s="104">
        <f t="shared" si="3"/>
        <v>45983</v>
      </c>
      <c r="G9" s="104">
        <f t="shared" si="4"/>
        <v>45971</v>
      </c>
      <c r="H9" s="104">
        <f t="shared" si="5"/>
        <v>45978</v>
      </c>
      <c r="I9" s="104"/>
      <c r="J9" s="105"/>
      <c r="K9" s="25"/>
      <c r="L9" s="25"/>
      <c r="M9" s="25"/>
      <c r="N9" s="25"/>
    </row>
    <row r="10" spans="1:14" x14ac:dyDescent="0.25">
      <c r="A10" s="104">
        <v>45963</v>
      </c>
      <c r="B10" s="25" t="s">
        <v>422</v>
      </c>
      <c r="C10" s="104">
        <f t="shared" ref="C10:C15" si="6">A10+23</f>
        <v>45986</v>
      </c>
      <c r="D10" s="104">
        <f t="shared" ref="D10:D15" si="7">A10+7</f>
        <v>45970</v>
      </c>
      <c r="E10" s="104">
        <f t="shared" ref="E10:E15" si="8">A10+14</f>
        <v>45977</v>
      </c>
      <c r="F10" s="104">
        <f t="shared" ref="F10:F15" si="9">A10+20</f>
        <v>45983</v>
      </c>
      <c r="G10" s="104">
        <f t="shared" ref="G10:G15" si="10">A10+8</f>
        <v>45971</v>
      </c>
      <c r="H10" s="104">
        <f t="shared" ref="H10:H15" si="11">A10+15</f>
        <v>45978</v>
      </c>
      <c r="I10" s="104"/>
      <c r="J10" s="105"/>
      <c r="K10" s="25"/>
      <c r="L10" s="25"/>
      <c r="M10" s="25"/>
      <c r="N10" s="25"/>
    </row>
    <row r="11" spans="1:14" x14ac:dyDescent="0.25">
      <c r="A11" s="104">
        <v>45963</v>
      </c>
      <c r="B11" s="25" t="s">
        <v>423</v>
      </c>
      <c r="C11" s="104">
        <f t="shared" si="6"/>
        <v>45986</v>
      </c>
      <c r="D11" s="104">
        <f t="shared" si="7"/>
        <v>45970</v>
      </c>
      <c r="E11" s="104">
        <f t="shared" si="8"/>
        <v>45977</v>
      </c>
      <c r="F11" s="104">
        <f t="shared" si="9"/>
        <v>45983</v>
      </c>
      <c r="G11" s="104">
        <f t="shared" si="10"/>
        <v>45971</v>
      </c>
      <c r="H11" s="104">
        <f t="shared" si="11"/>
        <v>45978</v>
      </c>
      <c r="I11" s="104"/>
      <c r="J11" s="105"/>
      <c r="K11" s="25"/>
      <c r="L11" s="25"/>
      <c r="M11" s="25"/>
      <c r="N11" s="25"/>
    </row>
    <row r="12" spans="1:14" x14ac:dyDescent="0.25">
      <c r="A12" s="104">
        <v>45963</v>
      </c>
      <c r="B12" s="25" t="s">
        <v>424</v>
      </c>
      <c r="C12" s="104">
        <f t="shared" si="6"/>
        <v>45986</v>
      </c>
      <c r="D12" s="104">
        <f t="shared" si="7"/>
        <v>45970</v>
      </c>
      <c r="E12" s="104">
        <f t="shared" si="8"/>
        <v>45977</v>
      </c>
      <c r="F12" s="104">
        <f t="shared" si="9"/>
        <v>45983</v>
      </c>
      <c r="G12" s="104">
        <f t="shared" si="10"/>
        <v>45971</v>
      </c>
      <c r="H12" s="104">
        <f t="shared" si="11"/>
        <v>45978</v>
      </c>
      <c r="I12" s="104">
        <v>45992</v>
      </c>
      <c r="J12" s="105">
        <f>I12-A12</f>
        <v>29</v>
      </c>
      <c r="K12" s="25">
        <v>16.170000000000002</v>
      </c>
      <c r="L12" s="25">
        <v>14.96</v>
      </c>
      <c r="M12" s="25">
        <f>K12-L12</f>
        <v>1.2100000000000009</v>
      </c>
      <c r="N12" s="25" t="s">
        <v>593</v>
      </c>
    </row>
    <row r="13" spans="1:14" x14ac:dyDescent="0.25">
      <c r="A13" s="104">
        <v>45963</v>
      </c>
      <c r="B13" s="25" t="s">
        <v>425</v>
      </c>
      <c r="C13" s="104">
        <f t="shared" si="6"/>
        <v>45986</v>
      </c>
      <c r="D13" s="104">
        <f t="shared" si="7"/>
        <v>45970</v>
      </c>
      <c r="E13" s="104">
        <f t="shared" si="8"/>
        <v>45977</v>
      </c>
      <c r="F13" s="104">
        <f t="shared" si="9"/>
        <v>45983</v>
      </c>
      <c r="G13" s="104">
        <f t="shared" si="10"/>
        <v>45971</v>
      </c>
      <c r="H13" s="104">
        <f t="shared" si="11"/>
        <v>45978</v>
      </c>
      <c r="I13" s="104">
        <v>45992</v>
      </c>
      <c r="J13" s="105">
        <f>I13-A13</f>
        <v>29</v>
      </c>
      <c r="K13" s="25">
        <v>17.53</v>
      </c>
      <c r="L13" s="25">
        <v>16.28</v>
      </c>
      <c r="M13" s="25">
        <f>K13-L13</f>
        <v>1.25</v>
      </c>
      <c r="N13" s="25" t="s">
        <v>593</v>
      </c>
    </row>
    <row r="14" spans="1:14" x14ac:dyDescent="0.25">
      <c r="A14" s="104">
        <v>45963</v>
      </c>
      <c r="B14" s="25" t="s">
        <v>426</v>
      </c>
      <c r="C14" s="104">
        <f t="shared" si="6"/>
        <v>45986</v>
      </c>
      <c r="D14" s="104">
        <f t="shared" si="7"/>
        <v>45970</v>
      </c>
      <c r="E14" s="104">
        <f t="shared" si="8"/>
        <v>45977</v>
      </c>
      <c r="F14" s="104">
        <f t="shared" si="9"/>
        <v>45983</v>
      </c>
      <c r="G14" s="104">
        <f t="shared" si="10"/>
        <v>45971</v>
      </c>
      <c r="H14" s="104">
        <f t="shared" si="11"/>
        <v>45978</v>
      </c>
      <c r="I14" s="104">
        <v>45992</v>
      </c>
      <c r="J14" s="105">
        <f>I14-A14</f>
        <v>29</v>
      </c>
      <c r="K14" s="25">
        <v>16.760000000000002</v>
      </c>
      <c r="L14" s="25">
        <v>15.35</v>
      </c>
      <c r="M14" s="25">
        <f>K14-L14</f>
        <v>1.4100000000000019</v>
      </c>
      <c r="N14" s="25" t="s">
        <v>593</v>
      </c>
    </row>
    <row r="15" spans="1:14" x14ac:dyDescent="0.25">
      <c r="A15" s="104">
        <v>45963</v>
      </c>
      <c r="B15" s="25" t="s">
        <v>427</v>
      </c>
      <c r="C15" s="104">
        <f t="shared" si="6"/>
        <v>45986</v>
      </c>
      <c r="D15" s="104">
        <f t="shared" si="7"/>
        <v>45970</v>
      </c>
      <c r="E15" s="104">
        <f t="shared" si="8"/>
        <v>45977</v>
      </c>
      <c r="F15" s="104">
        <f t="shared" si="9"/>
        <v>45983</v>
      </c>
      <c r="G15" s="104">
        <f t="shared" si="10"/>
        <v>45971</v>
      </c>
      <c r="H15" s="104">
        <f t="shared" si="11"/>
        <v>45978</v>
      </c>
      <c r="I15" s="104">
        <v>45992</v>
      </c>
      <c r="J15" s="105">
        <f>I15-A15</f>
        <v>29</v>
      </c>
      <c r="K15" s="25">
        <v>19.739999999999998</v>
      </c>
      <c r="L15" s="25">
        <v>10.51</v>
      </c>
      <c r="M15" s="25">
        <f>K15-L15</f>
        <v>9.2299999999999986</v>
      </c>
      <c r="N15" s="25" t="s">
        <v>592</v>
      </c>
    </row>
    <row r="16" spans="1:14" x14ac:dyDescent="0.25">
      <c r="A16" s="104">
        <v>45964</v>
      </c>
      <c r="B16" s="25" t="s">
        <v>451</v>
      </c>
      <c r="C16" s="104">
        <f t="shared" ref="C16:C79" si="12">A16+23</f>
        <v>45987</v>
      </c>
      <c r="D16" s="104">
        <f t="shared" ref="D16:D79" si="13">A16+7</f>
        <v>45971</v>
      </c>
      <c r="E16" s="104">
        <f t="shared" ref="E16:E79" si="14">A16+14</f>
        <v>45978</v>
      </c>
      <c r="F16" s="104">
        <f t="shared" ref="F16:F79" si="15">A16+20</f>
        <v>45984</v>
      </c>
      <c r="G16" s="104">
        <f t="shared" ref="G16:G79" si="16">A16+8</f>
        <v>45972</v>
      </c>
      <c r="H16" s="104">
        <f t="shared" ref="H16:H79" si="17">A16+15</f>
        <v>45979</v>
      </c>
      <c r="I16" s="104"/>
      <c r="J16" s="105"/>
      <c r="K16" s="25"/>
      <c r="L16" s="25"/>
      <c r="M16" s="25"/>
      <c r="N16" s="25"/>
    </row>
    <row r="17" spans="1:14" x14ac:dyDescent="0.25">
      <c r="A17" s="104">
        <v>45964</v>
      </c>
      <c r="B17" s="25" t="s">
        <v>452</v>
      </c>
      <c r="C17" s="104">
        <f t="shared" si="12"/>
        <v>45987</v>
      </c>
      <c r="D17" s="104">
        <f t="shared" si="13"/>
        <v>45971</v>
      </c>
      <c r="E17" s="104">
        <f t="shared" si="14"/>
        <v>45978</v>
      </c>
      <c r="F17" s="104">
        <f t="shared" si="15"/>
        <v>45984</v>
      </c>
      <c r="G17" s="104">
        <f t="shared" si="16"/>
        <v>45972</v>
      </c>
      <c r="H17" s="104">
        <f t="shared" si="17"/>
        <v>45979</v>
      </c>
      <c r="I17" s="104"/>
      <c r="J17" s="105"/>
      <c r="K17" s="25"/>
      <c r="L17" s="25"/>
      <c r="M17" s="25"/>
      <c r="N17" s="25"/>
    </row>
    <row r="18" spans="1:14" x14ac:dyDescent="0.25">
      <c r="A18" s="104">
        <v>45964</v>
      </c>
      <c r="B18" s="25" t="s">
        <v>453</v>
      </c>
      <c r="C18" s="104">
        <f t="shared" si="12"/>
        <v>45987</v>
      </c>
      <c r="D18" s="104">
        <f t="shared" si="13"/>
        <v>45971</v>
      </c>
      <c r="E18" s="104">
        <f t="shared" si="14"/>
        <v>45978</v>
      </c>
      <c r="F18" s="104">
        <f t="shared" si="15"/>
        <v>45984</v>
      </c>
      <c r="G18" s="104">
        <f t="shared" si="16"/>
        <v>45972</v>
      </c>
      <c r="H18" s="104">
        <f t="shared" si="17"/>
        <v>45979</v>
      </c>
      <c r="I18" s="104"/>
      <c r="J18" s="105"/>
      <c r="K18" s="25"/>
      <c r="L18" s="25"/>
      <c r="M18" s="25"/>
      <c r="N18" s="25"/>
    </row>
    <row r="19" spans="1:14" x14ac:dyDescent="0.25">
      <c r="A19" s="104">
        <v>45964</v>
      </c>
      <c r="B19" s="25" t="s">
        <v>454</v>
      </c>
      <c r="C19" s="104">
        <f t="shared" si="12"/>
        <v>45987</v>
      </c>
      <c r="D19" s="104">
        <f t="shared" si="13"/>
        <v>45971</v>
      </c>
      <c r="E19" s="104">
        <f t="shared" si="14"/>
        <v>45978</v>
      </c>
      <c r="F19" s="104">
        <f t="shared" si="15"/>
        <v>45984</v>
      </c>
      <c r="G19" s="104">
        <f t="shared" si="16"/>
        <v>45972</v>
      </c>
      <c r="H19" s="104">
        <f t="shared" si="17"/>
        <v>45979</v>
      </c>
      <c r="I19" s="104"/>
      <c r="J19" s="105"/>
      <c r="K19" s="25"/>
      <c r="L19" s="25"/>
      <c r="M19" s="25"/>
      <c r="N19" s="25"/>
    </row>
    <row r="20" spans="1:14" x14ac:dyDescent="0.25">
      <c r="A20" s="104">
        <v>45964</v>
      </c>
      <c r="B20" s="25" t="s">
        <v>455</v>
      </c>
      <c r="C20" s="104">
        <f t="shared" si="12"/>
        <v>45987</v>
      </c>
      <c r="D20" s="104">
        <f t="shared" si="13"/>
        <v>45971</v>
      </c>
      <c r="E20" s="104">
        <f t="shared" si="14"/>
        <v>45978</v>
      </c>
      <c r="F20" s="104">
        <f t="shared" si="15"/>
        <v>45984</v>
      </c>
      <c r="G20" s="104">
        <f t="shared" si="16"/>
        <v>45972</v>
      </c>
      <c r="H20" s="104">
        <f t="shared" si="17"/>
        <v>45979</v>
      </c>
      <c r="I20" s="104"/>
      <c r="J20" s="105"/>
      <c r="K20" s="25"/>
      <c r="L20" s="25"/>
      <c r="M20" s="25"/>
      <c r="N20" s="25"/>
    </row>
    <row r="21" spans="1:14" x14ac:dyDescent="0.25">
      <c r="A21" s="104">
        <v>45964</v>
      </c>
      <c r="B21" s="25" t="s">
        <v>456</v>
      </c>
      <c r="C21" s="104">
        <f t="shared" si="12"/>
        <v>45987</v>
      </c>
      <c r="D21" s="104">
        <f t="shared" si="13"/>
        <v>45971</v>
      </c>
      <c r="E21" s="104">
        <f t="shared" si="14"/>
        <v>45978</v>
      </c>
      <c r="F21" s="104">
        <f t="shared" si="15"/>
        <v>45984</v>
      </c>
      <c r="G21" s="104">
        <f t="shared" si="16"/>
        <v>45972</v>
      </c>
      <c r="H21" s="104">
        <f t="shared" si="17"/>
        <v>45979</v>
      </c>
      <c r="I21" s="104"/>
      <c r="J21" s="105"/>
      <c r="K21" s="25"/>
      <c r="L21" s="25"/>
      <c r="M21" s="25"/>
      <c r="N21" s="25"/>
    </row>
    <row r="22" spans="1:14" x14ac:dyDescent="0.25">
      <c r="A22" s="104">
        <v>45964</v>
      </c>
      <c r="B22" s="25" t="s">
        <v>457</v>
      </c>
      <c r="C22" s="104">
        <f t="shared" si="12"/>
        <v>45987</v>
      </c>
      <c r="D22" s="104">
        <f t="shared" si="13"/>
        <v>45971</v>
      </c>
      <c r="E22" s="104">
        <f t="shared" si="14"/>
        <v>45978</v>
      </c>
      <c r="F22" s="104">
        <f t="shared" si="15"/>
        <v>45984</v>
      </c>
      <c r="G22" s="104">
        <f t="shared" si="16"/>
        <v>45972</v>
      </c>
      <c r="H22" s="104">
        <f t="shared" si="17"/>
        <v>45979</v>
      </c>
      <c r="I22" s="104"/>
      <c r="J22" s="105"/>
      <c r="K22" s="25"/>
      <c r="L22" s="25"/>
      <c r="M22" s="25"/>
      <c r="N22" s="25"/>
    </row>
    <row r="23" spans="1:14" x14ac:dyDescent="0.25">
      <c r="A23" s="104">
        <v>45965</v>
      </c>
      <c r="B23" s="25" t="s">
        <v>465</v>
      </c>
      <c r="C23" s="104">
        <f t="shared" si="12"/>
        <v>45988</v>
      </c>
      <c r="D23" s="104">
        <f t="shared" si="13"/>
        <v>45972</v>
      </c>
      <c r="E23" s="104">
        <f t="shared" si="14"/>
        <v>45979</v>
      </c>
      <c r="F23" s="104">
        <f t="shared" si="15"/>
        <v>45985</v>
      </c>
      <c r="G23" s="104">
        <f t="shared" si="16"/>
        <v>45973</v>
      </c>
      <c r="H23" s="104">
        <f t="shared" si="17"/>
        <v>45980</v>
      </c>
      <c r="I23" s="104"/>
      <c r="J23" s="105"/>
      <c r="K23" s="25"/>
      <c r="L23" s="25"/>
      <c r="M23" s="25"/>
      <c r="N23" s="25"/>
    </row>
    <row r="24" spans="1:14" x14ac:dyDescent="0.25">
      <c r="A24" s="104">
        <v>45965</v>
      </c>
      <c r="B24" s="25" t="s">
        <v>466</v>
      </c>
      <c r="C24" s="104">
        <f t="shared" si="12"/>
        <v>45988</v>
      </c>
      <c r="D24" s="104">
        <f t="shared" si="13"/>
        <v>45972</v>
      </c>
      <c r="E24" s="104">
        <f t="shared" si="14"/>
        <v>45979</v>
      </c>
      <c r="F24" s="104">
        <f t="shared" si="15"/>
        <v>45985</v>
      </c>
      <c r="G24" s="104">
        <f t="shared" si="16"/>
        <v>45973</v>
      </c>
      <c r="H24" s="104">
        <f t="shared" si="17"/>
        <v>45980</v>
      </c>
      <c r="I24" s="104"/>
      <c r="J24" s="105"/>
      <c r="K24" s="25"/>
      <c r="L24" s="25"/>
      <c r="M24" s="25"/>
      <c r="N24" s="25"/>
    </row>
    <row r="25" spans="1:14" x14ac:dyDescent="0.25">
      <c r="A25" s="104">
        <v>45965</v>
      </c>
      <c r="B25" s="25" t="s">
        <v>467</v>
      </c>
      <c r="C25" s="104">
        <f t="shared" si="12"/>
        <v>45988</v>
      </c>
      <c r="D25" s="104">
        <f t="shared" si="13"/>
        <v>45972</v>
      </c>
      <c r="E25" s="104">
        <f t="shared" si="14"/>
        <v>45979</v>
      </c>
      <c r="F25" s="104">
        <f t="shared" si="15"/>
        <v>45985</v>
      </c>
      <c r="G25" s="104">
        <f t="shared" si="16"/>
        <v>45973</v>
      </c>
      <c r="H25" s="104">
        <f t="shared" si="17"/>
        <v>45980</v>
      </c>
      <c r="I25" s="104"/>
      <c r="J25" s="105"/>
      <c r="K25" s="25"/>
      <c r="L25" s="25"/>
      <c r="M25" s="25"/>
      <c r="N25" s="25"/>
    </row>
    <row r="26" spans="1:14" x14ac:dyDescent="0.25">
      <c r="A26" s="104">
        <v>45965</v>
      </c>
      <c r="B26" s="25" t="s">
        <v>468</v>
      </c>
      <c r="C26" s="104">
        <f t="shared" si="12"/>
        <v>45988</v>
      </c>
      <c r="D26" s="104">
        <f t="shared" si="13"/>
        <v>45972</v>
      </c>
      <c r="E26" s="104">
        <f t="shared" si="14"/>
        <v>45979</v>
      </c>
      <c r="F26" s="104">
        <f t="shared" si="15"/>
        <v>45985</v>
      </c>
      <c r="G26" s="104">
        <f t="shared" si="16"/>
        <v>45973</v>
      </c>
      <c r="H26" s="104">
        <f t="shared" si="17"/>
        <v>45980</v>
      </c>
      <c r="I26" s="104"/>
      <c r="J26" s="105"/>
      <c r="K26" s="25"/>
      <c r="L26" s="25"/>
      <c r="M26" s="25"/>
      <c r="N26" s="25"/>
    </row>
    <row r="27" spans="1:14" x14ac:dyDescent="0.25">
      <c r="A27" s="104">
        <v>45965</v>
      </c>
      <c r="B27" s="25" t="s">
        <v>469</v>
      </c>
      <c r="C27" s="104">
        <f t="shared" si="12"/>
        <v>45988</v>
      </c>
      <c r="D27" s="104">
        <f t="shared" si="13"/>
        <v>45972</v>
      </c>
      <c r="E27" s="104">
        <f t="shared" si="14"/>
        <v>45979</v>
      </c>
      <c r="F27" s="104">
        <f t="shared" si="15"/>
        <v>45985</v>
      </c>
      <c r="G27" s="104">
        <f t="shared" si="16"/>
        <v>45973</v>
      </c>
      <c r="H27" s="104">
        <f t="shared" si="17"/>
        <v>45980</v>
      </c>
      <c r="I27" s="104"/>
      <c r="J27" s="105"/>
      <c r="K27" s="25"/>
      <c r="L27" s="25"/>
      <c r="M27" s="25"/>
      <c r="N27" s="25"/>
    </row>
    <row r="28" spans="1:14" x14ac:dyDescent="0.25">
      <c r="A28" s="104">
        <v>45965</v>
      </c>
      <c r="B28" s="25" t="s">
        <v>470</v>
      </c>
      <c r="C28" s="104">
        <f t="shared" si="12"/>
        <v>45988</v>
      </c>
      <c r="D28" s="104">
        <f t="shared" si="13"/>
        <v>45972</v>
      </c>
      <c r="E28" s="104">
        <f t="shared" si="14"/>
        <v>45979</v>
      </c>
      <c r="F28" s="104">
        <f t="shared" si="15"/>
        <v>45985</v>
      </c>
      <c r="G28" s="104">
        <f t="shared" si="16"/>
        <v>45973</v>
      </c>
      <c r="H28" s="104">
        <f t="shared" si="17"/>
        <v>45980</v>
      </c>
      <c r="I28" s="104"/>
      <c r="J28" s="105"/>
      <c r="K28" s="25"/>
      <c r="L28" s="25"/>
      <c r="M28" s="25"/>
      <c r="N28" s="25"/>
    </row>
    <row r="29" spans="1:14" x14ac:dyDescent="0.25">
      <c r="A29" s="104">
        <v>45965</v>
      </c>
      <c r="B29" s="25" t="s">
        <v>471</v>
      </c>
      <c r="C29" s="104">
        <f t="shared" si="12"/>
        <v>45988</v>
      </c>
      <c r="D29" s="104">
        <f t="shared" si="13"/>
        <v>45972</v>
      </c>
      <c r="E29" s="104">
        <f t="shared" si="14"/>
        <v>45979</v>
      </c>
      <c r="F29" s="104">
        <f t="shared" si="15"/>
        <v>45985</v>
      </c>
      <c r="G29" s="104">
        <f t="shared" si="16"/>
        <v>45973</v>
      </c>
      <c r="H29" s="104">
        <f t="shared" si="17"/>
        <v>45980</v>
      </c>
      <c r="I29" s="104"/>
      <c r="J29" s="105"/>
      <c r="K29" s="25"/>
      <c r="L29" s="25"/>
      <c r="M29" s="25"/>
      <c r="N29" s="25"/>
    </row>
    <row r="30" spans="1:14" x14ac:dyDescent="0.25">
      <c r="A30" s="104">
        <v>45966</v>
      </c>
      <c r="B30" s="25" t="s">
        <v>414</v>
      </c>
      <c r="C30" s="104">
        <f t="shared" si="12"/>
        <v>45989</v>
      </c>
      <c r="D30" s="104">
        <f t="shared" si="13"/>
        <v>45973</v>
      </c>
      <c r="E30" s="104">
        <f t="shared" si="14"/>
        <v>45980</v>
      </c>
      <c r="F30" s="104">
        <f t="shared" si="15"/>
        <v>45986</v>
      </c>
      <c r="G30" s="104">
        <f t="shared" si="16"/>
        <v>45974</v>
      </c>
      <c r="H30" s="104">
        <f t="shared" si="17"/>
        <v>45981</v>
      </c>
      <c r="I30" s="104"/>
      <c r="J30" s="105"/>
      <c r="K30" s="25"/>
      <c r="L30" s="25"/>
      <c r="M30" s="25"/>
      <c r="N30" s="25"/>
    </row>
    <row r="31" spans="1:14" x14ac:dyDescent="0.25">
      <c r="A31" s="104">
        <v>45966</v>
      </c>
      <c r="B31" s="25" t="s">
        <v>415</v>
      </c>
      <c r="C31" s="104">
        <f t="shared" si="12"/>
        <v>45989</v>
      </c>
      <c r="D31" s="104">
        <f t="shared" si="13"/>
        <v>45973</v>
      </c>
      <c r="E31" s="104">
        <f t="shared" si="14"/>
        <v>45980</v>
      </c>
      <c r="F31" s="104">
        <f t="shared" si="15"/>
        <v>45986</v>
      </c>
      <c r="G31" s="104">
        <f t="shared" si="16"/>
        <v>45974</v>
      </c>
      <c r="H31" s="104">
        <f t="shared" si="17"/>
        <v>45981</v>
      </c>
      <c r="I31" s="104"/>
      <c r="J31" s="105"/>
      <c r="K31" s="25"/>
      <c r="L31" s="25"/>
      <c r="M31" s="25"/>
      <c r="N31" s="25"/>
    </row>
    <row r="32" spans="1:14" x14ac:dyDescent="0.25">
      <c r="A32" s="104">
        <v>45966</v>
      </c>
      <c r="B32" s="25" t="s">
        <v>416</v>
      </c>
      <c r="C32" s="104">
        <f t="shared" si="12"/>
        <v>45989</v>
      </c>
      <c r="D32" s="104">
        <f t="shared" si="13"/>
        <v>45973</v>
      </c>
      <c r="E32" s="104">
        <f t="shared" si="14"/>
        <v>45980</v>
      </c>
      <c r="F32" s="104">
        <f t="shared" si="15"/>
        <v>45986</v>
      </c>
      <c r="G32" s="104">
        <f t="shared" si="16"/>
        <v>45974</v>
      </c>
      <c r="H32" s="104">
        <f t="shared" si="17"/>
        <v>45981</v>
      </c>
      <c r="I32" s="104"/>
      <c r="J32" s="105"/>
      <c r="K32" s="25"/>
      <c r="L32" s="25"/>
      <c r="M32" s="25"/>
      <c r="N32" s="25"/>
    </row>
    <row r="33" spans="1:14" x14ac:dyDescent="0.25">
      <c r="A33" s="104">
        <v>45966</v>
      </c>
      <c r="B33" s="25" t="s">
        <v>417</v>
      </c>
      <c r="C33" s="104">
        <f t="shared" si="12"/>
        <v>45989</v>
      </c>
      <c r="D33" s="104">
        <f t="shared" si="13"/>
        <v>45973</v>
      </c>
      <c r="E33" s="104">
        <f t="shared" si="14"/>
        <v>45980</v>
      </c>
      <c r="F33" s="104">
        <f t="shared" si="15"/>
        <v>45986</v>
      </c>
      <c r="G33" s="104">
        <f t="shared" si="16"/>
        <v>45974</v>
      </c>
      <c r="H33" s="104">
        <f t="shared" si="17"/>
        <v>45981</v>
      </c>
      <c r="I33" s="104"/>
      <c r="J33" s="105"/>
      <c r="K33" s="25"/>
      <c r="L33" s="25"/>
      <c r="M33" s="25"/>
      <c r="N33" s="25"/>
    </row>
    <row r="34" spans="1:14" x14ac:dyDescent="0.25">
      <c r="A34" s="104">
        <v>45966</v>
      </c>
      <c r="B34" s="25" t="s">
        <v>418</v>
      </c>
      <c r="C34" s="104">
        <f t="shared" si="12"/>
        <v>45989</v>
      </c>
      <c r="D34" s="104">
        <f t="shared" si="13"/>
        <v>45973</v>
      </c>
      <c r="E34" s="104">
        <f t="shared" si="14"/>
        <v>45980</v>
      </c>
      <c r="F34" s="104">
        <f t="shared" si="15"/>
        <v>45986</v>
      </c>
      <c r="G34" s="104">
        <f t="shared" si="16"/>
        <v>45974</v>
      </c>
      <c r="H34" s="104">
        <f t="shared" si="17"/>
        <v>45981</v>
      </c>
      <c r="I34" s="104"/>
      <c r="J34" s="105"/>
      <c r="K34" s="25"/>
      <c r="L34" s="25"/>
      <c r="M34" s="25"/>
      <c r="N34" s="25"/>
    </row>
    <row r="35" spans="1:14" x14ac:dyDescent="0.25">
      <c r="A35" s="104">
        <v>45966</v>
      </c>
      <c r="B35" s="25" t="s">
        <v>419</v>
      </c>
      <c r="C35" s="104">
        <f t="shared" si="12"/>
        <v>45989</v>
      </c>
      <c r="D35" s="104">
        <f t="shared" si="13"/>
        <v>45973</v>
      </c>
      <c r="E35" s="104">
        <f t="shared" si="14"/>
        <v>45980</v>
      </c>
      <c r="F35" s="104">
        <f t="shared" si="15"/>
        <v>45986</v>
      </c>
      <c r="G35" s="104">
        <f t="shared" si="16"/>
        <v>45974</v>
      </c>
      <c r="H35" s="104">
        <f t="shared" si="17"/>
        <v>45981</v>
      </c>
      <c r="I35" s="104"/>
      <c r="J35" s="105"/>
      <c r="K35" s="25"/>
      <c r="L35" s="25"/>
      <c r="M35" s="25"/>
      <c r="N35" s="25"/>
    </row>
    <row r="36" spans="1:14" x14ac:dyDescent="0.25">
      <c r="A36" s="104">
        <v>45966</v>
      </c>
      <c r="B36" s="25" t="s">
        <v>420</v>
      </c>
      <c r="C36" s="104">
        <f t="shared" si="12"/>
        <v>45989</v>
      </c>
      <c r="D36" s="104">
        <f t="shared" si="13"/>
        <v>45973</v>
      </c>
      <c r="E36" s="104">
        <f t="shared" si="14"/>
        <v>45980</v>
      </c>
      <c r="F36" s="104">
        <f t="shared" si="15"/>
        <v>45986</v>
      </c>
      <c r="G36" s="104">
        <f t="shared" si="16"/>
        <v>45974</v>
      </c>
      <c r="H36" s="104">
        <f t="shared" si="17"/>
        <v>45981</v>
      </c>
      <c r="I36" s="104"/>
      <c r="J36" s="105"/>
      <c r="K36" s="25"/>
      <c r="L36" s="25"/>
      <c r="M36" s="25"/>
      <c r="N36" s="25"/>
    </row>
    <row r="37" spans="1:14" x14ac:dyDescent="0.25">
      <c r="A37" s="104">
        <v>45967</v>
      </c>
      <c r="B37" s="25" t="s">
        <v>444</v>
      </c>
      <c r="C37" s="104">
        <f t="shared" si="12"/>
        <v>45990</v>
      </c>
      <c r="D37" s="104">
        <f t="shared" si="13"/>
        <v>45974</v>
      </c>
      <c r="E37" s="104">
        <f t="shared" si="14"/>
        <v>45981</v>
      </c>
      <c r="F37" s="104">
        <f t="shared" si="15"/>
        <v>45987</v>
      </c>
      <c r="G37" s="104">
        <f t="shared" si="16"/>
        <v>45975</v>
      </c>
      <c r="H37" s="104">
        <f t="shared" si="17"/>
        <v>45982</v>
      </c>
      <c r="I37" s="104"/>
      <c r="J37" s="105"/>
      <c r="K37" s="25"/>
      <c r="L37" s="25"/>
      <c r="M37" s="25"/>
      <c r="N37" s="25"/>
    </row>
    <row r="38" spans="1:14" x14ac:dyDescent="0.25">
      <c r="A38" s="104">
        <v>45967</v>
      </c>
      <c r="B38" s="25" t="s">
        <v>445</v>
      </c>
      <c r="C38" s="104">
        <f t="shared" si="12"/>
        <v>45990</v>
      </c>
      <c r="D38" s="104">
        <f t="shared" si="13"/>
        <v>45974</v>
      </c>
      <c r="E38" s="104">
        <f t="shared" si="14"/>
        <v>45981</v>
      </c>
      <c r="F38" s="104">
        <f t="shared" si="15"/>
        <v>45987</v>
      </c>
      <c r="G38" s="104">
        <f t="shared" si="16"/>
        <v>45975</v>
      </c>
      <c r="H38" s="104">
        <f t="shared" si="17"/>
        <v>45982</v>
      </c>
      <c r="I38" s="104"/>
      <c r="J38" s="105"/>
      <c r="K38" s="25"/>
      <c r="L38" s="25"/>
      <c r="M38" s="25"/>
      <c r="N38" s="25"/>
    </row>
    <row r="39" spans="1:14" x14ac:dyDescent="0.25">
      <c r="A39" s="104">
        <v>45967</v>
      </c>
      <c r="B39" s="25" t="s">
        <v>446</v>
      </c>
      <c r="C39" s="104">
        <f t="shared" si="12"/>
        <v>45990</v>
      </c>
      <c r="D39" s="104">
        <f t="shared" si="13"/>
        <v>45974</v>
      </c>
      <c r="E39" s="104">
        <f t="shared" si="14"/>
        <v>45981</v>
      </c>
      <c r="F39" s="104">
        <f t="shared" si="15"/>
        <v>45987</v>
      </c>
      <c r="G39" s="104">
        <f t="shared" si="16"/>
        <v>45975</v>
      </c>
      <c r="H39" s="104">
        <f t="shared" si="17"/>
        <v>45982</v>
      </c>
      <c r="I39" s="104"/>
      <c r="J39" s="105"/>
      <c r="K39" s="25"/>
      <c r="L39" s="25"/>
      <c r="M39" s="25"/>
      <c r="N39" s="25"/>
    </row>
    <row r="40" spans="1:14" x14ac:dyDescent="0.25">
      <c r="A40" s="104">
        <v>45967</v>
      </c>
      <c r="B40" s="25" t="s">
        <v>447</v>
      </c>
      <c r="C40" s="104">
        <f t="shared" si="12"/>
        <v>45990</v>
      </c>
      <c r="D40" s="104">
        <f t="shared" si="13"/>
        <v>45974</v>
      </c>
      <c r="E40" s="104">
        <f t="shared" si="14"/>
        <v>45981</v>
      </c>
      <c r="F40" s="104">
        <f t="shared" si="15"/>
        <v>45987</v>
      </c>
      <c r="G40" s="104">
        <f t="shared" si="16"/>
        <v>45975</v>
      </c>
      <c r="H40" s="104">
        <f t="shared" si="17"/>
        <v>45982</v>
      </c>
      <c r="I40" s="104"/>
      <c r="J40" s="105"/>
      <c r="K40" s="25"/>
      <c r="L40" s="25"/>
      <c r="M40" s="25"/>
      <c r="N40" s="25"/>
    </row>
    <row r="41" spans="1:14" x14ac:dyDescent="0.25">
      <c r="A41" s="104">
        <v>45967</v>
      </c>
      <c r="B41" s="25" t="s">
        <v>448</v>
      </c>
      <c r="C41" s="104">
        <f t="shared" si="12"/>
        <v>45990</v>
      </c>
      <c r="D41" s="104">
        <f t="shared" si="13"/>
        <v>45974</v>
      </c>
      <c r="E41" s="104">
        <f t="shared" si="14"/>
        <v>45981</v>
      </c>
      <c r="F41" s="104">
        <f t="shared" si="15"/>
        <v>45987</v>
      </c>
      <c r="G41" s="104">
        <f t="shared" si="16"/>
        <v>45975</v>
      </c>
      <c r="H41" s="104">
        <f t="shared" si="17"/>
        <v>45982</v>
      </c>
      <c r="I41" s="104"/>
      <c r="J41" s="105"/>
      <c r="K41" s="25"/>
      <c r="L41" s="25"/>
      <c r="M41" s="25"/>
      <c r="N41" s="25"/>
    </row>
    <row r="42" spans="1:14" x14ac:dyDescent="0.25">
      <c r="A42" s="104">
        <v>45967</v>
      </c>
      <c r="B42" s="25" t="s">
        <v>449</v>
      </c>
      <c r="C42" s="104">
        <f t="shared" si="12"/>
        <v>45990</v>
      </c>
      <c r="D42" s="104">
        <f t="shared" si="13"/>
        <v>45974</v>
      </c>
      <c r="E42" s="104">
        <f t="shared" si="14"/>
        <v>45981</v>
      </c>
      <c r="F42" s="104">
        <f t="shared" si="15"/>
        <v>45987</v>
      </c>
      <c r="G42" s="104">
        <f t="shared" si="16"/>
        <v>45975</v>
      </c>
      <c r="H42" s="104">
        <f t="shared" si="17"/>
        <v>45982</v>
      </c>
      <c r="I42" s="104"/>
      <c r="J42" s="105"/>
      <c r="K42" s="25"/>
      <c r="L42" s="25"/>
      <c r="M42" s="25"/>
      <c r="N42" s="25"/>
    </row>
    <row r="43" spans="1:14" x14ac:dyDescent="0.25">
      <c r="A43" s="104">
        <v>45967</v>
      </c>
      <c r="B43" s="25" t="s">
        <v>450</v>
      </c>
      <c r="C43" s="104">
        <f t="shared" si="12"/>
        <v>45990</v>
      </c>
      <c r="D43" s="104">
        <f t="shared" si="13"/>
        <v>45974</v>
      </c>
      <c r="E43" s="104">
        <f t="shared" si="14"/>
        <v>45981</v>
      </c>
      <c r="F43" s="104">
        <f t="shared" si="15"/>
        <v>45987</v>
      </c>
      <c r="G43" s="104">
        <f t="shared" si="16"/>
        <v>45975</v>
      </c>
      <c r="H43" s="104">
        <f t="shared" si="17"/>
        <v>45982</v>
      </c>
      <c r="I43" s="104"/>
      <c r="J43" s="105"/>
      <c r="K43" s="25"/>
      <c r="L43" s="25"/>
      <c r="M43" s="25"/>
      <c r="N43" s="25"/>
    </row>
    <row r="44" spans="1:14" x14ac:dyDescent="0.25">
      <c r="A44" s="104">
        <v>45968</v>
      </c>
      <c r="B44" s="25" t="s">
        <v>412</v>
      </c>
      <c r="C44" s="104">
        <f t="shared" si="12"/>
        <v>45991</v>
      </c>
      <c r="D44" s="104">
        <f t="shared" si="13"/>
        <v>45975</v>
      </c>
      <c r="E44" s="104">
        <f t="shared" si="14"/>
        <v>45982</v>
      </c>
      <c r="F44" s="104">
        <f t="shared" si="15"/>
        <v>45988</v>
      </c>
      <c r="G44" s="104">
        <f t="shared" si="16"/>
        <v>45976</v>
      </c>
      <c r="H44" s="104">
        <f t="shared" si="17"/>
        <v>45983</v>
      </c>
      <c r="I44" s="104"/>
      <c r="J44" s="105"/>
      <c r="K44" s="25"/>
      <c r="L44" s="25"/>
      <c r="M44" s="25"/>
      <c r="N44" s="25"/>
    </row>
    <row r="45" spans="1:14" x14ac:dyDescent="0.25">
      <c r="A45" s="104">
        <v>45968</v>
      </c>
      <c r="B45" s="25" t="s">
        <v>413</v>
      </c>
      <c r="C45" s="104">
        <f t="shared" si="12"/>
        <v>45991</v>
      </c>
      <c r="D45" s="104">
        <f t="shared" si="13"/>
        <v>45975</v>
      </c>
      <c r="E45" s="104">
        <f t="shared" si="14"/>
        <v>45982</v>
      </c>
      <c r="F45" s="104">
        <f t="shared" si="15"/>
        <v>45988</v>
      </c>
      <c r="G45" s="104">
        <f t="shared" si="16"/>
        <v>45976</v>
      </c>
      <c r="H45" s="104">
        <f t="shared" si="17"/>
        <v>45983</v>
      </c>
      <c r="I45" s="104"/>
      <c r="J45" s="105"/>
      <c r="K45" s="25"/>
      <c r="L45" s="25"/>
      <c r="M45" s="25"/>
      <c r="N45" s="25"/>
    </row>
    <row r="46" spans="1:14" x14ac:dyDescent="0.25">
      <c r="A46" s="104">
        <v>45968</v>
      </c>
      <c r="B46" s="25" t="s">
        <v>442</v>
      </c>
      <c r="C46" s="104">
        <f t="shared" si="12"/>
        <v>45991</v>
      </c>
      <c r="D46" s="104">
        <f t="shared" si="13"/>
        <v>45975</v>
      </c>
      <c r="E46" s="104">
        <f t="shared" si="14"/>
        <v>45982</v>
      </c>
      <c r="F46" s="104">
        <f t="shared" si="15"/>
        <v>45988</v>
      </c>
      <c r="G46" s="104">
        <f t="shared" si="16"/>
        <v>45976</v>
      </c>
      <c r="H46" s="104">
        <f t="shared" si="17"/>
        <v>45983</v>
      </c>
      <c r="I46" s="104"/>
      <c r="J46" s="105"/>
      <c r="K46" s="25"/>
      <c r="L46" s="25"/>
      <c r="M46" s="25"/>
      <c r="N46" s="25"/>
    </row>
    <row r="47" spans="1:14" x14ac:dyDescent="0.25">
      <c r="A47" s="104">
        <v>45968</v>
      </c>
      <c r="B47" s="25" t="s">
        <v>443</v>
      </c>
      <c r="C47" s="104">
        <f t="shared" si="12"/>
        <v>45991</v>
      </c>
      <c r="D47" s="104">
        <f t="shared" si="13"/>
        <v>45975</v>
      </c>
      <c r="E47" s="104">
        <f t="shared" si="14"/>
        <v>45982</v>
      </c>
      <c r="F47" s="104">
        <f t="shared" si="15"/>
        <v>45988</v>
      </c>
      <c r="G47" s="104">
        <f t="shared" si="16"/>
        <v>45976</v>
      </c>
      <c r="H47" s="104">
        <f t="shared" si="17"/>
        <v>45983</v>
      </c>
      <c r="I47" s="104"/>
      <c r="J47" s="105"/>
      <c r="K47" s="25"/>
      <c r="L47" s="25"/>
      <c r="M47" s="25"/>
      <c r="N47" s="25"/>
    </row>
    <row r="48" spans="1:14" x14ac:dyDescent="0.25">
      <c r="A48" s="104">
        <v>45968</v>
      </c>
      <c r="B48" s="25" t="s">
        <v>472</v>
      </c>
      <c r="C48" s="104">
        <f t="shared" si="12"/>
        <v>45991</v>
      </c>
      <c r="D48" s="104">
        <f t="shared" si="13"/>
        <v>45975</v>
      </c>
      <c r="E48" s="104">
        <f t="shared" si="14"/>
        <v>45982</v>
      </c>
      <c r="F48" s="104">
        <f t="shared" si="15"/>
        <v>45988</v>
      </c>
      <c r="G48" s="104">
        <f t="shared" si="16"/>
        <v>45976</v>
      </c>
      <c r="H48" s="104">
        <f t="shared" si="17"/>
        <v>45983</v>
      </c>
      <c r="I48" s="104"/>
      <c r="J48" s="105"/>
      <c r="K48" s="25"/>
      <c r="L48" s="25"/>
      <c r="M48" s="25"/>
      <c r="N48" s="25"/>
    </row>
    <row r="49" spans="1:14" x14ac:dyDescent="0.25">
      <c r="A49" s="104">
        <v>45968</v>
      </c>
      <c r="B49" s="25" t="s">
        <v>473</v>
      </c>
      <c r="C49" s="104">
        <f t="shared" si="12"/>
        <v>45991</v>
      </c>
      <c r="D49" s="104">
        <f t="shared" si="13"/>
        <v>45975</v>
      </c>
      <c r="E49" s="104">
        <f t="shared" si="14"/>
        <v>45982</v>
      </c>
      <c r="F49" s="104">
        <f t="shared" si="15"/>
        <v>45988</v>
      </c>
      <c r="G49" s="104">
        <f t="shared" si="16"/>
        <v>45976</v>
      </c>
      <c r="H49" s="104">
        <f t="shared" si="17"/>
        <v>45983</v>
      </c>
      <c r="I49" s="104"/>
      <c r="J49" s="105"/>
      <c r="K49" s="25"/>
      <c r="L49" s="25"/>
      <c r="M49" s="25"/>
      <c r="N49" s="25"/>
    </row>
    <row r="50" spans="1:14" x14ac:dyDescent="0.25">
      <c r="A50" s="104">
        <v>45968</v>
      </c>
      <c r="B50" s="25" t="s">
        <v>474</v>
      </c>
      <c r="C50" s="104">
        <f t="shared" si="12"/>
        <v>45991</v>
      </c>
      <c r="D50" s="104">
        <f t="shared" si="13"/>
        <v>45975</v>
      </c>
      <c r="E50" s="104">
        <f t="shared" si="14"/>
        <v>45982</v>
      </c>
      <c r="F50" s="104">
        <f t="shared" si="15"/>
        <v>45988</v>
      </c>
      <c r="G50" s="104">
        <f t="shared" si="16"/>
        <v>45976</v>
      </c>
      <c r="H50" s="104">
        <f t="shared" si="17"/>
        <v>45983</v>
      </c>
      <c r="I50" s="104"/>
      <c r="J50" s="105"/>
      <c r="K50" s="25"/>
      <c r="L50" s="25"/>
      <c r="M50" s="25"/>
      <c r="N50" s="25"/>
    </row>
    <row r="51" spans="1:14" x14ac:dyDescent="0.25">
      <c r="A51" s="104">
        <v>45969</v>
      </c>
      <c r="B51" s="25" t="s">
        <v>476</v>
      </c>
      <c r="C51" s="104">
        <f t="shared" si="12"/>
        <v>45992</v>
      </c>
      <c r="D51" s="104">
        <f t="shared" si="13"/>
        <v>45976</v>
      </c>
      <c r="E51" s="104">
        <f t="shared" si="14"/>
        <v>45983</v>
      </c>
      <c r="F51" s="104">
        <f t="shared" si="15"/>
        <v>45989</v>
      </c>
      <c r="G51" s="104">
        <f t="shared" si="16"/>
        <v>45977</v>
      </c>
      <c r="H51" s="104">
        <f t="shared" si="17"/>
        <v>45984</v>
      </c>
      <c r="I51" s="104"/>
      <c r="J51" s="105"/>
      <c r="K51" s="25"/>
      <c r="L51" s="25"/>
      <c r="M51" s="25"/>
      <c r="N51" s="25"/>
    </row>
    <row r="52" spans="1:14" x14ac:dyDescent="0.25">
      <c r="A52" s="104">
        <v>45969</v>
      </c>
      <c r="B52" s="25" t="s">
        <v>477</v>
      </c>
      <c r="C52" s="104">
        <f t="shared" si="12"/>
        <v>45992</v>
      </c>
      <c r="D52" s="104">
        <f t="shared" si="13"/>
        <v>45976</v>
      </c>
      <c r="E52" s="104">
        <f t="shared" si="14"/>
        <v>45983</v>
      </c>
      <c r="F52" s="104">
        <f t="shared" si="15"/>
        <v>45989</v>
      </c>
      <c r="G52" s="104">
        <f t="shared" si="16"/>
        <v>45977</v>
      </c>
      <c r="H52" s="104">
        <f t="shared" si="17"/>
        <v>45984</v>
      </c>
      <c r="I52" s="104"/>
      <c r="J52" s="105"/>
      <c r="K52" s="25"/>
      <c r="L52" s="25"/>
      <c r="M52" s="25"/>
      <c r="N52" s="25"/>
    </row>
    <row r="53" spans="1:14" x14ac:dyDescent="0.25">
      <c r="A53" s="104">
        <v>45969</v>
      </c>
      <c r="B53" s="25" t="s">
        <v>478</v>
      </c>
      <c r="C53" s="104">
        <f t="shared" si="12"/>
        <v>45992</v>
      </c>
      <c r="D53" s="104">
        <f t="shared" si="13"/>
        <v>45976</v>
      </c>
      <c r="E53" s="104">
        <f t="shared" si="14"/>
        <v>45983</v>
      </c>
      <c r="F53" s="104">
        <f t="shared" si="15"/>
        <v>45989</v>
      </c>
      <c r="G53" s="104">
        <f t="shared" si="16"/>
        <v>45977</v>
      </c>
      <c r="H53" s="104">
        <f t="shared" si="17"/>
        <v>45984</v>
      </c>
      <c r="I53" s="104"/>
      <c r="J53" s="105"/>
      <c r="K53" s="25"/>
      <c r="L53" s="25"/>
      <c r="M53" s="25"/>
      <c r="N53" s="25"/>
    </row>
    <row r="54" spans="1:14" x14ac:dyDescent="0.25">
      <c r="A54" s="104">
        <v>45969</v>
      </c>
      <c r="B54" s="25" t="s">
        <v>479</v>
      </c>
      <c r="C54" s="104">
        <f t="shared" si="12"/>
        <v>45992</v>
      </c>
      <c r="D54" s="104">
        <f t="shared" si="13"/>
        <v>45976</v>
      </c>
      <c r="E54" s="104">
        <f t="shared" si="14"/>
        <v>45983</v>
      </c>
      <c r="F54" s="104">
        <f t="shared" si="15"/>
        <v>45989</v>
      </c>
      <c r="G54" s="104">
        <f t="shared" si="16"/>
        <v>45977</v>
      </c>
      <c r="H54" s="104">
        <f t="shared" si="17"/>
        <v>45984</v>
      </c>
      <c r="I54" s="104"/>
      <c r="J54" s="105"/>
      <c r="K54" s="25"/>
      <c r="L54" s="25"/>
      <c r="M54" s="25"/>
      <c r="N54" s="25"/>
    </row>
    <row r="55" spans="1:14" x14ac:dyDescent="0.25">
      <c r="A55" s="104">
        <v>45969</v>
      </c>
      <c r="B55" s="25" t="s">
        <v>480</v>
      </c>
      <c r="C55" s="104">
        <f t="shared" si="12"/>
        <v>45992</v>
      </c>
      <c r="D55" s="104">
        <f t="shared" si="13"/>
        <v>45976</v>
      </c>
      <c r="E55" s="104">
        <f t="shared" si="14"/>
        <v>45983</v>
      </c>
      <c r="F55" s="104">
        <f t="shared" si="15"/>
        <v>45989</v>
      </c>
      <c r="G55" s="104">
        <f t="shared" si="16"/>
        <v>45977</v>
      </c>
      <c r="H55" s="104">
        <f t="shared" si="17"/>
        <v>45984</v>
      </c>
      <c r="I55" s="104"/>
      <c r="J55" s="105"/>
      <c r="K55" s="25"/>
      <c r="L55" s="25"/>
      <c r="M55" s="25"/>
      <c r="N55" s="25"/>
    </row>
    <row r="56" spans="1:14" x14ac:dyDescent="0.25">
      <c r="A56" s="104">
        <v>45969</v>
      </c>
      <c r="B56" s="25" t="s">
        <v>481</v>
      </c>
      <c r="C56" s="104">
        <f t="shared" si="12"/>
        <v>45992</v>
      </c>
      <c r="D56" s="104">
        <f t="shared" si="13"/>
        <v>45976</v>
      </c>
      <c r="E56" s="104">
        <f t="shared" si="14"/>
        <v>45983</v>
      </c>
      <c r="F56" s="104">
        <f t="shared" si="15"/>
        <v>45989</v>
      </c>
      <c r="G56" s="104">
        <f t="shared" si="16"/>
        <v>45977</v>
      </c>
      <c r="H56" s="104">
        <f t="shared" si="17"/>
        <v>45984</v>
      </c>
      <c r="I56" s="104"/>
      <c r="J56" s="105"/>
      <c r="K56" s="25"/>
      <c r="L56" s="25"/>
      <c r="M56" s="25"/>
      <c r="N56" s="25"/>
    </row>
    <row r="57" spans="1:14" x14ac:dyDescent="0.25">
      <c r="A57" s="104">
        <v>45969</v>
      </c>
      <c r="B57" s="25" t="s">
        <v>482</v>
      </c>
      <c r="C57" s="104">
        <f t="shared" si="12"/>
        <v>45992</v>
      </c>
      <c r="D57" s="104">
        <f t="shared" si="13"/>
        <v>45976</v>
      </c>
      <c r="E57" s="104">
        <f t="shared" si="14"/>
        <v>45983</v>
      </c>
      <c r="F57" s="104">
        <f t="shared" si="15"/>
        <v>45989</v>
      </c>
      <c r="G57" s="104">
        <f t="shared" si="16"/>
        <v>45977</v>
      </c>
      <c r="H57" s="104">
        <f t="shared" si="17"/>
        <v>45984</v>
      </c>
      <c r="I57" s="104"/>
      <c r="J57" s="105"/>
      <c r="K57" s="25"/>
      <c r="L57" s="25"/>
      <c r="M57" s="25"/>
      <c r="N57" s="25"/>
    </row>
    <row r="58" spans="1:14" x14ac:dyDescent="0.25">
      <c r="A58" s="104">
        <v>45970</v>
      </c>
      <c r="B58" s="25" t="s">
        <v>483</v>
      </c>
      <c r="C58" s="104">
        <f t="shared" si="12"/>
        <v>45993</v>
      </c>
      <c r="D58" s="104">
        <f t="shared" si="13"/>
        <v>45977</v>
      </c>
      <c r="E58" s="104">
        <f t="shared" si="14"/>
        <v>45984</v>
      </c>
      <c r="F58" s="104">
        <f t="shared" si="15"/>
        <v>45990</v>
      </c>
      <c r="G58" s="104">
        <f t="shared" si="16"/>
        <v>45978</v>
      </c>
      <c r="H58" s="104">
        <f t="shared" si="17"/>
        <v>45985</v>
      </c>
      <c r="I58" s="104"/>
      <c r="J58" s="105"/>
      <c r="K58" s="25"/>
      <c r="L58" s="25"/>
      <c r="M58" s="25"/>
      <c r="N58" s="25"/>
    </row>
    <row r="59" spans="1:14" x14ac:dyDescent="0.25">
      <c r="A59" s="104">
        <v>45970</v>
      </c>
      <c r="B59" s="25" t="s">
        <v>484</v>
      </c>
      <c r="C59" s="104">
        <f t="shared" si="12"/>
        <v>45993</v>
      </c>
      <c r="D59" s="104">
        <f t="shared" si="13"/>
        <v>45977</v>
      </c>
      <c r="E59" s="104">
        <f t="shared" si="14"/>
        <v>45984</v>
      </c>
      <c r="F59" s="104">
        <f t="shared" si="15"/>
        <v>45990</v>
      </c>
      <c r="G59" s="104">
        <f t="shared" si="16"/>
        <v>45978</v>
      </c>
      <c r="H59" s="104">
        <f t="shared" si="17"/>
        <v>45985</v>
      </c>
      <c r="I59" s="104"/>
      <c r="J59" s="105"/>
      <c r="K59" s="25"/>
      <c r="L59" s="25"/>
      <c r="M59" s="25"/>
      <c r="N59" s="25"/>
    </row>
    <row r="60" spans="1:14" x14ac:dyDescent="0.25">
      <c r="A60" s="104">
        <v>45970</v>
      </c>
      <c r="B60" s="25" t="s">
        <v>485</v>
      </c>
      <c r="C60" s="104">
        <f t="shared" si="12"/>
        <v>45993</v>
      </c>
      <c r="D60" s="104">
        <f t="shared" si="13"/>
        <v>45977</v>
      </c>
      <c r="E60" s="104">
        <f t="shared" si="14"/>
        <v>45984</v>
      </c>
      <c r="F60" s="104">
        <f t="shared" si="15"/>
        <v>45990</v>
      </c>
      <c r="G60" s="104">
        <f t="shared" si="16"/>
        <v>45978</v>
      </c>
      <c r="H60" s="104">
        <f t="shared" si="17"/>
        <v>45985</v>
      </c>
      <c r="I60" s="104"/>
      <c r="J60" s="105"/>
      <c r="K60" s="25"/>
      <c r="L60" s="25"/>
      <c r="M60" s="25"/>
      <c r="N60" s="25"/>
    </row>
    <row r="61" spans="1:14" x14ac:dyDescent="0.25">
      <c r="A61" s="104">
        <v>45970</v>
      </c>
      <c r="B61" s="25" t="s">
        <v>486</v>
      </c>
      <c r="C61" s="104">
        <f t="shared" si="12"/>
        <v>45993</v>
      </c>
      <c r="D61" s="104">
        <f t="shared" si="13"/>
        <v>45977</v>
      </c>
      <c r="E61" s="104">
        <f t="shared" si="14"/>
        <v>45984</v>
      </c>
      <c r="F61" s="104">
        <f t="shared" si="15"/>
        <v>45990</v>
      </c>
      <c r="G61" s="104">
        <f t="shared" si="16"/>
        <v>45978</v>
      </c>
      <c r="H61" s="104">
        <f t="shared" si="17"/>
        <v>45985</v>
      </c>
      <c r="I61" s="104"/>
      <c r="J61" s="105"/>
      <c r="K61" s="25"/>
      <c r="L61" s="25"/>
      <c r="M61" s="25"/>
      <c r="N61" s="25"/>
    </row>
    <row r="62" spans="1:14" x14ac:dyDescent="0.25">
      <c r="A62" s="104">
        <v>45970</v>
      </c>
      <c r="B62" s="25" t="s">
        <v>487</v>
      </c>
      <c r="C62" s="104">
        <f t="shared" si="12"/>
        <v>45993</v>
      </c>
      <c r="D62" s="104">
        <f t="shared" si="13"/>
        <v>45977</v>
      </c>
      <c r="E62" s="104">
        <f t="shared" si="14"/>
        <v>45984</v>
      </c>
      <c r="F62" s="104">
        <f t="shared" si="15"/>
        <v>45990</v>
      </c>
      <c r="G62" s="104">
        <f t="shared" si="16"/>
        <v>45978</v>
      </c>
      <c r="H62" s="104">
        <f t="shared" si="17"/>
        <v>45985</v>
      </c>
      <c r="I62" s="104"/>
      <c r="J62" s="105"/>
      <c r="K62" s="25"/>
      <c r="L62" s="25"/>
      <c r="M62" s="25"/>
      <c r="N62" s="25"/>
    </row>
    <row r="63" spans="1:14" x14ac:dyDescent="0.25">
      <c r="A63" s="104">
        <v>45970</v>
      </c>
      <c r="B63" s="25" t="s">
        <v>488</v>
      </c>
      <c r="C63" s="104">
        <f t="shared" si="12"/>
        <v>45993</v>
      </c>
      <c r="D63" s="104">
        <f t="shared" si="13"/>
        <v>45977</v>
      </c>
      <c r="E63" s="104">
        <f t="shared" si="14"/>
        <v>45984</v>
      </c>
      <c r="F63" s="104">
        <f t="shared" si="15"/>
        <v>45990</v>
      </c>
      <c r="G63" s="104">
        <f t="shared" si="16"/>
        <v>45978</v>
      </c>
      <c r="H63" s="104">
        <f t="shared" si="17"/>
        <v>45985</v>
      </c>
      <c r="I63" s="104"/>
      <c r="J63" s="105"/>
      <c r="K63" s="25"/>
      <c r="L63" s="25"/>
      <c r="M63" s="25"/>
      <c r="N63" s="25"/>
    </row>
    <row r="64" spans="1:14" x14ac:dyDescent="0.25">
      <c r="A64" s="104">
        <v>45970</v>
      </c>
      <c r="B64" s="25" t="s">
        <v>489</v>
      </c>
      <c r="C64" s="104">
        <f t="shared" si="12"/>
        <v>45993</v>
      </c>
      <c r="D64" s="104">
        <f t="shared" si="13"/>
        <v>45977</v>
      </c>
      <c r="E64" s="104">
        <f t="shared" si="14"/>
        <v>45984</v>
      </c>
      <c r="F64" s="104">
        <f t="shared" si="15"/>
        <v>45990</v>
      </c>
      <c r="G64" s="104">
        <f t="shared" si="16"/>
        <v>45978</v>
      </c>
      <c r="H64" s="104">
        <f t="shared" si="17"/>
        <v>45985</v>
      </c>
      <c r="I64" s="104"/>
      <c r="J64" s="105"/>
      <c r="K64" s="25"/>
      <c r="L64" s="25"/>
      <c r="M64" s="25"/>
      <c r="N64" s="25"/>
    </row>
    <row r="65" spans="1:14" x14ac:dyDescent="0.25">
      <c r="A65" s="104">
        <v>45971</v>
      </c>
      <c r="B65" s="25" t="s">
        <v>490</v>
      </c>
      <c r="C65" s="104">
        <f t="shared" si="12"/>
        <v>45994</v>
      </c>
      <c r="D65" s="104">
        <f t="shared" si="13"/>
        <v>45978</v>
      </c>
      <c r="E65" s="104">
        <f t="shared" si="14"/>
        <v>45985</v>
      </c>
      <c r="F65" s="104">
        <f t="shared" si="15"/>
        <v>45991</v>
      </c>
      <c r="G65" s="104">
        <f t="shared" si="16"/>
        <v>45979</v>
      </c>
      <c r="H65" s="104">
        <f t="shared" si="17"/>
        <v>45986</v>
      </c>
      <c r="I65" s="104"/>
      <c r="J65" s="105"/>
      <c r="K65" s="25"/>
      <c r="L65" s="25"/>
      <c r="M65" s="25"/>
      <c r="N65" s="25"/>
    </row>
    <row r="66" spans="1:14" x14ac:dyDescent="0.25">
      <c r="A66" s="104">
        <v>45971</v>
      </c>
      <c r="B66" s="25" t="s">
        <v>491</v>
      </c>
      <c r="C66" s="104">
        <f t="shared" si="12"/>
        <v>45994</v>
      </c>
      <c r="D66" s="104">
        <f t="shared" si="13"/>
        <v>45978</v>
      </c>
      <c r="E66" s="104">
        <f t="shared" si="14"/>
        <v>45985</v>
      </c>
      <c r="F66" s="104">
        <f t="shared" si="15"/>
        <v>45991</v>
      </c>
      <c r="G66" s="104">
        <f t="shared" si="16"/>
        <v>45979</v>
      </c>
      <c r="H66" s="104">
        <f t="shared" si="17"/>
        <v>45986</v>
      </c>
      <c r="I66" s="104"/>
      <c r="J66" s="105"/>
      <c r="K66" s="25"/>
      <c r="L66" s="25"/>
      <c r="M66" s="25"/>
      <c r="N66" s="25"/>
    </row>
    <row r="67" spans="1:14" x14ac:dyDescent="0.25">
      <c r="A67" s="104">
        <v>45971</v>
      </c>
      <c r="B67" s="25" t="s">
        <v>492</v>
      </c>
      <c r="C67" s="104">
        <f t="shared" si="12"/>
        <v>45994</v>
      </c>
      <c r="D67" s="104">
        <f t="shared" si="13"/>
        <v>45978</v>
      </c>
      <c r="E67" s="104">
        <f t="shared" si="14"/>
        <v>45985</v>
      </c>
      <c r="F67" s="104">
        <f t="shared" si="15"/>
        <v>45991</v>
      </c>
      <c r="G67" s="104">
        <f t="shared" si="16"/>
        <v>45979</v>
      </c>
      <c r="H67" s="104">
        <f t="shared" si="17"/>
        <v>45986</v>
      </c>
      <c r="I67" s="104"/>
      <c r="J67" s="105"/>
      <c r="K67" s="25"/>
      <c r="L67" s="25"/>
      <c r="M67" s="25"/>
      <c r="N67" s="25"/>
    </row>
    <row r="68" spans="1:14" x14ac:dyDescent="0.25">
      <c r="A68" s="104">
        <v>45971</v>
      </c>
      <c r="B68" s="25" t="s">
        <v>493</v>
      </c>
      <c r="C68" s="104">
        <f t="shared" si="12"/>
        <v>45994</v>
      </c>
      <c r="D68" s="104">
        <f t="shared" si="13"/>
        <v>45978</v>
      </c>
      <c r="E68" s="104">
        <f t="shared" si="14"/>
        <v>45985</v>
      </c>
      <c r="F68" s="104">
        <f t="shared" si="15"/>
        <v>45991</v>
      </c>
      <c r="G68" s="104">
        <f t="shared" si="16"/>
        <v>45979</v>
      </c>
      <c r="H68" s="104">
        <f t="shared" si="17"/>
        <v>45986</v>
      </c>
      <c r="I68" s="104"/>
      <c r="J68" s="105"/>
      <c r="K68" s="25"/>
      <c r="L68" s="25"/>
      <c r="M68" s="25"/>
      <c r="N68" s="25"/>
    </row>
    <row r="69" spans="1:14" x14ac:dyDescent="0.25">
      <c r="A69" s="104">
        <v>45971</v>
      </c>
      <c r="B69" s="25" t="s">
        <v>494</v>
      </c>
      <c r="C69" s="104">
        <f t="shared" si="12"/>
        <v>45994</v>
      </c>
      <c r="D69" s="104">
        <f t="shared" si="13"/>
        <v>45978</v>
      </c>
      <c r="E69" s="104">
        <f t="shared" si="14"/>
        <v>45985</v>
      </c>
      <c r="F69" s="104">
        <f t="shared" si="15"/>
        <v>45991</v>
      </c>
      <c r="G69" s="104">
        <f t="shared" si="16"/>
        <v>45979</v>
      </c>
      <c r="H69" s="104">
        <f t="shared" si="17"/>
        <v>45986</v>
      </c>
      <c r="I69" s="104"/>
      <c r="J69" s="105"/>
      <c r="K69" s="25"/>
      <c r="L69" s="25"/>
      <c r="M69" s="25"/>
      <c r="N69" s="25"/>
    </row>
    <row r="70" spans="1:14" x14ac:dyDescent="0.25">
      <c r="A70" s="104">
        <v>45971</v>
      </c>
      <c r="B70" s="25" t="s">
        <v>495</v>
      </c>
      <c r="C70" s="104">
        <f t="shared" si="12"/>
        <v>45994</v>
      </c>
      <c r="D70" s="104">
        <f t="shared" si="13"/>
        <v>45978</v>
      </c>
      <c r="E70" s="104">
        <f t="shared" si="14"/>
        <v>45985</v>
      </c>
      <c r="F70" s="104">
        <f t="shared" si="15"/>
        <v>45991</v>
      </c>
      <c r="G70" s="104">
        <f t="shared" si="16"/>
        <v>45979</v>
      </c>
      <c r="H70" s="104">
        <f t="shared" si="17"/>
        <v>45986</v>
      </c>
      <c r="I70" s="104"/>
      <c r="J70" s="105"/>
      <c r="K70" s="25"/>
      <c r="L70" s="25"/>
      <c r="M70" s="25"/>
      <c r="N70" s="25"/>
    </row>
    <row r="71" spans="1:14" x14ac:dyDescent="0.25">
      <c r="A71" s="104">
        <v>45971</v>
      </c>
      <c r="B71" s="25" t="s">
        <v>496</v>
      </c>
      <c r="C71" s="104">
        <f t="shared" si="12"/>
        <v>45994</v>
      </c>
      <c r="D71" s="104">
        <f t="shared" si="13"/>
        <v>45978</v>
      </c>
      <c r="E71" s="104">
        <f t="shared" si="14"/>
        <v>45985</v>
      </c>
      <c r="F71" s="104">
        <f t="shared" si="15"/>
        <v>45991</v>
      </c>
      <c r="G71" s="104">
        <f t="shared" si="16"/>
        <v>45979</v>
      </c>
      <c r="H71" s="104">
        <f t="shared" si="17"/>
        <v>45986</v>
      </c>
      <c r="I71" s="104"/>
      <c r="J71" s="105"/>
      <c r="K71" s="25"/>
      <c r="L71" s="25"/>
      <c r="M71" s="25"/>
      <c r="N71" s="25"/>
    </row>
    <row r="72" spans="1:14" x14ac:dyDescent="0.25">
      <c r="A72" s="104">
        <v>45972</v>
      </c>
      <c r="B72" s="25" t="s">
        <v>497</v>
      </c>
      <c r="C72" s="104">
        <f t="shared" si="12"/>
        <v>45995</v>
      </c>
      <c r="D72" s="104">
        <f t="shared" si="13"/>
        <v>45979</v>
      </c>
      <c r="E72" s="104">
        <f t="shared" si="14"/>
        <v>45986</v>
      </c>
      <c r="F72" s="104">
        <f t="shared" si="15"/>
        <v>45992</v>
      </c>
      <c r="G72" s="104">
        <f t="shared" si="16"/>
        <v>45980</v>
      </c>
      <c r="H72" s="104">
        <f t="shared" si="17"/>
        <v>45987</v>
      </c>
      <c r="I72" s="104"/>
      <c r="J72" s="105"/>
      <c r="K72" s="25"/>
      <c r="L72" s="25"/>
      <c r="M72" s="25"/>
      <c r="N72" s="25"/>
    </row>
    <row r="73" spans="1:14" x14ac:dyDescent="0.25">
      <c r="A73" s="104">
        <v>45972</v>
      </c>
      <c r="B73" s="25" t="s">
        <v>498</v>
      </c>
      <c r="C73" s="104">
        <f t="shared" si="12"/>
        <v>45995</v>
      </c>
      <c r="D73" s="104">
        <f t="shared" si="13"/>
        <v>45979</v>
      </c>
      <c r="E73" s="104">
        <f t="shared" si="14"/>
        <v>45986</v>
      </c>
      <c r="F73" s="104">
        <f t="shared" si="15"/>
        <v>45992</v>
      </c>
      <c r="G73" s="104">
        <f t="shared" si="16"/>
        <v>45980</v>
      </c>
      <c r="H73" s="104">
        <f t="shared" si="17"/>
        <v>45987</v>
      </c>
      <c r="I73" s="104"/>
      <c r="J73" s="105"/>
      <c r="K73" s="25"/>
      <c r="L73" s="25"/>
      <c r="M73" s="25"/>
      <c r="N73" s="25"/>
    </row>
    <row r="74" spans="1:14" x14ac:dyDescent="0.25">
      <c r="A74" s="104">
        <v>45972</v>
      </c>
      <c r="B74" s="25" t="s">
        <v>499</v>
      </c>
      <c r="C74" s="104">
        <f t="shared" si="12"/>
        <v>45995</v>
      </c>
      <c r="D74" s="104">
        <f t="shared" si="13"/>
        <v>45979</v>
      </c>
      <c r="E74" s="104">
        <f t="shared" si="14"/>
        <v>45986</v>
      </c>
      <c r="F74" s="104">
        <f t="shared" si="15"/>
        <v>45992</v>
      </c>
      <c r="G74" s="104">
        <f t="shared" si="16"/>
        <v>45980</v>
      </c>
      <c r="H74" s="104">
        <f t="shared" si="17"/>
        <v>45987</v>
      </c>
      <c r="I74" s="104"/>
      <c r="J74" s="105"/>
      <c r="K74" s="25"/>
      <c r="L74" s="25"/>
      <c r="M74" s="25"/>
      <c r="N74" s="25"/>
    </row>
    <row r="75" spans="1:14" x14ac:dyDescent="0.25">
      <c r="A75" s="104">
        <v>45972</v>
      </c>
      <c r="B75" s="25" t="s">
        <v>500</v>
      </c>
      <c r="C75" s="104">
        <f t="shared" si="12"/>
        <v>45995</v>
      </c>
      <c r="D75" s="104">
        <f t="shared" si="13"/>
        <v>45979</v>
      </c>
      <c r="E75" s="104">
        <f t="shared" si="14"/>
        <v>45986</v>
      </c>
      <c r="F75" s="104">
        <f t="shared" si="15"/>
        <v>45992</v>
      </c>
      <c r="G75" s="104">
        <f t="shared" si="16"/>
        <v>45980</v>
      </c>
      <c r="H75" s="104">
        <f t="shared" si="17"/>
        <v>45987</v>
      </c>
      <c r="I75" s="104"/>
      <c r="J75" s="105"/>
      <c r="K75" s="25"/>
      <c r="L75" s="25"/>
      <c r="M75" s="25"/>
      <c r="N75" s="25"/>
    </row>
    <row r="76" spans="1:14" x14ac:dyDescent="0.25">
      <c r="A76" s="104">
        <v>45972</v>
      </c>
      <c r="B76" s="25" t="s">
        <v>501</v>
      </c>
      <c r="C76" s="104">
        <f t="shared" si="12"/>
        <v>45995</v>
      </c>
      <c r="D76" s="104">
        <f t="shared" si="13"/>
        <v>45979</v>
      </c>
      <c r="E76" s="104">
        <f t="shared" si="14"/>
        <v>45986</v>
      </c>
      <c r="F76" s="104">
        <f t="shared" si="15"/>
        <v>45992</v>
      </c>
      <c r="G76" s="104">
        <f t="shared" si="16"/>
        <v>45980</v>
      </c>
      <c r="H76" s="104">
        <f t="shared" si="17"/>
        <v>45987</v>
      </c>
      <c r="I76" s="104"/>
      <c r="J76" s="105"/>
      <c r="K76" s="25"/>
      <c r="L76" s="25"/>
      <c r="M76" s="25"/>
      <c r="N76" s="25"/>
    </row>
    <row r="77" spans="1:14" x14ac:dyDescent="0.25">
      <c r="A77" s="104">
        <v>45972</v>
      </c>
      <c r="B77" s="25" t="s">
        <v>502</v>
      </c>
      <c r="C77" s="104">
        <f t="shared" si="12"/>
        <v>45995</v>
      </c>
      <c r="D77" s="104">
        <f t="shared" si="13"/>
        <v>45979</v>
      </c>
      <c r="E77" s="104">
        <f t="shared" si="14"/>
        <v>45986</v>
      </c>
      <c r="F77" s="104">
        <f t="shared" si="15"/>
        <v>45992</v>
      </c>
      <c r="G77" s="104">
        <f t="shared" si="16"/>
        <v>45980</v>
      </c>
      <c r="H77" s="104">
        <f t="shared" si="17"/>
        <v>45987</v>
      </c>
      <c r="I77" s="104"/>
      <c r="J77" s="105"/>
      <c r="K77" s="25"/>
      <c r="L77" s="25"/>
      <c r="M77" s="25"/>
      <c r="N77" s="25"/>
    </row>
    <row r="78" spans="1:14" x14ac:dyDescent="0.25">
      <c r="A78" s="104">
        <v>45972</v>
      </c>
      <c r="B78" s="25" t="s">
        <v>503</v>
      </c>
      <c r="C78" s="104">
        <f t="shared" si="12"/>
        <v>45995</v>
      </c>
      <c r="D78" s="104">
        <f t="shared" si="13"/>
        <v>45979</v>
      </c>
      <c r="E78" s="104">
        <f t="shared" si="14"/>
        <v>45986</v>
      </c>
      <c r="F78" s="104">
        <f t="shared" si="15"/>
        <v>45992</v>
      </c>
      <c r="G78" s="104">
        <f t="shared" si="16"/>
        <v>45980</v>
      </c>
      <c r="H78" s="104">
        <f t="shared" si="17"/>
        <v>45987</v>
      </c>
      <c r="I78" s="104"/>
      <c r="J78" s="105"/>
      <c r="K78" s="25"/>
      <c r="L78" s="25"/>
      <c r="M78" s="25"/>
      <c r="N78" s="25"/>
    </row>
    <row r="79" spans="1:14" x14ac:dyDescent="0.25">
      <c r="A79" s="104">
        <v>45973</v>
      </c>
      <c r="B79" s="25" t="s">
        <v>504</v>
      </c>
      <c r="C79" s="104">
        <f t="shared" si="12"/>
        <v>45996</v>
      </c>
      <c r="D79" s="104">
        <f t="shared" si="13"/>
        <v>45980</v>
      </c>
      <c r="E79" s="104">
        <f t="shared" si="14"/>
        <v>45987</v>
      </c>
      <c r="F79" s="104">
        <f t="shared" si="15"/>
        <v>45993</v>
      </c>
      <c r="G79" s="104">
        <f t="shared" si="16"/>
        <v>45981</v>
      </c>
      <c r="H79" s="104">
        <f t="shared" si="17"/>
        <v>45988</v>
      </c>
      <c r="I79" s="104"/>
      <c r="J79" s="105"/>
      <c r="K79" s="25"/>
      <c r="L79" s="25"/>
      <c r="M79" s="25"/>
      <c r="N79" s="25"/>
    </row>
    <row r="80" spans="1:14" x14ac:dyDescent="0.25">
      <c r="A80" s="104">
        <v>45973</v>
      </c>
      <c r="B80" s="25" t="s">
        <v>505</v>
      </c>
      <c r="C80" s="104">
        <f t="shared" ref="C80:C143" si="18">A80+23</f>
        <v>45996</v>
      </c>
      <c r="D80" s="104">
        <f t="shared" ref="D80:D143" si="19">A80+7</f>
        <v>45980</v>
      </c>
      <c r="E80" s="104">
        <f t="shared" ref="E80:E143" si="20">A80+14</f>
        <v>45987</v>
      </c>
      <c r="F80" s="104">
        <f t="shared" ref="F80:F143" si="21">A80+20</f>
        <v>45993</v>
      </c>
      <c r="G80" s="104">
        <f t="shared" ref="G80:G143" si="22">A80+8</f>
        <v>45981</v>
      </c>
      <c r="H80" s="104">
        <f t="shared" ref="H80:H143" si="23">A80+15</f>
        <v>45988</v>
      </c>
      <c r="I80" s="104"/>
      <c r="J80" s="105"/>
      <c r="K80" s="25"/>
      <c r="L80" s="25"/>
      <c r="M80" s="25"/>
      <c r="N80" s="25"/>
    </row>
    <row r="81" spans="1:14" x14ac:dyDescent="0.25">
      <c r="A81" s="104">
        <v>45973</v>
      </c>
      <c r="B81" s="25" t="s">
        <v>506</v>
      </c>
      <c r="C81" s="104">
        <f t="shared" si="18"/>
        <v>45996</v>
      </c>
      <c r="D81" s="104">
        <f t="shared" si="19"/>
        <v>45980</v>
      </c>
      <c r="E81" s="104">
        <f t="shared" si="20"/>
        <v>45987</v>
      </c>
      <c r="F81" s="104">
        <f t="shared" si="21"/>
        <v>45993</v>
      </c>
      <c r="G81" s="104">
        <f t="shared" si="22"/>
        <v>45981</v>
      </c>
      <c r="H81" s="104">
        <f t="shared" si="23"/>
        <v>45988</v>
      </c>
      <c r="I81" s="104"/>
      <c r="J81" s="105"/>
      <c r="K81" s="25"/>
      <c r="L81" s="25"/>
      <c r="M81" s="25"/>
      <c r="N81" s="25"/>
    </row>
    <row r="82" spans="1:14" x14ac:dyDescent="0.25">
      <c r="A82" s="104">
        <v>45973</v>
      </c>
      <c r="B82" s="25" t="s">
        <v>507</v>
      </c>
      <c r="C82" s="104">
        <f t="shared" si="18"/>
        <v>45996</v>
      </c>
      <c r="D82" s="104">
        <f t="shared" si="19"/>
        <v>45980</v>
      </c>
      <c r="E82" s="104">
        <f t="shared" si="20"/>
        <v>45987</v>
      </c>
      <c r="F82" s="104">
        <f t="shared" si="21"/>
        <v>45993</v>
      </c>
      <c r="G82" s="104">
        <f t="shared" si="22"/>
        <v>45981</v>
      </c>
      <c r="H82" s="104">
        <f t="shared" si="23"/>
        <v>45988</v>
      </c>
      <c r="I82" s="104"/>
      <c r="J82" s="105"/>
      <c r="K82" s="25"/>
      <c r="L82" s="25"/>
      <c r="M82" s="25"/>
      <c r="N82" s="25"/>
    </row>
    <row r="83" spans="1:14" x14ac:dyDescent="0.25">
      <c r="A83" s="104">
        <v>45973</v>
      </c>
      <c r="B83" s="25" t="s">
        <v>508</v>
      </c>
      <c r="C83" s="104">
        <f t="shared" si="18"/>
        <v>45996</v>
      </c>
      <c r="D83" s="104">
        <f t="shared" si="19"/>
        <v>45980</v>
      </c>
      <c r="E83" s="104">
        <f t="shared" si="20"/>
        <v>45987</v>
      </c>
      <c r="F83" s="104">
        <f t="shared" si="21"/>
        <v>45993</v>
      </c>
      <c r="G83" s="104">
        <f t="shared" si="22"/>
        <v>45981</v>
      </c>
      <c r="H83" s="104">
        <f t="shared" si="23"/>
        <v>45988</v>
      </c>
      <c r="I83" s="104"/>
      <c r="J83" s="105"/>
      <c r="K83" s="25"/>
      <c r="L83" s="25"/>
      <c r="M83" s="25"/>
      <c r="N83" s="25"/>
    </row>
    <row r="84" spans="1:14" x14ac:dyDescent="0.25">
      <c r="A84" s="104">
        <v>45973</v>
      </c>
      <c r="B84" s="25" t="s">
        <v>509</v>
      </c>
      <c r="C84" s="104">
        <f t="shared" si="18"/>
        <v>45996</v>
      </c>
      <c r="D84" s="104">
        <f t="shared" si="19"/>
        <v>45980</v>
      </c>
      <c r="E84" s="104">
        <f t="shared" si="20"/>
        <v>45987</v>
      </c>
      <c r="F84" s="104">
        <f t="shared" si="21"/>
        <v>45993</v>
      </c>
      <c r="G84" s="104">
        <f t="shared" si="22"/>
        <v>45981</v>
      </c>
      <c r="H84" s="104">
        <f t="shared" si="23"/>
        <v>45988</v>
      </c>
      <c r="I84" s="104"/>
      <c r="J84" s="105"/>
      <c r="K84" s="25"/>
      <c r="L84" s="25"/>
      <c r="M84" s="25"/>
      <c r="N84" s="25"/>
    </row>
    <row r="85" spans="1:14" x14ac:dyDescent="0.25">
      <c r="A85" s="104">
        <v>45973</v>
      </c>
      <c r="B85" s="25" t="s">
        <v>510</v>
      </c>
      <c r="C85" s="104">
        <f t="shared" si="18"/>
        <v>45996</v>
      </c>
      <c r="D85" s="104">
        <f t="shared" si="19"/>
        <v>45980</v>
      </c>
      <c r="E85" s="104">
        <f t="shared" si="20"/>
        <v>45987</v>
      </c>
      <c r="F85" s="104">
        <f t="shared" si="21"/>
        <v>45993</v>
      </c>
      <c r="G85" s="104">
        <f t="shared" si="22"/>
        <v>45981</v>
      </c>
      <c r="H85" s="104">
        <f t="shared" si="23"/>
        <v>45988</v>
      </c>
      <c r="I85" s="104"/>
      <c r="J85" s="105"/>
      <c r="K85" s="25"/>
      <c r="L85" s="25"/>
      <c r="M85" s="25"/>
      <c r="N85" s="25"/>
    </row>
    <row r="86" spans="1:14" x14ac:dyDescent="0.25">
      <c r="A86" s="104">
        <v>45974</v>
      </c>
      <c r="B86" s="25" t="s">
        <v>552</v>
      </c>
      <c r="C86" s="104">
        <f t="shared" si="18"/>
        <v>45997</v>
      </c>
      <c r="D86" s="104">
        <f t="shared" si="19"/>
        <v>45981</v>
      </c>
      <c r="E86" s="104">
        <f t="shared" si="20"/>
        <v>45988</v>
      </c>
      <c r="F86" s="104">
        <f t="shared" si="21"/>
        <v>45994</v>
      </c>
      <c r="G86" s="104">
        <f t="shared" si="22"/>
        <v>45982</v>
      </c>
      <c r="H86" s="104">
        <f t="shared" si="23"/>
        <v>45989</v>
      </c>
      <c r="I86" s="104"/>
      <c r="J86" s="105"/>
      <c r="K86" s="25"/>
      <c r="L86" s="25"/>
      <c r="M86" s="25"/>
      <c r="N86" s="25"/>
    </row>
    <row r="87" spans="1:14" x14ac:dyDescent="0.25">
      <c r="A87" s="104">
        <v>45974</v>
      </c>
      <c r="B87" s="25" t="s">
        <v>553</v>
      </c>
      <c r="C87" s="104">
        <f t="shared" si="18"/>
        <v>45997</v>
      </c>
      <c r="D87" s="104">
        <f t="shared" si="19"/>
        <v>45981</v>
      </c>
      <c r="E87" s="104">
        <f t="shared" si="20"/>
        <v>45988</v>
      </c>
      <c r="F87" s="104">
        <f t="shared" si="21"/>
        <v>45994</v>
      </c>
      <c r="G87" s="104">
        <f t="shared" si="22"/>
        <v>45982</v>
      </c>
      <c r="H87" s="104">
        <f t="shared" si="23"/>
        <v>45989</v>
      </c>
      <c r="I87" s="104"/>
      <c r="J87" s="105"/>
      <c r="K87" s="25"/>
      <c r="L87" s="25"/>
      <c r="M87" s="25"/>
      <c r="N87" s="25"/>
    </row>
    <row r="88" spans="1:14" x14ac:dyDescent="0.25">
      <c r="A88" s="104">
        <v>45974</v>
      </c>
      <c r="B88" s="25" t="s">
        <v>554</v>
      </c>
      <c r="C88" s="104">
        <f t="shared" si="18"/>
        <v>45997</v>
      </c>
      <c r="D88" s="104">
        <f t="shared" si="19"/>
        <v>45981</v>
      </c>
      <c r="E88" s="104">
        <f t="shared" si="20"/>
        <v>45988</v>
      </c>
      <c r="F88" s="104">
        <f t="shared" si="21"/>
        <v>45994</v>
      </c>
      <c r="G88" s="104">
        <f t="shared" si="22"/>
        <v>45982</v>
      </c>
      <c r="H88" s="104">
        <f t="shared" si="23"/>
        <v>45989</v>
      </c>
      <c r="I88" s="104"/>
      <c r="J88" s="105"/>
      <c r="K88" s="25"/>
      <c r="L88" s="25"/>
      <c r="M88" s="25"/>
      <c r="N88" s="25"/>
    </row>
    <row r="89" spans="1:14" x14ac:dyDescent="0.25">
      <c r="A89" s="104">
        <v>45974</v>
      </c>
      <c r="B89" s="25" t="s">
        <v>555</v>
      </c>
      <c r="C89" s="104">
        <f t="shared" si="18"/>
        <v>45997</v>
      </c>
      <c r="D89" s="104">
        <f t="shared" si="19"/>
        <v>45981</v>
      </c>
      <c r="E89" s="104">
        <f t="shared" si="20"/>
        <v>45988</v>
      </c>
      <c r="F89" s="104">
        <f t="shared" si="21"/>
        <v>45994</v>
      </c>
      <c r="G89" s="104">
        <f t="shared" si="22"/>
        <v>45982</v>
      </c>
      <c r="H89" s="104">
        <f t="shared" si="23"/>
        <v>45989</v>
      </c>
      <c r="I89" s="104"/>
      <c r="J89" s="105"/>
      <c r="K89" s="25"/>
      <c r="L89" s="25"/>
      <c r="M89" s="25"/>
      <c r="N89" s="25"/>
    </row>
    <row r="90" spans="1:14" x14ac:dyDescent="0.25">
      <c r="A90" s="104">
        <v>45974</v>
      </c>
      <c r="B90" s="25" t="s">
        <v>556</v>
      </c>
      <c r="C90" s="104">
        <f t="shared" si="18"/>
        <v>45997</v>
      </c>
      <c r="D90" s="104">
        <f t="shared" si="19"/>
        <v>45981</v>
      </c>
      <c r="E90" s="104">
        <f t="shared" si="20"/>
        <v>45988</v>
      </c>
      <c r="F90" s="104">
        <f t="shared" si="21"/>
        <v>45994</v>
      </c>
      <c r="G90" s="104">
        <f t="shared" si="22"/>
        <v>45982</v>
      </c>
      <c r="H90" s="104">
        <f t="shared" si="23"/>
        <v>45989</v>
      </c>
      <c r="I90" s="104"/>
      <c r="J90" s="105"/>
      <c r="K90" s="25"/>
      <c r="L90" s="25"/>
      <c r="M90" s="25"/>
      <c r="N90" s="25"/>
    </row>
    <row r="91" spans="1:14" x14ac:dyDescent="0.25">
      <c r="A91" s="104">
        <v>45974</v>
      </c>
      <c r="B91" s="25" t="s">
        <v>557</v>
      </c>
      <c r="C91" s="104">
        <f t="shared" si="18"/>
        <v>45997</v>
      </c>
      <c r="D91" s="104">
        <f t="shared" si="19"/>
        <v>45981</v>
      </c>
      <c r="E91" s="104">
        <f t="shared" si="20"/>
        <v>45988</v>
      </c>
      <c r="F91" s="104">
        <f t="shared" si="21"/>
        <v>45994</v>
      </c>
      <c r="G91" s="104">
        <f t="shared" si="22"/>
        <v>45982</v>
      </c>
      <c r="H91" s="104">
        <f t="shared" si="23"/>
        <v>45989</v>
      </c>
      <c r="I91" s="104"/>
      <c r="J91" s="105"/>
      <c r="K91" s="25"/>
      <c r="L91" s="25"/>
      <c r="M91" s="25"/>
      <c r="N91" s="25"/>
    </row>
    <row r="92" spans="1:14" x14ac:dyDescent="0.25">
      <c r="A92" s="104">
        <v>45974</v>
      </c>
      <c r="B92" s="25" t="s">
        <v>558</v>
      </c>
      <c r="C92" s="104">
        <f t="shared" si="18"/>
        <v>45997</v>
      </c>
      <c r="D92" s="104">
        <f t="shared" si="19"/>
        <v>45981</v>
      </c>
      <c r="E92" s="104">
        <f t="shared" si="20"/>
        <v>45988</v>
      </c>
      <c r="F92" s="104">
        <f t="shared" si="21"/>
        <v>45994</v>
      </c>
      <c r="G92" s="104">
        <f t="shared" si="22"/>
        <v>45982</v>
      </c>
      <c r="H92" s="104">
        <f t="shared" si="23"/>
        <v>45989</v>
      </c>
      <c r="I92" s="104"/>
      <c r="J92" s="105"/>
      <c r="K92" s="25"/>
      <c r="L92" s="25"/>
      <c r="M92" s="25"/>
      <c r="N92" s="25"/>
    </row>
    <row r="93" spans="1:14" x14ac:dyDescent="0.25">
      <c r="A93" s="104">
        <v>45975</v>
      </c>
      <c r="B93" s="25" t="s">
        <v>545</v>
      </c>
      <c r="C93" s="104">
        <f t="shared" si="18"/>
        <v>45998</v>
      </c>
      <c r="D93" s="104">
        <f t="shared" si="19"/>
        <v>45982</v>
      </c>
      <c r="E93" s="104">
        <f t="shared" si="20"/>
        <v>45989</v>
      </c>
      <c r="F93" s="104">
        <f t="shared" si="21"/>
        <v>45995</v>
      </c>
      <c r="G93" s="104">
        <f t="shared" si="22"/>
        <v>45983</v>
      </c>
      <c r="H93" s="104">
        <f t="shared" si="23"/>
        <v>45990</v>
      </c>
      <c r="I93" s="104"/>
      <c r="J93" s="105"/>
      <c r="K93" s="25"/>
      <c r="L93" s="25"/>
      <c r="M93" s="25"/>
      <c r="N93" s="25"/>
    </row>
    <row r="94" spans="1:14" x14ac:dyDescent="0.25">
      <c r="A94" s="104">
        <v>45975</v>
      </c>
      <c r="B94" s="25" t="s">
        <v>546</v>
      </c>
      <c r="C94" s="104">
        <f t="shared" si="18"/>
        <v>45998</v>
      </c>
      <c r="D94" s="104">
        <f t="shared" si="19"/>
        <v>45982</v>
      </c>
      <c r="E94" s="104">
        <f t="shared" si="20"/>
        <v>45989</v>
      </c>
      <c r="F94" s="104">
        <f t="shared" si="21"/>
        <v>45995</v>
      </c>
      <c r="G94" s="104">
        <f t="shared" si="22"/>
        <v>45983</v>
      </c>
      <c r="H94" s="104">
        <f t="shared" si="23"/>
        <v>45990</v>
      </c>
      <c r="I94" s="104"/>
      <c r="J94" s="105"/>
      <c r="K94" s="25"/>
      <c r="L94" s="25"/>
      <c r="M94" s="25"/>
      <c r="N94" s="25"/>
    </row>
    <row r="95" spans="1:14" x14ac:dyDescent="0.25">
      <c r="A95" s="104">
        <v>45975</v>
      </c>
      <c r="B95" s="25" t="s">
        <v>547</v>
      </c>
      <c r="C95" s="104">
        <f t="shared" si="18"/>
        <v>45998</v>
      </c>
      <c r="D95" s="104">
        <f t="shared" si="19"/>
        <v>45982</v>
      </c>
      <c r="E95" s="104">
        <f t="shared" si="20"/>
        <v>45989</v>
      </c>
      <c r="F95" s="104">
        <f t="shared" si="21"/>
        <v>45995</v>
      </c>
      <c r="G95" s="104">
        <f t="shared" si="22"/>
        <v>45983</v>
      </c>
      <c r="H95" s="104">
        <f t="shared" si="23"/>
        <v>45990</v>
      </c>
      <c r="I95" s="104"/>
      <c r="J95" s="105"/>
      <c r="K95" s="25"/>
      <c r="L95" s="25"/>
      <c r="M95" s="25"/>
      <c r="N95" s="25"/>
    </row>
    <row r="96" spans="1:14" x14ac:dyDescent="0.25">
      <c r="A96" s="104">
        <v>45975</v>
      </c>
      <c r="B96" s="25" t="s">
        <v>548</v>
      </c>
      <c r="C96" s="104">
        <f t="shared" si="18"/>
        <v>45998</v>
      </c>
      <c r="D96" s="104">
        <f t="shared" si="19"/>
        <v>45982</v>
      </c>
      <c r="E96" s="104">
        <f t="shared" si="20"/>
        <v>45989</v>
      </c>
      <c r="F96" s="104">
        <f t="shared" si="21"/>
        <v>45995</v>
      </c>
      <c r="G96" s="104">
        <f t="shared" si="22"/>
        <v>45983</v>
      </c>
      <c r="H96" s="104">
        <f t="shared" si="23"/>
        <v>45990</v>
      </c>
      <c r="I96" s="104"/>
      <c r="J96" s="105"/>
      <c r="K96" s="25"/>
      <c r="L96" s="25"/>
      <c r="M96" s="25"/>
      <c r="N96" s="25"/>
    </row>
    <row r="97" spans="1:14" x14ac:dyDescent="0.25">
      <c r="A97" s="104">
        <v>45975</v>
      </c>
      <c r="B97" s="25" t="s">
        <v>549</v>
      </c>
      <c r="C97" s="104">
        <f t="shared" si="18"/>
        <v>45998</v>
      </c>
      <c r="D97" s="104">
        <f t="shared" si="19"/>
        <v>45982</v>
      </c>
      <c r="E97" s="104">
        <f t="shared" si="20"/>
        <v>45989</v>
      </c>
      <c r="F97" s="104">
        <f t="shared" si="21"/>
        <v>45995</v>
      </c>
      <c r="G97" s="104">
        <f t="shared" si="22"/>
        <v>45983</v>
      </c>
      <c r="H97" s="104">
        <f t="shared" si="23"/>
        <v>45990</v>
      </c>
      <c r="I97" s="104"/>
      <c r="J97" s="105"/>
      <c r="K97" s="25"/>
      <c r="L97" s="25"/>
      <c r="M97" s="25"/>
      <c r="N97" s="25"/>
    </row>
    <row r="98" spans="1:14" x14ac:dyDescent="0.25">
      <c r="A98" s="104">
        <v>45975</v>
      </c>
      <c r="B98" s="25" t="s">
        <v>550</v>
      </c>
      <c r="C98" s="104">
        <f t="shared" si="18"/>
        <v>45998</v>
      </c>
      <c r="D98" s="104">
        <f t="shared" si="19"/>
        <v>45982</v>
      </c>
      <c r="E98" s="104">
        <f t="shared" si="20"/>
        <v>45989</v>
      </c>
      <c r="F98" s="104">
        <f t="shared" si="21"/>
        <v>45995</v>
      </c>
      <c r="G98" s="104">
        <f t="shared" si="22"/>
        <v>45983</v>
      </c>
      <c r="H98" s="104">
        <f t="shared" si="23"/>
        <v>45990</v>
      </c>
      <c r="I98" s="104"/>
      <c r="J98" s="105"/>
      <c r="K98" s="25"/>
      <c r="L98" s="25"/>
      <c r="M98" s="25"/>
      <c r="N98" s="25"/>
    </row>
    <row r="99" spans="1:14" x14ac:dyDescent="0.25">
      <c r="A99" s="104">
        <v>45975</v>
      </c>
      <c r="B99" s="25" t="s">
        <v>551</v>
      </c>
      <c r="C99" s="104">
        <f t="shared" si="18"/>
        <v>45998</v>
      </c>
      <c r="D99" s="104">
        <f t="shared" si="19"/>
        <v>45982</v>
      </c>
      <c r="E99" s="104">
        <f t="shared" si="20"/>
        <v>45989</v>
      </c>
      <c r="F99" s="104">
        <f t="shared" si="21"/>
        <v>45995</v>
      </c>
      <c r="G99" s="104">
        <f t="shared" si="22"/>
        <v>45983</v>
      </c>
      <c r="H99" s="104">
        <f t="shared" si="23"/>
        <v>45990</v>
      </c>
      <c r="I99" s="104"/>
      <c r="J99" s="105"/>
      <c r="K99" s="25"/>
      <c r="L99" s="25"/>
      <c r="M99" s="25"/>
      <c r="N99" s="25"/>
    </row>
    <row r="100" spans="1:14" x14ac:dyDescent="0.25">
      <c r="A100" s="104">
        <v>45976</v>
      </c>
      <c r="B100" s="25" t="s">
        <v>537</v>
      </c>
      <c r="C100" s="104">
        <f t="shared" si="18"/>
        <v>45999</v>
      </c>
      <c r="D100" s="104">
        <f t="shared" si="19"/>
        <v>45983</v>
      </c>
      <c r="E100" s="104">
        <f t="shared" si="20"/>
        <v>45990</v>
      </c>
      <c r="F100" s="104">
        <f t="shared" si="21"/>
        <v>45996</v>
      </c>
      <c r="G100" s="104">
        <f t="shared" si="22"/>
        <v>45984</v>
      </c>
      <c r="H100" s="104">
        <f t="shared" si="23"/>
        <v>45991</v>
      </c>
      <c r="I100" s="104"/>
      <c r="J100" s="105"/>
      <c r="K100" s="25"/>
      <c r="L100" s="25"/>
      <c r="M100" s="25"/>
      <c r="N100" s="25"/>
    </row>
    <row r="101" spans="1:14" x14ac:dyDescent="0.25">
      <c r="A101" s="104">
        <v>45976</v>
      </c>
      <c r="B101" s="25" t="s">
        <v>538</v>
      </c>
      <c r="C101" s="104">
        <f t="shared" si="18"/>
        <v>45999</v>
      </c>
      <c r="D101" s="104">
        <f t="shared" si="19"/>
        <v>45983</v>
      </c>
      <c r="E101" s="104">
        <f t="shared" si="20"/>
        <v>45990</v>
      </c>
      <c r="F101" s="104">
        <f t="shared" si="21"/>
        <v>45996</v>
      </c>
      <c r="G101" s="104">
        <f t="shared" si="22"/>
        <v>45984</v>
      </c>
      <c r="H101" s="104">
        <f t="shared" si="23"/>
        <v>45991</v>
      </c>
      <c r="I101" s="104"/>
      <c r="J101" s="105"/>
      <c r="K101" s="25"/>
      <c r="L101" s="25"/>
      <c r="M101" s="25"/>
      <c r="N101" s="25"/>
    </row>
    <row r="102" spans="1:14" x14ac:dyDescent="0.25">
      <c r="A102" s="104">
        <v>45976</v>
      </c>
      <c r="B102" s="25" t="s">
        <v>539</v>
      </c>
      <c r="C102" s="104">
        <f t="shared" si="18"/>
        <v>45999</v>
      </c>
      <c r="D102" s="104">
        <f t="shared" si="19"/>
        <v>45983</v>
      </c>
      <c r="E102" s="104">
        <f t="shared" si="20"/>
        <v>45990</v>
      </c>
      <c r="F102" s="104">
        <f t="shared" si="21"/>
        <v>45996</v>
      </c>
      <c r="G102" s="104">
        <f t="shared" si="22"/>
        <v>45984</v>
      </c>
      <c r="H102" s="104">
        <f t="shared" si="23"/>
        <v>45991</v>
      </c>
      <c r="I102" s="104"/>
      <c r="J102" s="105"/>
      <c r="K102" s="25"/>
      <c r="L102" s="25"/>
      <c r="M102" s="25"/>
      <c r="N102" s="25"/>
    </row>
    <row r="103" spans="1:14" x14ac:dyDescent="0.25">
      <c r="A103" s="104">
        <v>45976</v>
      </c>
      <c r="B103" s="25" t="s">
        <v>540</v>
      </c>
      <c r="C103" s="104">
        <f t="shared" si="18"/>
        <v>45999</v>
      </c>
      <c r="D103" s="104">
        <f t="shared" si="19"/>
        <v>45983</v>
      </c>
      <c r="E103" s="104">
        <f t="shared" si="20"/>
        <v>45990</v>
      </c>
      <c r="F103" s="104">
        <f t="shared" si="21"/>
        <v>45996</v>
      </c>
      <c r="G103" s="104">
        <f t="shared" si="22"/>
        <v>45984</v>
      </c>
      <c r="H103" s="104">
        <f t="shared" si="23"/>
        <v>45991</v>
      </c>
      <c r="I103" s="104"/>
      <c r="J103" s="105"/>
      <c r="K103" s="25"/>
      <c r="L103" s="25"/>
      <c r="M103" s="25"/>
      <c r="N103" s="25"/>
    </row>
    <row r="104" spans="1:14" x14ac:dyDescent="0.25">
      <c r="A104" s="104">
        <v>45976</v>
      </c>
      <c r="B104" s="25" t="s">
        <v>541</v>
      </c>
      <c r="C104" s="104">
        <f t="shared" si="18"/>
        <v>45999</v>
      </c>
      <c r="D104" s="104">
        <f t="shared" si="19"/>
        <v>45983</v>
      </c>
      <c r="E104" s="104">
        <f t="shared" si="20"/>
        <v>45990</v>
      </c>
      <c r="F104" s="104">
        <f t="shared" si="21"/>
        <v>45996</v>
      </c>
      <c r="G104" s="104">
        <f t="shared" si="22"/>
        <v>45984</v>
      </c>
      <c r="H104" s="104">
        <f t="shared" si="23"/>
        <v>45991</v>
      </c>
      <c r="I104" s="104"/>
      <c r="J104" s="105"/>
      <c r="K104" s="25"/>
      <c r="L104" s="25"/>
      <c r="M104" s="25"/>
      <c r="N104" s="25"/>
    </row>
    <row r="105" spans="1:14" x14ac:dyDescent="0.25">
      <c r="A105" s="104">
        <v>45976</v>
      </c>
      <c r="B105" s="25" t="s">
        <v>542</v>
      </c>
      <c r="C105" s="104">
        <f t="shared" si="18"/>
        <v>45999</v>
      </c>
      <c r="D105" s="104">
        <f t="shared" si="19"/>
        <v>45983</v>
      </c>
      <c r="E105" s="104">
        <f t="shared" si="20"/>
        <v>45990</v>
      </c>
      <c r="F105" s="104">
        <f t="shared" si="21"/>
        <v>45996</v>
      </c>
      <c r="G105" s="104">
        <f t="shared" si="22"/>
        <v>45984</v>
      </c>
      <c r="H105" s="104">
        <f t="shared" si="23"/>
        <v>45991</v>
      </c>
      <c r="I105" s="104"/>
      <c r="J105" s="105"/>
      <c r="K105" s="25"/>
      <c r="L105" s="25"/>
      <c r="M105" s="25"/>
      <c r="N105" s="25"/>
    </row>
    <row r="106" spans="1:14" x14ac:dyDescent="0.25">
      <c r="A106" s="104">
        <v>45976</v>
      </c>
      <c r="B106" s="25" t="s">
        <v>543</v>
      </c>
      <c r="C106" s="104">
        <f t="shared" si="18"/>
        <v>45999</v>
      </c>
      <c r="D106" s="104">
        <f t="shared" si="19"/>
        <v>45983</v>
      </c>
      <c r="E106" s="104">
        <f t="shared" si="20"/>
        <v>45990</v>
      </c>
      <c r="F106" s="104">
        <f t="shared" si="21"/>
        <v>45996</v>
      </c>
      <c r="G106" s="104">
        <f t="shared" si="22"/>
        <v>45984</v>
      </c>
      <c r="H106" s="104">
        <f t="shared" si="23"/>
        <v>45991</v>
      </c>
      <c r="I106" s="104"/>
      <c r="J106" s="105"/>
      <c r="K106" s="25"/>
      <c r="L106" s="25"/>
      <c r="M106" s="25"/>
      <c r="N106" s="25"/>
    </row>
    <row r="107" spans="1:14" x14ac:dyDescent="0.25">
      <c r="A107" s="104">
        <v>45976</v>
      </c>
      <c r="B107" s="25" t="s">
        <v>544</v>
      </c>
      <c r="C107" s="104">
        <f t="shared" si="18"/>
        <v>45999</v>
      </c>
      <c r="D107" s="104">
        <f t="shared" si="19"/>
        <v>45983</v>
      </c>
      <c r="E107" s="104">
        <f t="shared" si="20"/>
        <v>45990</v>
      </c>
      <c r="F107" s="104">
        <f t="shared" si="21"/>
        <v>45996</v>
      </c>
      <c r="G107" s="104">
        <f t="shared" si="22"/>
        <v>45984</v>
      </c>
      <c r="H107" s="104">
        <f t="shared" si="23"/>
        <v>45991</v>
      </c>
      <c r="I107" s="104"/>
      <c r="J107" s="105"/>
      <c r="K107" s="25"/>
      <c r="L107" s="25"/>
      <c r="M107" s="25"/>
      <c r="N107" s="25"/>
    </row>
    <row r="108" spans="1:14" x14ac:dyDescent="0.25">
      <c r="A108" s="104">
        <v>45977</v>
      </c>
      <c r="B108" s="25" t="s">
        <v>513</v>
      </c>
      <c r="C108" s="104">
        <f t="shared" si="18"/>
        <v>46000</v>
      </c>
      <c r="D108" s="104">
        <f t="shared" si="19"/>
        <v>45984</v>
      </c>
      <c r="E108" s="104">
        <f t="shared" si="20"/>
        <v>45991</v>
      </c>
      <c r="F108" s="104">
        <f t="shared" si="21"/>
        <v>45997</v>
      </c>
      <c r="G108" s="104">
        <f t="shared" si="22"/>
        <v>45985</v>
      </c>
      <c r="H108" s="104">
        <f t="shared" si="23"/>
        <v>45992</v>
      </c>
      <c r="I108" s="104"/>
      <c r="J108" s="105"/>
      <c r="K108" s="25"/>
      <c r="L108" s="25"/>
      <c r="M108" s="25"/>
      <c r="N108" s="25"/>
    </row>
    <row r="109" spans="1:14" x14ac:dyDescent="0.25">
      <c r="A109" s="104">
        <v>45977</v>
      </c>
      <c r="B109" s="25" t="s">
        <v>514</v>
      </c>
      <c r="C109" s="104">
        <f t="shared" si="18"/>
        <v>46000</v>
      </c>
      <c r="D109" s="104">
        <f t="shared" si="19"/>
        <v>45984</v>
      </c>
      <c r="E109" s="104">
        <f t="shared" si="20"/>
        <v>45991</v>
      </c>
      <c r="F109" s="104">
        <f t="shared" si="21"/>
        <v>45997</v>
      </c>
      <c r="G109" s="104">
        <f t="shared" si="22"/>
        <v>45985</v>
      </c>
      <c r="H109" s="104">
        <f t="shared" si="23"/>
        <v>45992</v>
      </c>
      <c r="I109" s="104"/>
      <c r="J109" s="105"/>
      <c r="K109" s="25"/>
      <c r="L109" s="25"/>
      <c r="M109" s="25"/>
      <c r="N109" s="25"/>
    </row>
    <row r="110" spans="1:14" x14ac:dyDescent="0.25">
      <c r="A110" s="104">
        <v>45977</v>
      </c>
      <c r="B110" s="25" t="s">
        <v>515</v>
      </c>
      <c r="C110" s="104">
        <f t="shared" si="18"/>
        <v>46000</v>
      </c>
      <c r="D110" s="104">
        <f t="shared" si="19"/>
        <v>45984</v>
      </c>
      <c r="E110" s="104">
        <f t="shared" si="20"/>
        <v>45991</v>
      </c>
      <c r="F110" s="104">
        <f t="shared" si="21"/>
        <v>45997</v>
      </c>
      <c r="G110" s="104">
        <f t="shared" si="22"/>
        <v>45985</v>
      </c>
      <c r="H110" s="104">
        <f t="shared" si="23"/>
        <v>45992</v>
      </c>
      <c r="I110" s="104"/>
      <c r="J110" s="105"/>
      <c r="K110" s="25"/>
      <c r="L110" s="25"/>
      <c r="M110" s="25"/>
      <c r="N110" s="25"/>
    </row>
    <row r="111" spans="1:14" x14ac:dyDescent="0.25">
      <c r="A111" s="104">
        <v>45977</v>
      </c>
      <c r="B111" s="25" t="s">
        <v>516</v>
      </c>
      <c r="C111" s="104">
        <f t="shared" si="18"/>
        <v>46000</v>
      </c>
      <c r="D111" s="104">
        <f t="shared" si="19"/>
        <v>45984</v>
      </c>
      <c r="E111" s="104">
        <f t="shared" si="20"/>
        <v>45991</v>
      </c>
      <c r="F111" s="104">
        <f t="shared" si="21"/>
        <v>45997</v>
      </c>
      <c r="G111" s="104">
        <f t="shared" si="22"/>
        <v>45985</v>
      </c>
      <c r="H111" s="104">
        <f t="shared" si="23"/>
        <v>45992</v>
      </c>
      <c r="I111" s="104"/>
      <c r="J111" s="105"/>
      <c r="K111" s="25"/>
      <c r="L111" s="25"/>
      <c r="M111" s="25"/>
      <c r="N111" s="25"/>
    </row>
    <row r="112" spans="1:14" x14ac:dyDescent="0.25">
      <c r="A112" s="104">
        <v>45977</v>
      </c>
      <c r="B112" s="25" t="s">
        <v>517</v>
      </c>
      <c r="C112" s="104">
        <f t="shared" si="18"/>
        <v>46000</v>
      </c>
      <c r="D112" s="104">
        <f t="shared" si="19"/>
        <v>45984</v>
      </c>
      <c r="E112" s="104">
        <f t="shared" si="20"/>
        <v>45991</v>
      </c>
      <c r="F112" s="104">
        <f t="shared" si="21"/>
        <v>45997</v>
      </c>
      <c r="G112" s="104">
        <f t="shared" si="22"/>
        <v>45985</v>
      </c>
      <c r="H112" s="104">
        <f t="shared" si="23"/>
        <v>45992</v>
      </c>
      <c r="I112" s="104"/>
      <c r="J112" s="105"/>
      <c r="K112" s="25"/>
      <c r="L112" s="25"/>
      <c r="M112" s="25"/>
      <c r="N112" s="25"/>
    </row>
    <row r="113" spans="1:14" x14ac:dyDescent="0.25">
      <c r="A113" s="104">
        <v>45977</v>
      </c>
      <c r="B113" s="25" t="s">
        <v>518</v>
      </c>
      <c r="C113" s="104">
        <f t="shared" si="18"/>
        <v>46000</v>
      </c>
      <c r="D113" s="104">
        <f t="shared" si="19"/>
        <v>45984</v>
      </c>
      <c r="E113" s="104">
        <f t="shared" si="20"/>
        <v>45991</v>
      </c>
      <c r="F113" s="104">
        <f t="shared" si="21"/>
        <v>45997</v>
      </c>
      <c r="G113" s="104">
        <f t="shared" si="22"/>
        <v>45985</v>
      </c>
      <c r="H113" s="104">
        <f t="shared" si="23"/>
        <v>45992</v>
      </c>
      <c r="I113" s="104"/>
      <c r="J113" s="105"/>
      <c r="K113" s="25"/>
      <c r="L113" s="25"/>
      <c r="M113" s="25"/>
      <c r="N113" s="25"/>
    </row>
    <row r="114" spans="1:14" x14ac:dyDescent="0.25">
      <c r="A114" s="104">
        <v>45977</v>
      </c>
      <c r="B114" s="25" t="s">
        <v>519</v>
      </c>
      <c r="C114" s="104">
        <f t="shared" si="18"/>
        <v>46000</v>
      </c>
      <c r="D114" s="104">
        <f t="shared" si="19"/>
        <v>45984</v>
      </c>
      <c r="E114" s="104">
        <f t="shared" si="20"/>
        <v>45991</v>
      </c>
      <c r="F114" s="104">
        <f t="shared" si="21"/>
        <v>45997</v>
      </c>
      <c r="G114" s="104">
        <f t="shared" si="22"/>
        <v>45985</v>
      </c>
      <c r="H114" s="104">
        <f t="shared" si="23"/>
        <v>45992</v>
      </c>
      <c r="I114" s="104"/>
      <c r="J114" s="105"/>
      <c r="K114" s="25"/>
      <c r="L114" s="25"/>
      <c r="M114" s="25"/>
      <c r="N114" s="25"/>
    </row>
    <row r="115" spans="1:14" x14ac:dyDescent="0.25">
      <c r="A115" s="104">
        <v>45978</v>
      </c>
      <c r="B115" s="25" t="s">
        <v>520</v>
      </c>
      <c r="C115" s="104">
        <f t="shared" si="18"/>
        <v>46001</v>
      </c>
      <c r="D115" s="104">
        <f t="shared" si="19"/>
        <v>45985</v>
      </c>
      <c r="E115" s="104">
        <f t="shared" si="20"/>
        <v>45992</v>
      </c>
      <c r="F115" s="104">
        <f t="shared" si="21"/>
        <v>45998</v>
      </c>
      <c r="G115" s="104">
        <f t="shared" si="22"/>
        <v>45986</v>
      </c>
      <c r="H115" s="104">
        <f t="shared" si="23"/>
        <v>45993</v>
      </c>
      <c r="I115" s="104"/>
      <c r="J115" s="105"/>
      <c r="K115" s="25"/>
      <c r="L115" s="25"/>
      <c r="M115" s="25"/>
      <c r="N115" s="25"/>
    </row>
    <row r="116" spans="1:14" x14ac:dyDescent="0.25">
      <c r="A116" s="104">
        <v>45978</v>
      </c>
      <c r="B116" s="25" t="s">
        <v>521</v>
      </c>
      <c r="C116" s="104">
        <f t="shared" si="18"/>
        <v>46001</v>
      </c>
      <c r="D116" s="104">
        <f t="shared" si="19"/>
        <v>45985</v>
      </c>
      <c r="E116" s="104">
        <f t="shared" si="20"/>
        <v>45992</v>
      </c>
      <c r="F116" s="104">
        <f t="shared" si="21"/>
        <v>45998</v>
      </c>
      <c r="G116" s="104">
        <f t="shared" si="22"/>
        <v>45986</v>
      </c>
      <c r="H116" s="104">
        <f t="shared" si="23"/>
        <v>45993</v>
      </c>
      <c r="I116" s="104"/>
      <c r="J116" s="105"/>
      <c r="K116" s="25"/>
      <c r="L116" s="25"/>
      <c r="M116" s="25"/>
      <c r="N116" s="25"/>
    </row>
    <row r="117" spans="1:14" x14ac:dyDescent="0.25">
      <c r="A117" s="104">
        <v>45978</v>
      </c>
      <c r="B117" s="25" t="s">
        <v>522</v>
      </c>
      <c r="C117" s="104">
        <f t="shared" si="18"/>
        <v>46001</v>
      </c>
      <c r="D117" s="104">
        <f t="shared" si="19"/>
        <v>45985</v>
      </c>
      <c r="E117" s="104">
        <f t="shared" si="20"/>
        <v>45992</v>
      </c>
      <c r="F117" s="104">
        <f t="shared" si="21"/>
        <v>45998</v>
      </c>
      <c r="G117" s="104">
        <f t="shared" si="22"/>
        <v>45986</v>
      </c>
      <c r="H117" s="104">
        <f t="shared" si="23"/>
        <v>45993</v>
      </c>
      <c r="I117" s="104"/>
      <c r="J117" s="105"/>
      <c r="K117" s="25"/>
      <c r="L117" s="25"/>
      <c r="M117" s="25"/>
      <c r="N117" s="25"/>
    </row>
    <row r="118" spans="1:14" x14ac:dyDescent="0.25">
      <c r="A118" s="104">
        <v>45978</v>
      </c>
      <c r="B118" s="25" t="s">
        <v>523</v>
      </c>
      <c r="C118" s="104">
        <f t="shared" si="18"/>
        <v>46001</v>
      </c>
      <c r="D118" s="104">
        <f t="shared" si="19"/>
        <v>45985</v>
      </c>
      <c r="E118" s="104">
        <f t="shared" si="20"/>
        <v>45992</v>
      </c>
      <c r="F118" s="104">
        <f t="shared" si="21"/>
        <v>45998</v>
      </c>
      <c r="G118" s="104">
        <f t="shared" si="22"/>
        <v>45986</v>
      </c>
      <c r="H118" s="104">
        <f t="shared" si="23"/>
        <v>45993</v>
      </c>
      <c r="I118" s="104"/>
      <c r="J118" s="105"/>
      <c r="K118" s="25"/>
      <c r="L118" s="25"/>
      <c r="M118" s="25"/>
      <c r="N118" s="25"/>
    </row>
    <row r="119" spans="1:14" x14ac:dyDescent="0.25">
      <c r="A119" s="104">
        <v>45978</v>
      </c>
      <c r="B119" s="25" t="s">
        <v>524</v>
      </c>
      <c r="C119" s="104">
        <f t="shared" si="18"/>
        <v>46001</v>
      </c>
      <c r="D119" s="104">
        <f t="shared" si="19"/>
        <v>45985</v>
      </c>
      <c r="E119" s="104">
        <f t="shared" si="20"/>
        <v>45992</v>
      </c>
      <c r="F119" s="104">
        <f t="shared" si="21"/>
        <v>45998</v>
      </c>
      <c r="G119" s="104">
        <f t="shared" si="22"/>
        <v>45986</v>
      </c>
      <c r="H119" s="104">
        <f t="shared" si="23"/>
        <v>45993</v>
      </c>
      <c r="I119" s="104"/>
      <c r="J119" s="105"/>
      <c r="K119" s="25"/>
      <c r="L119" s="25"/>
      <c r="M119" s="25"/>
      <c r="N119" s="25"/>
    </row>
    <row r="120" spans="1:14" x14ac:dyDescent="0.25">
      <c r="A120" s="104">
        <v>45978</v>
      </c>
      <c r="B120" s="25" t="s">
        <v>525</v>
      </c>
      <c r="C120" s="104">
        <f t="shared" si="18"/>
        <v>46001</v>
      </c>
      <c r="D120" s="104">
        <f t="shared" si="19"/>
        <v>45985</v>
      </c>
      <c r="E120" s="104">
        <f t="shared" si="20"/>
        <v>45992</v>
      </c>
      <c r="F120" s="104">
        <f t="shared" si="21"/>
        <v>45998</v>
      </c>
      <c r="G120" s="104">
        <f t="shared" si="22"/>
        <v>45986</v>
      </c>
      <c r="H120" s="104">
        <f t="shared" si="23"/>
        <v>45993</v>
      </c>
      <c r="I120" s="104"/>
      <c r="J120" s="105"/>
      <c r="K120" s="25"/>
      <c r="L120" s="25"/>
      <c r="M120" s="25"/>
      <c r="N120" s="25"/>
    </row>
    <row r="121" spans="1:14" x14ac:dyDescent="0.25">
      <c r="A121" s="104">
        <v>45978</v>
      </c>
      <c r="B121" s="25" t="s">
        <v>526</v>
      </c>
      <c r="C121" s="104">
        <f t="shared" si="18"/>
        <v>46001</v>
      </c>
      <c r="D121" s="104">
        <f t="shared" si="19"/>
        <v>45985</v>
      </c>
      <c r="E121" s="104">
        <f t="shared" si="20"/>
        <v>45992</v>
      </c>
      <c r="F121" s="104">
        <f t="shared" si="21"/>
        <v>45998</v>
      </c>
      <c r="G121" s="104">
        <f t="shared" si="22"/>
        <v>45986</v>
      </c>
      <c r="H121" s="104">
        <f t="shared" si="23"/>
        <v>45993</v>
      </c>
      <c r="I121" s="104"/>
      <c r="J121" s="105"/>
      <c r="K121" s="25"/>
      <c r="L121" s="25"/>
      <c r="M121" s="25"/>
      <c r="N121" s="25"/>
    </row>
    <row r="122" spans="1:14" x14ac:dyDescent="0.25">
      <c r="A122" s="104">
        <v>45979</v>
      </c>
      <c r="B122" s="25" t="s">
        <v>527</v>
      </c>
      <c r="C122" s="104">
        <f t="shared" si="18"/>
        <v>46002</v>
      </c>
      <c r="D122" s="104">
        <f t="shared" si="19"/>
        <v>45986</v>
      </c>
      <c r="E122" s="104">
        <f t="shared" si="20"/>
        <v>45993</v>
      </c>
      <c r="F122" s="104">
        <f t="shared" si="21"/>
        <v>45999</v>
      </c>
      <c r="G122" s="104">
        <f t="shared" si="22"/>
        <v>45987</v>
      </c>
      <c r="H122" s="104">
        <f t="shared" si="23"/>
        <v>45994</v>
      </c>
      <c r="I122" s="104"/>
      <c r="J122" s="105"/>
      <c r="K122" s="25"/>
      <c r="L122" s="25"/>
      <c r="M122" s="25"/>
      <c r="N122" s="25"/>
    </row>
    <row r="123" spans="1:14" x14ac:dyDescent="0.25">
      <c r="A123" s="104">
        <v>45979</v>
      </c>
      <c r="B123" s="25" t="s">
        <v>528</v>
      </c>
      <c r="C123" s="104">
        <f t="shared" si="18"/>
        <v>46002</v>
      </c>
      <c r="D123" s="104">
        <f t="shared" si="19"/>
        <v>45986</v>
      </c>
      <c r="E123" s="104">
        <f t="shared" si="20"/>
        <v>45993</v>
      </c>
      <c r="F123" s="104">
        <f t="shared" si="21"/>
        <v>45999</v>
      </c>
      <c r="G123" s="104">
        <f t="shared" si="22"/>
        <v>45987</v>
      </c>
      <c r="H123" s="104">
        <f t="shared" si="23"/>
        <v>45994</v>
      </c>
      <c r="I123" s="104"/>
      <c r="J123" s="105"/>
      <c r="K123" s="25"/>
      <c r="L123" s="25"/>
      <c r="M123" s="25"/>
      <c r="N123" s="25"/>
    </row>
    <row r="124" spans="1:14" x14ac:dyDescent="0.25">
      <c r="A124" s="104">
        <v>45979</v>
      </c>
      <c r="B124" s="25" t="s">
        <v>529</v>
      </c>
      <c r="C124" s="104">
        <f t="shared" si="18"/>
        <v>46002</v>
      </c>
      <c r="D124" s="104">
        <f t="shared" si="19"/>
        <v>45986</v>
      </c>
      <c r="E124" s="104">
        <f t="shared" si="20"/>
        <v>45993</v>
      </c>
      <c r="F124" s="104">
        <f t="shared" si="21"/>
        <v>45999</v>
      </c>
      <c r="G124" s="104">
        <f t="shared" si="22"/>
        <v>45987</v>
      </c>
      <c r="H124" s="104">
        <f t="shared" si="23"/>
        <v>45994</v>
      </c>
      <c r="I124" s="104"/>
      <c r="J124" s="105"/>
      <c r="K124" s="25"/>
      <c r="L124" s="25"/>
      <c r="M124" s="25"/>
      <c r="N124" s="25"/>
    </row>
    <row r="125" spans="1:14" x14ac:dyDescent="0.25">
      <c r="A125" s="104">
        <v>45979</v>
      </c>
      <c r="B125" s="25" t="s">
        <v>530</v>
      </c>
      <c r="C125" s="104">
        <f t="shared" si="18"/>
        <v>46002</v>
      </c>
      <c r="D125" s="104">
        <f t="shared" si="19"/>
        <v>45986</v>
      </c>
      <c r="E125" s="104">
        <f t="shared" si="20"/>
        <v>45993</v>
      </c>
      <c r="F125" s="104">
        <f t="shared" si="21"/>
        <v>45999</v>
      </c>
      <c r="G125" s="104">
        <f t="shared" si="22"/>
        <v>45987</v>
      </c>
      <c r="H125" s="104">
        <f t="shared" si="23"/>
        <v>45994</v>
      </c>
      <c r="I125" s="104"/>
      <c r="J125" s="105"/>
      <c r="K125" s="25"/>
      <c r="L125" s="25"/>
      <c r="M125" s="25"/>
      <c r="N125" s="25"/>
    </row>
    <row r="126" spans="1:14" x14ac:dyDescent="0.25">
      <c r="A126" s="104">
        <v>45979</v>
      </c>
      <c r="B126" s="25" t="s">
        <v>531</v>
      </c>
      <c r="C126" s="104">
        <f t="shared" si="18"/>
        <v>46002</v>
      </c>
      <c r="D126" s="104">
        <f t="shared" si="19"/>
        <v>45986</v>
      </c>
      <c r="E126" s="104">
        <f t="shared" si="20"/>
        <v>45993</v>
      </c>
      <c r="F126" s="104">
        <f t="shared" si="21"/>
        <v>45999</v>
      </c>
      <c r="G126" s="104">
        <f t="shared" si="22"/>
        <v>45987</v>
      </c>
      <c r="H126" s="104">
        <f t="shared" si="23"/>
        <v>45994</v>
      </c>
      <c r="I126" s="104"/>
      <c r="J126" s="105"/>
      <c r="K126" s="25"/>
      <c r="L126" s="25"/>
      <c r="M126" s="25"/>
      <c r="N126" s="25"/>
    </row>
    <row r="127" spans="1:14" x14ac:dyDescent="0.25">
      <c r="A127" s="104">
        <v>45979</v>
      </c>
      <c r="B127" s="25" t="s">
        <v>532</v>
      </c>
      <c r="C127" s="104">
        <f t="shared" si="18"/>
        <v>46002</v>
      </c>
      <c r="D127" s="104">
        <f t="shared" si="19"/>
        <v>45986</v>
      </c>
      <c r="E127" s="104">
        <f t="shared" si="20"/>
        <v>45993</v>
      </c>
      <c r="F127" s="104">
        <f t="shared" si="21"/>
        <v>45999</v>
      </c>
      <c r="G127" s="104">
        <f t="shared" si="22"/>
        <v>45987</v>
      </c>
      <c r="H127" s="104">
        <f t="shared" si="23"/>
        <v>45994</v>
      </c>
      <c r="I127" s="104"/>
      <c r="J127" s="105"/>
      <c r="K127" s="25"/>
      <c r="L127" s="25"/>
      <c r="M127" s="25"/>
      <c r="N127" s="25"/>
    </row>
    <row r="128" spans="1:14" x14ac:dyDescent="0.25">
      <c r="A128" s="104">
        <v>45979</v>
      </c>
      <c r="B128" s="25" t="s">
        <v>533</v>
      </c>
      <c r="C128" s="104">
        <f t="shared" si="18"/>
        <v>46002</v>
      </c>
      <c r="D128" s="104">
        <f t="shared" si="19"/>
        <v>45986</v>
      </c>
      <c r="E128" s="104">
        <f t="shared" si="20"/>
        <v>45993</v>
      </c>
      <c r="F128" s="104">
        <f t="shared" si="21"/>
        <v>45999</v>
      </c>
      <c r="G128" s="104">
        <f t="shared" si="22"/>
        <v>45987</v>
      </c>
      <c r="H128" s="104">
        <f t="shared" si="23"/>
        <v>45994</v>
      </c>
      <c r="I128" s="104"/>
      <c r="J128" s="105"/>
      <c r="K128" s="25"/>
      <c r="L128" s="25"/>
      <c r="M128" s="25"/>
      <c r="N128" s="25"/>
    </row>
    <row r="129" spans="1:14" x14ac:dyDescent="0.25">
      <c r="A129" s="104">
        <v>45979</v>
      </c>
      <c r="B129" s="25" t="s">
        <v>534</v>
      </c>
      <c r="C129" s="104">
        <f t="shared" si="18"/>
        <v>46002</v>
      </c>
      <c r="D129" s="104">
        <f t="shared" si="19"/>
        <v>45986</v>
      </c>
      <c r="E129" s="104">
        <f t="shared" si="20"/>
        <v>45993</v>
      </c>
      <c r="F129" s="104">
        <f t="shared" si="21"/>
        <v>45999</v>
      </c>
      <c r="G129" s="104">
        <f t="shared" si="22"/>
        <v>45987</v>
      </c>
      <c r="H129" s="104">
        <f t="shared" si="23"/>
        <v>45994</v>
      </c>
      <c r="I129" s="104"/>
      <c r="J129" s="105"/>
      <c r="K129" s="25"/>
      <c r="L129" s="25"/>
      <c r="M129" s="25"/>
      <c r="N129" s="25"/>
    </row>
    <row r="130" spans="1:14" x14ac:dyDescent="0.25">
      <c r="A130" s="104">
        <v>45979</v>
      </c>
      <c r="B130" s="25" t="s">
        <v>535</v>
      </c>
      <c r="C130" s="104">
        <f t="shared" si="18"/>
        <v>46002</v>
      </c>
      <c r="D130" s="104">
        <f t="shared" si="19"/>
        <v>45986</v>
      </c>
      <c r="E130" s="104">
        <f t="shared" si="20"/>
        <v>45993</v>
      </c>
      <c r="F130" s="104">
        <f t="shared" si="21"/>
        <v>45999</v>
      </c>
      <c r="G130" s="104">
        <f t="shared" si="22"/>
        <v>45987</v>
      </c>
      <c r="H130" s="104">
        <f t="shared" si="23"/>
        <v>45994</v>
      </c>
      <c r="I130" s="104"/>
      <c r="J130" s="105"/>
      <c r="K130" s="25"/>
      <c r="L130" s="25"/>
      <c r="M130" s="25"/>
      <c r="N130" s="25"/>
    </row>
    <row r="131" spans="1:14" x14ac:dyDescent="0.25">
      <c r="A131" s="104">
        <v>45980</v>
      </c>
      <c r="B131" s="25" t="s">
        <v>435</v>
      </c>
      <c r="C131" s="104">
        <f t="shared" si="18"/>
        <v>46003</v>
      </c>
      <c r="D131" s="104">
        <f t="shared" si="19"/>
        <v>45987</v>
      </c>
      <c r="E131" s="104">
        <f t="shared" si="20"/>
        <v>45994</v>
      </c>
      <c r="F131" s="104">
        <f t="shared" si="21"/>
        <v>46000</v>
      </c>
      <c r="G131" s="104">
        <f t="shared" si="22"/>
        <v>45988</v>
      </c>
      <c r="H131" s="104">
        <f t="shared" si="23"/>
        <v>45995</v>
      </c>
      <c r="I131" s="104"/>
      <c r="J131" s="105"/>
      <c r="K131" s="25"/>
      <c r="L131" s="25"/>
      <c r="M131" s="25"/>
      <c r="N131" s="25"/>
    </row>
    <row r="132" spans="1:14" x14ac:dyDescent="0.25">
      <c r="A132" s="104">
        <v>45980</v>
      </c>
      <c r="B132" s="25" t="s">
        <v>436</v>
      </c>
      <c r="C132" s="104">
        <f t="shared" si="18"/>
        <v>46003</v>
      </c>
      <c r="D132" s="104">
        <f t="shared" si="19"/>
        <v>45987</v>
      </c>
      <c r="E132" s="104">
        <f t="shared" si="20"/>
        <v>45994</v>
      </c>
      <c r="F132" s="104">
        <f t="shared" si="21"/>
        <v>46000</v>
      </c>
      <c r="G132" s="104">
        <f t="shared" si="22"/>
        <v>45988</v>
      </c>
      <c r="H132" s="104">
        <f t="shared" si="23"/>
        <v>45995</v>
      </c>
      <c r="I132" s="104"/>
      <c r="J132" s="105"/>
      <c r="K132" s="25"/>
      <c r="L132" s="25"/>
      <c r="M132" s="25"/>
      <c r="N132" s="25"/>
    </row>
    <row r="133" spans="1:14" x14ac:dyDescent="0.25">
      <c r="A133" s="104">
        <v>45980</v>
      </c>
      <c r="B133" s="25" t="s">
        <v>437</v>
      </c>
      <c r="C133" s="104">
        <f t="shared" si="18"/>
        <v>46003</v>
      </c>
      <c r="D133" s="104">
        <f t="shared" si="19"/>
        <v>45987</v>
      </c>
      <c r="E133" s="104">
        <f t="shared" si="20"/>
        <v>45994</v>
      </c>
      <c r="F133" s="104">
        <f t="shared" si="21"/>
        <v>46000</v>
      </c>
      <c r="G133" s="104">
        <f t="shared" si="22"/>
        <v>45988</v>
      </c>
      <c r="H133" s="104">
        <f t="shared" si="23"/>
        <v>45995</v>
      </c>
      <c r="I133" s="104"/>
      <c r="J133" s="105"/>
      <c r="K133" s="25"/>
      <c r="L133" s="25"/>
      <c r="M133" s="25"/>
      <c r="N133" s="25"/>
    </row>
    <row r="134" spans="1:14" x14ac:dyDescent="0.25">
      <c r="A134" s="104">
        <v>45980</v>
      </c>
      <c r="B134" s="25" t="s">
        <v>438</v>
      </c>
      <c r="C134" s="104">
        <f t="shared" si="18"/>
        <v>46003</v>
      </c>
      <c r="D134" s="104">
        <f t="shared" si="19"/>
        <v>45987</v>
      </c>
      <c r="E134" s="104">
        <f t="shared" si="20"/>
        <v>45994</v>
      </c>
      <c r="F134" s="104">
        <f t="shared" si="21"/>
        <v>46000</v>
      </c>
      <c r="G134" s="104">
        <f t="shared" si="22"/>
        <v>45988</v>
      </c>
      <c r="H134" s="104">
        <f t="shared" si="23"/>
        <v>45995</v>
      </c>
      <c r="I134" s="104"/>
      <c r="J134" s="105"/>
      <c r="K134" s="25"/>
      <c r="L134" s="25"/>
      <c r="M134" s="25"/>
      <c r="N134" s="25"/>
    </row>
    <row r="135" spans="1:14" x14ac:dyDescent="0.25">
      <c r="A135" s="104">
        <v>45980</v>
      </c>
      <c r="B135" s="25" t="s">
        <v>439</v>
      </c>
      <c r="C135" s="104">
        <f t="shared" si="18"/>
        <v>46003</v>
      </c>
      <c r="D135" s="104">
        <f t="shared" si="19"/>
        <v>45987</v>
      </c>
      <c r="E135" s="104">
        <f t="shared" si="20"/>
        <v>45994</v>
      </c>
      <c r="F135" s="104">
        <f t="shared" si="21"/>
        <v>46000</v>
      </c>
      <c r="G135" s="104">
        <f t="shared" si="22"/>
        <v>45988</v>
      </c>
      <c r="H135" s="104">
        <f t="shared" si="23"/>
        <v>45995</v>
      </c>
      <c r="I135" s="104"/>
      <c r="J135" s="105"/>
      <c r="K135" s="25"/>
      <c r="L135" s="25"/>
      <c r="M135" s="25"/>
      <c r="N135" s="25"/>
    </row>
    <row r="136" spans="1:14" x14ac:dyDescent="0.25">
      <c r="A136" s="104">
        <v>45980</v>
      </c>
      <c r="B136" s="25" t="s">
        <v>440</v>
      </c>
      <c r="C136" s="104">
        <f t="shared" si="18"/>
        <v>46003</v>
      </c>
      <c r="D136" s="104">
        <f t="shared" si="19"/>
        <v>45987</v>
      </c>
      <c r="E136" s="104">
        <f t="shared" si="20"/>
        <v>45994</v>
      </c>
      <c r="F136" s="104">
        <f t="shared" si="21"/>
        <v>46000</v>
      </c>
      <c r="G136" s="104">
        <f t="shared" si="22"/>
        <v>45988</v>
      </c>
      <c r="H136" s="104">
        <f t="shared" si="23"/>
        <v>45995</v>
      </c>
      <c r="I136" s="104"/>
      <c r="J136" s="105"/>
      <c r="K136" s="25"/>
      <c r="L136" s="25"/>
      <c r="M136" s="25"/>
      <c r="N136" s="25"/>
    </row>
    <row r="137" spans="1:14" x14ac:dyDescent="0.25">
      <c r="A137" s="104">
        <v>45980</v>
      </c>
      <c r="B137" s="25" t="s">
        <v>441</v>
      </c>
      <c r="C137" s="104">
        <f t="shared" si="18"/>
        <v>46003</v>
      </c>
      <c r="D137" s="104">
        <f t="shared" si="19"/>
        <v>45987</v>
      </c>
      <c r="E137" s="104">
        <f t="shared" si="20"/>
        <v>45994</v>
      </c>
      <c r="F137" s="104">
        <f t="shared" si="21"/>
        <v>46000</v>
      </c>
      <c r="G137" s="104">
        <f t="shared" si="22"/>
        <v>45988</v>
      </c>
      <c r="H137" s="104">
        <f t="shared" si="23"/>
        <v>45995</v>
      </c>
      <c r="I137" s="104"/>
      <c r="J137" s="105"/>
      <c r="K137" s="25"/>
      <c r="L137" s="25"/>
      <c r="M137" s="25"/>
      <c r="N137" s="25"/>
    </row>
    <row r="138" spans="1:14" x14ac:dyDescent="0.25">
      <c r="A138" s="104">
        <v>45981</v>
      </c>
      <c r="B138" s="25" t="s">
        <v>359</v>
      </c>
      <c r="C138" s="104">
        <f t="shared" si="18"/>
        <v>46004</v>
      </c>
      <c r="D138" s="104">
        <f t="shared" si="19"/>
        <v>45988</v>
      </c>
      <c r="E138" s="104">
        <f t="shared" si="20"/>
        <v>45995</v>
      </c>
      <c r="F138" s="104">
        <f t="shared" si="21"/>
        <v>46001</v>
      </c>
      <c r="G138" s="104">
        <f t="shared" si="22"/>
        <v>45989</v>
      </c>
      <c r="H138" s="104">
        <f t="shared" si="23"/>
        <v>45996</v>
      </c>
      <c r="I138" s="104"/>
      <c r="J138" s="105"/>
      <c r="K138" s="25"/>
      <c r="L138" s="25"/>
      <c r="M138" s="25"/>
      <c r="N138" s="25"/>
    </row>
    <row r="139" spans="1:14" x14ac:dyDescent="0.25">
      <c r="A139" s="104">
        <v>45981</v>
      </c>
      <c r="B139" s="25" t="s">
        <v>360</v>
      </c>
      <c r="C139" s="104">
        <f t="shared" si="18"/>
        <v>46004</v>
      </c>
      <c r="D139" s="104">
        <f t="shared" si="19"/>
        <v>45988</v>
      </c>
      <c r="E139" s="104">
        <f t="shared" si="20"/>
        <v>45995</v>
      </c>
      <c r="F139" s="104">
        <f t="shared" si="21"/>
        <v>46001</v>
      </c>
      <c r="G139" s="104">
        <f t="shared" si="22"/>
        <v>45989</v>
      </c>
      <c r="H139" s="104">
        <f t="shared" si="23"/>
        <v>45996</v>
      </c>
      <c r="I139" s="104"/>
      <c r="J139" s="105"/>
      <c r="K139" s="25"/>
      <c r="L139" s="25"/>
      <c r="M139" s="25"/>
      <c r="N139" s="25"/>
    </row>
    <row r="140" spans="1:14" x14ac:dyDescent="0.25">
      <c r="A140" s="104">
        <v>45981</v>
      </c>
      <c r="B140" s="25" t="s">
        <v>361</v>
      </c>
      <c r="C140" s="104">
        <f t="shared" si="18"/>
        <v>46004</v>
      </c>
      <c r="D140" s="104">
        <f t="shared" si="19"/>
        <v>45988</v>
      </c>
      <c r="E140" s="104">
        <f t="shared" si="20"/>
        <v>45995</v>
      </c>
      <c r="F140" s="104">
        <f t="shared" si="21"/>
        <v>46001</v>
      </c>
      <c r="G140" s="104">
        <f t="shared" si="22"/>
        <v>45989</v>
      </c>
      <c r="H140" s="104">
        <f t="shared" si="23"/>
        <v>45996</v>
      </c>
      <c r="I140" s="104"/>
      <c r="J140" s="105"/>
      <c r="K140" s="25"/>
      <c r="L140" s="25"/>
      <c r="M140" s="25"/>
      <c r="N140" s="25"/>
    </row>
    <row r="141" spans="1:14" x14ac:dyDescent="0.25">
      <c r="A141" s="104">
        <v>45981</v>
      </c>
      <c r="B141" s="25" t="s">
        <v>362</v>
      </c>
      <c r="C141" s="104">
        <f t="shared" si="18"/>
        <v>46004</v>
      </c>
      <c r="D141" s="104">
        <f t="shared" si="19"/>
        <v>45988</v>
      </c>
      <c r="E141" s="104">
        <f t="shared" si="20"/>
        <v>45995</v>
      </c>
      <c r="F141" s="104">
        <f t="shared" si="21"/>
        <v>46001</v>
      </c>
      <c r="G141" s="104">
        <f t="shared" si="22"/>
        <v>45989</v>
      </c>
      <c r="H141" s="104">
        <f t="shared" si="23"/>
        <v>45996</v>
      </c>
      <c r="I141" s="104"/>
      <c r="J141" s="105"/>
      <c r="K141" s="25"/>
      <c r="L141" s="25"/>
      <c r="M141" s="25"/>
      <c r="N141" s="25"/>
    </row>
    <row r="142" spans="1:14" x14ac:dyDescent="0.25">
      <c r="A142" s="104">
        <v>45981</v>
      </c>
      <c r="B142" s="25" t="s">
        <v>363</v>
      </c>
      <c r="C142" s="104">
        <f t="shared" si="18"/>
        <v>46004</v>
      </c>
      <c r="D142" s="104">
        <f t="shared" si="19"/>
        <v>45988</v>
      </c>
      <c r="E142" s="104">
        <f t="shared" si="20"/>
        <v>45995</v>
      </c>
      <c r="F142" s="104">
        <f t="shared" si="21"/>
        <v>46001</v>
      </c>
      <c r="G142" s="104">
        <f t="shared" si="22"/>
        <v>45989</v>
      </c>
      <c r="H142" s="104">
        <f t="shared" si="23"/>
        <v>45996</v>
      </c>
      <c r="I142" s="104"/>
      <c r="J142" s="105"/>
      <c r="K142" s="25"/>
      <c r="L142" s="25"/>
      <c r="M142" s="25"/>
      <c r="N142" s="25"/>
    </row>
    <row r="143" spans="1:14" x14ac:dyDescent="0.25">
      <c r="A143" s="104">
        <v>45981</v>
      </c>
      <c r="B143" s="25" t="s">
        <v>364</v>
      </c>
      <c r="C143" s="104">
        <f t="shared" si="18"/>
        <v>46004</v>
      </c>
      <c r="D143" s="104">
        <f t="shared" si="19"/>
        <v>45988</v>
      </c>
      <c r="E143" s="104">
        <f t="shared" si="20"/>
        <v>45995</v>
      </c>
      <c r="F143" s="104">
        <f t="shared" si="21"/>
        <v>46001</v>
      </c>
      <c r="G143" s="104">
        <f t="shared" si="22"/>
        <v>45989</v>
      </c>
      <c r="H143" s="104">
        <f t="shared" si="23"/>
        <v>45996</v>
      </c>
      <c r="I143" s="104"/>
      <c r="J143" s="105"/>
      <c r="K143" s="25"/>
      <c r="L143" s="25"/>
      <c r="M143" s="25"/>
      <c r="N143" s="25"/>
    </row>
    <row r="144" spans="1:14" x14ac:dyDescent="0.25">
      <c r="A144" s="104">
        <v>45981</v>
      </c>
      <c r="B144" s="25" t="s">
        <v>365</v>
      </c>
      <c r="C144" s="104">
        <f t="shared" ref="C144:C207" si="24">A144+23</f>
        <v>46004</v>
      </c>
      <c r="D144" s="104">
        <f t="shared" ref="D144:D207" si="25">A144+7</f>
        <v>45988</v>
      </c>
      <c r="E144" s="104">
        <f t="shared" ref="E144:E207" si="26">A144+14</f>
        <v>45995</v>
      </c>
      <c r="F144" s="104">
        <f t="shared" ref="F144:F207" si="27">A144+20</f>
        <v>46001</v>
      </c>
      <c r="G144" s="104">
        <f t="shared" ref="G144:G207" si="28">A144+8</f>
        <v>45989</v>
      </c>
      <c r="H144" s="104">
        <f t="shared" ref="H144:H207" si="29">A144+15</f>
        <v>45996</v>
      </c>
      <c r="I144" s="104"/>
      <c r="J144" s="105"/>
      <c r="K144" s="25"/>
      <c r="L144" s="25"/>
      <c r="M144" s="25"/>
      <c r="N144" s="25"/>
    </row>
    <row r="145" spans="1:14" x14ac:dyDescent="0.25">
      <c r="A145" s="104">
        <v>45982</v>
      </c>
      <c r="B145" s="25" t="s">
        <v>379</v>
      </c>
      <c r="C145" s="104">
        <f t="shared" si="24"/>
        <v>46005</v>
      </c>
      <c r="D145" s="104">
        <f t="shared" si="25"/>
        <v>45989</v>
      </c>
      <c r="E145" s="104">
        <f t="shared" si="26"/>
        <v>45996</v>
      </c>
      <c r="F145" s="104">
        <f t="shared" si="27"/>
        <v>46002</v>
      </c>
      <c r="G145" s="104">
        <f t="shared" si="28"/>
        <v>45990</v>
      </c>
      <c r="H145" s="104">
        <f t="shared" si="29"/>
        <v>45997</v>
      </c>
      <c r="I145" s="104"/>
      <c r="J145" s="105"/>
      <c r="K145" s="25"/>
      <c r="L145" s="25"/>
      <c r="M145" s="25"/>
      <c r="N145" s="25"/>
    </row>
    <row r="146" spans="1:14" x14ac:dyDescent="0.25">
      <c r="A146" s="104">
        <v>45982</v>
      </c>
      <c r="B146" s="25" t="s">
        <v>380</v>
      </c>
      <c r="C146" s="104">
        <f t="shared" si="24"/>
        <v>46005</v>
      </c>
      <c r="D146" s="104">
        <f t="shared" si="25"/>
        <v>45989</v>
      </c>
      <c r="E146" s="104">
        <f t="shared" si="26"/>
        <v>45996</v>
      </c>
      <c r="F146" s="104">
        <f t="shared" si="27"/>
        <v>46002</v>
      </c>
      <c r="G146" s="104">
        <f t="shared" si="28"/>
        <v>45990</v>
      </c>
      <c r="H146" s="104">
        <f t="shared" si="29"/>
        <v>45997</v>
      </c>
      <c r="I146" s="104"/>
      <c r="J146" s="105"/>
      <c r="K146" s="25"/>
      <c r="L146" s="25"/>
      <c r="M146" s="25"/>
      <c r="N146" s="25"/>
    </row>
    <row r="147" spans="1:14" x14ac:dyDescent="0.25">
      <c r="A147" s="104">
        <v>45982</v>
      </c>
      <c r="B147" s="25" t="s">
        <v>381</v>
      </c>
      <c r="C147" s="104">
        <f t="shared" si="24"/>
        <v>46005</v>
      </c>
      <c r="D147" s="104">
        <f t="shared" si="25"/>
        <v>45989</v>
      </c>
      <c r="E147" s="104">
        <f t="shared" si="26"/>
        <v>45996</v>
      </c>
      <c r="F147" s="104">
        <f t="shared" si="27"/>
        <v>46002</v>
      </c>
      <c r="G147" s="104">
        <f t="shared" si="28"/>
        <v>45990</v>
      </c>
      <c r="H147" s="104">
        <f t="shared" si="29"/>
        <v>45997</v>
      </c>
      <c r="I147" s="104"/>
      <c r="J147" s="105"/>
      <c r="K147" s="25"/>
      <c r="L147" s="25"/>
      <c r="M147" s="25"/>
      <c r="N147" s="25"/>
    </row>
    <row r="148" spans="1:14" x14ac:dyDescent="0.25">
      <c r="A148" s="104">
        <v>45982</v>
      </c>
      <c r="B148" s="25" t="s">
        <v>382</v>
      </c>
      <c r="C148" s="104">
        <f t="shared" si="24"/>
        <v>46005</v>
      </c>
      <c r="D148" s="104">
        <f t="shared" si="25"/>
        <v>45989</v>
      </c>
      <c r="E148" s="104">
        <f t="shared" si="26"/>
        <v>45996</v>
      </c>
      <c r="F148" s="104">
        <f t="shared" si="27"/>
        <v>46002</v>
      </c>
      <c r="G148" s="104">
        <f t="shared" si="28"/>
        <v>45990</v>
      </c>
      <c r="H148" s="104">
        <f t="shared" si="29"/>
        <v>45997</v>
      </c>
      <c r="I148" s="104"/>
      <c r="J148" s="105"/>
      <c r="K148" s="25"/>
      <c r="L148" s="25"/>
      <c r="M148" s="25"/>
      <c r="N148" s="25"/>
    </row>
    <row r="149" spans="1:14" x14ac:dyDescent="0.25">
      <c r="A149" s="104">
        <v>45982</v>
      </c>
      <c r="B149" s="25" t="s">
        <v>383</v>
      </c>
      <c r="C149" s="104">
        <f t="shared" si="24"/>
        <v>46005</v>
      </c>
      <c r="D149" s="104">
        <f t="shared" si="25"/>
        <v>45989</v>
      </c>
      <c r="E149" s="104">
        <f t="shared" si="26"/>
        <v>45996</v>
      </c>
      <c r="F149" s="104">
        <f t="shared" si="27"/>
        <v>46002</v>
      </c>
      <c r="G149" s="104">
        <f t="shared" si="28"/>
        <v>45990</v>
      </c>
      <c r="H149" s="104">
        <f t="shared" si="29"/>
        <v>45997</v>
      </c>
      <c r="I149" s="104"/>
      <c r="J149" s="105"/>
      <c r="K149" s="25"/>
      <c r="L149" s="25"/>
      <c r="M149" s="25"/>
      <c r="N149" s="25"/>
    </row>
    <row r="150" spans="1:14" x14ac:dyDescent="0.25">
      <c r="A150" s="104">
        <v>45982</v>
      </c>
      <c r="B150" s="25" t="s">
        <v>384</v>
      </c>
      <c r="C150" s="104">
        <f t="shared" si="24"/>
        <v>46005</v>
      </c>
      <c r="D150" s="104">
        <f t="shared" si="25"/>
        <v>45989</v>
      </c>
      <c r="E150" s="104">
        <f t="shared" si="26"/>
        <v>45996</v>
      </c>
      <c r="F150" s="104">
        <f t="shared" si="27"/>
        <v>46002</v>
      </c>
      <c r="G150" s="104">
        <f t="shared" si="28"/>
        <v>45990</v>
      </c>
      <c r="H150" s="104">
        <f t="shared" si="29"/>
        <v>45997</v>
      </c>
      <c r="I150" s="104"/>
      <c r="J150" s="105"/>
      <c r="K150" s="25"/>
      <c r="L150" s="25"/>
      <c r="M150" s="25"/>
      <c r="N150" s="25"/>
    </row>
    <row r="151" spans="1:14" x14ac:dyDescent="0.25">
      <c r="A151" s="104">
        <v>45982</v>
      </c>
      <c r="B151" s="25" t="s">
        <v>385</v>
      </c>
      <c r="C151" s="104">
        <f t="shared" si="24"/>
        <v>46005</v>
      </c>
      <c r="D151" s="104">
        <f t="shared" si="25"/>
        <v>45989</v>
      </c>
      <c r="E151" s="104">
        <f t="shared" si="26"/>
        <v>45996</v>
      </c>
      <c r="F151" s="104">
        <f t="shared" si="27"/>
        <v>46002</v>
      </c>
      <c r="G151" s="104">
        <f t="shared" si="28"/>
        <v>45990</v>
      </c>
      <c r="H151" s="104">
        <f t="shared" si="29"/>
        <v>45997</v>
      </c>
      <c r="I151" s="104"/>
      <c r="J151" s="105"/>
      <c r="K151" s="25"/>
      <c r="L151" s="25"/>
      <c r="M151" s="25"/>
      <c r="N151" s="25"/>
    </row>
    <row r="152" spans="1:14" x14ac:dyDescent="0.25">
      <c r="A152" s="104">
        <v>45983</v>
      </c>
      <c r="B152" s="25" t="s">
        <v>366</v>
      </c>
      <c r="C152" s="104">
        <f t="shared" si="24"/>
        <v>46006</v>
      </c>
      <c r="D152" s="104">
        <f t="shared" si="25"/>
        <v>45990</v>
      </c>
      <c r="E152" s="104">
        <f t="shared" si="26"/>
        <v>45997</v>
      </c>
      <c r="F152" s="104">
        <f t="shared" si="27"/>
        <v>46003</v>
      </c>
      <c r="G152" s="104">
        <f t="shared" si="28"/>
        <v>45991</v>
      </c>
      <c r="H152" s="104">
        <f t="shared" si="29"/>
        <v>45998</v>
      </c>
      <c r="I152" s="104"/>
      <c r="J152" s="105"/>
      <c r="K152" s="25"/>
      <c r="L152" s="25"/>
      <c r="M152" s="25"/>
      <c r="N152" s="25"/>
    </row>
    <row r="153" spans="1:14" x14ac:dyDescent="0.25">
      <c r="A153" s="104">
        <v>45983</v>
      </c>
      <c r="B153" s="25" t="s">
        <v>367</v>
      </c>
      <c r="C153" s="104">
        <f t="shared" si="24"/>
        <v>46006</v>
      </c>
      <c r="D153" s="104">
        <f t="shared" si="25"/>
        <v>45990</v>
      </c>
      <c r="E153" s="104">
        <f t="shared" si="26"/>
        <v>45997</v>
      </c>
      <c r="F153" s="104">
        <f t="shared" si="27"/>
        <v>46003</v>
      </c>
      <c r="G153" s="104">
        <f t="shared" si="28"/>
        <v>45991</v>
      </c>
      <c r="H153" s="104">
        <f t="shared" si="29"/>
        <v>45998</v>
      </c>
      <c r="I153" s="104"/>
      <c r="J153" s="105"/>
      <c r="K153" s="25"/>
      <c r="L153" s="25"/>
      <c r="M153" s="25"/>
      <c r="N153" s="25"/>
    </row>
    <row r="154" spans="1:14" x14ac:dyDescent="0.25">
      <c r="A154" s="104">
        <v>45983</v>
      </c>
      <c r="B154" s="25" t="s">
        <v>368</v>
      </c>
      <c r="C154" s="104">
        <f t="shared" si="24"/>
        <v>46006</v>
      </c>
      <c r="D154" s="104">
        <f t="shared" si="25"/>
        <v>45990</v>
      </c>
      <c r="E154" s="104">
        <f t="shared" si="26"/>
        <v>45997</v>
      </c>
      <c r="F154" s="104">
        <f t="shared" si="27"/>
        <v>46003</v>
      </c>
      <c r="G154" s="104">
        <f t="shared" si="28"/>
        <v>45991</v>
      </c>
      <c r="H154" s="104">
        <f t="shared" si="29"/>
        <v>45998</v>
      </c>
      <c r="I154" s="104"/>
      <c r="J154" s="105"/>
      <c r="K154" s="25"/>
      <c r="L154" s="25"/>
      <c r="M154" s="25"/>
      <c r="N154" s="25"/>
    </row>
    <row r="155" spans="1:14" x14ac:dyDescent="0.25">
      <c r="A155" s="104">
        <v>45983</v>
      </c>
      <c r="B155" s="25" t="s">
        <v>369</v>
      </c>
      <c r="C155" s="104">
        <f t="shared" si="24"/>
        <v>46006</v>
      </c>
      <c r="D155" s="104">
        <f t="shared" si="25"/>
        <v>45990</v>
      </c>
      <c r="E155" s="104">
        <f t="shared" si="26"/>
        <v>45997</v>
      </c>
      <c r="F155" s="104">
        <f t="shared" si="27"/>
        <v>46003</v>
      </c>
      <c r="G155" s="104">
        <f t="shared" si="28"/>
        <v>45991</v>
      </c>
      <c r="H155" s="104">
        <f t="shared" si="29"/>
        <v>45998</v>
      </c>
      <c r="I155" s="104"/>
      <c r="J155" s="105"/>
      <c r="K155" s="25"/>
      <c r="L155" s="25"/>
      <c r="M155" s="25"/>
      <c r="N155" s="25"/>
    </row>
    <row r="156" spans="1:14" x14ac:dyDescent="0.25">
      <c r="A156" s="104">
        <v>45983</v>
      </c>
      <c r="B156" s="25" t="s">
        <v>370</v>
      </c>
      <c r="C156" s="104">
        <f t="shared" si="24"/>
        <v>46006</v>
      </c>
      <c r="D156" s="104">
        <f t="shared" si="25"/>
        <v>45990</v>
      </c>
      <c r="E156" s="104">
        <f t="shared" si="26"/>
        <v>45997</v>
      </c>
      <c r="F156" s="104">
        <f t="shared" si="27"/>
        <v>46003</v>
      </c>
      <c r="G156" s="104">
        <f t="shared" si="28"/>
        <v>45991</v>
      </c>
      <c r="H156" s="104">
        <f t="shared" si="29"/>
        <v>45998</v>
      </c>
      <c r="I156" s="104"/>
      <c r="J156" s="105"/>
      <c r="K156" s="25"/>
      <c r="L156" s="25"/>
      <c r="M156" s="25"/>
      <c r="N156" s="25"/>
    </row>
    <row r="157" spans="1:14" x14ac:dyDescent="0.25">
      <c r="A157" s="104">
        <v>45983</v>
      </c>
      <c r="B157" s="25" t="s">
        <v>371</v>
      </c>
      <c r="C157" s="104">
        <f t="shared" si="24"/>
        <v>46006</v>
      </c>
      <c r="D157" s="104">
        <f t="shared" si="25"/>
        <v>45990</v>
      </c>
      <c r="E157" s="104">
        <f t="shared" si="26"/>
        <v>45997</v>
      </c>
      <c r="F157" s="104">
        <f t="shared" si="27"/>
        <v>46003</v>
      </c>
      <c r="G157" s="104">
        <f t="shared" si="28"/>
        <v>45991</v>
      </c>
      <c r="H157" s="104">
        <f t="shared" si="29"/>
        <v>45998</v>
      </c>
      <c r="I157" s="104"/>
      <c r="J157" s="105"/>
      <c r="K157" s="25"/>
      <c r="L157" s="25"/>
      <c r="M157" s="25"/>
      <c r="N157" s="25"/>
    </row>
    <row r="158" spans="1:14" x14ac:dyDescent="0.25">
      <c r="A158" s="104">
        <v>45983</v>
      </c>
      <c r="B158" s="25" t="s">
        <v>372</v>
      </c>
      <c r="C158" s="104">
        <f t="shared" si="24"/>
        <v>46006</v>
      </c>
      <c r="D158" s="104">
        <f t="shared" si="25"/>
        <v>45990</v>
      </c>
      <c r="E158" s="104">
        <f t="shared" si="26"/>
        <v>45997</v>
      </c>
      <c r="F158" s="104">
        <f t="shared" si="27"/>
        <v>46003</v>
      </c>
      <c r="G158" s="104">
        <f t="shared" si="28"/>
        <v>45991</v>
      </c>
      <c r="H158" s="104">
        <f t="shared" si="29"/>
        <v>45998</v>
      </c>
      <c r="I158" s="104"/>
      <c r="J158" s="105"/>
      <c r="K158" s="25"/>
      <c r="L158" s="25"/>
      <c r="M158" s="25"/>
      <c r="N158" s="25"/>
    </row>
    <row r="159" spans="1:14" x14ac:dyDescent="0.25">
      <c r="A159" s="104">
        <v>45984</v>
      </c>
      <c r="B159" s="25" t="s">
        <v>386</v>
      </c>
      <c r="C159" s="104">
        <f t="shared" si="24"/>
        <v>46007</v>
      </c>
      <c r="D159" s="104">
        <f t="shared" si="25"/>
        <v>45991</v>
      </c>
      <c r="E159" s="104">
        <f t="shared" si="26"/>
        <v>45998</v>
      </c>
      <c r="F159" s="104">
        <f t="shared" si="27"/>
        <v>46004</v>
      </c>
      <c r="G159" s="104">
        <f t="shared" si="28"/>
        <v>45992</v>
      </c>
      <c r="H159" s="104">
        <f t="shared" si="29"/>
        <v>45999</v>
      </c>
      <c r="I159" s="104"/>
      <c r="J159" s="105"/>
      <c r="K159" s="25"/>
      <c r="L159" s="25"/>
      <c r="M159" s="25"/>
      <c r="N159" s="25"/>
    </row>
    <row r="160" spans="1:14" x14ac:dyDescent="0.25">
      <c r="A160" s="104">
        <v>45984</v>
      </c>
      <c r="B160" s="25" t="s">
        <v>387</v>
      </c>
      <c r="C160" s="104">
        <f t="shared" si="24"/>
        <v>46007</v>
      </c>
      <c r="D160" s="104">
        <f t="shared" si="25"/>
        <v>45991</v>
      </c>
      <c r="E160" s="104">
        <f t="shared" si="26"/>
        <v>45998</v>
      </c>
      <c r="F160" s="104">
        <f t="shared" si="27"/>
        <v>46004</v>
      </c>
      <c r="G160" s="104">
        <f t="shared" si="28"/>
        <v>45992</v>
      </c>
      <c r="H160" s="104">
        <f t="shared" si="29"/>
        <v>45999</v>
      </c>
      <c r="I160" s="104"/>
      <c r="J160" s="105"/>
      <c r="K160" s="25"/>
      <c r="L160" s="25"/>
      <c r="M160" s="25"/>
      <c r="N160" s="25"/>
    </row>
    <row r="161" spans="1:14" x14ac:dyDescent="0.25">
      <c r="A161" s="104">
        <v>45984</v>
      </c>
      <c r="B161" s="25" t="s">
        <v>388</v>
      </c>
      <c r="C161" s="104">
        <f t="shared" si="24"/>
        <v>46007</v>
      </c>
      <c r="D161" s="104">
        <f t="shared" si="25"/>
        <v>45991</v>
      </c>
      <c r="E161" s="104">
        <f t="shared" si="26"/>
        <v>45998</v>
      </c>
      <c r="F161" s="104">
        <f t="shared" si="27"/>
        <v>46004</v>
      </c>
      <c r="G161" s="104">
        <f t="shared" si="28"/>
        <v>45992</v>
      </c>
      <c r="H161" s="104">
        <f t="shared" si="29"/>
        <v>45999</v>
      </c>
      <c r="I161" s="104"/>
      <c r="J161" s="105"/>
      <c r="K161" s="25"/>
      <c r="L161" s="25"/>
      <c r="M161" s="25"/>
      <c r="N161" s="25"/>
    </row>
    <row r="162" spans="1:14" x14ac:dyDescent="0.25">
      <c r="A162" s="104">
        <v>45984</v>
      </c>
      <c r="B162" s="25" t="s">
        <v>389</v>
      </c>
      <c r="C162" s="104">
        <f t="shared" si="24"/>
        <v>46007</v>
      </c>
      <c r="D162" s="104">
        <f t="shared" si="25"/>
        <v>45991</v>
      </c>
      <c r="E162" s="104">
        <f t="shared" si="26"/>
        <v>45998</v>
      </c>
      <c r="F162" s="104">
        <f t="shared" si="27"/>
        <v>46004</v>
      </c>
      <c r="G162" s="104">
        <f t="shared" si="28"/>
        <v>45992</v>
      </c>
      <c r="H162" s="104">
        <f t="shared" si="29"/>
        <v>45999</v>
      </c>
      <c r="I162" s="104"/>
      <c r="J162" s="105"/>
      <c r="K162" s="25"/>
      <c r="L162" s="25"/>
      <c r="M162" s="25"/>
      <c r="N162" s="25"/>
    </row>
    <row r="163" spans="1:14" x14ac:dyDescent="0.25">
      <c r="A163" s="104">
        <v>45984</v>
      </c>
      <c r="B163" s="25" t="s">
        <v>390</v>
      </c>
      <c r="C163" s="104">
        <f t="shared" si="24"/>
        <v>46007</v>
      </c>
      <c r="D163" s="104">
        <f t="shared" si="25"/>
        <v>45991</v>
      </c>
      <c r="E163" s="104">
        <f t="shared" si="26"/>
        <v>45998</v>
      </c>
      <c r="F163" s="104">
        <f t="shared" si="27"/>
        <v>46004</v>
      </c>
      <c r="G163" s="104">
        <f t="shared" si="28"/>
        <v>45992</v>
      </c>
      <c r="H163" s="104">
        <f t="shared" si="29"/>
        <v>45999</v>
      </c>
      <c r="I163" s="104"/>
      <c r="J163" s="105"/>
      <c r="K163" s="25"/>
      <c r="L163" s="25"/>
      <c r="M163" s="25"/>
      <c r="N163" s="25"/>
    </row>
    <row r="164" spans="1:14" x14ac:dyDescent="0.25">
      <c r="A164" s="104">
        <v>45984</v>
      </c>
      <c r="B164" s="25" t="s">
        <v>391</v>
      </c>
      <c r="C164" s="104">
        <f t="shared" si="24"/>
        <v>46007</v>
      </c>
      <c r="D164" s="104">
        <f t="shared" si="25"/>
        <v>45991</v>
      </c>
      <c r="E164" s="104">
        <f t="shared" si="26"/>
        <v>45998</v>
      </c>
      <c r="F164" s="104">
        <f t="shared" si="27"/>
        <v>46004</v>
      </c>
      <c r="G164" s="104">
        <f t="shared" si="28"/>
        <v>45992</v>
      </c>
      <c r="H164" s="104">
        <f t="shared" si="29"/>
        <v>45999</v>
      </c>
      <c r="I164" s="104"/>
      <c r="J164" s="105"/>
      <c r="K164" s="25"/>
      <c r="L164" s="25"/>
      <c r="M164" s="25"/>
      <c r="N164" s="25"/>
    </row>
    <row r="165" spans="1:14" x14ac:dyDescent="0.25">
      <c r="A165" s="104">
        <v>45984</v>
      </c>
      <c r="B165" s="25" t="s">
        <v>392</v>
      </c>
      <c r="C165" s="104">
        <f t="shared" si="24"/>
        <v>46007</v>
      </c>
      <c r="D165" s="104">
        <f t="shared" si="25"/>
        <v>45991</v>
      </c>
      <c r="E165" s="104">
        <f t="shared" si="26"/>
        <v>45998</v>
      </c>
      <c r="F165" s="104">
        <f t="shared" si="27"/>
        <v>46004</v>
      </c>
      <c r="G165" s="104">
        <f t="shared" si="28"/>
        <v>45992</v>
      </c>
      <c r="H165" s="104">
        <f t="shared" si="29"/>
        <v>45999</v>
      </c>
      <c r="I165" s="104"/>
      <c r="J165" s="105"/>
      <c r="K165" s="25"/>
      <c r="L165" s="25"/>
      <c r="M165" s="25"/>
      <c r="N165" s="25"/>
    </row>
    <row r="166" spans="1:14" x14ac:dyDescent="0.25">
      <c r="A166" s="104">
        <v>45985</v>
      </c>
      <c r="B166" s="25" t="s">
        <v>373</v>
      </c>
      <c r="C166" s="104">
        <f t="shared" si="24"/>
        <v>46008</v>
      </c>
      <c r="D166" s="104">
        <f t="shared" si="25"/>
        <v>45992</v>
      </c>
      <c r="E166" s="104">
        <f t="shared" si="26"/>
        <v>45999</v>
      </c>
      <c r="F166" s="104">
        <f t="shared" si="27"/>
        <v>46005</v>
      </c>
      <c r="G166" s="104">
        <f t="shared" si="28"/>
        <v>45993</v>
      </c>
      <c r="H166" s="104">
        <f t="shared" si="29"/>
        <v>46000</v>
      </c>
      <c r="I166" s="104"/>
      <c r="J166" s="105"/>
      <c r="K166" s="25"/>
      <c r="L166" s="25"/>
      <c r="M166" s="25"/>
      <c r="N166" s="25"/>
    </row>
    <row r="167" spans="1:14" x14ac:dyDescent="0.25">
      <c r="A167" s="104">
        <v>45985</v>
      </c>
      <c r="B167" s="25" t="s">
        <v>374</v>
      </c>
      <c r="C167" s="104">
        <f t="shared" si="24"/>
        <v>46008</v>
      </c>
      <c r="D167" s="104">
        <f t="shared" si="25"/>
        <v>45992</v>
      </c>
      <c r="E167" s="104">
        <f t="shared" si="26"/>
        <v>45999</v>
      </c>
      <c r="F167" s="104">
        <f t="shared" si="27"/>
        <v>46005</v>
      </c>
      <c r="G167" s="104">
        <f t="shared" si="28"/>
        <v>45993</v>
      </c>
      <c r="H167" s="104">
        <f t="shared" si="29"/>
        <v>46000</v>
      </c>
      <c r="I167" s="104"/>
      <c r="J167" s="105"/>
      <c r="K167" s="25"/>
      <c r="L167" s="25"/>
      <c r="M167" s="25"/>
      <c r="N167" s="25"/>
    </row>
    <row r="168" spans="1:14" x14ac:dyDescent="0.25">
      <c r="A168" s="104">
        <v>45985</v>
      </c>
      <c r="B168" s="25" t="s">
        <v>375</v>
      </c>
      <c r="C168" s="104">
        <f t="shared" si="24"/>
        <v>46008</v>
      </c>
      <c r="D168" s="104">
        <f t="shared" si="25"/>
        <v>45992</v>
      </c>
      <c r="E168" s="104">
        <f t="shared" si="26"/>
        <v>45999</v>
      </c>
      <c r="F168" s="104">
        <f t="shared" si="27"/>
        <v>46005</v>
      </c>
      <c r="G168" s="104">
        <f t="shared" si="28"/>
        <v>45993</v>
      </c>
      <c r="H168" s="104">
        <f t="shared" si="29"/>
        <v>46000</v>
      </c>
      <c r="I168" s="104"/>
      <c r="J168" s="105"/>
      <c r="K168" s="25"/>
      <c r="L168" s="25"/>
      <c r="M168" s="25"/>
      <c r="N168" s="25"/>
    </row>
    <row r="169" spans="1:14" x14ac:dyDescent="0.25">
      <c r="A169" s="104">
        <v>45985</v>
      </c>
      <c r="B169" s="25" t="s">
        <v>376</v>
      </c>
      <c r="C169" s="104">
        <f t="shared" si="24"/>
        <v>46008</v>
      </c>
      <c r="D169" s="104">
        <f t="shared" si="25"/>
        <v>45992</v>
      </c>
      <c r="E169" s="104">
        <f t="shared" si="26"/>
        <v>45999</v>
      </c>
      <c r="F169" s="104">
        <f t="shared" si="27"/>
        <v>46005</v>
      </c>
      <c r="G169" s="104">
        <f t="shared" si="28"/>
        <v>45993</v>
      </c>
      <c r="H169" s="104">
        <f t="shared" si="29"/>
        <v>46000</v>
      </c>
      <c r="I169" s="104"/>
      <c r="J169" s="105"/>
      <c r="K169" s="25"/>
      <c r="L169" s="25"/>
      <c r="M169" s="25"/>
      <c r="N169" s="25"/>
    </row>
    <row r="170" spans="1:14" x14ac:dyDescent="0.25">
      <c r="A170" s="104">
        <v>45985</v>
      </c>
      <c r="B170" s="25" t="s">
        <v>377</v>
      </c>
      <c r="C170" s="104">
        <f t="shared" si="24"/>
        <v>46008</v>
      </c>
      <c r="D170" s="104">
        <f t="shared" si="25"/>
        <v>45992</v>
      </c>
      <c r="E170" s="104">
        <f t="shared" si="26"/>
        <v>45999</v>
      </c>
      <c r="F170" s="104">
        <f t="shared" si="27"/>
        <v>46005</v>
      </c>
      <c r="G170" s="104">
        <f t="shared" si="28"/>
        <v>45993</v>
      </c>
      <c r="H170" s="104">
        <f t="shared" si="29"/>
        <v>46000</v>
      </c>
      <c r="I170" s="104"/>
      <c r="J170" s="105"/>
      <c r="K170" s="25"/>
      <c r="L170" s="25"/>
      <c r="M170" s="25"/>
      <c r="N170" s="25"/>
    </row>
    <row r="171" spans="1:14" x14ac:dyDescent="0.25">
      <c r="A171" s="104">
        <v>45985</v>
      </c>
      <c r="B171" s="25" t="s">
        <v>393</v>
      </c>
      <c r="C171" s="104">
        <f t="shared" si="24"/>
        <v>46008</v>
      </c>
      <c r="D171" s="104">
        <f t="shared" si="25"/>
        <v>45992</v>
      </c>
      <c r="E171" s="104">
        <f t="shared" si="26"/>
        <v>45999</v>
      </c>
      <c r="F171" s="104">
        <f t="shared" si="27"/>
        <v>46005</v>
      </c>
      <c r="G171" s="104">
        <f t="shared" si="28"/>
        <v>45993</v>
      </c>
      <c r="H171" s="104">
        <f t="shared" si="29"/>
        <v>46000</v>
      </c>
      <c r="I171" s="104"/>
      <c r="J171" s="105"/>
      <c r="K171" s="25"/>
      <c r="L171" s="25"/>
      <c r="M171" s="25"/>
      <c r="N171" s="25"/>
    </row>
    <row r="172" spans="1:14" x14ac:dyDescent="0.25">
      <c r="A172" s="104">
        <v>45985</v>
      </c>
      <c r="B172" s="25" t="s">
        <v>394</v>
      </c>
      <c r="C172" s="104">
        <f t="shared" si="24"/>
        <v>46008</v>
      </c>
      <c r="D172" s="104">
        <f t="shared" si="25"/>
        <v>45992</v>
      </c>
      <c r="E172" s="104">
        <f t="shared" si="26"/>
        <v>45999</v>
      </c>
      <c r="F172" s="104">
        <f t="shared" si="27"/>
        <v>46005</v>
      </c>
      <c r="G172" s="104">
        <f t="shared" si="28"/>
        <v>45993</v>
      </c>
      <c r="H172" s="104">
        <f t="shared" si="29"/>
        <v>46000</v>
      </c>
      <c r="I172" s="104"/>
      <c r="J172" s="105"/>
      <c r="K172" s="25"/>
      <c r="L172" s="25"/>
      <c r="M172" s="25"/>
      <c r="N172" s="25"/>
    </row>
    <row r="173" spans="1:14" x14ac:dyDescent="0.25">
      <c r="A173" s="104">
        <v>45986</v>
      </c>
      <c r="B173" s="25" t="s">
        <v>395</v>
      </c>
      <c r="C173" s="104">
        <f t="shared" si="24"/>
        <v>46009</v>
      </c>
      <c r="D173" s="104">
        <f t="shared" si="25"/>
        <v>45993</v>
      </c>
      <c r="E173" s="104">
        <f t="shared" si="26"/>
        <v>46000</v>
      </c>
      <c r="F173" s="104">
        <f t="shared" si="27"/>
        <v>46006</v>
      </c>
      <c r="G173" s="104">
        <f t="shared" si="28"/>
        <v>45994</v>
      </c>
      <c r="H173" s="104">
        <f t="shared" si="29"/>
        <v>46001</v>
      </c>
      <c r="I173" s="104"/>
      <c r="J173" s="105"/>
      <c r="K173" s="25"/>
      <c r="L173" s="25"/>
      <c r="M173" s="25"/>
      <c r="N173" s="25"/>
    </row>
    <row r="174" spans="1:14" x14ac:dyDescent="0.25">
      <c r="A174" s="104">
        <v>45986</v>
      </c>
      <c r="B174" s="25" t="s">
        <v>396</v>
      </c>
      <c r="C174" s="104">
        <f t="shared" si="24"/>
        <v>46009</v>
      </c>
      <c r="D174" s="104">
        <f t="shared" si="25"/>
        <v>45993</v>
      </c>
      <c r="E174" s="104">
        <f t="shared" si="26"/>
        <v>46000</v>
      </c>
      <c r="F174" s="104">
        <f t="shared" si="27"/>
        <v>46006</v>
      </c>
      <c r="G174" s="104">
        <f t="shared" si="28"/>
        <v>45994</v>
      </c>
      <c r="H174" s="104">
        <f t="shared" si="29"/>
        <v>46001</v>
      </c>
      <c r="I174" s="104"/>
      <c r="J174" s="105"/>
      <c r="K174" s="25"/>
      <c r="L174" s="25"/>
      <c r="M174" s="25"/>
      <c r="N174" s="25"/>
    </row>
    <row r="175" spans="1:14" x14ac:dyDescent="0.25">
      <c r="A175" s="104">
        <v>45986</v>
      </c>
      <c r="B175" s="25" t="s">
        <v>397</v>
      </c>
      <c r="C175" s="104">
        <f t="shared" si="24"/>
        <v>46009</v>
      </c>
      <c r="D175" s="104">
        <f t="shared" si="25"/>
        <v>45993</v>
      </c>
      <c r="E175" s="104">
        <f t="shared" si="26"/>
        <v>46000</v>
      </c>
      <c r="F175" s="104">
        <f t="shared" si="27"/>
        <v>46006</v>
      </c>
      <c r="G175" s="104">
        <f t="shared" si="28"/>
        <v>45994</v>
      </c>
      <c r="H175" s="104">
        <f t="shared" si="29"/>
        <v>46001</v>
      </c>
      <c r="I175" s="104"/>
      <c r="J175" s="105"/>
      <c r="K175" s="25"/>
      <c r="L175" s="25"/>
      <c r="M175" s="25"/>
      <c r="N175" s="25"/>
    </row>
    <row r="176" spans="1:14" x14ac:dyDescent="0.25">
      <c r="A176" s="104">
        <v>45986</v>
      </c>
      <c r="B176" s="25" t="s">
        <v>408</v>
      </c>
      <c r="C176" s="104">
        <f t="shared" si="24"/>
        <v>46009</v>
      </c>
      <c r="D176" s="104">
        <f t="shared" si="25"/>
        <v>45993</v>
      </c>
      <c r="E176" s="104">
        <f t="shared" si="26"/>
        <v>46000</v>
      </c>
      <c r="F176" s="104">
        <f t="shared" si="27"/>
        <v>46006</v>
      </c>
      <c r="G176" s="104">
        <f t="shared" si="28"/>
        <v>45994</v>
      </c>
      <c r="H176" s="104">
        <f t="shared" si="29"/>
        <v>46001</v>
      </c>
      <c r="I176" s="104"/>
      <c r="J176" s="105"/>
      <c r="K176" s="25"/>
      <c r="L176" s="25"/>
      <c r="M176" s="25"/>
      <c r="N176" s="25"/>
    </row>
    <row r="177" spans="1:14" x14ac:dyDescent="0.25">
      <c r="A177" s="104">
        <v>45986</v>
      </c>
      <c r="B177" s="25" t="s">
        <v>409</v>
      </c>
      <c r="C177" s="104">
        <f t="shared" si="24"/>
        <v>46009</v>
      </c>
      <c r="D177" s="104">
        <f t="shared" si="25"/>
        <v>45993</v>
      </c>
      <c r="E177" s="104">
        <f t="shared" si="26"/>
        <v>46000</v>
      </c>
      <c r="F177" s="104">
        <f t="shared" si="27"/>
        <v>46006</v>
      </c>
      <c r="G177" s="104">
        <f t="shared" si="28"/>
        <v>45994</v>
      </c>
      <c r="H177" s="104">
        <f t="shared" si="29"/>
        <v>46001</v>
      </c>
      <c r="I177" s="104"/>
      <c r="J177" s="105"/>
      <c r="K177" s="25"/>
      <c r="L177" s="25"/>
      <c r="M177" s="25"/>
      <c r="N177" s="25"/>
    </row>
    <row r="178" spans="1:14" x14ac:dyDescent="0.25">
      <c r="A178" s="104">
        <v>45986</v>
      </c>
      <c r="B178" s="25" t="s">
        <v>410</v>
      </c>
      <c r="C178" s="104">
        <f t="shared" si="24"/>
        <v>46009</v>
      </c>
      <c r="D178" s="104">
        <f t="shared" si="25"/>
        <v>45993</v>
      </c>
      <c r="E178" s="104">
        <f t="shared" si="26"/>
        <v>46000</v>
      </c>
      <c r="F178" s="104">
        <f t="shared" si="27"/>
        <v>46006</v>
      </c>
      <c r="G178" s="104">
        <f t="shared" si="28"/>
        <v>45994</v>
      </c>
      <c r="H178" s="104">
        <f t="shared" si="29"/>
        <v>46001</v>
      </c>
      <c r="I178" s="104"/>
      <c r="J178" s="105"/>
      <c r="K178" s="25"/>
      <c r="L178" s="25"/>
      <c r="M178" s="25"/>
      <c r="N178" s="25"/>
    </row>
    <row r="179" spans="1:14" x14ac:dyDescent="0.25">
      <c r="A179" s="104">
        <v>45986</v>
      </c>
      <c r="B179" s="25" t="s">
        <v>411</v>
      </c>
      <c r="C179" s="104">
        <f t="shared" si="24"/>
        <v>46009</v>
      </c>
      <c r="D179" s="104">
        <f t="shared" si="25"/>
        <v>45993</v>
      </c>
      <c r="E179" s="104">
        <f t="shared" si="26"/>
        <v>46000</v>
      </c>
      <c r="F179" s="104">
        <f t="shared" si="27"/>
        <v>46006</v>
      </c>
      <c r="G179" s="104">
        <f t="shared" si="28"/>
        <v>45994</v>
      </c>
      <c r="H179" s="104">
        <f t="shared" si="29"/>
        <v>46001</v>
      </c>
      <c r="I179" s="104"/>
      <c r="J179" s="105"/>
      <c r="K179" s="25"/>
      <c r="L179" s="25"/>
      <c r="M179" s="25"/>
      <c r="N179" s="25"/>
    </row>
    <row r="180" spans="1:14" x14ac:dyDescent="0.25">
      <c r="A180" s="104">
        <v>45987</v>
      </c>
      <c r="B180" s="25" t="s">
        <v>404</v>
      </c>
      <c r="C180" s="104">
        <f t="shared" si="24"/>
        <v>46010</v>
      </c>
      <c r="D180" s="104">
        <f t="shared" si="25"/>
        <v>45994</v>
      </c>
      <c r="E180" s="104">
        <f t="shared" si="26"/>
        <v>46001</v>
      </c>
      <c r="F180" s="104">
        <f t="shared" si="27"/>
        <v>46007</v>
      </c>
      <c r="G180" s="104">
        <f t="shared" si="28"/>
        <v>45995</v>
      </c>
      <c r="H180" s="104">
        <f t="shared" si="29"/>
        <v>46002</v>
      </c>
      <c r="I180" s="104"/>
      <c r="J180" s="105"/>
      <c r="K180" s="25"/>
      <c r="L180" s="25"/>
      <c r="M180" s="25"/>
      <c r="N180" s="25"/>
    </row>
    <row r="181" spans="1:14" x14ac:dyDescent="0.25">
      <c r="A181" s="104">
        <v>45987</v>
      </c>
      <c r="B181" s="25" t="s">
        <v>405</v>
      </c>
      <c r="C181" s="104">
        <f t="shared" si="24"/>
        <v>46010</v>
      </c>
      <c r="D181" s="104">
        <f t="shared" si="25"/>
        <v>45994</v>
      </c>
      <c r="E181" s="104">
        <f t="shared" si="26"/>
        <v>46001</v>
      </c>
      <c r="F181" s="104">
        <f t="shared" si="27"/>
        <v>46007</v>
      </c>
      <c r="G181" s="104">
        <f t="shared" si="28"/>
        <v>45995</v>
      </c>
      <c r="H181" s="104">
        <f t="shared" si="29"/>
        <v>46002</v>
      </c>
      <c r="I181" s="104"/>
      <c r="J181" s="105"/>
      <c r="K181" s="25"/>
      <c r="L181" s="25"/>
      <c r="M181" s="25"/>
      <c r="N181" s="25"/>
    </row>
    <row r="182" spans="1:14" x14ac:dyDescent="0.25">
      <c r="A182" s="104">
        <v>45987</v>
      </c>
      <c r="B182" s="25" t="s">
        <v>406</v>
      </c>
      <c r="C182" s="104">
        <f t="shared" si="24"/>
        <v>46010</v>
      </c>
      <c r="D182" s="104">
        <f t="shared" si="25"/>
        <v>45994</v>
      </c>
      <c r="E182" s="104">
        <f t="shared" si="26"/>
        <v>46001</v>
      </c>
      <c r="F182" s="104">
        <f t="shared" si="27"/>
        <v>46007</v>
      </c>
      <c r="G182" s="104">
        <f t="shared" si="28"/>
        <v>45995</v>
      </c>
      <c r="H182" s="104">
        <f t="shared" si="29"/>
        <v>46002</v>
      </c>
      <c r="I182" s="104"/>
      <c r="J182" s="105"/>
      <c r="K182" s="25"/>
      <c r="L182" s="25"/>
      <c r="M182" s="25"/>
      <c r="N182" s="25"/>
    </row>
    <row r="183" spans="1:14" x14ac:dyDescent="0.25">
      <c r="A183" s="104">
        <v>45987</v>
      </c>
      <c r="B183" s="25" t="s">
        <v>407</v>
      </c>
      <c r="C183" s="104">
        <f t="shared" si="24"/>
        <v>46010</v>
      </c>
      <c r="D183" s="104">
        <f t="shared" si="25"/>
        <v>45994</v>
      </c>
      <c r="E183" s="104">
        <f t="shared" si="26"/>
        <v>46001</v>
      </c>
      <c r="F183" s="104">
        <f t="shared" si="27"/>
        <v>46007</v>
      </c>
      <c r="G183" s="104">
        <f t="shared" si="28"/>
        <v>45995</v>
      </c>
      <c r="H183" s="104">
        <f t="shared" si="29"/>
        <v>46002</v>
      </c>
      <c r="I183" s="104"/>
      <c r="J183" s="105"/>
      <c r="K183" s="25"/>
      <c r="L183" s="25"/>
      <c r="M183" s="25"/>
      <c r="N183" s="25"/>
    </row>
    <row r="184" spans="1:14" x14ac:dyDescent="0.25">
      <c r="A184" s="104">
        <v>45987</v>
      </c>
      <c r="B184" s="25" t="s">
        <v>431</v>
      </c>
      <c r="C184" s="104">
        <f t="shared" si="24"/>
        <v>46010</v>
      </c>
      <c r="D184" s="104">
        <f t="shared" si="25"/>
        <v>45994</v>
      </c>
      <c r="E184" s="104">
        <f t="shared" si="26"/>
        <v>46001</v>
      </c>
      <c r="F184" s="104">
        <f t="shared" si="27"/>
        <v>46007</v>
      </c>
      <c r="G184" s="104">
        <f t="shared" si="28"/>
        <v>45995</v>
      </c>
      <c r="H184" s="104">
        <f t="shared" si="29"/>
        <v>46002</v>
      </c>
      <c r="I184" s="104"/>
      <c r="J184" s="105"/>
      <c r="K184" s="25"/>
      <c r="L184" s="25"/>
      <c r="M184" s="25"/>
      <c r="N184" s="25"/>
    </row>
    <row r="185" spans="1:14" x14ac:dyDescent="0.25">
      <c r="A185" s="104">
        <v>45987</v>
      </c>
      <c r="B185" s="25" t="s">
        <v>432</v>
      </c>
      <c r="C185" s="104">
        <f t="shared" si="24"/>
        <v>46010</v>
      </c>
      <c r="D185" s="104">
        <f t="shared" si="25"/>
        <v>45994</v>
      </c>
      <c r="E185" s="104">
        <f t="shared" si="26"/>
        <v>46001</v>
      </c>
      <c r="F185" s="104">
        <f t="shared" si="27"/>
        <v>46007</v>
      </c>
      <c r="G185" s="104">
        <f t="shared" si="28"/>
        <v>45995</v>
      </c>
      <c r="H185" s="104">
        <f t="shared" si="29"/>
        <v>46002</v>
      </c>
      <c r="I185" s="104"/>
      <c r="J185" s="105"/>
      <c r="K185" s="25"/>
      <c r="L185" s="25"/>
      <c r="M185" s="25"/>
      <c r="N185" s="25"/>
    </row>
    <row r="186" spans="1:14" x14ac:dyDescent="0.25">
      <c r="A186" s="104">
        <v>45987</v>
      </c>
      <c r="B186" s="25" t="s">
        <v>433</v>
      </c>
      <c r="C186" s="104">
        <f t="shared" si="24"/>
        <v>46010</v>
      </c>
      <c r="D186" s="104">
        <f t="shared" si="25"/>
        <v>45994</v>
      </c>
      <c r="E186" s="104">
        <f t="shared" si="26"/>
        <v>46001</v>
      </c>
      <c r="F186" s="104">
        <f t="shared" si="27"/>
        <v>46007</v>
      </c>
      <c r="G186" s="104">
        <f t="shared" si="28"/>
        <v>45995</v>
      </c>
      <c r="H186" s="104">
        <f t="shared" si="29"/>
        <v>46002</v>
      </c>
      <c r="I186" s="104"/>
      <c r="J186" s="105"/>
      <c r="K186" s="25"/>
      <c r="L186" s="25"/>
      <c r="M186" s="25"/>
      <c r="N186" s="25"/>
    </row>
    <row r="187" spans="1:14" x14ac:dyDescent="0.25">
      <c r="A187" s="104">
        <v>45987</v>
      </c>
      <c r="B187" s="25" t="s">
        <v>434</v>
      </c>
      <c r="C187" s="104">
        <f t="shared" si="24"/>
        <v>46010</v>
      </c>
      <c r="D187" s="104">
        <f t="shared" si="25"/>
        <v>45994</v>
      </c>
      <c r="E187" s="104">
        <f t="shared" si="26"/>
        <v>46001</v>
      </c>
      <c r="F187" s="104">
        <f t="shared" si="27"/>
        <v>46007</v>
      </c>
      <c r="G187" s="104">
        <f t="shared" si="28"/>
        <v>45995</v>
      </c>
      <c r="H187" s="104">
        <f t="shared" si="29"/>
        <v>46002</v>
      </c>
      <c r="I187" s="104"/>
      <c r="J187" s="105"/>
      <c r="K187" s="25"/>
      <c r="L187" s="25"/>
      <c r="M187" s="25"/>
      <c r="N187" s="25"/>
    </row>
    <row r="188" spans="1:14" x14ac:dyDescent="0.25">
      <c r="A188" s="104">
        <v>45988</v>
      </c>
      <c r="B188" s="25" t="s">
        <v>428</v>
      </c>
      <c r="C188" s="104">
        <f t="shared" si="24"/>
        <v>46011</v>
      </c>
      <c r="D188" s="104">
        <f t="shared" si="25"/>
        <v>45995</v>
      </c>
      <c r="E188" s="104">
        <f t="shared" si="26"/>
        <v>46002</v>
      </c>
      <c r="F188" s="104">
        <f t="shared" si="27"/>
        <v>46008</v>
      </c>
      <c r="G188" s="104">
        <f t="shared" si="28"/>
        <v>45996</v>
      </c>
      <c r="H188" s="104">
        <f t="shared" si="29"/>
        <v>46003</v>
      </c>
      <c r="I188" s="104"/>
      <c r="J188" s="105"/>
      <c r="K188" s="25"/>
      <c r="L188" s="25"/>
      <c r="M188" s="25"/>
      <c r="N188" s="25"/>
    </row>
    <row r="189" spans="1:14" x14ac:dyDescent="0.25">
      <c r="A189" s="104">
        <v>45988</v>
      </c>
      <c r="B189" s="25" t="s">
        <v>429</v>
      </c>
      <c r="C189" s="104">
        <f t="shared" si="24"/>
        <v>46011</v>
      </c>
      <c r="D189" s="104">
        <f t="shared" si="25"/>
        <v>45995</v>
      </c>
      <c r="E189" s="104">
        <f t="shared" si="26"/>
        <v>46002</v>
      </c>
      <c r="F189" s="104">
        <f t="shared" si="27"/>
        <v>46008</v>
      </c>
      <c r="G189" s="104">
        <f t="shared" si="28"/>
        <v>45996</v>
      </c>
      <c r="H189" s="104">
        <f t="shared" si="29"/>
        <v>46003</v>
      </c>
      <c r="I189" s="104"/>
      <c r="J189" s="105"/>
      <c r="K189" s="25"/>
      <c r="L189" s="25"/>
      <c r="M189" s="25"/>
      <c r="N189" s="25"/>
    </row>
    <row r="190" spans="1:14" x14ac:dyDescent="0.25">
      <c r="A190" s="104">
        <v>45988</v>
      </c>
      <c r="B190" s="25" t="s">
        <v>430</v>
      </c>
      <c r="C190" s="104">
        <f t="shared" si="24"/>
        <v>46011</v>
      </c>
      <c r="D190" s="104">
        <f t="shared" si="25"/>
        <v>45995</v>
      </c>
      <c r="E190" s="104">
        <f t="shared" si="26"/>
        <v>46002</v>
      </c>
      <c r="F190" s="104">
        <f t="shared" si="27"/>
        <v>46008</v>
      </c>
      <c r="G190" s="104">
        <f t="shared" si="28"/>
        <v>45996</v>
      </c>
      <c r="H190" s="104">
        <f t="shared" si="29"/>
        <v>46003</v>
      </c>
      <c r="I190" s="104"/>
      <c r="J190" s="105"/>
      <c r="K190" s="25"/>
      <c r="L190" s="25"/>
      <c r="M190" s="25"/>
      <c r="N190" s="25"/>
    </row>
    <row r="191" spans="1:14" x14ac:dyDescent="0.25">
      <c r="A191" s="104">
        <v>45988</v>
      </c>
      <c r="B191" s="25" t="s">
        <v>559</v>
      </c>
      <c r="C191" s="104">
        <f t="shared" si="24"/>
        <v>46011</v>
      </c>
      <c r="D191" s="104">
        <f t="shared" si="25"/>
        <v>45995</v>
      </c>
      <c r="E191" s="104">
        <f t="shared" si="26"/>
        <v>46002</v>
      </c>
      <c r="F191" s="104">
        <f t="shared" si="27"/>
        <v>46008</v>
      </c>
      <c r="G191" s="104">
        <f t="shared" si="28"/>
        <v>45996</v>
      </c>
      <c r="H191" s="104">
        <f t="shared" si="29"/>
        <v>46003</v>
      </c>
      <c r="I191" s="104"/>
      <c r="J191" s="105"/>
      <c r="K191" s="25"/>
      <c r="L191" s="25"/>
      <c r="M191" s="25"/>
      <c r="N191" s="25"/>
    </row>
    <row r="192" spans="1:14" x14ac:dyDescent="0.25">
      <c r="A192" s="104">
        <v>45988</v>
      </c>
      <c r="B192" s="25" t="s">
        <v>560</v>
      </c>
      <c r="C192" s="104">
        <f t="shared" si="24"/>
        <v>46011</v>
      </c>
      <c r="D192" s="104">
        <f t="shared" si="25"/>
        <v>45995</v>
      </c>
      <c r="E192" s="104">
        <f t="shared" si="26"/>
        <v>46002</v>
      </c>
      <c r="F192" s="104">
        <f t="shared" si="27"/>
        <v>46008</v>
      </c>
      <c r="G192" s="104">
        <f t="shared" si="28"/>
        <v>45996</v>
      </c>
      <c r="H192" s="104">
        <f t="shared" si="29"/>
        <v>46003</v>
      </c>
      <c r="I192" s="104"/>
      <c r="J192" s="105"/>
      <c r="K192" s="25"/>
      <c r="L192" s="25"/>
      <c r="M192" s="25"/>
      <c r="N192" s="25"/>
    </row>
    <row r="193" spans="1:14" x14ac:dyDescent="0.25">
      <c r="A193" s="104">
        <v>45988</v>
      </c>
      <c r="B193" s="25" t="s">
        <v>561</v>
      </c>
      <c r="C193" s="104">
        <f t="shared" si="24"/>
        <v>46011</v>
      </c>
      <c r="D193" s="104">
        <f t="shared" si="25"/>
        <v>45995</v>
      </c>
      <c r="E193" s="104">
        <f t="shared" si="26"/>
        <v>46002</v>
      </c>
      <c r="F193" s="104">
        <f t="shared" si="27"/>
        <v>46008</v>
      </c>
      <c r="G193" s="104">
        <f t="shared" si="28"/>
        <v>45996</v>
      </c>
      <c r="H193" s="104">
        <f t="shared" si="29"/>
        <v>46003</v>
      </c>
      <c r="I193" s="104"/>
      <c r="J193" s="105"/>
      <c r="K193" s="25"/>
      <c r="L193" s="25"/>
      <c r="M193" s="25"/>
      <c r="N193" s="25"/>
    </row>
    <row r="194" spans="1:14" x14ac:dyDescent="0.25">
      <c r="A194" s="104">
        <v>45988</v>
      </c>
      <c r="B194" s="25" t="s">
        <v>562</v>
      </c>
      <c r="C194" s="104">
        <f t="shared" si="24"/>
        <v>46011</v>
      </c>
      <c r="D194" s="104">
        <f t="shared" si="25"/>
        <v>45995</v>
      </c>
      <c r="E194" s="104">
        <f t="shared" si="26"/>
        <v>46002</v>
      </c>
      <c r="F194" s="104">
        <f t="shared" si="27"/>
        <v>46008</v>
      </c>
      <c r="G194" s="104">
        <f t="shared" si="28"/>
        <v>45996</v>
      </c>
      <c r="H194" s="104">
        <f t="shared" si="29"/>
        <v>46003</v>
      </c>
      <c r="I194" s="104"/>
      <c r="J194" s="105"/>
      <c r="K194" s="25"/>
      <c r="L194" s="25"/>
      <c r="M194" s="25"/>
      <c r="N194" s="25"/>
    </row>
    <row r="195" spans="1:14" x14ac:dyDescent="0.25">
      <c r="A195" s="104">
        <v>45989</v>
      </c>
      <c r="B195" s="25" t="s">
        <v>563</v>
      </c>
      <c r="C195" s="104">
        <f t="shared" si="24"/>
        <v>46012</v>
      </c>
      <c r="D195" s="104">
        <f t="shared" si="25"/>
        <v>45996</v>
      </c>
      <c r="E195" s="104">
        <f t="shared" si="26"/>
        <v>46003</v>
      </c>
      <c r="F195" s="104">
        <f t="shared" si="27"/>
        <v>46009</v>
      </c>
      <c r="G195" s="104">
        <f t="shared" si="28"/>
        <v>45997</v>
      </c>
      <c r="H195" s="104">
        <f t="shared" si="29"/>
        <v>46004</v>
      </c>
      <c r="I195" s="104"/>
      <c r="J195" s="105"/>
      <c r="K195" s="25"/>
      <c r="L195" s="25"/>
      <c r="M195" s="25"/>
      <c r="N195" s="25"/>
    </row>
    <row r="196" spans="1:14" x14ac:dyDescent="0.25">
      <c r="A196" s="104">
        <v>45989</v>
      </c>
      <c r="B196" s="25" t="s">
        <v>564</v>
      </c>
      <c r="C196" s="104">
        <f t="shared" si="24"/>
        <v>46012</v>
      </c>
      <c r="D196" s="104">
        <f t="shared" si="25"/>
        <v>45996</v>
      </c>
      <c r="E196" s="104">
        <f t="shared" si="26"/>
        <v>46003</v>
      </c>
      <c r="F196" s="104">
        <f t="shared" si="27"/>
        <v>46009</v>
      </c>
      <c r="G196" s="104">
        <f t="shared" si="28"/>
        <v>45997</v>
      </c>
      <c r="H196" s="104">
        <f t="shared" si="29"/>
        <v>46004</v>
      </c>
      <c r="I196" s="104"/>
      <c r="J196" s="105"/>
      <c r="K196" s="25"/>
      <c r="L196" s="25"/>
      <c r="M196" s="25"/>
      <c r="N196" s="25"/>
    </row>
    <row r="197" spans="1:14" x14ac:dyDescent="0.25">
      <c r="A197" s="104">
        <v>45989</v>
      </c>
      <c r="B197" s="25" t="s">
        <v>565</v>
      </c>
      <c r="C197" s="104">
        <f t="shared" si="24"/>
        <v>46012</v>
      </c>
      <c r="D197" s="104">
        <f t="shared" si="25"/>
        <v>45996</v>
      </c>
      <c r="E197" s="104">
        <f t="shared" si="26"/>
        <v>46003</v>
      </c>
      <c r="F197" s="104">
        <f t="shared" si="27"/>
        <v>46009</v>
      </c>
      <c r="G197" s="104">
        <f t="shared" si="28"/>
        <v>45997</v>
      </c>
      <c r="H197" s="104">
        <f t="shared" si="29"/>
        <v>46004</v>
      </c>
      <c r="I197" s="104"/>
      <c r="J197" s="105"/>
      <c r="K197" s="25"/>
      <c r="L197" s="25"/>
      <c r="M197" s="25"/>
      <c r="N197" s="25"/>
    </row>
    <row r="198" spans="1:14" x14ac:dyDescent="0.25">
      <c r="A198" s="104">
        <v>45989</v>
      </c>
      <c r="B198" s="25" t="s">
        <v>566</v>
      </c>
      <c r="C198" s="104">
        <f t="shared" si="24"/>
        <v>46012</v>
      </c>
      <c r="D198" s="104">
        <f t="shared" si="25"/>
        <v>45996</v>
      </c>
      <c r="E198" s="104">
        <f t="shared" si="26"/>
        <v>46003</v>
      </c>
      <c r="F198" s="104">
        <f t="shared" si="27"/>
        <v>46009</v>
      </c>
      <c r="G198" s="104">
        <f t="shared" si="28"/>
        <v>45997</v>
      </c>
      <c r="H198" s="104">
        <f t="shared" si="29"/>
        <v>46004</v>
      </c>
      <c r="I198" s="104"/>
      <c r="J198" s="105"/>
      <c r="K198" s="25"/>
      <c r="L198" s="25"/>
      <c r="M198" s="25"/>
      <c r="N198" s="25"/>
    </row>
    <row r="199" spans="1:14" x14ac:dyDescent="0.25">
      <c r="A199" s="104">
        <v>45989</v>
      </c>
      <c r="B199" s="25" t="s">
        <v>567</v>
      </c>
      <c r="C199" s="104">
        <f t="shared" si="24"/>
        <v>46012</v>
      </c>
      <c r="D199" s="104">
        <f t="shared" si="25"/>
        <v>45996</v>
      </c>
      <c r="E199" s="104">
        <f t="shared" si="26"/>
        <v>46003</v>
      </c>
      <c r="F199" s="104">
        <f t="shared" si="27"/>
        <v>46009</v>
      </c>
      <c r="G199" s="104">
        <f t="shared" si="28"/>
        <v>45997</v>
      </c>
      <c r="H199" s="104">
        <f t="shared" si="29"/>
        <v>46004</v>
      </c>
      <c r="I199" s="104"/>
      <c r="J199" s="105"/>
      <c r="K199" s="25"/>
      <c r="L199" s="25"/>
      <c r="M199" s="25"/>
      <c r="N199" s="25"/>
    </row>
    <row r="200" spans="1:14" x14ac:dyDescent="0.25">
      <c r="A200" s="104">
        <v>45989</v>
      </c>
      <c r="B200" s="25" t="s">
        <v>568</v>
      </c>
      <c r="C200" s="104">
        <f t="shared" si="24"/>
        <v>46012</v>
      </c>
      <c r="D200" s="104">
        <f t="shared" si="25"/>
        <v>45996</v>
      </c>
      <c r="E200" s="104">
        <f t="shared" si="26"/>
        <v>46003</v>
      </c>
      <c r="F200" s="104">
        <f t="shared" si="27"/>
        <v>46009</v>
      </c>
      <c r="G200" s="104">
        <f t="shared" si="28"/>
        <v>45997</v>
      </c>
      <c r="H200" s="104">
        <f t="shared" si="29"/>
        <v>46004</v>
      </c>
      <c r="I200" s="104"/>
      <c r="J200" s="105"/>
      <c r="K200" s="25"/>
      <c r="L200" s="25"/>
      <c r="M200" s="25"/>
      <c r="N200" s="25"/>
    </row>
    <row r="201" spans="1:14" x14ac:dyDescent="0.25">
      <c r="A201" s="104">
        <v>45989</v>
      </c>
      <c r="B201" s="25" t="s">
        <v>569</v>
      </c>
      <c r="C201" s="104">
        <f t="shared" si="24"/>
        <v>46012</v>
      </c>
      <c r="D201" s="104">
        <f t="shared" si="25"/>
        <v>45996</v>
      </c>
      <c r="E201" s="104">
        <f t="shared" si="26"/>
        <v>46003</v>
      </c>
      <c r="F201" s="104">
        <f t="shared" si="27"/>
        <v>46009</v>
      </c>
      <c r="G201" s="104">
        <f t="shared" si="28"/>
        <v>45997</v>
      </c>
      <c r="H201" s="104">
        <f t="shared" si="29"/>
        <v>46004</v>
      </c>
      <c r="I201" s="104"/>
      <c r="J201" s="105"/>
      <c r="K201" s="25"/>
      <c r="L201" s="25"/>
      <c r="M201" s="25"/>
      <c r="N201" s="25"/>
    </row>
    <row r="202" spans="1:14" x14ac:dyDescent="0.25">
      <c r="A202" s="104">
        <v>45990</v>
      </c>
      <c r="B202" s="25" t="s">
        <v>570</v>
      </c>
      <c r="C202" s="104">
        <f t="shared" si="24"/>
        <v>46013</v>
      </c>
      <c r="D202" s="104">
        <f t="shared" si="25"/>
        <v>45997</v>
      </c>
      <c r="E202" s="104">
        <f t="shared" si="26"/>
        <v>46004</v>
      </c>
      <c r="F202" s="104">
        <f t="shared" si="27"/>
        <v>46010</v>
      </c>
      <c r="G202" s="104">
        <f t="shared" si="28"/>
        <v>45998</v>
      </c>
      <c r="H202" s="104">
        <f t="shared" si="29"/>
        <v>46005</v>
      </c>
      <c r="I202" s="104"/>
      <c r="J202" s="105"/>
      <c r="K202" s="25"/>
      <c r="L202" s="25"/>
      <c r="M202" s="25"/>
      <c r="N202" s="25"/>
    </row>
    <row r="203" spans="1:14" x14ac:dyDescent="0.25">
      <c r="A203" s="104">
        <v>45990</v>
      </c>
      <c r="B203" s="25" t="s">
        <v>571</v>
      </c>
      <c r="C203" s="104">
        <f t="shared" si="24"/>
        <v>46013</v>
      </c>
      <c r="D203" s="104">
        <f t="shared" si="25"/>
        <v>45997</v>
      </c>
      <c r="E203" s="104">
        <f t="shared" si="26"/>
        <v>46004</v>
      </c>
      <c r="F203" s="104">
        <f t="shared" si="27"/>
        <v>46010</v>
      </c>
      <c r="G203" s="104">
        <f t="shared" si="28"/>
        <v>45998</v>
      </c>
      <c r="H203" s="104">
        <f t="shared" si="29"/>
        <v>46005</v>
      </c>
      <c r="I203" s="104"/>
      <c r="J203" s="105"/>
      <c r="K203" s="25"/>
      <c r="L203" s="25"/>
      <c r="M203" s="25"/>
      <c r="N203" s="25"/>
    </row>
    <row r="204" spans="1:14" x14ac:dyDescent="0.25">
      <c r="A204" s="104">
        <v>45990</v>
      </c>
      <c r="B204" s="25" t="s">
        <v>572</v>
      </c>
      <c r="C204" s="104">
        <f t="shared" si="24"/>
        <v>46013</v>
      </c>
      <c r="D204" s="104">
        <f t="shared" si="25"/>
        <v>45997</v>
      </c>
      <c r="E204" s="104">
        <f t="shared" si="26"/>
        <v>46004</v>
      </c>
      <c r="F204" s="104">
        <f t="shared" si="27"/>
        <v>46010</v>
      </c>
      <c r="G204" s="104">
        <f t="shared" si="28"/>
        <v>45998</v>
      </c>
      <c r="H204" s="104">
        <f t="shared" si="29"/>
        <v>46005</v>
      </c>
      <c r="I204" s="104"/>
      <c r="J204" s="105"/>
      <c r="K204" s="25"/>
      <c r="L204" s="25"/>
      <c r="M204" s="25"/>
      <c r="N204" s="25"/>
    </row>
    <row r="205" spans="1:14" x14ac:dyDescent="0.25">
      <c r="A205" s="104">
        <v>45990</v>
      </c>
      <c r="B205" s="25" t="s">
        <v>573</v>
      </c>
      <c r="C205" s="104">
        <f t="shared" si="24"/>
        <v>46013</v>
      </c>
      <c r="D205" s="104">
        <f t="shared" si="25"/>
        <v>45997</v>
      </c>
      <c r="E205" s="104">
        <f t="shared" si="26"/>
        <v>46004</v>
      </c>
      <c r="F205" s="104">
        <f t="shared" si="27"/>
        <v>46010</v>
      </c>
      <c r="G205" s="104">
        <f t="shared" si="28"/>
        <v>45998</v>
      </c>
      <c r="H205" s="104">
        <f t="shared" si="29"/>
        <v>46005</v>
      </c>
      <c r="I205" s="104"/>
      <c r="J205" s="105"/>
      <c r="K205" s="25"/>
      <c r="L205" s="25"/>
      <c r="M205" s="25"/>
      <c r="N205" s="25"/>
    </row>
    <row r="206" spans="1:14" x14ac:dyDescent="0.25">
      <c r="A206" s="104">
        <v>45990</v>
      </c>
      <c r="B206" s="25" t="s">
        <v>574</v>
      </c>
      <c r="C206" s="104">
        <f t="shared" si="24"/>
        <v>46013</v>
      </c>
      <c r="D206" s="104">
        <f t="shared" si="25"/>
        <v>45997</v>
      </c>
      <c r="E206" s="104">
        <f t="shared" si="26"/>
        <v>46004</v>
      </c>
      <c r="F206" s="104">
        <f t="shared" si="27"/>
        <v>46010</v>
      </c>
      <c r="G206" s="104">
        <f t="shared" si="28"/>
        <v>45998</v>
      </c>
      <c r="H206" s="104">
        <f t="shared" si="29"/>
        <v>46005</v>
      </c>
      <c r="I206" s="104"/>
      <c r="J206" s="105"/>
      <c r="K206" s="25"/>
      <c r="L206" s="25"/>
      <c r="M206" s="25"/>
      <c r="N206" s="25"/>
    </row>
    <row r="207" spans="1:14" x14ac:dyDescent="0.25">
      <c r="A207" s="104">
        <v>45990</v>
      </c>
      <c r="B207" s="25" t="s">
        <v>575</v>
      </c>
      <c r="C207" s="104">
        <f t="shared" si="24"/>
        <v>46013</v>
      </c>
      <c r="D207" s="104">
        <f t="shared" si="25"/>
        <v>45997</v>
      </c>
      <c r="E207" s="104">
        <f t="shared" si="26"/>
        <v>46004</v>
      </c>
      <c r="F207" s="104">
        <f t="shared" si="27"/>
        <v>46010</v>
      </c>
      <c r="G207" s="104">
        <f t="shared" si="28"/>
        <v>45998</v>
      </c>
      <c r="H207" s="104">
        <f t="shared" si="29"/>
        <v>46005</v>
      </c>
      <c r="I207" s="104"/>
      <c r="J207" s="105"/>
      <c r="K207" s="25"/>
      <c r="L207" s="25"/>
      <c r="M207" s="25"/>
      <c r="N207" s="25"/>
    </row>
    <row r="208" spans="1:14" x14ac:dyDescent="0.25">
      <c r="A208" s="104">
        <v>45990</v>
      </c>
      <c r="B208" s="25" t="s">
        <v>576</v>
      </c>
      <c r="C208" s="104">
        <f t="shared" ref="C208:C222" si="30">A208+23</f>
        <v>46013</v>
      </c>
      <c r="D208" s="104">
        <f t="shared" ref="D208:D222" si="31">A208+7</f>
        <v>45997</v>
      </c>
      <c r="E208" s="104">
        <f t="shared" ref="E208:E222" si="32">A208+14</f>
        <v>46004</v>
      </c>
      <c r="F208" s="104">
        <f t="shared" ref="F208:F222" si="33">A208+20</f>
        <v>46010</v>
      </c>
      <c r="G208" s="104">
        <f t="shared" ref="G208:G222" si="34">A208+8</f>
        <v>45998</v>
      </c>
      <c r="H208" s="104">
        <f t="shared" ref="H208:H222" si="35">A208+15</f>
        <v>46005</v>
      </c>
      <c r="I208" s="104"/>
      <c r="J208" s="105"/>
      <c r="K208" s="25"/>
      <c r="L208" s="25"/>
      <c r="M208" s="25"/>
      <c r="N208" s="25"/>
    </row>
    <row r="209" spans="1:14" x14ac:dyDescent="0.25">
      <c r="A209" s="104">
        <v>45991</v>
      </c>
      <c r="B209" s="25" t="s">
        <v>577</v>
      </c>
      <c r="C209" s="104">
        <f t="shared" si="30"/>
        <v>46014</v>
      </c>
      <c r="D209" s="104">
        <f t="shared" si="31"/>
        <v>45998</v>
      </c>
      <c r="E209" s="104">
        <f t="shared" si="32"/>
        <v>46005</v>
      </c>
      <c r="F209" s="104">
        <f t="shared" si="33"/>
        <v>46011</v>
      </c>
      <c r="G209" s="104">
        <f t="shared" si="34"/>
        <v>45999</v>
      </c>
      <c r="H209" s="104">
        <f t="shared" si="35"/>
        <v>46006</v>
      </c>
      <c r="I209" s="104"/>
      <c r="J209" s="105"/>
      <c r="K209" s="25"/>
      <c r="L209" s="25"/>
      <c r="M209" s="25"/>
      <c r="N209" s="25"/>
    </row>
    <row r="210" spans="1:14" x14ac:dyDescent="0.25">
      <c r="A210" s="104">
        <v>45991</v>
      </c>
      <c r="B210" s="25" t="s">
        <v>578</v>
      </c>
      <c r="C210" s="104">
        <f t="shared" si="30"/>
        <v>46014</v>
      </c>
      <c r="D210" s="104">
        <f t="shared" si="31"/>
        <v>45998</v>
      </c>
      <c r="E210" s="104">
        <f t="shared" si="32"/>
        <v>46005</v>
      </c>
      <c r="F210" s="104">
        <f t="shared" si="33"/>
        <v>46011</v>
      </c>
      <c r="G210" s="104">
        <f t="shared" si="34"/>
        <v>45999</v>
      </c>
      <c r="H210" s="104">
        <f t="shared" si="35"/>
        <v>46006</v>
      </c>
      <c r="I210" s="104"/>
      <c r="J210" s="105"/>
      <c r="K210" s="25"/>
      <c r="L210" s="25"/>
      <c r="M210" s="25"/>
      <c r="N210" s="25"/>
    </row>
    <row r="211" spans="1:14" x14ac:dyDescent="0.25">
      <c r="A211" s="104">
        <v>45991</v>
      </c>
      <c r="B211" s="25" t="s">
        <v>579</v>
      </c>
      <c r="C211" s="104">
        <f t="shared" si="30"/>
        <v>46014</v>
      </c>
      <c r="D211" s="104">
        <f t="shared" si="31"/>
        <v>45998</v>
      </c>
      <c r="E211" s="104">
        <f t="shared" si="32"/>
        <v>46005</v>
      </c>
      <c r="F211" s="104">
        <f t="shared" si="33"/>
        <v>46011</v>
      </c>
      <c r="G211" s="104">
        <f t="shared" si="34"/>
        <v>45999</v>
      </c>
      <c r="H211" s="104">
        <f t="shared" si="35"/>
        <v>46006</v>
      </c>
      <c r="I211" s="104"/>
      <c r="J211" s="105"/>
      <c r="K211" s="25"/>
      <c r="L211" s="25"/>
      <c r="M211" s="25"/>
      <c r="N211" s="25"/>
    </row>
    <row r="212" spans="1:14" x14ac:dyDescent="0.25">
      <c r="A212" s="104"/>
      <c r="B212" s="25"/>
      <c r="C212" s="104"/>
      <c r="D212" s="104"/>
      <c r="E212" s="104"/>
      <c r="F212" s="104"/>
      <c r="G212" s="104"/>
      <c r="H212" s="104"/>
      <c r="I212" s="104"/>
      <c r="J212" s="105"/>
      <c r="K212" s="25"/>
      <c r="L212" s="25"/>
      <c r="M212" s="25"/>
      <c r="N212" s="25"/>
    </row>
    <row r="213" spans="1:14" x14ac:dyDescent="0.25">
      <c r="A213" s="104"/>
      <c r="B213" s="25"/>
      <c r="C213" s="104"/>
      <c r="D213" s="104"/>
      <c r="E213" s="104"/>
      <c r="F213" s="104"/>
      <c r="G213" s="104"/>
      <c r="H213" s="104"/>
      <c r="I213" s="104"/>
      <c r="J213" s="105"/>
      <c r="K213" s="25"/>
      <c r="L213" s="25"/>
      <c r="M213" s="25"/>
      <c r="N213" s="25"/>
    </row>
    <row r="214" spans="1:14" x14ac:dyDescent="0.25">
      <c r="A214" s="104"/>
      <c r="B214" s="25"/>
      <c r="C214" s="104"/>
      <c r="D214" s="104"/>
      <c r="E214" s="104"/>
      <c r="F214" s="104"/>
      <c r="G214" s="104"/>
      <c r="H214" s="104"/>
      <c r="I214" s="104"/>
      <c r="J214" s="105"/>
      <c r="K214" s="25"/>
      <c r="L214" s="25"/>
      <c r="M214" s="25"/>
      <c r="N214" s="25"/>
    </row>
    <row r="215" spans="1:14" x14ac:dyDescent="0.25">
      <c r="A215" s="104"/>
      <c r="B215" s="25"/>
      <c r="C215" s="104"/>
      <c r="D215" s="104"/>
      <c r="E215" s="104"/>
      <c r="F215" s="104"/>
      <c r="G215" s="104"/>
      <c r="H215" s="104"/>
      <c r="I215" s="104"/>
      <c r="J215" s="105"/>
      <c r="K215" s="25"/>
      <c r="L215" s="25"/>
      <c r="M215" s="25"/>
      <c r="N215" s="25"/>
    </row>
    <row r="216" spans="1:14" x14ac:dyDescent="0.25">
      <c r="A216" s="104"/>
      <c r="B216" s="25"/>
      <c r="C216" s="104"/>
      <c r="D216" s="104"/>
      <c r="E216" s="104"/>
      <c r="F216" s="104"/>
      <c r="G216" s="104"/>
      <c r="H216" s="104"/>
      <c r="I216" s="104"/>
      <c r="J216" s="105"/>
      <c r="K216" s="25"/>
      <c r="L216" s="25"/>
      <c r="M216" s="25"/>
      <c r="N216" s="25"/>
    </row>
    <row r="217" spans="1:14" x14ac:dyDescent="0.25">
      <c r="A217" s="104"/>
      <c r="B217" s="25"/>
      <c r="C217" s="104"/>
      <c r="D217" s="104"/>
      <c r="E217" s="104"/>
      <c r="F217" s="104"/>
      <c r="G217" s="104"/>
      <c r="H217" s="104"/>
      <c r="I217" s="104"/>
      <c r="J217" s="105"/>
      <c r="K217" s="25"/>
      <c r="L217" s="25"/>
      <c r="M217" s="25"/>
      <c r="N217" s="25"/>
    </row>
    <row r="218" spans="1:14" x14ac:dyDescent="0.25">
      <c r="A218" s="104"/>
      <c r="B218" s="25"/>
      <c r="C218" s="104"/>
      <c r="D218" s="104"/>
      <c r="E218" s="104"/>
      <c r="F218" s="104"/>
      <c r="G218" s="104"/>
      <c r="H218" s="104"/>
      <c r="I218" s="104"/>
      <c r="J218" s="105"/>
      <c r="K218" s="25"/>
      <c r="L218" s="25"/>
      <c r="M218" s="25"/>
      <c r="N218" s="25"/>
    </row>
    <row r="219" spans="1:14" x14ac:dyDescent="0.25">
      <c r="A219" s="104"/>
      <c r="B219" s="25"/>
      <c r="C219" s="104"/>
      <c r="D219" s="104"/>
      <c r="E219" s="104"/>
      <c r="F219" s="104"/>
      <c r="G219" s="104"/>
      <c r="H219" s="104"/>
      <c r="I219" s="104"/>
      <c r="J219" s="105"/>
      <c r="K219" s="25"/>
      <c r="L219" s="25"/>
      <c r="M219" s="25"/>
      <c r="N219" s="25"/>
    </row>
    <row r="220" spans="1:14" x14ac:dyDescent="0.25">
      <c r="A220" s="104"/>
      <c r="B220" s="25"/>
      <c r="C220" s="104"/>
      <c r="D220" s="104"/>
      <c r="E220" s="104"/>
      <c r="F220" s="104"/>
      <c r="G220" s="104"/>
      <c r="H220" s="104"/>
      <c r="I220" s="104"/>
      <c r="J220" s="105"/>
      <c r="K220" s="25"/>
      <c r="L220" s="25"/>
      <c r="M220" s="25"/>
      <c r="N220" s="25"/>
    </row>
    <row r="221" spans="1:14" x14ac:dyDescent="0.25">
      <c r="A221" s="104"/>
      <c r="B221" s="25"/>
      <c r="C221" s="104"/>
      <c r="D221" s="104"/>
      <c r="E221" s="104"/>
      <c r="F221" s="104"/>
      <c r="G221" s="104"/>
      <c r="H221" s="104"/>
      <c r="I221" s="104"/>
      <c r="J221" s="105"/>
      <c r="K221" s="25"/>
      <c r="L221" s="25"/>
      <c r="M221" s="25"/>
      <c r="N221" s="25"/>
    </row>
    <row r="222" spans="1:14" x14ac:dyDescent="0.25">
      <c r="A222" s="104"/>
      <c r="B222" s="25"/>
      <c r="C222" s="104"/>
      <c r="D222" s="104"/>
      <c r="E222" s="104"/>
      <c r="F222" s="104"/>
      <c r="G222" s="104"/>
      <c r="H222" s="104"/>
      <c r="I222" s="104"/>
      <c r="J222" s="105"/>
      <c r="K222" s="25"/>
      <c r="L222" s="25"/>
      <c r="M222" s="25"/>
      <c r="N222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Plan Maps. AUG</vt:lpstr>
      <vt:lpstr>Tanam Kangkung- 7 Bedeng</vt:lpstr>
      <vt:lpstr>dash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2025-12-02T17:35:58Z</dcterms:modified>
</cp:coreProperties>
</file>