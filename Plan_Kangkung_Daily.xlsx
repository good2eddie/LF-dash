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FEF9A572-0BC7-4D60-A86E-F5040B076136}" xr6:coauthVersionLast="47" xr6:coauthVersionMax="47" xr10:uidLastSave="{00000000-0000-0000-0000-000000000000}"/>
  <bookViews>
    <workbookView xWindow="-120" yWindow="-120" windowWidth="29040" windowHeight="15720" firstSheet="1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3" i="3" l="1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<sst xmlns="http://schemas.openxmlformats.org/spreadsheetml/2006/main" count="6486" uniqueCount="1147">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</sst>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25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46027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40</v>
      </c>
      <c r="R6" s="25">
        <f t="shared" ca="1" si="1"/>
        <v>40</v>
      </c>
      <c r="S6" s="25">
        <f t="shared" ca="1" si="1"/>
        <v>40</v>
      </c>
      <c r="T6" s="25">
        <f t="shared" ca="1" si="1"/>
        <v>40</v>
      </c>
      <c r="U6" s="25">
        <f t="shared" ca="1" si="1"/>
        <v>41</v>
      </c>
      <c r="V6" s="25">
        <f ca="1">IF(V7="","",$B$1-V7)</f>
        <v>41</v>
      </c>
      <c r="W6" s="25">
        <f ca="1">IF(W7="","",$B$1-W7)</f>
        <v>41</v>
      </c>
      <c r="X6" s="25">
        <f ca="1">IF(X7="","",$B$1-X7)</f>
        <v>41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45</v>
      </c>
      <c r="D10" s="25">
        <f t="shared" ca="1" si="2"/>
        <v>45</v>
      </c>
      <c r="E10" s="25">
        <f t="shared" ca="1" si="2"/>
        <v>45</v>
      </c>
      <c r="F10" s="25">
        <f t="shared" ca="1" si="2"/>
        <v>45</v>
      </c>
      <c r="G10" s="25">
        <f t="shared" ca="1" si="2"/>
        <v>45</v>
      </c>
      <c r="H10" s="25">
        <f t="shared" ca="1" si="2"/>
        <v>45</v>
      </c>
      <c r="J10" s="25">
        <f t="shared" ref="J10:P10" ca="1" si="3">IF(J11="","",$B$1-J11)</f>
        <v>45</v>
      </c>
      <c r="K10" s="25">
        <f t="shared" ca="1" si="3"/>
        <v>43</v>
      </c>
      <c r="L10" s="25">
        <f t="shared" ca="1" si="3"/>
        <v>43</v>
      </c>
      <c r="M10" s="25">
        <f t="shared" ca="1" si="3"/>
        <v>43</v>
      </c>
      <c r="N10" s="25">
        <f t="shared" ca="1" si="3"/>
        <v>43</v>
      </c>
      <c r="O10" s="25">
        <f t="shared" ca="1" si="3"/>
        <v>43</v>
      </c>
      <c r="P10" s="25">
        <f t="shared" ca="1" si="3"/>
        <v>43</v>
      </c>
      <c r="R10" s="25">
        <f t="shared" ref="R10:W10" ca="1" si="4">IF(R11="","",$B$1-R11)</f>
        <v>43</v>
      </c>
      <c r="S10" s="25">
        <f t="shared" ca="1" si="4"/>
        <v>42</v>
      </c>
      <c r="T10" s="25">
        <f t="shared" ca="1" si="4"/>
        <v>42</v>
      </c>
      <c r="U10" s="25">
        <f t="shared" ca="1" si="4"/>
        <v>41</v>
      </c>
      <c r="V10" s="25">
        <f t="shared" ca="1" si="4"/>
        <v>41</v>
      </c>
      <c r="W10" s="25">
        <f t="shared" ca="1" si="4"/>
        <v>41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46</v>
      </c>
      <c r="D14" s="25">
        <f t="shared" ca="1" si="5"/>
        <v>46</v>
      </c>
      <c r="E14" s="25">
        <f t="shared" ca="1" si="5"/>
        <v>46</v>
      </c>
      <c r="F14" s="25">
        <f t="shared" ca="1" si="5"/>
        <v>46</v>
      </c>
      <c r="G14" s="25">
        <f t="shared" ca="1" si="5"/>
        <v>46</v>
      </c>
      <c r="H14" s="25">
        <f t="shared" ca="1" si="5"/>
        <v>46</v>
      </c>
      <c r="J14" s="25">
        <f t="shared" ref="J14:P14" ca="1" si="6">IF(J15="","",$B$1-J15)</f>
        <v>46</v>
      </c>
      <c r="K14" s="25">
        <f t="shared" ca="1" si="6"/>
        <v>44</v>
      </c>
      <c r="L14" s="25">
        <f t="shared" ca="1" si="6"/>
        <v>44</v>
      </c>
      <c r="M14" s="25">
        <f t="shared" ca="1" si="6"/>
        <v>44</v>
      </c>
      <c r="N14" s="25">
        <f t="shared" ca="1" si="6"/>
        <v>44</v>
      </c>
      <c r="O14" s="25">
        <f t="shared" ca="1" si="6"/>
        <v>44</v>
      </c>
      <c r="P14" s="25">
        <f t="shared" ca="1" si="6"/>
        <v>44</v>
      </c>
      <c r="R14" s="25">
        <f t="shared" ref="R14:W14" ca="1" si="7">IF(R15="","",$B$1-R15)</f>
        <v>44</v>
      </c>
      <c r="S14" s="25">
        <f t="shared" ca="1" si="7"/>
        <v>42</v>
      </c>
      <c r="T14" s="25">
        <f t="shared" ca="1" si="7"/>
        <v>42</v>
      </c>
      <c r="U14" s="25">
        <f t="shared" ca="1" si="7"/>
        <v>42</v>
      </c>
      <c r="V14" s="25">
        <f t="shared" ca="1" si="7"/>
        <v>42</v>
      </c>
      <c r="W14" s="25">
        <f t="shared" ca="1" si="7"/>
        <v>42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59</v>
      </c>
      <c r="K20" s="25">
        <f ca="1">IF(K21="","",$B$1-K21)</f>
        <v>59</v>
      </c>
      <c r="X20" s="25"/>
      <c r="AF20" s="25"/>
      <c r="AG20" s="25"/>
      <c r="AH20" s="25">
        <f ca="1">IF(AH21="","",$B$1-AH21)</f>
        <v>59</v>
      </c>
      <c r="AI20" s="25">
        <f ca="1">IF(AI21="","",$B$1-AI21)</f>
        <v>59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62</v>
      </c>
      <c r="G24" s="25">
        <f t="shared" ca="1" si="8"/>
        <v>62</v>
      </c>
      <c r="H24" s="25">
        <f t="shared" ca="1" si="8"/>
        <v>62</v>
      </c>
      <c r="J24" s="25">
        <f ca="1">IF(J25="","",$B$1-J25)</f>
        <v>62</v>
      </c>
      <c r="K24" s="25">
        <f t="shared" ref="K24:AI24" ca="1" si="9">IF(K25="","",$B$1-K25)</f>
        <v>35</v>
      </c>
      <c r="L24" s="25">
        <f t="shared" ca="1" si="9"/>
        <v>35</v>
      </c>
      <c r="M24" s="25">
        <f t="shared" ca="1" si="9"/>
        <v>35</v>
      </c>
      <c r="N24" s="25">
        <f t="shared" ca="1" si="9"/>
        <v>36</v>
      </c>
      <c r="O24" s="25">
        <f t="shared" ca="1" si="9"/>
        <v>36</v>
      </c>
      <c r="P24" s="25">
        <f t="shared" ca="1" si="9"/>
        <v>36</v>
      </c>
      <c r="R24" s="25">
        <f t="shared" ca="1" si="9"/>
        <v>36</v>
      </c>
      <c r="S24" s="25">
        <f t="shared" ca="1" si="9"/>
        <v>33</v>
      </c>
      <c r="T24" s="25">
        <f t="shared" ca="1" si="9"/>
        <v>33</v>
      </c>
      <c r="U24" s="25">
        <f t="shared" ca="1" si="9"/>
        <v>33</v>
      </c>
      <c r="V24" s="25">
        <f t="shared" ca="1" si="9"/>
        <v>33</v>
      </c>
      <c r="W24" s="25">
        <f t="shared" ca="1" si="9"/>
        <v>33</v>
      </c>
      <c r="X24" s="25">
        <f t="shared" ca="1" si="9"/>
        <v>33</v>
      </c>
      <c r="Z24" s="25">
        <f t="shared" ca="1" si="9"/>
        <v>63</v>
      </c>
      <c r="AA24" s="25">
        <f t="shared" ca="1" si="9"/>
        <v>60</v>
      </c>
      <c r="AB24" s="25">
        <f t="shared" ca="1" si="9"/>
        <v>60</v>
      </c>
      <c r="AC24" s="25">
        <f t="shared" ca="1" si="9"/>
        <v>60</v>
      </c>
      <c r="AD24" s="25">
        <f t="shared" ca="1" si="9"/>
        <v>60</v>
      </c>
      <c r="AE24" s="25">
        <f t="shared" ca="1" si="9"/>
        <v>60</v>
      </c>
      <c r="AF24" s="25">
        <f t="shared" ca="1" si="9"/>
        <v>60</v>
      </c>
      <c r="AG24" s="25">
        <f t="shared" ca="1" si="9"/>
        <v>60</v>
      </c>
      <c r="AH24" s="25">
        <f t="shared" ca="1" si="9"/>
        <v>59</v>
      </c>
      <c r="AI24" s="25">
        <f t="shared" ca="1" si="9"/>
        <v>59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47</v>
      </c>
      <c r="D28" s="25">
        <f t="shared" ca="1" si="10"/>
        <v>47</v>
      </c>
      <c r="E28" s="25">
        <f t="shared" ca="1" si="10"/>
        <v>47</v>
      </c>
      <c r="F28" s="25">
        <f t="shared" ca="1" si="10"/>
        <v>47</v>
      </c>
      <c r="G28" s="25">
        <f t="shared" ca="1" si="10"/>
        <v>47</v>
      </c>
      <c r="H28" s="25">
        <f t="shared" ca="1" si="10"/>
        <v>47</v>
      </c>
      <c r="J28" s="25">
        <f ca="1">IF(J29="","",$B$1-J29)</f>
        <v>47</v>
      </c>
      <c r="K28" s="25">
        <f t="shared" ref="K28:P28" ca="1" si="11">IF(K29="","",$B$1-K29)</f>
        <v>40</v>
      </c>
      <c r="L28" s="25">
        <f t="shared" ca="1" si="11"/>
        <v>40</v>
      </c>
      <c r="M28" s="25">
        <f t="shared" ca="1" si="11"/>
        <v>40</v>
      </c>
      <c r="N28" s="25">
        <f t="shared" ca="1" si="11"/>
        <v>40</v>
      </c>
      <c r="O28" s="25">
        <f t="shared" ca="1" si="11"/>
        <v>39</v>
      </c>
      <c r="P28" s="25">
        <f t="shared" ca="1" si="11"/>
        <v>39</v>
      </c>
      <c r="R28" s="25">
        <f t="shared" ref="R28:X28" ca="1" si="12">IF(R29="","",$B$1-R29)</f>
        <v>39</v>
      </c>
      <c r="S28" s="25">
        <f ca="1">IF(S29="","",$B$1-S29)</f>
        <v>35</v>
      </c>
      <c r="T28" s="25">
        <f ca="1">IF(T29="","",$B$1-T29)</f>
        <v>35</v>
      </c>
      <c r="U28" s="25">
        <f ca="1">IF(U29="","",$B$1-U29)</f>
        <v>35</v>
      </c>
      <c r="V28" s="25">
        <f ca="1">IF(V29="","",$B$1-V29)</f>
        <v>35</v>
      </c>
      <c r="W28" s="25">
        <f t="shared" ca="1" si="12"/>
        <v>33</v>
      </c>
      <c r="X28" s="25">
        <f t="shared" ca="1" si="12"/>
        <v>33</v>
      </c>
      <c r="Z28" s="25">
        <f t="shared" ref="Z28:AI28" ca="1" si="13">IF(Z29="","",$B$1-Z29)</f>
        <v>33</v>
      </c>
      <c r="AA28" s="25">
        <f t="shared" ca="1" si="13"/>
        <v>61</v>
      </c>
      <c r="AB28" s="25">
        <f t="shared" ca="1" si="13"/>
        <v>61</v>
      </c>
      <c r="AC28" s="25">
        <f t="shared" ca="1" si="13"/>
        <v>61</v>
      </c>
      <c r="AD28" s="25">
        <f t="shared" ca="1" si="13"/>
        <v>61</v>
      </c>
      <c r="AE28" s="25">
        <f t="shared" ca="1" si="13"/>
        <v>61</v>
      </c>
      <c r="AF28" s="25">
        <f t="shared" ca="1" si="13"/>
        <v>61</v>
      </c>
      <c r="AG28" s="25">
        <f t="shared" ca="1" si="13"/>
        <v>61</v>
      </c>
      <c r="AH28" s="25">
        <f t="shared" ca="1" si="13"/>
        <v>59</v>
      </c>
      <c r="AI28" s="25">
        <f t="shared" ca="1" si="13"/>
        <v>59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55</v>
      </c>
      <c r="D41" s="25">
        <f t="shared" ca="1" si="14"/>
        <v>55</v>
      </c>
      <c r="E41" s="25">
        <f t="shared" ca="1" si="14"/>
        <v>55</v>
      </c>
      <c r="F41" s="25">
        <f t="shared" ca="1" si="14"/>
        <v>55</v>
      </c>
      <c r="G41" s="25">
        <f t="shared" ca="1" si="14"/>
        <v>54</v>
      </c>
      <c r="H41" s="25">
        <f t="shared" ca="1" si="14"/>
        <v>54</v>
      </c>
      <c r="J41" s="25">
        <f t="shared" ca="1" si="14"/>
        <v>54</v>
      </c>
      <c r="K41" s="25">
        <f t="shared" ca="1" si="14"/>
        <v>54</v>
      </c>
      <c r="L41" s="25">
        <f t="shared" ca="1" si="14"/>
        <v>54</v>
      </c>
      <c r="M41" s="25">
        <f t="shared" ca="1" si="14"/>
        <v>54</v>
      </c>
      <c r="N41" s="25">
        <f t="shared" ca="1" si="14"/>
        <v>54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57</v>
      </c>
      <c r="D45" s="25">
        <f ca="1">IF(D46="","",$B$1-D46)</f>
        <v>57</v>
      </c>
      <c r="E45" s="25">
        <f ca="1">IF(E46="","",$B$1-E46)</f>
        <v>56</v>
      </c>
      <c r="F45" s="25">
        <f ca="1">IF(F46="","",$B$1-F46)</f>
        <v>56</v>
      </c>
      <c r="H45" s="25">
        <f ca="1">IF(H46="","",$B$1-H46)</f>
        <v>56</v>
      </c>
      <c r="J45" s="25">
        <f t="shared" ref="J45:P45" ca="1" si="15">IF(J46="","",$B$1-J46)</f>
        <v>56</v>
      </c>
      <c r="K45" s="25">
        <f t="shared" ca="1" si="15"/>
        <v>56</v>
      </c>
      <c r="L45" s="25">
        <f t="shared" ca="1" si="15"/>
        <v>56</v>
      </c>
      <c r="M45" s="25">
        <f t="shared" ca="1" si="15"/>
        <v>56</v>
      </c>
      <c r="N45" s="25">
        <f t="shared" ca="1" si="15"/>
        <v>55</v>
      </c>
      <c r="O45" s="25">
        <f t="shared" ca="1" si="15"/>
        <v>55</v>
      </c>
      <c r="P45" s="25">
        <f t="shared" ca="1" si="15"/>
        <v>55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58</v>
      </c>
      <c r="D49" s="25">
        <f ca="1">IF(D50="","",$B$1-D50)</f>
        <v>58</v>
      </c>
      <c r="E49" s="25">
        <f ca="1">IF(E50="","",$B$1-E50)</f>
        <v>58</v>
      </c>
      <c r="F49" s="25">
        <f ca="1">IF(F50="","",$B$1-F50)</f>
        <v>58</v>
      </c>
      <c r="H49" s="25">
        <f ca="1">IF(H50="","",$B$1-H50)</f>
        <v>58</v>
      </c>
      <c r="J49" s="25">
        <f t="shared" ref="J49:P49" ca="1" si="16">IF(J50="","",$B$1-J50)</f>
        <v>58</v>
      </c>
      <c r="K49" s="25">
        <f t="shared" ca="1" si="16"/>
        <v>58</v>
      </c>
      <c r="L49" s="25">
        <f t="shared" ca="1" si="16"/>
        <v>57</v>
      </c>
      <c r="M49" s="25">
        <f t="shared" ca="1" si="16"/>
        <v>57</v>
      </c>
      <c r="N49" s="25">
        <f t="shared" ca="1" si="16"/>
        <v>57</v>
      </c>
      <c r="O49" s="25">
        <f t="shared" ca="1" si="16"/>
        <v>57</v>
      </c>
      <c r="P49" s="25">
        <f t="shared" ca="1" si="16"/>
        <v>57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50</v>
      </c>
      <c r="D58" s="25">
        <f t="shared" ca="1" si="17"/>
        <v>50</v>
      </c>
      <c r="E58" s="25">
        <f t="shared" ca="1" si="17"/>
        <v>50</v>
      </c>
      <c r="F58" s="25">
        <f t="shared" ca="1" si="17"/>
        <v>50</v>
      </c>
      <c r="G58" s="25">
        <f t="shared" ca="1" si="17"/>
        <v>50</v>
      </c>
      <c r="H58" s="25">
        <f t="shared" ca="1" si="17"/>
        <v>50</v>
      </c>
      <c r="J58" s="25">
        <f t="shared" ref="J58:P58" ca="1" si="18">IF(J59="","",$B$1-J59)</f>
        <v>50</v>
      </c>
      <c r="K58" s="25">
        <f t="shared" ca="1" si="18"/>
        <v>49</v>
      </c>
      <c r="L58" s="25">
        <f t="shared" ca="1" si="18"/>
        <v>49</v>
      </c>
      <c r="M58" s="25">
        <f t="shared" ca="1" si="18"/>
        <v>49</v>
      </c>
      <c r="N58" s="25">
        <f t="shared" ca="1" si="18"/>
        <v>49</v>
      </c>
      <c r="O58" s="25">
        <f t="shared" ca="1" si="18"/>
        <v>49</v>
      </c>
      <c r="P58" s="25">
        <f t="shared" ca="1" si="18"/>
        <v>49</v>
      </c>
      <c r="R58" s="25">
        <f t="shared" ref="R58:X58" ca="1" si="19">IF(R59="","",$B$1-R59)</f>
        <v>49</v>
      </c>
      <c r="S58" s="25">
        <f t="shared" ca="1" si="19"/>
        <v>48</v>
      </c>
      <c r="T58" s="25">
        <f t="shared" ca="1" si="19"/>
        <v>48</v>
      </c>
      <c r="U58" s="25">
        <f t="shared" ca="1" si="19"/>
        <v>48</v>
      </c>
      <c r="V58" s="25">
        <f t="shared" ca="1" si="19"/>
        <v>48</v>
      </c>
      <c r="W58" s="25">
        <f t="shared" ca="1" si="19"/>
        <v>48</v>
      </c>
      <c r="X58" s="25">
        <f t="shared" ca="1" si="19"/>
        <v>48</v>
      </c>
      <c r="Z58" s="25">
        <f ca="1">IF(Z59="","",$B$1-Z59)</f>
        <v>48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51</v>
      </c>
      <c r="E62" s="25">
        <f t="shared" ca="1" si="20"/>
        <v>51</v>
      </c>
      <c r="F62" s="25">
        <f t="shared" ca="1" si="20"/>
        <v>51</v>
      </c>
      <c r="G62" s="25">
        <f t="shared" ca="1" si="20"/>
        <v>51</v>
      </c>
      <c r="H62" s="25">
        <f t="shared" ca="1" si="20"/>
        <v>51</v>
      </c>
      <c r="J62" s="25">
        <f t="shared" ref="J62:P62" ca="1" si="21">IF(J63="","",$B$1-J63)</f>
        <v>51</v>
      </c>
      <c r="K62" s="25">
        <f t="shared" ca="1" si="21"/>
        <v>51</v>
      </c>
      <c r="L62" s="25">
        <f t="shared" ca="1" si="21"/>
        <v>51</v>
      </c>
      <c r="M62" s="25">
        <f t="shared" ca="1" si="21"/>
        <v>52</v>
      </c>
      <c r="N62" s="25">
        <f t="shared" ca="1" si="21"/>
        <v>52</v>
      </c>
      <c r="O62" s="25">
        <f t="shared" ca="1" si="21"/>
        <v>52</v>
      </c>
      <c r="P62" s="25">
        <f t="shared" ca="1" si="21"/>
        <v>52</v>
      </c>
      <c r="R62" s="25">
        <f t="shared" ref="R62:X62" ca="1" si="22">IF(R63="","",$B$1-R63)</f>
        <v>52</v>
      </c>
      <c r="S62" s="25">
        <f t="shared" ca="1" si="22"/>
        <v>52</v>
      </c>
      <c r="T62" s="25">
        <f t="shared" ca="1" si="22"/>
        <v>52</v>
      </c>
      <c r="U62" s="25">
        <f t="shared" ca="1" si="22"/>
        <v>53</v>
      </c>
      <c r="V62" s="25">
        <f t="shared" ca="1" si="22"/>
        <v>53</v>
      </c>
      <c r="W62" s="25">
        <f t="shared" ca="1" si="22"/>
        <v>53</v>
      </c>
      <c r="X62" s="25">
        <f t="shared" ca="1" si="22"/>
        <v>53</v>
      </c>
      <c r="Z62" s="25">
        <f ca="1">IF(Z63="","",$B$1-Z63)</f>
        <v>53</v>
      </c>
      <c r="AA62" s="25">
        <f ca="1">IF(AA63="","",$B$1-AA63)</f>
        <v>53</v>
      </c>
      <c r="AB62" s="25">
        <f ca="1">IF(AB63="","",$B$1-AB63)</f>
        <v>53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36</v>
      </c>
      <c r="D71" s="25">
        <f t="shared" ca="1" si="23"/>
        <v>36</v>
      </c>
      <c r="E71" s="25">
        <f t="shared" ca="1" si="23"/>
        <v>36</v>
      </c>
      <c r="F71" s="25">
        <f t="shared" ca="1" si="23"/>
        <v>37</v>
      </c>
      <c r="G71" s="25">
        <f t="shared" ca="1" si="23"/>
        <v>37</v>
      </c>
      <c r="H71" s="25">
        <f t="shared" ca="1" si="23"/>
        <v>37</v>
      </c>
      <c r="J71" s="25">
        <f ca="1">IF(J72="","",$B$1-J72)</f>
        <v>37</v>
      </c>
      <c r="K71" s="25">
        <f t="shared" ref="K71:P71" ca="1" si="24">IF(K72="","",$B$1-K72)</f>
        <v>37</v>
      </c>
      <c r="L71" s="25">
        <f t="shared" ca="1" si="24"/>
        <v>37</v>
      </c>
      <c r="M71" s="25">
        <f t="shared" ca="1" si="24"/>
        <v>37</v>
      </c>
      <c r="N71" s="25">
        <f t="shared" ca="1" si="24"/>
        <v>38</v>
      </c>
      <c r="O71" s="25">
        <f t="shared" ca="1" si="24"/>
        <v>38</v>
      </c>
      <c r="P71" s="25">
        <f t="shared" ca="1" si="24"/>
        <v>38</v>
      </c>
      <c r="R71" s="25">
        <f t="shared" ref="R71:X71" ca="1" si="25">IF(R72="","",$B$1-R72)</f>
        <v>38</v>
      </c>
      <c r="S71" s="25">
        <f t="shared" ca="1" si="25"/>
        <v>38</v>
      </c>
      <c r="T71" s="25">
        <f t="shared" ca="1" si="25"/>
        <v>38</v>
      </c>
      <c r="U71" s="25">
        <f t="shared" ca="1" si="25"/>
        <v>38</v>
      </c>
      <c r="V71" s="25">
        <f t="shared" ca="1" si="25"/>
        <v>39</v>
      </c>
      <c r="W71" s="25">
        <f t="shared" ca="1" si="25"/>
        <v>39</v>
      </c>
      <c r="X71" s="25">
        <f t="shared" ca="1" si="25"/>
        <v>39</v>
      </c>
      <c r="Z71" s="25">
        <f ca="1">IF(Z72="","",$B$1-Z72)</f>
        <v>39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24" priority="123">
      <formula>LEN(TRIM(C72))=0</formula>
    </cfRule>
    <cfRule type="notContainsBlanks" dxfId="1223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222" priority="90">
      <formula>LEN(TRIM(C42))&gt;0</formula>
    </cfRule>
    <cfRule type="containsBlanks" dxfId="1221" priority="91">
      <formula>LEN(TRIM(C42))=0</formula>
    </cfRule>
    <cfRule type="notContainsBlanks" dxfId="1220" priority="92">
      <formula>LEN(TRIM(C42))&gt;0</formula>
    </cfRule>
    <cfRule type="containsBlanks" dxfId="1219" priority="89">
      <formula>LEN(TRIM(C42))=0</formula>
    </cfRule>
  </conditionalFormatting>
  <conditionalFormatting sqref="C46:F46">
    <cfRule type="containsBlanks" dxfId="1218" priority="103">
      <formula>LEN(TRIM(C46))=0</formula>
    </cfRule>
    <cfRule type="notContainsBlanks" dxfId="1217" priority="104">
      <formula>LEN(TRIM(C46))&gt;0</formula>
    </cfRule>
  </conditionalFormatting>
  <conditionalFormatting sqref="C50:F50">
    <cfRule type="notContainsBlanks" dxfId="1216" priority="244">
      <formula>LEN(TRIM(C50))&gt;0</formula>
    </cfRule>
    <cfRule type="containsBlanks" dxfId="1215" priority="243">
      <formula>LEN(TRIM(C50))=0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14" priority="191">
      <formula>LEN(TRIM(C7))&gt;0</formula>
    </cfRule>
    <cfRule type="containsBlanks" dxfId="1213" priority="190">
      <formula>LEN(TRIM(C7))=0</formula>
    </cfRule>
  </conditionalFormatting>
  <conditionalFormatting sqref="C11:H11">
    <cfRule type="containsBlanks" dxfId="1212" priority="236">
      <formula>LEN(TRIM(C11))=0</formula>
    </cfRule>
    <cfRule type="notContainsBlanks" dxfId="1211" priority="237">
      <formula>LEN(TRIM(C11))&gt;0</formula>
    </cfRule>
  </conditionalFormatting>
  <conditionalFormatting sqref="C15:H15">
    <cfRule type="containsBlanks" dxfId="1210" priority="55">
      <formula>LEN(TRIM(C15))=0</formula>
    </cfRule>
    <cfRule type="notContainsBlanks" dxfId="1209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208" priority="152">
      <formula>LEN(TRIM(C25))&gt;0</formula>
    </cfRule>
    <cfRule type="containsBlanks" dxfId="1207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06" priority="58">
      <formula>LEN(TRIM(C29))&gt;0</formula>
    </cfRule>
    <cfRule type="containsBlanks" dxfId="1205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04" priority="93">
      <formula>LEN(TRIM(C42))=0</formula>
    </cfRule>
    <cfRule type="notContainsBlanks" dxfId="1203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202" priority="158">
      <formula>LEN(TRIM(C59))&gt;0</formula>
    </cfRule>
    <cfRule type="containsBlanks" dxfId="1201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00" priority="73">
      <formula>LEN(TRIM(C63))=0</formula>
    </cfRule>
    <cfRule type="notContainsBlanks" dxfId="1199" priority="74">
      <formula>LEN(TRIM(C63))&gt;0</formula>
    </cfRule>
  </conditionalFormatting>
  <conditionalFormatting sqref="C72:H72">
    <cfRule type="notContainsBlanks" dxfId="1198" priority="10">
      <formula>LEN(TRIM(C72))&gt;0</formula>
    </cfRule>
    <cfRule type="containsBlanks" dxfId="1197" priority="9">
      <formula>LEN(TRIM(C72))=0</formula>
    </cfRule>
  </conditionalFormatting>
  <conditionalFormatting sqref="C76:H76">
    <cfRule type="containsBlanks" dxfId="1196" priority="188">
      <formula>LEN(TRIM(C76))=0</formula>
    </cfRule>
    <cfRule type="notContainsBlanks" dxfId="1195" priority="189">
      <formula>LEN(TRIM(C76))&gt;0</formula>
    </cfRule>
  </conditionalFormatting>
  <conditionalFormatting sqref="D63:H63">
    <cfRule type="containsBlanks" dxfId="1194" priority="71">
      <formula>LEN(TRIM(D63))=0</formula>
    </cfRule>
    <cfRule type="notContainsBlanks" dxfId="1193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92" priority="222">
      <formula>LEN(TRIM(E46))=0</formula>
    </cfRule>
    <cfRule type="notContainsBlanks" dxfId="1191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190" priority="8">
      <formula>LEN(TRIM(F72))&gt;0</formula>
    </cfRule>
    <cfRule type="containsBlanks" dxfId="1189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88" priority="177">
      <formula>LEN(TRIM(G42))&gt;0</formula>
    </cfRule>
    <cfRule type="containsBlanks" dxfId="1187" priority="176">
      <formula>LEN(TRIM(G42))=0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86" priority="102">
      <formula>LEN(TRIM(H46))&gt;0</formula>
    </cfRule>
    <cfRule type="containsBlanks" dxfId="1185" priority="101">
      <formula>LEN(TRIM(H46))=0</formula>
    </cfRule>
    <cfRule type="notContainsBlanks" dxfId="1184" priority="100">
      <formula>LEN(TRIM(H46))&gt;0</formula>
    </cfRule>
    <cfRule type="containsBlanks" dxfId="1183" priority="99">
      <formula>LEN(TRIM(H46))=0</formula>
    </cfRule>
  </conditionalFormatting>
  <conditionalFormatting sqref="H50">
    <cfRule type="notContainsBlanks" dxfId="1182" priority="108">
      <formula>LEN(TRIM(H50))&gt;0</formula>
    </cfRule>
    <cfRule type="containsBlanks" dxfId="1181" priority="107">
      <formula>LEN(TRIM(H50))=0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180" priority="215">
      <formula>LEN(TRIM(J72))&gt;0</formula>
    </cfRule>
    <cfRule type="containsBlanks" dxfId="1179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78" priority="109">
      <formula>LEN(TRIM(J21))=0</formula>
    </cfRule>
    <cfRule type="notContainsBlanks" dxfId="1177" priority="110">
      <formula>LEN(TRIM(J21))&gt;0</formula>
    </cfRule>
  </conditionalFormatting>
  <conditionalFormatting sqref="J63:L63">
    <cfRule type="containsBlanks" dxfId="1176" priority="155">
      <formula>LEN(TRIM(J63))=0</formula>
    </cfRule>
    <cfRule type="notContainsBlanks" dxfId="1175" priority="156">
      <formula>LEN(TRIM(J63))&gt;0</formula>
    </cfRule>
  </conditionalFormatting>
  <conditionalFormatting sqref="J46:M46">
    <cfRule type="containsBlanks" dxfId="1174" priority="95">
      <formula>LEN(TRIM(J46))=0</formula>
    </cfRule>
    <cfRule type="notContainsBlanks" dxfId="1173" priority="96">
      <formula>LEN(TRIM(J46))&gt;0</formula>
    </cfRule>
  </conditionalFormatting>
  <conditionalFormatting sqref="J72:M72">
    <cfRule type="containsBlanks" dxfId="1172" priority="127">
      <formula>LEN(TRIM(J72))=0</formula>
    </cfRule>
    <cfRule type="notContainsBlanks" dxfId="1171" priority="128">
      <formula>LEN(TRIM(J72))&gt;0</formula>
    </cfRule>
  </conditionalFormatting>
  <conditionalFormatting sqref="J42:N42">
    <cfRule type="notContainsBlanks" dxfId="1170" priority="86">
      <formula>LEN(TRIM(J42))&gt;0</formula>
    </cfRule>
    <cfRule type="containsBlanks" dxfId="1169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168" priority="150">
      <formula>LEN(TRIM(J7))&gt;0</formula>
    </cfRule>
    <cfRule type="containsBlanks" dxfId="1167" priority="149">
      <formula>LEN(TRIM(J7))=0</formula>
    </cfRule>
  </conditionalFormatting>
  <conditionalFormatting sqref="J11:P11">
    <cfRule type="notContainsBlanks" dxfId="1166" priority="52">
      <formula>LEN(TRIM(J11))&gt;0</formula>
    </cfRule>
    <cfRule type="containsBlanks" dxfId="1165" priority="51">
      <formula>LEN(TRIM(J11))=0</formula>
    </cfRule>
  </conditionalFormatting>
  <conditionalFormatting sqref="J15:P15">
    <cfRule type="notContainsBlanks" dxfId="1164" priority="54">
      <formula>LEN(TRIM(J15))&gt;0</formula>
    </cfRule>
    <cfRule type="containsBlanks" dxfId="1163" priority="53">
      <formula>LEN(TRIM(J15))=0</formula>
    </cfRule>
  </conditionalFormatting>
  <conditionalFormatting sqref="J25:P25">
    <cfRule type="containsBlanks" dxfId="1162" priority="5">
      <formula>LEN(TRIM(J25))=0</formula>
    </cfRule>
    <cfRule type="notContainsBlanks" dxfId="1161" priority="6">
      <formula>LEN(TRIM(J25))&gt;0</formula>
    </cfRule>
  </conditionalFormatting>
  <conditionalFormatting sqref="J29:P29">
    <cfRule type="containsBlanks" dxfId="1160" priority="15">
      <formula>LEN(TRIM(J29))=0</formula>
    </cfRule>
    <cfRule type="notContainsBlanks" dxfId="1159" priority="16">
      <formula>LEN(TRIM(J29))&gt;0</formula>
    </cfRule>
  </conditionalFormatting>
  <conditionalFormatting sqref="J42:P42">
    <cfRule type="notContainsBlanks" dxfId="1158" priority="88">
      <formula>LEN(TRIM(J42))&gt;0</formula>
    </cfRule>
    <cfRule type="containsBlanks" dxfId="1157" priority="87">
      <formula>LEN(TRIM(J42))=0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notContainsBlanks" dxfId="1156" priority="98">
      <formula>LEN(TRIM(J46))&gt;0</formula>
    </cfRule>
    <cfRule type="containsBlanks" dxfId="1155" priority="97">
      <formula>LEN(TRIM(J46))=0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54" priority="106">
      <formula>LEN(TRIM(J50))&gt;0</formula>
    </cfRule>
    <cfRule type="containsBlanks" dxfId="1153" priority="105">
      <formula>LEN(TRIM(J50))=0</formula>
    </cfRule>
  </conditionalFormatting>
  <conditionalFormatting sqref="J59:P59">
    <cfRule type="notContainsBlanks" dxfId="1152" priority="70">
      <formula>LEN(TRIM(J59))&gt;0</formula>
    </cfRule>
    <cfRule type="containsBlanks" dxfId="1151" priority="69">
      <formula>LEN(TRIM(J59))=0</formula>
    </cfRule>
  </conditionalFormatting>
  <conditionalFormatting sqref="J63:P63">
    <cfRule type="notContainsBlanks" dxfId="1150" priority="78">
      <formula>LEN(TRIM(J63))&gt;0</formula>
    </cfRule>
    <cfRule type="containsBlanks" dxfId="1149" priority="77">
      <formula>LEN(TRIM(J63))=0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48" priority="12">
      <formula>LEN(TRIM(J72))&gt;0</formula>
    </cfRule>
    <cfRule type="containsBlanks" dxfId="1147" priority="11">
      <formula>LEN(TRIM(J72))=0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46" priority="187">
      <formula>LEN(TRIM(J76))&gt;0</formula>
    </cfRule>
    <cfRule type="containsBlanks" dxfId="1145" priority="186">
      <formula>LEN(TRIM(J76))=0</formula>
    </cfRule>
  </conditionalFormatting>
  <conditionalFormatting sqref="K11:P11">
    <cfRule type="notContainsBlanks" dxfId="1144" priority="154">
      <formula>LEN(TRIM(K11))&gt;0</formula>
    </cfRule>
    <cfRule type="containsBlanks" dxfId="1143" priority="153">
      <formula>LEN(TRIM(K11))=0</formula>
    </cfRule>
  </conditionalFormatting>
  <conditionalFormatting sqref="K59:P59">
    <cfRule type="containsBlanks" dxfId="1142" priority="159">
      <formula>LEN(TRIM(K59))=0</formula>
    </cfRule>
    <cfRule type="notContainsBlanks" dxfId="1141" priority="162">
      <formula>LEN(TRIM(K59))&gt;0</formula>
    </cfRule>
    <cfRule type="containsBlanks" dxfId="1140" priority="161">
      <formula>LEN(TRIM(K59))=0</formula>
    </cfRule>
    <cfRule type="notContainsBlanks" dxfId="1139" priority="160">
      <formula>LEN(TRIM(K59))&gt;0</formula>
    </cfRule>
  </conditionalFormatting>
  <conditionalFormatting sqref="L76:P76">
    <cfRule type="containsBlanks" dxfId="1138" priority="199">
      <formula>LEN(TRIM(L76))=0</formula>
    </cfRule>
    <cfRule type="notContainsBlanks" dxfId="1137" priority="200">
      <formula>LEN(TRIM(L76))&gt;0</formula>
    </cfRule>
  </conditionalFormatting>
  <conditionalFormatting sqref="M50:P50">
    <cfRule type="containsBlanks" dxfId="1136" priority="226">
      <formula>LEN(TRIM(M50))=0</formula>
    </cfRule>
    <cfRule type="notContainsBlanks" dxfId="1135" priority="227">
      <formula>LEN(TRIM(M50))&gt;0</formula>
    </cfRule>
  </conditionalFormatting>
  <conditionalFormatting sqref="M63:P63">
    <cfRule type="notContainsBlanks" dxfId="1134" priority="76">
      <formula>LEN(TRIM(M63))&gt;0</formula>
    </cfRule>
    <cfRule type="containsBlanks" dxfId="1133" priority="75">
      <formula>LEN(TRIM(M63))=0</formula>
    </cfRule>
  </conditionalFormatting>
  <conditionalFormatting sqref="N46:P46">
    <cfRule type="notContainsBlanks" dxfId="1132" priority="221">
      <formula>LEN(TRIM(N46))&gt;0</formula>
    </cfRule>
    <cfRule type="notContainsBlanks" dxfId="1131" priority="179">
      <formula>LEN(TRIM(N46))&gt;0</formula>
    </cfRule>
    <cfRule type="containsBlanks" dxfId="1130" priority="178">
      <formula>LEN(TRIM(N46))=0</formula>
    </cfRule>
    <cfRule type="containsBlanks" dxfId="1129" priority="220">
      <formula>LEN(TRIM(N46))=0</formula>
    </cfRule>
  </conditionalFormatting>
  <conditionalFormatting sqref="O46:P46">
    <cfRule type="containsBlanks" dxfId="1128" priority="224">
      <formula>LEN(TRIM(O46))=0</formula>
    </cfRule>
    <cfRule type="notContainsBlanks" dxfId="1127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26" priority="148">
      <formula>LEN(TRIM(P7))&gt;0</formula>
    </cfRule>
    <cfRule type="containsBlanks" dxfId="1125" priority="145">
      <formula>LEN(TRIM(P7))=0</formula>
    </cfRule>
    <cfRule type="notContainsBlanks" dxfId="1124" priority="146">
      <formula>LEN(TRIM(P7))&gt;0</formula>
    </cfRule>
    <cfRule type="containsBlanks" dxfId="1123" priority="147">
      <formula>LEN(TRIM(P7))=0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22" priority="48">
      <formula>LEN(TRIM(R11))&gt;0</formula>
    </cfRule>
  </conditionalFormatting>
  <conditionalFormatting sqref="R15">
    <cfRule type="notContainsBlanks" dxfId="1121" priority="50">
      <formula>LEN(TRIM(R15))&gt;0</formula>
    </cfRule>
    <cfRule type="containsBlanks" dxfId="1120" priority="49">
      <formula>LEN(TRIM(R15))=0</formula>
    </cfRule>
  </conditionalFormatting>
  <conditionalFormatting sqref="R59">
    <cfRule type="containsBlanks" dxfId="1119" priority="65">
      <formula>LEN(TRIM(R59))=0</formula>
    </cfRule>
    <cfRule type="containsBlanks" dxfId="1118" priority="63">
      <formula>LEN(TRIM(R59))=0</formula>
    </cfRule>
    <cfRule type="notContainsBlanks" dxfId="1117" priority="66">
      <formula>LEN(TRIM(R59))&gt;0</formula>
    </cfRule>
    <cfRule type="notContainsBlanks" dxfId="1116" priority="64">
      <formula>LEN(TRIM(R59))&gt;0</formula>
    </cfRule>
  </conditionalFormatting>
  <conditionalFormatting sqref="R72">
    <cfRule type="containsBlanks" dxfId="1115" priority="212">
      <formula>LEN(TRIM(R72))=0</formula>
    </cfRule>
    <cfRule type="notContainsBlanks" dxfId="1114" priority="213">
      <formula>LEN(TRIM(R72))&gt;0</formula>
    </cfRule>
  </conditionalFormatting>
  <conditionalFormatting sqref="R63:S63">
    <cfRule type="containsBlanks" dxfId="1113" priority="166">
      <formula>LEN(TRIM(R63))=0</formula>
    </cfRule>
    <cfRule type="notContainsBlanks" dxfId="1112" priority="167">
      <formula>LEN(TRIM(R63))&gt;0</formula>
    </cfRule>
  </conditionalFormatting>
  <conditionalFormatting sqref="R76:S76">
    <cfRule type="notContainsBlanks" dxfId="1111" priority="183">
      <formula>LEN(TRIM(R76))&gt;0</formula>
    </cfRule>
    <cfRule type="containsBlanks" dxfId="1110" priority="182">
      <formula>LEN(TRIM(R76))=0</formula>
    </cfRule>
  </conditionalFormatting>
  <conditionalFormatting sqref="R7:T7">
    <cfRule type="containsBlanks" dxfId="1109" priority="17">
      <formula>LEN(TRIM(R7))=0</formula>
    </cfRule>
    <cfRule type="notContainsBlanks" dxfId="1108" priority="18">
      <formula>LEN(TRIM(R7))&gt;0</formula>
    </cfRule>
    <cfRule type="containsBlanks" dxfId="1107" priority="19">
      <formula>LEN(TRIM(R7))=0</formula>
    </cfRule>
    <cfRule type="notContainsBlanks" dxfId="1106" priority="20">
      <formula>LEN(TRIM(R7))&gt;0</formula>
    </cfRule>
  </conditionalFormatting>
  <conditionalFormatting sqref="R11:T11">
    <cfRule type="notContainsBlanks" dxfId="1105" priority="42">
      <formula>LEN(TRIM(R11))&gt;0</formula>
    </cfRule>
    <cfRule type="containsBlanks" dxfId="1104" priority="41">
      <formula>LEN(TRIM(R11))=0</formula>
    </cfRule>
  </conditionalFormatting>
  <conditionalFormatting sqref="R63:T63">
    <cfRule type="notContainsBlanks" dxfId="1103" priority="169">
      <formula>LEN(TRIM(R63))&gt;0</formula>
    </cfRule>
    <cfRule type="notContainsBlanks" dxfId="1102" priority="175">
      <formula>LEN(TRIM(R63))&gt;0</formula>
    </cfRule>
    <cfRule type="containsBlanks" dxfId="1101" priority="168">
      <formula>LEN(TRIM(R63))=0</formula>
    </cfRule>
    <cfRule type="containsBlanks" dxfId="1100" priority="174">
      <formula>LEN(TRIM(R63))=0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1099" priority="22">
      <formula>LEN(TRIM(R7))&gt;0</formula>
    </cfRule>
    <cfRule type="containsBlanks" dxfId="1098" priority="21">
      <formula>LEN(TRIM(R7))=0</formula>
    </cfRule>
  </conditionalFormatting>
  <conditionalFormatting sqref="R25:X25">
    <cfRule type="containsBlanks" dxfId="1097" priority="33">
      <formula>LEN(TRIM(R25))=0</formula>
    </cfRule>
    <cfRule type="notContainsBlanks" dxfId="1096" priority="34">
      <formula>LEN(TRIM(R25))&gt;0</formula>
    </cfRule>
  </conditionalFormatting>
  <conditionalFormatting sqref="R29:X29">
    <cfRule type="notContainsBlanks" dxfId="1095" priority="4">
      <formula>LEN(TRIM(R29))&gt;0</formula>
    </cfRule>
    <cfRule type="containsBlanks" dxfId="1094" priority="3">
      <formula>LEN(TRIM(R29))=0</formula>
    </cfRule>
  </conditionalFormatting>
  <conditionalFormatting sqref="R59:X59">
    <cfRule type="containsBlanks" dxfId="1093" priority="67">
      <formula>LEN(TRIM(R59))=0</formula>
    </cfRule>
    <cfRule type="notContainsBlanks" dxfId="1092" priority="68">
      <formula>LEN(TRIM(R59))&gt;0</formula>
    </cfRule>
  </conditionalFormatting>
  <conditionalFormatting sqref="R72:X72">
    <cfRule type="notContainsBlanks" dxfId="1091" priority="14">
      <formula>LEN(TRIM(R72))&gt;0</formula>
    </cfRule>
    <cfRule type="containsBlanks" dxfId="1090" priority="13">
      <formula>LEN(TRIM(R72))=0</formula>
    </cfRule>
  </conditionalFormatting>
  <conditionalFormatting sqref="R76:X76">
    <cfRule type="notContainsBlanks" dxfId="1089" priority="185">
      <formula>LEN(TRIM(R76))&gt;0</formula>
    </cfRule>
    <cfRule type="containsBlanks" dxfId="1088" priority="184">
      <formula>LEN(TRIM(R76))=0</formula>
    </cfRule>
  </conditionalFormatting>
  <conditionalFormatting sqref="S15:W15">
    <cfRule type="containsBlanks" dxfId="1087" priority="205">
      <formula>LEN(TRIM(S15))=0</formula>
    </cfRule>
    <cfRule type="notContainsBlanks" dxfId="1086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85" priority="164">
      <formula>LEN(TRIM(S59))=0</formula>
    </cfRule>
    <cfRule type="notContainsBlanks" dxfId="1084" priority="165">
      <formula>LEN(TRIM(S59))&gt;0</formula>
    </cfRule>
  </conditionalFormatting>
  <conditionalFormatting sqref="U11:X11 R11">
    <cfRule type="containsBlanks" dxfId="1083" priority="47">
      <formula>LEN(TRIM(R11))=0</formula>
    </cfRule>
  </conditionalFormatting>
  <conditionalFormatting sqref="U63:X63">
    <cfRule type="notContainsBlanks" dxfId="1082" priority="84">
      <formula>LEN(TRIM(U63))&gt;0</formula>
    </cfRule>
    <cfRule type="containsBlanks" dxfId="1081" priority="81">
      <formula>LEN(TRIM(U63))=0</formula>
    </cfRule>
    <cfRule type="containsBlanks" dxfId="1080" priority="79">
      <formula>LEN(TRIM(U63))=0</formula>
    </cfRule>
    <cfRule type="notContainsBlanks" dxfId="1079" priority="80">
      <formula>LEN(TRIM(U63))&gt;0</formula>
    </cfRule>
    <cfRule type="containsBlanks" dxfId="1078" priority="83">
      <formula>LEN(TRIM(U63))=0</formula>
    </cfRule>
    <cfRule type="notContainsBlanks" dxfId="1077" priority="82">
      <formula>LEN(TRIM(U63))&gt;0</formula>
    </cfRule>
  </conditionalFormatting>
  <conditionalFormatting sqref="V11:W11">
    <cfRule type="notContainsBlanks" dxfId="1076" priority="44">
      <formula>LEN(TRIM(V11))&gt;0</formula>
    </cfRule>
    <cfRule type="containsBlanks" dxfId="1075" priority="43">
      <formula>LEN(TRIM(V11))=0</formula>
    </cfRule>
  </conditionalFormatting>
  <conditionalFormatting sqref="W15:X15">
    <cfRule type="containsBlanks" dxfId="1074" priority="195">
      <formula>LEN(TRIM(W15))=0</formula>
    </cfRule>
    <cfRule type="notContainsBlanks" dxfId="1073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72" priority="208">
      <formula>LEN(TRIM(W33))&gt;0</formula>
    </cfRule>
    <cfRule type="containsBlanks" dxfId="1071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70" priority="276">
      <formula>LEN(TRIM(X21))=0</formula>
    </cfRule>
    <cfRule type="containsBlanks" dxfId="1069" priority="278">
      <formula>LEN(TRIM(X21))=0</formula>
    </cfRule>
    <cfRule type="notContainsBlanks" dxfId="1068" priority="279">
      <formula>LEN(TRIM(X21))&gt;0</formula>
    </cfRule>
    <cfRule type="containsBlanks" dxfId="1067" priority="280">
      <formula>LEN(TRIM(X21))=0</formula>
    </cfRule>
    <cfRule type="notContainsBlanks" dxfId="1066" priority="281">
      <formula>LEN(TRIM(X21))&gt;0</formula>
    </cfRule>
    <cfRule type="containsBlanks" dxfId="1065" priority="282">
      <formula>LEN(TRIM(X21))=0</formula>
    </cfRule>
    <cfRule type="notContainsBlanks" dxfId="1064" priority="283">
      <formula>LEN(TRIM(X21))&gt;0</formula>
    </cfRule>
    <cfRule type="containsBlanks" dxfId="1063" priority="284">
      <formula>LEN(TRIM(X21))=0</formula>
    </cfRule>
    <cfRule type="notContainsBlanks" dxfId="1062" priority="285">
      <formula>LEN(TRIM(X21))&gt;0</formula>
    </cfRule>
    <cfRule type="notContainsBlanks" dxfId="1061" priority="277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60" priority="59">
      <formula>LEN(TRIM(Z59))=0</formula>
    </cfRule>
    <cfRule type="notContainsBlanks" dxfId="1059" priority="60">
      <formula>LEN(TRIM(Z59))&gt;0</formula>
    </cfRule>
  </conditionalFormatting>
  <conditionalFormatting sqref="Z72">
    <cfRule type="notContainsBlanks" dxfId="1058" priority="130">
      <formula>LEN(TRIM(Z72))&gt;0</formula>
    </cfRule>
    <cfRule type="containsBlanks" dxfId="1057" priority="129">
      <formula>LEN(TRIM(Z72))=0</formula>
    </cfRule>
  </conditionalFormatting>
  <conditionalFormatting sqref="Z76">
    <cfRule type="containsBlanks" dxfId="1056" priority="210">
      <formula>LEN(TRIM(Z76))=0</formula>
    </cfRule>
    <cfRule type="notContainsBlanks" dxfId="1055" priority="211">
      <formula>LEN(TRIM(Z76))&gt;0</formula>
    </cfRule>
  </conditionalFormatting>
  <conditionalFormatting sqref="Z63:AA63">
    <cfRule type="containsBlanks" dxfId="1054" priority="170">
      <formula>LEN(TRIM(Z63))=0</formula>
    </cfRule>
    <cfRule type="notContainsBlanks" dxfId="1053" priority="171">
      <formula>LEN(TRIM(Z63))&gt;0</formula>
    </cfRule>
  </conditionalFormatting>
  <conditionalFormatting sqref="Z59:AB59">
    <cfRule type="notContainsBlanks" dxfId="1052" priority="62">
      <formula>LEN(TRIM(Z59))&gt;0</formula>
    </cfRule>
    <cfRule type="containsBlanks" dxfId="1051" priority="61">
      <formula>LEN(TRIM(Z59))=0</formula>
    </cfRule>
  </conditionalFormatting>
  <conditionalFormatting sqref="Z63:AB63">
    <cfRule type="containsBlanks" dxfId="1050" priority="180">
      <formula>LEN(TRIM(Z63))=0</formula>
    </cfRule>
    <cfRule type="notContainsBlanks" dxfId="1049" priority="181">
      <formula>LEN(TRIM(Z63))&gt;0</formula>
    </cfRule>
    <cfRule type="containsBlanks" dxfId="1048" priority="172">
      <formula>LEN(TRIM(Z63))=0</formula>
    </cfRule>
    <cfRule type="notContainsBlanks" dxfId="1047" priority="173">
      <formula>LEN(TRIM(Z63))&gt;0</formula>
    </cfRule>
  </conditionalFormatting>
  <conditionalFormatting sqref="Z25:AI25">
    <cfRule type="containsBlanks" dxfId="1046" priority="115">
      <formula>LEN(TRIM(Z25))=0</formula>
    </cfRule>
    <cfRule type="notContainsBlanks" dxfId="1045" priority="116">
      <formula>LEN(TRIM(Z25))&gt;0</formula>
    </cfRule>
  </conditionalFormatting>
  <conditionalFormatting sqref="Z29:AI29">
    <cfRule type="notContainsBlanks" dxfId="1044" priority="2">
      <formula>LEN(TRIM(Z29))&gt;0</formula>
    </cfRule>
    <cfRule type="containsBlanks" dxfId="1043" priority="1">
      <formula>LEN(TRIM(Z29))=0</formula>
    </cfRule>
  </conditionalFormatting>
  <conditionalFormatting sqref="AA59:AB59">
    <cfRule type="notContainsBlanks" dxfId="1042" priority="142">
      <formula>LEN(TRIM(AA59))&gt;0</formula>
    </cfRule>
    <cfRule type="containsBlanks" dxfId="1041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40" priority="268">
      <formula>LEN(TRIM(AF21))=0</formula>
    </cfRule>
    <cfRule type="notContainsBlanks" dxfId="1039" priority="269">
      <formula>LEN(TRIM(AF21))&gt;0</formula>
    </cfRule>
    <cfRule type="containsBlanks" dxfId="1038" priority="270">
      <formula>LEN(TRIM(AF21))=0</formula>
    </cfRule>
    <cfRule type="notContainsBlanks" dxfId="1037" priority="271">
      <formula>LEN(TRIM(AF21))&gt;0</formula>
    </cfRule>
    <cfRule type="containsBlanks" dxfId="1036" priority="272">
      <formula>LEN(TRIM(AF21))=0</formula>
    </cfRule>
    <cfRule type="containsBlanks" dxfId="1035" priority="274">
      <formula>LEN(TRIM(AF21))=0</formula>
    </cfRule>
    <cfRule type="notContainsBlanks" dxfId="1034" priority="275">
      <formula>LEN(TRIM(AF21))&gt;0</formula>
    </cfRule>
    <cfRule type="notContainsBlanks" dxfId="1033" priority="273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32" priority="112">
      <formula>LEN(TRIM(AF21))&gt;0</formula>
    </cfRule>
    <cfRule type="containsBlanks" dxfId="1031" priority="111">
      <formula>LEN(TRIM(AF21))=0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30" priority="286">
      <formula>LEN(TRIM(AG33))=0</formula>
    </cfRule>
    <cfRule type="notContainsBlanks" dxfId="1029" priority="287">
      <formula>LEN(TRIM(AG33))&gt;0</formula>
    </cfRule>
    <cfRule type="containsBlanks" dxfId="1028" priority="288">
      <formula>LEN(TRIM(AG33))=0</formula>
    </cfRule>
    <cfRule type="notContainsBlanks" dxfId="1027" priority="289">
      <formula>LEN(TRIM(AG33))&gt;0</formula>
    </cfRule>
    <cfRule type="containsBlanks" dxfId="1026" priority="290">
      <formula>LEN(TRIM(AG33))=0</formula>
    </cfRule>
    <cfRule type="containsBlanks" dxfId="1025" priority="292">
      <formula>LEN(TRIM(AG33))=0</formula>
    </cfRule>
    <cfRule type="notContainsBlanks" dxfId="1024" priority="293">
      <formula>LEN(TRIM(AG33))&gt;0</formula>
    </cfRule>
    <cfRule type="containsBlanks" dxfId="1023" priority="294">
      <formula>LEN(TRIM(AG33))=0</formula>
    </cfRule>
    <cfRule type="notContainsBlanks" dxfId="1022" priority="295">
      <formula>LEN(TRIM(AG33))&gt;0</formula>
    </cfRule>
    <cfRule type="notContainsBlanks" dxfId="1021" priority="291">
      <formula>LEN(TRIM(AG33))&gt;0</formula>
    </cfRule>
    <cfRule type="notContainsBlanks" dxfId="1020" priority="297">
      <formula>LEN(TRIM(AG33))&gt;0</formula>
    </cfRule>
    <cfRule type="containsBlanks" dxfId="1019" priority="296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66" activePane="bottomRight" state="frozen"/>
      <selection pane="topRight" activeCell="C1" sqref="C1"/>
      <selection pane="bottomLeft" activeCell="A14" sqref="A14"/>
      <selection pane="bottomRight" activeCell="BR82" sqref="BR82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18" priority="911">
      <formula>LEN(TRIM(E14))=0</formula>
    </cfRule>
  </conditionalFormatting>
  <conditionalFormatting sqref="J114:J119 BT207:BV213 AW168:BA174 BZ168:CP174">
    <cfRule type="containsText" dxfId="1017" priority="906" operator="containsText" text="T">
      <formula>NOT(ISERROR(SEARCH("T",J114)))</formula>
    </cfRule>
  </conditionalFormatting>
  <conditionalFormatting sqref="J120:M126">
    <cfRule type="containsText" dxfId="1016" priority="447" operator="containsText" text="T">
      <formula>NOT(ISERROR(SEARCH("T",J120)))</formula>
    </cfRule>
  </conditionalFormatting>
  <conditionalFormatting sqref="J113:T113">
    <cfRule type="containsText" dxfId="1015" priority="899" operator="containsText" text="T">
      <formula>NOT(ISERROR(SEARCH("T",J113)))</formula>
    </cfRule>
    <cfRule type="containsText" dxfId="1014" priority="898" operator="containsText" text="17">
      <formula>NOT(ISERROR(SEARCH("17",J113)))</formula>
    </cfRule>
  </conditionalFormatting>
  <conditionalFormatting sqref="J67:X68 BT207:BV213">
    <cfRule type="containsText" dxfId="1013" priority="843" operator="containsText" text="17">
      <formula>NOT(ISERROR(SEARCH("17",J67)))</formula>
    </cfRule>
  </conditionalFormatting>
  <conditionalFormatting sqref="J97:X98">
    <cfRule type="containsText" dxfId="1012" priority="833" operator="containsText" text="17">
      <formula>NOT(ISERROR(SEARCH("17",J97)))</formula>
    </cfRule>
  </conditionalFormatting>
  <conditionalFormatting sqref="J67:Z68">
    <cfRule type="containsText" dxfId="1011" priority="837" operator="containsText" text="T">
      <formula>NOT(ISERROR(SEARCH("T",J67)))</formula>
    </cfRule>
  </conditionalFormatting>
  <conditionalFormatting sqref="J97:Z98">
    <cfRule type="containsText" dxfId="1010" priority="827" operator="containsText" text="T">
      <formula>NOT(ISERROR(SEARCH("T",J97)))</formula>
    </cfRule>
  </conditionalFormatting>
  <conditionalFormatting sqref="J127:Z130">
    <cfRule type="containsText" dxfId="1009" priority="807" operator="containsText" text="T">
      <formula>NOT(ISERROR(SEARCH("T",J127)))</formula>
    </cfRule>
  </conditionalFormatting>
  <conditionalFormatting sqref="J114:AD119 J113:R113">
    <cfRule type="containsText" dxfId="1008" priority="905" operator="containsText" text="17">
      <formula>NOT(ISERROR(SEARCH("17",J113)))</formula>
    </cfRule>
  </conditionalFormatting>
  <conditionalFormatting sqref="J48:AO49">
    <cfRule type="containsText" dxfId="1007" priority="580" operator="containsText" text="17">
      <formula>NOT(ISERROR(SEARCH("17",J48)))</formula>
    </cfRule>
  </conditionalFormatting>
  <conditionalFormatting sqref="J63:AP66">
    <cfRule type="containsText" dxfId="1006" priority="560" operator="containsText" text="17">
      <formula>NOT(ISERROR(SEARCH("17",J63)))</formula>
    </cfRule>
  </conditionalFormatting>
  <conditionalFormatting sqref="J48:AQ49">
    <cfRule type="containsText" dxfId="1005" priority="574" operator="containsText" text="T">
      <formula>NOT(ISERROR(SEARCH("T",J48)))</formula>
    </cfRule>
  </conditionalFormatting>
  <conditionalFormatting sqref="J59:AQ62">
    <cfRule type="containsText" dxfId="1004" priority="546" operator="containsText" text="17">
      <formula>NOT(ISERROR(SEARCH("17",J59)))</formula>
    </cfRule>
  </conditionalFormatting>
  <conditionalFormatting sqref="J86:AQ89">
    <cfRule type="containsText" dxfId="1003" priority="536" operator="containsText" text="17">
      <formula>NOT(ISERROR(SEARCH("17",J86)))</formula>
    </cfRule>
  </conditionalFormatting>
  <conditionalFormatting sqref="J50:AR53">
    <cfRule type="containsText" dxfId="1002" priority="564" operator="containsText" text="T">
      <formula>NOT(ISERROR(SEARCH("T",J50)))</formula>
    </cfRule>
  </conditionalFormatting>
  <conditionalFormatting sqref="J63:AR66">
    <cfRule type="containsText" dxfId="1001" priority="554" operator="containsText" text="T">
      <formula>NOT(ISERROR(SEARCH("T",J63)))</formula>
    </cfRule>
  </conditionalFormatting>
  <conditionalFormatting sqref="J83:AR85">
    <cfRule type="containsText" dxfId="1000" priority="526" operator="containsText" text="17">
      <formula>NOT(ISERROR(SEARCH("17",J83)))</formula>
    </cfRule>
  </conditionalFormatting>
  <conditionalFormatting sqref="J214:AR217">
    <cfRule type="containsText" dxfId="999" priority="516" operator="containsText" text="17">
      <formula>NOT(ISERROR(SEARCH("17",J214)))</formula>
    </cfRule>
  </conditionalFormatting>
  <conditionalFormatting sqref="J59:AS62">
    <cfRule type="containsText" dxfId="998" priority="540" operator="containsText" text="T">
      <formula>NOT(ISERROR(SEARCH("T",J59)))</formula>
    </cfRule>
  </conditionalFormatting>
  <conditionalFormatting sqref="J86:AS89">
    <cfRule type="containsText" dxfId="997" priority="530" operator="containsText" text="T">
      <formula>NOT(ISERROR(SEARCH("T",J86)))</formula>
    </cfRule>
  </conditionalFormatting>
  <conditionalFormatting sqref="J218:AS224">
    <cfRule type="containsText" dxfId="996" priority="506" operator="containsText" text="17">
      <formula>NOT(ISERROR(SEARCH("17",J218)))</formula>
    </cfRule>
  </conditionalFormatting>
  <conditionalFormatting sqref="J83:AT85">
    <cfRule type="containsText" dxfId="995" priority="520" operator="containsText" text="T">
      <formula>NOT(ISERROR(SEARCH("T",J83)))</formula>
    </cfRule>
  </conditionalFormatting>
  <conditionalFormatting sqref="J214:AT217">
    <cfRule type="containsText" dxfId="994" priority="510" operator="containsText" text="T">
      <formula>NOT(ISERROR(SEARCH("T",J214)))</formula>
    </cfRule>
  </conditionalFormatting>
  <conditionalFormatting sqref="J225:AT231">
    <cfRule type="containsText" dxfId="993" priority="496" operator="containsText" text="17">
      <formula>NOT(ISERROR(SEARCH("17",J225)))</formula>
    </cfRule>
  </conditionalFormatting>
  <conditionalFormatting sqref="J218:AU224">
    <cfRule type="containsText" dxfId="992" priority="500" operator="containsText" text="T">
      <formula>NOT(ISERROR(SEARCH("T",J218)))</formula>
    </cfRule>
  </conditionalFormatting>
  <conditionalFormatting sqref="J232:AU234">
    <cfRule type="containsText" dxfId="991" priority="486" operator="containsText" text="17">
      <formula>NOT(ISERROR(SEARCH("17",J232)))</formula>
    </cfRule>
  </conditionalFormatting>
  <conditionalFormatting sqref="J225:AV231">
    <cfRule type="containsText" dxfId="990" priority="490" operator="containsText" text="T">
      <formula>NOT(ISERROR(SEARCH("T",J225)))</formula>
    </cfRule>
  </conditionalFormatting>
  <conditionalFormatting sqref="J232:AW234">
    <cfRule type="containsText" dxfId="989" priority="480" operator="containsText" text="T">
      <formula>NOT(ISERROR(SEARCH("T",J232)))</formula>
    </cfRule>
  </conditionalFormatting>
  <conditionalFormatting sqref="J33:CP33">
    <cfRule type="containsText" dxfId="988" priority="1058" operator="containsText" text="T">
      <formula>NOT(ISERROR(SEARCH("T",J33)))</formula>
    </cfRule>
  </conditionalFormatting>
  <conditionalFormatting sqref="K77:K82">
    <cfRule type="containsText" dxfId="987" priority="893" operator="containsText" text="T">
      <formula>NOT(ISERROR(SEARCH("T",K77)))</formula>
    </cfRule>
  </conditionalFormatting>
  <conditionalFormatting sqref="K76:U76">
    <cfRule type="containsText" dxfId="986" priority="885" operator="containsText" text="17">
      <formula>NOT(ISERROR(SEARCH("17",K76)))</formula>
    </cfRule>
    <cfRule type="containsText" dxfId="985" priority="886" operator="containsText" text="T">
      <formula>NOT(ISERROR(SEARCH("T",K76)))</formula>
    </cfRule>
  </conditionalFormatting>
  <conditionalFormatting sqref="K77:AE82 K76:S76">
    <cfRule type="containsText" dxfId="984" priority="892" operator="containsText" text="17">
      <formula>NOT(ISERROR(SEARCH("17",K76)))</formula>
    </cfRule>
  </conditionalFormatting>
  <conditionalFormatting sqref="L107:L112">
    <cfRule type="containsText" dxfId="983" priority="880" operator="containsText" text="T">
      <formula>NOT(ISERROR(SEARCH("T",L107)))</formula>
    </cfRule>
  </conditionalFormatting>
  <conditionalFormatting sqref="L106:V106">
    <cfRule type="containsText" dxfId="982" priority="873" operator="containsText" text="T">
      <formula>NOT(ISERROR(SEARCH("T",L106)))</formula>
    </cfRule>
    <cfRule type="containsText" dxfId="981" priority="872" operator="containsText" text="17">
      <formula>NOT(ISERROR(SEARCH("17",L106)))</formula>
    </cfRule>
  </conditionalFormatting>
  <conditionalFormatting sqref="L107:AF112 L106:T106">
    <cfRule type="containsText" dxfId="980" priority="879" operator="containsText" text="17">
      <formula>NOT(ISERROR(SEARCH("17",L106)))</formula>
    </cfRule>
  </conditionalFormatting>
  <conditionalFormatting sqref="M120:AG126 AJ120:AJ126">
    <cfRule type="containsText" dxfId="979" priority="444" operator="containsText" text="T">
      <formula>NOT(ISERROR(SEARCH("T",M120)))</formula>
    </cfRule>
  </conditionalFormatting>
  <conditionalFormatting sqref="M120:AG126">
    <cfRule type="containsText" dxfId="978" priority="446" operator="containsText" text="17">
      <formula>NOT(ISERROR(SEARCH("17",M120)))</formula>
    </cfRule>
  </conditionalFormatting>
  <conditionalFormatting sqref="N70:N75">
    <cfRule type="containsText" dxfId="977" priority="867" operator="containsText" text="T">
      <formula>NOT(ISERROR(SEARCH("T",N70)))</formula>
    </cfRule>
  </conditionalFormatting>
  <conditionalFormatting sqref="N69:X69">
    <cfRule type="containsText" dxfId="976" priority="859" operator="containsText" text="17">
      <formula>NOT(ISERROR(SEARCH("17",N69)))</formula>
    </cfRule>
    <cfRule type="containsText" dxfId="975" priority="860" operator="containsText" text="T">
      <formula>NOT(ISERROR(SEARCH("T",N69)))</formula>
    </cfRule>
  </conditionalFormatting>
  <conditionalFormatting sqref="N70:AH75 N69:V69">
    <cfRule type="containsText" dxfId="974" priority="866" operator="containsText" text="17">
      <formula>NOT(ISERROR(SEARCH("17",N69)))</formula>
    </cfRule>
  </conditionalFormatting>
  <conditionalFormatting sqref="O100:O105">
    <cfRule type="containsText" dxfId="973" priority="854" operator="containsText" text="T">
      <formula>NOT(ISERROR(SEARCH("T",O100)))</formula>
    </cfRule>
  </conditionalFormatting>
  <conditionalFormatting sqref="O99:Y99">
    <cfRule type="containsText" dxfId="972" priority="847" operator="containsText" text="T">
      <formula>NOT(ISERROR(SEARCH("T",O99)))</formula>
    </cfRule>
    <cfRule type="containsText" dxfId="971" priority="846" operator="containsText" text="17">
      <formula>NOT(ISERROR(SEARCH("17",O99)))</formula>
    </cfRule>
  </conditionalFormatting>
  <conditionalFormatting sqref="O100:AI105 O99:W99">
    <cfRule type="containsText" dxfId="970" priority="853" operator="containsText" text="17">
      <formula>NOT(ISERROR(SEARCH("17",O99)))</formula>
    </cfRule>
  </conditionalFormatting>
  <conditionalFormatting sqref="P67:Z68">
    <cfRule type="containsText" dxfId="969" priority="836" operator="containsText" text="17">
      <formula>NOT(ISERROR(SEARCH("17",P67)))</formula>
    </cfRule>
  </conditionalFormatting>
  <conditionalFormatting sqref="P97:Z98">
    <cfRule type="containsText" dxfId="968" priority="826" operator="containsText" text="17">
      <formula>NOT(ISERROR(SEARCH("17",P97)))</formula>
    </cfRule>
  </conditionalFormatting>
  <conditionalFormatting sqref="P127:Z130">
    <cfRule type="containsText" dxfId="967" priority="806" operator="containsText" text="17">
      <formula>NOT(ISERROR(SEARCH("17",P127)))</formula>
    </cfRule>
  </conditionalFormatting>
  <conditionalFormatting sqref="Q132:Q137">
    <cfRule type="containsText" dxfId="966" priority="801" operator="containsText" text="T">
      <formula>NOT(ISERROR(SEARCH("T",Q132)))</formula>
    </cfRule>
  </conditionalFormatting>
  <conditionalFormatting sqref="Q131:AA131">
    <cfRule type="containsText" dxfId="965" priority="794" operator="containsText" text="T">
      <formula>NOT(ISERROR(SEARCH("T",Q131)))</formula>
    </cfRule>
    <cfRule type="containsText" dxfId="964" priority="793" operator="containsText" text="17">
      <formula>NOT(ISERROR(SEARCH("17",Q131)))</formula>
    </cfRule>
  </conditionalFormatting>
  <conditionalFormatting sqref="Q132:AK137 Q131:Y131">
    <cfRule type="containsText" dxfId="963" priority="800" operator="containsText" text="17">
      <formula>NOT(ISERROR(SEARCH("17",Q131)))</formula>
    </cfRule>
  </conditionalFormatting>
  <conditionalFormatting sqref="R139:R144">
    <cfRule type="containsText" dxfId="962" priority="788" operator="containsText" text="T">
      <formula>NOT(ISERROR(SEARCH("T",R139)))</formula>
    </cfRule>
  </conditionalFormatting>
  <conditionalFormatting sqref="R138:AB138">
    <cfRule type="containsText" dxfId="961" priority="781" operator="containsText" text="T">
      <formula>NOT(ISERROR(SEARCH("T",R138)))</formula>
    </cfRule>
    <cfRule type="containsText" dxfId="960" priority="780" operator="containsText" text="17">
      <formula>NOT(ISERROR(SEARCH("17",R138)))</formula>
    </cfRule>
  </conditionalFormatting>
  <conditionalFormatting sqref="R139:AL144 R138:Z138">
    <cfRule type="containsText" dxfId="959" priority="787" operator="containsText" text="17">
      <formula>NOT(ISERROR(SEARCH("17",R138)))</formula>
    </cfRule>
  </conditionalFormatting>
  <conditionalFormatting sqref="S146:S151">
    <cfRule type="containsText" dxfId="958" priority="775" operator="containsText" text="T">
      <formula>NOT(ISERROR(SEARCH("T",S146)))</formula>
    </cfRule>
  </conditionalFormatting>
  <conditionalFormatting sqref="S145:AC145">
    <cfRule type="containsText" dxfId="957" priority="767" operator="containsText" text="17">
      <formula>NOT(ISERROR(SEARCH("17",S145)))</formula>
    </cfRule>
    <cfRule type="containsText" dxfId="956" priority="768" operator="containsText" text="T">
      <formula>NOT(ISERROR(SEARCH("T",S145)))</formula>
    </cfRule>
  </conditionalFormatting>
  <conditionalFormatting sqref="S146:AM151 S145:AA145">
    <cfRule type="containsText" dxfId="955" priority="774" operator="containsText" text="17">
      <formula>NOT(ISERROR(SEARCH("17",S145)))</formula>
    </cfRule>
  </conditionalFormatting>
  <conditionalFormatting sqref="T153:T158">
    <cfRule type="containsText" dxfId="954" priority="762" operator="containsText" text="T">
      <formula>NOT(ISERROR(SEARCH("T",T153)))</formula>
    </cfRule>
  </conditionalFormatting>
  <conditionalFormatting sqref="T152:AD152">
    <cfRule type="containsText" dxfId="953" priority="754" operator="containsText" text="17">
      <formula>NOT(ISERROR(SEARCH("17",T152)))</formula>
    </cfRule>
    <cfRule type="containsText" dxfId="952" priority="755" operator="containsText" text="T">
      <formula>NOT(ISERROR(SEARCH("T",T152)))</formula>
    </cfRule>
  </conditionalFormatting>
  <conditionalFormatting sqref="T153:AN158 T152:AB152">
    <cfRule type="containsText" dxfId="951" priority="761" operator="containsText" text="17">
      <formula>NOT(ISERROR(SEARCH("17",T152)))</formula>
    </cfRule>
  </conditionalFormatting>
  <conditionalFormatting sqref="U160:U165">
    <cfRule type="containsText" dxfId="950" priority="749" operator="containsText" text="T">
      <formula>NOT(ISERROR(SEARCH("T",U160)))</formula>
    </cfRule>
  </conditionalFormatting>
  <conditionalFormatting sqref="U113:AA113">
    <cfRule type="containsText" dxfId="949" priority="908" operator="containsText" text="T">
      <formula>NOT(ISERROR(SEARCH("T",U113)))</formula>
    </cfRule>
    <cfRule type="containsText" dxfId="948" priority="907" operator="containsText" text="17">
      <formula>NOT(ISERROR(SEARCH("17",U113)))</formula>
    </cfRule>
  </conditionalFormatting>
  <conditionalFormatting sqref="U159:AE159">
    <cfRule type="containsText" dxfId="947" priority="741" operator="containsText" text="17">
      <formula>NOT(ISERROR(SEARCH("17",U159)))</formula>
    </cfRule>
    <cfRule type="containsText" dxfId="946" priority="742" operator="containsText" text="T">
      <formula>NOT(ISERROR(SEARCH("T",U159)))</formula>
    </cfRule>
  </conditionalFormatting>
  <conditionalFormatting sqref="U160:AO165 U159:AC159">
    <cfRule type="containsText" dxfId="945" priority="748" operator="containsText" text="17">
      <formula>NOT(ISERROR(SEARCH("17",U159)))</formula>
    </cfRule>
  </conditionalFormatting>
  <conditionalFormatting sqref="V113">
    <cfRule type="containsText" dxfId="944" priority="903" operator="containsText" text="17">
      <formula>NOT(ISERROR(SEARCH("17",V113)))</formula>
    </cfRule>
    <cfRule type="containsText" dxfId="943" priority="904" operator="containsText" text="T">
      <formula>NOT(ISERROR(SEARCH("T",V113)))</formula>
    </cfRule>
  </conditionalFormatting>
  <conditionalFormatting sqref="V208:V213">
    <cfRule type="containsText" dxfId="942" priority="736" operator="containsText" text="T">
      <formula>NOT(ISERROR(SEARCH("T",V208)))</formula>
    </cfRule>
  </conditionalFormatting>
  <conditionalFormatting sqref="V76:AB76">
    <cfRule type="containsText" dxfId="941" priority="894" operator="containsText" text="17">
      <formula>NOT(ISERROR(SEARCH("17",V76)))</formula>
    </cfRule>
    <cfRule type="containsText" dxfId="940" priority="895" operator="containsText" text="T">
      <formula>NOT(ISERROR(SEARCH("T",V76)))</formula>
    </cfRule>
  </conditionalFormatting>
  <conditionalFormatting sqref="V207:AF207">
    <cfRule type="containsText" dxfId="939" priority="728" operator="containsText" text="17">
      <formula>NOT(ISERROR(SEARCH("17",V207)))</formula>
    </cfRule>
    <cfRule type="containsText" dxfId="938" priority="729" operator="containsText" text="T">
      <formula>NOT(ISERROR(SEARCH("T",V207)))</formula>
    </cfRule>
  </conditionalFormatting>
  <conditionalFormatting sqref="V208:AP213 V207:AD207">
    <cfRule type="containsText" dxfId="937" priority="735" operator="containsText" text="17">
      <formula>NOT(ISERROR(SEARCH("17",V207)))</formula>
    </cfRule>
  </conditionalFormatting>
  <conditionalFormatting sqref="W76">
    <cfRule type="containsText" dxfId="936" priority="890" operator="containsText" text="17">
      <formula>NOT(ISERROR(SEARCH("17",W76)))</formula>
    </cfRule>
    <cfRule type="containsText" dxfId="935" priority="891" operator="containsText" text="T">
      <formula>NOT(ISERROR(SEARCH("T",W76)))</formula>
    </cfRule>
  </conditionalFormatting>
  <conditionalFormatting sqref="W201:W206">
    <cfRule type="containsText" dxfId="934" priority="723" operator="containsText" text="T">
      <formula>NOT(ISERROR(SEARCH("T",W201)))</formula>
    </cfRule>
  </conditionalFormatting>
  <conditionalFormatting sqref="W106:AC106">
    <cfRule type="containsText" dxfId="933" priority="882" operator="containsText" text="T">
      <formula>NOT(ISERROR(SEARCH("T",W106)))</formula>
    </cfRule>
    <cfRule type="containsText" dxfId="932" priority="881" operator="containsText" text="17">
      <formula>NOT(ISERROR(SEARCH("17",W106)))</formula>
    </cfRule>
  </conditionalFormatting>
  <conditionalFormatting sqref="W200:AG200">
    <cfRule type="containsText" dxfId="931" priority="716" operator="containsText" text="T">
      <formula>NOT(ISERROR(SEARCH("T",W200)))</formula>
    </cfRule>
    <cfRule type="containsText" dxfId="930" priority="715" operator="containsText" text="17">
      <formula>NOT(ISERROR(SEARCH("17",W200)))</formula>
    </cfRule>
  </conditionalFormatting>
  <conditionalFormatting sqref="W201:AQ206 W200:AE200">
    <cfRule type="containsText" dxfId="929" priority="722" operator="containsText" text="17">
      <formula>NOT(ISERROR(SEARCH("17",W200)))</formula>
    </cfRule>
  </conditionalFormatting>
  <conditionalFormatting sqref="X106">
    <cfRule type="containsText" dxfId="928" priority="877" operator="containsText" text="17">
      <formula>NOT(ISERROR(SEARCH("17",X106)))</formula>
    </cfRule>
    <cfRule type="containsText" dxfId="927" priority="878" operator="containsText" text="T">
      <formula>NOT(ISERROR(SEARCH("T",X106)))</formula>
    </cfRule>
  </conditionalFormatting>
  <conditionalFormatting sqref="X194:X199">
    <cfRule type="containsText" dxfId="926" priority="710" operator="containsText" text="T">
      <formula>NOT(ISERROR(SEARCH("T",X194)))</formula>
    </cfRule>
  </conditionalFormatting>
  <conditionalFormatting sqref="X192:AH193">
    <cfRule type="containsText" dxfId="925" priority="698" operator="containsText" text="T">
      <formula>NOT(ISERROR(SEARCH("T",X192)))</formula>
    </cfRule>
    <cfRule type="containsText" dxfId="924" priority="697" operator="containsText" text="17">
      <formula>NOT(ISERROR(SEARCH("17",X192)))</formula>
    </cfRule>
  </conditionalFormatting>
  <conditionalFormatting sqref="Y169:Y174">
    <cfRule type="containsText" dxfId="923" priority="692" operator="containsText" text="T">
      <formula>NOT(ISERROR(SEARCH("T",Y169)))</formula>
    </cfRule>
  </conditionalFormatting>
  <conditionalFormatting sqref="Y69:AE69">
    <cfRule type="containsText" dxfId="922" priority="869" operator="containsText" text="T">
      <formula>NOT(ISERROR(SEARCH("T",Y69)))</formula>
    </cfRule>
    <cfRule type="containsText" dxfId="921" priority="868" operator="containsText" text="17">
      <formula>NOT(ISERROR(SEARCH("17",Y69)))</formula>
    </cfRule>
  </conditionalFormatting>
  <conditionalFormatting sqref="Y168:AI168">
    <cfRule type="containsText" dxfId="920" priority="685" operator="containsText" text="T">
      <formula>NOT(ISERROR(SEARCH("T",Y168)))</formula>
    </cfRule>
    <cfRule type="containsText" dxfId="919" priority="684" operator="containsText" text="17">
      <formula>NOT(ISERROR(SEARCH("17",Y168)))</formula>
    </cfRule>
  </conditionalFormatting>
  <conditionalFormatting sqref="Y169:AS174 Y168:AG168">
    <cfRule type="containsText" dxfId="918" priority="691" operator="containsText" text="17">
      <formula>NOT(ISERROR(SEARCH("17",Y168)))</formula>
    </cfRule>
  </conditionalFormatting>
  <conditionalFormatting sqref="Z69">
    <cfRule type="containsText" dxfId="917" priority="865" operator="containsText" text="T">
      <formula>NOT(ISERROR(SEARCH("T",Z69)))</formula>
    </cfRule>
    <cfRule type="containsText" dxfId="916" priority="864" operator="containsText" text="17">
      <formula>NOT(ISERROR(SEARCH("17",Z69)))</formula>
    </cfRule>
  </conditionalFormatting>
  <conditionalFormatting sqref="Z176:Z181">
    <cfRule type="containsText" dxfId="915" priority="679" operator="containsText" text="T">
      <formula>NOT(ISERROR(SEARCH("T",Z176)))</formula>
    </cfRule>
  </conditionalFormatting>
  <conditionalFormatting sqref="Z99:AF99">
    <cfRule type="containsText" dxfId="914" priority="856" operator="containsText" text="T">
      <formula>NOT(ISERROR(SEARCH("T",Z99)))</formula>
    </cfRule>
    <cfRule type="containsText" dxfId="913" priority="855" operator="containsText" text="17">
      <formula>NOT(ISERROR(SEARCH("17",Z99)))</formula>
    </cfRule>
  </conditionalFormatting>
  <conditionalFormatting sqref="Z175:AJ175">
    <cfRule type="containsText" dxfId="912" priority="672" operator="containsText" text="T">
      <formula>NOT(ISERROR(SEARCH("T",Z175)))</formula>
    </cfRule>
    <cfRule type="containsText" dxfId="911" priority="671" operator="containsText" text="17">
      <formula>NOT(ISERROR(SEARCH("17",Z175)))</formula>
    </cfRule>
  </conditionalFormatting>
  <conditionalFormatting sqref="Z176:AT181 Z175:AH175">
    <cfRule type="containsText" dxfId="910" priority="678" operator="containsText" text="17">
      <formula>NOT(ISERROR(SEARCH("17",Z175)))</formula>
    </cfRule>
  </conditionalFormatting>
  <conditionalFormatting sqref="AA99">
    <cfRule type="containsText" dxfId="909" priority="851" operator="containsText" text="17">
      <formula>NOT(ISERROR(SEARCH("17",AA99)))</formula>
    </cfRule>
    <cfRule type="containsText" dxfId="908" priority="852" operator="containsText" text="T">
      <formula>NOT(ISERROR(SEARCH("T",AA99)))</formula>
    </cfRule>
  </conditionalFormatting>
  <conditionalFormatting sqref="AA113 AE113:AG113 J114:AD119 AG114:AG119">
    <cfRule type="containsText" dxfId="907" priority="900" operator="containsText" text="T">
      <formula>NOT(ISERROR(SEARCH("T",J113)))</formula>
    </cfRule>
  </conditionalFormatting>
  <conditionalFormatting sqref="AA183:AA190">
    <cfRule type="containsText" dxfId="906" priority="666" operator="containsText" text="T">
      <formula>NOT(ISERROR(SEARCH("T",AA183)))</formula>
    </cfRule>
  </conditionalFormatting>
  <conditionalFormatting sqref="AA113:AB113 AE113:AG113 AG114:AG119">
    <cfRule type="containsText" dxfId="905" priority="901" operator="containsText" text="17">
      <formula>NOT(ISERROR(SEARCH("17",AA113)))</formula>
    </cfRule>
  </conditionalFormatting>
  <conditionalFormatting sqref="AA67:AG68">
    <cfRule type="containsText" dxfId="904" priority="844" operator="containsText" text="17">
      <formula>NOT(ISERROR(SEARCH("17",AA67)))</formula>
    </cfRule>
    <cfRule type="containsText" dxfId="903" priority="845" operator="containsText" text="T">
      <formula>NOT(ISERROR(SEARCH("T",AA67)))</formula>
    </cfRule>
  </conditionalFormatting>
  <conditionalFormatting sqref="AA97:AG98">
    <cfRule type="containsText" dxfId="902" priority="834" operator="containsText" text="17">
      <formula>NOT(ISERROR(SEARCH("17",AA97)))</formula>
    </cfRule>
    <cfRule type="containsText" dxfId="901" priority="835" operator="containsText" text="T">
      <formula>NOT(ISERROR(SEARCH("T",AA97)))</formula>
    </cfRule>
  </conditionalFormatting>
  <conditionalFormatting sqref="AA127:AG130">
    <cfRule type="containsText" dxfId="900" priority="815" operator="containsText" text="T">
      <formula>NOT(ISERROR(SEARCH("T",AA127)))</formula>
    </cfRule>
    <cfRule type="containsText" dxfId="899" priority="814" operator="containsText" text="17">
      <formula>NOT(ISERROR(SEARCH("17",AA127)))</formula>
    </cfRule>
  </conditionalFormatting>
  <conditionalFormatting sqref="AA182:AK182">
    <cfRule type="containsText" dxfId="898" priority="658" operator="containsText" text="17">
      <formula>NOT(ISERROR(SEARCH("17",AA182)))</formula>
    </cfRule>
    <cfRule type="containsText" dxfId="897" priority="659" operator="containsText" text="T">
      <formula>NOT(ISERROR(SEARCH("T",AA182)))</formula>
    </cfRule>
  </conditionalFormatting>
  <conditionalFormatting sqref="AA183:AU190 AA182:AI182">
    <cfRule type="containsText" dxfId="896" priority="665" operator="containsText" text="17">
      <formula>NOT(ISERROR(SEARCH("17",AA182)))</formula>
    </cfRule>
  </conditionalFormatting>
  <conditionalFormatting sqref="AB67:AB68">
    <cfRule type="containsText" dxfId="895" priority="842" operator="containsText" text="T">
      <formula>NOT(ISERROR(SEARCH("T",AB67)))</formula>
    </cfRule>
    <cfRule type="containsText" dxfId="894" priority="841" operator="containsText" text="17">
      <formula>NOT(ISERROR(SEARCH("17",AB67)))</formula>
    </cfRule>
  </conditionalFormatting>
  <conditionalFormatting sqref="AB76 AF76:AH76 K77:AE82 AH77:AH82">
    <cfRule type="containsText" dxfId="893" priority="887" operator="containsText" text="T">
      <formula>NOT(ISERROR(SEARCH("T",K76)))</formula>
    </cfRule>
  </conditionalFormatting>
  <conditionalFormatting sqref="AB91:AB96">
    <cfRule type="containsText" dxfId="892" priority="653" operator="containsText" text="T">
      <formula>NOT(ISERROR(SEARCH("T",AB91)))</formula>
    </cfRule>
  </conditionalFormatting>
  <conditionalFormatting sqref="AB97:AB98">
    <cfRule type="containsText" dxfId="891" priority="832" operator="containsText" text="T">
      <formula>NOT(ISERROR(SEARCH("T",AB97)))</formula>
    </cfRule>
    <cfRule type="containsText" dxfId="890" priority="831" operator="containsText" text="17">
      <formula>NOT(ISERROR(SEARCH("17",AB97)))</formula>
    </cfRule>
  </conditionalFormatting>
  <conditionalFormatting sqref="AB113">
    <cfRule type="containsText" dxfId="889" priority="902" operator="containsText" text="T">
      <formula>NOT(ISERROR(SEARCH("T",AB113)))</formula>
    </cfRule>
  </conditionalFormatting>
  <conditionalFormatting sqref="AB127:AB130">
    <cfRule type="containsText" dxfId="888" priority="811" operator="containsText" text="17">
      <formula>NOT(ISERROR(SEARCH("17",AB127)))</formula>
    </cfRule>
    <cfRule type="containsText" dxfId="887" priority="812" operator="containsText" text="T">
      <formula>NOT(ISERROR(SEARCH("T",AB127)))</formula>
    </cfRule>
  </conditionalFormatting>
  <conditionalFormatting sqref="AB76:AC76 AF76:AH76 AH77:AH82">
    <cfRule type="containsText" dxfId="886" priority="888" operator="containsText" text="17">
      <formula>NOT(ISERROR(SEARCH("17",AB76)))</formula>
    </cfRule>
  </conditionalFormatting>
  <conditionalFormatting sqref="AB131:AH131">
    <cfRule type="containsText" dxfId="885" priority="802" operator="containsText" text="17">
      <formula>NOT(ISERROR(SEARCH("17",AB131)))</formula>
    </cfRule>
    <cfRule type="containsText" dxfId="884" priority="803" operator="containsText" text="T">
      <formula>NOT(ISERROR(SEARCH("T",AB131)))</formula>
    </cfRule>
  </conditionalFormatting>
  <conditionalFormatting sqref="AB90:AL90">
    <cfRule type="containsText" dxfId="883" priority="646" operator="containsText" text="T">
      <formula>NOT(ISERROR(SEARCH("T",AB90)))</formula>
    </cfRule>
    <cfRule type="containsText" dxfId="882" priority="645" operator="containsText" text="17">
      <formula>NOT(ISERROR(SEARCH("17",AB90)))</formula>
    </cfRule>
  </conditionalFormatting>
  <conditionalFormatting sqref="AB91:AV96 AB90:AJ90">
    <cfRule type="containsText" dxfId="881" priority="652" operator="containsText" text="17">
      <formula>NOT(ISERROR(SEARCH("17",AB90)))</formula>
    </cfRule>
  </conditionalFormatting>
  <conditionalFormatting sqref="AC15:AC20">
    <cfRule type="containsText" dxfId="880" priority="640" operator="containsText" text="T">
      <formula>NOT(ISERROR(SEARCH("T",AC15)))</formula>
    </cfRule>
  </conditionalFormatting>
  <conditionalFormatting sqref="AC76">
    <cfRule type="containsText" dxfId="879" priority="889" operator="containsText" text="T">
      <formula>NOT(ISERROR(SEARCH("T",AC76)))</formula>
    </cfRule>
  </conditionalFormatting>
  <conditionalFormatting sqref="AC106 L107:AF112 AI107:AI112">
    <cfRule type="containsText" dxfId="878" priority="874" operator="containsText" text="T">
      <formula>NOT(ISERROR(SEARCH("T",L106)))</formula>
    </cfRule>
  </conditionalFormatting>
  <conditionalFormatting sqref="AC131">
    <cfRule type="containsText" dxfId="877" priority="798" operator="containsText" text="17">
      <formula>NOT(ISERROR(SEARCH("17",AC131)))</formula>
    </cfRule>
    <cfRule type="containsText" dxfId="876" priority="799" operator="containsText" text="T">
      <formula>NOT(ISERROR(SEARCH("T",AC131)))</formula>
    </cfRule>
  </conditionalFormatting>
  <conditionalFormatting sqref="AC106:AD106 AI107:AI112">
    <cfRule type="containsText" dxfId="875" priority="875" operator="containsText" text="17">
      <formula>NOT(ISERROR(SEARCH("17",AC106)))</formula>
    </cfRule>
  </conditionalFormatting>
  <conditionalFormatting sqref="AC138:AI138">
    <cfRule type="containsText" dxfId="874" priority="789" operator="containsText" text="17">
      <formula>NOT(ISERROR(SEARCH("17",AC138)))</formula>
    </cfRule>
    <cfRule type="containsText" dxfId="873" priority="790" operator="containsText" text="T">
      <formula>NOT(ISERROR(SEARCH("T",AC138)))</formula>
    </cfRule>
  </conditionalFormatting>
  <conditionalFormatting sqref="AC14:AM14">
    <cfRule type="containsText" dxfId="872" priority="632" operator="containsText" text="17">
      <formula>NOT(ISERROR(SEARCH("17",AC14)))</formula>
    </cfRule>
    <cfRule type="containsText" dxfId="871" priority="633" operator="containsText" text="T">
      <formula>NOT(ISERROR(SEARCH("T",AC14)))</formula>
    </cfRule>
  </conditionalFormatting>
  <conditionalFormatting sqref="AC15:AW20 AC14:AK14">
    <cfRule type="containsText" dxfId="870" priority="639" operator="containsText" text="17">
      <formula>NOT(ISERROR(SEARCH("17",AC14)))</formula>
    </cfRule>
  </conditionalFormatting>
  <conditionalFormatting sqref="AD35:AD40">
    <cfRule type="containsText" dxfId="869" priority="627" operator="containsText" text="T">
      <formula>NOT(ISERROR(SEARCH("T",AD35)))</formula>
    </cfRule>
  </conditionalFormatting>
  <conditionalFormatting sqref="AD106">
    <cfRule type="containsText" dxfId="868" priority="876" operator="containsText" text="T">
      <formula>NOT(ISERROR(SEARCH("T",AD106)))</formula>
    </cfRule>
  </conditionalFormatting>
  <conditionalFormatting sqref="AD138">
    <cfRule type="containsText" dxfId="867" priority="786" operator="containsText" text="T">
      <formula>NOT(ISERROR(SEARCH("T",AD138)))</formula>
    </cfRule>
    <cfRule type="containsText" dxfId="866" priority="785" operator="containsText" text="17">
      <formula>NOT(ISERROR(SEARCH("17",AD138)))</formula>
    </cfRule>
  </conditionalFormatting>
  <conditionalFormatting sqref="AD145:AJ145">
    <cfRule type="containsText" dxfId="865" priority="777" operator="containsText" text="T">
      <formula>NOT(ISERROR(SEARCH("T",AD145)))</formula>
    </cfRule>
    <cfRule type="containsText" dxfId="864" priority="776" operator="containsText" text="17">
      <formula>NOT(ISERROR(SEARCH("17",AD145)))</formula>
    </cfRule>
  </conditionalFormatting>
  <conditionalFormatting sqref="AD34:AN34">
    <cfRule type="containsText" dxfId="863" priority="620" operator="containsText" text="T">
      <formula>NOT(ISERROR(SEARCH("T",AD34)))</formula>
    </cfRule>
    <cfRule type="containsText" dxfId="862" priority="619" operator="containsText" text="17">
      <formula>NOT(ISERROR(SEARCH("17",AD34)))</formula>
    </cfRule>
  </conditionalFormatting>
  <conditionalFormatting sqref="AD35:AX40 AD34:AL34">
    <cfRule type="containsText" dxfId="861" priority="626" operator="containsText" text="17">
      <formula>NOT(ISERROR(SEARCH("17",AD34)))</formula>
    </cfRule>
  </conditionalFormatting>
  <conditionalFormatting sqref="AE22:AE27">
    <cfRule type="containsText" dxfId="860" priority="614" operator="containsText" text="T">
      <formula>NOT(ISERROR(SEARCH("T",AE22)))</formula>
    </cfRule>
  </conditionalFormatting>
  <conditionalFormatting sqref="AE69 AI69:AK69 N70:AH75 AK70:AK75">
    <cfRule type="containsText" dxfId="859" priority="861" operator="containsText" text="T">
      <formula>NOT(ISERROR(SEARCH("T",N69)))</formula>
    </cfRule>
  </conditionalFormatting>
  <conditionalFormatting sqref="AE145">
    <cfRule type="containsText" dxfId="858" priority="773" operator="containsText" text="T">
      <formula>NOT(ISERROR(SEARCH("T",AE145)))</formula>
    </cfRule>
    <cfRule type="containsText" dxfId="857" priority="772" operator="containsText" text="17">
      <formula>NOT(ISERROR(SEARCH("17",AE145)))</formula>
    </cfRule>
  </conditionalFormatting>
  <conditionalFormatting sqref="AE69:AF69 AI69:AK69 AK70:AK75">
    <cfRule type="containsText" dxfId="856" priority="862" operator="containsText" text="17">
      <formula>NOT(ISERROR(SEARCH("17",AE69)))</formula>
    </cfRule>
  </conditionalFormatting>
  <conditionalFormatting sqref="AE152:AK152">
    <cfRule type="containsText" dxfId="855" priority="764" operator="containsText" text="T">
      <formula>NOT(ISERROR(SEARCH("T",AE152)))</formula>
    </cfRule>
    <cfRule type="containsText" dxfId="854" priority="763" operator="containsText" text="17">
      <formula>NOT(ISERROR(SEARCH("17",AE152)))</formula>
    </cfRule>
  </conditionalFormatting>
  <conditionalFormatting sqref="AE21:AO21">
    <cfRule type="containsText" dxfId="853" priority="607" operator="containsText" text="T">
      <formula>NOT(ISERROR(SEARCH("T",AE21)))</formula>
    </cfRule>
    <cfRule type="containsText" dxfId="852" priority="606" operator="containsText" text="17">
      <formula>NOT(ISERROR(SEARCH("17",AE21)))</formula>
    </cfRule>
  </conditionalFormatting>
  <conditionalFormatting sqref="AE22:AY27 AE21:AM21">
    <cfRule type="containsText" dxfId="851" priority="613" operator="containsText" text="17">
      <formula>NOT(ISERROR(SEARCH("17",AE21)))</formula>
    </cfRule>
  </conditionalFormatting>
  <conditionalFormatting sqref="AF42:AF47">
    <cfRule type="containsText" dxfId="850" priority="601" operator="containsText" text="T">
      <formula>NOT(ISERROR(SEARCH("T",AF42)))</formula>
    </cfRule>
  </conditionalFormatting>
  <conditionalFormatting sqref="AF69">
    <cfRule type="containsText" dxfId="849" priority="863" operator="containsText" text="T">
      <formula>NOT(ISERROR(SEARCH("T",AF69)))</formula>
    </cfRule>
  </conditionalFormatting>
  <conditionalFormatting sqref="AF99 AJ99:AL99 O100:AI105 AL100:AL105">
    <cfRule type="containsText" dxfId="848" priority="848" operator="containsText" text="T">
      <formula>NOT(ISERROR(SEARCH("T",O99)))</formula>
    </cfRule>
  </conditionalFormatting>
  <conditionalFormatting sqref="AF152">
    <cfRule type="containsText" dxfId="847" priority="760" operator="containsText" text="T">
      <formula>NOT(ISERROR(SEARCH("T",AF152)))</formula>
    </cfRule>
    <cfRule type="containsText" dxfId="846" priority="759" operator="containsText" text="17">
      <formula>NOT(ISERROR(SEARCH("17",AF152)))</formula>
    </cfRule>
  </conditionalFormatting>
  <conditionalFormatting sqref="AF99:AG99 AJ99:AL99 AL100:AL105">
    <cfRule type="containsText" dxfId="845" priority="849" operator="containsText" text="17">
      <formula>NOT(ISERROR(SEARCH("17",AF99)))</formula>
    </cfRule>
  </conditionalFormatting>
  <conditionalFormatting sqref="AF159:AL159">
    <cfRule type="containsText" dxfId="844" priority="751" operator="containsText" text="T">
      <formula>NOT(ISERROR(SEARCH("T",AF159)))</formula>
    </cfRule>
    <cfRule type="containsText" dxfId="843" priority="750" operator="containsText" text="17">
      <formula>NOT(ISERROR(SEARCH("17",AF159)))</formula>
    </cfRule>
  </conditionalFormatting>
  <conditionalFormatting sqref="AF41:AP41">
    <cfRule type="containsText" dxfId="842" priority="594" operator="containsText" text="T">
      <formula>NOT(ISERROR(SEARCH("T",AF41)))</formula>
    </cfRule>
    <cfRule type="containsText" dxfId="841" priority="593" operator="containsText" text="17">
      <formula>NOT(ISERROR(SEARCH("17",AF41)))</formula>
    </cfRule>
  </conditionalFormatting>
  <conditionalFormatting sqref="AF42:AZ47 AF41:AN41">
    <cfRule type="containsText" dxfId="840" priority="600" operator="containsText" text="17">
      <formula>NOT(ISERROR(SEARCH("17",AF41)))</formula>
    </cfRule>
  </conditionalFormatting>
  <conditionalFormatting sqref="AG67:AG68">
    <cfRule type="containsText" dxfId="839" priority="838" operator="containsText" text="T">
      <formula>NOT(ISERROR(SEARCH("T",AG67)))</formula>
    </cfRule>
  </conditionalFormatting>
  <conditionalFormatting sqref="AG97:AG98">
    <cfRule type="containsText" dxfId="838" priority="828" operator="containsText" text="T">
      <formula>NOT(ISERROR(SEARCH("T",AG97)))</formula>
    </cfRule>
  </conditionalFormatting>
  <conditionalFormatting sqref="AG99">
    <cfRule type="containsText" dxfId="837" priority="850" operator="containsText" text="T">
      <formula>NOT(ISERROR(SEARCH("T",AG99)))</formula>
    </cfRule>
  </conditionalFormatting>
  <conditionalFormatting sqref="AG114:AG119">
    <cfRule type="containsText" dxfId="836" priority="910" operator="containsText" text="T">
      <formula>NOT(ISERROR(SEARCH("T",AG114)))</formula>
    </cfRule>
  </conditionalFormatting>
  <conditionalFormatting sqref="AG127:AG130 AK127:AM130">
    <cfRule type="containsText" dxfId="835" priority="808" operator="containsText" text="T">
      <formula>NOT(ISERROR(SEARCH("T",AG127)))</formula>
    </cfRule>
  </conditionalFormatting>
  <conditionalFormatting sqref="AG159">
    <cfRule type="containsText" dxfId="834" priority="746" operator="containsText" text="17">
      <formula>NOT(ISERROR(SEARCH("17",AG159)))</formula>
    </cfRule>
    <cfRule type="containsText" dxfId="833" priority="747" operator="containsText" text="T">
      <formula>NOT(ISERROR(SEARCH("T",AG159)))</formula>
    </cfRule>
  </conditionalFormatting>
  <conditionalFormatting sqref="AG67:AH68">
    <cfRule type="containsText" dxfId="832" priority="839" operator="containsText" text="17">
      <formula>NOT(ISERROR(SEARCH("17",AG67)))</formula>
    </cfRule>
  </conditionalFormatting>
  <conditionalFormatting sqref="AG97:AH98">
    <cfRule type="containsText" dxfId="831" priority="829" operator="containsText" text="17">
      <formula>NOT(ISERROR(SEARCH("17",AG97)))</formula>
    </cfRule>
  </conditionalFormatting>
  <conditionalFormatting sqref="AG127:AH130 AK127:AM130">
    <cfRule type="containsText" dxfId="830" priority="809" operator="containsText" text="17">
      <formula>NOT(ISERROR(SEARCH("17",AG127)))</formula>
    </cfRule>
  </conditionalFormatting>
  <conditionalFormatting sqref="AG207:AM207">
    <cfRule type="containsText" dxfId="829" priority="738" operator="containsText" text="T">
      <formula>NOT(ISERROR(SEARCH("T",AG207)))</formula>
    </cfRule>
    <cfRule type="containsText" dxfId="828" priority="737" operator="containsText" text="17">
      <formula>NOT(ISERROR(SEARCH("17",AG207)))</formula>
    </cfRule>
  </conditionalFormatting>
  <conditionalFormatting sqref="AG28:AO32">
    <cfRule type="containsText" dxfId="827" priority="590" operator="containsText" text="17">
      <formula>NOT(ISERROR(SEARCH("17",AG28)))</formula>
    </cfRule>
  </conditionalFormatting>
  <conditionalFormatting sqref="AG28:AQ32">
    <cfRule type="containsText" dxfId="826" priority="583" operator="containsText" text="17">
      <formula>NOT(ISERROR(SEARCH("17",AG28)))</formula>
    </cfRule>
    <cfRule type="containsText" dxfId="825" priority="584" operator="containsText" text="T">
      <formula>NOT(ISERROR(SEARCH("T",AG28)))</formula>
    </cfRule>
  </conditionalFormatting>
  <conditionalFormatting sqref="AG48:AQ49">
    <cfRule type="containsText" dxfId="824" priority="573" operator="containsText" text="17">
      <formula>NOT(ISERROR(SEARCH("17",AG48)))</formula>
    </cfRule>
  </conditionalFormatting>
  <conditionalFormatting sqref="AG106:AY106">
    <cfRule type="containsText" dxfId="823" priority="411" operator="containsText" text="17">
      <formula>NOT(ISERROR(SEARCH("17",AG106)))</formula>
    </cfRule>
  </conditionalFormatting>
  <conditionalFormatting sqref="AG106:BA106">
    <cfRule type="containsText" dxfId="822" priority="405" operator="containsText" text="T">
      <formula>NOT(ISERROR(SEARCH("T",AG106)))</formula>
    </cfRule>
  </conditionalFormatting>
  <conditionalFormatting sqref="AH67:AH68">
    <cfRule type="containsText" dxfId="821" priority="840" operator="containsText" text="T">
      <formula>NOT(ISERROR(SEARCH("T",AH67)))</formula>
    </cfRule>
  </conditionalFormatting>
  <conditionalFormatting sqref="AH77:AH82">
    <cfRule type="containsText" dxfId="820" priority="897" operator="containsText" text="T">
      <formula>NOT(ISERROR(SEARCH("T",AH77)))</formula>
    </cfRule>
  </conditionalFormatting>
  <conditionalFormatting sqref="AH97:AH98">
    <cfRule type="containsText" dxfId="819" priority="830" operator="containsText" text="T">
      <formula>NOT(ISERROR(SEARCH("T",AH97)))</formula>
    </cfRule>
  </conditionalFormatting>
  <conditionalFormatting sqref="AH127:AH130">
    <cfRule type="containsText" dxfId="818" priority="810" operator="containsText" text="T">
      <formula>NOT(ISERROR(SEARCH("T",AH127)))</formula>
    </cfRule>
  </conditionalFormatting>
  <conditionalFormatting sqref="AH131 AL131:AN131 Q132:AK137 AN132:AN137">
    <cfRule type="containsText" dxfId="817" priority="795" operator="containsText" text="T">
      <formula>NOT(ISERROR(SEARCH("T",Q131)))</formula>
    </cfRule>
  </conditionalFormatting>
  <conditionalFormatting sqref="AH207">
    <cfRule type="containsText" dxfId="816" priority="734" operator="containsText" text="T">
      <formula>NOT(ISERROR(SEARCH("T",AH207)))</formula>
    </cfRule>
    <cfRule type="containsText" dxfId="815" priority="733" operator="containsText" text="17">
      <formula>NOT(ISERROR(SEARCH("17",AH207)))</formula>
    </cfRule>
  </conditionalFormatting>
  <conditionalFormatting sqref="AH131:AI131 AL131:AN131 AN132:AN137">
    <cfRule type="containsText" dxfId="814" priority="796" operator="containsText" text="17">
      <formula>NOT(ISERROR(SEARCH("17",AH131)))</formula>
    </cfRule>
  </conditionalFormatting>
  <conditionalFormatting sqref="AH200:AN200">
    <cfRule type="containsText" dxfId="813" priority="725" operator="containsText" text="T">
      <formula>NOT(ISERROR(SEARCH("T",AH200)))</formula>
    </cfRule>
    <cfRule type="containsText" dxfId="812" priority="724" operator="containsText" text="17">
      <formula>NOT(ISERROR(SEARCH("17",AH200)))</formula>
    </cfRule>
  </conditionalFormatting>
  <conditionalFormatting sqref="AH50:AP53">
    <cfRule type="containsText" dxfId="811" priority="570" operator="containsText" text="17">
      <formula>NOT(ISERROR(SEARCH("17",AH50)))</formula>
    </cfRule>
  </conditionalFormatting>
  <conditionalFormatting sqref="AH50:AR53">
    <cfRule type="containsText" dxfId="810" priority="563" operator="containsText" text="17">
      <formula>NOT(ISERROR(SEARCH("17",AH50)))</formula>
    </cfRule>
  </conditionalFormatting>
  <conditionalFormatting sqref="AH63:AR66">
    <cfRule type="containsText" dxfId="809" priority="553" operator="containsText" text="17">
      <formula>NOT(ISERROR(SEARCH("17",AH63)))</formula>
    </cfRule>
  </conditionalFormatting>
  <conditionalFormatting sqref="AH113:AU116">
    <cfRule type="containsText" dxfId="808" priority="476" operator="containsText" text="17">
      <formula>NOT(ISERROR(SEARCH("17",AH113)))</formula>
    </cfRule>
  </conditionalFormatting>
  <conditionalFormatting sqref="AH117:AV119">
    <cfRule type="containsText" dxfId="807" priority="466" operator="containsText" text="17">
      <formula>NOT(ISERROR(SEARCH("17",AH117)))</formula>
    </cfRule>
  </conditionalFormatting>
  <conditionalFormatting sqref="AH113:AW116">
    <cfRule type="containsText" dxfId="806" priority="470" operator="containsText" text="T">
      <formula>NOT(ISERROR(SEARCH("T",AH113)))</formula>
    </cfRule>
  </conditionalFormatting>
  <conditionalFormatting sqref="AH117:AX119">
    <cfRule type="containsText" dxfId="805" priority="460" operator="containsText" text="T">
      <formula>NOT(ISERROR(SEARCH("T",AH117)))</formula>
    </cfRule>
  </conditionalFormatting>
  <conditionalFormatting sqref="AI131">
    <cfRule type="containsText" dxfId="804" priority="797" operator="containsText" text="T">
      <formula>NOT(ISERROR(SEARCH("T",AI131)))</formula>
    </cfRule>
  </conditionalFormatting>
  <conditionalFormatting sqref="AI138 AM138:AO138 R139:AL144 AO139:AO144">
    <cfRule type="containsText" dxfId="803" priority="782" operator="containsText" text="T">
      <formula>NOT(ISERROR(SEARCH("T",R138)))</formula>
    </cfRule>
  </conditionalFormatting>
  <conditionalFormatting sqref="AI200">
    <cfRule type="containsText" dxfId="802" priority="721" operator="containsText" text="T">
      <formula>NOT(ISERROR(SEARCH("T",AI200)))</formula>
    </cfRule>
    <cfRule type="containsText" dxfId="801" priority="720" operator="containsText" text="17">
      <formula>NOT(ISERROR(SEARCH("17",AI200)))</formula>
    </cfRule>
  </conditionalFormatting>
  <conditionalFormatting sqref="AI138:AJ138 AM138:AO138 AO139:AO144">
    <cfRule type="containsText" dxfId="800" priority="783" operator="containsText" text="17">
      <formula>NOT(ISERROR(SEARCH("17",AI138)))</formula>
    </cfRule>
  </conditionalFormatting>
  <conditionalFormatting sqref="AI107:AO112">
    <cfRule type="containsText" dxfId="799" priority="884" operator="containsText" text="T">
      <formula>NOT(ISERROR(SEARCH("T",AI107)))</formula>
    </cfRule>
  </conditionalFormatting>
  <conditionalFormatting sqref="AI192:AO192">
    <cfRule type="containsText" dxfId="798" priority="701" operator="containsText" text="T">
      <formula>NOT(ISERROR(SEARCH("T",AI192)))</formula>
    </cfRule>
  </conditionalFormatting>
  <conditionalFormatting sqref="AI193:AO193">
    <cfRule type="containsText" dxfId="797" priority="711" operator="containsText" text="17">
      <formula>NOT(ISERROR(SEARCH("17",AI193)))</formula>
    </cfRule>
    <cfRule type="containsText" dxfId="796" priority="712" operator="containsText" text="T">
      <formula>NOT(ISERROR(SEARCH("T",AI193)))</formula>
    </cfRule>
  </conditionalFormatting>
  <conditionalFormatting sqref="AI192:AP192 AS192:AU192">
    <cfRule type="containsText" dxfId="795" priority="699" operator="containsText" text="17">
      <formula>NOT(ISERROR(SEARCH("17",AI192)))</formula>
    </cfRule>
  </conditionalFormatting>
  <conditionalFormatting sqref="AI59:AS62">
    <cfRule type="containsText" dxfId="794" priority="539" operator="containsText" text="17">
      <formula>NOT(ISERROR(SEARCH("17",AI59)))</formula>
    </cfRule>
  </conditionalFormatting>
  <conditionalFormatting sqref="AI86:AS89">
    <cfRule type="containsText" dxfId="793" priority="529" operator="containsText" text="17">
      <formula>NOT(ISERROR(SEARCH("17",AI86)))</formula>
    </cfRule>
  </conditionalFormatting>
  <conditionalFormatting sqref="AI79:AV82">
    <cfRule type="containsText" dxfId="792" priority="456" operator="containsText" text="17">
      <formula>NOT(ISERROR(SEARCH("17",AI79)))</formula>
    </cfRule>
  </conditionalFormatting>
  <conditionalFormatting sqref="AI76:AX78">
    <cfRule type="containsText" dxfId="791" priority="431" operator="containsText" text="17">
      <formula>NOT(ISERROR(SEARCH("17",AI76)))</formula>
    </cfRule>
  </conditionalFormatting>
  <conditionalFormatting sqref="AI79:AX82">
    <cfRule type="containsText" dxfId="790" priority="450" operator="containsText" text="T">
      <formula>NOT(ISERROR(SEARCH("T",AI79)))</formula>
    </cfRule>
  </conditionalFormatting>
  <conditionalFormatting sqref="AI76:AZ78">
    <cfRule type="containsText" dxfId="789" priority="425" operator="containsText" text="T">
      <formula>NOT(ISERROR(SEARCH("T",AI76)))</formula>
    </cfRule>
  </conditionalFormatting>
  <conditionalFormatting sqref="AJ120:AJ126">
    <cfRule type="containsText" dxfId="788" priority="445" operator="containsText" text="17">
      <formula>NOT(ISERROR(SEARCH("17",AJ120)))</formula>
    </cfRule>
    <cfRule type="containsText" dxfId="787" priority="448" operator="containsText" text="T">
      <formula>NOT(ISERROR(SEARCH("T",AJ120)))</formula>
    </cfRule>
  </conditionalFormatting>
  <conditionalFormatting sqref="AJ138">
    <cfRule type="containsText" dxfId="786" priority="784" operator="containsText" text="T">
      <formula>NOT(ISERROR(SEARCH("T",AJ138)))</formula>
    </cfRule>
  </conditionalFormatting>
  <conditionalFormatting sqref="AJ145 AN145:AP145 S146:AM151 AP146:AP151">
    <cfRule type="containsText" dxfId="785" priority="769" operator="containsText" text="T">
      <formula>NOT(ISERROR(SEARCH("T",S145)))</formula>
    </cfRule>
  </conditionalFormatting>
  <conditionalFormatting sqref="AJ192:AJ193">
    <cfRule type="containsText" dxfId="784" priority="707" operator="containsText" text="17">
      <formula>NOT(ISERROR(SEARCH("17",AJ192)))</formula>
    </cfRule>
    <cfRule type="containsText" dxfId="783" priority="708" operator="containsText" text="T">
      <formula>NOT(ISERROR(SEARCH("T",AJ192)))</formula>
    </cfRule>
  </conditionalFormatting>
  <conditionalFormatting sqref="AJ145:AK145 AN145:AP145 AP146:AP151">
    <cfRule type="containsText" dxfId="782" priority="770" operator="containsText" text="17">
      <formula>NOT(ISERROR(SEARCH("17",AJ145)))</formula>
    </cfRule>
  </conditionalFormatting>
  <conditionalFormatting sqref="AJ168:AP168">
    <cfRule type="containsText" dxfId="781" priority="693" operator="containsText" text="17">
      <formula>NOT(ISERROR(SEARCH("17",AJ168)))</formula>
    </cfRule>
    <cfRule type="containsText" dxfId="780" priority="694" operator="containsText" text="T">
      <formula>NOT(ISERROR(SEARCH("T",AJ168)))</formula>
    </cfRule>
  </conditionalFormatting>
  <conditionalFormatting sqref="AJ83:AT85">
    <cfRule type="containsText" dxfId="779" priority="519" operator="containsText" text="17">
      <formula>NOT(ISERROR(SEARCH("17",AJ83)))</formula>
    </cfRule>
  </conditionalFormatting>
  <conditionalFormatting sqref="AJ214:AT217">
    <cfRule type="containsText" dxfId="778" priority="509" operator="containsText" text="17">
      <formula>NOT(ISERROR(SEARCH("17",AJ214)))</formula>
    </cfRule>
  </conditionalFormatting>
  <conditionalFormatting sqref="AK70:AK75">
    <cfRule type="containsText" dxfId="777" priority="871" operator="containsText" text="T">
      <formula>NOT(ISERROR(SEARCH("T",AK70)))</formula>
    </cfRule>
  </conditionalFormatting>
  <conditionalFormatting sqref="AK129:AK130 P127:X130">
    <cfRule type="containsText" dxfId="776" priority="813" operator="containsText" text="17">
      <formula>NOT(ISERROR(SEARCH("17",P127)))</formula>
    </cfRule>
  </conditionalFormatting>
  <conditionalFormatting sqref="AK145">
    <cfRule type="containsText" dxfId="775" priority="771" operator="containsText" text="T">
      <formula>NOT(ISERROR(SEARCH("T",AK145)))</formula>
    </cfRule>
  </conditionalFormatting>
  <conditionalFormatting sqref="AK152 AO152:AQ152 T153:AN158 AQ153:AQ158">
    <cfRule type="containsText" dxfId="774" priority="756" operator="containsText" text="T">
      <formula>NOT(ISERROR(SEARCH("T",T152)))</formula>
    </cfRule>
  </conditionalFormatting>
  <conditionalFormatting sqref="AK168">
    <cfRule type="containsText" dxfId="773" priority="689" operator="containsText" text="17">
      <formula>NOT(ISERROR(SEARCH("17",AK168)))</formula>
    </cfRule>
    <cfRule type="containsText" dxfId="772" priority="690" operator="containsText" text="T">
      <formula>NOT(ISERROR(SEARCH("T",AK168)))</formula>
    </cfRule>
  </conditionalFormatting>
  <conditionalFormatting sqref="AK152:AL152 AO152:AQ152 AQ153:AQ158">
    <cfRule type="containsText" dxfId="771" priority="757" operator="containsText" text="17">
      <formula>NOT(ISERROR(SEARCH("17",AK152)))</formula>
    </cfRule>
  </conditionalFormatting>
  <conditionalFormatting sqref="AK175:AQ175">
    <cfRule type="containsText" dxfId="770" priority="681" operator="containsText" text="T">
      <formula>NOT(ISERROR(SEARCH("T",AK175)))</formula>
    </cfRule>
    <cfRule type="containsText" dxfId="769" priority="680" operator="containsText" text="17">
      <formula>NOT(ISERROR(SEARCH("17",AK175)))</formula>
    </cfRule>
  </conditionalFormatting>
  <conditionalFormatting sqref="AK218:AU224">
    <cfRule type="containsText" dxfId="768" priority="499" operator="containsText" text="17">
      <formula>NOT(ISERROR(SEARCH("17",AK218)))</formula>
    </cfRule>
  </conditionalFormatting>
  <conditionalFormatting sqref="AK120:AY120">
    <cfRule type="containsText" dxfId="767" priority="391" operator="containsText" text="17">
      <formula>NOT(ISERROR(SEARCH("17",AK120)))</formula>
    </cfRule>
  </conditionalFormatting>
  <conditionalFormatting sqref="AK122:AY122">
    <cfRule type="containsText" dxfId="766" priority="381" operator="containsText" text="17">
      <formula>NOT(ISERROR(SEARCH("17",AK122)))</formula>
    </cfRule>
  </conditionalFormatting>
  <conditionalFormatting sqref="AK124:AY126">
    <cfRule type="containsText" dxfId="765" priority="401" operator="containsText" text="17">
      <formula>NOT(ISERROR(SEARCH("17",AK124)))</formula>
    </cfRule>
  </conditionalFormatting>
  <conditionalFormatting sqref="AK121:AZ121">
    <cfRule type="containsText" dxfId="764" priority="361" operator="containsText" text="17">
      <formula>NOT(ISERROR(SEARCH("17",AK121)))</formula>
    </cfRule>
  </conditionalFormatting>
  <conditionalFormatting sqref="AK123:AZ123">
    <cfRule type="containsText" dxfId="763" priority="351" operator="containsText" text="17">
      <formula>NOT(ISERROR(SEARCH("17",AK123)))</formula>
    </cfRule>
  </conditionalFormatting>
  <conditionalFormatting sqref="AK67:BA68">
    <cfRule type="containsText" dxfId="762" priority="311" operator="containsText" text="17">
      <formula>NOT(ISERROR(SEARCH("17",AK67)))</formula>
    </cfRule>
  </conditionalFormatting>
  <conditionalFormatting sqref="AK120:BA120">
    <cfRule type="containsText" dxfId="761" priority="385" operator="containsText" text="T">
      <formula>NOT(ISERROR(SEARCH("T",AK120)))</formula>
    </cfRule>
  </conditionalFormatting>
  <conditionalFormatting sqref="AK122:BA122">
    <cfRule type="containsText" dxfId="760" priority="375" operator="containsText" text="T">
      <formula>NOT(ISERROR(SEARCH("T",AK122)))</formula>
    </cfRule>
  </conditionalFormatting>
  <conditionalFormatting sqref="AK124:BA126">
    <cfRule type="containsText" dxfId="759" priority="395" operator="containsText" text="T">
      <formula>NOT(ISERROR(SEARCH("T",AK124)))</formula>
    </cfRule>
  </conditionalFormatting>
  <conditionalFormatting sqref="AK97:BB98">
    <cfRule type="containsText" dxfId="758" priority="301" operator="containsText" text="17">
      <formula>NOT(ISERROR(SEARCH("17",AK97)))</formula>
    </cfRule>
  </conditionalFormatting>
  <conditionalFormatting sqref="AK121:BB121">
    <cfRule type="containsText" dxfId="757" priority="355" operator="containsText" text="T">
      <formula>NOT(ISERROR(SEARCH("T",AK121)))</formula>
    </cfRule>
  </conditionalFormatting>
  <conditionalFormatting sqref="AK123:BB123">
    <cfRule type="containsText" dxfId="756" priority="345" operator="containsText" text="T">
      <formula>NOT(ISERROR(SEARCH("T",AK123)))</formula>
    </cfRule>
  </conditionalFormatting>
  <conditionalFormatting sqref="AK67:BC68">
    <cfRule type="containsText" dxfId="755" priority="305" operator="containsText" text="T">
      <formula>NOT(ISERROR(SEARCH("T",AK67)))</formula>
    </cfRule>
  </conditionalFormatting>
  <conditionalFormatting sqref="AK97:BD98">
    <cfRule type="containsText" dxfId="754" priority="295" operator="containsText" text="T">
      <formula>NOT(ISERROR(SEARCH("T",AK97)))</formula>
    </cfRule>
  </conditionalFormatting>
  <conditionalFormatting sqref="AL100:AL105">
    <cfRule type="containsText" dxfId="753" priority="858" operator="containsText" text="T">
      <formula>NOT(ISERROR(SEARCH("T",AL100)))</formula>
    </cfRule>
  </conditionalFormatting>
  <conditionalFormatting sqref="AL152">
    <cfRule type="containsText" dxfId="752" priority="758" operator="containsText" text="T">
      <formula>NOT(ISERROR(SEARCH("T",AL152)))</formula>
    </cfRule>
  </conditionalFormatting>
  <conditionalFormatting sqref="AL159 AP159:AR159 U160:AO165 AR160:AR165">
    <cfRule type="containsText" dxfId="751" priority="743" operator="containsText" text="T">
      <formula>NOT(ISERROR(SEARCH("T",U159)))</formula>
    </cfRule>
  </conditionalFormatting>
  <conditionalFormatting sqref="AL175">
    <cfRule type="containsText" dxfId="750" priority="676" operator="containsText" text="17">
      <formula>NOT(ISERROR(SEARCH("17",AL175)))</formula>
    </cfRule>
    <cfRule type="containsText" dxfId="749" priority="677" operator="containsText" text="T">
      <formula>NOT(ISERROR(SEARCH("T",AL175)))</formula>
    </cfRule>
  </conditionalFormatting>
  <conditionalFormatting sqref="AL159:AM159 AP159:AR159 AR160:AR165">
    <cfRule type="containsText" dxfId="748" priority="744" operator="containsText" text="17">
      <formula>NOT(ISERROR(SEARCH("17",AL159)))</formula>
    </cfRule>
  </conditionalFormatting>
  <conditionalFormatting sqref="AL182:AR182">
    <cfRule type="containsText" dxfId="747" priority="667" operator="containsText" text="17">
      <formula>NOT(ISERROR(SEARCH("17",AL182)))</formula>
    </cfRule>
    <cfRule type="containsText" dxfId="746" priority="668" operator="containsText" text="T">
      <formula>NOT(ISERROR(SEARCH("T",AL182)))</formula>
    </cfRule>
  </conditionalFormatting>
  <conditionalFormatting sqref="AL225:AV231">
    <cfRule type="containsText" dxfId="745" priority="489" operator="containsText" text="17">
      <formula>NOT(ISERROR(SEARCH("17",AL225)))</formula>
    </cfRule>
  </conditionalFormatting>
  <conditionalFormatting sqref="AL72:AY75">
    <cfRule type="containsText" dxfId="744" priority="421" operator="containsText" text="17">
      <formula>NOT(ISERROR(SEARCH("17",AL72)))</formula>
    </cfRule>
  </conditionalFormatting>
  <conditionalFormatting sqref="AL69:AZ71">
    <cfRule type="containsText" dxfId="743" priority="341" operator="containsText" text="17">
      <formula>NOT(ISERROR(SEARCH("17",AL69)))</formula>
    </cfRule>
  </conditionalFormatting>
  <conditionalFormatting sqref="AL72:BA75">
    <cfRule type="containsText" dxfId="742" priority="415" operator="containsText" text="T">
      <formula>NOT(ISERROR(SEARCH("T",AL72)))</formula>
    </cfRule>
  </conditionalFormatting>
  <conditionalFormatting sqref="AL69:BB71">
    <cfRule type="containsText" dxfId="741" priority="335" operator="containsText" text="T">
      <formula>NOT(ISERROR(SEARCH("T",AL69)))</formula>
    </cfRule>
  </conditionalFormatting>
  <conditionalFormatting sqref="AM159">
    <cfRule type="containsText" dxfId="740" priority="745" operator="containsText" text="T">
      <formula>NOT(ISERROR(SEARCH("T",AM159)))</formula>
    </cfRule>
  </conditionalFormatting>
  <conditionalFormatting sqref="AM182">
    <cfRule type="containsText" dxfId="739" priority="664" operator="containsText" text="T">
      <formula>NOT(ISERROR(SEARCH("T",AM182)))</formula>
    </cfRule>
    <cfRule type="containsText" dxfId="738" priority="663" operator="containsText" text="17">
      <formula>NOT(ISERROR(SEARCH("17",AM182)))</formula>
    </cfRule>
  </conditionalFormatting>
  <conditionalFormatting sqref="AM207 AQ207:AS207 V208:AP213 AS208:AS213">
    <cfRule type="containsText" dxfId="737" priority="730" operator="containsText" text="T">
      <formula>NOT(ISERROR(SEARCH("T",V207)))</formula>
    </cfRule>
  </conditionalFormatting>
  <conditionalFormatting sqref="AM207:AN207 AQ207:AS207 AS208:AS213">
    <cfRule type="containsText" dxfId="736" priority="731" operator="containsText" text="17">
      <formula>NOT(ISERROR(SEARCH("17",AM207)))</formula>
    </cfRule>
  </conditionalFormatting>
  <conditionalFormatting sqref="AM90:AS90">
    <cfRule type="containsText" dxfId="735" priority="654" operator="containsText" text="17">
      <formula>NOT(ISERROR(SEARCH("17",AM90)))</formula>
    </cfRule>
    <cfRule type="containsText" dxfId="734" priority="655" operator="containsText" text="T">
      <formula>NOT(ISERROR(SEARCH("T",AM90)))</formula>
    </cfRule>
  </conditionalFormatting>
  <conditionalFormatting sqref="AM113:AW116">
    <cfRule type="containsText" dxfId="733" priority="469" operator="containsText" text="17">
      <formula>NOT(ISERROR(SEARCH("17",AM113)))</formula>
    </cfRule>
  </conditionalFormatting>
  <conditionalFormatting sqref="AM232:AW234">
    <cfRule type="containsText" dxfId="732" priority="479" operator="containsText" text="17">
      <formula>NOT(ISERROR(SEARCH("17",AM232)))</formula>
    </cfRule>
  </conditionalFormatting>
  <conditionalFormatting sqref="AM103:AZ104">
    <cfRule type="containsText" dxfId="731" priority="371" operator="containsText" text="17">
      <formula>NOT(ISERROR(SEARCH("17",AM103)))</formula>
    </cfRule>
  </conditionalFormatting>
  <conditionalFormatting sqref="AM99:BA102">
    <cfRule type="containsText" dxfId="730" priority="331" operator="containsText" text="17">
      <formula>NOT(ISERROR(SEARCH("17",AM99)))</formula>
    </cfRule>
  </conditionalFormatting>
  <conditionalFormatting sqref="AM105:BA105">
    <cfRule type="containsText" dxfId="729" priority="321" operator="containsText" text="17">
      <formula>NOT(ISERROR(SEARCH("17",AM105)))</formula>
    </cfRule>
  </conditionalFormatting>
  <conditionalFormatting sqref="AM103:BB104">
    <cfRule type="containsText" dxfId="728" priority="365" operator="containsText" text="T">
      <formula>NOT(ISERROR(SEARCH("T",AM103)))</formula>
    </cfRule>
  </conditionalFormatting>
  <conditionalFormatting sqref="AM99:BC102">
    <cfRule type="containsText" dxfId="727" priority="325" operator="containsText" text="T">
      <formula>NOT(ISERROR(SEARCH("T",AM99)))</formula>
    </cfRule>
  </conditionalFormatting>
  <conditionalFormatting sqref="AM105:BC105">
    <cfRule type="containsText" dxfId="726" priority="315" operator="containsText" text="T">
      <formula>NOT(ISERROR(SEARCH("T",AM105)))</formula>
    </cfRule>
  </conditionalFormatting>
  <conditionalFormatting sqref="AN90">
    <cfRule type="containsText" dxfId="725" priority="650" operator="containsText" text="17">
      <formula>NOT(ISERROR(SEARCH("17",AN90)))</formula>
    </cfRule>
    <cfRule type="containsText" dxfId="724" priority="651" operator="containsText" text="T">
      <formula>NOT(ISERROR(SEARCH("T",AN90)))</formula>
    </cfRule>
  </conditionalFormatting>
  <conditionalFormatting sqref="AN132:AN137">
    <cfRule type="containsText" dxfId="723" priority="805" operator="containsText" text="T">
      <formula>NOT(ISERROR(SEARCH("T",AN132)))</formula>
    </cfRule>
  </conditionalFormatting>
  <conditionalFormatting sqref="AN200 AR200:AT200 W201:AQ206 AT201:AT206">
    <cfRule type="containsText" dxfId="722" priority="717" operator="containsText" text="T">
      <formula>NOT(ISERROR(SEARCH("T",W200)))</formula>
    </cfRule>
  </conditionalFormatting>
  <conditionalFormatting sqref="AN207">
    <cfRule type="containsText" dxfId="721" priority="732" operator="containsText" text="T">
      <formula>NOT(ISERROR(SEARCH("T",AN207)))</formula>
    </cfRule>
  </conditionalFormatting>
  <conditionalFormatting sqref="AN200:AO200 AR200:AT200 AT201:AT206">
    <cfRule type="containsText" dxfId="720" priority="718" operator="containsText" text="17">
      <formula>NOT(ISERROR(SEARCH("17",AN200)))</formula>
    </cfRule>
  </conditionalFormatting>
  <conditionalFormatting sqref="AN14:AT14">
    <cfRule type="containsText" dxfId="719" priority="641" operator="containsText" text="17">
      <formula>NOT(ISERROR(SEARCH("17",AN14)))</formula>
    </cfRule>
    <cfRule type="containsText" dxfId="718" priority="642" operator="containsText" text="T">
      <formula>NOT(ISERROR(SEARCH("T",AN14)))</formula>
    </cfRule>
  </conditionalFormatting>
  <conditionalFormatting sqref="AN79:AX82">
    <cfRule type="containsText" dxfId="717" priority="449" operator="containsText" text="17">
      <formula>NOT(ISERROR(SEARCH("17",AN79)))</formula>
    </cfRule>
  </conditionalFormatting>
  <conditionalFormatting sqref="AN117:AX119">
    <cfRule type="containsText" dxfId="716" priority="459" operator="containsText" text="17">
      <formula>NOT(ISERROR(SEARCH("17",AN117)))</formula>
    </cfRule>
  </conditionalFormatting>
  <conditionalFormatting sqref="AO14">
    <cfRule type="containsText" dxfId="715" priority="638" operator="containsText" text="T">
      <formula>NOT(ISERROR(SEARCH("T",AO14)))</formula>
    </cfRule>
    <cfRule type="containsText" dxfId="714" priority="637" operator="containsText" text="17">
      <formula>NOT(ISERROR(SEARCH("17",AO14)))</formula>
    </cfRule>
  </conditionalFormatting>
  <conditionalFormatting sqref="AO139:AO144">
    <cfRule type="containsText" dxfId="713" priority="792" operator="containsText" text="T">
      <formula>NOT(ISERROR(SEARCH("T",AO139)))</formula>
    </cfRule>
  </conditionalFormatting>
  <conditionalFormatting sqref="AO192:AO193 AS192:AU193 X194:AR199 AU194:AU199">
    <cfRule type="containsText" dxfId="712" priority="704" operator="containsText" text="T">
      <formula>NOT(ISERROR(SEARCH("T",X192)))</formula>
    </cfRule>
  </conditionalFormatting>
  <conditionalFormatting sqref="AO200">
    <cfRule type="containsText" dxfId="711" priority="719" operator="containsText" text="T">
      <formula>NOT(ISERROR(SEARCH("T",AO200)))</formula>
    </cfRule>
  </conditionalFormatting>
  <conditionalFormatting sqref="AO193:AP193 AS193:AU193 AU194:AU199">
    <cfRule type="containsText" dxfId="710" priority="705" operator="containsText" text="17">
      <formula>NOT(ISERROR(SEARCH("17",AO193)))</formula>
    </cfRule>
  </conditionalFormatting>
  <conditionalFormatting sqref="AO34:AU34">
    <cfRule type="containsText" dxfId="709" priority="628" operator="containsText" text="17">
      <formula>NOT(ISERROR(SEARCH("17",AO34)))</formula>
    </cfRule>
    <cfRule type="containsText" dxfId="708" priority="629" operator="containsText" text="T">
      <formula>NOT(ISERROR(SEARCH("T",AO34)))</formula>
    </cfRule>
  </conditionalFormatting>
  <conditionalFormatting sqref="AO131:BB137">
    <cfRule type="containsText" dxfId="707" priority="291" operator="containsText" text="17">
      <formula>NOT(ISERROR(SEARCH("17",AO131)))</formula>
    </cfRule>
  </conditionalFormatting>
  <conditionalFormatting sqref="AO131:BD137">
    <cfRule type="containsText" dxfId="706" priority="285" operator="containsText" text="T">
      <formula>NOT(ISERROR(SEARCH("T",AO131)))</formula>
    </cfRule>
  </conditionalFormatting>
  <conditionalFormatting sqref="AP34">
    <cfRule type="containsText" dxfId="705" priority="624" operator="containsText" text="17">
      <formula>NOT(ISERROR(SEARCH("17",AP34)))</formula>
    </cfRule>
    <cfRule type="containsText" dxfId="704" priority="625" operator="containsText" text="T">
      <formula>NOT(ISERROR(SEARCH("T",AP34)))</formula>
    </cfRule>
  </conditionalFormatting>
  <conditionalFormatting sqref="AP146:AP151">
    <cfRule type="containsText" dxfId="703" priority="779" operator="containsText" text="T">
      <formula>NOT(ISERROR(SEARCH("T",AP146)))</formula>
    </cfRule>
  </conditionalFormatting>
  <conditionalFormatting sqref="AP168 AT168:AV168 Y169:AS174 AV169:AV174">
    <cfRule type="containsText" dxfId="702" priority="686" operator="containsText" text="T">
      <formula>NOT(ISERROR(SEARCH("T",Y168)))</formula>
    </cfRule>
  </conditionalFormatting>
  <conditionalFormatting sqref="AP192:AP193">
    <cfRule type="containsText" dxfId="701" priority="706" operator="containsText" text="T">
      <formula>NOT(ISERROR(SEARCH("T",AP192)))</formula>
    </cfRule>
  </conditionalFormatting>
  <conditionalFormatting sqref="AP168:AQ168 AT168:AV168 AV169:AV174">
    <cfRule type="containsText" dxfId="700" priority="687" operator="containsText" text="17">
      <formula>NOT(ISERROR(SEARCH("17",AP168)))</formula>
    </cfRule>
  </conditionalFormatting>
  <conditionalFormatting sqref="AP21:AV21">
    <cfRule type="containsText" dxfId="699" priority="616" operator="containsText" text="T">
      <formula>NOT(ISERROR(SEARCH("T",AP21)))</formula>
    </cfRule>
    <cfRule type="containsText" dxfId="698" priority="615" operator="containsText" text="17">
      <formula>NOT(ISERROR(SEARCH("17",AP21)))</formula>
    </cfRule>
  </conditionalFormatting>
  <conditionalFormatting sqref="AP107:AX112">
    <cfRule type="containsText" dxfId="697" priority="441" operator="containsText" text="17">
      <formula>NOT(ISERROR(SEARCH("17",AP107)))</formula>
    </cfRule>
  </conditionalFormatting>
  <conditionalFormatting sqref="AP76:AZ78">
    <cfRule type="containsText" dxfId="696" priority="424" operator="containsText" text="17">
      <formula>NOT(ISERROR(SEARCH("17",AP76)))</formula>
    </cfRule>
  </conditionalFormatting>
  <conditionalFormatting sqref="AP107:AZ112">
    <cfRule type="containsText" dxfId="695" priority="434" operator="containsText" text="17">
      <formula>NOT(ISERROR(SEARCH("17",AP107)))</formula>
    </cfRule>
    <cfRule type="containsText" dxfId="694" priority="435" operator="containsText" text="T">
      <formula>NOT(ISERROR(SEARCH("T",AP107)))</formula>
    </cfRule>
  </conditionalFormatting>
  <conditionalFormatting sqref="AP138:BC144">
    <cfRule type="containsText" dxfId="693" priority="281" operator="containsText" text="17">
      <formula>NOT(ISERROR(SEARCH("17",AP138)))</formula>
    </cfRule>
  </conditionalFormatting>
  <conditionalFormatting sqref="AP138:BE144">
    <cfRule type="containsText" dxfId="692" priority="275" operator="containsText" text="T">
      <formula>NOT(ISERROR(SEARCH("T",AP138)))</formula>
    </cfRule>
  </conditionalFormatting>
  <conditionalFormatting sqref="AQ21">
    <cfRule type="containsText" dxfId="691" priority="612" operator="containsText" text="T">
      <formula>NOT(ISERROR(SEARCH("T",AQ21)))</formula>
    </cfRule>
    <cfRule type="containsText" dxfId="690" priority="611" operator="containsText" text="17">
      <formula>NOT(ISERROR(SEARCH("17",AQ21)))</formula>
    </cfRule>
  </conditionalFormatting>
  <conditionalFormatting sqref="AQ153:AQ158">
    <cfRule type="containsText" dxfId="689" priority="766" operator="containsText" text="T">
      <formula>NOT(ISERROR(SEARCH("T",AQ153)))</formula>
    </cfRule>
  </conditionalFormatting>
  <conditionalFormatting sqref="AQ168">
    <cfRule type="containsText" dxfId="688" priority="688" operator="containsText" text="T">
      <formula>NOT(ISERROR(SEARCH("T",AQ168)))</formula>
    </cfRule>
  </conditionalFormatting>
  <conditionalFormatting sqref="AQ175 AU175:AW175 Z176:AT181 AW176:AW181">
    <cfRule type="containsText" dxfId="687" priority="673" operator="containsText" text="T">
      <formula>NOT(ISERROR(SEARCH("T",Z175)))</formula>
    </cfRule>
  </conditionalFormatting>
  <conditionalFormatting sqref="AQ175:AR175 AU175:AW175 AW176:AW181">
    <cfRule type="containsText" dxfId="686" priority="674" operator="containsText" text="17">
      <formula>NOT(ISERROR(SEARCH("17",AQ175)))</formula>
    </cfRule>
  </conditionalFormatting>
  <conditionalFormatting sqref="AQ41:AW41">
    <cfRule type="containsText" dxfId="685" priority="602" operator="containsText" text="17">
      <formula>NOT(ISERROR(SEARCH("17",AQ41)))</formula>
    </cfRule>
    <cfRule type="containsText" dxfId="684" priority="603" operator="containsText" text="T">
      <formula>NOT(ISERROR(SEARCH("T",AQ41)))</formula>
    </cfRule>
  </conditionalFormatting>
  <conditionalFormatting sqref="AQ72:BA75">
    <cfRule type="containsText" dxfId="683" priority="414" operator="containsText" text="17">
      <formula>NOT(ISERROR(SEARCH("17",AQ72)))</formula>
    </cfRule>
  </conditionalFormatting>
  <conditionalFormatting sqref="AQ106:BA106">
    <cfRule type="containsText" dxfId="682" priority="404" operator="containsText" text="17">
      <formula>NOT(ISERROR(SEARCH("17",AQ106)))</formula>
    </cfRule>
  </conditionalFormatting>
  <conditionalFormatting sqref="AQ120:BA120">
    <cfRule type="containsText" dxfId="681" priority="384" operator="containsText" text="17">
      <formula>NOT(ISERROR(SEARCH("17",AQ120)))</formula>
    </cfRule>
  </conditionalFormatting>
  <conditionalFormatting sqref="AQ122:BA122">
    <cfRule type="containsText" dxfId="680" priority="374" operator="containsText" text="17">
      <formula>NOT(ISERROR(SEARCH("17",AQ122)))</formula>
    </cfRule>
  </conditionalFormatting>
  <conditionalFormatting sqref="AQ124:BA126">
    <cfRule type="containsText" dxfId="679" priority="394" operator="containsText" text="17">
      <formula>NOT(ISERROR(SEARCH("17",AQ124)))</formula>
    </cfRule>
  </conditionalFormatting>
  <conditionalFormatting sqref="AQ145:BD151">
    <cfRule type="containsText" dxfId="678" priority="271" operator="containsText" text="17">
      <formula>NOT(ISERROR(SEARCH("17",AQ145)))</formula>
    </cfRule>
  </conditionalFormatting>
  <conditionalFormatting sqref="AQ145:BF151">
    <cfRule type="containsText" dxfId="677" priority="265" operator="containsText" text="T">
      <formula>NOT(ISERROR(SEARCH("T",AQ145)))</formula>
    </cfRule>
  </conditionalFormatting>
  <conditionalFormatting sqref="AR41">
    <cfRule type="containsText" dxfId="676" priority="599" operator="containsText" text="T">
      <formula>NOT(ISERROR(SEARCH("T",AR41)))</formula>
    </cfRule>
    <cfRule type="containsText" dxfId="675" priority="598" operator="containsText" text="17">
      <formula>NOT(ISERROR(SEARCH("17",AR41)))</formula>
    </cfRule>
  </conditionalFormatting>
  <conditionalFormatting sqref="AR160:AR165">
    <cfRule type="containsText" dxfId="674" priority="753" operator="containsText" text="T">
      <formula>NOT(ISERROR(SEARCH("T",AR160)))</formula>
    </cfRule>
  </conditionalFormatting>
  <conditionalFormatting sqref="AR175">
    <cfRule type="containsText" dxfId="673" priority="675" operator="containsText" text="T">
      <formula>NOT(ISERROR(SEARCH("T",AR175)))</formula>
    </cfRule>
  </conditionalFormatting>
  <conditionalFormatting sqref="AR182 AV182:AX182 AA183:AU190 AX183:AX190">
    <cfRule type="containsText" dxfId="672" priority="660" operator="containsText" text="T">
      <formula>NOT(ISERROR(SEARCH("T",AA182)))</formula>
    </cfRule>
  </conditionalFormatting>
  <conditionalFormatting sqref="AR182:AS182 AV182:AX182 AX183:AX190">
    <cfRule type="containsText" dxfId="671" priority="661" operator="containsText" text="17">
      <formula>NOT(ISERROR(SEARCH("17",AR182)))</formula>
    </cfRule>
  </conditionalFormatting>
  <conditionalFormatting sqref="AR28:AX32">
    <cfRule type="containsText" dxfId="670" priority="591" operator="containsText" text="17">
      <formula>NOT(ISERROR(SEARCH("17",AR28)))</formula>
    </cfRule>
    <cfRule type="containsText" dxfId="669" priority="592" operator="containsText" text="T">
      <formula>NOT(ISERROR(SEARCH("T",AR28)))</formula>
    </cfRule>
  </conditionalFormatting>
  <conditionalFormatting sqref="AR48:AX49">
    <cfRule type="containsText" dxfId="668" priority="582" operator="containsText" text="T">
      <formula>NOT(ISERROR(SEARCH("T",AR48)))</formula>
    </cfRule>
    <cfRule type="containsText" dxfId="667" priority="581" operator="containsText" text="17">
      <formula>NOT(ISERROR(SEARCH("17",AR48)))</formula>
    </cfRule>
  </conditionalFormatting>
  <conditionalFormatting sqref="AR69:BB71">
    <cfRule type="containsText" dxfId="666" priority="334" operator="containsText" text="17">
      <formula>NOT(ISERROR(SEARCH("17",AR69)))</formula>
    </cfRule>
  </conditionalFormatting>
  <conditionalFormatting sqref="AR103:BB104">
    <cfRule type="containsText" dxfId="665" priority="364" operator="containsText" text="17">
      <formula>NOT(ISERROR(SEARCH("17",AR103)))</formula>
    </cfRule>
  </conditionalFormatting>
  <conditionalFormatting sqref="AR121:BB121">
    <cfRule type="containsText" dxfId="664" priority="354" operator="containsText" text="17">
      <formula>NOT(ISERROR(SEARCH("17",AR121)))</formula>
    </cfRule>
  </conditionalFormatting>
  <conditionalFormatting sqref="AR123:BB123">
    <cfRule type="containsText" dxfId="663" priority="344" operator="containsText" text="17">
      <formula>NOT(ISERROR(SEARCH("17",AR123)))</formula>
    </cfRule>
  </conditionalFormatting>
  <conditionalFormatting sqref="AR152:BE158">
    <cfRule type="containsText" dxfId="662" priority="261" operator="containsText" text="17">
      <formula>NOT(ISERROR(SEARCH("17",AR152)))</formula>
    </cfRule>
  </conditionalFormatting>
  <conditionalFormatting sqref="AR152:BG158">
    <cfRule type="containsText" dxfId="661" priority="255" operator="containsText" text="T">
      <formula>NOT(ISERROR(SEARCH("T",AR152)))</formula>
    </cfRule>
  </conditionalFormatting>
  <conditionalFormatting sqref="AS28:AS32">
    <cfRule type="containsText" dxfId="660" priority="589" operator="containsText" text="T">
      <formula>NOT(ISERROR(SEARCH("T",AS28)))</formula>
    </cfRule>
    <cfRule type="containsText" dxfId="659" priority="588" operator="containsText" text="17">
      <formula>NOT(ISERROR(SEARCH("17",AS28)))</formula>
    </cfRule>
  </conditionalFormatting>
  <conditionalFormatting sqref="AS48:AS49">
    <cfRule type="containsText" dxfId="658" priority="579" operator="containsText" text="T">
      <formula>NOT(ISERROR(SEARCH("T",AS48)))</formula>
    </cfRule>
    <cfRule type="containsText" dxfId="657" priority="578" operator="containsText" text="17">
      <formula>NOT(ISERROR(SEARCH("17",AS48)))</formula>
    </cfRule>
  </conditionalFormatting>
  <conditionalFormatting sqref="AS90 AW90:AY90 AB91:AV96 AY91:AY96">
    <cfRule type="containsText" dxfId="656" priority="647" operator="containsText" text="T">
      <formula>NOT(ISERROR(SEARCH("T",AB90)))</formula>
    </cfRule>
  </conditionalFormatting>
  <conditionalFormatting sqref="AS182">
    <cfRule type="containsText" dxfId="655" priority="662" operator="containsText" text="T">
      <formula>NOT(ISERROR(SEARCH("T",AS182)))</formula>
    </cfRule>
  </conditionalFormatting>
  <conditionalFormatting sqref="AS192:AS193 X194:AR199 X192:AF193">
    <cfRule type="containsText" dxfId="654" priority="709" operator="containsText" text="17">
      <formula>NOT(ISERROR(SEARCH("17",X192)))</formula>
    </cfRule>
  </conditionalFormatting>
  <conditionalFormatting sqref="AS208:AS213">
    <cfRule type="containsText" dxfId="653" priority="740" operator="containsText" text="T">
      <formula>NOT(ISERROR(SEARCH("T",AS208)))</formula>
    </cfRule>
  </conditionalFormatting>
  <conditionalFormatting sqref="AS90:AT90 AW90:AY90 AY91:AY96">
    <cfRule type="containsText" dxfId="652" priority="648" operator="containsText" text="17">
      <formula>NOT(ISERROR(SEARCH("17",AS90)))</formula>
    </cfRule>
  </conditionalFormatting>
  <conditionalFormatting sqref="AS50:AY53">
    <cfRule type="containsText" dxfId="651" priority="571" operator="containsText" text="17">
      <formula>NOT(ISERROR(SEARCH("17",AS50)))</formula>
    </cfRule>
    <cfRule type="containsText" dxfId="650" priority="572" operator="containsText" text="T">
      <formula>NOT(ISERROR(SEARCH("T",AS50)))</formula>
    </cfRule>
  </conditionalFormatting>
  <conditionalFormatting sqref="AS63:AY66">
    <cfRule type="containsText" dxfId="649" priority="561" operator="containsText" text="17">
      <formula>NOT(ISERROR(SEARCH("17",AS63)))</formula>
    </cfRule>
    <cfRule type="containsText" dxfId="648" priority="562" operator="containsText" text="T">
      <formula>NOT(ISERROR(SEARCH("T",AS63)))</formula>
    </cfRule>
  </conditionalFormatting>
  <conditionalFormatting sqref="AS67:BC68">
    <cfRule type="containsText" dxfId="647" priority="304" operator="containsText" text="17">
      <formula>NOT(ISERROR(SEARCH("17",AS67)))</formula>
    </cfRule>
  </conditionalFormatting>
  <conditionalFormatting sqref="AS99:BC102">
    <cfRule type="containsText" dxfId="646" priority="324" operator="containsText" text="17">
      <formula>NOT(ISERROR(SEARCH("17",AS99)))</formula>
    </cfRule>
  </conditionalFormatting>
  <conditionalFormatting sqref="AS105:BC105">
    <cfRule type="containsText" dxfId="645" priority="314" operator="containsText" text="17">
      <formula>NOT(ISERROR(SEARCH("17",AS105)))</formula>
    </cfRule>
  </conditionalFormatting>
  <conditionalFormatting sqref="AS159:BF165">
    <cfRule type="containsText" dxfId="644" priority="251" operator="containsText" text="17">
      <formula>NOT(ISERROR(SEARCH("17",AS159)))</formula>
    </cfRule>
  </conditionalFormatting>
  <conditionalFormatting sqref="AS159:BH165">
    <cfRule type="containsText" dxfId="643" priority="245" operator="containsText" text="T">
      <formula>NOT(ISERROR(SEARCH("T",AS159)))</formula>
    </cfRule>
  </conditionalFormatting>
  <conditionalFormatting sqref="AT14 AX14:AZ14 AC15:AW20 AZ15:AZ20">
    <cfRule type="containsText" dxfId="642" priority="634" operator="containsText" text="T">
      <formula>NOT(ISERROR(SEARCH("T",AC14)))</formula>
    </cfRule>
  </conditionalFormatting>
  <conditionalFormatting sqref="AT50:AT53">
    <cfRule type="containsText" dxfId="641" priority="568" operator="containsText" text="17">
      <formula>NOT(ISERROR(SEARCH("17",AT50)))</formula>
    </cfRule>
    <cfRule type="containsText" dxfId="640" priority="569" operator="containsText" text="T">
      <formula>NOT(ISERROR(SEARCH("T",AT50)))</formula>
    </cfRule>
  </conditionalFormatting>
  <conditionalFormatting sqref="AT63:AT66">
    <cfRule type="containsText" dxfId="639" priority="558" operator="containsText" text="17">
      <formula>NOT(ISERROR(SEARCH("17",AT63)))</formula>
    </cfRule>
    <cfRule type="containsText" dxfId="638" priority="559" operator="containsText" text="T">
      <formula>NOT(ISERROR(SEARCH("T",AT63)))</formula>
    </cfRule>
  </conditionalFormatting>
  <conditionalFormatting sqref="AT90">
    <cfRule type="containsText" dxfId="637" priority="649" operator="containsText" text="T">
      <formula>NOT(ISERROR(SEARCH("T",AT90)))</formula>
    </cfRule>
  </conditionalFormatting>
  <conditionalFormatting sqref="AT201:AT206">
    <cfRule type="containsText" dxfId="636" priority="727" operator="containsText" text="T">
      <formula>NOT(ISERROR(SEARCH("T",AT201)))</formula>
    </cfRule>
  </conditionalFormatting>
  <conditionalFormatting sqref="AT14:AU14 AX14:AZ14 AZ15:AZ20">
    <cfRule type="containsText" dxfId="635" priority="635" operator="containsText" text="17">
      <formula>NOT(ISERROR(SEARCH("17",AT14)))</formula>
    </cfRule>
  </conditionalFormatting>
  <conditionalFormatting sqref="AT59:AZ62">
    <cfRule type="containsText" dxfId="634" priority="547" operator="containsText" text="17">
      <formula>NOT(ISERROR(SEARCH("17",AT59)))</formula>
    </cfRule>
    <cfRule type="containsText" dxfId="633" priority="548" operator="containsText" text="T">
      <formula>NOT(ISERROR(SEARCH("T",AT59)))</formula>
    </cfRule>
  </conditionalFormatting>
  <conditionalFormatting sqref="AT86:AZ89">
    <cfRule type="containsText" dxfId="632" priority="538" operator="containsText" text="T">
      <formula>NOT(ISERROR(SEARCH("T",AT86)))</formula>
    </cfRule>
    <cfRule type="containsText" dxfId="631" priority="537" operator="containsText" text="17">
      <formula>NOT(ISERROR(SEARCH("17",AT86)))</formula>
    </cfRule>
  </conditionalFormatting>
  <conditionalFormatting sqref="AT97:BD98">
    <cfRule type="containsText" dxfId="630" priority="294" operator="containsText" text="17">
      <formula>NOT(ISERROR(SEARCH("17",AT97)))</formula>
    </cfRule>
  </conditionalFormatting>
  <conditionalFormatting sqref="AT131:BD137">
    <cfRule type="containsText" dxfId="629" priority="284" operator="containsText" text="17">
      <formula>NOT(ISERROR(SEARCH("17",AT131)))</formula>
    </cfRule>
  </conditionalFormatting>
  <conditionalFormatting sqref="AU14">
    <cfRule type="containsText" dxfId="628" priority="636" operator="containsText" text="T">
      <formula>NOT(ISERROR(SEARCH("T",AU14)))</formula>
    </cfRule>
  </conditionalFormatting>
  <conditionalFormatting sqref="AU34 AY34:BA34 AD35:AX40 BA35:BA40">
    <cfRule type="containsText" dxfId="627" priority="621" operator="containsText" text="T">
      <formula>NOT(ISERROR(SEARCH("T",AD34)))</formula>
    </cfRule>
  </conditionalFormatting>
  <conditionalFormatting sqref="AU59:AU62">
    <cfRule type="containsText" dxfId="626" priority="545" operator="containsText" text="T">
      <formula>NOT(ISERROR(SEARCH("T",AU59)))</formula>
    </cfRule>
    <cfRule type="containsText" dxfId="625" priority="544" operator="containsText" text="17">
      <formula>NOT(ISERROR(SEARCH("17",AU59)))</formula>
    </cfRule>
  </conditionalFormatting>
  <conditionalFormatting sqref="AU86:AU89">
    <cfRule type="containsText" dxfId="624" priority="535" operator="containsText" text="T">
      <formula>NOT(ISERROR(SEARCH("T",AU86)))</formula>
    </cfRule>
    <cfRule type="containsText" dxfId="623" priority="534" operator="containsText" text="17">
      <formula>NOT(ISERROR(SEARCH("17",AU86)))</formula>
    </cfRule>
  </conditionalFormatting>
  <conditionalFormatting sqref="AU194:AU199">
    <cfRule type="containsText" dxfId="622" priority="714" operator="containsText" text="T">
      <formula>NOT(ISERROR(SEARCH("T",AU194)))</formula>
    </cfRule>
  </conditionalFormatting>
  <conditionalFormatting sqref="AU34:AV34 AY34:BA34 BA35:BA40">
    <cfRule type="containsText" dxfId="621" priority="622" operator="containsText" text="17">
      <formula>NOT(ISERROR(SEARCH("17",AU34)))</formula>
    </cfRule>
  </conditionalFormatting>
  <conditionalFormatting sqref="AU83:BA85">
    <cfRule type="containsText" dxfId="620" priority="527" operator="containsText" text="17">
      <formula>NOT(ISERROR(SEARCH("17",AU83)))</formula>
    </cfRule>
    <cfRule type="containsText" dxfId="619" priority="528" operator="containsText" text="T">
      <formula>NOT(ISERROR(SEARCH("T",AU83)))</formula>
    </cfRule>
  </conditionalFormatting>
  <conditionalFormatting sqref="AU214:BA217">
    <cfRule type="containsText" dxfId="618" priority="517" operator="containsText" text="17">
      <formula>NOT(ISERROR(SEARCH("17",AU214)))</formula>
    </cfRule>
    <cfRule type="containsText" dxfId="617" priority="518" operator="containsText" text="T">
      <formula>NOT(ISERROR(SEARCH("T",AU214)))</formula>
    </cfRule>
  </conditionalFormatting>
  <conditionalFormatting sqref="AU138:BE144">
    <cfRule type="containsText" dxfId="616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15" priority="8533" operator="containsText" text="17">
      <formula>NOT(ISERROR(SEARCH("17",J14)))</formula>
    </cfRule>
  </conditionalFormatting>
  <conditionalFormatting sqref="AV21 AZ21:BB21 AE22:AY27">
    <cfRule type="containsText" dxfId="614" priority="608" operator="containsText" text="T">
      <formula>NOT(ISERROR(SEARCH("T",AE21)))</formula>
    </cfRule>
  </conditionalFormatting>
  <conditionalFormatting sqref="AV34">
    <cfRule type="containsText" dxfId="613" priority="623" operator="containsText" text="T">
      <formula>NOT(ISERROR(SEARCH("T",AV34)))</formula>
    </cfRule>
  </conditionalFormatting>
  <conditionalFormatting sqref="AV83:AV85">
    <cfRule type="containsText" dxfId="612" priority="524" operator="containsText" text="17">
      <formula>NOT(ISERROR(SEARCH("17",AV83)))</formula>
    </cfRule>
    <cfRule type="containsText" dxfId="611" priority="525" operator="containsText" text="T">
      <formula>NOT(ISERROR(SEARCH("T",AV83)))</formula>
    </cfRule>
  </conditionalFormatting>
  <conditionalFormatting sqref="AV169:AV174">
    <cfRule type="containsText" dxfId="610" priority="696" operator="containsText" text="T">
      <formula>NOT(ISERROR(SEARCH("T",AV169)))</formula>
    </cfRule>
  </conditionalFormatting>
  <conditionalFormatting sqref="AV214:AV217">
    <cfRule type="containsText" dxfId="609" priority="514" operator="containsText" text="17">
      <formula>NOT(ISERROR(SEARCH("17",AV214)))</formula>
    </cfRule>
    <cfRule type="containsText" dxfId="608" priority="515" operator="containsText" text="T">
      <formula>NOT(ISERROR(SEARCH("T",AV214)))</formula>
    </cfRule>
  </conditionalFormatting>
  <conditionalFormatting sqref="AV21:AW21 AZ21:BB21 BB22:BF27">
    <cfRule type="containsText" dxfId="607" priority="609" operator="containsText" text="17">
      <formula>NOT(ISERROR(SEARCH("17",AV21)))</formula>
    </cfRule>
  </conditionalFormatting>
  <conditionalFormatting sqref="AV218:BB224">
    <cfRule type="containsText" dxfId="606" priority="508" operator="containsText" text="T">
      <formula>NOT(ISERROR(SEARCH("T",AV218)))</formula>
    </cfRule>
    <cfRule type="containsText" dxfId="605" priority="507" operator="containsText" text="17">
      <formula>NOT(ISERROR(SEARCH("17",AV218)))</formula>
    </cfRule>
  </conditionalFormatting>
  <conditionalFormatting sqref="AV145:BF151">
    <cfRule type="containsText" dxfId="604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03" priority="7303" operator="containsText" text="T">
      <formula>NOT(ISERROR(SEARCH("T",J14)))</formula>
    </cfRule>
  </conditionalFormatting>
  <conditionalFormatting sqref="AW21">
    <cfRule type="containsText" dxfId="602" priority="610" operator="containsText" text="T">
      <formula>NOT(ISERROR(SEARCH("T",AW21)))</formula>
    </cfRule>
  </conditionalFormatting>
  <conditionalFormatting sqref="AW41 BA41:BC41 AF42:AZ47 BC42:BC47">
    <cfRule type="containsText" dxfId="601" priority="595" operator="containsText" text="T">
      <formula>NOT(ISERROR(SEARCH("T",AF41)))</formula>
    </cfRule>
  </conditionalFormatting>
  <conditionalFormatting sqref="AW176:AW181">
    <cfRule type="containsText" dxfId="600" priority="683" operator="containsText" text="T">
      <formula>NOT(ISERROR(SEARCH("T",AW176)))</formula>
    </cfRule>
  </conditionalFormatting>
  <conditionalFormatting sqref="AW218:AW224">
    <cfRule type="containsText" dxfId="599" priority="504" operator="containsText" text="17">
      <formula>NOT(ISERROR(SEARCH("17",AW218)))</formula>
    </cfRule>
    <cfRule type="containsText" dxfId="598" priority="505" operator="containsText" text="T">
      <formula>NOT(ISERROR(SEARCH("T",AW218)))</formula>
    </cfRule>
  </conditionalFormatting>
  <conditionalFormatting sqref="AW41:AX41 BA41:BC41 BC42:BC47">
    <cfRule type="containsText" dxfId="597" priority="596" operator="containsText" text="17">
      <formula>NOT(ISERROR(SEARCH("17",AW41)))</formula>
    </cfRule>
  </conditionalFormatting>
  <conditionalFormatting sqref="AW225:BC231">
    <cfRule type="containsText" dxfId="596" priority="498" operator="containsText" text="T">
      <formula>NOT(ISERROR(SEARCH("T",AW225)))</formula>
    </cfRule>
    <cfRule type="containsText" dxfId="595" priority="497" operator="containsText" text="17">
      <formula>NOT(ISERROR(SEARCH("17",AW225)))</formula>
    </cfRule>
  </conditionalFormatting>
  <conditionalFormatting sqref="AW152:BG158">
    <cfRule type="containsText" dxfId="594" priority="254" operator="containsText" text="17">
      <formula>NOT(ISERROR(SEARCH("17",AW152)))</formula>
    </cfRule>
  </conditionalFormatting>
  <conditionalFormatting sqref="AW168:CP174">
    <cfRule type="containsText" dxfId="593" priority="205" operator="containsText" text="17">
      <formula>NOT(ISERROR(SEARCH("17",AW168)))</formula>
    </cfRule>
  </conditionalFormatting>
  <conditionalFormatting sqref="AX28:AX32 BB28:BD32">
    <cfRule type="containsText" dxfId="592" priority="585" operator="containsText" text="T">
      <formula>NOT(ISERROR(SEARCH("T",AX28)))</formula>
    </cfRule>
  </conditionalFormatting>
  <conditionalFormatting sqref="AX41">
    <cfRule type="containsText" dxfId="591" priority="597" operator="containsText" text="T">
      <formula>NOT(ISERROR(SEARCH("T",AX41)))</formula>
    </cfRule>
  </conditionalFormatting>
  <conditionalFormatting sqref="AX48:AX49 BB48:BD49">
    <cfRule type="containsText" dxfId="590" priority="575" operator="containsText" text="T">
      <formula>NOT(ISERROR(SEARCH("T",AX48)))</formula>
    </cfRule>
  </conditionalFormatting>
  <conditionalFormatting sqref="AX180:AX181 AY182:AY185 BM191 BU200:BU202 BV203:BV205">
    <cfRule type="containsText" dxfId="589" priority="7320" operator="containsText" text="17">
      <formula>NOT(ISERROR(SEARCH("17",AX180)))</formula>
    </cfRule>
    <cfRule type="containsText" dxfId="588" priority="7321" operator="containsText" text="T">
      <formula>NOT(ISERROR(SEARCH("T",AX180)))</formula>
    </cfRule>
    <cfRule type="containsText" dxfId="587" priority="7319" operator="containsText" text="T">
      <formula>NOT(ISERROR(SEARCH("T",AX180)))</formula>
    </cfRule>
  </conditionalFormatting>
  <conditionalFormatting sqref="AX183:AX190">
    <cfRule type="containsText" dxfId="586" priority="670" operator="containsText" text="T">
      <formula>NOT(ISERROR(SEARCH("T",AX183)))</formula>
    </cfRule>
  </conditionalFormatting>
  <conditionalFormatting sqref="AX192">
    <cfRule type="containsText" dxfId="585" priority="6267" operator="containsText" text="T">
      <formula>NOT(ISERROR(SEARCH("T",AX192)))</formula>
    </cfRule>
    <cfRule type="containsText" dxfId="584" priority="2370" operator="containsText" text="T">
      <formula>NOT(ISERROR(SEARCH("T",AX192)))</formula>
    </cfRule>
    <cfRule type="containsText" dxfId="583" priority="2369" operator="containsText" text="17">
      <formula>NOT(ISERROR(SEARCH("17",AX192)))</formula>
    </cfRule>
    <cfRule type="containsText" dxfId="582" priority="6266" operator="containsText" text="17">
      <formula>NOT(ISERROR(SEARCH("17",AX192)))</formula>
    </cfRule>
  </conditionalFormatting>
  <conditionalFormatting sqref="AX196:AX198">
    <cfRule type="containsText" dxfId="581" priority="7295" operator="containsText" text="T">
      <formula>NOT(ISERROR(SEARCH("T",AX196)))</formula>
    </cfRule>
    <cfRule type="containsText" dxfId="580" priority="7294" operator="containsText" text="17">
      <formula>NOT(ISERROR(SEARCH("17",AX196)))</formula>
    </cfRule>
  </conditionalFormatting>
  <conditionalFormatting sqref="AX225:AX231">
    <cfRule type="containsText" dxfId="579" priority="494" operator="containsText" text="17">
      <formula>NOT(ISERROR(SEARCH("17",AX225)))</formula>
    </cfRule>
    <cfRule type="containsText" dxfId="578" priority="495" operator="containsText" text="T">
      <formula>NOT(ISERROR(SEARCH("T",AX225)))</formula>
    </cfRule>
  </conditionalFormatting>
  <conditionalFormatting sqref="AX28:AY32 BB28:BD32">
    <cfRule type="containsText" dxfId="577" priority="586" operator="containsText" text="17">
      <formula>NOT(ISERROR(SEARCH("17",AX28)))</formula>
    </cfRule>
  </conditionalFormatting>
  <conditionalFormatting sqref="AX48:AY49 BB48:BD49">
    <cfRule type="containsText" dxfId="576" priority="576" operator="containsText" text="17">
      <formula>NOT(ISERROR(SEARCH("17",AX48)))</formula>
    </cfRule>
  </conditionalFormatting>
  <conditionalFormatting sqref="AX170:BA170">
    <cfRule type="containsText" dxfId="575" priority="8728" operator="containsText" text="17">
      <formula>NOT(ISERROR(SEARCH("17",AX170)))</formula>
    </cfRule>
    <cfRule type="containsText" dxfId="574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3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2" priority="5061" operator="containsText" text="T">
      <formula>NOT(ISERROR(SEARCH("T",AX199)))</formula>
    </cfRule>
  </conditionalFormatting>
  <conditionalFormatting sqref="AX33:BC33">
    <cfRule type="containsText" dxfId="571" priority="8832" operator="containsText" text="T">
      <formula>NOT(ISERROR(SEARCH("T",AX33)))</formula>
    </cfRule>
  </conditionalFormatting>
  <conditionalFormatting sqref="AX113:BD116">
    <cfRule type="containsText" dxfId="570" priority="477" operator="containsText" text="17">
      <formula>NOT(ISERROR(SEARCH("17",AX113)))</formula>
    </cfRule>
    <cfRule type="containsText" dxfId="569" priority="478" operator="containsText" text="T">
      <formula>NOT(ISERROR(SEARCH("T",AX113)))</formula>
    </cfRule>
  </conditionalFormatting>
  <conditionalFormatting sqref="AX232:BD234">
    <cfRule type="containsText" dxfId="568" priority="487" operator="containsText" text="17">
      <formula>NOT(ISERROR(SEARCH("17",AX232)))</formula>
    </cfRule>
    <cfRule type="containsText" dxfId="567" priority="488" operator="containsText" text="T">
      <formula>NOT(ISERROR(SEARCH("T",AX232)))</formula>
    </cfRule>
  </conditionalFormatting>
  <conditionalFormatting sqref="AX199:BE199 AX206:BD206 AX213">
    <cfRule type="containsText" dxfId="566" priority="5069" operator="containsText" text="T">
      <formula>NOT(ISERROR(SEARCH("T",AX199)))</formula>
    </cfRule>
    <cfRule type="containsText" dxfId="565" priority="5068" operator="containsText" text="17">
      <formula>NOT(ISERROR(SEARCH("17",AX199)))</formula>
    </cfRule>
  </conditionalFormatting>
  <conditionalFormatting sqref="AX159:BH165">
    <cfRule type="containsText" dxfId="564" priority="244" operator="containsText" text="17">
      <formula>NOT(ISERROR(SEARCH("17",AX159)))</formula>
    </cfRule>
  </conditionalFormatting>
  <conditionalFormatting sqref="AX175:CP181">
    <cfRule type="containsText" dxfId="563" priority="172" operator="containsText" text="T">
      <formula>NOT(ISERROR(SEARCH("T",AX175)))</formula>
    </cfRule>
  </conditionalFormatting>
  <conditionalFormatting sqref="AY28:AY32">
    <cfRule type="containsText" dxfId="562" priority="587" operator="containsText" text="T">
      <formula>NOT(ISERROR(SEARCH("T",AY28)))</formula>
    </cfRule>
  </conditionalFormatting>
  <conditionalFormatting sqref="AY33">
    <cfRule type="containsText" dxfId="561" priority="8206" operator="containsText" text="17">
      <formula>NOT(ISERROR(SEARCH("17",AY33)))</formula>
    </cfRule>
    <cfRule type="containsText" dxfId="560" priority="8207" operator="containsText" text="T">
      <formula>NOT(ISERROR(SEARCH("T",AY33)))</formula>
    </cfRule>
  </conditionalFormatting>
  <conditionalFormatting sqref="AY48:AY49">
    <cfRule type="containsText" dxfId="559" priority="577" operator="containsText" text="T">
      <formula>NOT(ISERROR(SEARCH("T",AY48)))</formula>
    </cfRule>
  </conditionalFormatting>
  <conditionalFormatting sqref="AY50:AY53 BC50:BE53">
    <cfRule type="containsText" dxfId="558" priority="565" operator="containsText" text="T">
      <formula>NOT(ISERROR(SEARCH("T",AY50)))</formula>
    </cfRule>
  </conditionalFormatting>
  <conditionalFormatting sqref="AY63:AY66 BC63:BI66">
    <cfRule type="containsText" dxfId="557" priority="555" operator="containsText" text="T">
      <formula>NOT(ISERROR(SEARCH("T",AY63)))</formula>
    </cfRule>
  </conditionalFormatting>
  <conditionalFormatting sqref="AY91:AY96">
    <cfRule type="containsText" dxfId="556" priority="657" operator="containsText" text="T">
      <formula>NOT(ISERROR(SEARCH("T",AY91)))</formula>
    </cfRule>
  </conditionalFormatting>
  <conditionalFormatting sqref="AY113:AY116">
    <cfRule type="containsText" dxfId="555" priority="475" operator="containsText" text="T">
      <formula>NOT(ISERROR(SEARCH("T",AY113)))</formula>
    </cfRule>
    <cfRule type="containsText" dxfId="554" priority="474" operator="containsText" text="17">
      <formula>NOT(ISERROR(SEARCH("17",AY113)))</formula>
    </cfRule>
  </conditionalFormatting>
  <conditionalFormatting sqref="AY182:AY185 BM191 BU200:BU202 BV203:BV205 AX180:AX181">
    <cfRule type="containsText" dxfId="553" priority="7318" operator="containsText" text="17">
      <formula>NOT(ISERROR(SEARCH("17",AX180)))</formula>
    </cfRule>
  </conditionalFormatting>
  <conditionalFormatting sqref="AY189">
    <cfRule type="containsText" dxfId="552" priority="4911" operator="containsText" text="T">
      <formula>NOT(ISERROR(SEARCH("T",AY189)))</formula>
    </cfRule>
    <cfRule type="containsText" dxfId="551" priority="4910" operator="containsText" text="17">
      <formula>NOT(ISERROR(SEARCH("17",AY189)))</formula>
    </cfRule>
    <cfRule type="containsText" dxfId="550" priority="4893" operator="containsText" text="T">
      <formula>NOT(ISERROR(SEARCH("T",AY189)))</formula>
    </cfRule>
    <cfRule type="containsText" dxfId="549" priority="4892" operator="containsText" text="17">
      <formula>NOT(ISERROR(SEARCH("17",AY189)))</formula>
    </cfRule>
  </conditionalFormatting>
  <conditionalFormatting sqref="AY190 AX191:BH191 BK191 BO191:BS191">
    <cfRule type="containsText" dxfId="548" priority="8514" operator="containsText" text="T">
      <formula>NOT(ISERROR(SEARCH("T",AX190)))</formula>
    </cfRule>
  </conditionalFormatting>
  <conditionalFormatting sqref="AY199 AX206">
    <cfRule type="containsText" dxfId="547" priority="2144" operator="containsText" text="T">
      <formula>NOT(ISERROR(SEARCH("T",AX199)))</formula>
    </cfRule>
    <cfRule type="containsText" dxfId="546" priority="2143" operator="containsText" text="17">
      <formula>NOT(ISERROR(SEARCH("17",AX199)))</formula>
    </cfRule>
  </conditionalFormatting>
  <conditionalFormatting sqref="AY232:AY234">
    <cfRule type="containsText" dxfId="545" priority="484" operator="containsText" text="17">
      <formula>NOT(ISERROR(SEARCH("17",AY232)))</formula>
    </cfRule>
    <cfRule type="containsText" dxfId="544" priority="485" operator="containsText" text="T">
      <formula>NOT(ISERROR(SEARCH("T",AY232)))</formula>
    </cfRule>
  </conditionalFormatting>
  <conditionalFormatting sqref="AY50:AZ53 BC50:BE53">
    <cfRule type="containsText" dxfId="543" priority="566" operator="containsText" text="17">
      <formula>NOT(ISERROR(SEARCH("17",AY50)))</formula>
    </cfRule>
  </conditionalFormatting>
  <conditionalFormatting sqref="AY63:AZ66 BC63:BE66">
    <cfRule type="containsText" dxfId="542" priority="556" operator="containsText" text="17">
      <formula>NOT(ISERROR(SEARCH("17",AY63)))</formula>
    </cfRule>
  </conditionalFormatting>
  <conditionalFormatting sqref="AY79:BE82">
    <cfRule type="containsText" dxfId="541" priority="457" operator="containsText" text="17">
      <formula>NOT(ISERROR(SEARCH("17",AY79)))</formula>
    </cfRule>
    <cfRule type="containsText" dxfId="540" priority="458" operator="containsText" text="T">
      <formula>NOT(ISERROR(SEARCH("T",AY79)))</formula>
    </cfRule>
  </conditionalFormatting>
  <conditionalFormatting sqref="AY117:BE119">
    <cfRule type="containsText" dxfId="539" priority="468" operator="containsText" text="T">
      <formula>NOT(ISERROR(SEARCH("T",AY117)))</formula>
    </cfRule>
    <cfRule type="containsText" dxfId="538" priority="467" operator="containsText" text="17">
      <formula>NOT(ISERROR(SEARCH("17",AY117)))</formula>
    </cfRule>
  </conditionalFormatting>
  <conditionalFormatting sqref="AY207:BI213">
    <cfRule type="containsText" dxfId="537" priority="234" operator="containsText" text="17">
      <formula>NOT(ISERROR(SEARCH("17",AY207)))</formula>
    </cfRule>
  </conditionalFormatting>
  <conditionalFormatting sqref="AY207:BP213">
    <cfRule type="containsText" dxfId="536" priority="243" operator="containsText" text="T">
      <formula>NOT(ISERROR(SEARCH("T",AY207)))</formula>
    </cfRule>
  </conditionalFormatting>
  <conditionalFormatting sqref="AY193:BV213 AX195:BV195 BH214:BL215">
    <cfRule type="containsText" dxfId="535" priority="914" operator="containsText" text="T">
      <formula>NOT(ISERROR(SEARCH("T",AX193)))</formula>
    </cfRule>
  </conditionalFormatting>
  <conditionalFormatting sqref="AZ15:AZ20">
    <cfRule type="containsText" dxfId="534" priority="644" operator="containsText" text="T">
      <formula>NOT(ISERROR(SEARCH("T",AZ15)))</formula>
    </cfRule>
  </conditionalFormatting>
  <conditionalFormatting sqref="AZ50:AZ53">
    <cfRule type="containsText" dxfId="533" priority="567" operator="containsText" text="T">
      <formula>NOT(ISERROR(SEARCH("T",AZ50)))</formula>
    </cfRule>
  </conditionalFormatting>
  <conditionalFormatting sqref="AZ63:AZ66">
    <cfRule type="containsText" dxfId="532" priority="557" operator="containsText" text="T">
      <formula>NOT(ISERROR(SEARCH("T",AZ63)))</formula>
    </cfRule>
  </conditionalFormatting>
  <conditionalFormatting sqref="AZ79:AZ82">
    <cfRule type="containsText" dxfId="531" priority="454" operator="containsText" text="17">
      <formula>NOT(ISERROR(SEARCH("17",AZ79)))</formula>
    </cfRule>
    <cfRule type="containsText" dxfId="530" priority="455" operator="containsText" text="T">
      <formula>NOT(ISERROR(SEARCH("T",AZ79)))</formula>
    </cfRule>
  </conditionalFormatting>
  <conditionalFormatting sqref="AZ86:AZ89 BD86:BF89">
    <cfRule type="containsText" dxfId="529" priority="531" operator="containsText" text="T">
      <formula>NOT(ISERROR(SEARCH("T",AZ86)))</formula>
    </cfRule>
  </conditionalFormatting>
  <conditionalFormatting sqref="AZ117:AZ119">
    <cfRule type="containsText" dxfId="528" priority="465" operator="containsText" text="T">
      <formula>NOT(ISERROR(SEARCH("T",AZ117)))</formula>
    </cfRule>
    <cfRule type="containsText" dxfId="527" priority="464" operator="containsText" text="17">
      <formula>NOT(ISERROR(SEARCH("17",AZ117)))</formula>
    </cfRule>
  </conditionalFormatting>
  <conditionalFormatting sqref="AZ59:BA62 BD59:BF62">
    <cfRule type="containsText" dxfId="526" priority="542" operator="containsText" text="17">
      <formula>NOT(ISERROR(SEARCH("17",AZ59)))</formula>
    </cfRule>
  </conditionalFormatting>
  <conditionalFormatting sqref="AZ86:BA89 BD86:BF89">
    <cfRule type="containsText" dxfId="525" priority="532" operator="containsText" text="17">
      <formula>NOT(ISERROR(SEARCH("17",AZ86)))</formula>
    </cfRule>
  </conditionalFormatting>
  <conditionalFormatting sqref="AZ93:BB93">
    <cfRule type="containsText" dxfId="524" priority="4056" operator="containsText" text="17">
      <formula>NOT(ISERROR(SEARCH("17",AZ93)))</formula>
    </cfRule>
    <cfRule type="containsText" dxfId="523" priority="4057" operator="containsText" text="T">
      <formula>NOT(ISERROR(SEARCH("T",AZ93)))</formula>
    </cfRule>
  </conditionalFormatting>
  <conditionalFormatting sqref="AZ175:BB178">
    <cfRule type="containsText" dxfId="522" priority="933" operator="containsText" text="T">
      <formula>NOT(ISERROR(SEARCH("T",AZ175)))</formula>
    </cfRule>
  </conditionalFormatting>
  <conditionalFormatting sqref="AZ180:BB181 AZ182:BC183">
    <cfRule type="containsText" dxfId="521" priority="927" operator="containsText" text="T">
      <formula>NOT(ISERROR(SEARCH("T",AZ180)))</formula>
    </cfRule>
  </conditionalFormatting>
  <conditionalFormatting sqref="AZ185:BC188 AZ189:BW190">
    <cfRule type="containsText" dxfId="520" priority="921" operator="containsText" text="T">
      <formula>NOT(ISERROR(SEARCH("T",AZ185)))</formula>
    </cfRule>
  </conditionalFormatting>
  <conditionalFormatting sqref="AZ200:BJ206">
    <cfRule type="containsText" dxfId="519" priority="223" operator="containsText" text="17">
      <formula>NOT(ISERROR(SEARCH("17",AZ200)))</formula>
    </cfRule>
  </conditionalFormatting>
  <conditionalFormatting sqref="AZ200:BW206">
    <cfRule type="containsText" dxfId="518" priority="232" operator="containsText" text="T">
      <formula>NOT(ISERROR(SEARCH("T",AZ200)))</formula>
    </cfRule>
  </conditionalFormatting>
  <conditionalFormatting sqref="BA22:BA27">
    <cfRule type="containsText" dxfId="517" priority="550" operator="containsText" text="17">
      <formula>NOT(ISERROR(SEARCH("17",BA22)))</formula>
    </cfRule>
    <cfRule type="containsText" dxfId="516" priority="549" operator="containsText" text="T">
      <formula>NOT(ISERROR(SEARCH("T",BA22)))</formula>
    </cfRule>
  </conditionalFormatting>
  <conditionalFormatting sqref="BA35:BA40">
    <cfRule type="containsText" dxfId="515" priority="631" operator="containsText" text="T">
      <formula>NOT(ISERROR(SEARCH("T",BA35)))</formula>
    </cfRule>
  </conditionalFormatting>
  <conditionalFormatting sqref="BA59:BA62">
    <cfRule type="containsText" dxfId="514" priority="543" operator="containsText" text="T">
      <formula>NOT(ISERROR(SEARCH("T",BA59)))</formula>
    </cfRule>
  </conditionalFormatting>
  <conditionalFormatting sqref="BA83:BA85 BE83:BG85">
    <cfRule type="containsText" dxfId="513" priority="521" operator="containsText" text="T">
      <formula>NOT(ISERROR(SEARCH("T",BA83)))</formula>
    </cfRule>
  </conditionalFormatting>
  <conditionalFormatting sqref="BA86:BA89">
    <cfRule type="containsText" dxfId="512" priority="533" operator="containsText" text="T">
      <formula>NOT(ISERROR(SEARCH("T",BA86)))</formula>
    </cfRule>
  </conditionalFormatting>
  <conditionalFormatting sqref="BA199 AZ206">
    <cfRule type="containsText" dxfId="511" priority="5056" operator="containsText" text="17">
      <formula>NOT(ISERROR(SEARCH("17",AZ199)))</formula>
    </cfRule>
    <cfRule type="containsText" dxfId="510" priority="5057" operator="containsText" text="T">
      <formula>NOT(ISERROR(SEARCH("T",AZ199)))</formula>
    </cfRule>
  </conditionalFormatting>
  <conditionalFormatting sqref="BA214:BA217 BE214:BG217">
    <cfRule type="containsText" dxfId="509" priority="511" operator="containsText" text="T">
      <formula>NOT(ISERROR(SEARCH("T",BA214)))</formula>
    </cfRule>
  </conditionalFormatting>
  <conditionalFormatting sqref="BA22:BB27">
    <cfRule type="containsText" dxfId="508" priority="552" operator="containsText" text="T">
      <formula>NOT(ISERROR(SEARCH("T",BA22)))</formula>
    </cfRule>
  </conditionalFormatting>
  <conditionalFormatting sqref="BA83:BB85 BE83:BG85">
    <cfRule type="containsText" dxfId="507" priority="522" operator="containsText" text="17">
      <formula>NOT(ISERROR(SEARCH("17",BA83)))</formula>
    </cfRule>
  </conditionalFormatting>
  <conditionalFormatting sqref="BA214:BB217 BE214:BG217">
    <cfRule type="containsText" dxfId="506" priority="512" operator="containsText" text="17">
      <formula>NOT(ISERROR(SEARCH("17",BA214)))</formula>
    </cfRule>
  </conditionalFormatting>
  <conditionalFormatting sqref="BA76:BG78">
    <cfRule type="containsText" dxfId="505" priority="432" operator="containsText" text="17">
      <formula>NOT(ISERROR(SEARCH("17",BA76)))</formula>
    </cfRule>
    <cfRule type="containsText" dxfId="504" priority="433" operator="containsText" text="T">
      <formula>NOT(ISERROR(SEARCH("T",BA76)))</formula>
    </cfRule>
  </conditionalFormatting>
  <conditionalFormatting sqref="BA107:BG112">
    <cfRule type="containsText" dxfId="503" priority="442" operator="containsText" text="17">
      <formula>NOT(ISERROR(SEARCH("17",BA107)))</formula>
    </cfRule>
    <cfRule type="containsText" dxfId="502" priority="443" operator="containsText" text="T">
      <formula>NOT(ISERROR(SEARCH("T",BA107)))</formula>
    </cfRule>
  </conditionalFormatting>
  <conditionalFormatting sqref="BA192:BK199">
    <cfRule type="containsText" dxfId="501" priority="206" operator="containsText" text="17">
      <formula>NOT(ISERROR(SEARCH("17",BA192)))</formula>
    </cfRule>
  </conditionalFormatting>
  <conditionalFormatting sqref="BA192:BR199">
    <cfRule type="containsText" dxfId="500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499" priority="915" operator="containsText" text="17">
      <formula>NOT(ISERROR(SEARCH("17",AX192)))</formula>
    </cfRule>
  </conditionalFormatting>
  <conditionalFormatting sqref="BA192:BX199">
    <cfRule type="containsText" dxfId="498" priority="222" operator="containsText" text="T">
      <formula>NOT(ISERROR(SEARCH("T",BA192)))</formula>
    </cfRule>
  </conditionalFormatting>
  <conditionalFormatting sqref="BB22:BB27">
    <cfRule type="containsText" dxfId="497" priority="618" operator="containsText" text="T">
      <formula>NOT(ISERROR(SEARCH("T",BB22)))</formula>
    </cfRule>
  </conditionalFormatting>
  <conditionalFormatting sqref="BB76:BB78">
    <cfRule type="containsText" dxfId="496" priority="429" operator="containsText" text="17">
      <formula>NOT(ISERROR(SEARCH("17",BB76)))</formula>
    </cfRule>
    <cfRule type="containsText" dxfId="495" priority="430" operator="containsText" text="T">
      <formula>NOT(ISERROR(SEARCH("T",BB76)))</formula>
    </cfRule>
  </conditionalFormatting>
  <conditionalFormatting sqref="BB83:BB85">
    <cfRule type="containsText" dxfId="494" priority="523" operator="containsText" text="T">
      <formula>NOT(ISERROR(SEARCH("T",BB83)))</formula>
    </cfRule>
  </conditionalFormatting>
  <conditionalFormatting sqref="BB107:BB112">
    <cfRule type="containsText" dxfId="493" priority="439" operator="containsText" text="17">
      <formula>NOT(ISERROR(SEARCH("17",BB107)))</formula>
    </cfRule>
    <cfRule type="containsText" dxfId="492" priority="440" operator="containsText" text="T">
      <formula>NOT(ISERROR(SEARCH("T",BB107)))</formula>
    </cfRule>
  </conditionalFormatting>
  <conditionalFormatting sqref="BB199 BD199:BI199 BA206 BC206:BH206">
    <cfRule type="containsText" dxfId="491" priority="5070" operator="containsText" text="17">
      <formula>NOT(ISERROR(SEARCH("17",BA199)))</formula>
    </cfRule>
    <cfRule type="containsText" dxfId="490" priority="5071" operator="containsText" text="T">
      <formula>NOT(ISERROR(SEARCH("T",BA199)))</formula>
    </cfRule>
  </conditionalFormatting>
  <conditionalFormatting sqref="BB214:BB217">
    <cfRule type="containsText" dxfId="489" priority="513" operator="containsText" text="T">
      <formula>NOT(ISERROR(SEARCH("T",BB214)))</formula>
    </cfRule>
  </conditionalFormatting>
  <conditionalFormatting sqref="BB218:BB224 BF218:BH224">
    <cfRule type="containsText" dxfId="488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87" priority="8546" operator="containsText" text="T">
      <formula>NOT(ISERROR(SEARCH("T",AX35)))</formula>
    </cfRule>
  </conditionalFormatting>
  <conditionalFormatting sqref="BB218:BC224 BF218:BH224">
    <cfRule type="containsText" dxfId="486" priority="502" operator="containsText" text="17">
      <formula>NOT(ISERROR(SEARCH("17",BB218)))</formula>
    </cfRule>
  </conditionalFormatting>
  <conditionalFormatting sqref="BB72:BH75">
    <cfRule type="containsText" dxfId="485" priority="422" operator="containsText" text="17">
      <formula>NOT(ISERROR(SEARCH("17",BB72)))</formula>
    </cfRule>
    <cfRule type="containsText" dxfId="484" priority="423" operator="containsText" text="T">
      <formula>NOT(ISERROR(SEARCH("T",BB72)))</formula>
    </cfRule>
  </conditionalFormatting>
  <conditionalFormatting sqref="BB106:BH106">
    <cfRule type="containsText" dxfId="483" priority="412" operator="containsText" text="17">
      <formula>NOT(ISERROR(SEARCH("17",BB106)))</formula>
    </cfRule>
    <cfRule type="containsText" dxfId="482" priority="413" operator="containsText" text="T">
      <formula>NOT(ISERROR(SEARCH("T",BB106)))</formula>
    </cfRule>
  </conditionalFormatting>
  <conditionalFormatting sqref="BB120:BH120">
    <cfRule type="containsText" dxfId="481" priority="392" operator="containsText" text="17">
      <formula>NOT(ISERROR(SEARCH("17",BB120)))</formula>
    </cfRule>
    <cfRule type="containsText" dxfId="480" priority="393" operator="containsText" text="T">
      <formula>NOT(ISERROR(SEARCH("T",BB120)))</formula>
    </cfRule>
  </conditionalFormatting>
  <conditionalFormatting sqref="BB122:BH122">
    <cfRule type="containsText" dxfId="479" priority="382" operator="containsText" text="17">
      <formula>NOT(ISERROR(SEARCH("17",BB122)))</formula>
    </cfRule>
    <cfRule type="containsText" dxfId="478" priority="383" operator="containsText" text="T">
      <formula>NOT(ISERROR(SEARCH("T",BB122)))</formula>
    </cfRule>
  </conditionalFormatting>
  <conditionalFormatting sqref="BB124:BH126">
    <cfRule type="containsText" dxfId="477" priority="402" operator="containsText" text="17">
      <formula>NOT(ISERROR(SEARCH("17",BB124)))</formula>
    </cfRule>
    <cfRule type="containsText" dxfId="476" priority="403" operator="containsText" text="T">
      <formula>NOT(ISERROR(SEARCH("T",BB124)))</formula>
    </cfRule>
  </conditionalFormatting>
  <conditionalFormatting sqref="BB168:BL174">
    <cfRule type="containsText" dxfId="475" priority="182" operator="containsText" text="17">
      <formula>NOT(ISERROR(SEARCH("17",BB168)))</formula>
    </cfRule>
  </conditionalFormatting>
  <conditionalFormatting sqref="BB194:BN194 BB196:BN198">
    <cfRule type="containsText" dxfId="474" priority="916" operator="containsText" text="17">
      <formula>NOT(ISERROR(SEARCH("17",BB194)))</formula>
    </cfRule>
  </conditionalFormatting>
  <conditionalFormatting sqref="BB168:BY174">
    <cfRule type="containsText" dxfId="473" priority="194" operator="containsText" text="17">
      <formula>NOT(ISERROR(SEARCH("17",BB168)))</formula>
    </cfRule>
    <cfRule type="containsText" dxfId="472" priority="196" operator="containsText" text="T">
      <formula>NOT(ISERROR(SEARCH("T",BB168)))</formula>
    </cfRule>
    <cfRule type="containsText" dxfId="471" priority="191" operator="containsText" text="T">
      <formula>NOT(ISERROR(SEARCH("T",BB168)))</formula>
    </cfRule>
  </conditionalFormatting>
  <conditionalFormatting sqref="BC34">
    <cfRule type="containsText" dxfId="470" priority="8063" operator="containsText" text="T">
      <formula>NOT(ISERROR(SEARCH("T",BC34)))</formula>
    </cfRule>
    <cfRule type="containsText" dxfId="469" priority="8062" operator="containsText" text="17">
      <formula>NOT(ISERROR(SEARCH("17",BC34)))</formula>
    </cfRule>
    <cfRule type="containsText" dxfId="468" priority="8061" operator="containsText" text="T">
      <formula>NOT(ISERROR(SEARCH("T",BC34)))</formula>
    </cfRule>
    <cfRule type="containsText" dxfId="467" priority="8060" operator="containsText" text="17">
      <formula>NOT(ISERROR(SEARCH("17",BC34)))</formula>
    </cfRule>
  </conditionalFormatting>
  <conditionalFormatting sqref="BC42:BC47">
    <cfRule type="containsText" dxfId="466" priority="605" operator="containsText" text="T">
      <formula>NOT(ISERROR(SEARCH("T",BC42)))</formula>
    </cfRule>
  </conditionalFormatting>
  <conditionalFormatting sqref="BC72:BC75">
    <cfRule type="containsText" dxfId="465" priority="419" operator="containsText" text="17">
      <formula>NOT(ISERROR(SEARCH("17",BC72)))</formula>
    </cfRule>
    <cfRule type="containsText" dxfId="464" priority="420" operator="containsText" text="T">
      <formula>NOT(ISERROR(SEARCH("T",BC72)))</formula>
    </cfRule>
  </conditionalFormatting>
  <conditionalFormatting sqref="BC106">
    <cfRule type="containsText" dxfId="463" priority="409" operator="containsText" text="17">
      <formula>NOT(ISERROR(SEARCH("17",BC106)))</formula>
    </cfRule>
    <cfRule type="containsText" dxfId="462" priority="410" operator="containsText" text="T">
      <formula>NOT(ISERROR(SEARCH("T",BC106)))</formula>
    </cfRule>
  </conditionalFormatting>
  <conditionalFormatting sqref="BC120">
    <cfRule type="containsText" dxfId="461" priority="390" operator="containsText" text="T">
      <formula>NOT(ISERROR(SEARCH("T",BC120)))</formula>
    </cfRule>
    <cfRule type="containsText" dxfId="460" priority="389" operator="containsText" text="17">
      <formula>NOT(ISERROR(SEARCH("17",BC120)))</formula>
    </cfRule>
  </conditionalFormatting>
  <conditionalFormatting sqref="BC122">
    <cfRule type="containsText" dxfId="459" priority="379" operator="containsText" text="17">
      <formula>NOT(ISERROR(SEARCH("17",BC122)))</formula>
    </cfRule>
    <cfRule type="containsText" dxfId="458" priority="380" operator="containsText" text="T">
      <formula>NOT(ISERROR(SEARCH("T",BC122)))</formula>
    </cfRule>
  </conditionalFormatting>
  <conditionalFormatting sqref="BC124:BC126">
    <cfRule type="containsText" dxfId="457" priority="399" operator="containsText" text="17">
      <formula>NOT(ISERROR(SEARCH("17",BC124)))</formula>
    </cfRule>
    <cfRule type="containsText" dxfId="456" priority="400" operator="containsText" text="T">
      <formula>NOT(ISERROR(SEARCH("T",BC124)))</formula>
    </cfRule>
  </conditionalFormatting>
  <conditionalFormatting sqref="BC182:BC183">
    <cfRule type="containsText" dxfId="455" priority="928" operator="containsText" text="17">
      <formula>NOT(ISERROR(SEARCH("17",BC182)))</formula>
    </cfRule>
  </conditionalFormatting>
  <conditionalFormatting sqref="BC186:BC188 BC189:BV190">
    <cfRule type="containsText" dxfId="454" priority="922" operator="containsText" text="17">
      <formula>NOT(ISERROR(SEARCH("17",BC186)))</formula>
    </cfRule>
  </conditionalFormatting>
  <conditionalFormatting sqref="BC199 BB206 BS127">
    <cfRule type="containsText" dxfId="453" priority="2145" operator="containsText" text="17">
      <formula>NOT(ISERROR(SEARCH("17",BB127)))</formula>
    </cfRule>
  </conditionalFormatting>
  <conditionalFormatting sqref="BC218:BC224">
    <cfRule type="containsText" dxfId="452" priority="503" operator="containsText" text="T">
      <formula>NOT(ISERROR(SEARCH("T",BC218)))</formula>
    </cfRule>
  </conditionalFormatting>
  <conditionalFormatting sqref="BC225:BC231 BG225:BI231">
    <cfRule type="containsText" dxfId="451" priority="491" operator="containsText" text="T">
      <formula>NOT(ISERROR(SEARCH("T",BC225)))</formula>
    </cfRule>
  </conditionalFormatting>
  <conditionalFormatting sqref="BC16:BD20">
    <cfRule type="containsText" dxfId="450" priority="8379" operator="containsText" text="17">
      <formula>NOT(ISERROR(SEARCH("17",BC16)))</formula>
    </cfRule>
  </conditionalFormatting>
  <conditionalFormatting sqref="BC225:BD231 BG225:BI231">
    <cfRule type="containsText" dxfId="449" priority="492" operator="containsText" text="17">
      <formula>NOT(ISERROR(SEARCH("17",BC225)))</formula>
    </cfRule>
  </conditionalFormatting>
  <conditionalFormatting sqref="BC69:BI71">
    <cfRule type="containsText" dxfId="448" priority="342" operator="containsText" text="17">
      <formula>NOT(ISERROR(SEARCH("17",BC69)))</formula>
    </cfRule>
    <cfRule type="containsText" dxfId="447" priority="343" operator="containsText" text="T">
      <formula>NOT(ISERROR(SEARCH("T",BC69)))</formula>
    </cfRule>
  </conditionalFormatting>
  <conditionalFormatting sqref="BC103:BI104">
    <cfRule type="containsText" dxfId="446" priority="372" operator="containsText" text="17">
      <formula>NOT(ISERROR(SEARCH("17",BC103)))</formula>
    </cfRule>
    <cfRule type="containsText" dxfId="445" priority="373" operator="containsText" text="T">
      <formula>NOT(ISERROR(SEARCH("T",BC103)))</formula>
    </cfRule>
  </conditionalFormatting>
  <conditionalFormatting sqref="BC121:BI121">
    <cfRule type="containsText" dxfId="444" priority="363" operator="containsText" text="T">
      <formula>NOT(ISERROR(SEARCH("T",BC121)))</formula>
    </cfRule>
    <cfRule type="containsText" dxfId="443" priority="362" operator="containsText" text="17">
      <formula>NOT(ISERROR(SEARCH("17",BC121)))</formula>
    </cfRule>
  </conditionalFormatting>
  <conditionalFormatting sqref="BC123:BI123">
    <cfRule type="containsText" dxfId="442" priority="353" operator="containsText" text="T">
      <formula>NOT(ISERROR(SEARCH("T",BC123)))</formula>
    </cfRule>
    <cfRule type="containsText" dxfId="441" priority="352" operator="containsText" text="17">
      <formula>NOT(ISERROR(SEARCH("17",BC123)))</formula>
    </cfRule>
  </conditionalFormatting>
  <conditionalFormatting sqref="BC175:BM181">
    <cfRule type="containsText" dxfId="440" priority="158" operator="containsText" text="17">
      <formula>NOT(ISERROR(SEARCH("17",BC175)))</formula>
    </cfRule>
  </conditionalFormatting>
  <conditionalFormatting sqref="BC199:BR199 BB206:BQ206 BS127">
    <cfRule type="containsText" dxfId="439" priority="5050" operator="containsText" text="17">
      <formula>NOT(ISERROR(SEARCH("17",BB127)))</formula>
    </cfRule>
  </conditionalFormatting>
  <conditionalFormatting sqref="BC175:BZ181">
    <cfRule type="containsText" dxfId="438" priority="170" operator="containsText" text="17">
      <formula>NOT(ISERROR(SEARCH("17",BC175)))</formula>
    </cfRule>
    <cfRule type="containsText" dxfId="437" priority="167" operator="containsText" text="T">
      <formula>NOT(ISERROR(SEARCH("T",BC175)))</formula>
    </cfRule>
  </conditionalFormatting>
  <conditionalFormatting sqref="BC175:CP181">
    <cfRule type="containsText" dxfId="436" priority="181" operator="containsText" text="17">
      <formula>NOT(ISERROR(SEARCH("17",BC175)))</formula>
    </cfRule>
  </conditionalFormatting>
  <conditionalFormatting sqref="BD69:BD71">
    <cfRule type="containsText" dxfId="435" priority="339" operator="containsText" text="17">
      <formula>NOT(ISERROR(SEARCH("17",BD69)))</formula>
    </cfRule>
    <cfRule type="containsText" dxfId="434" priority="340" operator="containsText" text="T">
      <formula>NOT(ISERROR(SEARCH("T",BD69)))</formula>
    </cfRule>
  </conditionalFormatting>
  <conditionalFormatting sqref="BD103:BD104">
    <cfRule type="containsText" dxfId="433" priority="369" operator="containsText" text="17">
      <formula>NOT(ISERROR(SEARCH("17",BD103)))</formula>
    </cfRule>
    <cfRule type="containsText" dxfId="432" priority="370" operator="containsText" text="T">
      <formula>NOT(ISERROR(SEARCH("T",BD103)))</formula>
    </cfRule>
  </conditionalFormatting>
  <conditionalFormatting sqref="BD113:BD116 BH113:BJ116">
    <cfRule type="containsText" dxfId="431" priority="471" operator="containsText" text="T">
      <formula>NOT(ISERROR(SEARCH("T",BD113)))</formula>
    </cfRule>
  </conditionalFormatting>
  <conditionalFormatting sqref="BD121">
    <cfRule type="containsText" dxfId="430" priority="360" operator="containsText" text="T">
      <formula>NOT(ISERROR(SEARCH("T",BD121)))</formula>
    </cfRule>
    <cfRule type="containsText" dxfId="429" priority="359" operator="containsText" text="17">
      <formula>NOT(ISERROR(SEARCH("17",BD121)))</formula>
    </cfRule>
  </conditionalFormatting>
  <conditionalFormatting sqref="BD123">
    <cfRule type="containsText" dxfId="428" priority="350" operator="containsText" text="T">
      <formula>NOT(ISERROR(SEARCH("T",BD123)))</formula>
    </cfRule>
    <cfRule type="containsText" dxfId="427" priority="349" operator="containsText" text="17">
      <formula>NOT(ISERROR(SEARCH("17",BD123)))</formula>
    </cfRule>
  </conditionalFormatting>
  <conditionalFormatting sqref="BD225:BD231">
    <cfRule type="containsText" dxfId="426" priority="493" operator="containsText" text="T">
      <formula>NOT(ISERROR(SEARCH("T",BD225)))</formula>
    </cfRule>
  </conditionalFormatting>
  <conditionalFormatting sqref="BD232:BD234 BH232:BJ234">
    <cfRule type="containsText" dxfId="425" priority="481" operator="containsText" text="T">
      <formula>NOT(ISERROR(SEARCH("T",BD232)))</formula>
    </cfRule>
  </conditionalFormatting>
  <conditionalFormatting sqref="BD35:BE39">
    <cfRule type="containsText" dxfId="424" priority="1049" operator="containsText" text="T">
      <formula>NOT(ISERROR(SEARCH("T",BD35)))</formula>
    </cfRule>
  </conditionalFormatting>
  <conditionalFormatting sqref="BD113:BE116 BH113:BJ116">
    <cfRule type="containsText" dxfId="423" priority="472" operator="containsText" text="17">
      <formula>NOT(ISERROR(SEARCH("17",BD113)))</formula>
    </cfRule>
  </conditionalFormatting>
  <conditionalFormatting sqref="BD232:BE234 BH232:BN234">
    <cfRule type="containsText" dxfId="422" priority="482" operator="containsText" text="17">
      <formula>NOT(ISERROR(SEARCH("17",BD232)))</formula>
    </cfRule>
  </conditionalFormatting>
  <conditionalFormatting sqref="BD41:BG45">
    <cfRule type="containsText" dxfId="421" priority="1042" operator="containsText" text="T">
      <formula>NOT(ISERROR(SEARCH("T",BD41)))</formula>
    </cfRule>
  </conditionalFormatting>
  <conditionalFormatting sqref="BD47:BG47 BE48:BH48">
    <cfRule type="containsText" dxfId="420" priority="1037" operator="containsText" text="T">
      <formula>NOT(ISERROR(SEARCH("T",BD47)))</formula>
    </cfRule>
  </conditionalFormatting>
  <conditionalFormatting sqref="BD67:BJ68">
    <cfRule type="containsText" dxfId="419" priority="313" operator="containsText" text="T">
      <formula>NOT(ISERROR(SEARCH("T",BD67)))</formula>
    </cfRule>
    <cfRule type="containsText" dxfId="418" priority="312" operator="containsText" text="17">
      <formula>NOT(ISERROR(SEARCH("17",BD67)))</formula>
    </cfRule>
  </conditionalFormatting>
  <conditionalFormatting sqref="BD99:BJ102">
    <cfRule type="containsText" dxfId="417" priority="333" operator="containsText" text="T">
      <formula>NOT(ISERROR(SEARCH("T",BD99)))</formula>
    </cfRule>
    <cfRule type="containsText" dxfId="416" priority="332" operator="containsText" text="17">
      <formula>NOT(ISERROR(SEARCH("17",BD99)))</formula>
    </cfRule>
  </conditionalFormatting>
  <conditionalFormatting sqref="BD105:BJ105">
    <cfRule type="containsText" dxfId="415" priority="322" operator="containsText" text="17">
      <formula>NOT(ISERROR(SEARCH("17",BD105)))</formula>
    </cfRule>
    <cfRule type="containsText" dxfId="414" priority="323" operator="containsText" text="T">
      <formula>NOT(ISERROR(SEARCH("T",BD105)))</formula>
    </cfRule>
  </conditionalFormatting>
  <conditionalFormatting sqref="BD54:BN59 AZ59:AZ62 BD60:BI62">
    <cfRule type="containsText" dxfId="413" priority="541" operator="containsText" text="T">
      <formula>NOT(ISERROR(SEARCH("T",AZ54)))</formula>
    </cfRule>
  </conditionalFormatting>
  <conditionalFormatting sqref="BD182:BN188">
    <cfRule type="containsText" dxfId="412" priority="134" operator="containsText" text="17">
      <formula>NOT(ISERROR(SEARCH("17",BD182)))</formula>
    </cfRule>
  </conditionalFormatting>
  <conditionalFormatting sqref="BD182:CA188">
    <cfRule type="containsText" dxfId="411" priority="143" operator="containsText" text="T">
      <formula>NOT(ISERROR(SEARCH("T",BD182)))</formula>
    </cfRule>
    <cfRule type="containsText" dxfId="410" priority="146" operator="containsText" text="17">
      <formula>NOT(ISERROR(SEARCH("17",BD182)))</formula>
    </cfRule>
  </conditionalFormatting>
  <conditionalFormatting sqref="BD182:CP188">
    <cfRule type="containsText" dxfId="409" priority="157" operator="containsText" text="17">
      <formula>NOT(ISERROR(SEARCH("17",BD182)))</formula>
    </cfRule>
    <cfRule type="containsText" dxfId="408" priority="148" operator="containsText" text="T">
      <formula>NOT(ISERROR(SEARCH("T",BD182)))</formula>
    </cfRule>
  </conditionalFormatting>
  <conditionalFormatting sqref="BE15:BE20">
    <cfRule type="containsText" dxfId="407" priority="130" operator="containsText" text="T">
      <formula>NOT(ISERROR(SEARCH("T",BE15)))</formula>
    </cfRule>
  </conditionalFormatting>
  <conditionalFormatting sqref="BE67:BE68">
    <cfRule type="containsText" dxfId="406" priority="309" operator="containsText" text="17">
      <formula>NOT(ISERROR(SEARCH("17",BE67)))</formula>
    </cfRule>
    <cfRule type="containsText" dxfId="405" priority="310" operator="containsText" text="T">
      <formula>NOT(ISERROR(SEARCH("T",BE67)))</formula>
    </cfRule>
  </conditionalFormatting>
  <conditionalFormatting sqref="BE79:BE82 BI79:BK82">
    <cfRule type="containsText" dxfId="404" priority="451" operator="containsText" text="T">
      <formula>NOT(ISERROR(SEARCH("T",BE79)))</formula>
    </cfRule>
  </conditionalFormatting>
  <conditionalFormatting sqref="BE99:BE102">
    <cfRule type="containsText" dxfId="403" priority="330" operator="containsText" text="T">
      <formula>NOT(ISERROR(SEARCH("T",BE99)))</formula>
    </cfRule>
    <cfRule type="containsText" dxfId="402" priority="329" operator="containsText" text="17">
      <formula>NOT(ISERROR(SEARCH("17",BE99)))</formula>
    </cfRule>
  </conditionalFormatting>
  <conditionalFormatting sqref="BE105">
    <cfRule type="containsText" dxfId="401" priority="320" operator="containsText" text="T">
      <formula>NOT(ISERROR(SEARCH("T",BE105)))</formula>
    </cfRule>
    <cfRule type="containsText" dxfId="400" priority="319" operator="containsText" text="17">
      <formula>NOT(ISERROR(SEARCH("17",BE105)))</formula>
    </cfRule>
  </conditionalFormatting>
  <conditionalFormatting sqref="BE113:BE116">
    <cfRule type="containsText" dxfId="399" priority="473" operator="containsText" text="T">
      <formula>NOT(ISERROR(SEARCH("T",BE113)))</formula>
    </cfRule>
  </conditionalFormatting>
  <conditionalFormatting sqref="BE117:BE119 BI117:BK119">
    <cfRule type="containsText" dxfId="398" priority="461" operator="containsText" text="T">
      <formula>NOT(ISERROR(SEARCH("T",BE117)))</formula>
    </cfRule>
  </conditionalFormatting>
  <conditionalFormatting sqref="BE232:BE234">
    <cfRule type="containsText" dxfId="397" priority="483" operator="containsText" text="T">
      <formula>NOT(ISERROR(SEARCH("T",BE232)))</formula>
    </cfRule>
  </conditionalFormatting>
  <conditionalFormatting sqref="BE23:BF27">
    <cfRule type="containsText" dxfId="396" priority="1062" operator="containsText" text="17">
      <formula>NOT(ISERROR(SEARCH("17",BE23)))</formula>
    </cfRule>
  </conditionalFormatting>
  <conditionalFormatting sqref="BE79:BF82 BI79:BK82">
    <cfRule type="containsText" dxfId="395" priority="452" operator="containsText" text="17">
      <formula>NOT(ISERROR(SEARCH("17",BE79)))</formula>
    </cfRule>
  </conditionalFormatting>
  <conditionalFormatting sqref="BE117:BF119 BI117:BP119">
    <cfRule type="containsText" dxfId="394" priority="462" operator="containsText" text="17">
      <formula>NOT(ISERROR(SEARCH("17",BE117)))</formula>
    </cfRule>
  </conditionalFormatting>
  <conditionalFormatting sqref="BE199:BF199 BD206:BE206">
    <cfRule type="containsText" dxfId="393" priority="2142" operator="containsText" text="T">
      <formula>NOT(ISERROR(SEARCH("T",BD199)))</formula>
    </cfRule>
    <cfRule type="containsText" dxfId="392" priority="2141" operator="containsText" text="17">
      <formula>NOT(ISERROR(SEARCH("17",BD199)))</formula>
    </cfRule>
  </conditionalFormatting>
  <conditionalFormatting sqref="BE97:BK98">
    <cfRule type="containsText" dxfId="391" priority="302" operator="containsText" text="17">
      <formula>NOT(ISERROR(SEARCH("17",BE97)))</formula>
    </cfRule>
    <cfRule type="containsText" dxfId="390" priority="303" operator="containsText" text="T">
      <formula>NOT(ISERROR(SEARCH("T",BE97)))</formula>
    </cfRule>
  </conditionalFormatting>
  <conditionalFormatting sqref="BE131:BK137">
    <cfRule type="containsText" dxfId="389" priority="293" operator="containsText" text="T">
      <formula>NOT(ISERROR(SEARCH("T",BE131)))</formula>
    </cfRule>
    <cfRule type="containsText" dxfId="388" priority="292" operator="containsText" text="17">
      <formula>NOT(ISERROR(SEARCH("17",BE131)))</formula>
    </cfRule>
  </conditionalFormatting>
  <conditionalFormatting sqref="BE14:BO14">
    <cfRule type="containsText" dxfId="387" priority="122" operator="containsText" text="17">
      <formula>NOT(ISERROR(SEARCH("17",BE14)))</formula>
    </cfRule>
    <cfRule type="containsText" dxfId="386" priority="123" operator="containsText" text="T">
      <formula>NOT(ISERROR(SEARCH("T",BE14)))</formula>
    </cfRule>
  </conditionalFormatting>
  <conditionalFormatting sqref="BE15:BY20 BE14:BM14">
    <cfRule type="containsText" dxfId="385" priority="129" operator="containsText" text="17">
      <formula>NOT(ISERROR(SEARCH("17",BE14)))</formula>
    </cfRule>
  </conditionalFormatting>
  <conditionalFormatting sqref="BF35:BF40">
    <cfRule type="containsText" dxfId="384" priority="118" operator="containsText" text="T">
      <formula>NOT(ISERROR(SEARCH("T",BF35)))</formula>
    </cfRule>
  </conditionalFormatting>
  <conditionalFormatting sqref="BF79:BF82">
    <cfRule type="containsText" dxfId="383" priority="453" operator="containsText" text="T">
      <formula>NOT(ISERROR(SEARCH("T",BF79)))</formula>
    </cfRule>
  </conditionalFormatting>
  <conditionalFormatting sqref="BF93:BF96 AZ94:BB96 BG94:BI96 BS97 BM231:BN234">
    <cfRule type="containsText" dxfId="382" priority="8576" operator="containsText" text="T">
      <formula>NOT(ISERROR(SEARCH("T",AZ93)))</formula>
    </cfRule>
  </conditionalFormatting>
  <conditionalFormatting sqref="BF93:BF96 AZ94:BB96 BS97 BG94:BI96 BM231:BN234">
    <cfRule type="containsText" dxfId="381" priority="8575" operator="containsText" text="17">
      <formula>NOT(ISERROR(SEARCH("17",AZ93)))</formula>
    </cfRule>
  </conditionalFormatting>
  <conditionalFormatting sqref="BF97:BF98">
    <cfRule type="containsText" dxfId="380" priority="299" operator="containsText" text="17">
      <formula>NOT(ISERROR(SEARCH("17",BF97)))</formula>
    </cfRule>
    <cfRule type="containsText" dxfId="379" priority="300" operator="containsText" text="T">
      <formula>NOT(ISERROR(SEARCH("T",BF97)))</formula>
    </cfRule>
  </conditionalFormatting>
  <conditionalFormatting sqref="BF117:BF119">
    <cfRule type="containsText" dxfId="378" priority="463" operator="containsText" text="T">
      <formula>NOT(ISERROR(SEARCH("T",BF117)))</formula>
    </cfRule>
  </conditionalFormatting>
  <conditionalFormatting sqref="BF131:BF137">
    <cfRule type="containsText" dxfId="377" priority="289" operator="containsText" text="17">
      <formula>NOT(ISERROR(SEARCH("17",BF131)))</formula>
    </cfRule>
    <cfRule type="containsText" dxfId="376" priority="290" operator="containsText" text="T">
      <formula>NOT(ISERROR(SEARCH("T",BF131)))</formula>
    </cfRule>
  </conditionalFormatting>
  <conditionalFormatting sqref="BF138:BL144">
    <cfRule type="containsText" dxfId="375" priority="282" operator="containsText" text="17">
      <formula>NOT(ISERROR(SEARCH("17",BF138)))</formula>
    </cfRule>
    <cfRule type="containsText" dxfId="374" priority="283" operator="containsText" text="T">
      <formula>NOT(ISERROR(SEARCH("T",BF138)))</formula>
    </cfRule>
  </conditionalFormatting>
  <conditionalFormatting sqref="BF34:BP34">
    <cfRule type="containsText" dxfId="373" priority="111" operator="containsText" text="T">
      <formula>NOT(ISERROR(SEARCH("T",BF34)))</formula>
    </cfRule>
    <cfRule type="containsText" dxfId="372" priority="110" operator="containsText" text="17">
      <formula>NOT(ISERROR(SEARCH("17",BF34)))</formula>
    </cfRule>
  </conditionalFormatting>
  <conditionalFormatting sqref="BF35:BZ40 BF34:BN34">
    <cfRule type="containsText" dxfId="371" priority="117" operator="containsText" text="17">
      <formula>NOT(ISERROR(SEARCH("17",BF34)))</formula>
    </cfRule>
  </conditionalFormatting>
  <conditionalFormatting sqref="BF50:CA52 BF53:BN53">
    <cfRule type="containsText" dxfId="370" priority="1032" operator="containsText" text="T">
      <formula>NOT(ISERROR(SEARCH("T",BF50)))</formula>
    </cfRule>
  </conditionalFormatting>
  <conditionalFormatting sqref="BG22:BG27">
    <cfRule type="containsText" dxfId="369" priority="106" operator="containsText" text="T">
      <formula>NOT(ISERROR(SEARCH("T",BG22)))</formula>
    </cfRule>
  </conditionalFormatting>
  <conditionalFormatting sqref="BG41:BG45">
    <cfRule type="containsText" dxfId="368" priority="1043" operator="containsText" text="17">
      <formula>NOT(ISERROR(SEARCH("17",BG41)))</formula>
    </cfRule>
  </conditionalFormatting>
  <conditionalFormatting sqref="BG47">
    <cfRule type="containsText" dxfId="367" priority="1041" operator="containsText" text="17">
      <formula>NOT(ISERROR(SEARCH("17",BG47)))</formula>
    </cfRule>
  </conditionalFormatting>
  <conditionalFormatting sqref="BG76:BG78 BK76:BM78">
    <cfRule type="containsText" dxfId="366" priority="426" operator="containsText" text="T">
      <formula>NOT(ISERROR(SEARCH("T",BG76)))</formula>
    </cfRule>
  </conditionalFormatting>
  <conditionalFormatting sqref="BG86 BG93:BI93">
    <cfRule type="containsText" dxfId="365" priority="4100" operator="containsText" text="17">
      <formula>NOT(ISERROR(SEARCH("17",BG86)))</formula>
    </cfRule>
    <cfRule type="containsText" dxfId="364" priority="4101" operator="containsText" text="T">
      <formula>NOT(ISERROR(SEARCH("T",BG86)))</formula>
    </cfRule>
  </conditionalFormatting>
  <conditionalFormatting sqref="BG107:BG112 BK107:BM112">
    <cfRule type="containsText" dxfId="363" priority="436" operator="containsText" text="T">
      <formula>NOT(ISERROR(SEARCH("T",BG107)))</formula>
    </cfRule>
  </conditionalFormatting>
  <conditionalFormatting sqref="BG138:BG144">
    <cfRule type="containsText" dxfId="362" priority="279" operator="containsText" text="17">
      <formula>NOT(ISERROR(SEARCH("17",BG138)))</formula>
    </cfRule>
    <cfRule type="containsText" dxfId="361" priority="280" operator="containsText" text="T">
      <formula>NOT(ISERROR(SEARCH("T",BG138)))</formula>
    </cfRule>
  </conditionalFormatting>
  <conditionalFormatting sqref="BG30:BH32 BG33:BZ33">
    <cfRule type="containsText" dxfId="360" priority="1056" operator="containsText" text="17">
      <formula>NOT(ISERROR(SEARCH("17",BG30)))</formula>
    </cfRule>
  </conditionalFormatting>
  <conditionalFormatting sqref="BG48:BH48">
    <cfRule type="containsText" dxfId="359" priority="1038" operator="containsText" text="17">
      <formula>NOT(ISERROR(SEARCH("17",BG48)))</formula>
    </cfRule>
  </conditionalFormatting>
  <conditionalFormatting sqref="BG76:BH78 BK76:BM78">
    <cfRule type="containsText" dxfId="358" priority="427" operator="containsText" text="17">
      <formula>NOT(ISERROR(SEARCH("17",BG76)))</formula>
    </cfRule>
  </conditionalFormatting>
  <conditionalFormatting sqref="BG107:BH112 BK107:BM112">
    <cfRule type="containsText" dxfId="357" priority="437" operator="containsText" text="17">
      <formula>NOT(ISERROR(SEARCH("17",BG107)))</formula>
    </cfRule>
  </conditionalFormatting>
  <conditionalFormatting sqref="BG145:BM151">
    <cfRule type="containsText" dxfId="356" priority="273" operator="containsText" text="T">
      <formula>NOT(ISERROR(SEARCH("T",BG145)))</formula>
    </cfRule>
    <cfRule type="containsText" dxfId="355" priority="272" operator="containsText" text="17">
      <formula>NOT(ISERROR(SEARCH("17",BG145)))</formula>
    </cfRule>
  </conditionalFormatting>
  <conditionalFormatting sqref="BG21:BQ21">
    <cfRule type="containsText" dxfId="354" priority="98" operator="containsText" text="17">
      <formula>NOT(ISERROR(SEARCH("17",BG21)))</formula>
    </cfRule>
    <cfRule type="containsText" dxfId="353" priority="99" operator="containsText" text="T">
      <formula>NOT(ISERROR(SEARCH("T",BG21)))</formula>
    </cfRule>
  </conditionalFormatting>
  <conditionalFormatting sqref="BG50:BQ52">
    <cfRule type="containsText" dxfId="352" priority="1036" operator="containsText" text="17">
      <formula>NOT(ISERROR(SEARCH("17",BG50)))</formula>
    </cfRule>
  </conditionalFormatting>
  <conditionalFormatting sqref="BG51:BS52 BG53:BN59 BG60:BI66">
    <cfRule type="containsText" dxfId="351" priority="1033" operator="containsText" text="17">
      <formula>NOT(ISERROR(SEARCH("17",BG51)))</formula>
    </cfRule>
  </conditionalFormatting>
  <conditionalFormatting sqref="BG22:CA27 BG21:BO21">
    <cfRule type="containsText" dxfId="350" priority="105" operator="containsText" text="17">
      <formula>NOT(ISERROR(SEARCH("17",BG21)))</formula>
    </cfRule>
  </conditionalFormatting>
  <conditionalFormatting sqref="BH42:BH47">
    <cfRule type="containsText" dxfId="349" priority="94" operator="containsText" text="T">
      <formula>NOT(ISERROR(SEARCH("T",BH42)))</formula>
    </cfRule>
  </conditionalFormatting>
  <conditionalFormatting sqref="BH72:BH75 BL72:BN75">
    <cfRule type="containsText" dxfId="348" priority="416" operator="containsText" text="T">
      <formula>NOT(ISERROR(SEARCH("T",BH72)))</formula>
    </cfRule>
  </conditionalFormatting>
  <conditionalFormatting sqref="BH76:BH78">
    <cfRule type="containsText" dxfId="347" priority="428" operator="containsText" text="T">
      <formula>NOT(ISERROR(SEARCH("T",BH76)))</formula>
    </cfRule>
  </conditionalFormatting>
  <conditionalFormatting sqref="BH106 BL106:BN106">
    <cfRule type="containsText" dxfId="346" priority="406" operator="containsText" text="T">
      <formula>NOT(ISERROR(SEARCH("T",BH106)))</formula>
    </cfRule>
  </conditionalFormatting>
  <conditionalFormatting sqref="BH107:BH112">
    <cfRule type="containsText" dxfId="345" priority="438" operator="containsText" text="T">
      <formula>NOT(ISERROR(SEARCH("T",BH107)))</formula>
    </cfRule>
  </conditionalFormatting>
  <conditionalFormatting sqref="BH120 BL120:BN120">
    <cfRule type="containsText" dxfId="344" priority="386" operator="containsText" text="T">
      <formula>NOT(ISERROR(SEARCH("T",BH120)))</formula>
    </cfRule>
  </conditionalFormatting>
  <conditionalFormatting sqref="BH122 BL122:BO122">
    <cfRule type="containsText" dxfId="343" priority="376" operator="containsText" text="T">
      <formula>NOT(ISERROR(SEARCH("T",BH122)))</formula>
    </cfRule>
  </conditionalFormatting>
  <conditionalFormatting sqref="BH124:BH126 BL124:BN126">
    <cfRule type="containsText" dxfId="342" priority="396" operator="containsText" text="T">
      <formula>NOT(ISERROR(SEARCH("T",BH124)))</formula>
    </cfRule>
  </conditionalFormatting>
  <conditionalFormatting sqref="BH145:BH151">
    <cfRule type="containsText" dxfId="341" priority="269" operator="containsText" text="17">
      <formula>NOT(ISERROR(SEARCH("17",BH145)))</formula>
    </cfRule>
    <cfRule type="containsText" dxfId="340" priority="270" operator="containsText" text="T">
      <formula>NOT(ISERROR(SEARCH("T",BH145)))</formula>
    </cfRule>
  </conditionalFormatting>
  <conditionalFormatting sqref="BH72:BI75 BL72:BN75">
    <cfRule type="containsText" dxfId="339" priority="417" operator="containsText" text="17">
      <formula>NOT(ISERROR(SEARCH("17",BH72)))</formula>
    </cfRule>
  </conditionalFormatting>
  <conditionalFormatting sqref="BH106:BI106 BL106:CJ106">
    <cfRule type="containsText" dxfId="338" priority="407" operator="containsText" text="17">
      <formula>NOT(ISERROR(SEARCH("17",BH106)))</formula>
    </cfRule>
  </conditionalFormatting>
  <conditionalFormatting sqref="BH120:BI120 BL120:BO120">
    <cfRule type="containsText" dxfId="337" priority="387" operator="containsText" text="17">
      <formula>NOT(ISERROR(SEARCH("17",BH120)))</formula>
    </cfRule>
  </conditionalFormatting>
  <conditionalFormatting sqref="BH122:BI122 BL122:BO122">
    <cfRule type="containsText" dxfId="336" priority="377" operator="containsText" text="17">
      <formula>NOT(ISERROR(SEARCH("17",BH122)))</formula>
    </cfRule>
  </conditionalFormatting>
  <conditionalFormatting sqref="BH124:BI126 BL124:BO126">
    <cfRule type="containsText" dxfId="335" priority="397" operator="containsText" text="17">
      <formula>NOT(ISERROR(SEARCH("17",BH124)))</formula>
    </cfRule>
  </conditionalFormatting>
  <conditionalFormatting sqref="BH214:BI216">
    <cfRule type="containsText" dxfId="334" priority="5857" operator="containsText" text="T">
      <formula>NOT(ISERROR(SEARCH("T",BH214)))</formula>
    </cfRule>
    <cfRule type="containsText" dxfId="333" priority="5856" operator="containsText" text="17">
      <formula>NOT(ISERROR(SEARCH("17",BH214)))</formula>
    </cfRule>
  </conditionalFormatting>
  <conditionalFormatting sqref="BH84:BK89">
    <cfRule type="containsText" dxfId="332" priority="1009" operator="containsText" text="17">
      <formula>NOT(ISERROR(SEARCH("17",BH84)))</formula>
    </cfRule>
  </conditionalFormatting>
  <conditionalFormatting sqref="BH152:BN158">
    <cfRule type="containsText" dxfId="331" priority="263" operator="containsText" text="T">
      <formula>NOT(ISERROR(SEARCH("T",BH152)))</formula>
    </cfRule>
    <cfRule type="containsText" dxfId="330" priority="262" operator="containsText" text="17">
      <formula>NOT(ISERROR(SEARCH("17",BH152)))</formula>
    </cfRule>
  </conditionalFormatting>
  <conditionalFormatting sqref="BH41:BR41">
    <cfRule type="containsText" dxfId="329" priority="86" operator="containsText" text="17">
      <formula>NOT(ISERROR(SEARCH("17",BH41)))</formula>
    </cfRule>
    <cfRule type="containsText" dxfId="328" priority="87" operator="containsText" text="T">
      <formula>NOT(ISERROR(SEARCH("T",BH41)))</formula>
    </cfRule>
  </conditionalFormatting>
  <conditionalFormatting sqref="BH42:CB47 BH41:BP41">
    <cfRule type="containsText" dxfId="327" priority="93" operator="containsText" text="17">
      <formula>NOT(ISERROR(SEARCH("17",BH41)))</formula>
    </cfRule>
  </conditionalFormatting>
  <conditionalFormatting sqref="BI28:BI32">
    <cfRule type="containsText" dxfId="326" priority="79" operator="containsText" text="T">
      <formula>NOT(ISERROR(SEARCH("T",BI28)))</formula>
    </cfRule>
  </conditionalFormatting>
  <conditionalFormatting sqref="BI48:BI49">
    <cfRule type="containsText" dxfId="325" priority="74" operator="containsText" text="T">
      <formula>NOT(ISERROR(SEARCH("T",BI48)))</formula>
    </cfRule>
  </conditionalFormatting>
  <conditionalFormatting sqref="BI69:BI71 BM69:BO71">
    <cfRule type="containsText" dxfId="324" priority="336" operator="containsText" text="T">
      <formula>NOT(ISERROR(SEARCH("T",BI69)))</formula>
    </cfRule>
  </conditionalFormatting>
  <conditionalFormatting sqref="BI72:BI75">
    <cfRule type="containsText" dxfId="323" priority="418" operator="containsText" text="T">
      <formula>NOT(ISERROR(SEARCH("T",BI72)))</formula>
    </cfRule>
  </conditionalFormatting>
  <conditionalFormatting sqref="BI103:BI104 BM103:BO104">
    <cfRule type="containsText" dxfId="322" priority="366" operator="containsText" text="T">
      <formula>NOT(ISERROR(SEARCH("T",BI103)))</formula>
    </cfRule>
  </conditionalFormatting>
  <conditionalFormatting sqref="BI106">
    <cfRule type="containsText" dxfId="321" priority="408" operator="containsText" text="T">
      <formula>NOT(ISERROR(SEARCH("T",BI106)))</formula>
    </cfRule>
  </conditionalFormatting>
  <conditionalFormatting sqref="BI120">
    <cfRule type="containsText" dxfId="320" priority="388" operator="containsText" text="T">
      <formula>NOT(ISERROR(SEARCH("T",BI120)))</formula>
    </cfRule>
  </conditionalFormatting>
  <conditionalFormatting sqref="BI121 BM121:BO121">
    <cfRule type="containsText" dxfId="319" priority="356" operator="containsText" text="T">
      <formula>NOT(ISERROR(SEARCH("T",BI121)))</formula>
    </cfRule>
  </conditionalFormatting>
  <conditionalFormatting sqref="BI122">
    <cfRule type="containsText" dxfId="318" priority="378" operator="containsText" text="T">
      <formula>NOT(ISERROR(SEARCH("T",BI122)))</formula>
    </cfRule>
  </conditionalFormatting>
  <conditionalFormatting sqref="BI123 BM123:BO123">
    <cfRule type="containsText" dxfId="317" priority="346" operator="containsText" text="T">
      <formula>NOT(ISERROR(SEARCH("T",BI123)))</formula>
    </cfRule>
  </conditionalFormatting>
  <conditionalFormatting sqref="BI124:BI126">
    <cfRule type="containsText" dxfId="316" priority="398" operator="containsText" text="T">
      <formula>NOT(ISERROR(SEARCH("T",BI124)))</formula>
    </cfRule>
  </conditionalFormatting>
  <conditionalFormatting sqref="BI152:BI158">
    <cfRule type="containsText" dxfId="315" priority="260" operator="containsText" text="T">
      <formula>NOT(ISERROR(SEARCH("T",BI152)))</formula>
    </cfRule>
    <cfRule type="containsText" dxfId="314" priority="259" operator="containsText" text="17">
      <formula>NOT(ISERROR(SEARCH("17",BI152)))</formula>
    </cfRule>
  </conditionalFormatting>
  <conditionalFormatting sqref="BI69:BJ71 BM69:BO71">
    <cfRule type="containsText" dxfId="313" priority="337" operator="containsText" text="17">
      <formula>NOT(ISERROR(SEARCH("17",BI69)))</formula>
    </cfRule>
  </conditionalFormatting>
  <conditionalFormatting sqref="BI103:BJ104 BM103:BO104">
    <cfRule type="containsText" dxfId="312" priority="367" operator="containsText" text="17">
      <formula>NOT(ISERROR(SEARCH("17",BI103)))</formula>
    </cfRule>
  </conditionalFormatting>
  <conditionalFormatting sqref="BI121:BJ121 BM121:BO121">
    <cfRule type="containsText" dxfId="311" priority="357" operator="containsText" text="17">
      <formula>NOT(ISERROR(SEARCH("17",BI121)))</formula>
    </cfRule>
  </conditionalFormatting>
  <conditionalFormatting sqref="BI123:BJ123 BM123:BO123">
    <cfRule type="containsText" dxfId="310" priority="347" operator="containsText" text="17">
      <formula>NOT(ISERROR(SEARCH("17",BI123)))</formula>
    </cfRule>
  </conditionalFormatting>
  <conditionalFormatting sqref="BI214:BJ216">
    <cfRule type="containsText" dxfId="309" priority="5863" operator="containsText" text="T">
      <formula>NOT(ISERROR(SEARCH("T",BI214)))</formula>
    </cfRule>
    <cfRule type="containsText" dxfId="308" priority="5862" operator="containsText" text="17">
      <formula>NOT(ISERROR(SEARCH("17",BI214)))</formula>
    </cfRule>
  </conditionalFormatting>
  <conditionalFormatting sqref="BI218:BL220 BL221:BM223 BM224:BM227 BM228:BN230">
    <cfRule type="containsText" dxfId="307" priority="5627" operator="containsText" text="T">
      <formula>NOT(ISERROR(SEARCH("T",BI218)))</formula>
    </cfRule>
  </conditionalFormatting>
  <conditionalFormatting sqref="BI159:BO165">
    <cfRule type="containsText" dxfId="306" priority="253" operator="containsText" text="T">
      <formula>NOT(ISERROR(SEARCH("T",BI159)))</formula>
    </cfRule>
    <cfRule type="containsText" dxfId="305" priority="252" operator="containsText" text="17">
      <formula>NOT(ISERROR(SEARCH("17",BI159)))</formula>
    </cfRule>
  </conditionalFormatting>
  <conditionalFormatting sqref="BI28:CC32 CF28:CF32">
    <cfRule type="containsText" dxfId="304" priority="76" operator="containsText" text="T">
      <formula>NOT(ISERROR(SEARCH("T",BI28)))</formula>
    </cfRule>
  </conditionalFormatting>
  <conditionalFormatting sqref="BI28:CC32">
    <cfRule type="containsText" dxfId="303" priority="78" operator="containsText" text="17">
      <formula>NOT(ISERROR(SEARCH("17",BI28)))</formula>
    </cfRule>
  </conditionalFormatting>
  <conditionalFormatting sqref="BI48:CC49 CF48:CF49">
    <cfRule type="containsText" dxfId="302" priority="71" operator="containsText" text="T">
      <formula>NOT(ISERROR(SEARCH("T",BI48)))</formula>
    </cfRule>
  </conditionalFormatting>
  <conditionalFormatting sqref="BI48:CC49">
    <cfRule type="containsText" dxfId="301" priority="73" operator="containsText" text="17">
      <formula>NOT(ISERROR(SEARCH("17",BI48)))</formula>
    </cfRule>
  </conditionalFormatting>
  <conditionalFormatting sqref="BJ60:BJ68">
    <cfRule type="containsText" dxfId="300" priority="69" operator="containsText" text="T">
      <formula>NOT(ISERROR(SEARCH("T",BJ60)))</formula>
    </cfRule>
  </conditionalFormatting>
  <conditionalFormatting sqref="BJ69:BJ71">
    <cfRule type="containsText" dxfId="299" priority="338" operator="containsText" text="T">
      <formula>NOT(ISERROR(SEARCH("T",BJ69)))</formula>
    </cfRule>
  </conditionalFormatting>
  <conditionalFormatting sqref="BJ99:BJ102 BN99:BP102">
    <cfRule type="containsText" dxfId="298" priority="326" operator="containsText" text="T">
      <formula>NOT(ISERROR(SEARCH("T",BJ99)))</formula>
    </cfRule>
  </conditionalFormatting>
  <conditionalFormatting sqref="BJ103:BJ104">
    <cfRule type="containsText" dxfId="297" priority="368" operator="containsText" text="T">
      <formula>NOT(ISERROR(SEARCH("T",BJ103)))</formula>
    </cfRule>
  </conditionalFormatting>
  <conditionalFormatting sqref="BJ105 BN105:BP105">
    <cfRule type="containsText" dxfId="296" priority="316" operator="containsText" text="T">
      <formula>NOT(ISERROR(SEARCH("T",BJ105)))</formula>
    </cfRule>
  </conditionalFormatting>
  <conditionalFormatting sqref="BJ121">
    <cfRule type="containsText" dxfId="295" priority="358" operator="containsText" text="T">
      <formula>NOT(ISERROR(SEARCH("T",BJ121)))</formula>
    </cfRule>
  </conditionalFormatting>
  <conditionalFormatting sqref="BJ123">
    <cfRule type="containsText" dxfId="294" priority="348" operator="containsText" text="T">
      <formula>NOT(ISERROR(SEARCH("T",BJ123)))</formula>
    </cfRule>
  </conditionalFormatting>
  <conditionalFormatting sqref="BJ159:BJ165">
    <cfRule type="containsText" dxfId="293" priority="250" operator="containsText" text="T">
      <formula>NOT(ISERROR(SEARCH("T",BJ159)))</formula>
    </cfRule>
    <cfRule type="containsText" dxfId="292" priority="249" operator="containsText" text="17">
      <formula>NOT(ISERROR(SEARCH("17",BJ159)))</formula>
    </cfRule>
  </conditionalFormatting>
  <conditionalFormatting sqref="BJ199 BI206">
    <cfRule type="containsText" dxfId="291" priority="5048" operator="containsText" text="17">
      <formula>NOT(ISERROR(SEARCH("17",BI199)))</formula>
    </cfRule>
    <cfRule type="containsText" dxfId="290" priority="5049" operator="containsText" text="T">
      <formula>NOT(ISERROR(SEARCH("T",BI199)))</formula>
    </cfRule>
  </conditionalFormatting>
  <conditionalFormatting sqref="BJ99:BK102 BN99:BP102">
    <cfRule type="containsText" dxfId="289" priority="327" operator="containsText" text="17">
      <formula>NOT(ISERROR(SEARCH("17",BJ99)))</formula>
    </cfRule>
  </conditionalFormatting>
  <conditionalFormatting sqref="BJ105:BK105 BN105:CJ105">
    <cfRule type="containsText" dxfId="288" priority="317" operator="containsText" text="17">
      <formula>NOT(ISERROR(SEARCH("17",BJ105)))</formula>
    </cfRule>
  </conditionalFormatting>
  <conditionalFormatting sqref="BJ228:BN231 BK232:BN234">
    <cfRule type="containsText" dxfId="287" priority="5691" operator="containsText" text="T">
      <formula>NOT(ISERROR(SEARCH("T",BJ228)))</formula>
    </cfRule>
    <cfRule type="containsText" dxfId="286" priority="5687" operator="containsText" text="T">
      <formula>NOT(ISERROR(SEARCH("T",BJ228)))</formula>
    </cfRule>
    <cfRule type="containsText" dxfId="285" priority="5690" operator="containsText" text="17">
      <formula>NOT(ISERROR(SEARCH("17",BJ228)))</formula>
    </cfRule>
  </conditionalFormatting>
  <conditionalFormatting sqref="BJ228:BN231">
    <cfRule type="containsText" dxfId="284" priority="5686" operator="containsText" text="17">
      <formula>NOT(ISERROR(SEARCH("17",BJ228)))</formula>
    </cfRule>
  </conditionalFormatting>
  <conditionalFormatting sqref="BJ207:BP213">
    <cfRule type="containsText" dxfId="283" priority="242" operator="containsText" text="17">
      <formula>NOT(ISERROR(SEARCH("17",BJ207)))</formula>
    </cfRule>
  </conditionalFormatting>
  <conditionalFormatting sqref="BJ60:CD66 CG60:CG66">
    <cfRule type="containsText" dxfId="282" priority="66" operator="containsText" text="T">
      <formula>NOT(ISERROR(SEARCH("T",BJ60)))</formula>
    </cfRule>
  </conditionalFormatting>
  <conditionalFormatting sqref="BJ60:CD66">
    <cfRule type="containsText" dxfId="281" priority="68" operator="containsText" text="17">
      <formula>NOT(ISERROR(SEARCH("17",BJ60)))</formula>
    </cfRule>
  </conditionalFormatting>
  <conditionalFormatting sqref="BK67:BK68">
    <cfRule type="containsText" dxfId="280" priority="308" operator="containsText" text="T">
      <formula>NOT(ISERROR(SEARCH("T",BK67)))</formula>
    </cfRule>
  </conditionalFormatting>
  <conditionalFormatting sqref="BK85:BK89">
    <cfRule type="containsText" dxfId="279" priority="1010" operator="containsText" text="17">
      <formula>NOT(ISERROR(SEARCH("17",BK85)))</formula>
    </cfRule>
  </conditionalFormatting>
  <conditionalFormatting sqref="BK90:BK98">
    <cfRule type="containsText" dxfId="278" priority="64" operator="containsText" text="T">
      <formula>NOT(ISERROR(SEARCH("T",BK90)))</formula>
    </cfRule>
  </conditionalFormatting>
  <conditionalFormatting sqref="BK99:BK102">
    <cfRule type="containsText" dxfId="277" priority="328" operator="containsText" text="T">
      <formula>NOT(ISERROR(SEARCH("T",BK99)))</formula>
    </cfRule>
  </conditionalFormatting>
  <conditionalFormatting sqref="BK105">
    <cfRule type="containsText" dxfId="276" priority="318" operator="containsText" text="T">
      <formula>NOT(ISERROR(SEARCH("T",BK105)))</formula>
    </cfRule>
  </conditionalFormatting>
  <conditionalFormatting sqref="BK131:BK137 BO131:BQ137">
    <cfRule type="containsText" dxfId="275" priority="286" operator="containsText" text="T">
      <formula>NOT(ISERROR(SEARCH("T",BK131)))</formula>
    </cfRule>
  </conditionalFormatting>
  <conditionalFormatting sqref="BK199 BJ206">
    <cfRule type="containsText" dxfId="274" priority="5065" operator="containsText" text="T">
      <formula>NOT(ISERROR(SEARCH("T",BJ199)))</formula>
    </cfRule>
    <cfRule type="containsText" dxfId="273" priority="5064" operator="containsText" text="17">
      <formula>NOT(ISERROR(SEARCH("17",BJ199)))</formula>
    </cfRule>
  </conditionalFormatting>
  <conditionalFormatting sqref="BK207:BK213">
    <cfRule type="containsText" dxfId="272" priority="240" operator="containsText" text="T">
      <formula>NOT(ISERROR(SEARCH("T",BK207)))</formula>
    </cfRule>
    <cfRule type="containsText" dxfId="271" priority="239" operator="containsText" text="17">
      <formula>NOT(ISERROR(SEARCH("17",BK207)))</formula>
    </cfRule>
  </conditionalFormatting>
  <conditionalFormatting sqref="BK217:BK223 BL224:BL230">
    <cfRule type="containsText" dxfId="270" priority="5615" operator="containsText" text="T">
      <formula>NOT(ISERROR(SEARCH("T",BK217)))</formula>
    </cfRule>
    <cfRule type="containsText" dxfId="269" priority="5614" operator="containsText" text="17">
      <formula>NOT(ISERROR(SEARCH("17",BK217)))</formula>
    </cfRule>
  </conditionalFormatting>
  <conditionalFormatting sqref="BK131:BL137 BO131:BQ137">
    <cfRule type="containsText" dxfId="268" priority="287" operator="containsText" text="17">
      <formula>NOT(ISERROR(SEARCH("17",BK131)))</formula>
    </cfRule>
  </conditionalFormatting>
  <conditionalFormatting sqref="BK217:BL217">
    <cfRule type="containsText" dxfId="267" priority="5313" operator="containsText" text="T">
      <formula>NOT(ISERROR(SEARCH("T",BK217)))</formula>
    </cfRule>
    <cfRule type="containsText" dxfId="266" priority="5312" operator="containsText" text="17">
      <formula>NOT(ISERROR(SEARCH("17",BK217)))</formula>
    </cfRule>
  </conditionalFormatting>
  <conditionalFormatting sqref="BK218:BL220 BK221:BM223">
    <cfRule type="containsText" dxfId="265" priority="5620" operator="containsText" text="17">
      <formula>NOT(ISERROR(SEARCH("17",BK218)))</formula>
    </cfRule>
    <cfRule type="containsText" dxfId="264" priority="5621" operator="containsText" text="T">
      <formula>NOT(ISERROR(SEARCH("T",BK218)))</formula>
    </cfRule>
  </conditionalFormatting>
  <conditionalFormatting sqref="BK200:BQ206">
    <cfRule type="containsText" dxfId="263" priority="230" operator="containsText" text="T">
      <formula>NOT(ISERROR(SEARCH("T",BK200)))</formula>
    </cfRule>
    <cfRule type="containsText" dxfId="262" priority="229" operator="containsText" text="17">
      <formula>NOT(ISERROR(SEARCH("17",BK200)))</formula>
    </cfRule>
  </conditionalFormatting>
  <conditionalFormatting sqref="BK90:CE96 CH90:CH96">
    <cfRule type="containsText" dxfId="261" priority="61" operator="containsText" text="T">
      <formula>NOT(ISERROR(SEARCH("T",BK90)))</formula>
    </cfRule>
  </conditionalFormatting>
  <conditionalFormatting sqref="BK90:CE96">
    <cfRule type="containsText" dxfId="260" priority="63" operator="containsText" text="17">
      <formula>NOT(ISERROR(SEARCH("17",BK90)))</formula>
    </cfRule>
  </conditionalFormatting>
  <conditionalFormatting sqref="BL79">
    <cfRule type="containsText" dxfId="259" priority="3869" operator="containsText" text="T">
      <formula>NOT(ISERROR(SEARCH("T",BL79)))</formula>
    </cfRule>
    <cfRule type="containsText" dxfId="258" priority="3868" operator="containsText" text="17">
      <formula>NOT(ISERROR(SEARCH("17",BL79)))</formula>
    </cfRule>
  </conditionalFormatting>
  <conditionalFormatting sqref="BL83:BL89">
    <cfRule type="containsText" dxfId="257" priority="59" operator="containsText" text="T">
      <formula>NOT(ISERROR(SEARCH("T",BL83)))</formula>
    </cfRule>
  </conditionalFormatting>
  <conditionalFormatting sqref="BL97:BL98">
    <cfRule type="containsText" dxfId="256" priority="298" operator="containsText" text="T">
      <formula>NOT(ISERROR(SEARCH("T",BL97)))</formula>
    </cfRule>
  </conditionalFormatting>
  <conditionalFormatting sqref="BL131:BL137">
    <cfRule type="containsText" dxfId="255" priority="288" operator="containsText" text="T">
      <formula>NOT(ISERROR(SEARCH("T",BL131)))</formula>
    </cfRule>
  </conditionalFormatting>
  <conditionalFormatting sqref="BL138:BL144 BP138:BR144">
    <cfRule type="containsText" dxfId="254" priority="276" operator="containsText" text="T">
      <formula>NOT(ISERROR(SEARCH("T",BL138)))</formula>
    </cfRule>
  </conditionalFormatting>
  <conditionalFormatting sqref="BL200:BL206">
    <cfRule type="containsText" dxfId="253" priority="228" operator="containsText" text="T">
      <formula>NOT(ISERROR(SEARCH("T",BL200)))</formula>
    </cfRule>
    <cfRule type="containsText" dxfId="252" priority="227" operator="containsText" text="17">
      <formula>NOT(ISERROR(SEARCH("17",BL200)))</formula>
    </cfRule>
  </conditionalFormatting>
  <conditionalFormatting sqref="BL217">
    <cfRule type="containsText" dxfId="251" priority="5314" operator="containsText" text="17">
      <formula>NOT(ISERROR(SEARCH("17",BL217)))</formula>
    </cfRule>
    <cfRule type="containsText" dxfId="250" priority="5315" operator="containsText" text="T">
      <formula>NOT(ISERROR(SEARCH("T",BL217)))</formula>
    </cfRule>
  </conditionalFormatting>
  <conditionalFormatting sqref="BL218:BL220 BL221:BM223 BM224:BM227 BM228:BN230">
    <cfRule type="containsText" dxfId="249" priority="5626" operator="containsText" text="17">
      <formula>NOT(ISERROR(SEARCH("17",BL218)))</formula>
    </cfRule>
  </conditionalFormatting>
  <conditionalFormatting sqref="BL138:BM144 BP138:BR144">
    <cfRule type="containsText" dxfId="248" priority="277" operator="containsText" text="17">
      <formula>NOT(ISERROR(SEARCH("17",BL138)))</formula>
    </cfRule>
  </conditionalFormatting>
  <conditionalFormatting sqref="BL199:BM199 BK206:BL206">
    <cfRule type="containsText" dxfId="247" priority="2140" operator="containsText" text="T">
      <formula>NOT(ISERROR(SEARCH("T",BK199)))</formula>
    </cfRule>
    <cfRule type="containsText" dxfId="246" priority="2139" operator="containsText" text="17">
      <formula>NOT(ISERROR(SEARCH("17",BK199)))</formula>
    </cfRule>
  </conditionalFormatting>
  <conditionalFormatting sqref="BL224:BM227 BL228:BN230">
    <cfRule type="containsText" dxfId="245" priority="5619" operator="containsText" text="T">
      <formula>NOT(ISERROR(SEARCH("T",BL224)))</formula>
    </cfRule>
    <cfRule type="containsText" dxfId="244" priority="5618" operator="containsText" text="17">
      <formula>NOT(ISERROR(SEARCH("17",BL224)))</formula>
    </cfRule>
  </conditionalFormatting>
  <conditionalFormatting sqref="BL192:BR199">
    <cfRule type="containsText" dxfId="243" priority="212" operator="containsText" text="17">
      <formula>NOT(ISERROR(SEARCH("17",BL192)))</formula>
    </cfRule>
  </conditionalFormatting>
  <conditionalFormatting sqref="BL83:CF89 CI83:CI89">
    <cfRule type="containsText" dxfId="242" priority="56" operator="containsText" text="T">
      <formula>NOT(ISERROR(SEARCH("T",BL83)))</formula>
    </cfRule>
  </conditionalFormatting>
  <conditionalFormatting sqref="BL83:CF89">
    <cfRule type="containsText" dxfId="241" priority="58" operator="containsText" text="17">
      <formula>NOT(ISERROR(SEARCH("17",BL83)))</formula>
    </cfRule>
  </conditionalFormatting>
  <conditionalFormatting sqref="BM138:BM144">
    <cfRule type="containsText" dxfId="240" priority="278" operator="containsText" text="T">
      <formula>NOT(ISERROR(SEARCH("T",BM138)))</formula>
    </cfRule>
  </conditionalFormatting>
  <conditionalFormatting sqref="BM145:BM151 BQ145:BS151">
    <cfRule type="containsText" dxfId="239" priority="266" operator="containsText" text="T">
      <formula>NOT(ISERROR(SEARCH("T",BM145)))</formula>
    </cfRule>
  </conditionalFormatting>
  <conditionalFormatting sqref="BM192:BM199">
    <cfRule type="containsText" dxfId="238" priority="211" operator="containsText" text="T">
      <formula>NOT(ISERROR(SEARCH("T",BM192)))</formula>
    </cfRule>
    <cfRule type="containsText" dxfId="237" priority="210" operator="containsText" text="17">
      <formula>NOT(ISERROR(SEARCH("17",BM192)))</formula>
    </cfRule>
  </conditionalFormatting>
  <conditionalFormatting sqref="BM214:BM220">
    <cfRule type="containsText" dxfId="236" priority="54" operator="containsText" text="T">
      <formula>NOT(ISERROR(SEARCH("T",BM214)))</formula>
    </cfRule>
  </conditionalFormatting>
  <conditionalFormatting sqref="BM145:BN151 BQ145:BS151">
    <cfRule type="containsText" dxfId="235" priority="267" operator="containsText" text="17">
      <formula>NOT(ISERROR(SEARCH("17",BM145)))</formula>
    </cfRule>
  </conditionalFormatting>
  <conditionalFormatting sqref="BM168:BS174">
    <cfRule type="containsText" dxfId="234" priority="189" operator="containsText" text="T">
      <formula>NOT(ISERROR(SEARCH("T",BM168)))</formula>
    </cfRule>
    <cfRule type="containsText" dxfId="233" priority="188" operator="containsText" text="17">
      <formula>NOT(ISERROR(SEARCH("17",BM168)))</formula>
    </cfRule>
  </conditionalFormatting>
  <conditionalFormatting sqref="BM214:CG220 CJ214:CJ220">
    <cfRule type="containsText" dxfId="232" priority="51" operator="containsText" text="T">
      <formula>NOT(ISERROR(SEARCH("T",BM214)))</formula>
    </cfRule>
  </conditionalFormatting>
  <conditionalFormatting sqref="BM214:CG220">
    <cfRule type="containsText" dxfId="231" priority="53" operator="containsText" text="17">
      <formula>NOT(ISERROR(SEARCH("17",BM214)))</formula>
    </cfRule>
  </conditionalFormatting>
  <conditionalFormatting sqref="BM79:CJ82 CJ83:CJ84">
    <cfRule type="containsText" dxfId="230" priority="1015" operator="containsText" text="17">
      <formula>NOT(ISERROR(SEARCH("17",BM79)))</formula>
    </cfRule>
  </conditionalFormatting>
  <conditionalFormatting sqref="BN145:BN151">
    <cfRule type="containsText" dxfId="229" priority="268" operator="containsText" text="T">
      <formula>NOT(ISERROR(SEARCH("T",BN145)))</formula>
    </cfRule>
  </conditionalFormatting>
  <conditionalFormatting sqref="BN152:BN158 BR152:BT158">
    <cfRule type="containsText" dxfId="228" priority="256" operator="containsText" text="T">
      <formula>NOT(ISERROR(SEARCH("T",BN152)))</formula>
    </cfRule>
  </conditionalFormatting>
  <conditionalFormatting sqref="BN168:BN174">
    <cfRule type="containsText" dxfId="227" priority="186" operator="containsText" text="17">
      <formula>NOT(ISERROR(SEARCH("17",BN168)))</formula>
    </cfRule>
    <cfRule type="containsText" dxfId="226" priority="187" operator="containsText" text="T">
      <formula>NOT(ISERROR(SEARCH("T",BN168)))</formula>
    </cfRule>
  </conditionalFormatting>
  <conditionalFormatting sqref="BN221:BN227">
    <cfRule type="containsText" dxfId="225" priority="49" operator="containsText" text="T">
      <formula>NOT(ISERROR(SEARCH("T",BN221)))</formula>
    </cfRule>
  </conditionalFormatting>
  <conditionalFormatting sqref="BN152:BO158 BR152:BT158">
    <cfRule type="containsText" dxfId="224" priority="257" operator="containsText" text="17">
      <formula>NOT(ISERROR(SEARCH("17",BN152)))</formula>
    </cfRule>
  </conditionalFormatting>
  <conditionalFormatting sqref="BN67:BP68 BJ67:BK68">
    <cfRule type="containsText" dxfId="223" priority="307" operator="containsText" text="17">
      <formula>NOT(ISERROR(SEARCH("17",BJ67)))</formula>
    </cfRule>
  </conditionalFormatting>
  <conditionalFormatting sqref="BN67:BP68">
    <cfRule type="containsText" dxfId="222" priority="306" operator="containsText" text="T">
      <formula>NOT(ISERROR(SEARCH("T",BN67)))</formula>
    </cfRule>
  </conditionalFormatting>
  <conditionalFormatting sqref="BN175:BT181">
    <cfRule type="containsText" dxfId="221" priority="165" operator="containsText" text="T">
      <formula>NOT(ISERROR(SEARCH("T",BN175)))</formula>
    </cfRule>
    <cfRule type="containsText" dxfId="220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19" priority="918" operator="containsText" text="T">
      <formula>NOT(ISERROR(SEARCH("T",BM192)))</formula>
    </cfRule>
  </conditionalFormatting>
  <conditionalFormatting sqref="BN221:CH227 CK221:CK227">
    <cfRule type="containsText" dxfId="218" priority="46" operator="containsText" text="T">
      <formula>NOT(ISERROR(SEARCH("T",BN221)))</formula>
    </cfRule>
  </conditionalFormatting>
  <conditionalFormatting sqref="BN221:CH227">
    <cfRule type="containsText" dxfId="217" priority="48" operator="containsText" text="17">
      <formula>NOT(ISERROR(SEARCH("17",BN221)))</formula>
    </cfRule>
  </conditionalFormatting>
  <conditionalFormatting sqref="BN107:CJ109">
    <cfRule type="containsText" dxfId="216" priority="993" operator="containsText" text="17">
      <formula>NOT(ISERROR(SEARCH("17",BN107)))</formula>
    </cfRule>
  </conditionalFormatting>
  <conditionalFormatting sqref="BN111:CJ112 BM113:BP115">
    <cfRule type="containsText" dxfId="215" priority="987" operator="containsText" text="17">
      <formula>NOT(ISERROR(SEARCH("17",BM111)))</formula>
    </cfRule>
  </conditionalFormatting>
  <conditionalFormatting sqref="BO152:BO158">
    <cfRule type="containsText" dxfId="214" priority="258" operator="containsText" text="T">
      <formula>NOT(ISERROR(SEARCH("T",BO152)))</formula>
    </cfRule>
  </conditionalFormatting>
  <conditionalFormatting sqref="BO159:BO165 BS159:BU165">
    <cfRule type="containsText" dxfId="213" priority="246" operator="containsText" text="T">
      <formula>NOT(ISERROR(SEARCH("T",BO159)))</formula>
    </cfRule>
  </conditionalFormatting>
  <conditionalFormatting sqref="BO175:BO181">
    <cfRule type="containsText" dxfId="212" priority="163" operator="containsText" text="T">
      <formula>NOT(ISERROR(SEARCH("T",BO175)))</formula>
    </cfRule>
    <cfRule type="containsText" dxfId="211" priority="162" operator="containsText" text="17">
      <formula>NOT(ISERROR(SEARCH("17",BO175)))</formula>
    </cfRule>
  </conditionalFormatting>
  <conditionalFormatting sqref="BO228:BO234">
    <cfRule type="containsText" dxfId="210" priority="44" operator="containsText" text="T">
      <formula>NOT(ISERROR(SEARCH("T",BO228)))</formula>
    </cfRule>
  </conditionalFormatting>
  <conditionalFormatting sqref="BO118:BP119">
    <cfRule type="containsText" dxfId="209" priority="982" operator="containsText" text="17">
      <formula>NOT(ISERROR(SEARCH("17",BO118)))</formula>
    </cfRule>
  </conditionalFormatting>
  <conditionalFormatting sqref="BO159:BP165 BS159:BU165">
    <cfRule type="containsText" dxfId="208" priority="247" operator="containsText" text="17">
      <formula>NOT(ISERROR(SEARCH("17",BO159)))</formula>
    </cfRule>
  </conditionalFormatting>
  <conditionalFormatting sqref="BO182:BU188">
    <cfRule type="containsText" dxfId="207" priority="140" operator="containsText" text="17">
      <formula>NOT(ISERROR(SEARCH("17",BO182)))</formula>
    </cfRule>
    <cfRule type="containsText" dxfId="206" priority="141" operator="containsText" text="T">
      <formula>NOT(ISERROR(SEARCH("T",BO182)))</formula>
    </cfRule>
  </conditionalFormatting>
  <conditionalFormatting sqref="BO228:CI234 CL228:CL234">
    <cfRule type="containsText" dxfId="205" priority="41" operator="containsText" text="T">
      <formula>NOT(ISERROR(SEARCH("T",BO228)))</formula>
    </cfRule>
  </conditionalFormatting>
  <conditionalFormatting sqref="BO228:CI234">
    <cfRule type="containsText" dxfId="204" priority="43" operator="containsText" text="17">
      <formula>NOT(ISERROR(SEARCH("17",BO228)))</formula>
    </cfRule>
  </conditionalFormatting>
  <conditionalFormatting sqref="BO73:CK75 BN76:CK77 CK78">
    <cfRule type="containsText" dxfId="203" priority="1021" operator="containsText" text="17">
      <formula>NOT(ISERROR(SEARCH("17",BN73)))</formula>
    </cfRule>
  </conditionalFormatting>
  <conditionalFormatting sqref="BO97:CP98 BK97:BL98">
    <cfRule type="containsText" dxfId="202" priority="297" operator="containsText" text="17">
      <formula>NOT(ISERROR(SEARCH("17",BK97)))</formula>
    </cfRule>
  </conditionalFormatting>
  <conditionalFormatting sqref="BO97:CP98">
    <cfRule type="containsText" dxfId="201" priority="296" operator="containsText" text="T">
      <formula>NOT(ISERROR(SEARCH("T",BO97)))</formula>
    </cfRule>
  </conditionalFormatting>
  <conditionalFormatting sqref="BP159:BP165">
    <cfRule type="containsText" dxfId="200" priority="248" operator="containsText" text="T">
      <formula>NOT(ISERROR(SEARCH("T",BP159)))</formula>
    </cfRule>
  </conditionalFormatting>
  <conditionalFormatting sqref="BP182:BP188">
    <cfRule type="containsText" dxfId="199" priority="138" operator="containsText" text="17">
      <formula>NOT(ISERROR(SEARCH("17",BP182)))</formula>
    </cfRule>
    <cfRule type="containsText" dxfId="198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197" priority="920" operator="containsText" text="T">
      <formula>NOT(ISERROR(SEARCH("T",BM192)))</formula>
    </cfRule>
  </conditionalFormatting>
  <conditionalFormatting sqref="BP200:BP213">
    <cfRule type="containsText" dxfId="196" priority="233" operator="containsText" text="T">
      <formula>NOT(ISERROR(SEARCH("T",BP200)))</formula>
    </cfRule>
  </conditionalFormatting>
  <conditionalFormatting sqref="BP207:BQ213">
    <cfRule type="containsText" dxfId="195" priority="237" operator="containsText" text="17">
      <formula>NOT(ISERROR(SEARCH("17",BP207)))</formula>
    </cfRule>
  </conditionalFormatting>
  <conditionalFormatting sqref="BP194:BT194 BM195:BS195 BO196:BT198">
    <cfRule type="containsText" dxfId="194" priority="919" operator="containsText" text="17">
      <formula>NOT(ISERROR(SEARCH("17",BM194)))</formula>
    </cfRule>
  </conditionalFormatting>
  <conditionalFormatting sqref="BP14:BV14">
    <cfRule type="containsText" dxfId="193" priority="131" operator="containsText" text="17">
      <formula>NOT(ISERROR(SEARCH("17",BP14)))</formula>
    </cfRule>
    <cfRule type="containsText" dxfId="192" priority="132" operator="containsText" text="T">
      <formula>NOT(ISERROR(SEARCH("T",BP14)))</formula>
    </cfRule>
  </conditionalFormatting>
  <conditionalFormatting sqref="BP189:BV190">
    <cfRule type="containsText" dxfId="191" priority="924" operator="containsText" text="T">
      <formula>NOT(ISERROR(SEARCH("T",BP189)))</formula>
    </cfRule>
  </conditionalFormatting>
  <conditionalFormatting sqref="BP120:BZ126">
    <cfRule type="containsText" dxfId="190" priority="21" operator="containsText" text="17">
      <formula>NOT(ISERROR(SEARCH("17",BP120)))</formula>
    </cfRule>
  </conditionalFormatting>
  <conditionalFormatting sqref="BP80:CB82">
    <cfRule type="containsText" dxfId="189" priority="1016" operator="containsText" text="17">
      <formula>NOT(ISERROR(SEARCH("17",BP80)))</formula>
    </cfRule>
  </conditionalFormatting>
  <conditionalFormatting sqref="BP106:CB109">
    <cfRule type="containsText" dxfId="188" priority="994" operator="containsText" text="17">
      <formula>NOT(ISERROR(SEARCH("17",BP106)))</formula>
    </cfRule>
  </conditionalFormatting>
  <conditionalFormatting sqref="BP112:CB112">
    <cfRule type="containsText" dxfId="187" priority="988" operator="containsText" text="17">
      <formula>NOT(ISERROR(SEARCH("17",BP112)))</formula>
    </cfRule>
  </conditionalFormatting>
  <conditionalFormatting sqref="BP120:CM126">
    <cfRule type="containsText" dxfId="186" priority="30" operator="containsText" text="T">
      <formula>NOT(ISERROR(SEARCH("T",BP120)))</formula>
    </cfRule>
    <cfRule type="containsText" dxfId="185" priority="32" operator="containsText" text="17">
      <formula>NOT(ISERROR(SEARCH("17",BP120)))</formula>
    </cfRule>
  </conditionalFormatting>
  <conditionalFormatting sqref="BP120:CP126">
    <cfRule type="containsText" dxfId="184" priority="33" operator="containsText" text="T">
      <formula>NOT(ISERROR(SEARCH("T",BP120)))</formula>
    </cfRule>
    <cfRule type="containsText" dxfId="183" priority="40" operator="containsText" text="17">
      <formula>NOT(ISERROR(SEARCH("17",BP120)))</formula>
    </cfRule>
  </conditionalFormatting>
  <conditionalFormatting sqref="BQ14">
    <cfRule type="containsText" dxfId="182" priority="128" operator="containsText" text="T">
      <formula>NOT(ISERROR(SEARCH("T",BQ14)))</formula>
    </cfRule>
    <cfRule type="containsText" dxfId="181" priority="127" operator="containsText" text="17">
      <formula>NOT(ISERROR(SEARCH("17",BQ14)))</formula>
    </cfRule>
  </conditionalFormatting>
  <conditionalFormatting sqref="BQ192:BQ206">
    <cfRule type="containsText" dxfId="180" priority="216" operator="containsText" text="T">
      <formula>NOT(ISERROR(SEARCH("T",BQ192)))</formula>
    </cfRule>
  </conditionalFormatting>
  <conditionalFormatting sqref="BQ207:BQ213">
    <cfRule type="containsText" dxfId="179" priority="238" operator="containsText" text="T">
      <formula>NOT(ISERROR(SEARCH("T",BQ207)))</formula>
    </cfRule>
  </conditionalFormatting>
  <conditionalFormatting sqref="BQ200:BR206">
    <cfRule type="containsText" dxfId="178" priority="225" operator="containsText" text="17">
      <formula>NOT(ISERROR(SEARCH("17",BQ200)))</formula>
    </cfRule>
  </conditionalFormatting>
  <conditionalFormatting sqref="BQ34:BW34">
    <cfRule type="containsText" dxfId="177" priority="119" operator="containsText" text="17">
      <formula>NOT(ISERROR(SEARCH("17",BQ34)))</formula>
    </cfRule>
    <cfRule type="containsText" dxfId="176" priority="120" operator="containsText" text="T">
      <formula>NOT(ISERROR(SEARCH("T",BQ34)))</formula>
    </cfRule>
  </conditionalFormatting>
  <conditionalFormatting sqref="BQ113:CA119">
    <cfRule type="containsText" dxfId="175" priority="1" operator="containsText" text="17">
      <formula>NOT(ISERROR(SEARCH("17",BQ113)))</formula>
    </cfRule>
  </conditionalFormatting>
  <conditionalFormatting sqref="BQ100:CB102 BP103:CB103">
    <cfRule type="containsText" dxfId="174" priority="999" operator="containsText" text="17">
      <formula>NOT(ISERROR(SEARCH("17",BP100)))</formula>
    </cfRule>
  </conditionalFormatting>
  <conditionalFormatting sqref="BQ113:CN119">
    <cfRule type="containsText" dxfId="173" priority="12" operator="containsText" text="17">
      <formula>NOT(ISERROR(SEARCH("17",BQ113)))</formula>
    </cfRule>
    <cfRule type="containsText" dxfId="172" priority="10" operator="containsText" text="T">
      <formula>NOT(ISERROR(SEARCH("T",BQ113)))</formula>
    </cfRule>
  </conditionalFormatting>
  <conditionalFormatting sqref="BQ113:CP119">
    <cfRule type="containsText" dxfId="171" priority="20" operator="containsText" text="17">
      <formula>NOT(ISERROR(SEARCH("17",BQ113)))</formula>
    </cfRule>
    <cfRule type="containsText" dxfId="170" priority="13" operator="containsText" text="T">
      <formula>NOT(ISERROR(SEARCH("T",BQ113)))</formula>
    </cfRule>
  </conditionalFormatting>
  <conditionalFormatting sqref="BR34">
    <cfRule type="containsText" dxfId="169" priority="115" operator="containsText" text="17">
      <formula>NOT(ISERROR(SEARCH("17",BR34)))</formula>
    </cfRule>
    <cfRule type="containsText" dxfId="168" priority="116" operator="containsText" text="T">
      <formula>NOT(ISERROR(SEARCH("T",BR34)))</formula>
    </cfRule>
  </conditionalFormatting>
  <conditionalFormatting sqref="BR192:BR199">
    <cfRule type="containsText" dxfId="167" priority="207" operator="containsText" text="T">
      <formula>NOT(ISERROR(SEARCH("T",BR192)))</formula>
    </cfRule>
  </conditionalFormatting>
  <conditionalFormatting sqref="BR200:BR206">
    <cfRule type="containsText" dxfId="166" priority="226" operator="containsText" text="T">
      <formula>NOT(ISERROR(SEARCH("T",BR200)))</formula>
    </cfRule>
  </conditionalFormatting>
  <conditionalFormatting sqref="BR50:BS50 BU50:BY50">
    <cfRule type="containsText" dxfId="165" priority="1034" operator="containsText" text="17">
      <formula>NOT(ISERROR(SEARCH("17",BR50)))</formula>
    </cfRule>
    <cfRule type="containsText" dxfId="164" priority="1035" operator="containsText" text="T">
      <formula>NOT(ISERROR(SEARCH("T",BR50)))</formula>
    </cfRule>
  </conditionalFormatting>
  <conditionalFormatting sqref="BR192:BS199">
    <cfRule type="containsText" dxfId="163" priority="208" operator="containsText" text="17">
      <formula>NOT(ISERROR(SEARCH("17",BR192)))</formula>
    </cfRule>
  </conditionalFormatting>
  <conditionalFormatting sqref="BR21:BX21">
    <cfRule type="containsText" dxfId="162" priority="108" operator="containsText" text="T">
      <formula>NOT(ISERROR(SEARCH("T",BR21)))</formula>
    </cfRule>
    <cfRule type="containsText" dxfId="161" priority="107" operator="containsText" text="17">
      <formula>NOT(ISERROR(SEARCH("17",BR21)))</formula>
    </cfRule>
  </conditionalFormatting>
  <conditionalFormatting sqref="BR68:CD71 BQ74:CC77">
    <cfRule type="containsText" dxfId="160" priority="1022" operator="containsText" text="17">
      <formula>NOT(ISERROR(SEARCH("17",BQ68)))</formula>
    </cfRule>
  </conditionalFormatting>
  <conditionalFormatting sqref="BS21">
    <cfRule type="containsText" dxfId="159" priority="103" operator="containsText" text="17">
      <formula>NOT(ISERROR(SEARCH("17",BS21)))</formula>
    </cfRule>
    <cfRule type="containsText" dxfId="158" priority="104" operator="containsText" text="T">
      <formula>NOT(ISERROR(SEARCH("T",BS21)))</formula>
    </cfRule>
  </conditionalFormatting>
  <conditionalFormatting sqref="BS127 BC199 BB206">
    <cfRule type="containsText" dxfId="157" priority="2146" operator="containsText" text="T">
      <formula>NOT(ISERROR(SEARCH("T",BB127)))</formula>
    </cfRule>
  </conditionalFormatting>
  <conditionalFormatting sqref="BS127 BC199:BR199 BB206:BQ206">
    <cfRule type="containsText" dxfId="156" priority="5051" operator="containsText" text="T">
      <formula>NOT(ISERROR(SEARCH("T",BB127)))</formula>
    </cfRule>
  </conditionalFormatting>
  <conditionalFormatting sqref="BS168:BS181">
    <cfRule type="containsText" dxfId="155" priority="168" operator="containsText" text="T">
      <formula>NOT(ISERROR(SEARCH("T",BS168)))</formula>
    </cfRule>
  </conditionalFormatting>
  <conditionalFormatting sqref="BS192:BS199">
    <cfRule type="containsText" dxfId="154" priority="209" operator="containsText" text="T">
      <formula>NOT(ISERROR(SEARCH("T",BS192)))</formula>
    </cfRule>
  </conditionalFormatting>
  <conditionalFormatting sqref="BS168:BT174">
    <cfRule type="containsText" dxfId="153" priority="184" operator="containsText" text="17">
      <formula>NOT(ISERROR(SEARCH("17",BS168)))</formula>
    </cfRule>
  </conditionalFormatting>
  <conditionalFormatting sqref="BS199:BT199 BR206:BS206">
    <cfRule type="containsText" dxfId="152" priority="2150" operator="containsText" text="T">
      <formula>NOT(ISERROR(SEARCH("T",BR199)))</formula>
    </cfRule>
    <cfRule type="containsText" dxfId="151" priority="2149" operator="containsText" text="17">
      <formula>NOT(ISERROR(SEARCH("17",BR199)))</formula>
    </cfRule>
  </conditionalFormatting>
  <conditionalFormatting sqref="BS41:BY41">
    <cfRule type="containsText" dxfId="150" priority="95" operator="containsText" text="17">
      <formula>NOT(ISERROR(SEARCH("17",BS41)))</formula>
    </cfRule>
    <cfRule type="containsText" dxfId="149" priority="96" operator="containsText" text="T">
      <formula>NOT(ISERROR(SEARCH("T",BS41)))</formula>
    </cfRule>
  </conditionalFormatting>
  <conditionalFormatting sqref="BT41">
    <cfRule type="containsText" dxfId="148" priority="91" operator="containsText" text="17">
      <formula>NOT(ISERROR(SEARCH("17",BT41)))</formula>
    </cfRule>
    <cfRule type="containsText" dxfId="147" priority="92" operator="containsText" text="T">
      <formula>NOT(ISERROR(SEARCH("T",BT41)))</formula>
    </cfRule>
  </conditionalFormatting>
  <conditionalFormatting sqref="BT50:BT52 BZ50:BZ52 BU51:BY52">
    <cfRule type="containsText" dxfId="146" priority="8559" operator="containsText" text="17">
      <formula>NOT(ISERROR(SEARCH("17",BT50)))</formula>
    </cfRule>
    <cfRule type="containsText" dxfId="145" priority="8560" operator="containsText" text="T">
      <formula>NOT(ISERROR(SEARCH("T",BT50)))</formula>
    </cfRule>
  </conditionalFormatting>
  <conditionalFormatting sqref="BT145:BT148">
    <cfRule type="containsText" dxfId="144" priority="1589" operator="containsText" text="17">
      <formula>NOT(ISERROR(SEARCH("17",BT145)))</formula>
    </cfRule>
    <cfRule type="containsText" dxfId="143" priority="1590" operator="containsText" text="T">
      <formula>NOT(ISERROR(SEARCH("T",BT145)))</formula>
    </cfRule>
    <cfRule type="containsText" dxfId="142" priority="8534" operator="containsText" text="T">
      <formula>NOT(ISERROR(SEARCH("T",BT145)))</formula>
    </cfRule>
  </conditionalFormatting>
  <conditionalFormatting sqref="BT168:BT174">
    <cfRule type="containsText" dxfId="141" priority="185" operator="containsText" text="T">
      <formula>NOT(ISERROR(SEARCH("T",BT168)))</formula>
    </cfRule>
  </conditionalFormatting>
  <conditionalFormatting sqref="BT175:BT188">
    <cfRule type="containsText" dxfId="140" priority="144" operator="containsText" text="T">
      <formula>NOT(ISERROR(SEARCH("T",BT175)))</formula>
    </cfRule>
  </conditionalFormatting>
  <conditionalFormatting sqref="BT175:BU181">
    <cfRule type="containsText" dxfId="139" priority="160" operator="containsText" text="17">
      <formula>NOT(ISERROR(SEARCH("17",BT175)))</formula>
    </cfRule>
  </conditionalFormatting>
  <conditionalFormatting sqref="BT139:CQ144">
    <cfRule type="containsText" dxfId="138" priority="968" operator="containsText" text="T">
      <formula>NOT(ISERROR(SEARCH("T",BT139)))</formula>
    </cfRule>
    <cfRule type="containsText" dxfId="137" priority="965" operator="containsText" text="17">
      <formula>NOT(ISERROR(SEARCH("17",BT139)))</formula>
    </cfRule>
  </conditionalFormatting>
  <conditionalFormatting sqref="BU175:BU181">
    <cfRule type="containsText" dxfId="136" priority="161" operator="containsText" text="T">
      <formula>NOT(ISERROR(SEARCH("T",BU175)))</formula>
    </cfRule>
  </conditionalFormatting>
  <conditionalFormatting sqref="BU182:BU188">
    <cfRule type="containsText" dxfId="135" priority="135" operator="containsText" text="T">
      <formula>NOT(ISERROR(SEARCH("T",BU182)))</formula>
    </cfRule>
  </conditionalFormatting>
  <conditionalFormatting sqref="BU200:BU202 AX210:AX211">
    <cfRule type="containsText" dxfId="134" priority="8520" operator="containsText" text="T">
      <formula>NOT(ISERROR(SEARCH("T",AX200)))</formula>
    </cfRule>
  </conditionalFormatting>
  <conditionalFormatting sqref="BU200:BU202 AY190 AX191:BH191 BK191 BO191:BS191">
    <cfRule type="containsText" dxfId="133" priority="8513" operator="containsText" text="17">
      <formula>NOT(ISERROR(SEARCH("17",AX190)))</formula>
    </cfRule>
  </conditionalFormatting>
  <conditionalFormatting sqref="BU182:BV188">
    <cfRule type="containsText" dxfId="132" priority="136" operator="containsText" text="17">
      <formula>NOT(ISERROR(SEARCH("17",BU182)))</formula>
    </cfRule>
  </conditionalFormatting>
  <conditionalFormatting sqref="BU200:BW206">
    <cfRule type="containsText" dxfId="131" priority="231" operator="containsText" text="17">
      <formula>NOT(ISERROR(SEARCH("17",BU200)))</formula>
    </cfRule>
  </conditionalFormatting>
  <conditionalFormatting sqref="BU153:CQ158">
    <cfRule type="containsText" dxfId="130" priority="952" operator="containsText" text="17">
      <formula>NOT(ISERROR(SEARCH("17",BU153)))</formula>
    </cfRule>
    <cfRule type="containsText" dxfId="129" priority="955" operator="containsText" text="T">
      <formula>NOT(ISERROR(SEARCH("T",BU153)))</formula>
    </cfRule>
  </conditionalFormatting>
  <conditionalFormatting sqref="BU146:CR151 BV160:CQ165">
    <cfRule type="containsText" dxfId="128" priority="8367" operator="containsText" text="17">
      <formula>NOT(ISERROR(SEARCH("17",BU146)))</formula>
    </cfRule>
  </conditionalFormatting>
  <conditionalFormatting sqref="BU146:CR151">
    <cfRule type="containsText" dxfId="127" priority="964" operator="containsText" text="T">
      <formula>NOT(ISERROR(SEARCH("T",BU146)))</formula>
    </cfRule>
  </conditionalFormatting>
  <conditionalFormatting sqref="BV14 BZ14:CB14 BE15:BY20 CB15:CB20">
    <cfRule type="containsText" dxfId="126" priority="124" operator="containsText" text="T">
      <formula>NOT(ISERROR(SEARCH("T",BE14)))</formula>
    </cfRule>
  </conditionalFormatting>
  <conditionalFormatting sqref="BV182:BV188">
    <cfRule type="containsText" dxfId="125" priority="137" operator="containsText" text="T">
      <formula>NOT(ISERROR(SEARCH("T",BV182)))</formula>
    </cfRule>
  </conditionalFormatting>
  <conditionalFormatting sqref="BV192:BV199">
    <cfRule type="containsText" dxfId="124" priority="218" operator="containsText" text="T">
      <formula>NOT(ISERROR(SEARCH("T",BV192)))</formula>
    </cfRule>
    <cfRule type="containsText" dxfId="123" priority="219" operator="containsText" text="17">
      <formula>NOT(ISERROR(SEARCH("17",BV192)))</formula>
    </cfRule>
    <cfRule type="containsText" dxfId="122" priority="221" operator="containsText" text="17">
      <formula>NOT(ISERROR(SEARCH("17",BV192)))</formula>
    </cfRule>
    <cfRule type="containsText" dxfId="121" priority="217" operator="containsText" text="17">
      <formula>NOT(ISERROR(SEARCH("17",BV192)))</formula>
    </cfRule>
    <cfRule type="containsText" dxfId="120" priority="220" operator="containsText" text="T">
      <formula>NOT(ISERROR(SEARCH("T",BV192)))</formula>
    </cfRule>
  </conditionalFormatting>
  <conditionalFormatting sqref="BV199 BU206">
    <cfRule type="containsText" dxfId="119" priority="2147" operator="containsText" text="17">
      <formula>NOT(ISERROR(SEARCH("17",BU199)))</formula>
    </cfRule>
    <cfRule type="containsText" dxfId="118" priority="2148" operator="containsText" text="T">
      <formula>NOT(ISERROR(SEARCH("T",BU199)))</formula>
    </cfRule>
  </conditionalFormatting>
  <conditionalFormatting sqref="BV14:BW14 BZ14:CB14 CB15:CB20">
    <cfRule type="containsText" dxfId="117" priority="125" operator="containsText" text="17">
      <formula>NOT(ISERROR(SEARCH("17",BV14)))</formula>
    </cfRule>
  </conditionalFormatting>
  <conditionalFormatting sqref="BV192:BX199">
    <cfRule type="containsText" dxfId="116" priority="214" operator="containsText" text="17">
      <formula>NOT(ISERROR(SEARCH("17",BV192)))</formula>
    </cfRule>
    <cfRule type="containsText" dxfId="115" priority="215" operator="containsText" text="T">
      <formula>NOT(ISERROR(SEARCH("T",BV192)))</formula>
    </cfRule>
  </conditionalFormatting>
  <conditionalFormatting sqref="BV133:CH137">
    <cfRule type="containsText" dxfId="114" priority="971" operator="containsText" text="17">
      <formula>NOT(ISERROR(SEARCH("17",BV133)))</formula>
    </cfRule>
  </conditionalFormatting>
  <conditionalFormatting sqref="BV160:CQ165">
    <cfRule type="containsText" dxfId="113" priority="951" operator="containsText" text="T">
      <formula>NOT(ISERROR(SEARCH("T",BV160)))</formula>
    </cfRule>
  </conditionalFormatting>
  <conditionalFormatting sqref="BW14">
    <cfRule type="containsText" dxfId="112" priority="126" operator="containsText" text="T">
      <formula>NOT(ISERROR(SEARCH("T",BW14)))</formula>
    </cfRule>
  </conditionalFormatting>
  <conditionalFormatting sqref="BW34 CA34:CC34 BF35:BZ40 CC35:CC40">
    <cfRule type="containsText" dxfId="111" priority="112" operator="containsText" text="T">
      <formula>NOT(ISERROR(SEARCH("T",BF34)))</formula>
    </cfRule>
  </conditionalFormatting>
  <conditionalFormatting sqref="BW168:BW174">
    <cfRule type="containsText" dxfId="110" priority="202" operator="containsText" text="T">
      <formula>NOT(ISERROR(SEARCH("T",BW168)))</formula>
    </cfRule>
    <cfRule type="containsText" dxfId="109" priority="201" operator="containsText" text="17">
      <formula>NOT(ISERROR(SEARCH("17",BW168)))</formula>
    </cfRule>
    <cfRule type="containsText" dxfId="108" priority="200" operator="containsText" text="T">
      <formula>NOT(ISERROR(SEARCH("T",BW168)))</formula>
    </cfRule>
    <cfRule type="containsText" dxfId="107" priority="199" operator="containsText" text="17">
      <formula>NOT(ISERROR(SEARCH("17",BW168)))</formula>
    </cfRule>
    <cfRule type="containsText" dxfId="106" priority="203" operator="containsText" text="17">
      <formula>NOT(ISERROR(SEARCH("17",BW168)))</formula>
    </cfRule>
    <cfRule type="containsText" dxfId="105" priority="204" operator="containsText" text="T">
      <formula>NOT(ISERROR(SEARCH("T",BW168)))</formula>
    </cfRule>
  </conditionalFormatting>
  <conditionalFormatting sqref="BW34:BX34 CA34:CC34 CC35:CC40">
    <cfRule type="containsText" dxfId="104" priority="113" operator="containsText" text="17">
      <formula>NOT(ISERROR(SEARCH("17",BW34)))</formula>
    </cfRule>
  </conditionalFormatting>
  <conditionalFormatting sqref="BW168:BY174">
    <cfRule type="containsText" dxfId="103" priority="190" operator="containsText" text="17">
      <formula>NOT(ISERROR(SEARCH("17",BW168)))</formula>
    </cfRule>
  </conditionalFormatting>
  <conditionalFormatting sqref="BW160:CG165">
    <cfRule type="containsText" dxfId="102" priority="949" operator="containsText" text="17">
      <formula>NOT(ISERROR(SEARCH("17",BW160)))</formula>
    </cfRule>
  </conditionalFormatting>
  <conditionalFormatting sqref="BW140:CI144">
    <cfRule type="containsText" dxfId="101" priority="966" operator="containsText" text="17">
      <formula>NOT(ISERROR(SEARCH("17",BW140)))</formula>
    </cfRule>
  </conditionalFormatting>
  <conditionalFormatting sqref="BW154:CI158">
    <cfRule type="containsText" dxfId="100" priority="953" operator="containsText" text="17">
      <formula>NOT(ISERROR(SEARCH("17",BW154)))</formula>
    </cfRule>
  </conditionalFormatting>
  <conditionalFormatting sqref="BW161:CI165">
    <cfRule type="containsText" dxfId="99" priority="946" operator="containsText" text="17">
      <formula>NOT(ISERROR(SEARCH("17",BW161)))</formula>
    </cfRule>
  </conditionalFormatting>
  <conditionalFormatting sqref="BX21 CB21:CD21 BG22:CA27 CD22:CD27">
    <cfRule type="containsText" dxfId="98" priority="100" operator="containsText" text="T">
      <formula>NOT(ISERROR(SEARCH("T",BG21)))</formula>
    </cfRule>
  </conditionalFormatting>
  <conditionalFormatting sqref="BX34">
    <cfRule type="containsText" dxfId="97" priority="114" operator="containsText" text="T">
      <formula>NOT(ISERROR(SEARCH("T",BX34)))</formula>
    </cfRule>
  </conditionalFormatting>
  <conditionalFormatting sqref="BX175:BX181">
    <cfRule type="containsText" dxfId="96" priority="178" operator="containsText" text="T">
      <formula>NOT(ISERROR(SEARCH("T",BX175)))</formula>
    </cfRule>
    <cfRule type="containsText" dxfId="95" priority="175" operator="containsText" text="17">
      <formula>NOT(ISERROR(SEARCH("17",BX175)))</formula>
    </cfRule>
    <cfRule type="containsText" dxfId="94" priority="176" operator="containsText" text="T">
      <formula>NOT(ISERROR(SEARCH("T",BX175)))</formula>
    </cfRule>
    <cfRule type="containsText" dxfId="93" priority="177" operator="containsText" text="17">
      <formula>NOT(ISERROR(SEARCH("17",BX175)))</formula>
    </cfRule>
    <cfRule type="containsText" dxfId="92" priority="179" operator="containsText" text="17">
      <formula>NOT(ISERROR(SEARCH("17",BX175)))</formula>
    </cfRule>
    <cfRule type="containsText" dxfId="91" priority="180" operator="containsText" text="T">
      <formula>NOT(ISERROR(SEARCH("T",BX175)))</formula>
    </cfRule>
  </conditionalFormatting>
  <conditionalFormatting sqref="BX21:BY21 CB21:CD21 CD22:CD27">
    <cfRule type="containsText" dxfId="90" priority="101" operator="containsText" text="17">
      <formula>NOT(ISERROR(SEARCH("17",BX21)))</formula>
    </cfRule>
  </conditionalFormatting>
  <conditionalFormatting sqref="BX175:BZ181">
    <cfRule type="containsText" dxfId="89" priority="166" operator="containsText" text="17">
      <formula>NOT(ISERROR(SEARCH("17",BX175)))</formula>
    </cfRule>
  </conditionalFormatting>
  <conditionalFormatting sqref="BX146:CH151">
    <cfRule type="containsText" dxfId="88" priority="962" operator="containsText" text="17">
      <formula>NOT(ISERROR(SEARCH("17",BX146)))</formula>
    </cfRule>
  </conditionalFormatting>
  <conditionalFormatting sqref="BX147:CJ151">
    <cfRule type="containsText" dxfId="87" priority="959" operator="containsText" text="17">
      <formula>NOT(ISERROR(SEARCH("17",BX147)))</formula>
    </cfRule>
  </conditionalFormatting>
  <conditionalFormatting sqref="BY21">
    <cfRule type="containsText" dxfId="86" priority="102" operator="containsText" text="T">
      <formula>NOT(ISERROR(SEARCH("T",BY21)))</formula>
    </cfRule>
  </conditionalFormatting>
  <conditionalFormatting sqref="BY41 CC41:CE41 BH42:CB47 CE42:CE47">
    <cfRule type="containsText" dxfId="85" priority="88" operator="containsText" text="T">
      <formula>NOT(ISERROR(SEARCH("T",BH41)))</formula>
    </cfRule>
  </conditionalFormatting>
  <conditionalFormatting sqref="BY182:BY188">
    <cfRule type="containsText" dxfId="84" priority="155" operator="containsText" text="17">
      <formula>NOT(ISERROR(SEARCH("17",BY182)))</formula>
    </cfRule>
    <cfRule type="containsText" dxfId="83" priority="154" operator="containsText" text="T">
      <formula>NOT(ISERROR(SEARCH("T",BY182)))</formula>
    </cfRule>
    <cfRule type="containsText" dxfId="82" priority="153" operator="containsText" text="17">
      <formula>NOT(ISERROR(SEARCH("17",BY182)))</formula>
    </cfRule>
    <cfRule type="containsText" dxfId="81" priority="156" operator="containsText" text="T">
      <formula>NOT(ISERROR(SEARCH("T",BY182)))</formula>
    </cfRule>
    <cfRule type="containsText" dxfId="80" priority="152" operator="containsText" text="T">
      <formula>NOT(ISERROR(SEARCH("T",BY182)))</formula>
    </cfRule>
    <cfRule type="containsText" dxfId="79" priority="151" operator="containsText" text="17">
      <formula>NOT(ISERROR(SEARCH("17",BY182)))</formula>
    </cfRule>
  </conditionalFormatting>
  <conditionalFormatting sqref="BY41:BZ41 CC41:CE41 CE42:CE47">
    <cfRule type="containsText" dxfId="78" priority="89" operator="containsText" text="17">
      <formula>NOT(ISERROR(SEARCH("17",BY41)))</formula>
    </cfRule>
  </conditionalFormatting>
  <conditionalFormatting sqref="BY182:CA188">
    <cfRule type="containsText" dxfId="77" priority="142" operator="containsText" text="17">
      <formula>NOT(ISERROR(SEARCH("17",BY182)))</formula>
    </cfRule>
  </conditionalFormatting>
  <conditionalFormatting sqref="BZ41">
    <cfRule type="containsText" dxfId="76" priority="90" operator="containsText" text="T">
      <formula>NOT(ISERROR(SEARCH("T",BZ41)))</formula>
    </cfRule>
  </conditionalFormatting>
  <conditionalFormatting sqref="CA79:CB79 CC79:CI82">
    <cfRule type="containsText" dxfId="75" priority="1018" operator="containsText" text="T">
      <formula>NOT(ISERROR(SEARCH("T",CA79)))</formula>
    </cfRule>
  </conditionalFormatting>
  <conditionalFormatting sqref="CA79:CB79">
    <cfRule type="containsText" dxfId="74" priority="1017" operator="containsText" text="17">
      <formula>NOT(ISERROR(SEARCH("17",CA79)))</formula>
    </cfRule>
  </conditionalFormatting>
  <conditionalFormatting sqref="CA99:CB99 CC99:CI103">
    <cfRule type="containsText" dxfId="73" priority="1001" operator="containsText" text="T">
      <formula>NOT(ISERROR(SEARCH("T",CA99)))</formula>
    </cfRule>
    <cfRule type="containsText" dxfId="72" priority="1000" operator="containsText" text="17">
      <formula>NOT(ISERROR(SEARCH("17",CA99)))</formula>
    </cfRule>
  </conditionalFormatting>
  <conditionalFormatting sqref="CA111:CB111 CC111:CI112">
    <cfRule type="containsText" dxfId="71" priority="990" operator="containsText" text="T">
      <formula>NOT(ISERROR(SEARCH("T",CA111)))</formula>
    </cfRule>
  </conditionalFormatting>
  <conditionalFormatting sqref="CA111:CB111">
    <cfRule type="containsText" dxfId="70" priority="989" operator="containsText" text="17">
      <formula>NOT(ISERROR(SEARCH("17",CA111)))</formula>
    </cfRule>
  </conditionalFormatting>
  <conditionalFormatting sqref="CA120:CG126">
    <cfRule type="containsText" dxfId="69" priority="28" operator="containsText" text="T">
      <formula>NOT(ISERROR(SEARCH("T",CA120)))</formula>
    </cfRule>
    <cfRule type="containsText" dxfId="68" priority="27" operator="containsText" text="17">
      <formula>NOT(ISERROR(SEARCH("17",CA120)))</formula>
    </cfRule>
  </conditionalFormatting>
  <conditionalFormatting sqref="CB15:CB20">
    <cfRule type="containsText" dxfId="67" priority="133" operator="containsText" text="T">
      <formula>NOT(ISERROR(SEARCH("T",CB15)))</formula>
    </cfRule>
  </conditionalFormatting>
  <conditionalFormatting sqref="CB120:CB126">
    <cfRule type="containsText" dxfId="66" priority="25" operator="containsText" text="17">
      <formula>NOT(ISERROR(SEARCH("17",CB120)))</formula>
    </cfRule>
    <cfRule type="containsText" dxfId="65" priority="26" operator="containsText" text="T">
      <formula>NOT(ISERROR(SEARCH("T",CB120)))</formula>
    </cfRule>
  </conditionalFormatting>
  <conditionalFormatting sqref="CB113:CH119">
    <cfRule type="containsText" dxfId="64" priority="8" operator="containsText" text="T">
      <formula>NOT(ISERROR(SEARCH("T",CB113)))</formula>
    </cfRule>
    <cfRule type="containsText" dxfId="63" priority="7" operator="containsText" text="17">
      <formula>NOT(ISERROR(SEARCH("17",CB113)))</formula>
    </cfRule>
  </conditionalFormatting>
  <conditionalFormatting sqref="CC35:CC40">
    <cfRule type="containsText" dxfId="62" priority="121" operator="containsText" text="T">
      <formula>NOT(ISERROR(SEARCH("T",CC35)))</formula>
    </cfRule>
  </conditionalFormatting>
  <conditionalFormatting sqref="CC113:CC119">
    <cfRule type="containsText" dxfId="61" priority="5" operator="containsText" text="17">
      <formula>NOT(ISERROR(SEARCH("17",CC113)))</formula>
    </cfRule>
    <cfRule type="containsText" dxfId="60" priority="6" operator="containsText" text="T">
      <formula>NOT(ISERROR(SEARCH("T",CC113)))</formula>
    </cfRule>
  </conditionalFormatting>
  <conditionalFormatting sqref="CC67:CD67 CE67:CK71 CB73:CC73 CD73:CJ77">
    <cfRule type="containsText" dxfId="59" priority="1024" operator="containsText" text="T">
      <formula>NOT(ISERROR(SEARCH("T",CB67)))</formula>
    </cfRule>
  </conditionalFormatting>
  <conditionalFormatting sqref="CC67:CD67 CE67:CK71 CB73:CC73">
    <cfRule type="containsText" dxfId="58" priority="1023" operator="containsText" text="17">
      <formula>NOT(ISERROR(SEARCH("17",CB67)))</formula>
    </cfRule>
  </conditionalFormatting>
  <conditionalFormatting sqref="CC105:CI109 BQ105:CP105">
    <cfRule type="containsText" dxfId="57" priority="996" operator="containsText" text="T">
      <formula>NOT(ISERROR(SEARCH("T",BQ105)))</formula>
    </cfRule>
  </conditionalFormatting>
  <conditionalFormatting sqref="CD22:CD27">
    <cfRule type="containsText" dxfId="56" priority="109" operator="containsText" text="T">
      <formula>NOT(ISERROR(SEARCH("T",CD22)))</formula>
    </cfRule>
  </conditionalFormatting>
  <conditionalFormatting sqref="CE42:CE47">
    <cfRule type="containsText" dxfId="55" priority="97" operator="containsText" text="T">
      <formula>NOT(ISERROR(SEARCH("T",CE42)))</formula>
    </cfRule>
  </conditionalFormatting>
  <conditionalFormatting sqref="CF28:CF32">
    <cfRule type="containsText" dxfId="54" priority="77" operator="containsText" text="17">
      <formula>NOT(ISERROR(SEARCH("17",CF28)))</formula>
    </cfRule>
  </conditionalFormatting>
  <conditionalFormatting sqref="CF48:CF49">
    <cfRule type="containsText" dxfId="53" priority="72" operator="containsText" text="17">
      <formula>NOT(ISERROR(SEARCH("17",CF48)))</formula>
    </cfRule>
  </conditionalFormatting>
  <conditionalFormatting sqref="CF28:CP32">
    <cfRule type="containsText" dxfId="52" priority="80" operator="containsText" text="T">
      <formula>NOT(ISERROR(SEARCH("T",CF28)))</formula>
    </cfRule>
  </conditionalFormatting>
  <conditionalFormatting sqref="CF41:CP49">
    <cfRule type="containsText" dxfId="51" priority="75" operator="containsText" text="T">
      <formula>NOT(ISERROR(SEARCH("T",CF41)))</formula>
    </cfRule>
  </conditionalFormatting>
  <conditionalFormatting sqref="CG60:CG66">
    <cfRule type="containsText" dxfId="50" priority="67" operator="containsText" text="17">
      <formula>NOT(ISERROR(SEARCH("17",CG60)))</formula>
    </cfRule>
  </conditionalFormatting>
  <conditionalFormatting sqref="CG113:CG126">
    <cfRule type="containsText" dxfId="49" priority="11" operator="containsText" text="T">
      <formula>NOT(ISERROR(SEARCH("T",CG113)))</formula>
    </cfRule>
  </conditionalFormatting>
  <conditionalFormatting sqref="CG120:CH126">
    <cfRule type="containsText" dxfId="48" priority="23" operator="containsText" text="17">
      <formula>NOT(ISERROR(SEARCH("17",CG120)))</formula>
    </cfRule>
  </conditionalFormatting>
  <conditionalFormatting sqref="CG132:CH132 CI132:CO137">
    <cfRule type="containsText" dxfId="47" priority="972" operator="containsText" text="17">
      <formula>NOT(ISERROR(SEARCH("17",CG132)))</formula>
    </cfRule>
    <cfRule type="containsText" dxfId="46" priority="973" operator="containsText" text="T">
      <formula>NOT(ISERROR(SEARCH("T",CG132)))</formula>
    </cfRule>
  </conditionalFormatting>
  <conditionalFormatting sqref="CG60:CP66">
    <cfRule type="containsText" dxfId="45" priority="70" operator="containsText" text="T">
      <formula>NOT(ISERROR(SEARCH("T",CG60)))</formula>
    </cfRule>
  </conditionalFormatting>
  <conditionalFormatting sqref="CH90:CH96">
    <cfRule type="containsText" dxfId="44" priority="62" operator="containsText" text="17">
      <formula>NOT(ISERROR(SEARCH("17",CH90)))</formula>
    </cfRule>
  </conditionalFormatting>
  <conditionalFormatting sqref="CH113:CH119">
    <cfRule type="containsText" dxfId="43" priority="2" operator="containsText" text="T">
      <formula>NOT(ISERROR(SEARCH("T",CH113)))</formula>
    </cfRule>
  </conditionalFormatting>
  <conditionalFormatting sqref="CH120:CH126">
    <cfRule type="containsText" dxfId="42" priority="24" operator="containsText" text="T">
      <formula>NOT(ISERROR(SEARCH("T",CH120)))</formula>
    </cfRule>
  </conditionalFormatting>
  <conditionalFormatting sqref="CH113:CI119">
    <cfRule type="containsText" dxfId="41" priority="3" operator="containsText" text="17">
      <formula>NOT(ISERROR(SEARCH("17",CH113)))</formula>
    </cfRule>
  </conditionalFormatting>
  <conditionalFormatting sqref="CH139:CI139">
    <cfRule type="containsText" dxfId="40" priority="967" operator="containsText" text="17">
      <formula>NOT(ISERROR(SEARCH("17",CH139)))</formula>
    </cfRule>
  </conditionalFormatting>
  <conditionalFormatting sqref="CH153:CI153">
    <cfRule type="containsText" dxfId="39" priority="954" operator="containsText" text="17">
      <formula>NOT(ISERROR(SEARCH("17",CH153)))</formula>
    </cfRule>
  </conditionalFormatting>
  <conditionalFormatting sqref="CH160:CI160 CJ160:CP165">
    <cfRule type="containsText" dxfId="38" priority="947" operator="containsText" text="17">
      <formula>NOT(ISERROR(SEARCH("17",CH160)))</formula>
    </cfRule>
  </conditionalFormatting>
  <conditionalFormatting sqref="CH160:CI160 CK160:CO165">
    <cfRule type="containsText" dxfId="37" priority="948" operator="containsText" text="T">
      <formula>NOT(ISERROR(SEARCH("T",CH160)))</formula>
    </cfRule>
  </conditionalFormatting>
  <conditionalFormatting sqref="CH90:CP96">
    <cfRule type="containsText" dxfId="36" priority="65" operator="containsText" text="T">
      <formula>NOT(ISERROR(SEARCH("T",CH90)))</formula>
    </cfRule>
  </conditionalFormatting>
  <conditionalFormatting sqref="CI83:CI89">
    <cfRule type="containsText" dxfId="35" priority="57" operator="containsText" text="17">
      <formula>NOT(ISERROR(SEARCH("17",CI83)))</formula>
    </cfRule>
    <cfRule type="containsText" dxfId="34" priority="60" operator="containsText" text="T">
      <formula>NOT(ISERROR(SEARCH("T",CI83)))</formula>
    </cfRule>
  </conditionalFormatting>
  <conditionalFormatting sqref="CI113:CI119">
    <cfRule type="containsText" dxfId="33" priority="4" operator="containsText" text="T">
      <formula>NOT(ISERROR(SEARCH("T",CI113)))</formula>
    </cfRule>
  </conditionalFormatting>
  <conditionalFormatting sqref="CI146:CJ146 CK146:CQ151">
    <cfRule type="containsText" dxfId="32" priority="960" operator="containsText" text="17">
      <formula>NOT(ISERROR(SEARCH("17",CI146)))</formula>
    </cfRule>
  </conditionalFormatting>
  <conditionalFormatting sqref="CI146:CJ146 CL146:CP151">
    <cfRule type="containsText" dxfId="31" priority="961" operator="containsText" text="T">
      <formula>NOT(ISERROR(SEARCH("T",CI146)))</formula>
    </cfRule>
  </conditionalFormatting>
  <conditionalFormatting sqref="CJ214:CJ220">
    <cfRule type="containsText" dxfId="30" priority="52" operator="containsText" text="17">
      <formula>NOT(ISERROR(SEARCH("17",CJ214)))</formula>
    </cfRule>
  </conditionalFormatting>
  <conditionalFormatting sqref="CJ214:XFD220">
    <cfRule type="containsText" dxfId="29" priority="55" operator="containsText" text="T">
      <formula>NOT(ISERROR(SEARCH("T",CJ214)))</formula>
    </cfRule>
  </conditionalFormatting>
  <conditionalFormatting sqref="CK120:CK126">
    <cfRule type="containsText" dxfId="28" priority="34" operator="containsText" text="17">
      <formula>NOT(ISERROR(SEARCH("17",CK120)))</formula>
    </cfRule>
    <cfRule type="containsText" dxfId="27" priority="35" operator="containsText" text="T">
      <formula>NOT(ISERROR(SEARCH("T",CK120)))</formula>
    </cfRule>
    <cfRule type="containsText" dxfId="26" priority="36" operator="containsText" text="17">
      <formula>NOT(ISERROR(SEARCH("17",CK120)))</formula>
    </cfRule>
    <cfRule type="containsText" dxfId="25" priority="37" operator="containsText" text="T">
      <formula>NOT(ISERROR(SEARCH("T",CK120)))</formula>
    </cfRule>
    <cfRule type="containsText" dxfId="24" priority="39" operator="containsText" text="T">
      <formula>NOT(ISERROR(SEARCH("T",CK120)))</formula>
    </cfRule>
    <cfRule type="containsText" dxfId="23" priority="38" operator="containsText" text="17">
      <formula>NOT(ISERROR(SEARCH("17",CK120)))</formula>
    </cfRule>
  </conditionalFormatting>
  <conditionalFormatting sqref="CK221:CK227">
    <cfRule type="containsText" dxfId="22" priority="47" operator="containsText" text="17">
      <formula>NOT(ISERROR(SEARCH("17",CK221)))</formula>
    </cfRule>
  </conditionalFormatting>
  <conditionalFormatting sqref="CK120:CM126">
    <cfRule type="containsText" dxfId="21" priority="29" operator="containsText" text="17">
      <formula>NOT(ISERROR(SEARCH("17",CK120)))</formula>
    </cfRule>
  </conditionalFormatting>
  <conditionalFormatting sqref="CK221:CP227">
    <cfRule type="containsText" dxfId="20" priority="50" operator="containsText" text="T">
      <formula>NOT(ISERROR(SEARCH("T",CK221)))</formula>
    </cfRule>
  </conditionalFormatting>
  <conditionalFormatting sqref="CL113:CL119">
    <cfRule type="containsText" dxfId="19" priority="19" operator="containsText" text="T">
      <formula>NOT(ISERROR(SEARCH("T",CL113)))</formula>
    </cfRule>
    <cfRule type="containsText" dxfId="18" priority="17" operator="containsText" text="T">
      <formula>NOT(ISERROR(SEARCH("T",CL113)))</formula>
    </cfRule>
    <cfRule type="containsText" dxfId="17" priority="16" operator="containsText" text="17">
      <formula>NOT(ISERROR(SEARCH("17",CL113)))</formula>
    </cfRule>
    <cfRule type="containsText" dxfId="16" priority="15" operator="containsText" text="T">
      <formula>NOT(ISERROR(SEARCH("T",CL113)))</formula>
    </cfRule>
    <cfRule type="containsText" dxfId="15" priority="14" operator="containsText" text="17">
      <formula>NOT(ISERROR(SEARCH("17",CL113)))</formula>
    </cfRule>
    <cfRule type="containsText" dxfId="14" priority="18" operator="containsText" text="17">
      <formula>NOT(ISERROR(SEARCH("17",CL113)))</formula>
    </cfRule>
  </conditionalFormatting>
  <conditionalFormatting sqref="CL228:CL234">
    <cfRule type="containsText" dxfId="13" priority="42" operator="containsText" text="17">
      <formula>NOT(ISERROR(SEARCH("17",CL228)))</formula>
    </cfRule>
  </conditionalFormatting>
  <conditionalFormatting sqref="CL113:CN119">
    <cfRule type="containsText" dxfId="12" priority="9" operator="containsText" text="17">
      <formula>NOT(ISERROR(SEARCH("17",CL113)))</formula>
    </cfRule>
  </conditionalFormatting>
  <conditionalFormatting sqref="CL228:CP234">
    <cfRule type="containsText" dxfId="11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65"/>
  <sheetViews>
    <sheetView tabSelected="1" workbookViewId="0">
      <pane xSplit="2" ySplit="1" topLeftCell="F247" activePane="bottomRight" state="frozen"/>
      <selection pane="topRight" activeCell="C1" sqref="C1"/>
      <selection pane="bottomLeft" activeCell="A2" sqref="A2"/>
      <selection pane="bottomRight" activeCell="Q260" sqref="Q260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270" si="59">I252-A252</f>
        <v>22</v>
      </c>
      <c r="K252" s="25">
        <v>13.06</v>
      </c>
      <c r="L252" s="25">
        <v>11.31</v>
      </c>
      <c r="M252" s="25">
        <f t="shared" ref="M252:M270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7">A323+23</f>
        <v>46030</v>
      </c>
      <c r="D323" s="77">
        <f t="shared" ref="D323:D334" si="68">A323+7</f>
        <v>46014</v>
      </c>
      <c r="E323" s="77">
        <f t="shared" ref="E323:E334" si="69">A323+14</f>
        <v>46021</v>
      </c>
      <c r="F323" s="77">
        <f t="shared" ref="F323:F334" si="70">A323+20</f>
        <v>46027</v>
      </c>
      <c r="G323" s="77">
        <f t="shared" ref="G323:G334" si="71">A323+8</f>
        <v>46015</v>
      </c>
      <c r="H323" s="77">
        <f t="shared" ref="H323:H334" si="72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7"/>
        <v>46030</v>
      </c>
      <c r="D324" s="77">
        <f t="shared" si="68"/>
        <v>46014</v>
      </c>
      <c r="E324" s="77">
        <f t="shared" si="69"/>
        <v>46021</v>
      </c>
      <c r="F324" s="77">
        <f t="shared" si="70"/>
        <v>46027</v>
      </c>
      <c r="G324" s="77">
        <f t="shared" si="71"/>
        <v>46015</v>
      </c>
      <c r="H324" s="77">
        <f t="shared" si="72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7"/>
        <v>46030</v>
      </c>
      <c r="D325" s="77">
        <f t="shared" si="68"/>
        <v>46014</v>
      </c>
      <c r="E325" s="77">
        <f t="shared" si="69"/>
        <v>46021</v>
      </c>
      <c r="F325" s="77">
        <f t="shared" si="70"/>
        <v>46027</v>
      </c>
      <c r="G325" s="77">
        <f t="shared" si="71"/>
        <v>46015</v>
      </c>
      <c r="H325" s="77">
        <f t="shared" si="72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7"/>
        <v>46030</v>
      </c>
      <c r="D326" s="77">
        <f t="shared" si="68"/>
        <v>46014</v>
      </c>
      <c r="E326" s="77">
        <f t="shared" si="69"/>
        <v>46021</v>
      </c>
      <c r="F326" s="77">
        <f t="shared" si="70"/>
        <v>46027</v>
      </c>
      <c r="G326" s="77">
        <f t="shared" si="71"/>
        <v>46015</v>
      </c>
      <c r="H326" s="77">
        <f t="shared" si="72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7"/>
        <v>46030</v>
      </c>
      <c r="D327" s="77">
        <f t="shared" si="68"/>
        <v>46014</v>
      </c>
      <c r="E327" s="77">
        <f t="shared" si="69"/>
        <v>46021</v>
      </c>
      <c r="F327" s="77">
        <f t="shared" si="70"/>
        <v>46027</v>
      </c>
      <c r="G327" s="77">
        <f t="shared" si="71"/>
        <v>46015</v>
      </c>
      <c r="H327" s="77">
        <f t="shared" si="72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7"/>
        <v>46031</v>
      </c>
      <c r="D328" s="77">
        <f t="shared" si="68"/>
        <v>46015</v>
      </c>
      <c r="E328" s="77">
        <f t="shared" si="69"/>
        <v>46022</v>
      </c>
      <c r="F328" s="77">
        <f t="shared" si="70"/>
        <v>46028</v>
      </c>
      <c r="G328" s="77">
        <f t="shared" si="71"/>
        <v>46016</v>
      </c>
      <c r="H328" s="77">
        <f t="shared" si="72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7"/>
        <v>46031</v>
      </c>
      <c r="D329" s="77">
        <f t="shared" si="68"/>
        <v>46015</v>
      </c>
      <c r="E329" s="77">
        <f t="shared" si="69"/>
        <v>46022</v>
      </c>
      <c r="F329" s="77">
        <f t="shared" si="70"/>
        <v>46028</v>
      </c>
      <c r="G329" s="77">
        <f t="shared" si="71"/>
        <v>46016</v>
      </c>
      <c r="H329" s="77">
        <f t="shared" si="72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7"/>
        <v>46031</v>
      </c>
      <c r="D330" s="77">
        <f t="shared" si="68"/>
        <v>46015</v>
      </c>
      <c r="E330" s="77">
        <f t="shared" si="69"/>
        <v>46022</v>
      </c>
      <c r="F330" s="77">
        <f t="shared" si="70"/>
        <v>46028</v>
      </c>
      <c r="G330" s="77">
        <f t="shared" si="71"/>
        <v>46016</v>
      </c>
      <c r="H330" s="77">
        <f t="shared" si="72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7"/>
        <v>46031</v>
      </c>
      <c r="D331" s="77">
        <f t="shared" si="68"/>
        <v>46015</v>
      </c>
      <c r="E331" s="77">
        <f t="shared" si="69"/>
        <v>46022</v>
      </c>
      <c r="F331" s="77">
        <f t="shared" si="70"/>
        <v>46028</v>
      </c>
      <c r="G331" s="77">
        <f t="shared" si="71"/>
        <v>46016</v>
      </c>
      <c r="H331" s="77">
        <f t="shared" si="72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7"/>
        <v>46031</v>
      </c>
      <c r="D332" s="77">
        <f t="shared" si="68"/>
        <v>46015</v>
      </c>
      <c r="E332" s="77">
        <f t="shared" si="69"/>
        <v>46022</v>
      </c>
      <c r="F332" s="77">
        <f t="shared" si="70"/>
        <v>46028</v>
      </c>
      <c r="G332" s="77">
        <f t="shared" si="71"/>
        <v>46016</v>
      </c>
      <c r="H332" s="77">
        <f t="shared" si="72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7"/>
        <v>46031</v>
      </c>
      <c r="D333" s="77">
        <f t="shared" si="68"/>
        <v>46015</v>
      </c>
      <c r="E333" s="77">
        <f t="shared" si="69"/>
        <v>46022</v>
      </c>
      <c r="F333" s="77">
        <f t="shared" si="70"/>
        <v>46028</v>
      </c>
      <c r="G333" s="77">
        <f t="shared" si="71"/>
        <v>46016</v>
      </c>
      <c r="H333" s="77">
        <f t="shared" si="72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7"/>
        <v>46031</v>
      </c>
      <c r="D334" s="77">
        <f t="shared" si="68"/>
        <v>46015</v>
      </c>
      <c r="E334" s="77">
        <f t="shared" si="69"/>
        <v>46022</v>
      </c>
      <c r="F334" s="77">
        <f t="shared" si="70"/>
        <v>46028</v>
      </c>
      <c r="G334" s="77">
        <f t="shared" si="71"/>
        <v>46016</v>
      </c>
      <c r="H334" s="77">
        <f t="shared" si="72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3">A335+23</f>
        <v>46032</v>
      </c>
      <c r="D335" s="77">
        <f t="shared" ref="D335:D348" si="74">A335+7</f>
        <v>46016</v>
      </c>
      <c r="E335" s="77">
        <f t="shared" ref="E335:E348" si="75">A335+14</f>
        <v>46023</v>
      </c>
      <c r="F335" s="77">
        <f t="shared" ref="F335:F348" si="76">A335+20</f>
        <v>46029</v>
      </c>
      <c r="G335" s="77">
        <f t="shared" ref="G335:G348" si="77">A335+8</f>
        <v>46017</v>
      </c>
      <c r="H335" s="77">
        <f t="shared" ref="H335:H348" si="78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3"/>
        <v>46032</v>
      </c>
      <c r="D336" s="77">
        <f t="shared" si="74"/>
        <v>46016</v>
      </c>
      <c r="E336" s="77">
        <f t="shared" si="75"/>
        <v>46023</v>
      </c>
      <c r="F336" s="77">
        <f t="shared" si="76"/>
        <v>46029</v>
      </c>
      <c r="G336" s="77">
        <f t="shared" si="77"/>
        <v>46017</v>
      </c>
      <c r="H336" s="77">
        <f t="shared" si="78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3"/>
        <v>46032</v>
      </c>
      <c r="D337" s="77">
        <f t="shared" si="74"/>
        <v>46016</v>
      </c>
      <c r="E337" s="77">
        <f t="shared" si="75"/>
        <v>46023</v>
      </c>
      <c r="F337" s="77">
        <f t="shared" si="76"/>
        <v>46029</v>
      </c>
      <c r="G337" s="77">
        <f t="shared" si="77"/>
        <v>46017</v>
      </c>
      <c r="H337" s="77">
        <f t="shared" si="78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3"/>
        <v>46032</v>
      </c>
      <c r="D338" s="77">
        <f t="shared" si="74"/>
        <v>46016</v>
      </c>
      <c r="E338" s="77">
        <f t="shared" si="75"/>
        <v>46023</v>
      </c>
      <c r="F338" s="77">
        <f t="shared" si="76"/>
        <v>46029</v>
      </c>
      <c r="G338" s="77">
        <f t="shared" si="77"/>
        <v>46017</v>
      </c>
      <c r="H338" s="77">
        <f t="shared" si="78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3"/>
        <v>46032</v>
      </c>
      <c r="D339" s="77">
        <f t="shared" si="74"/>
        <v>46016</v>
      </c>
      <c r="E339" s="77">
        <f t="shared" si="75"/>
        <v>46023</v>
      </c>
      <c r="F339" s="77">
        <f t="shared" si="76"/>
        <v>46029</v>
      </c>
      <c r="G339" s="77">
        <f t="shared" si="77"/>
        <v>46017</v>
      </c>
      <c r="H339" s="77">
        <f t="shared" si="78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3"/>
        <v>46032</v>
      </c>
      <c r="D340" s="77">
        <f t="shared" si="74"/>
        <v>46016</v>
      </c>
      <c r="E340" s="77">
        <f t="shared" si="75"/>
        <v>46023</v>
      </c>
      <c r="F340" s="77">
        <f t="shared" si="76"/>
        <v>46029</v>
      </c>
      <c r="G340" s="77">
        <f t="shared" si="77"/>
        <v>46017</v>
      </c>
      <c r="H340" s="77">
        <f t="shared" si="78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3"/>
        <v>46032</v>
      </c>
      <c r="D341" s="77">
        <f t="shared" si="74"/>
        <v>46016</v>
      </c>
      <c r="E341" s="77">
        <f t="shared" si="75"/>
        <v>46023</v>
      </c>
      <c r="F341" s="77">
        <f t="shared" si="76"/>
        <v>46029</v>
      </c>
      <c r="G341" s="77">
        <f t="shared" si="77"/>
        <v>46017</v>
      </c>
      <c r="H341" s="77">
        <f t="shared" si="78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3"/>
        <v>46033</v>
      </c>
      <c r="D342" s="77">
        <f t="shared" si="74"/>
        <v>46017</v>
      </c>
      <c r="E342" s="77">
        <f t="shared" si="75"/>
        <v>46024</v>
      </c>
      <c r="F342" s="77">
        <f t="shared" si="76"/>
        <v>46030</v>
      </c>
      <c r="G342" s="77">
        <f t="shared" si="77"/>
        <v>46018</v>
      </c>
      <c r="H342" s="77">
        <f t="shared" si="78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3"/>
        <v>46033</v>
      </c>
      <c r="D343" s="77">
        <f t="shared" si="74"/>
        <v>46017</v>
      </c>
      <c r="E343" s="77">
        <f t="shared" si="75"/>
        <v>46024</v>
      </c>
      <c r="F343" s="77">
        <f t="shared" si="76"/>
        <v>46030</v>
      </c>
      <c r="G343" s="77">
        <f t="shared" si="77"/>
        <v>46018</v>
      </c>
      <c r="H343" s="77">
        <f t="shared" si="78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3"/>
        <v>46033</v>
      </c>
      <c r="D344" s="77">
        <f t="shared" si="74"/>
        <v>46017</v>
      </c>
      <c r="E344" s="77">
        <f t="shared" si="75"/>
        <v>46024</v>
      </c>
      <c r="F344" s="77">
        <f t="shared" si="76"/>
        <v>46030</v>
      </c>
      <c r="G344" s="77">
        <f t="shared" si="77"/>
        <v>46018</v>
      </c>
      <c r="H344" s="77">
        <f t="shared" si="78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3"/>
        <v>46033</v>
      </c>
      <c r="D345" s="77">
        <f t="shared" si="74"/>
        <v>46017</v>
      </c>
      <c r="E345" s="77">
        <f t="shared" si="75"/>
        <v>46024</v>
      </c>
      <c r="F345" s="77">
        <f t="shared" si="76"/>
        <v>46030</v>
      </c>
      <c r="G345" s="77">
        <f t="shared" si="77"/>
        <v>46018</v>
      </c>
      <c r="H345" s="77">
        <f t="shared" si="78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3"/>
        <v>46033</v>
      </c>
      <c r="D346" s="77">
        <f t="shared" si="74"/>
        <v>46017</v>
      </c>
      <c r="E346" s="77">
        <f t="shared" si="75"/>
        <v>46024</v>
      </c>
      <c r="F346" s="77">
        <f t="shared" si="76"/>
        <v>46030</v>
      </c>
      <c r="G346" s="77">
        <f t="shared" si="77"/>
        <v>46018</v>
      </c>
      <c r="H346" s="77">
        <f t="shared" si="78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3"/>
        <v>46033</v>
      </c>
      <c r="D347" s="77">
        <f t="shared" si="74"/>
        <v>46017</v>
      </c>
      <c r="E347" s="77">
        <f t="shared" si="75"/>
        <v>46024</v>
      </c>
      <c r="F347" s="77">
        <f t="shared" si="76"/>
        <v>46030</v>
      </c>
      <c r="G347" s="77">
        <f t="shared" si="77"/>
        <v>46018</v>
      </c>
      <c r="H347" s="77">
        <f t="shared" si="78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3"/>
        <v>46033</v>
      </c>
      <c r="D348" s="77">
        <f t="shared" si="74"/>
        <v>46017</v>
      </c>
      <c r="E348" s="77">
        <f t="shared" si="75"/>
        <v>46024</v>
      </c>
      <c r="F348" s="77">
        <f t="shared" si="76"/>
        <v>46030</v>
      </c>
      <c r="G348" s="77">
        <f t="shared" si="77"/>
        <v>46018</v>
      </c>
      <c r="H348" s="77">
        <f t="shared" si="78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9">A349+23</f>
        <v>46034</v>
      </c>
      <c r="D349" s="77">
        <f t="shared" ref="D349:D362" si="80">A349+7</f>
        <v>46018</v>
      </c>
      <c r="E349" s="77">
        <f t="shared" ref="E349:E362" si="81">A349+14</f>
        <v>46025</v>
      </c>
      <c r="F349" s="77">
        <f t="shared" ref="F349:F362" si="82">A349+20</f>
        <v>46031</v>
      </c>
      <c r="G349" s="77">
        <f t="shared" ref="G349:G362" si="83">A349+8</f>
        <v>46019</v>
      </c>
      <c r="H349" s="77">
        <f t="shared" ref="H349:H362" si="84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9"/>
        <v>46034</v>
      </c>
      <c r="D350" s="77">
        <f t="shared" si="80"/>
        <v>46018</v>
      </c>
      <c r="E350" s="77">
        <f t="shared" si="81"/>
        <v>46025</v>
      </c>
      <c r="F350" s="77">
        <f t="shared" si="82"/>
        <v>46031</v>
      </c>
      <c r="G350" s="77">
        <f t="shared" si="83"/>
        <v>46019</v>
      </c>
      <c r="H350" s="77">
        <f t="shared" si="84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9"/>
        <v>46034</v>
      </c>
      <c r="D351" s="77">
        <f t="shared" si="80"/>
        <v>46018</v>
      </c>
      <c r="E351" s="77">
        <f t="shared" si="81"/>
        <v>46025</v>
      </c>
      <c r="F351" s="77">
        <f t="shared" si="82"/>
        <v>46031</v>
      </c>
      <c r="G351" s="77">
        <f t="shared" si="83"/>
        <v>46019</v>
      </c>
      <c r="H351" s="77">
        <f t="shared" si="84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9"/>
        <v>46034</v>
      </c>
      <c r="D352" s="77">
        <f t="shared" si="80"/>
        <v>46018</v>
      </c>
      <c r="E352" s="77">
        <f t="shared" si="81"/>
        <v>46025</v>
      </c>
      <c r="F352" s="77">
        <f t="shared" si="82"/>
        <v>46031</v>
      </c>
      <c r="G352" s="77">
        <f t="shared" si="83"/>
        <v>46019</v>
      </c>
      <c r="H352" s="77">
        <f t="shared" si="84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9"/>
        <v>46034</v>
      </c>
      <c r="D353" s="77">
        <f t="shared" si="80"/>
        <v>46018</v>
      </c>
      <c r="E353" s="77">
        <f t="shared" si="81"/>
        <v>46025</v>
      </c>
      <c r="F353" s="77">
        <f t="shared" si="82"/>
        <v>46031</v>
      </c>
      <c r="G353" s="77">
        <f t="shared" si="83"/>
        <v>46019</v>
      </c>
      <c r="H353" s="77">
        <f t="shared" si="84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9"/>
        <v>46034</v>
      </c>
      <c r="D354" s="77">
        <f t="shared" si="80"/>
        <v>46018</v>
      </c>
      <c r="E354" s="77">
        <f t="shared" si="81"/>
        <v>46025</v>
      </c>
      <c r="F354" s="77">
        <f t="shared" si="82"/>
        <v>46031</v>
      </c>
      <c r="G354" s="77">
        <f t="shared" si="83"/>
        <v>46019</v>
      </c>
      <c r="H354" s="77">
        <f t="shared" si="84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9"/>
        <v>46034</v>
      </c>
      <c r="D355" s="77">
        <f t="shared" si="80"/>
        <v>46018</v>
      </c>
      <c r="E355" s="77">
        <f t="shared" si="81"/>
        <v>46025</v>
      </c>
      <c r="F355" s="77">
        <f t="shared" si="82"/>
        <v>46031</v>
      </c>
      <c r="G355" s="77">
        <f t="shared" si="83"/>
        <v>46019</v>
      </c>
      <c r="H355" s="77">
        <f t="shared" si="84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9"/>
        <v>46035</v>
      </c>
      <c r="D356" s="77">
        <f t="shared" si="80"/>
        <v>46019</v>
      </c>
      <c r="E356" s="77">
        <f t="shared" si="81"/>
        <v>46026</v>
      </c>
      <c r="F356" s="77">
        <f t="shared" si="82"/>
        <v>46032</v>
      </c>
      <c r="G356" s="77">
        <f t="shared" si="83"/>
        <v>46020</v>
      </c>
      <c r="H356" s="77">
        <f t="shared" si="84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9"/>
        <v>46035</v>
      </c>
      <c r="D357" s="77">
        <f t="shared" si="80"/>
        <v>46019</v>
      </c>
      <c r="E357" s="77">
        <f t="shared" si="81"/>
        <v>46026</v>
      </c>
      <c r="F357" s="77">
        <f t="shared" si="82"/>
        <v>46032</v>
      </c>
      <c r="G357" s="77">
        <f t="shared" si="83"/>
        <v>46020</v>
      </c>
      <c r="H357" s="77">
        <f t="shared" si="84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9"/>
        <v>46035</v>
      </c>
      <c r="D358" s="77">
        <f t="shared" si="80"/>
        <v>46019</v>
      </c>
      <c r="E358" s="77">
        <f t="shared" si="81"/>
        <v>46026</v>
      </c>
      <c r="F358" s="77">
        <f t="shared" si="82"/>
        <v>46032</v>
      </c>
      <c r="G358" s="77">
        <f t="shared" si="83"/>
        <v>46020</v>
      </c>
      <c r="H358" s="77">
        <f t="shared" si="84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9"/>
        <v>46035</v>
      </c>
      <c r="D359" s="77">
        <f t="shared" si="80"/>
        <v>46019</v>
      </c>
      <c r="E359" s="77">
        <f t="shared" si="81"/>
        <v>46026</v>
      </c>
      <c r="F359" s="77">
        <f t="shared" si="82"/>
        <v>46032</v>
      </c>
      <c r="G359" s="77">
        <f t="shared" si="83"/>
        <v>46020</v>
      </c>
      <c r="H359" s="77">
        <f t="shared" si="84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9"/>
        <v>46035</v>
      </c>
      <c r="D360" s="77">
        <f t="shared" si="80"/>
        <v>46019</v>
      </c>
      <c r="E360" s="77">
        <f t="shared" si="81"/>
        <v>46026</v>
      </c>
      <c r="F360" s="77">
        <f t="shared" si="82"/>
        <v>46032</v>
      </c>
      <c r="G360" s="77">
        <f t="shared" si="83"/>
        <v>46020</v>
      </c>
      <c r="H360" s="77">
        <f t="shared" si="84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9"/>
        <v>46035</v>
      </c>
      <c r="D361" s="77">
        <f t="shared" si="80"/>
        <v>46019</v>
      </c>
      <c r="E361" s="77">
        <f t="shared" si="81"/>
        <v>46026</v>
      </c>
      <c r="F361" s="77">
        <f t="shared" si="82"/>
        <v>46032</v>
      </c>
      <c r="G361" s="77">
        <f t="shared" si="83"/>
        <v>46020</v>
      </c>
      <c r="H361" s="77">
        <f t="shared" si="84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9"/>
        <v>46035</v>
      </c>
      <c r="D362" s="77">
        <f t="shared" si="80"/>
        <v>46019</v>
      </c>
      <c r="E362" s="77">
        <f t="shared" si="81"/>
        <v>46026</v>
      </c>
      <c r="F362" s="77">
        <f t="shared" si="82"/>
        <v>46032</v>
      </c>
      <c r="G362" s="77">
        <f t="shared" si="83"/>
        <v>46020</v>
      </c>
      <c r="H362" s="77">
        <f t="shared" si="84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5">A363+23</f>
        <v>46036</v>
      </c>
      <c r="D363" s="77">
        <f t="shared" ref="D363:D367" si="86">A363+7</f>
        <v>46020</v>
      </c>
      <c r="E363" s="77">
        <f t="shared" ref="E363:E367" si="87">A363+14</f>
        <v>46027</v>
      </c>
      <c r="F363" s="77">
        <f t="shared" ref="F363:F367" si="88">A363+20</f>
        <v>46033</v>
      </c>
      <c r="G363" s="77">
        <f t="shared" ref="G363:G367" si="89">A363+8</f>
        <v>46021</v>
      </c>
      <c r="H363" s="77">
        <f t="shared" ref="H363:H367" si="90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5"/>
        <v>46036</v>
      </c>
      <c r="D364" s="77">
        <f t="shared" si="86"/>
        <v>46020</v>
      </c>
      <c r="E364" s="77">
        <f t="shared" si="87"/>
        <v>46027</v>
      </c>
      <c r="F364" s="77">
        <f t="shared" si="88"/>
        <v>46033</v>
      </c>
      <c r="G364" s="77">
        <f t="shared" si="89"/>
        <v>46021</v>
      </c>
      <c r="H364" s="77">
        <f t="shared" si="90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5"/>
        <v>46036</v>
      </c>
      <c r="D365" s="77">
        <f t="shared" si="86"/>
        <v>46020</v>
      </c>
      <c r="E365" s="77">
        <f t="shared" si="87"/>
        <v>46027</v>
      </c>
      <c r="F365" s="77">
        <f t="shared" si="88"/>
        <v>46033</v>
      </c>
      <c r="G365" s="77">
        <f t="shared" si="89"/>
        <v>46021</v>
      </c>
      <c r="H365" s="77">
        <f t="shared" si="90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5"/>
        <v>46036</v>
      </c>
      <c r="D366" s="77">
        <f t="shared" si="86"/>
        <v>46020</v>
      </c>
      <c r="E366" s="77">
        <f t="shared" si="87"/>
        <v>46027</v>
      </c>
      <c r="F366" s="77">
        <f t="shared" si="88"/>
        <v>46033</v>
      </c>
      <c r="G366" s="77">
        <f t="shared" si="89"/>
        <v>46021</v>
      </c>
      <c r="H366" s="77">
        <f t="shared" si="90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5"/>
        <v>46036</v>
      </c>
      <c r="D367" s="77">
        <f t="shared" si="86"/>
        <v>46020</v>
      </c>
      <c r="E367" s="77">
        <f t="shared" si="87"/>
        <v>46027</v>
      </c>
      <c r="F367" s="77">
        <f t="shared" si="88"/>
        <v>46033</v>
      </c>
      <c r="G367" s="77">
        <f t="shared" si="89"/>
        <v>46021</v>
      </c>
      <c r="H367" s="77">
        <f t="shared" si="90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91">A370+23</f>
        <v>46037</v>
      </c>
      <c r="D370" s="77">
        <f t="shared" ref="D370" si="92">A370+7</f>
        <v>46021</v>
      </c>
      <c r="E370" s="77">
        <f t="shared" ref="E370" si="93">A370+14</f>
        <v>46028</v>
      </c>
      <c r="F370" s="77">
        <f t="shared" ref="F370" si="94">A370+20</f>
        <v>46034</v>
      </c>
      <c r="G370" s="77">
        <f t="shared" ref="G370" si="95">A370+8</f>
        <v>46022</v>
      </c>
      <c r="H370" s="77">
        <f t="shared" ref="H370" si="96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7">A371+23</f>
        <v>46037</v>
      </c>
      <c r="D371" s="77">
        <f t="shared" ref="D371:D372" si="98">A371+7</f>
        <v>46021</v>
      </c>
      <c r="E371" s="77">
        <f t="shared" ref="E371:E372" si="99">A371+14</f>
        <v>46028</v>
      </c>
      <c r="F371" s="77">
        <f t="shared" ref="F371:F372" si="100">A371+20</f>
        <v>46034</v>
      </c>
      <c r="G371" s="77">
        <f t="shared" ref="G371:G372" si="101">A371+8</f>
        <v>46022</v>
      </c>
      <c r="H371" s="77">
        <f t="shared" ref="H371:H372" si="102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7"/>
        <v>46037</v>
      </c>
      <c r="D372" s="77">
        <f t="shared" si="98"/>
        <v>46021</v>
      </c>
      <c r="E372" s="77">
        <f t="shared" si="99"/>
        <v>46028</v>
      </c>
      <c r="F372" s="77">
        <f t="shared" si="100"/>
        <v>46034</v>
      </c>
      <c r="G372" s="77">
        <f t="shared" si="101"/>
        <v>46022</v>
      </c>
      <c r="H372" s="77">
        <f t="shared" si="102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3">A373+23</f>
        <v>46037</v>
      </c>
      <c r="D373" s="77">
        <f t="shared" ref="D373" si="104">A373+7</f>
        <v>46021</v>
      </c>
      <c r="E373" s="77">
        <f t="shared" ref="E373" si="105">A373+14</f>
        <v>46028</v>
      </c>
      <c r="F373" s="77">
        <f t="shared" ref="F373" si="106">A373+20</f>
        <v>46034</v>
      </c>
      <c r="G373" s="77">
        <f t="shared" ref="G373" si="107">A373+8</f>
        <v>46022</v>
      </c>
      <c r="H373" s="77">
        <f t="shared" ref="H373" si="108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9">A374+23</f>
        <v>46037</v>
      </c>
      <c r="D374" s="77">
        <f t="shared" ref="D374:D380" si="110">A374+7</f>
        <v>46021</v>
      </c>
      <c r="E374" s="77">
        <f t="shared" ref="E374:E380" si="111">A374+14</f>
        <v>46028</v>
      </c>
      <c r="F374" s="77">
        <f t="shared" ref="F374:F380" si="112">A374+20</f>
        <v>46034</v>
      </c>
      <c r="G374" s="77">
        <f t="shared" ref="G374:G380" si="113">A374+8</f>
        <v>46022</v>
      </c>
      <c r="H374" s="77">
        <f t="shared" ref="H374:H380" si="114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9"/>
        <v>46037</v>
      </c>
      <c r="D375" s="77">
        <f t="shared" si="110"/>
        <v>46021</v>
      </c>
      <c r="E375" s="77">
        <f t="shared" si="111"/>
        <v>46028</v>
      </c>
      <c r="F375" s="77">
        <f t="shared" si="112"/>
        <v>46034</v>
      </c>
      <c r="G375" s="77">
        <f t="shared" si="113"/>
        <v>46022</v>
      </c>
      <c r="H375" s="77">
        <f t="shared" si="114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9"/>
        <v>46037</v>
      </c>
      <c r="D376" s="77">
        <f t="shared" si="110"/>
        <v>46021</v>
      </c>
      <c r="E376" s="77">
        <f t="shared" si="111"/>
        <v>46028</v>
      </c>
      <c r="F376" s="77">
        <f t="shared" si="112"/>
        <v>46034</v>
      </c>
      <c r="G376" s="77">
        <f t="shared" si="113"/>
        <v>46022</v>
      </c>
      <c r="H376" s="77">
        <f t="shared" si="114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9"/>
        <v>46037</v>
      </c>
      <c r="D377" s="77">
        <f t="shared" si="110"/>
        <v>46021</v>
      </c>
      <c r="E377" s="77">
        <f t="shared" si="111"/>
        <v>46028</v>
      </c>
      <c r="F377" s="77">
        <f t="shared" si="112"/>
        <v>46034</v>
      </c>
      <c r="G377" s="77">
        <f t="shared" si="113"/>
        <v>46022</v>
      </c>
      <c r="H377" s="77">
        <f t="shared" si="114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9"/>
        <v>46037</v>
      </c>
      <c r="D378" s="77">
        <f t="shared" si="110"/>
        <v>46021</v>
      </c>
      <c r="E378" s="77">
        <f t="shared" si="111"/>
        <v>46028</v>
      </c>
      <c r="F378" s="77">
        <f t="shared" si="112"/>
        <v>46034</v>
      </c>
      <c r="G378" s="77">
        <f t="shared" si="113"/>
        <v>46022</v>
      </c>
      <c r="H378" s="77">
        <f t="shared" si="114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9"/>
        <v>46037</v>
      </c>
      <c r="D379" s="77">
        <f t="shared" si="110"/>
        <v>46021</v>
      </c>
      <c r="E379" s="77">
        <f t="shared" si="111"/>
        <v>46028</v>
      </c>
      <c r="F379" s="77">
        <f t="shared" si="112"/>
        <v>46034</v>
      </c>
      <c r="G379" s="77">
        <f t="shared" si="113"/>
        <v>46022</v>
      </c>
      <c r="H379" s="77">
        <f t="shared" si="114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9"/>
        <v>46037</v>
      </c>
      <c r="D380" s="77">
        <f t="shared" si="110"/>
        <v>46021</v>
      </c>
      <c r="E380" s="77">
        <f t="shared" si="111"/>
        <v>46028</v>
      </c>
      <c r="F380" s="77">
        <f t="shared" si="112"/>
        <v>46034</v>
      </c>
      <c r="G380" s="77">
        <f t="shared" si="113"/>
        <v>46022</v>
      </c>
      <c r="H380" s="77">
        <f t="shared" si="114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5">A381+23</f>
        <v>46038</v>
      </c>
      <c r="D381" s="77">
        <f t="shared" ref="D381:D394" si="116">A381+7</f>
        <v>46022</v>
      </c>
      <c r="E381" s="77">
        <f t="shared" ref="E381:E394" si="117">A381+14</f>
        <v>46029</v>
      </c>
      <c r="F381" s="77">
        <f t="shared" ref="F381:F387" si="118">A381+20</f>
        <v>46035</v>
      </c>
      <c r="G381" s="77">
        <f t="shared" ref="G381:G387" si="119">A381+8</f>
        <v>46023</v>
      </c>
      <c r="H381" s="77">
        <f t="shared" ref="H381:H387" si="120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5"/>
        <v>46038</v>
      </c>
      <c r="D382" s="77">
        <f t="shared" si="116"/>
        <v>46022</v>
      </c>
      <c r="E382" s="77">
        <f t="shared" si="117"/>
        <v>46029</v>
      </c>
      <c r="F382" s="77">
        <f t="shared" si="118"/>
        <v>46035</v>
      </c>
      <c r="G382" s="77">
        <f t="shared" si="119"/>
        <v>46023</v>
      </c>
      <c r="H382" s="77">
        <f t="shared" si="120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5"/>
        <v>46038</v>
      </c>
      <c r="D383" s="77">
        <f t="shared" si="116"/>
        <v>46022</v>
      </c>
      <c r="E383" s="77">
        <f t="shared" si="117"/>
        <v>46029</v>
      </c>
      <c r="F383" s="77">
        <f t="shared" si="118"/>
        <v>46035</v>
      </c>
      <c r="G383" s="77">
        <f t="shared" si="119"/>
        <v>46023</v>
      </c>
      <c r="H383" s="77">
        <f t="shared" si="120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5"/>
        <v>46038</v>
      </c>
      <c r="D384" s="77">
        <f t="shared" si="116"/>
        <v>46022</v>
      </c>
      <c r="E384" s="77">
        <f t="shared" si="117"/>
        <v>46029</v>
      </c>
      <c r="F384" s="77">
        <f t="shared" si="118"/>
        <v>46035</v>
      </c>
      <c r="G384" s="77">
        <f t="shared" si="119"/>
        <v>46023</v>
      </c>
      <c r="H384" s="77">
        <f t="shared" si="120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5"/>
        <v>46038</v>
      </c>
      <c r="D385" s="77">
        <f t="shared" si="116"/>
        <v>46022</v>
      </c>
      <c r="E385" s="77">
        <f t="shared" si="117"/>
        <v>46029</v>
      </c>
      <c r="F385" s="77">
        <f t="shared" si="118"/>
        <v>46035</v>
      </c>
      <c r="G385" s="77">
        <f t="shared" si="119"/>
        <v>46023</v>
      </c>
      <c r="H385" s="77">
        <f t="shared" si="120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5"/>
        <v>46038</v>
      </c>
      <c r="D386" s="77">
        <f t="shared" si="116"/>
        <v>46022</v>
      </c>
      <c r="E386" s="77">
        <f t="shared" si="117"/>
        <v>46029</v>
      </c>
      <c r="F386" s="77">
        <f t="shared" si="118"/>
        <v>46035</v>
      </c>
      <c r="G386" s="77">
        <f t="shared" si="119"/>
        <v>46023</v>
      </c>
      <c r="H386" s="77">
        <f t="shared" si="120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5"/>
        <v>46038</v>
      </c>
      <c r="D387" s="77">
        <f t="shared" si="116"/>
        <v>46022</v>
      </c>
      <c r="E387" s="77">
        <f t="shared" si="117"/>
        <v>46029</v>
      </c>
      <c r="F387" s="77">
        <f t="shared" si="118"/>
        <v>46035</v>
      </c>
      <c r="G387" s="77">
        <f t="shared" si="119"/>
        <v>46023</v>
      </c>
      <c r="H387" s="77">
        <f t="shared" si="120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5"/>
        <v>46039</v>
      </c>
      <c r="D388" s="77">
        <f t="shared" si="116"/>
        <v>46023</v>
      </c>
      <c r="E388" s="77">
        <f t="shared" si="117"/>
        <v>46030</v>
      </c>
      <c r="F388" s="77">
        <f t="shared" ref="F388:F394" si="121">A388+20</f>
        <v>46036</v>
      </c>
      <c r="G388" s="77">
        <f t="shared" ref="G388:G394" si="122">A388+8</f>
        <v>46024</v>
      </c>
      <c r="H388" s="77">
        <f t="shared" ref="H388:H394" si="123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5"/>
        <v>46039</v>
      </c>
      <c r="D389" s="77">
        <f t="shared" si="116"/>
        <v>46023</v>
      </c>
      <c r="E389" s="77">
        <f t="shared" si="117"/>
        <v>46030</v>
      </c>
      <c r="F389" s="77">
        <f t="shared" si="121"/>
        <v>46036</v>
      </c>
      <c r="G389" s="77">
        <f t="shared" si="122"/>
        <v>46024</v>
      </c>
      <c r="H389" s="77">
        <f t="shared" si="123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5"/>
        <v>46039</v>
      </c>
      <c r="D390" s="77">
        <f t="shared" si="116"/>
        <v>46023</v>
      </c>
      <c r="E390" s="77">
        <f t="shared" si="117"/>
        <v>46030</v>
      </c>
      <c r="F390" s="77">
        <f t="shared" si="121"/>
        <v>46036</v>
      </c>
      <c r="G390" s="77">
        <f t="shared" si="122"/>
        <v>46024</v>
      </c>
      <c r="H390" s="77">
        <f t="shared" si="123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5"/>
        <v>46039</v>
      </c>
      <c r="D391" s="77">
        <f t="shared" si="116"/>
        <v>46023</v>
      </c>
      <c r="E391" s="77">
        <f t="shared" si="117"/>
        <v>46030</v>
      </c>
      <c r="F391" s="77">
        <f t="shared" si="121"/>
        <v>46036</v>
      </c>
      <c r="G391" s="77">
        <f t="shared" si="122"/>
        <v>46024</v>
      </c>
      <c r="H391" s="77">
        <f t="shared" si="123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5"/>
        <v>46039</v>
      </c>
      <c r="D392" s="77">
        <f t="shared" si="116"/>
        <v>46023</v>
      </c>
      <c r="E392" s="77">
        <f t="shared" si="117"/>
        <v>46030</v>
      </c>
      <c r="F392" s="77">
        <f t="shared" si="121"/>
        <v>46036</v>
      </c>
      <c r="G392" s="77">
        <f t="shared" si="122"/>
        <v>46024</v>
      </c>
      <c r="H392" s="77">
        <f t="shared" si="123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5"/>
        <v>46039</v>
      </c>
      <c r="D393" s="77">
        <f t="shared" si="116"/>
        <v>46023</v>
      </c>
      <c r="E393" s="77">
        <f t="shared" si="117"/>
        <v>46030</v>
      </c>
      <c r="F393" s="77">
        <f t="shared" si="121"/>
        <v>46036</v>
      </c>
      <c r="G393" s="77">
        <f t="shared" si="122"/>
        <v>46024</v>
      </c>
      <c r="H393" s="77">
        <f t="shared" si="123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5"/>
        <v>46039</v>
      </c>
      <c r="D394" s="77">
        <f t="shared" si="116"/>
        <v>46023</v>
      </c>
      <c r="E394" s="77">
        <f t="shared" si="117"/>
        <v>46030</v>
      </c>
      <c r="F394" s="77">
        <f t="shared" si="121"/>
        <v>46036</v>
      </c>
      <c r="G394" s="77">
        <f t="shared" si="122"/>
        <v>46024</v>
      </c>
      <c r="H394" s="77">
        <f t="shared" si="123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4">A395+23</f>
        <v>46040</v>
      </c>
      <c r="D395" s="77">
        <f t="shared" ref="D395:D401" si="125">A395+7</f>
        <v>46024</v>
      </c>
      <c r="E395" s="77">
        <f t="shared" ref="E395:E401" si="126">A395+14</f>
        <v>46031</v>
      </c>
      <c r="F395" s="77">
        <f t="shared" ref="F395:F401" si="127">A395+20</f>
        <v>46037</v>
      </c>
      <c r="G395" s="77">
        <f t="shared" ref="G395:G401" si="128">A395+8</f>
        <v>46025</v>
      </c>
      <c r="H395" s="77">
        <f t="shared" ref="H395:H401" si="129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4"/>
        <v>46040</v>
      </c>
      <c r="D396" s="77">
        <f t="shared" si="125"/>
        <v>46024</v>
      </c>
      <c r="E396" s="77">
        <f t="shared" si="126"/>
        <v>46031</v>
      </c>
      <c r="F396" s="77">
        <f t="shared" si="127"/>
        <v>46037</v>
      </c>
      <c r="G396" s="77">
        <f t="shared" si="128"/>
        <v>46025</v>
      </c>
      <c r="H396" s="77">
        <f t="shared" si="129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4"/>
        <v>46040</v>
      </c>
      <c r="D397" s="77">
        <f t="shared" si="125"/>
        <v>46024</v>
      </c>
      <c r="E397" s="77">
        <f t="shared" si="126"/>
        <v>46031</v>
      </c>
      <c r="F397" s="77">
        <f t="shared" si="127"/>
        <v>46037</v>
      </c>
      <c r="G397" s="77">
        <f t="shared" si="128"/>
        <v>46025</v>
      </c>
      <c r="H397" s="77">
        <f t="shared" si="129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4"/>
        <v>46040</v>
      </c>
      <c r="D398" s="77">
        <f t="shared" si="125"/>
        <v>46024</v>
      </c>
      <c r="E398" s="77">
        <f t="shared" si="126"/>
        <v>46031</v>
      </c>
      <c r="F398" s="77">
        <f t="shared" si="127"/>
        <v>46037</v>
      </c>
      <c r="G398" s="77">
        <f t="shared" si="128"/>
        <v>46025</v>
      </c>
      <c r="H398" s="77">
        <f t="shared" si="129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4"/>
        <v>46040</v>
      </c>
      <c r="D399" s="77">
        <f t="shared" si="125"/>
        <v>46024</v>
      </c>
      <c r="E399" s="77">
        <f t="shared" si="126"/>
        <v>46031</v>
      </c>
      <c r="F399" s="77">
        <f t="shared" si="127"/>
        <v>46037</v>
      </c>
      <c r="G399" s="77">
        <f t="shared" si="128"/>
        <v>46025</v>
      </c>
      <c r="H399" s="77">
        <f t="shared" si="129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4"/>
        <v>46040</v>
      </c>
      <c r="D400" s="77">
        <f t="shared" si="125"/>
        <v>46024</v>
      </c>
      <c r="E400" s="77">
        <f t="shared" si="126"/>
        <v>46031</v>
      </c>
      <c r="F400" s="77">
        <f t="shared" si="127"/>
        <v>46037</v>
      </c>
      <c r="G400" s="77">
        <f t="shared" si="128"/>
        <v>46025</v>
      </c>
      <c r="H400" s="77">
        <f t="shared" si="129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4"/>
        <v>46040</v>
      </c>
      <c r="D401" s="77">
        <f t="shared" si="125"/>
        <v>46024</v>
      </c>
      <c r="E401" s="77">
        <f t="shared" si="126"/>
        <v>46031</v>
      </c>
      <c r="F401" s="77">
        <f t="shared" si="127"/>
        <v>46037</v>
      </c>
      <c r="G401" s="77">
        <f t="shared" si="128"/>
        <v>46025</v>
      </c>
      <c r="H401" s="77">
        <f t="shared" si="129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30">A402+23</f>
        <v>46041</v>
      </c>
      <c r="D402" s="77">
        <f t="shared" ref="D402:D408" si="131">A402+7</f>
        <v>46025</v>
      </c>
      <c r="E402" s="77">
        <f t="shared" ref="E402:E408" si="132">A402+14</f>
        <v>46032</v>
      </c>
      <c r="F402" s="77">
        <f t="shared" ref="F402:F408" si="133">A402+20</f>
        <v>46038</v>
      </c>
      <c r="G402" s="77">
        <f t="shared" ref="G402:G408" si="134">A402+8</f>
        <v>46026</v>
      </c>
      <c r="H402" s="77">
        <f t="shared" ref="H402:H408" si="135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30"/>
        <v>46041</v>
      </c>
      <c r="D403" s="77">
        <f t="shared" si="131"/>
        <v>46025</v>
      </c>
      <c r="E403" s="77">
        <f t="shared" si="132"/>
        <v>46032</v>
      </c>
      <c r="F403" s="77">
        <f t="shared" si="133"/>
        <v>46038</v>
      </c>
      <c r="G403" s="77">
        <f t="shared" si="134"/>
        <v>46026</v>
      </c>
      <c r="H403" s="77">
        <f t="shared" si="135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30"/>
        <v>46041</v>
      </c>
      <c r="D404" s="77">
        <f t="shared" si="131"/>
        <v>46025</v>
      </c>
      <c r="E404" s="77">
        <f t="shared" si="132"/>
        <v>46032</v>
      </c>
      <c r="F404" s="77">
        <f t="shared" si="133"/>
        <v>46038</v>
      </c>
      <c r="G404" s="77">
        <f t="shared" si="134"/>
        <v>46026</v>
      </c>
      <c r="H404" s="77">
        <f t="shared" si="135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30"/>
        <v>46041</v>
      </c>
      <c r="D405" s="77">
        <f t="shared" si="131"/>
        <v>46025</v>
      </c>
      <c r="E405" s="77">
        <f t="shared" si="132"/>
        <v>46032</v>
      </c>
      <c r="F405" s="77">
        <f t="shared" si="133"/>
        <v>46038</v>
      </c>
      <c r="G405" s="77">
        <f t="shared" si="134"/>
        <v>46026</v>
      </c>
      <c r="H405" s="77">
        <f t="shared" si="135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30"/>
        <v>46041</v>
      </c>
      <c r="D406" s="77">
        <f t="shared" si="131"/>
        <v>46025</v>
      </c>
      <c r="E406" s="77">
        <f t="shared" si="132"/>
        <v>46032</v>
      </c>
      <c r="F406" s="77">
        <f t="shared" si="133"/>
        <v>46038</v>
      </c>
      <c r="G406" s="77">
        <f t="shared" si="134"/>
        <v>46026</v>
      </c>
      <c r="H406" s="77">
        <f t="shared" si="135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30"/>
        <v>46041</v>
      </c>
      <c r="D407" s="77">
        <f t="shared" si="131"/>
        <v>46025</v>
      </c>
      <c r="E407" s="77">
        <f t="shared" si="132"/>
        <v>46032</v>
      </c>
      <c r="F407" s="77">
        <f t="shared" si="133"/>
        <v>46038</v>
      </c>
      <c r="G407" s="77">
        <f t="shared" si="134"/>
        <v>46026</v>
      </c>
      <c r="H407" s="77">
        <f t="shared" si="135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30"/>
        <v>46041</v>
      </c>
      <c r="D408" s="77">
        <f t="shared" si="131"/>
        <v>46025</v>
      </c>
      <c r="E408" s="77">
        <f t="shared" si="132"/>
        <v>46032</v>
      </c>
      <c r="F408" s="77">
        <f t="shared" si="133"/>
        <v>46038</v>
      </c>
      <c r="G408" s="77">
        <f t="shared" si="134"/>
        <v>46026</v>
      </c>
      <c r="H408" s="77">
        <f t="shared" si="135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6">A409+23</f>
        <v>46042</v>
      </c>
      <c r="D409" s="77">
        <f t="shared" ref="D409:D415" si="137">A409+7</f>
        <v>46026</v>
      </c>
      <c r="E409" s="77">
        <f t="shared" ref="E409:E415" si="138">A409+14</f>
        <v>46033</v>
      </c>
      <c r="F409" s="77">
        <f t="shared" ref="F409:F415" si="139">A409+20</f>
        <v>46039</v>
      </c>
      <c r="G409" s="77">
        <f t="shared" ref="G409:G415" si="140">A409+8</f>
        <v>46027</v>
      </c>
      <c r="H409" s="77">
        <f t="shared" ref="H409:H415" si="141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6"/>
        <v>46042</v>
      </c>
      <c r="D410" s="77">
        <f t="shared" si="137"/>
        <v>46026</v>
      </c>
      <c r="E410" s="77">
        <f t="shared" si="138"/>
        <v>46033</v>
      </c>
      <c r="F410" s="77">
        <f t="shared" si="139"/>
        <v>46039</v>
      </c>
      <c r="G410" s="77">
        <f t="shared" si="140"/>
        <v>46027</v>
      </c>
      <c r="H410" s="77">
        <f t="shared" si="141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6"/>
        <v>46042</v>
      </c>
      <c r="D411" s="77">
        <f t="shared" si="137"/>
        <v>46026</v>
      </c>
      <c r="E411" s="77">
        <f t="shared" si="138"/>
        <v>46033</v>
      </c>
      <c r="F411" s="77">
        <f t="shared" si="139"/>
        <v>46039</v>
      </c>
      <c r="G411" s="77">
        <f t="shared" si="140"/>
        <v>46027</v>
      </c>
      <c r="H411" s="77">
        <f t="shared" si="141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6"/>
        <v>46042</v>
      </c>
      <c r="D412" s="77">
        <f t="shared" si="137"/>
        <v>46026</v>
      </c>
      <c r="E412" s="77">
        <f t="shared" si="138"/>
        <v>46033</v>
      </c>
      <c r="F412" s="77">
        <f t="shared" si="139"/>
        <v>46039</v>
      </c>
      <c r="G412" s="77">
        <f t="shared" si="140"/>
        <v>46027</v>
      </c>
      <c r="H412" s="77">
        <f t="shared" si="141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6"/>
        <v>46042</v>
      </c>
      <c r="D413" s="77">
        <f t="shared" si="137"/>
        <v>46026</v>
      </c>
      <c r="E413" s="77">
        <f t="shared" si="138"/>
        <v>46033</v>
      </c>
      <c r="F413" s="77">
        <f t="shared" si="139"/>
        <v>46039</v>
      </c>
      <c r="G413" s="77">
        <f t="shared" si="140"/>
        <v>46027</v>
      </c>
      <c r="H413" s="77">
        <f t="shared" si="141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6"/>
        <v>46042</v>
      </c>
      <c r="D414" s="77">
        <f t="shared" si="137"/>
        <v>46026</v>
      </c>
      <c r="E414" s="77">
        <f t="shared" si="138"/>
        <v>46033</v>
      </c>
      <c r="F414" s="77">
        <f t="shared" si="139"/>
        <v>46039</v>
      </c>
      <c r="G414" s="77">
        <f t="shared" si="140"/>
        <v>46027</v>
      </c>
      <c r="H414" s="77">
        <f t="shared" si="141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6"/>
        <v>46042</v>
      </c>
      <c r="D415" s="77">
        <f t="shared" si="137"/>
        <v>46026</v>
      </c>
      <c r="E415" s="77">
        <f t="shared" si="138"/>
        <v>46033</v>
      </c>
      <c r="F415" s="77">
        <f t="shared" si="139"/>
        <v>46039</v>
      </c>
      <c r="G415" s="77">
        <f t="shared" si="140"/>
        <v>46027</v>
      </c>
      <c r="H415" s="77">
        <f t="shared" si="141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2">A416+23</f>
        <v>46043</v>
      </c>
      <c r="D416" s="77">
        <f t="shared" ref="D416" si="143">A416+7</f>
        <v>46027</v>
      </c>
      <c r="E416" s="77">
        <f t="shared" ref="E416" si="144">A416+14</f>
        <v>46034</v>
      </c>
      <c r="F416" s="77">
        <f t="shared" ref="F416" si="145">A416+20</f>
        <v>46040</v>
      </c>
      <c r="G416" s="77">
        <f t="shared" ref="G416" si="146">A416+8</f>
        <v>46028</v>
      </c>
      <c r="H416" s="77">
        <f t="shared" ref="H416" si="147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8">A417+23</f>
        <v>46043</v>
      </c>
      <c r="D417" s="77">
        <f t="shared" ref="D417:D422" si="149">A417+7</f>
        <v>46027</v>
      </c>
      <c r="E417" s="77">
        <f t="shared" ref="E417:E422" si="150">A417+14</f>
        <v>46034</v>
      </c>
      <c r="F417" s="77">
        <f t="shared" ref="F417:F422" si="151">A417+20</f>
        <v>46040</v>
      </c>
      <c r="G417" s="77">
        <f t="shared" ref="G417:G422" si="152">A417+8</f>
        <v>46028</v>
      </c>
      <c r="H417" s="77">
        <f t="shared" ref="H417:H422" si="153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8"/>
        <v>46043</v>
      </c>
      <c r="D418" s="77">
        <f t="shared" si="149"/>
        <v>46027</v>
      </c>
      <c r="E418" s="77">
        <f t="shared" si="150"/>
        <v>46034</v>
      </c>
      <c r="F418" s="77">
        <f t="shared" si="151"/>
        <v>46040</v>
      </c>
      <c r="G418" s="77">
        <f t="shared" si="152"/>
        <v>46028</v>
      </c>
      <c r="H418" s="77">
        <f t="shared" si="153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8"/>
        <v>46043</v>
      </c>
      <c r="D419" s="77">
        <f t="shared" si="149"/>
        <v>46027</v>
      </c>
      <c r="E419" s="77">
        <f t="shared" si="150"/>
        <v>46034</v>
      </c>
      <c r="F419" s="77">
        <f t="shared" si="151"/>
        <v>46040</v>
      </c>
      <c r="G419" s="77">
        <f t="shared" si="152"/>
        <v>46028</v>
      </c>
      <c r="H419" s="77">
        <f t="shared" si="153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8"/>
        <v>46043</v>
      </c>
      <c r="D420" s="77">
        <f t="shared" si="149"/>
        <v>46027</v>
      </c>
      <c r="E420" s="77">
        <f t="shared" si="150"/>
        <v>46034</v>
      </c>
      <c r="F420" s="77">
        <f t="shared" si="151"/>
        <v>46040</v>
      </c>
      <c r="G420" s="77">
        <f t="shared" si="152"/>
        <v>46028</v>
      </c>
      <c r="H420" s="77">
        <f t="shared" si="153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8"/>
        <v>46043</v>
      </c>
      <c r="D421" s="77">
        <f t="shared" si="149"/>
        <v>46027</v>
      </c>
      <c r="E421" s="77">
        <f t="shared" si="150"/>
        <v>46034</v>
      </c>
      <c r="F421" s="77">
        <f t="shared" si="151"/>
        <v>46040</v>
      </c>
      <c r="G421" s="77">
        <f t="shared" si="152"/>
        <v>46028</v>
      </c>
      <c r="H421" s="77">
        <f t="shared" si="153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8"/>
        <v>46043</v>
      </c>
      <c r="D422" s="77">
        <f t="shared" si="149"/>
        <v>46027</v>
      </c>
      <c r="E422" s="77">
        <f t="shared" si="150"/>
        <v>46034</v>
      </c>
      <c r="F422" s="77">
        <f t="shared" si="151"/>
        <v>46040</v>
      </c>
      <c r="G422" s="77">
        <f t="shared" si="152"/>
        <v>46028</v>
      </c>
      <c r="H422" s="77">
        <f t="shared" si="153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54">A423+23</f>
        <v>46044</v>
      </c>
      <c r="D423" s="77">
        <f t="shared" ref="D423:D429" si="155">A423+7</f>
        <v>46028</v>
      </c>
      <c r="E423" s="77">
        <f t="shared" ref="E423:E429" si="156">A423+14</f>
        <v>46035</v>
      </c>
      <c r="F423" s="77">
        <f t="shared" ref="F423:F429" si="157">A423+20</f>
        <v>46041</v>
      </c>
      <c r="G423" s="77">
        <f t="shared" ref="G423:G429" si="158">A423+8</f>
        <v>46029</v>
      </c>
      <c r="H423" s="77">
        <f t="shared" ref="H423:H429" si="159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54"/>
        <v>46044</v>
      </c>
      <c r="D424" s="77">
        <f t="shared" si="155"/>
        <v>46028</v>
      </c>
      <c r="E424" s="77">
        <f t="shared" si="156"/>
        <v>46035</v>
      </c>
      <c r="F424" s="77">
        <f t="shared" si="157"/>
        <v>46041</v>
      </c>
      <c r="G424" s="77">
        <f t="shared" si="158"/>
        <v>46029</v>
      </c>
      <c r="H424" s="77">
        <f t="shared" si="159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54"/>
        <v>46044</v>
      </c>
      <c r="D425" s="77">
        <f t="shared" si="155"/>
        <v>46028</v>
      </c>
      <c r="E425" s="77">
        <f t="shared" si="156"/>
        <v>46035</v>
      </c>
      <c r="F425" s="77">
        <f t="shared" si="157"/>
        <v>46041</v>
      </c>
      <c r="G425" s="77">
        <f t="shared" si="158"/>
        <v>46029</v>
      </c>
      <c r="H425" s="77">
        <f t="shared" si="159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54"/>
        <v>46044</v>
      </c>
      <c r="D426" s="77">
        <f t="shared" si="155"/>
        <v>46028</v>
      </c>
      <c r="E426" s="77">
        <f t="shared" si="156"/>
        <v>46035</v>
      </c>
      <c r="F426" s="77">
        <f t="shared" si="157"/>
        <v>46041</v>
      </c>
      <c r="G426" s="77">
        <f t="shared" si="158"/>
        <v>46029</v>
      </c>
      <c r="H426" s="77">
        <f t="shared" si="159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54"/>
        <v>46044</v>
      </c>
      <c r="D427" s="77">
        <f t="shared" si="155"/>
        <v>46028</v>
      </c>
      <c r="E427" s="77">
        <f t="shared" si="156"/>
        <v>46035</v>
      </c>
      <c r="F427" s="77">
        <f t="shared" si="157"/>
        <v>46041</v>
      </c>
      <c r="G427" s="77">
        <f t="shared" si="158"/>
        <v>46029</v>
      </c>
      <c r="H427" s="77">
        <f t="shared" si="159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54"/>
        <v>46044</v>
      </c>
      <c r="D428" s="77">
        <f t="shared" si="155"/>
        <v>46028</v>
      </c>
      <c r="E428" s="77">
        <f t="shared" si="156"/>
        <v>46035</v>
      </c>
      <c r="F428" s="77">
        <f t="shared" si="157"/>
        <v>46041</v>
      </c>
      <c r="G428" s="77">
        <f t="shared" si="158"/>
        <v>46029</v>
      </c>
      <c r="H428" s="77">
        <f t="shared" si="159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54"/>
        <v>46044</v>
      </c>
      <c r="D429" s="77">
        <f t="shared" si="155"/>
        <v>46028</v>
      </c>
      <c r="E429" s="77">
        <f t="shared" si="156"/>
        <v>46035</v>
      </c>
      <c r="F429" s="77">
        <f t="shared" si="157"/>
        <v>46041</v>
      </c>
      <c r="G429" s="77">
        <f t="shared" si="158"/>
        <v>46029</v>
      </c>
      <c r="H429" s="77">
        <f t="shared" si="159"/>
        <v>46036</v>
      </c>
      <c r="I429" s="77"/>
      <c r="J429" s="78"/>
      <c r="K429" s="25"/>
      <c r="L429" s="25"/>
      <c r="M429" s="25"/>
      <c r="N429" s="25"/>
    </row>
    <row r="430" spans="1:14" x14ac:dyDescent="0.25">
      <c r="A430" s="77">
        <v>46022</v>
      </c>
      <c r="B430" s="25" t="s">
        <v>421</v>
      </c>
      <c r="F430" s="77">
        <f t="shared" ref="F430:F453" si="160">A430+20</f>
        <v>46042</v>
      </c>
      <c r="G430" s="77">
        <f t="shared" ref="G430:G453" si="161">A430+8</f>
        <v>46030</v>
      </c>
      <c r="H430" s="77">
        <f t="shared" ref="H430:H453" si="162">A430+15</f>
        <v>46037</v>
      </c>
      <c r="I430" s="77"/>
      <c r="J430" s="78"/>
      <c r="K430" s="25"/>
      <c r="L430" s="25"/>
      <c r="M430" s="25"/>
      <c r="N430" s="25"/>
    </row>
    <row r="431" spans="1:14" x14ac:dyDescent="0.25">
      <c r="A431" s="77">
        <v>46022</v>
      </c>
      <c r="B431" s="25" t="s">
        <v>422</v>
      </c>
      <c r="F431" s="77">
        <f t="shared" si="160"/>
        <v>46042</v>
      </c>
      <c r="G431" s="77">
        <f t="shared" si="161"/>
        <v>46030</v>
      </c>
      <c r="H431" s="77">
        <f t="shared" si="162"/>
        <v>46037</v>
      </c>
      <c r="I431" s="77"/>
      <c r="J431" s="78"/>
      <c r="K431" s="25"/>
      <c r="L431" s="25"/>
      <c r="M431" s="25"/>
      <c r="N431" s="25"/>
    </row>
    <row r="432" spans="1:14" x14ac:dyDescent="0.25">
      <c r="A432" s="77">
        <v>46022</v>
      </c>
      <c r="B432" s="25" t="s">
        <v>423</v>
      </c>
      <c r="F432" s="77">
        <f t="shared" si="160"/>
        <v>46042</v>
      </c>
      <c r="G432" s="77">
        <f t="shared" si="161"/>
        <v>46030</v>
      </c>
      <c r="H432" s="77">
        <f t="shared" si="162"/>
        <v>46037</v>
      </c>
      <c r="I432" s="77"/>
      <c r="J432" s="78"/>
      <c r="K432" s="25"/>
      <c r="L432" s="25"/>
      <c r="M432" s="25"/>
      <c r="N432" s="25"/>
    </row>
    <row r="433" spans="1:14" x14ac:dyDescent="0.25">
      <c r="A433" s="77">
        <v>46022</v>
      </c>
      <c r="B433" s="25" t="s">
        <v>424</v>
      </c>
      <c r="F433" s="77">
        <f t="shared" si="160"/>
        <v>46042</v>
      </c>
      <c r="G433" s="77">
        <f t="shared" si="161"/>
        <v>46030</v>
      </c>
      <c r="H433" s="77">
        <f t="shared" si="162"/>
        <v>46037</v>
      </c>
      <c r="I433" s="77"/>
      <c r="J433" s="78"/>
      <c r="K433" s="25"/>
      <c r="L433" s="25"/>
      <c r="M433" s="25"/>
      <c r="N433" s="25"/>
    </row>
    <row r="434" spans="1:14" x14ac:dyDescent="0.25">
      <c r="A434" s="77">
        <v>46022</v>
      </c>
      <c r="B434" s="25" t="s">
        <v>425</v>
      </c>
      <c r="F434" s="77">
        <f t="shared" si="160"/>
        <v>46042</v>
      </c>
      <c r="G434" s="77">
        <f t="shared" si="161"/>
        <v>46030</v>
      </c>
      <c r="H434" s="77">
        <f t="shared" si="162"/>
        <v>46037</v>
      </c>
      <c r="I434" s="77"/>
      <c r="J434" s="78"/>
      <c r="K434" s="25"/>
      <c r="L434" s="25"/>
      <c r="M434" s="25"/>
      <c r="N434" s="25"/>
    </row>
    <row r="435" spans="1:14" x14ac:dyDescent="0.25">
      <c r="A435" s="77">
        <v>46022</v>
      </c>
      <c r="B435" s="25" t="s">
        <v>426</v>
      </c>
      <c r="F435" s="77">
        <f t="shared" si="160"/>
        <v>46042</v>
      </c>
      <c r="G435" s="77">
        <f t="shared" si="161"/>
        <v>46030</v>
      </c>
      <c r="H435" s="77">
        <f t="shared" si="162"/>
        <v>46037</v>
      </c>
      <c r="I435" s="77"/>
      <c r="J435" s="78"/>
      <c r="K435" s="25"/>
      <c r="L435" s="25"/>
      <c r="M435" s="25"/>
      <c r="N435" s="25"/>
    </row>
    <row r="436" spans="1:14" x14ac:dyDescent="0.25">
      <c r="A436" s="77">
        <v>46022</v>
      </c>
      <c r="B436" s="25" t="s">
        <v>427</v>
      </c>
      <c r="F436" s="77">
        <f t="shared" si="160"/>
        <v>46042</v>
      </c>
      <c r="G436" s="77">
        <f t="shared" si="161"/>
        <v>46030</v>
      </c>
      <c r="H436" s="77">
        <f t="shared" si="162"/>
        <v>46037</v>
      </c>
      <c r="I436" s="77"/>
      <c r="J436" s="78"/>
      <c r="K436" s="25"/>
      <c r="L436" s="25"/>
      <c r="M436" s="25"/>
      <c r="N436" s="25"/>
    </row>
    <row r="437" spans="1:14" x14ac:dyDescent="0.25">
      <c r="A437" s="77">
        <v>46023</v>
      </c>
      <c r="B437" s="25" t="s">
        <v>451</v>
      </c>
      <c r="F437" s="77">
        <f t="shared" si="160"/>
        <v>46043</v>
      </c>
      <c r="G437" s="77">
        <f t="shared" si="161"/>
        <v>46031</v>
      </c>
      <c r="H437" s="77">
        <f t="shared" si="162"/>
        <v>46038</v>
      </c>
      <c r="I437" s="77"/>
      <c r="J437" s="78"/>
      <c r="K437" s="25"/>
      <c r="L437" s="25"/>
      <c r="M437" s="25"/>
      <c r="N437" s="25"/>
    </row>
    <row r="438" spans="1:14" x14ac:dyDescent="0.25">
      <c r="A438" s="77">
        <v>46023</v>
      </c>
      <c r="B438" s="25" t="s">
        <v>452</v>
      </c>
      <c r="F438" s="77">
        <f t="shared" si="160"/>
        <v>46043</v>
      </c>
      <c r="G438" s="77">
        <f t="shared" si="161"/>
        <v>46031</v>
      </c>
      <c r="H438" s="77">
        <f t="shared" si="162"/>
        <v>46038</v>
      </c>
      <c r="I438" s="77"/>
      <c r="J438" s="78"/>
      <c r="K438" s="25"/>
      <c r="L438" s="25"/>
      <c r="M438" s="25"/>
      <c r="N438" s="25"/>
    </row>
    <row r="439" spans="1:14" x14ac:dyDescent="0.25">
      <c r="A439" s="77">
        <v>46023</v>
      </c>
      <c r="B439" s="25" t="s">
        <v>453</v>
      </c>
      <c r="F439" s="77">
        <f t="shared" si="160"/>
        <v>46043</v>
      </c>
      <c r="G439" s="77">
        <f t="shared" si="161"/>
        <v>46031</v>
      </c>
      <c r="H439" s="77">
        <f t="shared" si="162"/>
        <v>46038</v>
      </c>
      <c r="I439" s="77"/>
      <c r="J439" s="78"/>
      <c r="K439" s="25"/>
      <c r="L439" s="25"/>
      <c r="M439" s="25"/>
      <c r="N439" s="25"/>
    </row>
    <row r="440" spans="1:14" x14ac:dyDescent="0.25">
      <c r="A440" s="77">
        <v>46023</v>
      </c>
      <c r="B440" s="25" t="s">
        <v>454</v>
      </c>
      <c r="F440" s="77">
        <f t="shared" si="160"/>
        <v>46043</v>
      </c>
      <c r="G440" s="77">
        <f t="shared" si="161"/>
        <v>46031</v>
      </c>
      <c r="H440" s="77">
        <f t="shared" si="162"/>
        <v>46038</v>
      </c>
      <c r="I440" s="77"/>
      <c r="J440" s="78"/>
      <c r="K440" s="25"/>
      <c r="L440" s="25"/>
      <c r="M440" s="25"/>
      <c r="N440" s="25"/>
    </row>
    <row r="441" spans="1:14" x14ac:dyDescent="0.25">
      <c r="A441" s="77">
        <v>46023</v>
      </c>
      <c r="B441" s="25" t="s">
        <v>455</v>
      </c>
      <c r="F441" s="77">
        <f t="shared" si="160"/>
        <v>46043</v>
      </c>
      <c r="G441" s="77">
        <f t="shared" si="161"/>
        <v>46031</v>
      </c>
      <c r="H441" s="77">
        <f t="shared" si="162"/>
        <v>46038</v>
      </c>
      <c r="I441" s="77"/>
      <c r="J441" s="78"/>
      <c r="K441" s="25"/>
      <c r="L441" s="25"/>
      <c r="M441" s="25"/>
      <c r="N441" s="25"/>
    </row>
    <row r="442" spans="1:14" x14ac:dyDescent="0.25">
      <c r="A442" s="77">
        <v>46023</v>
      </c>
      <c r="B442" s="25" t="s">
        <v>456</v>
      </c>
      <c r="F442" s="77">
        <f t="shared" si="160"/>
        <v>46043</v>
      </c>
      <c r="G442" s="77">
        <f t="shared" si="161"/>
        <v>46031</v>
      </c>
      <c r="H442" s="77">
        <f t="shared" si="162"/>
        <v>46038</v>
      </c>
      <c r="I442" s="77"/>
      <c r="J442" s="78"/>
      <c r="K442" s="25"/>
      <c r="L442" s="25"/>
      <c r="M442" s="25"/>
      <c r="N442" s="25"/>
    </row>
    <row r="443" spans="1:14" x14ac:dyDescent="0.25">
      <c r="A443" s="77">
        <v>46023</v>
      </c>
      <c r="B443" s="25" t="s">
        <v>457</v>
      </c>
      <c r="F443" s="77">
        <f t="shared" si="160"/>
        <v>46043</v>
      </c>
      <c r="G443" s="77">
        <f t="shared" si="161"/>
        <v>46031</v>
      </c>
      <c r="H443" s="77">
        <f t="shared" si="162"/>
        <v>46038</v>
      </c>
      <c r="I443" s="77"/>
      <c r="J443" s="78"/>
      <c r="K443" s="25"/>
      <c r="L443" s="25"/>
      <c r="M443" s="25"/>
      <c r="N443" s="25"/>
    </row>
    <row r="444" spans="1:14" x14ac:dyDescent="0.25">
      <c r="A444" s="77">
        <v>46024</v>
      </c>
      <c r="B444" s="25" t="s">
        <v>414</v>
      </c>
      <c r="F444" s="77">
        <f t="shared" si="160"/>
        <v>46044</v>
      </c>
      <c r="G444" s="77">
        <f t="shared" si="161"/>
        <v>46032</v>
      </c>
      <c r="H444" s="77">
        <f t="shared" si="162"/>
        <v>46039</v>
      </c>
      <c r="I444" s="77"/>
      <c r="J444" s="78"/>
      <c r="K444" s="25"/>
      <c r="L444" s="25"/>
      <c r="M444" s="25"/>
      <c r="N444" s="25"/>
    </row>
    <row r="445" spans="1:14" x14ac:dyDescent="0.25">
      <c r="A445" s="77">
        <v>46024</v>
      </c>
      <c r="B445" s="25" t="s">
        <v>415</v>
      </c>
      <c r="F445" s="77">
        <f t="shared" si="160"/>
        <v>46044</v>
      </c>
      <c r="G445" s="77">
        <f t="shared" si="161"/>
        <v>46032</v>
      </c>
      <c r="H445" s="77">
        <f t="shared" si="162"/>
        <v>46039</v>
      </c>
      <c r="I445" s="77"/>
      <c r="J445" s="78"/>
      <c r="K445" s="25"/>
      <c r="L445" s="25"/>
      <c r="M445" s="25"/>
      <c r="N445" s="25"/>
    </row>
    <row r="446" spans="1:14" x14ac:dyDescent="0.25">
      <c r="A446" s="77">
        <v>46024</v>
      </c>
      <c r="B446" s="25" t="s">
        <v>416</v>
      </c>
      <c r="F446" s="77">
        <f t="shared" si="160"/>
        <v>46044</v>
      </c>
      <c r="G446" s="77">
        <f t="shared" si="161"/>
        <v>46032</v>
      </c>
      <c r="H446" s="77">
        <f t="shared" si="162"/>
        <v>46039</v>
      </c>
      <c r="I446" s="77"/>
      <c r="J446" s="78"/>
      <c r="K446" s="25"/>
      <c r="L446" s="25"/>
      <c r="M446" s="25"/>
      <c r="N446" s="25"/>
    </row>
    <row r="447" spans="1:14" x14ac:dyDescent="0.25">
      <c r="A447" s="77">
        <v>46024</v>
      </c>
      <c r="B447" s="25" t="s">
        <v>417</v>
      </c>
      <c r="F447" s="77">
        <f t="shared" si="160"/>
        <v>46044</v>
      </c>
      <c r="G447" s="77">
        <f t="shared" si="161"/>
        <v>46032</v>
      </c>
      <c r="H447" s="77">
        <f t="shared" si="162"/>
        <v>46039</v>
      </c>
      <c r="I447" s="77"/>
      <c r="J447" s="78"/>
      <c r="K447" s="25"/>
      <c r="L447" s="25"/>
      <c r="M447" s="25"/>
      <c r="N447" s="25"/>
    </row>
    <row r="448" spans="1:14" x14ac:dyDescent="0.25">
      <c r="A448" s="77">
        <v>46024</v>
      </c>
      <c r="B448" s="25" t="s">
        <v>418</v>
      </c>
      <c r="F448" s="77">
        <f t="shared" si="160"/>
        <v>46044</v>
      </c>
      <c r="G448" s="77">
        <f t="shared" si="161"/>
        <v>46032</v>
      </c>
      <c r="H448" s="77">
        <f t="shared" si="162"/>
        <v>46039</v>
      </c>
      <c r="I448" s="77"/>
      <c r="J448" s="78"/>
      <c r="K448" s="25"/>
      <c r="L448" s="25"/>
      <c r="M448" s="25"/>
      <c r="N448" s="25"/>
    </row>
    <row r="449" spans="1:14" x14ac:dyDescent="0.25">
      <c r="A449" s="77">
        <v>46024</v>
      </c>
      <c r="B449" s="25" t="s">
        <v>419</v>
      </c>
      <c r="F449" s="77">
        <f t="shared" si="160"/>
        <v>46044</v>
      </c>
      <c r="G449" s="77">
        <f t="shared" si="161"/>
        <v>46032</v>
      </c>
      <c r="H449" s="77">
        <f t="shared" si="162"/>
        <v>46039</v>
      </c>
      <c r="I449" s="77"/>
      <c r="J449" s="78"/>
      <c r="K449" s="25"/>
      <c r="L449" s="25"/>
      <c r="M449" s="25"/>
      <c r="N449" s="25"/>
    </row>
    <row r="450" spans="1:14" x14ac:dyDescent="0.25">
      <c r="A450" s="77">
        <v>46024</v>
      </c>
      <c r="B450" s="25" t="s">
        <v>420</v>
      </c>
      <c r="F450" s="77">
        <f t="shared" si="160"/>
        <v>46044</v>
      </c>
      <c r="G450" s="77">
        <f t="shared" si="161"/>
        <v>46032</v>
      </c>
      <c r="H450" s="77">
        <f t="shared" si="162"/>
        <v>46039</v>
      </c>
      <c r="I450" s="77"/>
      <c r="J450" s="78"/>
      <c r="K450" s="25"/>
      <c r="L450" s="25"/>
      <c r="M450" s="25"/>
      <c r="N450" s="25"/>
    </row>
    <row r="451" spans="1:14" x14ac:dyDescent="0.25">
      <c r="A451" s="77">
        <v>46025</v>
      </c>
      <c r="B451" s="25" t="s">
        <v>444</v>
      </c>
      <c r="F451" s="77">
        <f t="shared" si="160"/>
        <v>46045</v>
      </c>
      <c r="G451" s="77">
        <f t="shared" si="161"/>
        <v>46033</v>
      </c>
      <c r="H451" s="77">
        <f t="shared" si="162"/>
        <v>46040</v>
      </c>
      <c r="I451" s="77"/>
      <c r="J451" s="78"/>
      <c r="K451" s="25"/>
      <c r="L451" s="25"/>
      <c r="M451" s="25"/>
      <c r="N451" s="25"/>
    </row>
    <row r="452" spans="1:14" x14ac:dyDescent="0.25">
      <c r="A452" s="77">
        <v>46025</v>
      </c>
      <c r="B452" s="25" t="s">
        <v>445</v>
      </c>
      <c r="F452" s="77">
        <f t="shared" si="160"/>
        <v>46045</v>
      </c>
      <c r="G452" s="77">
        <f t="shared" si="161"/>
        <v>46033</v>
      </c>
      <c r="H452" s="77">
        <f t="shared" si="162"/>
        <v>46040</v>
      </c>
      <c r="I452" s="77"/>
      <c r="J452" s="78"/>
      <c r="K452" s="25"/>
      <c r="L452" s="25"/>
      <c r="M452" s="25"/>
      <c r="N452" s="25"/>
    </row>
    <row r="453" spans="1:14" x14ac:dyDescent="0.25">
      <c r="A453" s="77">
        <v>46025</v>
      </c>
      <c r="B453" s="25" t="s">
        <v>446</v>
      </c>
      <c r="F453" s="77">
        <f t="shared" si="160"/>
        <v>46045</v>
      </c>
      <c r="G453" s="77">
        <f t="shared" si="161"/>
        <v>46033</v>
      </c>
      <c r="H453" s="77">
        <f t="shared" si="162"/>
        <v>46040</v>
      </c>
      <c r="I453" s="77"/>
      <c r="J453" s="78"/>
      <c r="K453" s="25"/>
      <c r="L453" s="25"/>
      <c r="M453" s="25"/>
      <c r="N453" s="25"/>
    </row>
    <row r="454" spans="1:14" x14ac:dyDescent="0.25">
      <c r="A454" s="77">
        <v>46025</v>
      </c>
      <c r="B454" s="25" t="s">
        <v>447</v>
      </c>
      <c r="F454" s="77">
        <f t="shared" ref="F454:F465" si="163">A454+20</f>
        <v>46045</v>
      </c>
      <c r="G454" s="77">
        <f t="shared" ref="G454:G465" si="164">A454+8</f>
        <v>46033</v>
      </c>
      <c r="H454" s="77">
        <f t="shared" ref="H454:H465" si="165">A454+15</f>
        <v>46040</v>
      </c>
      <c r="I454" s="77"/>
      <c r="J454" s="78"/>
      <c r="K454" s="25"/>
      <c r="L454" s="25"/>
      <c r="M454" s="25"/>
      <c r="N454" s="25"/>
    </row>
    <row r="455" spans="1:14" x14ac:dyDescent="0.25">
      <c r="A455" s="77">
        <v>46025</v>
      </c>
      <c r="B455" s="25" t="s">
        <v>448</v>
      </c>
      <c r="F455" s="77">
        <f t="shared" si="163"/>
        <v>46045</v>
      </c>
      <c r="G455" s="77">
        <f t="shared" si="164"/>
        <v>46033</v>
      </c>
      <c r="H455" s="77">
        <f t="shared" si="165"/>
        <v>46040</v>
      </c>
      <c r="I455" s="77"/>
      <c r="J455" s="78"/>
      <c r="K455" s="25"/>
      <c r="L455" s="25"/>
      <c r="M455" s="25"/>
      <c r="N455" s="25"/>
    </row>
    <row r="456" spans="1:14" x14ac:dyDescent="0.25">
      <c r="A456" s="77">
        <v>46025</v>
      </c>
      <c r="B456" s="25" t="s">
        <v>449</v>
      </c>
      <c r="F456" s="77">
        <f t="shared" si="163"/>
        <v>46045</v>
      </c>
      <c r="G456" s="77">
        <f t="shared" si="164"/>
        <v>46033</v>
      </c>
      <c r="H456" s="77">
        <f t="shared" si="165"/>
        <v>46040</v>
      </c>
      <c r="I456" s="77"/>
      <c r="J456" s="78"/>
      <c r="K456" s="25"/>
      <c r="L456" s="25"/>
      <c r="M456" s="25"/>
      <c r="N456" s="25"/>
    </row>
    <row r="457" spans="1:14" x14ac:dyDescent="0.25">
      <c r="A457" s="77">
        <v>46025</v>
      </c>
      <c r="B457" s="25" t="s">
        <v>450</v>
      </c>
      <c r="F457" s="77">
        <f t="shared" si="163"/>
        <v>46045</v>
      </c>
      <c r="G457" s="77">
        <f t="shared" si="164"/>
        <v>46033</v>
      </c>
      <c r="H457" s="77">
        <f t="shared" si="165"/>
        <v>46040</v>
      </c>
      <c r="I457" s="77"/>
      <c r="J457" s="78"/>
      <c r="K457" s="25"/>
      <c r="L457" s="25"/>
      <c r="M457" s="25"/>
      <c r="N457" s="25"/>
    </row>
    <row r="458" spans="1:14" x14ac:dyDescent="0.25">
      <c r="A458" s="77">
        <v>46026</v>
      </c>
      <c r="B458" s="25" t="s">
        <v>412</v>
      </c>
      <c r="F458" s="77">
        <f t="shared" si="163"/>
        <v>46046</v>
      </c>
      <c r="G458" s="77">
        <f t="shared" si="164"/>
        <v>46034</v>
      </c>
      <c r="H458" s="77">
        <f t="shared" si="165"/>
        <v>46041</v>
      </c>
      <c r="I458" s="77"/>
      <c r="J458" s="78"/>
      <c r="K458" s="25"/>
      <c r="L458" s="25"/>
      <c r="M458" s="25"/>
      <c r="N458" s="25"/>
    </row>
    <row r="459" spans="1:14" x14ac:dyDescent="0.25">
      <c r="A459" s="77">
        <v>46026</v>
      </c>
      <c r="B459" s="25" t="s">
        <v>413</v>
      </c>
      <c r="F459" s="77">
        <f t="shared" si="163"/>
        <v>46046</v>
      </c>
      <c r="G459" s="77">
        <f t="shared" si="164"/>
        <v>46034</v>
      </c>
      <c r="H459" s="77">
        <f t="shared" si="165"/>
        <v>46041</v>
      </c>
      <c r="I459" s="77"/>
      <c r="J459" s="78"/>
      <c r="K459" s="25"/>
      <c r="L459" s="25"/>
      <c r="M459" s="25"/>
      <c r="N459" s="25"/>
    </row>
    <row r="460" spans="1:14" x14ac:dyDescent="0.25">
      <c r="A460" s="77">
        <v>46026</v>
      </c>
      <c r="B460" s="25" t="s">
        <v>442</v>
      </c>
      <c r="F460" s="77">
        <f t="shared" si="163"/>
        <v>46046</v>
      </c>
      <c r="G460" s="77">
        <f t="shared" si="164"/>
        <v>46034</v>
      </c>
      <c r="H460" s="77">
        <f t="shared" si="165"/>
        <v>46041</v>
      </c>
      <c r="I460" s="77"/>
      <c r="J460" s="78"/>
      <c r="K460" s="25"/>
      <c r="L460" s="25"/>
      <c r="M460" s="25"/>
      <c r="N460" s="25"/>
    </row>
    <row r="461" spans="1:14" x14ac:dyDescent="0.25">
      <c r="A461" s="77">
        <v>46026</v>
      </c>
      <c r="B461" s="25" t="s">
        <v>443</v>
      </c>
      <c r="F461" s="77">
        <f t="shared" si="163"/>
        <v>46046</v>
      </c>
      <c r="G461" s="77">
        <f t="shared" si="164"/>
        <v>46034</v>
      </c>
      <c r="H461" s="77">
        <f t="shared" si="165"/>
        <v>46041</v>
      </c>
      <c r="I461" s="77"/>
      <c r="J461" s="78"/>
      <c r="K461" s="25"/>
      <c r="L461" s="25"/>
      <c r="M461" s="25"/>
      <c r="N461" s="25"/>
    </row>
    <row r="462" spans="1:14" x14ac:dyDescent="0.25">
      <c r="A462" s="77">
        <v>46026</v>
      </c>
      <c r="B462" s="25" t="s">
        <v>1145</v>
      </c>
      <c r="F462" s="77">
        <f t="shared" si="163"/>
        <v>46046</v>
      </c>
      <c r="G462" s="77">
        <f t="shared" si="164"/>
        <v>46034</v>
      </c>
      <c r="H462" s="77">
        <f t="shared" si="165"/>
        <v>46041</v>
      </c>
      <c r="I462" s="77"/>
      <c r="J462" s="78"/>
      <c r="K462" s="25"/>
      <c r="L462" s="25"/>
      <c r="M462" s="25"/>
      <c r="N462" s="25"/>
    </row>
    <row r="463" spans="1:14" x14ac:dyDescent="0.25">
      <c r="A463" s="77">
        <v>46026</v>
      </c>
      <c r="B463" s="25" t="s">
        <v>1146</v>
      </c>
      <c r="F463" s="77">
        <f t="shared" si="163"/>
        <v>46046</v>
      </c>
      <c r="G463" s="77">
        <f t="shared" si="164"/>
        <v>46034</v>
      </c>
      <c r="H463" s="77">
        <f t="shared" si="165"/>
        <v>46041</v>
      </c>
      <c r="I463" s="77"/>
      <c r="J463" s="78"/>
      <c r="K463" s="25"/>
      <c r="L463" s="25"/>
      <c r="M463" s="25"/>
      <c r="N463" s="25"/>
    </row>
    <row r="464" spans="1:14" x14ac:dyDescent="0.25">
      <c r="A464" s="77">
        <v>46026</v>
      </c>
      <c r="B464" s="25" t="s">
        <v>474</v>
      </c>
      <c r="F464" s="77">
        <f t="shared" si="163"/>
        <v>46046</v>
      </c>
      <c r="G464" s="77">
        <f t="shared" si="164"/>
        <v>46034</v>
      </c>
      <c r="H464" s="77">
        <f t="shared" si="165"/>
        <v>46041</v>
      </c>
      <c r="I464" s="77"/>
      <c r="J464" s="78"/>
      <c r="K464" s="25"/>
      <c r="L464" s="25"/>
      <c r="M464" s="25"/>
      <c r="N464" s="25"/>
    </row>
    <row r="465" spans="1:14" x14ac:dyDescent="0.25">
      <c r="A465" s="77">
        <v>46026</v>
      </c>
      <c r="B465" s="25" t="s">
        <v>475</v>
      </c>
      <c r="F465" s="77">
        <f t="shared" si="163"/>
        <v>46046</v>
      </c>
      <c r="G465" s="77">
        <f t="shared" si="164"/>
        <v>46034</v>
      </c>
      <c r="H465" s="77">
        <f t="shared" si="165"/>
        <v>46041</v>
      </c>
      <c r="I465" s="77"/>
      <c r="J465" s="78"/>
      <c r="K465" s="25"/>
      <c r="L465" s="25"/>
      <c r="M465" s="25"/>
      <c r="N465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1:B169 A189:B224 B225:B415 C349:H369 J349:J369 C370:J373 C374:H415 A402:B415">
    <cfRule type="expression" dxfId="10" priority="13">
      <formula>$K1&gt;0</formula>
    </cfRule>
  </conditionalFormatting>
  <conditionalFormatting sqref="C1:H169 A170:I188 C189:H348 C363:H1048576">
    <cfRule type="expression" dxfId="9" priority="16">
      <formula>$J1&gt;0</formula>
    </cfRule>
  </conditionalFormatting>
  <conditionalFormatting sqref="I1:I247 A225:A422 I250:I260 A416:H422 A417:B429 C423:H429 A466:B1048576 J374:J452 F430:H452 I271:I452 I466:I1048576 F453:J465">
    <cfRule type="expression" dxfId="8" priority="5">
      <formula>$K1&gt;0</formula>
    </cfRule>
  </conditionalFormatting>
  <conditionalFormatting sqref="I248:I249">
    <cfRule type="expression" dxfId="7" priority="8799">
      <formula>$K247&gt;0</formula>
    </cfRule>
  </conditionalFormatting>
  <conditionalFormatting sqref="I261:I270">
    <cfRule type="expression" dxfId="2" priority="3">
      <formula>$K261&gt;0</formula>
    </cfRule>
  </conditionalFormatting>
  <conditionalFormatting sqref="A430:A465">
    <cfRule type="expression" dxfId="1" priority="1">
      <formula>$K430&gt;0</formula>
    </cfRule>
  </conditionalFormatting>
  <conditionalFormatting sqref="B430 A431:B465">
    <cfRule type="expression" dxfId="0" priority="2">
      <formula>$K430&gt;0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6" priority="10">
      <formula>$K2&gt;0</formula>
    </cfRule>
  </conditionalFormatting>
  <conditionalFormatting sqref="C2:C111">
    <cfRule type="expression" dxfId="5" priority="4">
      <formula>$K2&gt;0</formula>
    </cfRule>
  </conditionalFormatting>
  <conditionalFormatting sqref="C115:C119">
    <cfRule type="expression" dxfId="4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3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2026-01-05T11:14:20Z</dcterms:modified>
</cp:coreProperties>
</file>