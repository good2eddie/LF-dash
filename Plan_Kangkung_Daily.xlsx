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73C920BF-CC81-4A6A-BFA4-15E6C58FB28A}" xr6:coauthVersionLast="47" xr6:coauthVersionMax="47" xr10:uidLastSave="{00000000-0000-0000-0000-000000000000}"/>
  <bookViews>
    <workbookView xWindow="-120" yWindow="-120" windowWidth="29040" windowHeight="15720" activeTab="1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0" i="3" l="1"/>
  <c r="M139" i="3"/>
  <c r="M138" i="3"/>
  <c r="M137" i="3"/>
  <c r="M136" i="3"/>
  <c r="J140" i="3"/>
  <c r="J139" i="3"/>
  <c r="J138" i="3"/>
  <c r="J137" i="3"/>
  <c r="J136" i="3"/>
  <c r="M128" i="3"/>
  <c r="M127" i="3"/>
  <c r="M126" i="3"/>
  <c r="M125" i="3"/>
  <c r="J128" i="3"/>
  <c r="J127" i="3"/>
  <c r="J126" i="3"/>
  <c r="J125" i="3"/>
  <c r="M124" i="3"/>
  <c r="M123" i="3"/>
  <c r="M122" i="3"/>
  <c r="M121" i="3"/>
  <c r="M120" i="3"/>
  <c r="M119" i="3"/>
  <c r="M118" i="3"/>
  <c r="M117" i="3"/>
  <c r="M116" i="3"/>
  <c r="M115" i="3"/>
  <c r="J124" i="3"/>
  <c r="J123" i="3"/>
  <c r="J122" i="3"/>
  <c r="J121" i="3"/>
  <c r="J120" i="3"/>
  <c r="J119" i="3"/>
  <c r="J118" i="3"/>
  <c r="J117" i="3"/>
  <c r="J116" i="3"/>
  <c r="J115" i="3"/>
  <c r="M114" i="3"/>
  <c r="M113" i="3"/>
  <c r="M112" i="3"/>
  <c r="M111" i="3"/>
  <c r="M110" i="3"/>
  <c r="M109" i="3"/>
  <c r="M108" i="3"/>
  <c r="J114" i="3"/>
  <c r="J113" i="3"/>
  <c r="J112" i="3"/>
  <c r="J111" i="3"/>
  <c r="J110" i="3"/>
  <c r="J109" i="3"/>
  <c r="J108" i="3"/>
  <c r="M107" i="3"/>
  <c r="M106" i="3"/>
  <c r="M105" i="3"/>
  <c r="M104" i="3"/>
  <c r="J107" i="3"/>
  <c r="J106" i="3"/>
  <c r="J105" i="3"/>
  <c r="J104" i="3"/>
  <c r="M103" i="3"/>
  <c r="J103" i="3"/>
  <c r="M102" i="3"/>
  <c r="J102" i="3"/>
  <c r="M101" i="3"/>
  <c r="J101" i="3"/>
  <c r="M100" i="3"/>
  <c r="J100" i="3"/>
  <c r="M96" i="3"/>
  <c r="M95" i="3"/>
  <c r="M94" i="3"/>
  <c r="M93" i="3"/>
  <c r="J94" i="3"/>
  <c r="J95" i="3"/>
  <c r="J96" i="3"/>
  <c r="J93" i="3"/>
  <c r="M99" i="3"/>
  <c r="M98" i="3"/>
  <c r="M97" i="3"/>
  <c r="J98" i="3"/>
  <c r="J99" i="3"/>
  <c r="M90" i="3"/>
  <c r="M89" i="3"/>
  <c r="M88" i="3"/>
  <c r="M87" i="3"/>
  <c r="M86" i="3"/>
  <c r="J88" i="3"/>
  <c r="J87" i="3"/>
  <c r="J86" i="3"/>
  <c r="J90" i="3"/>
  <c r="J89" i="3"/>
  <c r="J97" i="3"/>
  <c r="J92" i="3"/>
  <c r="J91" i="3"/>
  <c r="J85" i="3"/>
  <c r="J84" i="3"/>
  <c r="J83" i="3"/>
  <c r="J82" i="3"/>
  <c r="J81" i="3"/>
  <c r="J80" i="3"/>
  <c r="M92" i="3"/>
  <c r="M91" i="3"/>
  <c r="M85" i="3"/>
  <c r="M84" i="3"/>
  <c r="M83" i="3"/>
  <c r="M82" i="3"/>
  <c r="M81" i="3"/>
  <c r="M80" i="3"/>
  <c r="M77" i="3"/>
  <c r="J77" i="3"/>
  <c r="J78" i="3"/>
  <c r="M78" i="3"/>
  <c r="J79" i="3"/>
  <c r="M79" i="3"/>
  <c r="M76" i="3"/>
  <c r="M75" i="3"/>
  <c r="M74" i="3"/>
  <c r="M73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M72" i="3"/>
  <c r="M71" i="3"/>
  <c r="M70" i="3"/>
  <c r="M69" i="3"/>
  <c r="M68" i="3"/>
  <c r="M67" i="3"/>
  <c r="M66" i="3"/>
  <c r="M65" i="3"/>
  <c r="M64" i="3"/>
  <c r="M63" i="3"/>
  <c r="H297" i="3"/>
  <c r="G297" i="3"/>
  <c r="F297" i="3"/>
  <c r="E297" i="3"/>
  <c r="D297" i="3"/>
  <c r="C297" i="3"/>
  <c r="H296" i="3"/>
  <c r="G296" i="3"/>
  <c r="F296" i="3"/>
  <c r="E296" i="3"/>
  <c r="D296" i="3"/>
  <c r="C296" i="3"/>
  <c r="H295" i="3"/>
  <c r="G295" i="3"/>
  <c r="F295" i="3"/>
  <c r="E295" i="3"/>
  <c r="D295" i="3"/>
  <c r="C295" i="3"/>
  <c r="H294" i="3"/>
  <c r="G294" i="3"/>
  <c r="F294" i="3"/>
  <c r="E294" i="3"/>
  <c r="D294" i="3"/>
  <c r="C294" i="3"/>
  <c r="H293" i="3"/>
  <c r="G293" i="3"/>
  <c r="F293" i="3"/>
  <c r="E293" i="3"/>
  <c r="D293" i="3"/>
  <c r="C293" i="3"/>
  <c r="H292" i="3"/>
  <c r="G292" i="3"/>
  <c r="F292" i="3"/>
  <c r="E292" i="3"/>
  <c r="D292" i="3"/>
  <c r="C292" i="3"/>
  <c r="H291" i="3"/>
  <c r="G291" i="3"/>
  <c r="F291" i="3"/>
  <c r="E291" i="3"/>
  <c r="D291" i="3"/>
  <c r="C291" i="3"/>
  <c r="H290" i="3"/>
  <c r="G290" i="3"/>
  <c r="F290" i="3"/>
  <c r="E290" i="3"/>
  <c r="D290" i="3"/>
  <c r="C290" i="3"/>
  <c r="H289" i="3"/>
  <c r="G289" i="3"/>
  <c r="F289" i="3"/>
  <c r="E289" i="3"/>
  <c r="D289" i="3"/>
  <c r="C289" i="3"/>
  <c r="H288" i="3"/>
  <c r="G288" i="3"/>
  <c r="F288" i="3"/>
  <c r="E288" i="3"/>
  <c r="D288" i="3"/>
  <c r="C288" i="3"/>
  <c r="H287" i="3"/>
  <c r="G287" i="3"/>
  <c r="F287" i="3"/>
  <c r="E287" i="3"/>
  <c r="D287" i="3"/>
  <c r="C287" i="3"/>
  <c r="H286" i="3"/>
  <c r="G286" i="3"/>
  <c r="F286" i="3"/>
  <c r="E286" i="3"/>
  <c r="D286" i="3"/>
  <c r="C286" i="3"/>
  <c r="H285" i="3"/>
  <c r="G285" i="3"/>
  <c r="F285" i="3"/>
  <c r="E285" i="3"/>
  <c r="D285" i="3"/>
  <c r="C285" i="3"/>
  <c r="H284" i="3"/>
  <c r="G284" i="3"/>
  <c r="F284" i="3"/>
  <c r="E284" i="3"/>
  <c r="D284" i="3"/>
  <c r="C284" i="3"/>
  <c r="H283" i="3"/>
  <c r="G283" i="3"/>
  <c r="F283" i="3"/>
  <c r="E283" i="3"/>
  <c r="D283" i="3"/>
  <c r="C283" i="3"/>
  <c r="H282" i="3"/>
  <c r="G282" i="3"/>
  <c r="F282" i="3"/>
  <c r="E282" i="3"/>
  <c r="D282" i="3"/>
  <c r="C282" i="3"/>
  <c r="H281" i="3"/>
  <c r="G281" i="3"/>
  <c r="F281" i="3"/>
  <c r="E281" i="3"/>
  <c r="D281" i="3"/>
  <c r="C281" i="3"/>
  <c r="H280" i="3"/>
  <c r="G280" i="3"/>
  <c r="F280" i="3"/>
  <c r="E280" i="3"/>
  <c r="D280" i="3"/>
  <c r="C280" i="3"/>
  <c r="H279" i="3"/>
  <c r="G279" i="3"/>
  <c r="F279" i="3"/>
  <c r="E279" i="3"/>
  <c r="D279" i="3"/>
  <c r="C279" i="3"/>
  <c r="H278" i="3"/>
  <c r="G278" i="3"/>
  <c r="F278" i="3"/>
  <c r="E278" i="3"/>
  <c r="D278" i="3"/>
  <c r="C278" i="3"/>
  <c r="H277" i="3"/>
  <c r="G277" i="3"/>
  <c r="F277" i="3"/>
  <c r="E277" i="3"/>
  <c r="D277" i="3"/>
  <c r="C277" i="3"/>
  <c r="H276" i="3"/>
  <c r="G276" i="3"/>
  <c r="F276" i="3"/>
  <c r="E276" i="3"/>
  <c r="D276" i="3"/>
  <c r="C276" i="3"/>
  <c r="H275" i="3"/>
  <c r="G275" i="3"/>
  <c r="F275" i="3"/>
  <c r="E275" i="3"/>
  <c r="D275" i="3"/>
  <c r="C275" i="3"/>
  <c r="H274" i="3"/>
  <c r="G274" i="3"/>
  <c r="F274" i="3"/>
  <c r="E274" i="3"/>
  <c r="D274" i="3"/>
  <c r="C274" i="3"/>
  <c r="H273" i="3"/>
  <c r="G273" i="3"/>
  <c r="F273" i="3"/>
  <c r="E273" i="3"/>
  <c r="D273" i="3"/>
  <c r="C273" i="3"/>
  <c r="H272" i="3"/>
  <c r="G272" i="3"/>
  <c r="F272" i="3"/>
  <c r="E272" i="3"/>
  <c r="D272" i="3"/>
  <c r="C272" i="3"/>
  <c r="H271" i="3"/>
  <c r="G271" i="3"/>
  <c r="F271" i="3"/>
  <c r="E271" i="3"/>
  <c r="D271" i="3"/>
  <c r="C271" i="3"/>
  <c r="H270" i="3"/>
  <c r="G270" i="3"/>
  <c r="F270" i="3"/>
  <c r="E270" i="3"/>
  <c r="D270" i="3"/>
  <c r="C270" i="3"/>
  <c r="H269" i="3"/>
  <c r="G269" i="3"/>
  <c r="F269" i="3"/>
  <c r="E269" i="3"/>
  <c r="D269" i="3"/>
  <c r="C269" i="3"/>
  <c r="H268" i="3"/>
  <c r="G268" i="3"/>
  <c r="F268" i="3"/>
  <c r="E268" i="3"/>
  <c r="D268" i="3"/>
  <c r="C268" i="3"/>
  <c r="H267" i="3"/>
  <c r="G267" i="3"/>
  <c r="F267" i="3"/>
  <c r="E267" i="3"/>
  <c r="D267" i="3"/>
  <c r="C267" i="3"/>
  <c r="H266" i="3"/>
  <c r="G266" i="3"/>
  <c r="F266" i="3"/>
  <c r="E266" i="3"/>
  <c r="D266" i="3"/>
  <c r="C266" i="3"/>
  <c r="H265" i="3"/>
  <c r="G265" i="3"/>
  <c r="F265" i="3"/>
  <c r="E265" i="3"/>
  <c r="D265" i="3"/>
  <c r="C265" i="3"/>
  <c r="H264" i="3"/>
  <c r="G264" i="3"/>
  <c r="F264" i="3"/>
  <c r="E264" i="3"/>
  <c r="D264" i="3"/>
  <c r="C264" i="3"/>
  <c r="H263" i="3"/>
  <c r="G263" i="3"/>
  <c r="F263" i="3"/>
  <c r="E263" i="3"/>
  <c r="D263" i="3"/>
  <c r="C263" i="3"/>
  <c r="J62" i="3" l="1"/>
  <c r="J61" i="3"/>
  <c r="J60" i="3"/>
  <c r="J59" i="3"/>
  <c r="J58" i="3"/>
  <c r="J57" i="3"/>
  <c r="J56" i="3"/>
  <c r="J55" i="3"/>
  <c r="J54" i="3"/>
  <c r="J53" i="3"/>
  <c r="J52" i="3"/>
  <c r="J51" i="3"/>
  <c r="M62" i="3"/>
  <c r="M61" i="3"/>
  <c r="M60" i="3"/>
  <c r="M59" i="3"/>
  <c r="M58" i="3"/>
  <c r="M57" i="3"/>
  <c r="M56" i="3"/>
  <c r="M55" i="3"/>
  <c r="M54" i="3"/>
  <c r="M53" i="3"/>
  <c r="M52" i="3"/>
  <c r="M51" i="3"/>
  <c r="H262" i="3"/>
  <c r="G262" i="3"/>
  <c r="F262" i="3"/>
  <c r="E262" i="3"/>
  <c r="D262" i="3"/>
  <c r="C262" i="3"/>
  <c r="H261" i="3"/>
  <c r="G261" i="3"/>
  <c r="F261" i="3"/>
  <c r="E261" i="3"/>
  <c r="D261" i="3"/>
  <c r="C261" i="3"/>
  <c r="H260" i="3"/>
  <c r="G260" i="3"/>
  <c r="F260" i="3"/>
  <c r="E260" i="3"/>
  <c r="D260" i="3"/>
  <c r="C260" i="3"/>
  <c r="H259" i="3"/>
  <c r="G259" i="3"/>
  <c r="F259" i="3"/>
  <c r="E259" i="3"/>
  <c r="D259" i="3"/>
  <c r="C259" i="3"/>
  <c r="H258" i="3"/>
  <c r="G258" i="3"/>
  <c r="F258" i="3"/>
  <c r="E258" i="3"/>
  <c r="D258" i="3"/>
  <c r="C258" i="3"/>
  <c r="H257" i="3"/>
  <c r="G257" i="3"/>
  <c r="F257" i="3"/>
  <c r="E257" i="3"/>
  <c r="D257" i="3"/>
  <c r="C257" i="3"/>
  <c r="H256" i="3"/>
  <c r="G256" i="3"/>
  <c r="F256" i="3"/>
  <c r="E256" i="3"/>
  <c r="D256" i="3"/>
  <c r="C256" i="3"/>
  <c r="H255" i="3"/>
  <c r="G255" i="3"/>
  <c r="F255" i="3"/>
  <c r="E255" i="3"/>
  <c r="D255" i="3"/>
  <c r="C255" i="3"/>
  <c r="H254" i="3"/>
  <c r="G254" i="3"/>
  <c r="F254" i="3"/>
  <c r="E254" i="3"/>
  <c r="D254" i="3"/>
  <c r="C25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J50" i="3" l="1"/>
  <c r="J49" i="3"/>
  <c r="J48" i="3"/>
  <c r="J47" i="3"/>
  <c r="J46" i="3"/>
  <c r="J45" i="3"/>
  <c r="J44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J43" i="3"/>
  <c r="J42" i="3"/>
  <c r="J41" i="3"/>
  <c r="J40" i="3"/>
  <c r="J39" i="3"/>
  <c r="J38" i="3"/>
  <c r="J37" i="3"/>
  <c r="M37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J32" i="3" l="1"/>
  <c r="J31" i="3"/>
  <c r="J30" i="3"/>
  <c r="M32" i="3"/>
  <c r="M31" i="3"/>
  <c r="M30" i="3"/>
  <c r="M26" i="3"/>
  <c r="J26" i="3"/>
  <c r="M24" i="3"/>
  <c r="J24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J22" i="3" l="1"/>
  <c r="J21" i="3"/>
  <c r="J20" i="3"/>
  <c r="J19" i="3"/>
  <c r="J18" i="3"/>
  <c r="J17" i="3"/>
  <c r="M22" i="3"/>
  <c r="M21" i="3"/>
  <c r="M20" i="3"/>
  <c r="M19" i="3"/>
  <c r="M18" i="3"/>
  <c r="M17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M8" i="3"/>
  <c r="M6" i="3"/>
  <c r="M5" i="3"/>
  <c r="M4" i="3"/>
  <c r="M3" i="3"/>
  <c r="M2" i="3"/>
  <c r="J8" i="3"/>
  <c r="J6" i="3"/>
  <c r="J5" i="3"/>
  <c r="J4" i="3"/>
  <c r="J3" i="3"/>
  <c r="J2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H211" i="3"/>
  <c r="G211" i="3"/>
  <c r="F211" i="3"/>
  <c r="E211" i="3"/>
  <c r="D211" i="3"/>
  <c r="C211" i="3"/>
  <c r="H210" i="3"/>
  <c r="G210" i="3"/>
  <c r="F210" i="3"/>
  <c r="E210" i="3"/>
  <c r="D210" i="3"/>
  <c r="C210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<sst xmlns="http://schemas.openxmlformats.org/spreadsheetml/2006/main" count="3991" uniqueCount="829">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</sst>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15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33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46007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20</v>
      </c>
      <c r="R6" s="25">
        <f t="shared" ca="1" si="1"/>
        <v>20</v>
      </c>
      <c r="S6" s="25">
        <f t="shared" ca="1" si="1"/>
        <v>20</v>
      </c>
      <c r="T6" s="25">
        <f t="shared" ca="1" si="1"/>
        <v>20</v>
      </c>
      <c r="U6" s="25">
        <f t="shared" ca="1" si="1"/>
        <v>21</v>
      </c>
      <c r="V6" s="25">
        <f ca="1">IF(V7="","",$B$1-V7)</f>
        <v>21</v>
      </c>
      <c r="W6" s="25">
        <f ca="1">IF(W7="","",$B$1-W7)</f>
        <v>21</v>
      </c>
      <c r="X6" s="25">
        <f ca="1">IF(X7="","",$B$1-X7)</f>
        <v>21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25</v>
      </c>
      <c r="D10" s="25">
        <f t="shared" ca="1" si="2"/>
        <v>25</v>
      </c>
      <c r="E10" s="25">
        <f t="shared" ca="1" si="2"/>
        <v>25</v>
      </c>
      <c r="F10" s="25">
        <f t="shared" ca="1" si="2"/>
        <v>25</v>
      </c>
      <c r="G10" s="25">
        <f t="shared" ca="1" si="2"/>
        <v>25</v>
      </c>
      <c r="H10" s="25">
        <f t="shared" ca="1" si="2"/>
        <v>25</v>
      </c>
      <c r="J10" s="25">
        <f t="shared" ref="J10:P10" ca="1" si="3">IF(J11="","",$B$1-J11)</f>
        <v>25</v>
      </c>
      <c r="K10" s="25">
        <f t="shared" ca="1" si="3"/>
        <v>23</v>
      </c>
      <c r="L10" s="25">
        <f t="shared" ca="1" si="3"/>
        <v>23</v>
      </c>
      <c r="M10" s="25">
        <f t="shared" ca="1" si="3"/>
        <v>23</v>
      </c>
      <c r="N10" s="25">
        <f t="shared" ca="1" si="3"/>
        <v>23</v>
      </c>
      <c r="O10" s="25">
        <f t="shared" ca="1" si="3"/>
        <v>23</v>
      </c>
      <c r="P10" s="25">
        <f t="shared" ca="1" si="3"/>
        <v>23</v>
      </c>
      <c r="R10" s="25">
        <f t="shared" ref="R10:W10" ca="1" si="4">IF(R11="","",$B$1-R11)</f>
        <v>23</v>
      </c>
      <c r="S10" s="25">
        <f t="shared" ca="1" si="4"/>
        <v>22</v>
      </c>
      <c r="T10" s="25">
        <f t="shared" ca="1" si="4"/>
        <v>22</v>
      </c>
      <c r="U10" s="25">
        <f t="shared" ca="1" si="4"/>
        <v>21</v>
      </c>
      <c r="V10" s="25">
        <f t="shared" ca="1" si="4"/>
        <v>21</v>
      </c>
      <c r="W10" s="25">
        <f t="shared" ca="1" si="4"/>
        <v>21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26</v>
      </c>
      <c r="D14" s="25">
        <f t="shared" ca="1" si="5"/>
        <v>26</v>
      </c>
      <c r="E14" s="25">
        <f t="shared" ca="1" si="5"/>
        <v>26</v>
      </c>
      <c r="F14" s="25">
        <f t="shared" ca="1" si="5"/>
        <v>26</v>
      </c>
      <c r="G14" s="25">
        <f t="shared" ca="1" si="5"/>
        <v>26</v>
      </c>
      <c r="H14" s="25">
        <f t="shared" ca="1" si="5"/>
        <v>26</v>
      </c>
      <c r="J14" s="25">
        <f t="shared" ref="J14:P14" ca="1" si="6">IF(J15="","",$B$1-J15)</f>
        <v>26</v>
      </c>
      <c r="K14" s="25">
        <f t="shared" ca="1" si="6"/>
        <v>24</v>
      </c>
      <c r="L14" s="25">
        <f t="shared" ca="1" si="6"/>
        <v>24</v>
      </c>
      <c r="M14" s="25">
        <f t="shared" ca="1" si="6"/>
        <v>24</v>
      </c>
      <c r="N14" s="25">
        <f t="shared" ca="1" si="6"/>
        <v>24</v>
      </c>
      <c r="O14" s="25">
        <f t="shared" ca="1" si="6"/>
        <v>24</v>
      </c>
      <c r="P14" s="25">
        <f t="shared" ca="1" si="6"/>
        <v>24</v>
      </c>
      <c r="R14" s="25">
        <f t="shared" ref="R14:W14" ca="1" si="7">IF(R15="","",$B$1-R15)</f>
        <v>24</v>
      </c>
      <c r="S14" s="25">
        <f t="shared" ca="1" si="7"/>
        <v>22</v>
      </c>
      <c r="T14" s="25">
        <f t="shared" ca="1" si="7"/>
        <v>22</v>
      </c>
      <c r="U14" s="25">
        <f t="shared" ca="1" si="7"/>
        <v>22</v>
      </c>
      <c r="V14" s="25">
        <f t="shared" ca="1" si="7"/>
        <v>22</v>
      </c>
      <c r="W14" s="25">
        <f t="shared" ca="1" si="7"/>
        <v>22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39</v>
      </c>
      <c r="K20" s="25">
        <f ca="1">IF(K21="","",$B$1-K21)</f>
        <v>39</v>
      </c>
      <c r="X20" s="25"/>
      <c r="AF20" s="25"/>
      <c r="AG20" s="25"/>
      <c r="AH20" s="25">
        <f ca="1">IF(AH21="","",$B$1-AH21)</f>
        <v>39</v>
      </c>
      <c r="AI20" s="25">
        <f ca="1">IF(AI21="","",$B$1-AI21)</f>
        <v>39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42</v>
      </c>
      <c r="G24" s="25">
        <f t="shared" ca="1" si="8"/>
        <v>42</v>
      </c>
      <c r="H24" s="25">
        <f t="shared" ca="1" si="8"/>
        <v>42</v>
      </c>
      <c r="J24" s="25">
        <f ca="1">IF(J25="","",$B$1-J25)</f>
        <v>42</v>
      </c>
      <c r="K24" s="25">
        <f t="shared" ref="K24:AI24" ca="1" si="9">IF(K25="","",$B$1-K25)</f>
        <v>15</v>
      </c>
      <c r="L24" s="25">
        <f t="shared" ca="1" si="9"/>
        <v>15</v>
      </c>
      <c r="M24" s="25">
        <f t="shared" ca="1" si="9"/>
        <v>15</v>
      </c>
      <c r="N24" s="25">
        <f t="shared" ca="1" si="9"/>
        <v>16</v>
      </c>
      <c r="O24" s="25">
        <f t="shared" ca="1" si="9"/>
        <v>16</v>
      </c>
      <c r="P24" s="25">
        <f t="shared" ca="1" si="9"/>
        <v>16</v>
      </c>
      <c r="R24" s="25">
        <f t="shared" ca="1" si="9"/>
        <v>16</v>
      </c>
      <c r="S24" s="25">
        <f t="shared" ca="1" si="9"/>
        <v>13</v>
      </c>
      <c r="T24" s="25">
        <f t="shared" ca="1" si="9"/>
        <v>13</v>
      </c>
      <c r="U24" s="25">
        <f t="shared" ca="1" si="9"/>
        <v>13</v>
      </c>
      <c r="V24" s="25">
        <f t="shared" ca="1" si="9"/>
        <v>13</v>
      </c>
      <c r="W24" s="25">
        <f t="shared" ca="1" si="9"/>
        <v>13</v>
      </c>
      <c r="X24" s="25">
        <f t="shared" ca="1" si="9"/>
        <v>13</v>
      </c>
      <c r="Z24" s="25">
        <f t="shared" ca="1" si="9"/>
        <v>43</v>
      </c>
      <c r="AA24" s="25">
        <f t="shared" ca="1" si="9"/>
        <v>40</v>
      </c>
      <c r="AB24" s="25">
        <f t="shared" ca="1" si="9"/>
        <v>40</v>
      </c>
      <c r="AC24" s="25">
        <f t="shared" ca="1" si="9"/>
        <v>40</v>
      </c>
      <c r="AD24" s="25">
        <f t="shared" ca="1" si="9"/>
        <v>40</v>
      </c>
      <c r="AE24" s="25">
        <f t="shared" ca="1" si="9"/>
        <v>40</v>
      </c>
      <c r="AF24" s="25">
        <f t="shared" ca="1" si="9"/>
        <v>40</v>
      </c>
      <c r="AG24" s="25">
        <f t="shared" ca="1" si="9"/>
        <v>40</v>
      </c>
      <c r="AH24" s="25">
        <f t="shared" ca="1" si="9"/>
        <v>39</v>
      </c>
      <c r="AI24" s="25">
        <f t="shared" ca="1" si="9"/>
        <v>39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27</v>
      </c>
      <c r="D28" s="25">
        <f t="shared" ca="1" si="10"/>
        <v>27</v>
      </c>
      <c r="E28" s="25">
        <f t="shared" ca="1" si="10"/>
        <v>27</v>
      </c>
      <c r="F28" s="25">
        <f t="shared" ca="1" si="10"/>
        <v>27</v>
      </c>
      <c r="G28" s="25">
        <f t="shared" ca="1" si="10"/>
        <v>27</v>
      </c>
      <c r="H28" s="25">
        <f t="shared" ca="1" si="10"/>
        <v>27</v>
      </c>
      <c r="J28" s="25">
        <f ca="1">IF(J29="","",$B$1-J29)</f>
        <v>27</v>
      </c>
      <c r="K28" s="25">
        <f t="shared" ref="K28:P28" ca="1" si="11">IF(K29="","",$B$1-K29)</f>
        <v>20</v>
      </c>
      <c r="L28" s="25">
        <f t="shared" ca="1" si="11"/>
        <v>20</v>
      </c>
      <c r="M28" s="25">
        <f t="shared" ca="1" si="11"/>
        <v>20</v>
      </c>
      <c r="N28" s="25">
        <f t="shared" ca="1" si="11"/>
        <v>20</v>
      </c>
      <c r="O28" s="25">
        <f t="shared" ca="1" si="11"/>
        <v>19</v>
      </c>
      <c r="P28" s="25">
        <f t="shared" ca="1" si="11"/>
        <v>19</v>
      </c>
      <c r="R28" s="25">
        <f t="shared" ref="R28:X28" ca="1" si="12">IF(R29="","",$B$1-R29)</f>
        <v>19</v>
      </c>
      <c r="S28" s="25">
        <f ca="1">IF(S29="","",$B$1-S29)</f>
        <v>15</v>
      </c>
      <c r="T28" s="25">
        <f ca="1">IF(T29="","",$B$1-T29)</f>
        <v>15</v>
      </c>
      <c r="U28" s="25">
        <f ca="1">IF(U29="","",$B$1-U29)</f>
        <v>15</v>
      </c>
      <c r="V28" s="25">
        <f ca="1">IF(V29="","",$B$1-V29)</f>
        <v>15</v>
      </c>
      <c r="W28" s="25">
        <f t="shared" ca="1" si="12"/>
        <v>13</v>
      </c>
      <c r="X28" s="25">
        <f t="shared" ca="1" si="12"/>
        <v>13</v>
      </c>
      <c r="Z28" s="25">
        <f t="shared" ref="Z28:AI28" ca="1" si="13">IF(Z29="","",$B$1-Z29)</f>
        <v>13</v>
      </c>
      <c r="AA28" s="25">
        <f t="shared" ca="1" si="13"/>
        <v>41</v>
      </c>
      <c r="AB28" s="25">
        <f t="shared" ca="1" si="13"/>
        <v>41</v>
      </c>
      <c r="AC28" s="25">
        <f t="shared" ca="1" si="13"/>
        <v>41</v>
      </c>
      <c r="AD28" s="25">
        <f t="shared" ca="1" si="13"/>
        <v>41</v>
      </c>
      <c r="AE28" s="25">
        <f t="shared" ca="1" si="13"/>
        <v>41</v>
      </c>
      <c r="AF28" s="25">
        <f t="shared" ca="1" si="13"/>
        <v>41</v>
      </c>
      <c r="AG28" s="25">
        <f t="shared" ca="1" si="13"/>
        <v>41</v>
      </c>
      <c r="AH28" s="25">
        <f t="shared" ca="1" si="13"/>
        <v>39</v>
      </c>
      <c r="AI28" s="25">
        <f t="shared" ca="1" si="13"/>
        <v>39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35</v>
      </c>
      <c r="D41" s="25">
        <f t="shared" ca="1" si="14"/>
        <v>35</v>
      </c>
      <c r="E41" s="25">
        <f t="shared" ca="1" si="14"/>
        <v>35</v>
      </c>
      <c r="F41" s="25">
        <f t="shared" ca="1" si="14"/>
        <v>35</v>
      </c>
      <c r="G41" s="25">
        <f t="shared" ca="1" si="14"/>
        <v>34</v>
      </c>
      <c r="H41" s="25">
        <f t="shared" ca="1" si="14"/>
        <v>34</v>
      </c>
      <c r="J41" s="25">
        <f t="shared" ca="1" si="14"/>
        <v>34</v>
      </c>
      <c r="K41" s="25">
        <f t="shared" ca="1" si="14"/>
        <v>34</v>
      </c>
      <c r="L41" s="25">
        <f t="shared" ca="1" si="14"/>
        <v>34</v>
      </c>
      <c r="M41" s="25">
        <f t="shared" ca="1" si="14"/>
        <v>34</v>
      </c>
      <c r="N41" s="25">
        <f t="shared" ca="1" si="14"/>
        <v>34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37</v>
      </c>
      <c r="D45" s="25">
        <f ca="1">IF(D46="","",$B$1-D46)</f>
        <v>37</v>
      </c>
      <c r="E45" s="25">
        <f ca="1">IF(E46="","",$B$1-E46)</f>
        <v>36</v>
      </c>
      <c r="F45" s="25">
        <f ca="1">IF(F46="","",$B$1-F46)</f>
        <v>36</v>
      </c>
      <c r="H45" s="25">
        <f ca="1">IF(H46="","",$B$1-H46)</f>
        <v>36</v>
      </c>
      <c r="J45" s="25">
        <f t="shared" ref="J45:P45" ca="1" si="15">IF(J46="","",$B$1-J46)</f>
        <v>36</v>
      </c>
      <c r="K45" s="25">
        <f t="shared" ca="1" si="15"/>
        <v>36</v>
      </c>
      <c r="L45" s="25">
        <f t="shared" ca="1" si="15"/>
        <v>36</v>
      </c>
      <c r="M45" s="25">
        <f t="shared" ca="1" si="15"/>
        <v>36</v>
      </c>
      <c r="N45" s="25">
        <f t="shared" ca="1" si="15"/>
        <v>35</v>
      </c>
      <c r="O45" s="25">
        <f t="shared" ca="1" si="15"/>
        <v>35</v>
      </c>
      <c r="P45" s="25">
        <f t="shared" ca="1" si="15"/>
        <v>35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38</v>
      </c>
      <c r="D49" s="25">
        <f ca="1">IF(D50="","",$B$1-D50)</f>
        <v>38</v>
      </c>
      <c r="E49" s="25">
        <f ca="1">IF(E50="","",$B$1-E50)</f>
        <v>38</v>
      </c>
      <c r="F49" s="25">
        <f ca="1">IF(F50="","",$B$1-F50)</f>
        <v>38</v>
      </c>
      <c r="H49" s="25">
        <f ca="1">IF(H50="","",$B$1-H50)</f>
        <v>38</v>
      </c>
      <c r="J49" s="25">
        <f t="shared" ref="J49:P49" ca="1" si="16">IF(J50="","",$B$1-J50)</f>
        <v>38</v>
      </c>
      <c r="K49" s="25">
        <f t="shared" ca="1" si="16"/>
        <v>38</v>
      </c>
      <c r="L49" s="25">
        <f t="shared" ca="1" si="16"/>
        <v>37</v>
      </c>
      <c r="M49" s="25">
        <f t="shared" ca="1" si="16"/>
        <v>37</v>
      </c>
      <c r="N49" s="25">
        <f t="shared" ca="1" si="16"/>
        <v>37</v>
      </c>
      <c r="O49" s="25">
        <f t="shared" ca="1" si="16"/>
        <v>37</v>
      </c>
      <c r="P49" s="25">
        <f t="shared" ca="1" si="16"/>
        <v>37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30</v>
      </c>
      <c r="D58" s="25">
        <f t="shared" ca="1" si="17"/>
        <v>30</v>
      </c>
      <c r="E58" s="25">
        <f t="shared" ca="1" si="17"/>
        <v>30</v>
      </c>
      <c r="F58" s="25">
        <f t="shared" ca="1" si="17"/>
        <v>30</v>
      </c>
      <c r="G58" s="25">
        <f t="shared" ca="1" si="17"/>
        <v>30</v>
      </c>
      <c r="H58" s="25">
        <f t="shared" ca="1" si="17"/>
        <v>30</v>
      </c>
      <c r="J58" s="25">
        <f t="shared" ref="J58:P58" ca="1" si="18">IF(J59="","",$B$1-J59)</f>
        <v>30</v>
      </c>
      <c r="K58" s="25">
        <f t="shared" ca="1" si="18"/>
        <v>29</v>
      </c>
      <c r="L58" s="25">
        <f t="shared" ca="1" si="18"/>
        <v>29</v>
      </c>
      <c r="M58" s="25">
        <f t="shared" ca="1" si="18"/>
        <v>29</v>
      </c>
      <c r="N58" s="25">
        <f t="shared" ca="1" si="18"/>
        <v>29</v>
      </c>
      <c r="O58" s="25">
        <f t="shared" ca="1" si="18"/>
        <v>29</v>
      </c>
      <c r="P58" s="25">
        <f t="shared" ca="1" si="18"/>
        <v>29</v>
      </c>
      <c r="R58" s="25">
        <f t="shared" ref="R58:X58" ca="1" si="19">IF(R59="","",$B$1-R59)</f>
        <v>29</v>
      </c>
      <c r="S58" s="25">
        <f t="shared" ca="1" si="19"/>
        <v>28</v>
      </c>
      <c r="T58" s="25">
        <f t="shared" ca="1" si="19"/>
        <v>28</v>
      </c>
      <c r="U58" s="25">
        <f t="shared" ca="1" si="19"/>
        <v>28</v>
      </c>
      <c r="V58" s="25">
        <f t="shared" ca="1" si="19"/>
        <v>28</v>
      </c>
      <c r="W58" s="25">
        <f t="shared" ca="1" si="19"/>
        <v>28</v>
      </c>
      <c r="X58" s="25">
        <f t="shared" ca="1" si="19"/>
        <v>28</v>
      </c>
      <c r="Z58" s="25">
        <f ca="1">IF(Z59="","",$B$1-Z59)</f>
        <v>28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31</v>
      </c>
      <c r="E62" s="25">
        <f t="shared" ca="1" si="20"/>
        <v>31</v>
      </c>
      <c r="F62" s="25">
        <f t="shared" ca="1" si="20"/>
        <v>31</v>
      </c>
      <c r="G62" s="25">
        <f t="shared" ca="1" si="20"/>
        <v>31</v>
      </c>
      <c r="H62" s="25">
        <f t="shared" ca="1" si="20"/>
        <v>31</v>
      </c>
      <c r="J62" s="25">
        <f t="shared" ref="J62:P62" ca="1" si="21">IF(J63="","",$B$1-J63)</f>
        <v>31</v>
      </c>
      <c r="K62" s="25">
        <f t="shared" ca="1" si="21"/>
        <v>31</v>
      </c>
      <c r="L62" s="25">
        <f t="shared" ca="1" si="21"/>
        <v>31</v>
      </c>
      <c r="M62" s="25">
        <f t="shared" ca="1" si="21"/>
        <v>32</v>
      </c>
      <c r="N62" s="25">
        <f t="shared" ca="1" si="21"/>
        <v>32</v>
      </c>
      <c r="O62" s="25">
        <f t="shared" ca="1" si="21"/>
        <v>32</v>
      </c>
      <c r="P62" s="25">
        <f t="shared" ca="1" si="21"/>
        <v>32</v>
      </c>
      <c r="R62" s="25">
        <f t="shared" ref="R62:X62" ca="1" si="22">IF(R63="","",$B$1-R63)</f>
        <v>32</v>
      </c>
      <c r="S62" s="25">
        <f t="shared" ca="1" si="22"/>
        <v>32</v>
      </c>
      <c r="T62" s="25">
        <f t="shared" ca="1" si="22"/>
        <v>32</v>
      </c>
      <c r="U62" s="25">
        <f t="shared" ca="1" si="22"/>
        <v>33</v>
      </c>
      <c r="V62" s="25">
        <f t="shared" ca="1" si="22"/>
        <v>33</v>
      </c>
      <c r="W62" s="25">
        <f t="shared" ca="1" si="22"/>
        <v>33</v>
      </c>
      <c r="X62" s="25">
        <f t="shared" ca="1" si="22"/>
        <v>33</v>
      </c>
      <c r="Z62" s="25">
        <f ca="1">IF(Z63="","",$B$1-Z63)</f>
        <v>33</v>
      </c>
      <c r="AA62" s="25">
        <f ca="1">IF(AA63="","",$B$1-AA63)</f>
        <v>33</v>
      </c>
      <c r="AB62" s="25">
        <f ca="1">IF(AB63="","",$B$1-AB63)</f>
        <v>33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16</v>
      </c>
      <c r="D71" s="25">
        <f t="shared" ca="1" si="23"/>
        <v>16</v>
      </c>
      <c r="E71" s="25">
        <f t="shared" ca="1" si="23"/>
        <v>16</v>
      </c>
      <c r="F71" s="25">
        <f t="shared" ca="1" si="23"/>
        <v>17</v>
      </c>
      <c r="G71" s="25">
        <f t="shared" ca="1" si="23"/>
        <v>17</v>
      </c>
      <c r="H71" s="25">
        <f t="shared" ca="1" si="23"/>
        <v>17</v>
      </c>
      <c r="J71" s="25">
        <f ca="1">IF(J72="","",$B$1-J72)</f>
        <v>17</v>
      </c>
      <c r="K71" s="25">
        <f t="shared" ref="K71:P71" ca="1" si="24">IF(K72="","",$B$1-K72)</f>
        <v>17</v>
      </c>
      <c r="L71" s="25">
        <f t="shared" ca="1" si="24"/>
        <v>17</v>
      </c>
      <c r="M71" s="25">
        <f t="shared" ca="1" si="24"/>
        <v>17</v>
      </c>
      <c r="N71" s="25">
        <f t="shared" ca="1" si="24"/>
        <v>18</v>
      </c>
      <c r="O71" s="25">
        <f t="shared" ca="1" si="24"/>
        <v>18</v>
      </c>
      <c r="P71" s="25">
        <f t="shared" ca="1" si="24"/>
        <v>18</v>
      </c>
      <c r="R71" s="25">
        <f t="shared" ref="R71:X71" ca="1" si="25">IF(R72="","",$B$1-R72)</f>
        <v>18</v>
      </c>
      <c r="S71" s="25">
        <f t="shared" ca="1" si="25"/>
        <v>18</v>
      </c>
      <c r="T71" s="25">
        <f t="shared" ca="1" si="25"/>
        <v>18</v>
      </c>
      <c r="U71" s="25">
        <f t="shared" ca="1" si="25"/>
        <v>18</v>
      </c>
      <c r="V71" s="25">
        <f t="shared" ca="1" si="25"/>
        <v>19</v>
      </c>
      <c r="W71" s="25">
        <f t="shared" ca="1" si="25"/>
        <v>19</v>
      </c>
      <c r="X71" s="25">
        <f t="shared" ca="1" si="25"/>
        <v>19</v>
      </c>
      <c r="Z71" s="25">
        <f ca="1">IF(Z72="","",$B$1-Z72)</f>
        <v>19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53" priority="123">
      <formula>LEN(TRIM(C72))=0</formula>
    </cfRule>
    <cfRule type="notContainsBlanks" dxfId="1152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51" priority="89">
      <formula>LEN(TRIM(C42))=0</formula>
    </cfRule>
    <cfRule type="notContainsBlanks" dxfId="1150" priority="90">
      <formula>LEN(TRIM(C42))&gt;0</formula>
    </cfRule>
    <cfRule type="containsBlanks" dxfId="1149" priority="91">
      <formula>LEN(TRIM(C42))=0</formula>
    </cfRule>
    <cfRule type="notContainsBlanks" dxfId="1148" priority="92">
      <formula>LEN(TRIM(C42))&gt;0</formula>
    </cfRule>
  </conditionalFormatting>
  <conditionalFormatting sqref="C46:F46">
    <cfRule type="containsBlanks" dxfId="1147" priority="103">
      <formula>LEN(TRIM(C46))=0</formula>
    </cfRule>
    <cfRule type="notContainsBlanks" dxfId="1146" priority="104">
      <formula>LEN(TRIM(C46))&gt;0</formula>
    </cfRule>
  </conditionalFormatting>
  <conditionalFormatting sqref="C50:F50">
    <cfRule type="containsBlanks" dxfId="1145" priority="243">
      <formula>LEN(TRIM(C50))=0</formula>
    </cfRule>
    <cfRule type="notContainsBlanks" dxfId="1144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43" priority="190">
      <formula>LEN(TRIM(C7))=0</formula>
    </cfRule>
    <cfRule type="notContainsBlanks" dxfId="1142" priority="191">
      <formula>LEN(TRIM(C7))&gt;0</formula>
    </cfRule>
  </conditionalFormatting>
  <conditionalFormatting sqref="C11:H11">
    <cfRule type="containsBlanks" dxfId="1141" priority="236">
      <formula>LEN(TRIM(C11))=0</formula>
    </cfRule>
    <cfRule type="notContainsBlanks" dxfId="1140" priority="237">
      <formula>LEN(TRIM(C11))&gt;0</formula>
    </cfRule>
  </conditionalFormatting>
  <conditionalFormatting sqref="C15:H15">
    <cfRule type="containsBlanks" dxfId="1139" priority="55">
      <formula>LEN(TRIM(C15))=0</formula>
    </cfRule>
    <cfRule type="notContainsBlanks" dxfId="1138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37" priority="151">
      <formula>LEN(TRIM(C25))=0</formula>
    </cfRule>
    <cfRule type="notContainsBlanks" dxfId="1136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35" priority="57">
      <formula>LEN(TRIM(C29))=0</formula>
    </cfRule>
    <cfRule type="notContainsBlanks" dxfId="1134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33" priority="93">
      <formula>LEN(TRIM(C42))=0</formula>
    </cfRule>
    <cfRule type="notContainsBlanks" dxfId="113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31" priority="157">
      <formula>LEN(TRIM(C59))=0</formula>
    </cfRule>
    <cfRule type="notContainsBlanks" dxfId="1130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29" priority="73">
      <formula>LEN(TRIM(C63))=0</formula>
    </cfRule>
    <cfRule type="notContainsBlanks" dxfId="1128" priority="74">
      <formula>LEN(TRIM(C63))&gt;0</formula>
    </cfRule>
  </conditionalFormatting>
  <conditionalFormatting sqref="C72:H72">
    <cfRule type="containsBlanks" dxfId="1127" priority="9">
      <formula>LEN(TRIM(C72))=0</formula>
    </cfRule>
    <cfRule type="notContainsBlanks" dxfId="1126" priority="10">
      <formula>LEN(TRIM(C72))&gt;0</formula>
    </cfRule>
  </conditionalFormatting>
  <conditionalFormatting sqref="C76:H76">
    <cfRule type="containsBlanks" dxfId="1125" priority="188">
      <formula>LEN(TRIM(C76))=0</formula>
    </cfRule>
    <cfRule type="notContainsBlanks" dxfId="1124" priority="189">
      <formula>LEN(TRIM(C76))&gt;0</formula>
    </cfRule>
  </conditionalFormatting>
  <conditionalFormatting sqref="D63:H63">
    <cfRule type="containsBlanks" dxfId="1123" priority="71">
      <formula>LEN(TRIM(D63))=0</formula>
    </cfRule>
    <cfRule type="notContainsBlanks" dxfId="1122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21" priority="222">
      <formula>LEN(TRIM(E46))=0</formula>
    </cfRule>
    <cfRule type="notContainsBlanks" dxfId="1120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19" priority="7">
      <formula>LEN(TRIM(F72))=0</formula>
    </cfRule>
    <cfRule type="notContainsBlanks" dxfId="1118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17" priority="176">
      <formula>LEN(TRIM(G42))=0</formula>
    </cfRule>
    <cfRule type="notContainsBlanks" dxfId="1116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15" priority="99">
      <formula>LEN(TRIM(H46))=0</formula>
    </cfRule>
    <cfRule type="notContainsBlanks" dxfId="1114" priority="100">
      <formula>LEN(TRIM(H46))&gt;0</formula>
    </cfRule>
    <cfRule type="containsBlanks" dxfId="1113" priority="101">
      <formula>LEN(TRIM(H46))=0</formula>
    </cfRule>
    <cfRule type="notContainsBlanks" dxfId="1112" priority="102">
      <formula>LEN(TRIM(H46))&gt;0</formula>
    </cfRule>
  </conditionalFormatting>
  <conditionalFormatting sqref="H50">
    <cfRule type="containsBlanks" dxfId="1111" priority="107">
      <formula>LEN(TRIM(H50))=0</formula>
    </cfRule>
    <cfRule type="notContainsBlanks" dxfId="1110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09" priority="214">
      <formula>LEN(TRIM(J72))=0</formula>
    </cfRule>
    <cfRule type="notContainsBlanks" dxfId="1108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07" priority="109">
      <formula>LEN(TRIM(J21))=0</formula>
    </cfRule>
    <cfRule type="notContainsBlanks" dxfId="1106" priority="110">
      <formula>LEN(TRIM(J21))&gt;0</formula>
    </cfRule>
  </conditionalFormatting>
  <conditionalFormatting sqref="J63:L63">
    <cfRule type="containsBlanks" dxfId="1105" priority="155">
      <formula>LEN(TRIM(J63))=0</formula>
    </cfRule>
    <cfRule type="notContainsBlanks" dxfId="1104" priority="156">
      <formula>LEN(TRIM(J63))&gt;0</formula>
    </cfRule>
  </conditionalFormatting>
  <conditionalFormatting sqref="J46:M46">
    <cfRule type="containsBlanks" dxfId="1103" priority="95">
      <formula>LEN(TRIM(J46))=0</formula>
    </cfRule>
    <cfRule type="notContainsBlanks" dxfId="1102" priority="96">
      <formula>LEN(TRIM(J46))&gt;0</formula>
    </cfRule>
  </conditionalFormatting>
  <conditionalFormatting sqref="J72:M72">
    <cfRule type="containsBlanks" dxfId="1101" priority="127">
      <formula>LEN(TRIM(J72))=0</formula>
    </cfRule>
    <cfRule type="notContainsBlanks" dxfId="1100" priority="128">
      <formula>LEN(TRIM(J72))&gt;0</formula>
    </cfRule>
  </conditionalFormatting>
  <conditionalFormatting sqref="J42:N42">
    <cfRule type="containsBlanks" dxfId="1099" priority="85">
      <formula>LEN(TRIM(J42))=0</formula>
    </cfRule>
    <cfRule type="notContainsBlanks" dxfId="1098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97" priority="149">
      <formula>LEN(TRIM(J7))=0</formula>
    </cfRule>
    <cfRule type="notContainsBlanks" dxfId="1096" priority="150">
      <formula>LEN(TRIM(J7))&gt;0</formula>
    </cfRule>
  </conditionalFormatting>
  <conditionalFormatting sqref="J11:P11">
    <cfRule type="containsBlanks" dxfId="1095" priority="51">
      <formula>LEN(TRIM(J11))=0</formula>
    </cfRule>
    <cfRule type="notContainsBlanks" dxfId="1094" priority="52">
      <formula>LEN(TRIM(J11))&gt;0</formula>
    </cfRule>
  </conditionalFormatting>
  <conditionalFormatting sqref="J15:P15">
    <cfRule type="containsBlanks" dxfId="1093" priority="53">
      <formula>LEN(TRIM(J15))=0</formula>
    </cfRule>
    <cfRule type="notContainsBlanks" dxfId="1092" priority="54">
      <formula>LEN(TRIM(J15))&gt;0</formula>
    </cfRule>
  </conditionalFormatting>
  <conditionalFormatting sqref="J25:P25">
    <cfRule type="containsBlanks" dxfId="1091" priority="5">
      <formula>LEN(TRIM(J25))=0</formula>
    </cfRule>
    <cfRule type="notContainsBlanks" dxfId="1090" priority="6">
      <formula>LEN(TRIM(J25))&gt;0</formula>
    </cfRule>
  </conditionalFormatting>
  <conditionalFormatting sqref="J29:P29">
    <cfRule type="containsBlanks" dxfId="1089" priority="15">
      <formula>LEN(TRIM(J29))=0</formula>
    </cfRule>
    <cfRule type="notContainsBlanks" dxfId="1088" priority="16">
      <formula>LEN(TRIM(J29))&gt;0</formula>
    </cfRule>
  </conditionalFormatting>
  <conditionalFormatting sqref="J42:P42">
    <cfRule type="containsBlanks" dxfId="1087" priority="87">
      <formula>LEN(TRIM(J42))=0</formula>
    </cfRule>
    <cfRule type="notContainsBlanks" dxfId="1086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85" priority="97">
      <formula>LEN(TRIM(J46))=0</formula>
    </cfRule>
    <cfRule type="notContainsBlanks" dxfId="1084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83" priority="105">
      <formula>LEN(TRIM(J50))=0</formula>
    </cfRule>
    <cfRule type="notContainsBlanks" dxfId="1082" priority="106">
      <formula>LEN(TRIM(J50))&gt;0</formula>
    </cfRule>
  </conditionalFormatting>
  <conditionalFormatting sqref="J59:P59">
    <cfRule type="containsBlanks" dxfId="1081" priority="69">
      <formula>LEN(TRIM(J59))=0</formula>
    </cfRule>
    <cfRule type="notContainsBlanks" dxfId="1080" priority="70">
      <formula>LEN(TRIM(J59))&gt;0</formula>
    </cfRule>
  </conditionalFormatting>
  <conditionalFormatting sqref="J63:P63">
    <cfRule type="containsBlanks" dxfId="1079" priority="77">
      <formula>LEN(TRIM(J63))=0</formula>
    </cfRule>
    <cfRule type="notContainsBlanks" dxfId="1078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077" priority="11">
      <formula>LEN(TRIM(J72))=0</formula>
    </cfRule>
    <cfRule type="notContainsBlanks" dxfId="1076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075" priority="186">
      <formula>LEN(TRIM(J76))=0</formula>
    </cfRule>
    <cfRule type="notContainsBlanks" dxfId="1074" priority="187">
      <formula>LEN(TRIM(J76))&gt;0</formula>
    </cfRule>
  </conditionalFormatting>
  <conditionalFormatting sqref="K11:P11">
    <cfRule type="containsBlanks" dxfId="1073" priority="153">
      <formula>LEN(TRIM(K11))=0</formula>
    </cfRule>
    <cfRule type="notContainsBlanks" dxfId="1072" priority="154">
      <formula>LEN(TRIM(K11))&gt;0</formula>
    </cfRule>
  </conditionalFormatting>
  <conditionalFormatting sqref="K59:P59">
    <cfRule type="containsBlanks" dxfId="1071" priority="159">
      <formula>LEN(TRIM(K59))=0</formula>
    </cfRule>
    <cfRule type="notContainsBlanks" dxfId="1070" priority="160">
      <formula>LEN(TRIM(K59))&gt;0</formula>
    </cfRule>
    <cfRule type="containsBlanks" dxfId="1069" priority="161">
      <formula>LEN(TRIM(K59))=0</formula>
    </cfRule>
    <cfRule type="notContainsBlanks" dxfId="1068" priority="162">
      <formula>LEN(TRIM(K59))&gt;0</formula>
    </cfRule>
  </conditionalFormatting>
  <conditionalFormatting sqref="L76:P76">
    <cfRule type="containsBlanks" dxfId="1067" priority="199">
      <formula>LEN(TRIM(L76))=0</formula>
    </cfRule>
    <cfRule type="notContainsBlanks" dxfId="1066" priority="200">
      <formula>LEN(TRIM(L76))&gt;0</formula>
    </cfRule>
  </conditionalFormatting>
  <conditionalFormatting sqref="M50:P50">
    <cfRule type="containsBlanks" dxfId="1065" priority="226">
      <formula>LEN(TRIM(M50))=0</formula>
    </cfRule>
    <cfRule type="notContainsBlanks" dxfId="1064" priority="227">
      <formula>LEN(TRIM(M50))&gt;0</formula>
    </cfRule>
  </conditionalFormatting>
  <conditionalFormatting sqref="M63:P63">
    <cfRule type="containsBlanks" dxfId="1063" priority="75">
      <formula>LEN(TRIM(M63))=0</formula>
    </cfRule>
    <cfRule type="notContainsBlanks" dxfId="1062" priority="76">
      <formula>LEN(TRIM(M63))&gt;0</formula>
    </cfRule>
  </conditionalFormatting>
  <conditionalFormatting sqref="N46:P46">
    <cfRule type="containsBlanks" dxfId="1061" priority="178">
      <formula>LEN(TRIM(N46))=0</formula>
    </cfRule>
    <cfRule type="notContainsBlanks" dxfId="1060" priority="179">
      <formula>LEN(TRIM(N46))&gt;0</formula>
    </cfRule>
    <cfRule type="containsBlanks" dxfId="1059" priority="220">
      <formula>LEN(TRIM(N46))=0</formula>
    </cfRule>
    <cfRule type="notContainsBlanks" dxfId="1058" priority="221">
      <formula>LEN(TRIM(N46))&gt;0</formula>
    </cfRule>
  </conditionalFormatting>
  <conditionalFormatting sqref="O46:P46">
    <cfRule type="containsBlanks" dxfId="1057" priority="224">
      <formula>LEN(TRIM(O46))=0</formula>
    </cfRule>
    <cfRule type="notContainsBlanks" dxfId="1056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55" priority="145">
      <formula>LEN(TRIM(P7))=0</formula>
    </cfRule>
    <cfRule type="notContainsBlanks" dxfId="1054" priority="146">
      <formula>LEN(TRIM(P7))&gt;0</formula>
    </cfRule>
    <cfRule type="containsBlanks" dxfId="1053" priority="147">
      <formula>LEN(TRIM(P7))=0</formula>
    </cfRule>
    <cfRule type="notContainsBlanks" dxfId="1052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51" priority="48">
      <formula>LEN(TRIM(R11))&gt;0</formula>
    </cfRule>
  </conditionalFormatting>
  <conditionalFormatting sqref="R15">
    <cfRule type="containsBlanks" dxfId="1050" priority="49">
      <formula>LEN(TRIM(R15))=0</formula>
    </cfRule>
    <cfRule type="notContainsBlanks" dxfId="1049" priority="50">
      <formula>LEN(TRIM(R15))&gt;0</formula>
    </cfRule>
  </conditionalFormatting>
  <conditionalFormatting sqref="R59">
    <cfRule type="containsBlanks" dxfId="1048" priority="63">
      <formula>LEN(TRIM(R59))=0</formula>
    </cfRule>
    <cfRule type="notContainsBlanks" dxfId="1047" priority="64">
      <formula>LEN(TRIM(R59))&gt;0</formula>
    </cfRule>
    <cfRule type="containsBlanks" dxfId="1046" priority="65">
      <formula>LEN(TRIM(R59))=0</formula>
    </cfRule>
    <cfRule type="notContainsBlanks" dxfId="1045" priority="66">
      <formula>LEN(TRIM(R59))&gt;0</formula>
    </cfRule>
  </conditionalFormatting>
  <conditionalFormatting sqref="R72">
    <cfRule type="containsBlanks" dxfId="1044" priority="212">
      <formula>LEN(TRIM(R72))=0</formula>
    </cfRule>
    <cfRule type="notContainsBlanks" dxfId="1043" priority="213">
      <formula>LEN(TRIM(R72))&gt;0</formula>
    </cfRule>
  </conditionalFormatting>
  <conditionalFormatting sqref="R63:S63">
    <cfRule type="containsBlanks" dxfId="1042" priority="166">
      <formula>LEN(TRIM(R63))=0</formula>
    </cfRule>
    <cfRule type="notContainsBlanks" dxfId="1041" priority="167">
      <formula>LEN(TRIM(R63))&gt;0</formula>
    </cfRule>
  </conditionalFormatting>
  <conditionalFormatting sqref="R76:S76">
    <cfRule type="containsBlanks" dxfId="1040" priority="182">
      <formula>LEN(TRIM(R76))=0</formula>
    </cfRule>
    <cfRule type="notContainsBlanks" dxfId="1039" priority="183">
      <formula>LEN(TRIM(R76))&gt;0</formula>
    </cfRule>
  </conditionalFormatting>
  <conditionalFormatting sqref="R7:T7">
    <cfRule type="containsBlanks" dxfId="1038" priority="17">
      <formula>LEN(TRIM(R7))=0</formula>
    </cfRule>
    <cfRule type="notContainsBlanks" dxfId="1037" priority="18">
      <formula>LEN(TRIM(R7))&gt;0</formula>
    </cfRule>
    <cfRule type="containsBlanks" dxfId="1036" priority="19">
      <formula>LEN(TRIM(R7))=0</formula>
    </cfRule>
    <cfRule type="notContainsBlanks" dxfId="1035" priority="20">
      <formula>LEN(TRIM(R7))&gt;0</formula>
    </cfRule>
  </conditionalFormatting>
  <conditionalFormatting sqref="R11:T11">
    <cfRule type="containsBlanks" dxfId="1034" priority="41">
      <formula>LEN(TRIM(R11))=0</formula>
    </cfRule>
    <cfRule type="notContainsBlanks" dxfId="1033" priority="42">
      <formula>LEN(TRIM(R11))&gt;0</formula>
    </cfRule>
  </conditionalFormatting>
  <conditionalFormatting sqref="R63:T63">
    <cfRule type="containsBlanks" dxfId="1032" priority="168">
      <formula>LEN(TRIM(R63))=0</formula>
    </cfRule>
    <cfRule type="notContainsBlanks" dxfId="1031" priority="169">
      <formula>LEN(TRIM(R63))&gt;0</formula>
    </cfRule>
    <cfRule type="containsBlanks" dxfId="1030" priority="174">
      <formula>LEN(TRIM(R63))=0</formula>
    </cfRule>
    <cfRule type="notContainsBlanks" dxfId="1029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28" priority="21">
      <formula>LEN(TRIM(R7))=0</formula>
    </cfRule>
    <cfRule type="notContainsBlanks" dxfId="1027" priority="22">
      <formula>LEN(TRIM(R7))&gt;0</formula>
    </cfRule>
  </conditionalFormatting>
  <conditionalFormatting sqref="R25:X25">
    <cfRule type="containsBlanks" dxfId="1026" priority="33">
      <formula>LEN(TRIM(R25))=0</formula>
    </cfRule>
    <cfRule type="notContainsBlanks" dxfId="1025" priority="34">
      <formula>LEN(TRIM(R25))&gt;0</formula>
    </cfRule>
  </conditionalFormatting>
  <conditionalFormatting sqref="R29:X29">
    <cfRule type="containsBlanks" dxfId="1024" priority="3">
      <formula>LEN(TRIM(R29))=0</formula>
    </cfRule>
    <cfRule type="notContainsBlanks" dxfId="1023" priority="4">
      <formula>LEN(TRIM(R29))&gt;0</formula>
    </cfRule>
  </conditionalFormatting>
  <conditionalFormatting sqref="R59:X59">
    <cfRule type="containsBlanks" dxfId="1022" priority="67">
      <formula>LEN(TRIM(R59))=0</formula>
    </cfRule>
    <cfRule type="notContainsBlanks" dxfId="1021" priority="68">
      <formula>LEN(TRIM(R59))&gt;0</formula>
    </cfRule>
  </conditionalFormatting>
  <conditionalFormatting sqref="R72:X72">
    <cfRule type="containsBlanks" dxfId="1020" priority="13">
      <formula>LEN(TRIM(R72))=0</formula>
    </cfRule>
    <cfRule type="notContainsBlanks" dxfId="1019" priority="14">
      <formula>LEN(TRIM(R72))&gt;0</formula>
    </cfRule>
  </conditionalFormatting>
  <conditionalFormatting sqref="R76:X76">
    <cfRule type="containsBlanks" dxfId="1018" priority="184">
      <formula>LEN(TRIM(R76))=0</formula>
    </cfRule>
    <cfRule type="notContainsBlanks" dxfId="1017" priority="185">
      <formula>LEN(TRIM(R76))&gt;0</formula>
    </cfRule>
  </conditionalFormatting>
  <conditionalFormatting sqref="S15:W15">
    <cfRule type="containsBlanks" dxfId="1016" priority="205">
      <formula>LEN(TRIM(S15))=0</formula>
    </cfRule>
    <cfRule type="notContainsBlanks" dxfId="1015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14" priority="164">
      <formula>LEN(TRIM(S59))=0</formula>
    </cfRule>
    <cfRule type="notContainsBlanks" dxfId="1013" priority="165">
      <formula>LEN(TRIM(S59))&gt;0</formula>
    </cfRule>
  </conditionalFormatting>
  <conditionalFormatting sqref="U11:X11 R11">
    <cfRule type="containsBlanks" dxfId="1012" priority="47">
      <formula>LEN(TRIM(R11))=0</formula>
    </cfRule>
  </conditionalFormatting>
  <conditionalFormatting sqref="U63:X63">
    <cfRule type="containsBlanks" dxfId="1011" priority="79">
      <formula>LEN(TRIM(U63))=0</formula>
    </cfRule>
    <cfRule type="notContainsBlanks" dxfId="1010" priority="80">
      <formula>LEN(TRIM(U63))&gt;0</formula>
    </cfRule>
    <cfRule type="containsBlanks" dxfId="1009" priority="81">
      <formula>LEN(TRIM(U63))=0</formula>
    </cfRule>
    <cfRule type="notContainsBlanks" dxfId="1008" priority="82">
      <formula>LEN(TRIM(U63))&gt;0</formula>
    </cfRule>
    <cfRule type="containsBlanks" dxfId="1007" priority="83">
      <formula>LEN(TRIM(U63))=0</formula>
    </cfRule>
    <cfRule type="notContainsBlanks" dxfId="1006" priority="84">
      <formula>LEN(TRIM(U63))&gt;0</formula>
    </cfRule>
  </conditionalFormatting>
  <conditionalFormatting sqref="V11:W11">
    <cfRule type="containsBlanks" dxfId="1005" priority="43">
      <formula>LEN(TRIM(V11))=0</formula>
    </cfRule>
    <cfRule type="notContainsBlanks" dxfId="1004" priority="44">
      <formula>LEN(TRIM(V11))&gt;0</formula>
    </cfRule>
  </conditionalFormatting>
  <conditionalFormatting sqref="W15:X15">
    <cfRule type="containsBlanks" dxfId="1003" priority="195">
      <formula>LEN(TRIM(W15))=0</formula>
    </cfRule>
    <cfRule type="notContainsBlanks" dxfId="100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01" priority="207">
      <formula>LEN(TRIM(W33))=0</formula>
    </cfRule>
    <cfRule type="notContainsBlanks" dxfId="1000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99" priority="276">
      <formula>LEN(TRIM(X21))=0</formula>
    </cfRule>
    <cfRule type="notContainsBlanks" dxfId="998" priority="277">
      <formula>LEN(TRIM(X21))&gt;0</formula>
    </cfRule>
    <cfRule type="containsBlanks" dxfId="997" priority="278">
      <formula>LEN(TRIM(X21))=0</formula>
    </cfRule>
    <cfRule type="notContainsBlanks" dxfId="996" priority="279">
      <formula>LEN(TRIM(X21))&gt;0</formula>
    </cfRule>
    <cfRule type="containsBlanks" dxfId="995" priority="280">
      <formula>LEN(TRIM(X21))=0</formula>
    </cfRule>
    <cfRule type="notContainsBlanks" dxfId="994" priority="281">
      <formula>LEN(TRIM(X21))&gt;0</formula>
    </cfRule>
    <cfRule type="containsBlanks" dxfId="993" priority="282">
      <formula>LEN(TRIM(X21))=0</formula>
    </cfRule>
    <cfRule type="notContainsBlanks" dxfId="992" priority="283">
      <formula>LEN(TRIM(X21))&gt;0</formula>
    </cfRule>
    <cfRule type="containsBlanks" dxfId="991" priority="284">
      <formula>LEN(TRIM(X21))=0</formula>
    </cfRule>
    <cfRule type="notContainsBlanks" dxfId="990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89" priority="59">
      <formula>LEN(TRIM(Z59))=0</formula>
    </cfRule>
    <cfRule type="notContainsBlanks" dxfId="988" priority="60">
      <formula>LEN(TRIM(Z59))&gt;0</formula>
    </cfRule>
  </conditionalFormatting>
  <conditionalFormatting sqref="Z72">
    <cfRule type="containsBlanks" dxfId="987" priority="129">
      <formula>LEN(TRIM(Z72))=0</formula>
    </cfRule>
    <cfRule type="notContainsBlanks" dxfId="986" priority="130">
      <formula>LEN(TRIM(Z72))&gt;0</formula>
    </cfRule>
  </conditionalFormatting>
  <conditionalFormatting sqref="Z76">
    <cfRule type="containsBlanks" dxfId="985" priority="210">
      <formula>LEN(TRIM(Z76))=0</formula>
    </cfRule>
    <cfRule type="notContainsBlanks" dxfId="984" priority="211">
      <formula>LEN(TRIM(Z76))&gt;0</formula>
    </cfRule>
  </conditionalFormatting>
  <conditionalFormatting sqref="Z63:AA63">
    <cfRule type="containsBlanks" dxfId="983" priority="170">
      <formula>LEN(TRIM(Z63))=0</formula>
    </cfRule>
    <cfRule type="notContainsBlanks" dxfId="982" priority="171">
      <formula>LEN(TRIM(Z63))&gt;0</formula>
    </cfRule>
  </conditionalFormatting>
  <conditionalFormatting sqref="Z59:AB59">
    <cfRule type="containsBlanks" dxfId="981" priority="61">
      <formula>LEN(TRIM(Z59))=0</formula>
    </cfRule>
    <cfRule type="notContainsBlanks" dxfId="980" priority="62">
      <formula>LEN(TRIM(Z59))&gt;0</formula>
    </cfRule>
  </conditionalFormatting>
  <conditionalFormatting sqref="Z63:AB63">
    <cfRule type="containsBlanks" dxfId="979" priority="172">
      <formula>LEN(TRIM(Z63))=0</formula>
    </cfRule>
    <cfRule type="notContainsBlanks" dxfId="978" priority="173">
      <formula>LEN(TRIM(Z63))&gt;0</formula>
    </cfRule>
    <cfRule type="containsBlanks" dxfId="977" priority="180">
      <formula>LEN(TRIM(Z63))=0</formula>
    </cfRule>
    <cfRule type="notContainsBlanks" dxfId="976" priority="181">
      <formula>LEN(TRIM(Z63))&gt;0</formula>
    </cfRule>
  </conditionalFormatting>
  <conditionalFormatting sqref="Z25:AI25">
    <cfRule type="containsBlanks" dxfId="975" priority="115">
      <formula>LEN(TRIM(Z25))=0</formula>
    </cfRule>
    <cfRule type="notContainsBlanks" dxfId="974" priority="116">
      <formula>LEN(TRIM(Z25))&gt;0</formula>
    </cfRule>
  </conditionalFormatting>
  <conditionalFormatting sqref="Z29:AI29">
    <cfRule type="containsBlanks" dxfId="973" priority="1">
      <formula>LEN(TRIM(Z29))=0</formula>
    </cfRule>
    <cfRule type="notContainsBlanks" dxfId="972" priority="2">
      <formula>LEN(TRIM(Z29))&gt;0</formula>
    </cfRule>
  </conditionalFormatting>
  <conditionalFormatting sqref="AA59:AB59">
    <cfRule type="containsBlanks" dxfId="971" priority="141">
      <formula>LEN(TRIM(AA59))=0</formula>
    </cfRule>
    <cfRule type="notContainsBlanks" dxfId="970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969" priority="268">
      <formula>LEN(TRIM(AF21))=0</formula>
    </cfRule>
    <cfRule type="notContainsBlanks" dxfId="968" priority="269">
      <formula>LEN(TRIM(AF21))&gt;0</formula>
    </cfRule>
    <cfRule type="containsBlanks" dxfId="967" priority="270">
      <formula>LEN(TRIM(AF21))=0</formula>
    </cfRule>
    <cfRule type="notContainsBlanks" dxfId="966" priority="271">
      <formula>LEN(TRIM(AF21))&gt;0</formula>
    </cfRule>
    <cfRule type="containsBlanks" dxfId="965" priority="272">
      <formula>LEN(TRIM(AF21))=0</formula>
    </cfRule>
    <cfRule type="notContainsBlanks" dxfId="964" priority="273">
      <formula>LEN(TRIM(AF21))&gt;0</formula>
    </cfRule>
    <cfRule type="containsBlanks" dxfId="963" priority="274">
      <formula>LEN(TRIM(AF21))=0</formula>
    </cfRule>
    <cfRule type="notContainsBlanks" dxfId="962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61" priority="111">
      <formula>LEN(TRIM(AF21))=0</formula>
    </cfRule>
    <cfRule type="notContainsBlanks" dxfId="960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59" priority="286">
      <formula>LEN(TRIM(AG33))=0</formula>
    </cfRule>
    <cfRule type="notContainsBlanks" dxfId="958" priority="287">
      <formula>LEN(TRIM(AG33))&gt;0</formula>
    </cfRule>
    <cfRule type="containsBlanks" dxfId="957" priority="288">
      <formula>LEN(TRIM(AG33))=0</formula>
    </cfRule>
    <cfRule type="notContainsBlanks" dxfId="956" priority="289">
      <formula>LEN(TRIM(AG33))&gt;0</formula>
    </cfRule>
    <cfRule type="containsBlanks" dxfId="955" priority="290">
      <formula>LEN(TRIM(AG33))=0</formula>
    </cfRule>
    <cfRule type="notContainsBlanks" dxfId="954" priority="291">
      <formula>LEN(TRIM(AG33))&gt;0</formula>
    </cfRule>
    <cfRule type="containsBlanks" dxfId="953" priority="292">
      <formula>LEN(TRIM(AG33))=0</formula>
    </cfRule>
    <cfRule type="notContainsBlanks" dxfId="952" priority="293">
      <formula>LEN(TRIM(AG33))&gt;0</formula>
    </cfRule>
    <cfRule type="containsBlanks" dxfId="951" priority="294">
      <formula>LEN(TRIM(AG33))=0</formula>
    </cfRule>
    <cfRule type="notContainsBlanks" dxfId="950" priority="295">
      <formula>LEN(TRIM(AG33))&gt;0</formula>
    </cfRule>
    <cfRule type="containsBlanks" dxfId="949" priority="296">
      <formula>LEN(TRIM(AG33))=0</formula>
    </cfRule>
    <cfRule type="notContainsBlanks" dxfId="948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tabSelected="1" zoomScale="75" zoomScaleNormal="92" workbookViewId="0">
      <pane xSplit="2" ySplit="13" topLeftCell="U158" activePane="bottomRight" state="frozen"/>
      <selection pane="topRight" activeCell="C1" sqref="C1"/>
      <selection pane="bottomLeft" activeCell="A14" sqref="A14"/>
      <selection pane="bottomRight" activeCell="BI177" sqref="BI177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B3" s="4"/>
      <c r="BC3" s="4"/>
      <c r="BD3" s="4"/>
      <c r="BE3" s="4"/>
      <c r="BF3" s="4"/>
      <c r="BG3" s="4"/>
      <c r="BH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14</v>
      </c>
      <c r="BM10" s="19">
        <f t="shared" si="10"/>
        <v>14</v>
      </c>
      <c r="BN10" s="19">
        <f t="shared" si="10"/>
        <v>16</v>
      </c>
      <c r="BO10" s="19">
        <f t="shared" si="10"/>
        <v>15</v>
      </c>
      <c r="BP10" s="19">
        <f t="shared" si="10"/>
        <v>14</v>
      </c>
      <c r="BQ10" s="19">
        <f t="shared" si="10"/>
        <v>14</v>
      </c>
      <c r="BR10" s="19">
        <f t="shared" si="10"/>
        <v>14</v>
      </c>
      <c r="BS10" s="19">
        <f t="shared" si="10"/>
        <v>7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7</v>
      </c>
      <c r="BN11" s="21">
        <f t="shared" si="12"/>
        <v>7</v>
      </c>
      <c r="BO11" s="21">
        <f t="shared" si="12"/>
        <v>7</v>
      </c>
      <c r="BP11" s="21">
        <f t="shared" si="12"/>
        <v>8</v>
      </c>
      <c r="BQ11" s="21">
        <f t="shared" si="12"/>
        <v>7</v>
      </c>
      <c r="BR11" s="21">
        <f t="shared" si="12"/>
        <v>7</v>
      </c>
      <c r="BS11" s="21">
        <f t="shared" si="12"/>
        <v>7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1911</v>
      </c>
      <c r="BF12" s="23">
        <f t="shared" si="14"/>
        <v>1912</v>
      </c>
      <c r="BG12" s="23">
        <f t="shared" si="14"/>
        <v>1916</v>
      </c>
      <c r="BH12" s="23">
        <f t="shared" si="14"/>
        <v>1913</v>
      </c>
      <c r="BI12" s="23">
        <f t="shared" si="14"/>
        <v>1920</v>
      </c>
      <c r="BJ12" s="23">
        <f t="shared" si="14"/>
        <v>1914</v>
      </c>
      <c r="BK12" s="23">
        <f t="shared" si="14"/>
        <v>1913</v>
      </c>
      <c r="BL12" s="23">
        <f t="shared" si="14"/>
        <v>1930</v>
      </c>
      <c r="BM12" s="23">
        <f t="shared" si="14"/>
        <v>1928</v>
      </c>
      <c r="BN12" s="23">
        <f t="shared" si="14"/>
        <v>1925</v>
      </c>
      <c r="BO12" s="23">
        <f t="shared" si="14"/>
        <v>1929</v>
      </c>
      <c r="BP12" s="23">
        <f t="shared" si="14"/>
        <v>1929</v>
      </c>
      <c r="BQ12" s="23">
        <f t="shared" si="14"/>
        <v>1928</v>
      </c>
      <c r="BR12" s="23">
        <f>COUNTIF(BR33:BR1972,"")</f>
        <v>1912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 t="shared" ref="H14:H77" si="16"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45981</v>
      </c>
      <c r="H15" s="79">
        <f t="shared" si="16"/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45981</v>
      </c>
      <c r="H16" s="79">
        <f t="shared" si="16"/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45981</v>
      </c>
      <c r="H17" s="79">
        <f t="shared" si="16"/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45981</v>
      </c>
      <c r="H18" s="79">
        <f t="shared" si="16"/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45981</v>
      </c>
      <c r="H19" s="79">
        <f t="shared" si="16"/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45981</v>
      </c>
      <c r="H20" s="79">
        <f t="shared" si="16"/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45983</v>
      </c>
      <c r="H21" s="79">
        <f t="shared" si="16"/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45983</v>
      </c>
      <c r="H22" s="79">
        <f t="shared" si="16"/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45983</v>
      </c>
      <c r="H23" s="79">
        <f t="shared" si="16"/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45983</v>
      </c>
      <c r="H24" s="79">
        <f t="shared" si="16"/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45983</v>
      </c>
      <c r="H25" s="79">
        <f t="shared" si="16"/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45983</v>
      </c>
      <c r="H26" s="79">
        <f t="shared" si="16"/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45983</v>
      </c>
      <c r="H27" s="79">
        <f t="shared" si="16"/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45985</v>
      </c>
      <c r="H28" s="79">
        <f t="shared" si="16"/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45985</v>
      </c>
      <c r="H29" s="79">
        <f t="shared" si="16"/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45985</v>
      </c>
      <c r="H30" s="79">
        <f t="shared" si="16"/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45985</v>
      </c>
      <c r="H31" s="79">
        <f t="shared" si="16"/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45985</v>
      </c>
      <c r="H32" s="79">
        <f t="shared" si="16"/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45982</v>
      </c>
      <c r="H34" s="79">
        <f t="shared" si="16"/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45982</v>
      </c>
      <c r="H35" s="79">
        <f t="shared" si="16"/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45982</v>
      </c>
      <c r="H36" s="79">
        <f t="shared" si="16"/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45982</v>
      </c>
      <c r="H37" s="79">
        <f t="shared" si="16"/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45982</v>
      </c>
      <c r="H38" s="79">
        <f t="shared" si="16"/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45982</v>
      </c>
      <c r="H39" s="79">
        <f t="shared" si="16"/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45982</v>
      </c>
      <c r="H40" s="79">
        <f t="shared" si="16"/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45984</v>
      </c>
      <c r="H41" s="79">
        <f t="shared" si="16"/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45984</v>
      </c>
      <c r="H42" s="79">
        <f t="shared" si="16"/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45984</v>
      </c>
      <c r="H43" s="79">
        <f t="shared" si="16"/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45984</v>
      </c>
      <c r="H44" s="79">
        <f t="shared" si="16"/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45984</v>
      </c>
      <c r="H45" s="79">
        <f t="shared" si="16"/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45984</v>
      </c>
      <c r="H46" s="79">
        <f t="shared" si="16"/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45984</v>
      </c>
      <c r="H47" s="79">
        <f t="shared" si="16"/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45985</v>
      </c>
      <c r="H48" s="79">
        <f t="shared" si="16"/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45985</v>
      </c>
      <c r="H49" s="79">
        <f t="shared" si="16"/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45987</v>
      </c>
      <c r="H60" s="79">
        <f t="shared" si="16"/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45987</v>
      </c>
      <c r="H61" s="79">
        <f t="shared" si="16"/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45987</v>
      </c>
      <c r="H62" s="79">
        <f t="shared" si="16"/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45986</v>
      </c>
      <c r="H63" s="79">
        <f t="shared" si="16"/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45986</v>
      </c>
      <c r="H64" s="79">
        <f t="shared" si="16"/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45986</v>
      </c>
      <c r="H65" s="79">
        <f t="shared" si="16"/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45986</v>
      </c>
      <c r="H66" s="79">
        <f t="shared" si="16"/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47" priority="778">
      <formula>LEN(TRIM(E14))=0</formula>
    </cfRule>
  </conditionalFormatting>
  <conditionalFormatting sqref="J114:J119 AY207:BI213 BZ168:CP174 BT207:BV213 AW168:BA174">
    <cfRule type="containsText" dxfId="946" priority="773" operator="containsText" text="T">
      <formula>NOT(ISERROR(SEARCH("T",J114)))</formula>
    </cfRule>
  </conditionalFormatting>
  <conditionalFormatting sqref="J120:M126">
    <cfRule type="containsText" dxfId="945" priority="314" operator="containsText" text="T">
      <formula>NOT(ISERROR(SEARCH("T",J120)))</formula>
    </cfRule>
  </conditionalFormatting>
  <conditionalFormatting sqref="J113:T113">
    <cfRule type="containsText" dxfId="944" priority="765" operator="containsText" text="17">
      <formula>NOT(ISERROR(SEARCH("17",J113)))</formula>
    </cfRule>
    <cfRule type="containsText" dxfId="943" priority="766" operator="containsText" text="T">
      <formula>NOT(ISERROR(SEARCH("T",J113)))</formula>
    </cfRule>
  </conditionalFormatting>
  <conditionalFormatting sqref="J67:X68 AY207:BG213 BZ168:CP174 BT207:BV213 AW168:BA174">
    <cfRule type="containsText" dxfId="942" priority="710" operator="containsText" text="17">
      <formula>NOT(ISERROR(SEARCH("17",J67)))</formula>
    </cfRule>
  </conditionalFormatting>
  <conditionalFormatting sqref="J97:X98">
    <cfRule type="containsText" dxfId="941" priority="700" operator="containsText" text="17">
      <formula>NOT(ISERROR(SEARCH("17",J97)))</formula>
    </cfRule>
  </conditionalFormatting>
  <conditionalFormatting sqref="J67:Z68">
    <cfRule type="containsText" dxfId="940" priority="704" operator="containsText" text="T">
      <formula>NOT(ISERROR(SEARCH("T",J67)))</formula>
    </cfRule>
  </conditionalFormatting>
  <conditionalFormatting sqref="J97:Z98">
    <cfRule type="containsText" dxfId="939" priority="694" operator="containsText" text="T">
      <formula>NOT(ISERROR(SEARCH("T",J97)))</formula>
    </cfRule>
  </conditionalFormatting>
  <conditionalFormatting sqref="J127:Z130">
    <cfRule type="containsText" dxfId="938" priority="674" operator="containsText" text="T">
      <formula>NOT(ISERROR(SEARCH("T",J127)))</formula>
    </cfRule>
  </conditionalFormatting>
  <conditionalFormatting sqref="J114:AD119 J113:R113">
    <cfRule type="containsText" dxfId="937" priority="772" operator="containsText" text="17">
      <formula>NOT(ISERROR(SEARCH("17",J113)))</formula>
    </cfRule>
  </conditionalFormatting>
  <conditionalFormatting sqref="J48:AO49">
    <cfRule type="containsText" dxfId="936" priority="447" operator="containsText" text="17">
      <formula>NOT(ISERROR(SEARCH("17",J48)))</formula>
    </cfRule>
  </conditionalFormatting>
  <conditionalFormatting sqref="J63:AP66">
    <cfRule type="containsText" dxfId="935" priority="427" operator="containsText" text="17">
      <formula>NOT(ISERROR(SEARCH("17",J63)))</formula>
    </cfRule>
  </conditionalFormatting>
  <conditionalFormatting sqref="J48:AQ49">
    <cfRule type="containsText" dxfId="934" priority="441" operator="containsText" text="T">
      <formula>NOT(ISERROR(SEARCH("T",J48)))</formula>
    </cfRule>
  </conditionalFormatting>
  <conditionalFormatting sqref="J59:AQ62">
    <cfRule type="containsText" dxfId="933" priority="413" operator="containsText" text="17">
      <formula>NOT(ISERROR(SEARCH("17",J59)))</formula>
    </cfRule>
  </conditionalFormatting>
  <conditionalFormatting sqref="J86:AQ89">
    <cfRule type="containsText" dxfId="932" priority="403" operator="containsText" text="17">
      <formula>NOT(ISERROR(SEARCH("17",J86)))</formula>
    </cfRule>
  </conditionalFormatting>
  <conditionalFormatting sqref="J50:AR53">
    <cfRule type="containsText" dxfId="931" priority="431" operator="containsText" text="T">
      <formula>NOT(ISERROR(SEARCH("T",J50)))</formula>
    </cfRule>
  </conditionalFormatting>
  <conditionalFormatting sqref="J63:AR66">
    <cfRule type="containsText" dxfId="930" priority="421" operator="containsText" text="T">
      <formula>NOT(ISERROR(SEARCH("T",J63)))</formula>
    </cfRule>
  </conditionalFormatting>
  <conditionalFormatting sqref="J83:AR85">
    <cfRule type="containsText" dxfId="929" priority="393" operator="containsText" text="17">
      <formula>NOT(ISERROR(SEARCH("17",J83)))</formula>
    </cfRule>
  </conditionalFormatting>
  <conditionalFormatting sqref="J214:AR217">
    <cfRule type="containsText" dxfId="928" priority="383" operator="containsText" text="17">
      <formula>NOT(ISERROR(SEARCH("17",J214)))</formula>
    </cfRule>
  </conditionalFormatting>
  <conditionalFormatting sqref="J59:AS62">
    <cfRule type="containsText" dxfId="927" priority="407" operator="containsText" text="T">
      <formula>NOT(ISERROR(SEARCH("T",J59)))</formula>
    </cfRule>
  </conditionalFormatting>
  <conditionalFormatting sqref="J86:AS89">
    <cfRule type="containsText" dxfId="926" priority="397" operator="containsText" text="T">
      <formula>NOT(ISERROR(SEARCH("T",J86)))</formula>
    </cfRule>
  </conditionalFormatting>
  <conditionalFormatting sqref="J218:AS224">
    <cfRule type="containsText" dxfId="925" priority="373" operator="containsText" text="17">
      <formula>NOT(ISERROR(SEARCH("17",J218)))</formula>
    </cfRule>
  </conditionalFormatting>
  <conditionalFormatting sqref="J83:AT85">
    <cfRule type="containsText" dxfId="924" priority="387" operator="containsText" text="T">
      <formula>NOT(ISERROR(SEARCH("T",J83)))</formula>
    </cfRule>
  </conditionalFormatting>
  <conditionalFormatting sqref="J214:AT217">
    <cfRule type="containsText" dxfId="923" priority="377" operator="containsText" text="T">
      <formula>NOT(ISERROR(SEARCH("T",J214)))</formula>
    </cfRule>
  </conditionalFormatting>
  <conditionalFormatting sqref="J225:AT231">
    <cfRule type="containsText" dxfId="922" priority="363" operator="containsText" text="17">
      <formula>NOT(ISERROR(SEARCH("17",J225)))</formula>
    </cfRule>
  </conditionalFormatting>
  <conditionalFormatting sqref="J218:AU224">
    <cfRule type="containsText" dxfId="921" priority="367" operator="containsText" text="T">
      <formula>NOT(ISERROR(SEARCH("T",J218)))</formula>
    </cfRule>
  </conditionalFormatting>
  <conditionalFormatting sqref="J232:AU234">
    <cfRule type="containsText" dxfId="920" priority="353" operator="containsText" text="17">
      <formula>NOT(ISERROR(SEARCH("17",J232)))</formula>
    </cfRule>
  </conditionalFormatting>
  <conditionalFormatting sqref="J225:AV231">
    <cfRule type="containsText" dxfId="919" priority="357" operator="containsText" text="T">
      <formula>NOT(ISERROR(SEARCH("T",J225)))</formula>
    </cfRule>
  </conditionalFormatting>
  <conditionalFormatting sqref="J232:AW234">
    <cfRule type="containsText" dxfId="918" priority="347" operator="containsText" text="T">
      <formula>NOT(ISERROR(SEARCH("T",J232)))</formula>
    </cfRule>
  </conditionalFormatting>
  <conditionalFormatting sqref="K77:K82">
    <cfRule type="containsText" dxfId="917" priority="760" operator="containsText" text="T">
      <formula>NOT(ISERROR(SEARCH("T",K77)))</formula>
    </cfRule>
  </conditionalFormatting>
  <conditionalFormatting sqref="K76:U76">
    <cfRule type="containsText" dxfId="916" priority="752" operator="containsText" text="17">
      <formula>NOT(ISERROR(SEARCH("17",K76)))</formula>
    </cfRule>
    <cfRule type="containsText" dxfId="915" priority="753" operator="containsText" text="T">
      <formula>NOT(ISERROR(SEARCH("T",K76)))</formula>
    </cfRule>
  </conditionalFormatting>
  <conditionalFormatting sqref="K77:AE82 K76:S76">
    <cfRule type="containsText" dxfId="914" priority="759" operator="containsText" text="17">
      <formula>NOT(ISERROR(SEARCH("17",K76)))</formula>
    </cfRule>
  </conditionalFormatting>
  <conditionalFormatting sqref="L107:L112">
    <cfRule type="containsText" dxfId="913" priority="747" operator="containsText" text="T">
      <formula>NOT(ISERROR(SEARCH("T",L107)))</formula>
    </cfRule>
  </conditionalFormatting>
  <conditionalFormatting sqref="L106:V106">
    <cfRule type="containsText" dxfId="912" priority="739" operator="containsText" text="17">
      <formula>NOT(ISERROR(SEARCH("17",L106)))</formula>
    </cfRule>
    <cfRule type="containsText" dxfId="911" priority="740" operator="containsText" text="T">
      <formula>NOT(ISERROR(SEARCH("T",L106)))</formula>
    </cfRule>
  </conditionalFormatting>
  <conditionalFormatting sqref="L107:AF112 L106:T106">
    <cfRule type="containsText" dxfId="910" priority="746" operator="containsText" text="17">
      <formula>NOT(ISERROR(SEARCH("17",L106)))</formula>
    </cfRule>
  </conditionalFormatting>
  <conditionalFormatting sqref="M120:AG126 AJ120:AJ126">
    <cfRule type="containsText" dxfId="909" priority="311" operator="containsText" text="T">
      <formula>NOT(ISERROR(SEARCH("T",M120)))</formula>
    </cfRule>
  </conditionalFormatting>
  <conditionalFormatting sqref="M120:AG126">
    <cfRule type="containsText" dxfId="908" priority="313" operator="containsText" text="17">
      <formula>NOT(ISERROR(SEARCH("17",M120)))</formula>
    </cfRule>
  </conditionalFormatting>
  <conditionalFormatting sqref="N70:N75">
    <cfRule type="containsText" dxfId="907" priority="734" operator="containsText" text="T">
      <formula>NOT(ISERROR(SEARCH("T",N70)))</formula>
    </cfRule>
  </conditionalFormatting>
  <conditionalFormatting sqref="N69:X69">
    <cfRule type="containsText" dxfId="906" priority="726" operator="containsText" text="17">
      <formula>NOT(ISERROR(SEARCH("17",N69)))</formula>
    </cfRule>
    <cfRule type="containsText" dxfId="905" priority="727" operator="containsText" text="T">
      <formula>NOT(ISERROR(SEARCH("T",N69)))</formula>
    </cfRule>
  </conditionalFormatting>
  <conditionalFormatting sqref="N70:AH75 N69:V69">
    <cfRule type="containsText" dxfId="904" priority="733" operator="containsText" text="17">
      <formula>NOT(ISERROR(SEARCH("17",N69)))</formula>
    </cfRule>
  </conditionalFormatting>
  <conditionalFormatting sqref="O100:O105">
    <cfRule type="containsText" dxfId="903" priority="721" operator="containsText" text="T">
      <formula>NOT(ISERROR(SEARCH("T",O100)))</formula>
    </cfRule>
  </conditionalFormatting>
  <conditionalFormatting sqref="O99:Y99">
    <cfRule type="containsText" dxfId="902" priority="713" operator="containsText" text="17">
      <formula>NOT(ISERROR(SEARCH("17",O99)))</formula>
    </cfRule>
    <cfRule type="containsText" dxfId="901" priority="714" operator="containsText" text="T">
      <formula>NOT(ISERROR(SEARCH("T",O99)))</formula>
    </cfRule>
  </conditionalFormatting>
  <conditionalFormatting sqref="O100:AI105 O99:W99">
    <cfRule type="containsText" dxfId="900" priority="720" operator="containsText" text="17">
      <formula>NOT(ISERROR(SEARCH("17",O99)))</formula>
    </cfRule>
  </conditionalFormatting>
  <conditionalFormatting sqref="P67:Z68">
    <cfRule type="containsText" dxfId="899" priority="703" operator="containsText" text="17">
      <formula>NOT(ISERROR(SEARCH("17",P67)))</formula>
    </cfRule>
  </conditionalFormatting>
  <conditionalFormatting sqref="P97:Z98">
    <cfRule type="containsText" dxfId="898" priority="693" operator="containsText" text="17">
      <formula>NOT(ISERROR(SEARCH("17",P97)))</formula>
    </cfRule>
  </conditionalFormatting>
  <conditionalFormatting sqref="P127:Z130">
    <cfRule type="containsText" dxfId="897" priority="673" operator="containsText" text="17">
      <formula>NOT(ISERROR(SEARCH("17",P127)))</formula>
    </cfRule>
  </conditionalFormatting>
  <conditionalFormatting sqref="Q132:Q137">
    <cfRule type="containsText" dxfId="896" priority="668" operator="containsText" text="T">
      <formula>NOT(ISERROR(SEARCH("T",Q132)))</formula>
    </cfRule>
  </conditionalFormatting>
  <conditionalFormatting sqref="Q131:AA131">
    <cfRule type="containsText" dxfId="895" priority="660" operator="containsText" text="17">
      <formula>NOT(ISERROR(SEARCH("17",Q131)))</formula>
    </cfRule>
    <cfRule type="containsText" dxfId="894" priority="661" operator="containsText" text="T">
      <formula>NOT(ISERROR(SEARCH("T",Q131)))</formula>
    </cfRule>
  </conditionalFormatting>
  <conditionalFormatting sqref="Q132:AK137 Q131:Y131">
    <cfRule type="containsText" dxfId="893" priority="667" operator="containsText" text="17">
      <formula>NOT(ISERROR(SEARCH("17",Q131)))</formula>
    </cfRule>
  </conditionalFormatting>
  <conditionalFormatting sqref="R139:R144">
    <cfRule type="containsText" dxfId="892" priority="655" operator="containsText" text="T">
      <formula>NOT(ISERROR(SEARCH("T",R139)))</formula>
    </cfRule>
  </conditionalFormatting>
  <conditionalFormatting sqref="R138:AB138">
    <cfRule type="containsText" dxfId="891" priority="647" operator="containsText" text="17">
      <formula>NOT(ISERROR(SEARCH("17",R138)))</formula>
    </cfRule>
    <cfRule type="containsText" dxfId="890" priority="648" operator="containsText" text="T">
      <formula>NOT(ISERROR(SEARCH("T",R138)))</formula>
    </cfRule>
  </conditionalFormatting>
  <conditionalFormatting sqref="R139:AL144 R138:Z138">
    <cfRule type="containsText" dxfId="889" priority="654" operator="containsText" text="17">
      <formula>NOT(ISERROR(SEARCH("17",R138)))</formula>
    </cfRule>
  </conditionalFormatting>
  <conditionalFormatting sqref="S146:S151">
    <cfRule type="containsText" dxfId="888" priority="642" operator="containsText" text="T">
      <formula>NOT(ISERROR(SEARCH("T",S146)))</formula>
    </cfRule>
  </conditionalFormatting>
  <conditionalFormatting sqref="S145:AC145">
    <cfRule type="containsText" dxfId="887" priority="634" operator="containsText" text="17">
      <formula>NOT(ISERROR(SEARCH("17",S145)))</formula>
    </cfRule>
    <cfRule type="containsText" dxfId="886" priority="635" operator="containsText" text="T">
      <formula>NOT(ISERROR(SEARCH("T",S145)))</formula>
    </cfRule>
  </conditionalFormatting>
  <conditionalFormatting sqref="S146:AM151 S145:AA145">
    <cfRule type="containsText" dxfId="885" priority="641" operator="containsText" text="17">
      <formula>NOT(ISERROR(SEARCH("17",S145)))</formula>
    </cfRule>
  </conditionalFormatting>
  <conditionalFormatting sqref="T153:T158">
    <cfRule type="containsText" dxfId="884" priority="629" operator="containsText" text="T">
      <formula>NOT(ISERROR(SEARCH("T",T153)))</formula>
    </cfRule>
  </conditionalFormatting>
  <conditionalFormatting sqref="T152:AD152">
    <cfRule type="containsText" dxfId="883" priority="621" operator="containsText" text="17">
      <formula>NOT(ISERROR(SEARCH("17",T152)))</formula>
    </cfRule>
    <cfRule type="containsText" dxfId="882" priority="622" operator="containsText" text="T">
      <formula>NOT(ISERROR(SEARCH("T",T152)))</formula>
    </cfRule>
  </conditionalFormatting>
  <conditionalFormatting sqref="T153:AN158 T152:AB152">
    <cfRule type="containsText" dxfId="881" priority="628" operator="containsText" text="17">
      <formula>NOT(ISERROR(SEARCH("17",T152)))</formula>
    </cfRule>
  </conditionalFormatting>
  <conditionalFormatting sqref="U160:U165">
    <cfRule type="containsText" dxfId="880" priority="616" operator="containsText" text="T">
      <formula>NOT(ISERROR(SEARCH("T",U160)))</formula>
    </cfRule>
  </conditionalFormatting>
  <conditionalFormatting sqref="U113:AA113">
    <cfRule type="containsText" dxfId="879" priority="774" operator="containsText" text="17">
      <formula>NOT(ISERROR(SEARCH("17",U113)))</formula>
    </cfRule>
    <cfRule type="containsText" dxfId="878" priority="775" operator="containsText" text="T">
      <formula>NOT(ISERROR(SEARCH("T",U113)))</formula>
    </cfRule>
  </conditionalFormatting>
  <conditionalFormatting sqref="U159:AE159">
    <cfRule type="containsText" dxfId="877" priority="608" operator="containsText" text="17">
      <formula>NOT(ISERROR(SEARCH("17",U159)))</formula>
    </cfRule>
    <cfRule type="containsText" dxfId="876" priority="609" operator="containsText" text="T">
      <formula>NOT(ISERROR(SEARCH("T",U159)))</formula>
    </cfRule>
  </conditionalFormatting>
  <conditionalFormatting sqref="U160:AO165 U159:AC159">
    <cfRule type="containsText" dxfId="875" priority="615" operator="containsText" text="17">
      <formula>NOT(ISERROR(SEARCH("17",U159)))</formula>
    </cfRule>
  </conditionalFormatting>
  <conditionalFormatting sqref="V113">
    <cfRule type="containsText" dxfId="874" priority="770" operator="containsText" text="17">
      <formula>NOT(ISERROR(SEARCH("17",V113)))</formula>
    </cfRule>
    <cfRule type="containsText" dxfId="873" priority="771" operator="containsText" text="T">
      <formula>NOT(ISERROR(SEARCH("T",V113)))</formula>
    </cfRule>
  </conditionalFormatting>
  <conditionalFormatting sqref="V208:V213">
    <cfRule type="containsText" dxfId="872" priority="603" operator="containsText" text="T">
      <formula>NOT(ISERROR(SEARCH("T",V208)))</formula>
    </cfRule>
  </conditionalFormatting>
  <conditionalFormatting sqref="V76:AB76">
    <cfRule type="containsText" dxfId="871" priority="761" operator="containsText" text="17">
      <formula>NOT(ISERROR(SEARCH("17",V76)))</formula>
    </cfRule>
    <cfRule type="containsText" dxfId="870" priority="762" operator="containsText" text="T">
      <formula>NOT(ISERROR(SEARCH("T",V76)))</formula>
    </cfRule>
  </conditionalFormatting>
  <conditionalFormatting sqref="V207:AF207">
    <cfRule type="containsText" dxfId="869" priority="595" operator="containsText" text="17">
      <formula>NOT(ISERROR(SEARCH("17",V207)))</formula>
    </cfRule>
    <cfRule type="containsText" dxfId="868" priority="596" operator="containsText" text="T">
      <formula>NOT(ISERROR(SEARCH("T",V207)))</formula>
    </cfRule>
  </conditionalFormatting>
  <conditionalFormatting sqref="V208:AP213 V207:AD207">
    <cfRule type="containsText" dxfId="867" priority="602" operator="containsText" text="17">
      <formula>NOT(ISERROR(SEARCH("17",V207)))</formula>
    </cfRule>
  </conditionalFormatting>
  <conditionalFormatting sqref="W76">
    <cfRule type="containsText" dxfId="866" priority="757" operator="containsText" text="17">
      <formula>NOT(ISERROR(SEARCH("17",W76)))</formula>
    </cfRule>
    <cfRule type="containsText" dxfId="865" priority="758" operator="containsText" text="T">
      <formula>NOT(ISERROR(SEARCH("T",W76)))</formula>
    </cfRule>
  </conditionalFormatting>
  <conditionalFormatting sqref="W201:W206">
    <cfRule type="containsText" dxfId="864" priority="590" operator="containsText" text="T">
      <formula>NOT(ISERROR(SEARCH("T",W201)))</formula>
    </cfRule>
  </conditionalFormatting>
  <conditionalFormatting sqref="W106:AC106">
    <cfRule type="containsText" dxfId="863" priority="748" operator="containsText" text="17">
      <formula>NOT(ISERROR(SEARCH("17",W106)))</formula>
    </cfRule>
    <cfRule type="containsText" dxfId="862" priority="749" operator="containsText" text="T">
      <formula>NOT(ISERROR(SEARCH("T",W106)))</formula>
    </cfRule>
  </conditionalFormatting>
  <conditionalFormatting sqref="W200:AG200">
    <cfRule type="containsText" dxfId="861" priority="582" operator="containsText" text="17">
      <formula>NOT(ISERROR(SEARCH("17",W200)))</formula>
    </cfRule>
    <cfRule type="containsText" dxfId="860" priority="583" operator="containsText" text="T">
      <formula>NOT(ISERROR(SEARCH("T",W200)))</formula>
    </cfRule>
  </conditionalFormatting>
  <conditionalFormatting sqref="W201:AQ206 W200:AE200">
    <cfRule type="containsText" dxfId="859" priority="589" operator="containsText" text="17">
      <formula>NOT(ISERROR(SEARCH("17",W200)))</formula>
    </cfRule>
  </conditionalFormatting>
  <conditionalFormatting sqref="X106">
    <cfRule type="containsText" dxfId="858" priority="744" operator="containsText" text="17">
      <formula>NOT(ISERROR(SEARCH("17",X106)))</formula>
    </cfRule>
    <cfRule type="containsText" dxfId="857" priority="745" operator="containsText" text="T">
      <formula>NOT(ISERROR(SEARCH("T",X106)))</formula>
    </cfRule>
  </conditionalFormatting>
  <conditionalFormatting sqref="X194:X199">
    <cfRule type="containsText" dxfId="856" priority="577" operator="containsText" text="T">
      <formula>NOT(ISERROR(SEARCH("T",X194)))</formula>
    </cfRule>
  </conditionalFormatting>
  <conditionalFormatting sqref="X192:AH193">
    <cfRule type="containsText" dxfId="855" priority="564" operator="containsText" text="17">
      <formula>NOT(ISERROR(SEARCH("17",X192)))</formula>
    </cfRule>
    <cfRule type="containsText" dxfId="854" priority="565" operator="containsText" text="T">
      <formula>NOT(ISERROR(SEARCH("T",X192)))</formula>
    </cfRule>
  </conditionalFormatting>
  <conditionalFormatting sqref="Y169:Y174">
    <cfRule type="containsText" dxfId="853" priority="559" operator="containsText" text="T">
      <formula>NOT(ISERROR(SEARCH("T",Y169)))</formula>
    </cfRule>
  </conditionalFormatting>
  <conditionalFormatting sqref="Y69:AE69">
    <cfRule type="containsText" dxfId="852" priority="735" operator="containsText" text="17">
      <formula>NOT(ISERROR(SEARCH("17",Y69)))</formula>
    </cfRule>
    <cfRule type="containsText" dxfId="851" priority="736" operator="containsText" text="T">
      <formula>NOT(ISERROR(SEARCH("T",Y69)))</formula>
    </cfRule>
  </conditionalFormatting>
  <conditionalFormatting sqref="Y168:AI168">
    <cfRule type="containsText" dxfId="850" priority="551" operator="containsText" text="17">
      <formula>NOT(ISERROR(SEARCH("17",Y168)))</formula>
    </cfRule>
    <cfRule type="containsText" dxfId="849" priority="552" operator="containsText" text="T">
      <formula>NOT(ISERROR(SEARCH("T",Y168)))</formula>
    </cfRule>
  </conditionalFormatting>
  <conditionalFormatting sqref="Y169:AS174 Y168:AG168">
    <cfRule type="containsText" dxfId="848" priority="558" operator="containsText" text="17">
      <formula>NOT(ISERROR(SEARCH("17",Y168)))</formula>
    </cfRule>
  </conditionalFormatting>
  <conditionalFormatting sqref="Z69">
    <cfRule type="containsText" dxfId="847" priority="731" operator="containsText" text="17">
      <formula>NOT(ISERROR(SEARCH("17",Z69)))</formula>
    </cfRule>
    <cfRule type="containsText" dxfId="846" priority="732" operator="containsText" text="T">
      <formula>NOT(ISERROR(SEARCH("T",Z69)))</formula>
    </cfRule>
  </conditionalFormatting>
  <conditionalFormatting sqref="Z176:Z181">
    <cfRule type="containsText" dxfId="845" priority="546" operator="containsText" text="T">
      <formula>NOT(ISERROR(SEARCH("T",Z176)))</formula>
    </cfRule>
  </conditionalFormatting>
  <conditionalFormatting sqref="Z99:AF99">
    <cfRule type="containsText" dxfId="844" priority="722" operator="containsText" text="17">
      <formula>NOT(ISERROR(SEARCH("17",Z99)))</formula>
    </cfRule>
    <cfRule type="containsText" dxfId="843" priority="723" operator="containsText" text="T">
      <formula>NOT(ISERROR(SEARCH("T",Z99)))</formula>
    </cfRule>
  </conditionalFormatting>
  <conditionalFormatting sqref="Z175:AJ175">
    <cfRule type="containsText" dxfId="842" priority="538" operator="containsText" text="17">
      <formula>NOT(ISERROR(SEARCH("17",Z175)))</formula>
    </cfRule>
    <cfRule type="containsText" dxfId="841" priority="539" operator="containsText" text="T">
      <formula>NOT(ISERROR(SEARCH("T",Z175)))</formula>
    </cfRule>
  </conditionalFormatting>
  <conditionalFormatting sqref="Z176:AT181 Z175:AH175">
    <cfRule type="containsText" dxfId="840" priority="545" operator="containsText" text="17">
      <formula>NOT(ISERROR(SEARCH("17",Z175)))</formula>
    </cfRule>
  </conditionalFormatting>
  <conditionalFormatting sqref="AA99">
    <cfRule type="containsText" dxfId="839" priority="718" operator="containsText" text="17">
      <formula>NOT(ISERROR(SEARCH("17",AA99)))</formula>
    </cfRule>
    <cfRule type="containsText" dxfId="838" priority="719" operator="containsText" text="T">
      <formula>NOT(ISERROR(SEARCH("T",AA99)))</formula>
    </cfRule>
  </conditionalFormatting>
  <conditionalFormatting sqref="AA113 AE113:AG113 J114:AD119 AG114:AG119">
    <cfRule type="containsText" dxfId="837" priority="767" operator="containsText" text="T">
      <formula>NOT(ISERROR(SEARCH("T",J113)))</formula>
    </cfRule>
  </conditionalFormatting>
  <conditionalFormatting sqref="AA183:AA190">
    <cfRule type="containsText" dxfId="836" priority="533" operator="containsText" text="T">
      <formula>NOT(ISERROR(SEARCH("T",AA183)))</formula>
    </cfRule>
  </conditionalFormatting>
  <conditionalFormatting sqref="AA113:AB113 AE113:AG113 AG114:AG119">
    <cfRule type="containsText" dxfId="835" priority="768" operator="containsText" text="17">
      <formula>NOT(ISERROR(SEARCH("17",AA113)))</formula>
    </cfRule>
  </conditionalFormatting>
  <conditionalFormatting sqref="AA67:AG68">
    <cfRule type="containsText" dxfId="834" priority="711" operator="containsText" text="17">
      <formula>NOT(ISERROR(SEARCH("17",AA67)))</formula>
    </cfRule>
    <cfRule type="containsText" dxfId="833" priority="712" operator="containsText" text="T">
      <formula>NOT(ISERROR(SEARCH("T",AA67)))</formula>
    </cfRule>
  </conditionalFormatting>
  <conditionalFormatting sqref="AA97:AG98">
    <cfRule type="containsText" dxfId="832" priority="701" operator="containsText" text="17">
      <formula>NOT(ISERROR(SEARCH("17",AA97)))</formula>
    </cfRule>
    <cfRule type="containsText" dxfId="831" priority="702" operator="containsText" text="T">
      <formula>NOT(ISERROR(SEARCH("T",AA97)))</formula>
    </cfRule>
  </conditionalFormatting>
  <conditionalFormatting sqref="AA127:AG130">
    <cfRule type="containsText" dxfId="830" priority="681" operator="containsText" text="17">
      <formula>NOT(ISERROR(SEARCH("17",AA127)))</formula>
    </cfRule>
    <cfRule type="containsText" dxfId="829" priority="682" operator="containsText" text="T">
      <formula>NOT(ISERROR(SEARCH("T",AA127)))</formula>
    </cfRule>
  </conditionalFormatting>
  <conditionalFormatting sqref="AA182:AK182">
    <cfRule type="containsText" dxfId="828" priority="525" operator="containsText" text="17">
      <formula>NOT(ISERROR(SEARCH("17",AA182)))</formula>
    </cfRule>
    <cfRule type="containsText" dxfId="827" priority="526" operator="containsText" text="T">
      <formula>NOT(ISERROR(SEARCH("T",AA182)))</formula>
    </cfRule>
  </conditionalFormatting>
  <conditionalFormatting sqref="AA183:AU190 AA182:AI182">
    <cfRule type="containsText" dxfId="826" priority="532" operator="containsText" text="17">
      <formula>NOT(ISERROR(SEARCH("17",AA182)))</formula>
    </cfRule>
  </conditionalFormatting>
  <conditionalFormatting sqref="AB67:AB68">
    <cfRule type="containsText" dxfId="825" priority="708" operator="containsText" text="17">
      <formula>NOT(ISERROR(SEARCH("17",AB67)))</formula>
    </cfRule>
    <cfRule type="containsText" dxfId="824" priority="709" operator="containsText" text="T">
      <formula>NOT(ISERROR(SEARCH("T",AB67)))</formula>
    </cfRule>
  </conditionalFormatting>
  <conditionalFormatting sqref="AB76 AF76:AH76 K77:AE82 AH77:AH82">
    <cfRule type="containsText" dxfId="823" priority="754" operator="containsText" text="T">
      <formula>NOT(ISERROR(SEARCH("T",K76)))</formula>
    </cfRule>
  </conditionalFormatting>
  <conditionalFormatting sqref="AB91:AB96">
    <cfRule type="containsText" dxfId="822" priority="520" operator="containsText" text="T">
      <formula>NOT(ISERROR(SEARCH("T",AB91)))</formula>
    </cfRule>
  </conditionalFormatting>
  <conditionalFormatting sqref="AB97:AB98">
    <cfRule type="containsText" dxfId="821" priority="698" operator="containsText" text="17">
      <formula>NOT(ISERROR(SEARCH("17",AB97)))</formula>
    </cfRule>
    <cfRule type="containsText" dxfId="820" priority="699" operator="containsText" text="T">
      <formula>NOT(ISERROR(SEARCH("T",AB97)))</formula>
    </cfRule>
  </conditionalFormatting>
  <conditionalFormatting sqref="AB113">
    <cfRule type="containsText" dxfId="819" priority="769" operator="containsText" text="T">
      <formula>NOT(ISERROR(SEARCH("T",AB113)))</formula>
    </cfRule>
  </conditionalFormatting>
  <conditionalFormatting sqref="AB127:AB130">
    <cfRule type="containsText" dxfId="818" priority="678" operator="containsText" text="17">
      <formula>NOT(ISERROR(SEARCH("17",AB127)))</formula>
    </cfRule>
    <cfRule type="containsText" dxfId="817" priority="679" operator="containsText" text="T">
      <formula>NOT(ISERROR(SEARCH("T",AB127)))</formula>
    </cfRule>
  </conditionalFormatting>
  <conditionalFormatting sqref="AB76:AC76 AF76:AH76 AH77:AH82">
    <cfRule type="containsText" dxfId="816" priority="755" operator="containsText" text="17">
      <formula>NOT(ISERROR(SEARCH("17",AB76)))</formula>
    </cfRule>
  </conditionalFormatting>
  <conditionalFormatting sqref="AB131:AH131">
    <cfRule type="containsText" dxfId="815" priority="669" operator="containsText" text="17">
      <formula>NOT(ISERROR(SEARCH("17",AB131)))</formula>
    </cfRule>
    <cfRule type="containsText" dxfId="814" priority="670" operator="containsText" text="T">
      <formula>NOT(ISERROR(SEARCH("T",AB131)))</formula>
    </cfRule>
  </conditionalFormatting>
  <conditionalFormatting sqref="AB90:AL90">
    <cfRule type="containsText" dxfId="813" priority="512" operator="containsText" text="17">
      <formula>NOT(ISERROR(SEARCH("17",AB90)))</formula>
    </cfRule>
    <cfRule type="containsText" dxfId="812" priority="513" operator="containsText" text="T">
      <formula>NOT(ISERROR(SEARCH("T",AB90)))</formula>
    </cfRule>
  </conditionalFormatting>
  <conditionalFormatting sqref="AB91:AV96 AB90:AJ90">
    <cfRule type="containsText" dxfId="811" priority="519" operator="containsText" text="17">
      <formula>NOT(ISERROR(SEARCH("17",AB90)))</formula>
    </cfRule>
  </conditionalFormatting>
  <conditionalFormatting sqref="AC15:AC20">
    <cfRule type="containsText" dxfId="810" priority="507" operator="containsText" text="T">
      <formula>NOT(ISERROR(SEARCH("T",AC15)))</formula>
    </cfRule>
  </conditionalFormatting>
  <conditionalFormatting sqref="AC76">
    <cfRule type="containsText" dxfId="809" priority="756" operator="containsText" text="T">
      <formula>NOT(ISERROR(SEARCH("T",AC76)))</formula>
    </cfRule>
  </conditionalFormatting>
  <conditionalFormatting sqref="AC106 L107:AF112 AI107:AI112">
    <cfRule type="containsText" dxfId="808" priority="741" operator="containsText" text="T">
      <formula>NOT(ISERROR(SEARCH("T",L106)))</formula>
    </cfRule>
  </conditionalFormatting>
  <conditionalFormatting sqref="AC131">
    <cfRule type="containsText" dxfId="807" priority="665" operator="containsText" text="17">
      <formula>NOT(ISERROR(SEARCH("17",AC131)))</formula>
    </cfRule>
    <cfRule type="containsText" dxfId="806" priority="666" operator="containsText" text="T">
      <formula>NOT(ISERROR(SEARCH("T",AC131)))</formula>
    </cfRule>
  </conditionalFormatting>
  <conditionalFormatting sqref="AC106:AD106 AI107:AI112">
    <cfRule type="containsText" dxfId="805" priority="742" operator="containsText" text="17">
      <formula>NOT(ISERROR(SEARCH("17",AC106)))</formula>
    </cfRule>
  </conditionalFormatting>
  <conditionalFormatting sqref="AC138:AI138">
    <cfRule type="containsText" dxfId="804" priority="656" operator="containsText" text="17">
      <formula>NOT(ISERROR(SEARCH("17",AC138)))</formula>
    </cfRule>
    <cfRule type="containsText" dxfId="803" priority="657" operator="containsText" text="T">
      <formula>NOT(ISERROR(SEARCH("T",AC138)))</formula>
    </cfRule>
  </conditionalFormatting>
  <conditionalFormatting sqref="AC14:AM14">
    <cfRule type="containsText" dxfId="802" priority="499" operator="containsText" text="17">
      <formula>NOT(ISERROR(SEARCH("17",AC14)))</formula>
    </cfRule>
    <cfRule type="containsText" dxfId="801" priority="500" operator="containsText" text="T">
      <formula>NOT(ISERROR(SEARCH("T",AC14)))</formula>
    </cfRule>
  </conditionalFormatting>
  <conditionalFormatting sqref="AC15:AW20 AC14:AK14">
    <cfRule type="containsText" dxfId="800" priority="506" operator="containsText" text="17">
      <formula>NOT(ISERROR(SEARCH("17",AC14)))</formula>
    </cfRule>
  </conditionalFormatting>
  <conditionalFormatting sqref="AD35:AD40">
    <cfRule type="containsText" dxfId="799" priority="494" operator="containsText" text="T">
      <formula>NOT(ISERROR(SEARCH("T",AD35)))</formula>
    </cfRule>
  </conditionalFormatting>
  <conditionalFormatting sqref="AD106">
    <cfRule type="containsText" dxfId="798" priority="743" operator="containsText" text="T">
      <formula>NOT(ISERROR(SEARCH("T",AD106)))</formula>
    </cfRule>
  </conditionalFormatting>
  <conditionalFormatting sqref="AD138">
    <cfRule type="containsText" dxfId="797" priority="652" operator="containsText" text="17">
      <formula>NOT(ISERROR(SEARCH("17",AD138)))</formula>
    </cfRule>
    <cfRule type="containsText" dxfId="796" priority="653" operator="containsText" text="T">
      <formula>NOT(ISERROR(SEARCH("T",AD138)))</formula>
    </cfRule>
  </conditionalFormatting>
  <conditionalFormatting sqref="AD145:AJ145">
    <cfRule type="containsText" dxfId="795" priority="643" operator="containsText" text="17">
      <formula>NOT(ISERROR(SEARCH("17",AD145)))</formula>
    </cfRule>
    <cfRule type="containsText" dxfId="794" priority="644" operator="containsText" text="T">
      <formula>NOT(ISERROR(SEARCH("T",AD145)))</formula>
    </cfRule>
  </conditionalFormatting>
  <conditionalFormatting sqref="AD34:AN34">
    <cfRule type="containsText" dxfId="793" priority="486" operator="containsText" text="17">
      <formula>NOT(ISERROR(SEARCH("17",AD34)))</formula>
    </cfRule>
    <cfRule type="containsText" dxfId="792" priority="487" operator="containsText" text="T">
      <formula>NOT(ISERROR(SEARCH("T",AD34)))</formula>
    </cfRule>
  </conditionalFormatting>
  <conditionalFormatting sqref="AD35:AX40 AD34:AL34">
    <cfRule type="containsText" dxfId="791" priority="493" operator="containsText" text="17">
      <formula>NOT(ISERROR(SEARCH("17",AD34)))</formula>
    </cfRule>
  </conditionalFormatting>
  <conditionalFormatting sqref="AE22:AE27">
    <cfRule type="containsText" dxfId="790" priority="481" operator="containsText" text="T">
      <formula>NOT(ISERROR(SEARCH("T",AE22)))</formula>
    </cfRule>
  </conditionalFormatting>
  <conditionalFormatting sqref="AE69 AI69:AK69 N70:AH75 AK70:AK75">
    <cfRule type="containsText" dxfId="789" priority="728" operator="containsText" text="T">
      <formula>NOT(ISERROR(SEARCH("T",N69)))</formula>
    </cfRule>
  </conditionalFormatting>
  <conditionalFormatting sqref="AE145">
    <cfRule type="containsText" dxfId="788" priority="639" operator="containsText" text="17">
      <formula>NOT(ISERROR(SEARCH("17",AE145)))</formula>
    </cfRule>
    <cfRule type="containsText" dxfId="787" priority="640" operator="containsText" text="T">
      <formula>NOT(ISERROR(SEARCH("T",AE145)))</formula>
    </cfRule>
  </conditionalFormatting>
  <conditionalFormatting sqref="AE69:AF69 AI69:AK69 AK70:AK75">
    <cfRule type="containsText" dxfId="786" priority="729" operator="containsText" text="17">
      <formula>NOT(ISERROR(SEARCH("17",AE69)))</formula>
    </cfRule>
  </conditionalFormatting>
  <conditionalFormatting sqref="AE152:AK152">
    <cfRule type="containsText" dxfId="785" priority="630" operator="containsText" text="17">
      <formula>NOT(ISERROR(SEARCH("17",AE152)))</formula>
    </cfRule>
    <cfRule type="containsText" dxfId="784" priority="631" operator="containsText" text="T">
      <formula>NOT(ISERROR(SEARCH("T",AE152)))</formula>
    </cfRule>
  </conditionalFormatting>
  <conditionalFormatting sqref="AE21:AO21">
    <cfRule type="containsText" dxfId="783" priority="473" operator="containsText" text="17">
      <formula>NOT(ISERROR(SEARCH("17",AE21)))</formula>
    </cfRule>
    <cfRule type="containsText" dxfId="782" priority="474" operator="containsText" text="T">
      <formula>NOT(ISERROR(SEARCH("T",AE21)))</formula>
    </cfRule>
  </conditionalFormatting>
  <conditionalFormatting sqref="AE22:AY27 AE21:AM21">
    <cfRule type="containsText" dxfId="781" priority="480" operator="containsText" text="17">
      <formula>NOT(ISERROR(SEARCH("17",AE21)))</formula>
    </cfRule>
  </conditionalFormatting>
  <conditionalFormatting sqref="AF42:AF47">
    <cfRule type="containsText" dxfId="780" priority="468" operator="containsText" text="T">
      <formula>NOT(ISERROR(SEARCH("T",AF42)))</formula>
    </cfRule>
  </conditionalFormatting>
  <conditionalFormatting sqref="AF69">
    <cfRule type="containsText" dxfId="779" priority="730" operator="containsText" text="T">
      <formula>NOT(ISERROR(SEARCH("T",AF69)))</formula>
    </cfRule>
  </conditionalFormatting>
  <conditionalFormatting sqref="AF99 AJ99:AL99 O100:AI105 AL100:AL105">
    <cfRule type="containsText" dxfId="778" priority="715" operator="containsText" text="T">
      <formula>NOT(ISERROR(SEARCH("T",O99)))</formula>
    </cfRule>
  </conditionalFormatting>
  <conditionalFormatting sqref="AF152">
    <cfRule type="containsText" dxfId="777" priority="626" operator="containsText" text="17">
      <formula>NOT(ISERROR(SEARCH("17",AF152)))</formula>
    </cfRule>
    <cfRule type="containsText" dxfId="776" priority="627" operator="containsText" text="T">
      <formula>NOT(ISERROR(SEARCH("T",AF152)))</formula>
    </cfRule>
  </conditionalFormatting>
  <conditionalFormatting sqref="AF99:AG99 AJ99:AL99 AL100:AL105">
    <cfRule type="containsText" dxfId="775" priority="716" operator="containsText" text="17">
      <formula>NOT(ISERROR(SEARCH("17",AF99)))</formula>
    </cfRule>
  </conditionalFormatting>
  <conditionalFormatting sqref="AF159:AL159">
    <cfRule type="containsText" dxfId="774" priority="617" operator="containsText" text="17">
      <formula>NOT(ISERROR(SEARCH("17",AF159)))</formula>
    </cfRule>
    <cfRule type="containsText" dxfId="773" priority="618" operator="containsText" text="T">
      <formula>NOT(ISERROR(SEARCH("T",AF159)))</formula>
    </cfRule>
  </conditionalFormatting>
  <conditionalFormatting sqref="AF41:AP41">
    <cfRule type="containsText" dxfId="772" priority="460" operator="containsText" text="17">
      <formula>NOT(ISERROR(SEARCH("17",AF41)))</formula>
    </cfRule>
    <cfRule type="containsText" dxfId="771" priority="461" operator="containsText" text="T">
      <formula>NOT(ISERROR(SEARCH("T",AF41)))</formula>
    </cfRule>
  </conditionalFormatting>
  <conditionalFormatting sqref="AF42:AZ47 AF41:AN41">
    <cfRule type="containsText" dxfId="770" priority="467" operator="containsText" text="17">
      <formula>NOT(ISERROR(SEARCH("17",AF41)))</formula>
    </cfRule>
  </conditionalFormatting>
  <conditionalFormatting sqref="AG67:AG68">
    <cfRule type="containsText" dxfId="769" priority="705" operator="containsText" text="T">
      <formula>NOT(ISERROR(SEARCH("T",AG67)))</formula>
    </cfRule>
  </conditionalFormatting>
  <conditionalFormatting sqref="AG97:AG98">
    <cfRule type="containsText" dxfId="768" priority="695" operator="containsText" text="T">
      <formula>NOT(ISERROR(SEARCH("T",AG97)))</formula>
    </cfRule>
  </conditionalFormatting>
  <conditionalFormatting sqref="AG99">
    <cfRule type="containsText" dxfId="767" priority="717" operator="containsText" text="T">
      <formula>NOT(ISERROR(SEARCH("T",AG99)))</formula>
    </cfRule>
  </conditionalFormatting>
  <conditionalFormatting sqref="AG114:AG119">
    <cfRule type="containsText" dxfId="766" priority="777" operator="containsText" text="T">
      <formula>NOT(ISERROR(SEARCH("T",AG114)))</formula>
    </cfRule>
  </conditionalFormatting>
  <conditionalFormatting sqref="AG127:AG130 AK127:AM130">
    <cfRule type="containsText" dxfId="765" priority="675" operator="containsText" text="T">
      <formula>NOT(ISERROR(SEARCH("T",AG127)))</formula>
    </cfRule>
  </conditionalFormatting>
  <conditionalFormatting sqref="AG159">
    <cfRule type="containsText" dxfId="764" priority="613" operator="containsText" text="17">
      <formula>NOT(ISERROR(SEARCH("17",AG159)))</formula>
    </cfRule>
    <cfRule type="containsText" dxfId="763" priority="614" operator="containsText" text="T">
      <formula>NOT(ISERROR(SEARCH("T",AG159)))</formula>
    </cfRule>
  </conditionalFormatting>
  <conditionalFormatting sqref="AG67:AH68">
    <cfRule type="containsText" dxfId="762" priority="706" operator="containsText" text="17">
      <formula>NOT(ISERROR(SEARCH("17",AG67)))</formula>
    </cfRule>
  </conditionalFormatting>
  <conditionalFormatting sqref="AG97:AH98">
    <cfRule type="containsText" dxfId="761" priority="696" operator="containsText" text="17">
      <formula>NOT(ISERROR(SEARCH("17",AG97)))</formula>
    </cfRule>
  </conditionalFormatting>
  <conditionalFormatting sqref="AG127:AH130 AK127:AM130">
    <cfRule type="containsText" dxfId="760" priority="676" operator="containsText" text="17">
      <formula>NOT(ISERROR(SEARCH("17",AG127)))</formula>
    </cfRule>
  </conditionalFormatting>
  <conditionalFormatting sqref="AG207:AM207">
    <cfRule type="containsText" dxfId="759" priority="604" operator="containsText" text="17">
      <formula>NOT(ISERROR(SEARCH("17",AG207)))</formula>
    </cfRule>
    <cfRule type="containsText" dxfId="758" priority="605" operator="containsText" text="T">
      <formula>NOT(ISERROR(SEARCH("T",AG207)))</formula>
    </cfRule>
  </conditionalFormatting>
  <conditionalFormatting sqref="AG28:AO32">
    <cfRule type="containsText" dxfId="757" priority="457" operator="containsText" text="17">
      <formula>NOT(ISERROR(SEARCH("17",AG28)))</formula>
    </cfRule>
  </conditionalFormatting>
  <conditionalFormatting sqref="AG28:AQ32">
    <cfRule type="containsText" dxfId="756" priority="450" operator="containsText" text="17">
      <formula>NOT(ISERROR(SEARCH("17",AG28)))</formula>
    </cfRule>
    <cfRule type="containsText" dxfId="755" priority="451" operator="containsText" text="T">
      <formula>NOT(ISERROR(SEARCH("T",AG28)))</formula>
    </cfRule>
  </conditionalFormatting>
  <conditionalFormatting sqref="AG48:AQ49">
    <cfRule type="containsText" dxfId="754" priority="440" operator="containsText" text="17">
      <formula>NOT(ISERROR(SEARCH("17",AG48)))</formula>
    </cfRule>
  </conditionalFormatting>
  <conditionalFormatting sqref="AG106:AY106">
    <cfRule type="containsText" dxfId="753" priority="278" operator="containsText" text="17">
      <formula>NOT(ISERROR(SEARCH("17",AG106)))</formula>
    </cfRule>
  </conditionalFormatting>
  <conditionalFormatting sqref="AG106:BA106">
    <cfRule type="containsText" dxfId="752" priority="272" operator="containsText" text="T">
      <formula>NOT(ISERROR(SEARCH("T",AG106)))</formula>
    </cfRule>
  </conditionalFormatting>
  <conditionalFormatting sqref="AH67:AH68">
    <cfRule type="containsText" dxfId="751" priority="707" operator="containsText" text="T">
      <formula>NOT(ISERROR(SEARCH("T",AH67)))</formula>
    </cfRule>
  </conditionalFormatting>
  <conditionalFormatting sqref="AH77:AH82">
    <cfRule type="containsText" dxfId="750" priority="764" operator="containsText" text="T">
      <formula>NOT(ISERROR(SEARCH("T",AH77)))</formula>
    </cfRule>
  </conditionalFormatting>
  <conditionalFormatting sqref="AH97:AH98">
    <cfRule type="containsText" dxfId="749" priority="697" operator="containsText" text="T">
      <formula>NOT(ISERROR(SEARCH("T",AH97)))</formula>
    </cfRule>
  </conditionalFormatting>
  <conditionalFormatting sqref="AH127:AH130">
    <cfRule type="containsText" dxfId="748" priority="677" operator="containsText" text="T">
      <formula>NOT(ISERROR(SEARCH("T",AH127)))</formula>
    </cfRule>
  </conditionalFormatting>
  <conditionalFormatting sqref="AH131 AL131:AN131 Q132:AK137 AN132:AN137">
    <cfRule type="containsText" dxfId="747" priority="662" operator="containsText" text="T">
      <formula>NOT(ISERROR(SEARCH("T",Q131)))</formula>
    </cfRule>
  </conditionalFormatting>
  <conditionalFormatting sqref="AH207">
    <cfRule type="containsText" dxfId="746" priority="600" operator="containsText" text="17">
      <formula>NOT(ISERROR(SEARCH("17",AH207)))</formula>
    </cfRule>
    <cfRule type="containsText" dxfId="745" priority="601" operator="containsText" text="T">
      <formula>NOT(ISERROR(SEARCH("T",AH207)))</formula>
    </cfRule>
  </conditionalFormatting>
  <conditionalFormatting sqref="AH131:AI131 AL131:AN131 AN132:AN137">
    <cfRule type="containsText" dxfId="744" priority="663" operator="containsText" text="17">
      <formula>NOT(ISERROR(SEARCH("17",AH131)))</formula>
    </cfRule>
  </conditionalFormatting>
  <conditionalFormatting sqref="AH200:AN200">
    <cfRule type="containsText" dxfId="743" priority="591" operator="containsText" text="17">
      <formula>NOT(ISERROR(SEARCH("17",AH200)))</formula>
    </cfRule>
    <cfRule type="containsText" dxfId="742" priority="592" operator="containsText" text="T">
      <formula>NOT(ISERROR(SEARCH("T",AH200)))</formula>
    </cfRule>
  </conditionalFormatting>
  <conditionalFormatting sqref="AH50:AP53">
    <cfRule type="containsText" dxfId="741" priority="437" operator="containsText" text="17">
      <formula>NOT(ISERROR(SEARCH("17",AH50)))</formula>
    </cfRule>
  </conditionalFormatting>
  <conditionalFormatting sqref="AH50:AR53">
    <cfRule type="containsText" dxfId="740" priority="430" operator="containsText" text="17">
      <formula>NOT(ISERROR(SEARCH("17",AH50)))</formula>
    </cfRule>
  </conditionalFormatting>
  <conditionalFormatting sqref="AH63:AR66">
    <cfRule type="containsText" dxfId="739" priority="420" operator="containsText" text="17">
      <formula>NOT(ISERROR(SEARCH("17",AH63)))</formula>
    </cfRule>
  </conditionalFormatting>
  <conditionalFormatting sqref="AH113:AU116">
    <cfRule type="containsText" dxfId="738" priority="343" operator="containsText" text="17">
      <formula>NOT(ISERROR(SEARCH("17",AH113)))</formula>
    </cfRule>
  </conditionalFormatting>
  <conditionalFormatting sqref="AH117:AV119">
    <cfRule type="containsText" dxfId="737" priority="333" operator="containsText" text="17">
      <formula>NOT(ISERROR(SEARCH("17",AH117)))</formula>
    </cfRule>
  </conditionalFormatting>
  <conditionalFormatting sqref="AH113:AW116">
    <cfRule type="containsText" dxfId="736" priority="337" operator="containsText" text="T">
      <formula>NOT(ISERROR(SEARCH("T",AH113)))</formula>
    </cfRule>
  </conditionalFormatting>
  <conditionalFormatting sqref="AH117:AX119">
    <cfRule type="containsText" dxfId="735" priority="327" operator="containsText" text="T">
      <formula>NOT(ISERROR(SEARCH("T",AH117)))</formula>
    </cfRule>
  </conditionalFormatting>
  <conditionalFormatting sqref="AI131">
    <cfRule type="containsText" dxfId="734" priority="664" operator="containsText" text="T">
      <formula>NOT(ISERROR(SEARCH("T",AI131)))</formula>
    </cfRule>
  </conditionalFormatting>
  <conditionalFormatting sqref="AI138 AM138:AO138 R139:AL144 AO139:AO144">
    <cfRule type="containsText" dxfId="733" priority="649" operator="containsText" text="T">
      <formula>NOT(ISERROR(SEARCH("T",R138)))</formula>
    </cfRule>
  </conditionalFormatting>
  <conditionalFormatting sqref="AI200">
    <cfRule type="containsText" dxfId="732" priority="587" operator="containsText" text="17">
      <formula>NOT(ISERROR(SEARCH("17",AI200)))</formula>
    </cfRule>
    <cfRule type="containsText" dxfId="731" priority="588" operator="containsText" text="T">
      <formula>NOT(ISERROR(SEARCH("T",AI200)))</formula>
    </cfRule>
  </conditionalFormatting>
  <conditionalFormatting sqref="AI138:AJ138 AM138:AO138 AO139:AO144">
    <cfRule type="containsText" dxfId="730" priority="650" operator="containsText" text="17">
      <formula>NOT(ISERROR(SEARCH("17",AI138)))</formula>
    </cfRule>
  </conditionalFormatting>
  <conditionalFormatting sqref="AI107:AO112">
    <cfRule type="containsText" dxfId="729" priority="751" operator="containsText" text="T">
      <formula>NOT(ISERROR(SEARCH("T",AI107)))</formula>
    </cfRule>
  </conditionalFormatting>
  <conditionalFormatting sqref="AI192:AO192">
    <cfRule type="containsText" dxfId="728" priority="568" operator="containsText" text="T">
      <formula>NOT(ISERROR(SEARCH("T",AI192)))</formula>
    </cfRule>
  </conditionalFormatting>
  <conditionalFormatting sqref="AI193:AO193">
    <cfRule type="containsText" dxfId="727" priority="578" operator="containsText" text="17">
      <formula>NOT(ISERROR(SEARCH("17",AI193)))</formula>
    </cfRule>
    <cfRule type="containsText" dxfId="726" priority="579" operator="containsText" text="T">
      <formula>NOT(ISERROR(SEARCH("T",AI193)))</formula>
    </cfRule>
  </conditionalFormatting>
  <conditionalFormatting sqref="AI192:AP192 AS192:AU192">
    <cfRule type="containsText" dxfId="725" priority="566" operator="containsText" text="17">
      <formula>NOT(ISERROR(SEARCH("17",AI192)))</formula>
    </cfRule>
  </conditionalFormatting>
  <conditionalFormatting sqref="AI59:AS62">
    <cfRule type="containsText" dxfId="724" priority="406" operator="containsText" text="17">
      <formula>NOT(ISERROR(SEARCH("17",AI59)))</formula>
    </cfRule>
  </conditionalFormatting>
  <conditionalFormatting sqref="AI86:AS89">
    <cfRule type="containsText" dxfId="723" priority="396" operator="containsText" text="17">
      <formula>NOT(ISERROR(SEARCH("17",AI86)))</formula>
    </cfRule>
  </conditionalFormatting>
  <conditionalFormatting sqref="AI79:AV82">
    <cfRule type="containsText" dxfId="722" priority="323" operator="containsText" text="17">
      <formula>NOT(ISERROR(SEARCH("17",AI79)))</formula>
    </cfRule>
  </conditionalFormatting>
  <conditionalFormatting sqref="AI76:AX78">
    <cfRule type="containsText" dxfId="721" priority="298" operator="containsText" text="17">
      <formula>NOT(ISERROR(SEARCH("17",AI76)))</formula>
    </cfRule>
  </conditionalFormatting>
  <conditionalFormatting sqref="AI79:AX82">
    <cfRule type="containsText" dxfId="720" priority="317" operator="containsText" text="T">
      <formula>NOT(ISERROR(SEARCH("T",AI79)))</formula>
    </cfRule>
  </conditionalFormatting>
  <conditionalFormatting sqref="AI76:AZ78">
    <cfRule type="containsText" dxfId="719" priority="292" operator="containsText" text="T">
      <formula>NOT(ISERROR(SEARCH("T",AI76)))</formula>
    </cfRule>
  </conditionalFormatting>
  <conditionalFormatting sqref="AJ120:AJ126">
    <cfRule type="containsText" dxfId="718" priority="312" operator="containsText" text="17">
      <formula>NOT(ISERROR(SEARCH("17",AJ120)))</formula>
    </cfRule>
    <cfRule type="containsText" dxfId="717" priority="315" operator="containsText" text="T">
      <formula>NOT(ISERROR(SEARCH("T",AJ120)))</formula>
    </cfRule>
  </conditionalFormatting>
  <conditionalFormatting sqref="AJ138">
    <cfRule type="containsText" dxfId="716" priority="651" operator="containsText" text="T">
      <formula>NOT(ISERROR(SEARCH("T",AJ138)))</formula>
    </cfRule>
  </conditionalFormatting>
  <conditionalFormatting sqref="AJ145 AN145:AP145 S146:AM151 AP146:AP151">
    <cfRule type="containsText" dxfId="715" priority="636" operator="containsText" text="T">
      <formula>NOT(ISERROR(SEARCH("T",S145)))</formula>
    </cfRule>
  </conditionalFormatting>
  <conditionalFormatting sqref="AJ192:AJ193">
    <cfRule type="containsText" dxfId="714" priority="574" operator="containsText" text="17">
      <formula>NOT(ISERROR(SEARCH("17",AJ192)))</formula>
    </cfRule>
    <cfRule type="containsText" dxfId="713" priority="575" operator="containsText" text="T">
      <formula>NOT(ISERROR(SEARCH("T",AJ192)))</formula>
    </cfRule>
  </conditionalFormatting>
  <conditionalFormatting sqref="AJ145:AK145 AN145:AP145 AP146:AP151">
    <cfRule type="containsText" dxfId="712" priority="637" operator="containsText" text="17">
      <formula>NOT(ISERROR(SEARCH("17",AJ145)))</formula>
    </cfRule>
  </conditionalFormatting>
  <conditionalFormatting sqref="AJ168:AP168">
    <cfRule type="containsText" dxfId="711" priority="560" operator="containsText" text="17">
      <formula>NOT(ISERROR(SEARCH("17",AJ168)))</formula>
    </cfRule>
    <cfRule type="containsText" dxfId="710" priority="561" operator="containsText" text="T">
      <formula>NOT(ISERROR(SEARCH("T",AJ168)))</formula>
    </cfRule>
  </conditionalFormatting>
  <conditionalFormatting sqref="AJ83:AT85">
    <cfRule type="containsText" dxfId="709" priority="386" operator="containsText" text="17">
      <formula>NOT(ISERROR(SEARCH("17",AJ83)))</formula>
    </cfRule>
  </conditionalFormatting>
  <conditionalFormatting sqref="AJ214:AT217">
    <cfRule type="containsText" dxfId="708" priority="376" operator="containsText" text="17">
      <formula>NOT(ISERROR(SEARCH("17",AJ214)))</formula>
    </cfRule>
  </conditionalFormatting>
  <conditionalFormatting sqref="AK70:AK75">
    <cfRule type="containsText" dxfId="707" priority="738" operator="containsText" text="T">
      <formula>NOT(ISERROR(SEARCH("T",AK70)))</formula>
    </cfRule>
  </conditionalFormatting>
  <conditionalFormatting sqref="AK129:AK130 P127:X130">
    <cfRule type="containsText" dxfId="706" priority="680" operator="containsText" text="17">
      <formula>NOT(ISERROR(SEARCH("17",P127)))</formula>
    </cfRule>
  </conditionalFormatting>
  <conditionalFormatting sqref="AK145">
    <cfRule type="containsText" dxfId="705" priority="638" operator="containsText" text="T">
      <formula>NOT(ISERROR(SEARCH("T",AK145)))</formula>
    </cfRule>
  </conditionalFormatting>
  <conditionalFormatting sqref="AK152 AO152:AQ152 T153:AN158 AQ153:AQ158">
    <cfRule type="containsText" dxfId="704" priority="623" operator="containsText" text="T">
      <formula>NOT(ISERROR(SEARCH("T",T152)))</formula>
    </cfRule>
  </conditionalFormatting>
  <conditionalFormatting sqref="AK168">
    <cfRule type="containsText" dxfId="703" priority="556" operator="containsText" text="17">
      <formula>NOT(ISERROR(SEARCH("17",AK168)))</formula>
    </cfRule>
    <cfRule type="containsText" dxfId="702" priority="557" operator="containsText" text="T">
      <formula>NOT(ISERROR(SEARCH("T",AK168)))</formula>
    </cfRule>
  </conditionalFormatting>
  <conditionalFormatting sqref="AK152:AL152 AO152:AQ152 AQ153:AQ158">
    <cfRule type="containsText" dxfId="701" priority="624" operator="containsText" text="17">
      <formula>NOT(ISERROR(SEARCH("17",AK152)))</formula>
    </cfRule>
  </conditionalFormatting>
  <conditionalFormatting sqref="AK175:AQ175">
    <cfRule type="containsText" dxfId="700" priority="547" operator="containsText" text="17">
      <formula>NOT(ISERROR(SEARCH("17",AK175)))</formula>
    </cfRule>
    <cfRule type="containsText" dxfId="699" priority="548" operator="containsText" text="T">
      <formula>NOT(ISERROR(SEARCH("T",AK175)))</formula>
    </cfRule>
  </conditionalFormatting>
  <conditionalFormatting sqref="AK218:AU224">
    <cfRule type="containsText" dxfId="698" priority="366" operator="containsText" text="17">
      <formula>NOT(ISERROR(SEARCH("17",AK218)))</formula>
    </cfRule>
  </conditionalFormatting>
  <conditionalFormatting sqref="AK120:AY120">
    <cfRule type="containsText" dxfId="697" priority="258" operator="containsText" text="17">
      <formula>NOT(ISERROR(SEARCH("17",AK120)))</formula>
    </cfRule>
  </conditionalFormatting>
  <conditionalFormatting sqref="AK122:AY122">
    <cfRule type="containsText" dxfId="696" priority="248" operator="containsText" text="17">
      <formula>NOT(ISERROR(SEARCH("17",AK122)))</formula>
    </cfRule>
  </conditionalFormatting>
  <conditionalFormatting sqref="AK124:AY126">
    <cfRule type="containsText" dxfId="695" priority="268" operator="containsText" text="17">
      <formula>NOT(ISERROR(SEARCH("17",AK124)))</formula>
    </cfRule>
  </conditionalFormatting>
  <conditionalFormatting sqref="AK121:AZ121">
    <cfRule type="containsText" dxfId="694" priority="228" operator="containsText" text="17">
      <formula>NOT(ISERROR(SEARCH("17",AK121)))</formula>
    </cfRule>
  </conditionalFormatting>
  <conditionalFormatting sqref="AK123:AZ123">
    <cfRule type="containsText" dxfId="693" priority="218" operator="containsText" text="17">
      <formula>NOT(ISERROR(SEARCH("17",AK123)))</formula>
    </cfRule>
  </conditionalFormatting>
  <conditionalFormatting sqref="AK67:BA68">
    <cfRule type="containsText" dxfId="692" priority="178" operator="containsText" text="17">
      <formula>NOT(ISERROR(SEARCH("17",AK67)))</formula>
    </cfRule>
  </conditionalFormatting>
  <conditionalFormatting sqref="AK120:BA120">
    <cfRule type="containsText" dxfId="691" priority="252" operator="containsText" text="T">
      <formula>NOT(ISERROR(SEARCH("T",AK120)))</formula>
    </cfRule>
  </conditionalFormatting>
  <conditionalFormatting sqref="AK122:BA122">
    <cfRule type="containsText" dxfId="690" priority="242" operator="containsText" text="T">
      <formula>NOT(ISERROR(SEARCH("T",AK122)))</formula>
    </cfRule>
  </conditionalFormatting>
  <conditionalFormatting sqref="AK124:BA126">
    <cfRule type="containsText" dxfId="689" priority="262" operator="containsText" text="T">
      <formula>NOT(ISERROR(SEARCH("T",AK124)))</formula>
    </cfRule>
  </conditionalFormatting>
  <conditionalFormatting sqref="AK97:BB98">
    <cfRule type="containsText" dxfId="688" priority="168" operator="containsText" text="17">
      <formula>NOT(ISERROR(SEARCH("17",AK97)))</formula>
    </cfRule>
  </conditionalFormatting>
  <conditionalFormatting sqref="AK121:BB121">
    <cfRule type="containsText" dxfId="687" priority="222" operator="containsText" text="T">
      <formula>NOT(ISERROR(SEARCH("T",AK121)))</formula>
    </cfRule>
  </conditionalFormatting>
  <conditionalFormatting sqref="AK123:BB123">
    <cfRule type="containsText" dxfId="686" priority="212" operator="containsText" text="T">
      <formula>NOT(ISERROR(SEARCH("T",AK123)))</formula>
    </cfRule>
  </conditionalFormatting>
  <conditionalFormatting sqref="AK67:BC68">
    <cfRule type="containsText" dxfId="685" priority="172" operator="containsText" text="T">
      <formula>NOT(ISERROR(SEARCH("T",AK67)))</formula>
    </cfRule>
  </conditionalFormatting>
  <conditionalFormatting sqref="AK97:BD98">
    <cfRule type="containsText" dxfId="684" priority="162" operator="containsText" text="T">
      <formula>NOT(ISERROR(SEARCH("T",AK97)))</formula>
    </cfRule>
  </conditionalFormatting>
  <conditionalFormatting sqref="AL100:AL105">
    <cfRule type="containsText" dxfId="683" priority="725" operator="containsText" text="T">
      <formula>NOT(ISERROR(SEARCH("T",AL100)))</formula>
    </cfRule>
  </conditionalFormatting>
  <conditionalFormatting sqref="AL152">
    <cfRule type="containsText" dxfId="682" priority="625" operator="containsText" text="T">
      <formula>NOT(ISERROR(SEARCH("T",AL152)))</formula>
    </cfRule>
  </conditionalFormatting>
  <conditionalFormatting sqref="AL159 AP159:AR159 U160:AO165 AR160:AR165">
    <cfRule type="containsText" dxfId="681" priority="610" operator="containsText" text="T">
      <formula>NOT(ISERROR(SEARCH("T",U159)))</formula>
    </cfRule>
  </conditionalFormatting>
  <conditionalFormatting sqref="AL175">
    <cfRule type="containsText" dxfId="680" priority="543" operator="containsText" text="17">
      <formula>NOT(ISERROR(SEARCH("17",AL175)))</formula>
    </cfRule>
    <cfRule type="containsText" dxfId="679" priority="544" operator="containsText" text="T">
      <formula>NOT(ISERROR(SEARCH("T",AL175)))</formula>
    </cfRule>
  </conditionalFormatting>
  <conditionalFormatting sqref="AL159:AM159 AP159:AR159 AR160:AR165">
    <cfRule type="containsText" dxfId="678" priority="611" operator="containsText" text="17">
      <formula>NOT(ISERROR(SEARCH("17",AL159)))</formula>
    </cfRule>
  </conditionalFormatting>
  <conditionalFormatting sqref="AL182:AR182">
    <cfRule type="containsText" dxfId="677" priority="534" operator="containsText" text="17">
      <formula>NOT(ISERROR(SEARCH("17",AL182)))</formula>
    </cfRule>
    <cfRule type="containsText" dxfId="676" priority="535" operator="containsText" text="T">
      <formula>NOT(ISERROR(SEARCH("T",AL182)))</formula>
    </cfRule>
  </conditionalFormatting>
  <conditionalFormatting sqref="AL225:AV231">
    <cfRule type="containsText" dxfId="675" priority="356" operator="containsText" text="17">
      <formula>NOT(ISERROR(SEARCH("17",AL225)))</formula>
    </cfRule>
  </conditionalFormatting>
  <conditionalFormatting sqref="AL72:AY75">
    <cfRule type="containsText" dxfId="674" priority="288" operator="containsText" text="17">
      <formula>NOT(ISERROR(SEARCH("17",AL72)))</formula>
    </cfRule>
  </conditionalFormatting>
  <conditionalFormatting sqref="AL69:AZ71">
    <cfRule type="containsText" dxfId="673" priority="208" operator="containsText" text="17">
      <formula>NOT(ISERROR(SEARCH("17",AL69)))</formula>
    </cfRule>
  </conditionalFormatting>
  <conditionalFormatting sqref="AL72:BA75">
    <cfRule type="containsText" dxfId="672" priority="282" operator="containsText" text="T">
      <formula>NOT(ISERROR(SEARCH("T",AL72)))</formula>
    </cfRule>
  </conditionalFormatting>
  <conditionalFormatting sqref="AL69:BB71">
    <cfRule type="containsText" dxfId="671" priority="202" operator="containsText" text="T">
      <formula>NOT(ISERROR(SEARCH("T",AL69)))</formula>
    </cfRule>
  </conditionalFormatting>
  <conditionalFormatting sqref="AM159">
    <cfRule type="containsText" dxfId="670" priority="612" operator="containsText" text="T">
      <formula>NOT(ISERROR(SEARCH("T",AM159)))</formula>
    </cfRule>
  </conditionalFormatting>
  <conditionalFormatting sqref="AM182">
    <cfRule type="containsText" dxfId="669" priority="530" operator="containsText" text="17">
      <formula>NOT(ISERROR(SEARCH("17",AM182)))</formula>
    </cfRule>
    <cfRule type="containsText" dxfId="668" priority="531" operator="containsText" text="T">
      <formula>NOT(ISERROR(SEARCH("T",AM182)))</formula>
    </cfRule>
  </conditionalFormatting>
  <conditionalFormatting sqref="AM207 AQ207:AS207 V208:AP213 AS208:AS213">
    <cfRule type="containsText" dxfId="667" priority="597" operator="containsText" text="T">
      <formula>NOT(ISERROR(SEARCH("T",V207)))</formula>
    </cfRule>
  </conditionalFormatting>
  <conditionalFormatting sqref="AM207:AN207 AQ207:AS207 AS208:AS213">
    <cfRule type="containsText" dxfId="666" priority="598" operator="containsText" text="17">
      <formula>NOT(ISERROR(SEARCH("17",AM207)))</formula>
    </cfRule>
  </conditionalFormatting>
  <conditionalFormatting sqref="AM90:AS90">
    <cfRule type="containsText" dxfId="665" priority="521" operator="containsText" text="17">
      <formula>NOT(ISERROR(SEARCH("17",AM90)))</formula>
    </cfRule>
    <cfRule type="containsText" dxfId="664" priority="522" operator="containsText" text="T">
      <formula>NOT(ISERROR(SEARCH("T",AM90)))</formula>
    </cfRule>
  </conditionalFormatting>
  <conditionalFormatting sqref="AM113:AW116">
    <cfRule type="containsText" dxfId="663" priority="336" operator="containsText" text="17">
      <formula>NOT(ISERROR(SEARCH("17",AM113)))</formula>
    </cfRule>
  </conditionalFormatting>
  <conditionalFormatting sqref="AM232:AW234">
    <cfRule type="containsText" dxfId="662" priority="346" operator="containsText" text="17">
      <formula>NOT(ISERROR(SEARCH("17",AM232)))</formula>
    </cfRule>
  </conditionalFormatting>
  <conditionalFormatting sqref="AM103:AZ104">
    <cfRule type="containsText" dxfId="661" priority="238" operator="containsText" text="17">
      <formula>NOT(ISERROR(SEARCH("17",AM103)))</formula>
    </cfRule>
  </conditionalFormatting>
  <conditionalFormatting sqref="AM99:BA102">
    <cfRule type="containsText" dxfId="660" priority="198" operator="containsText" text="17">
      <formula>NOT(ISERROR(SEARCH("17",AM99)))</formula>
    </cfRule>
  </conditionalFormatting>
  <conditionalFormatting sqref="AM105:BA105">
    <cfRule type="containsText" dxfId="659" priority="188" operator="containsText" text="17">
      <formula>NOT(ISERROR(SEARCH("17",AM105)))</formula>
    </cfRule>
  </conditionalFormatting>
  <conditionalFormatting sqref="AM103:BB104">
    <cfRule type="containsText" dxfId="658" priority="232" operator="containsText" text="T">
      <formula>NOT(ISERROR(SEARCH("T",AM103)))</formula>
    </cfRule>
  </conditionalFormatting>
  <conditionalFormatting sqref="AM99:BC102">
    <cfRule type="containsText" dxfId="657" priority="192" operator="containsText" text="T">
      <formula>NOT(ISERROR(SEARCH("T",AM99)))</formula>
    </cfRule>
  </conditionalFormatting>
  <conditionalFormatting sqref="AM105:BC105">
    <cfRule type="containsText" dxfId="656" priority="182" operator="containsText" text="T">
      <formula>NOT(ISERROR(SEARCH("T",AM105)))</formula>
    </cfRule>
  </conditionalFormatting>
  <conditionalFormatting sqref="AN90">
    <cfRule type="containsText" dxfId="655" priority="517" operator="containsText" text="17">
      <formula>NOT(ISERROR(SEARCH("17",AN90)))</formula>
    </cfRule>
    <cfRule type="containsText" dxfId="654" priority="518" operator="containsText" text="T">
      <formula>NOT(ISERROR(SEARCH("T",AN90)))</formula>
    </cfRule>
  </conditionalFormatting>
  <conditionalFormatting sqref="AN132:AN137">
    <cfRule type="containsText" dxfId="653" priority="672" operator="containsText" text="T">
      <formula>NOT(ISERROR(SEARCH("T",AN132)))</formula>
    </cfRule>
  </conditionalFormatting>
  <conditionalFormatting sqref="AN200 AR200:AT200 W201:AQ206 AT201:AT206">
    <cfRule type="containsText" dxfId="652" priority="584" operator="containsText" text="T">
      <formula>NOT(ISERROR(SEARCH("T",W200)))</formula>
    </cfRule>
  </conditionalFormatting>
  <conditionalFormatting sqref="AN207">
    <cfRule type="containsText" dxfId="651" priority="599" operator="containsText" text="T">
      <formula>NOT(ISERROR(SEARCH("T",AN207)))</formula>
    </cfRule>
  </conditionalFormatting>
  <conditionalFormatting sqref="AN200:AO200 AR200:AT200 AT201:AT206">
    <cfRule type="containsText" dxfId="650" priority="585" operator="containsText" text="17">
      <formula>NOT(ISERROR(SEARCH("17",AN200)))</formula>
    </cfRule>
  </conditionalFormatting>
  <conditionalFormatting sqref="AN14:AT14">
    <cfRule type="containsText" dxfId="649" priority="508" operator="containsText" text="17">
      <formula>NOT(ISERROR(SEARCH("17",AN14)))</formula>
    </cfRule>
    <cfRule type="containsText" dxfId="648" priority="509" operator="containsText" text="T">
      <formula>NOT(ISERROR(SEARCH("T",AN14)))</formula>
    </cfRule>
  </conditionalFormatting>
  <conditionalFormatting sqref="AN79:AX82">
    <cfRule type="containsText" dxfId="647" priority="316" operator="containsText" text="17">
      <formula>NOT(ISERROR(SEARCH("17",AN79)))</formula>
    </cfRule>
  </conditionalFormatting>
  <conditionalFormatting sqref="AN117:AX119">
    <cfRule type="containsText" dxfId="646" priority="326" operator="containsText" text="17">
      <formula>NOT(ISERROR(SEARCH("17",AN117)))</formula>
    </cfRule>
  </conditionalFormatting>
  <conditionalFormatting sqref="AO14">
    <cfRule type="containsText" dxfId="645" priority="504" operator="containsText" text="17">
      <formula>NOT(ISERROR(SEARCH("17",AO14)))</formula>
    </cfRule>
    <cfRule type="containsText" dxfId="644" priority="505" operator="containsText" text="T">
      <formula>NOT(ISERROR(SEARCH("T",AO14)))</formula>
    </cfRule>
  </conditionalFormatting>
  <conditionalFormatting sqref="AO139:AO144">
    <cfRule type="containsText" dxfId="643" priority="659" operator="containsText" text="T">
      <formula>NOT(ISERROR(SEARCH("T",AO139)))</formula>
    </cfRule>
  </conditionalFormatting>
  <conditionalFormatting sqref="AO192:AO193 AS192:AU193 X194:AR199 AU194:AU199">
    <cfRule type="containsText" dxfId="642" priority="571" operator="containsText" text="T">
      <formula>NOT(ISERROR(SEARCH("T",X192)))</formula>
    </cfRule>
  </conditionalFormatting>
  <conditionalFormatting sqref="AO200">
    <cfRule type="containsText" dxfId="641" priority="586" operator="containsText" text="T">
      <formula>NOT(ISERROR(SEARCH("T",AO200)))</formula>
    </cfRule>
  </conditionalFormatting>
  <conditionalFormatting sqref="AO193:AP193 AS193:AU193 AU194:AU199">
    <cfRule type="containsText" dxfId="640" priority="572" operator="containsText" text="17">
      <formula>NOT(ISERROR(SEARCH("17",AO193)))</formula>
    </cfRule>
  </conditionalFormatting>
  <conditionalFormatting sqref="AO34:AU34">
    <cfRule type="containsText" dxfId="639" priority="495" operator="containsText" text="17">
      <formula>NOT(ISERROR(SEARCH("17",AO34)))</formula>
    </cfRule>
    <cfRule type="containsText" dxfId="638" priority="496" operator="containsText" text="T">
      <formula>NOT(ISERROR(SEARCH("T",AO34)))</formula>
    </cfRule>
  </conditionalFormatting>
  <conditionalFormatting sqref="AO131:BB137">
    <cfRule type="containsText" dxfId="637" priority="158" operator="containsText" text="17">
      <formula>NOT(ISERROR(SEARCH("17",AO131)))</formula>
    </cfRule>
  </conditionalFormatting>
  <conditionalFormatting sqref="AO131:BD137">
    <cfRule type="containsText" dxfId="636" priority="152" operator="containsText" text="T">
      <formula>NOT(ISERROR(SEARCH("T",AO131)))</formula>
    </cfRule>
  </conditionalFormatting>
  <conditionalFormatting sqref="AP34">
    <cfRule type="containsText" dxfId="635" priority="491" operator="containsText" text="17">
      <formula>NOT(ISERROR(SEARCH("17",AP34)))</formula>
    </cfRule>
    <cfRule type="containsText" dxfId="634" priority="492" operator="containsText" text="T">
      <formula>NOT(ISERROR(SEARCH("T",AP34)))</formula>
    </cfRule>
  </conditionalFormatting>
  <conditionalFormatting sqref="AP146:AP151">
    <cfRule type="containsText" dxfId="633" priority="646" operator="containsText" text="T">
      <formula>NOT(ISERROR(SEARCH("T",AP146)))</formula>
    </cfRule>
  </conditionalFormatting>
  <conditionalFormatting sqref="AP168 AT168:AV168 Y169:AS174 AV169:AV174">
    <cfRule type="containsText" dxfId="632" priority="553" operator="containsText" text="T">
      <formula>NOT(ISERROR(SEARCH("T",Y168)))</formula>
    </cfRule>
  </conditionalFormatting>
  <conditionalFormatting sqref="AP192:AP193">
    <cfRule type="containsText" dxfId="631" priority="573" operator="containsText" text="T">
      <formula>NOT(ISERROR(SEARCH("T",AP192)))</formula>
    </cfRule>
  </conditionalFormatting>
  <conditionalFormatting sqref="AP168:AQ168 AT168:AV168 AV169:AV174">
    <cfRule type="containsText" dxfId="630" priority="554" operator="containsText" text="17">
      <formula>NOT(ISERROR(SEARCH("17",AP168)))</formula>
    </cfRule>
  </conditionalFormatting>
  <conditionalFormatting sqref="AP21:AV21">
    <cfRule type="containsText" dxfId="629" priority="482" operator="containsText" text="17">
      <formula>NOT(ISERROR(SEARCH("17",AP21)))</formula>
    </cfRule>
    <cfRule type="containsText" dxfId="628" priority="483" operator="containsText" text="T">
      <formula>NOT(ISERROR(SEARCH("T",AP21)))</formula>
    </cfRule>
  </conditionalFormatting>
  <conditionalFormatting sqref="AP107:AX112">
    <cfRule type="containsText" dxfId="627" priority="308" operator="containsText" text="17">
      <formula>NOT(ISERROR(SEARCH("17",AP107)))</formula>
    </cfRule>
  </conditionalFormatting>
  <conditionalFormatting sqref="AP76:AZ78">
    <cfRule type="containsText" dxfId="626" priority="291" operator="containsText" text="17">
      <formula>NOT(ISERROR(SEARCH("17",AP76)))</formula>
    </cfRule>
  </conditionalFormatting>
  <conditionalFormatting sqref="AP107:AZ112">
    <cfRule type="containsText" dxfId="625" priority="301" operator="containsText" text="17">
      <formula>NOT(ISERROR(SEARCH("17",AP107)))</formula>
    </cfRule>
    <cfRule type="containsText" dxfId="624" priority="302" operator="containsText" text="T">
      <formula>NOT(ISERROR(SEARCH("T",AP107)))</formula>
    </cfRule>
  </conditionalFormatting>
  <conditionalFormatting sqref="AP138:BC144">
    <cfRule type="containsText" dxfId="623" priority="148" operator="containsText" text="17">
      <formula>NOT(ISERROR(SEARCH("17",AP138)))</formula>
    </cfRule>
  </conditionalFormatting>
  <conditionalFormatting sqref="AP138:BE144">
    <cfRule type="containsText" dxfId="622" priority="142" operator="containsText" text="T">
      <formula>NOT(ISERROR(SEARCH("T",AP138)))</formula>
    </cfRule>
  </conditionalFormatting>
  <conditionalFormatting sqref="AQ21">
    <cfRule type="containsText" dxfId="621" priority="478" operator="containsText" text="17">
      <formula>NOT(ISERROR(SEARCH("17",AQ21)))</formula>
    </cfRule>
    <cfRule type="containsText" dxfId="620" priority="479" operator="containsText" text="T">
      <formula>NOT(ISERROR(SEARCH("T",AQ21)))</formula>
    </cfRule>
  </conditionalFormatting>
  <conditionalFormatting sqref="AQ153:AQ158">
    <cfRule type="containsText" dxfId="619" priority="633" operator="containsText" text="T">
      <formula>NOT(ISERROR(SEARCH("T",AQ153)))</formula>
    </cfRule>
  </conditionalFormatting>
  <conditionalFormatting sqref="AQ168">
    <cfRule type="containsText" dxfId="618" priority="555" operator="containsText" text="T">
      <formula>NOT(ISERROR(SEARCH("T",AQ168)))</formula>
    </cfRule>
  </conditionalFormatting>
  <conditionalFormatting sqref="AQ175 AU175:AW175 Z176:AT181 AW176:AW181">
    <cfRule type="containsText" dxfId="617" priority="540" operator="containsText" text="T">
      <formula>NOT(ISERROR(SEARCH("T",Z175)))</formula>
    </cfRule>
  </conditionalFormatting>
  <conditionalFormatting sqref="AQ175:AR175 AU175:AW175 AW176:AW181">
    <cfRule type="containsText" dxfId="616" priority="541" operator="containsText" text="17">
      <formula>NOT(ISERROR(SEARCH("17",AQ175)))</formula>
    </cfRule>
  </conditionalFormatting>
  <conditionalFormatting sqref="AQ41:AW41">
    <cfRule type="containsText" dxfId="615" priority="469" operator="containsText" text="17">
      <formula>NOT(ISERROR(SEARCH("17",AQ41)))</formula>
    </cfRule>
    <cfRule type="containsText" dxfId="614" priority="470" operator="containsText" text="T">
      <formula>NOT(ISERROR(SEARCH("T",AQ41)))</formula>
    </cfRule>
  </conditionalFormatting>
  <conditionalFormatting sqref="AQ72:BA75">
    <cfRule type="containsText" dxfId="613" priority="281" operator="containsText" text="17">
      <formula>NOT(ISERROR(SEARCH("17",AQ72)))</formula>
    </cfRule>
  </conditionalFormatting>
  <conditionalFormatting sqref="AQ106:BA106">
    <cfRule type="containsText" dxfId="612" priority="271" operator="containsText" text="17">
      <formula>NOT(ISERROR(SEARCH("17",AQ106)))</formula>
    </cfRule>
  </conditionalFormatting>
  <conditionalFormatting sqref="AQ120:BA120">
    <cfRule type="containsText" dxfId="611" priority="251" operator="containsText" text="17">
      <formula>NOT(ISERROR(SEARCH("17",AQ120)))</formula>
    </cfRule>
  </conditionalFormatting>
  <conditionalFormatting sqref="AQ122:BA122">
    <cfRule type="containsText" dxfId="610" priority="241" operator="containsText" text="17">
      <formula>NOT(ISERROR(SEARCH("17",AQ122)))</formula>
    </cfRule>
  </conditionalFormatting>
  <conditionalFormatting sqref="AQ124:BA126">
    <cfRule type="containsText" dxfId="609" priority="261" operator="containsText" text="17">
      <formula>NOT(ISERROR(SEARCH("17",AQ124)))</formula>
    </cfRule>
  </conditionalFormatting>
  <conditionalFormatting sqref="AQ145:BD151">
    <cfRule type="containsText" dxfId="608" priority="138" operator="containsText" text="17">
      <formula>NOT(ISERROR(SEARCH("17",AQ145)))</formula>
    </cfRule>
  </conditionalFormatting>
  <conditionalFormatting sqref="AQ145:BF151">
    <cfRule type="containsText" dxfId="607" priority="132" operator="containsText" text="T">
      <formula>NOT(ISERROR(SEARCH("T",AQ145)))</formula>
    </cfRule>
  </conditionalFormatting>
  <conditionalFormatting sqref="AR41">
    <cfRule type="containsText" dxfId="606" priority="465" operator="containsText" text="17">
      <formula>NOT(ISERROR(SEARCH("17",AR41)))</formula>
    </cfRule>
    <cfRule type="containsText" dxfId="605" priority="466" operator="containsText" text="T">
      <formula>NOT(ISERROR(SEARCH("T",AR41)))</formula>
    </cfRule>
  </conditionalFormatting>
  <conditionalFormatting sqref="AR160:AR165">
    <cfRule type="containsText" dxfId="604" priority="620" operator="containsText" text="T">
      <formula>NOT(ISERROR(SEARCH("T",AR160)))</formula>
    </cfRule>
  </conditionalFormatting>
  <conditionalFormatting sqref="AR175">
    <cfRule type="containsText" dxfId="603" priority="542" operator="containsText" text="T">
      <formula>NOT(ISERROR(SEARCH("T",AR175)))</formula>
    </cfRule>
  </conditionalFormatting>
  <conditionalFormatting sqref="AR182 AV182:AX182 AA183:AU190 AX183:AX190">
    <cfRule type="containsText" dxfId="602" priority="527" operator="containsText" text="T">
      <formula>NOT(ISERROR(SEARCH("T",AA182)))</formula>
    </cfRule>
  </conditionalFormatting>
  <conditionalFormatting sqref="AR182:AS182 AV182:AX182 AX183:AX190">
    <cfRule type="containsText" dxfId="601" priority="528" operator="containsText" text="17">
      <formula>NOT(ISERROR(SEARCH("17",AR182)))</formula>
    </cfRule>
  </conditionalFormatting>
  <conditionalFormatting sqref="AR28:AX32">
    <cfRule type="containsText" dxfId="600" priority="458" operator="containsText" text="17">
      <formula>NOT(ISERROR(SEARCH("17",AR28)))</formula>
    </cfRule>
    <cfRule type="containsText" dxfId="599" priority="459" operator="containsText" text="T">
      <formula>NOT(ISERROR(SEARCH("T",AR28)))</formula>
    </cfRule>
  </conditionalFormatting>
  <conditionalFormatting sqref="AR48:AX49">
    <cfRule type="containsText" dxfId="598" priority="448" operator="containsText" text="17">
      <formula>NOT(ISERROR(SEARCH("17",AR48)))</formula>
    </cfRule>
    <cfRule type="containsText" dxfId="597" priority="449" operator="containsText" text="T">
      <formula>NOT(ISERROR(SEARCH("T",AR48)))</formula>
    </cfRule>
  </conditionalFormatting>
  <conditionalFormatting sqref="AR69:BB71">
    <cfRule type="containsText" dxfId="596" priority="201" operator="containsText" text="17">
      <formula>NOT(ISERROR(SEARCH("17",AR69)))</formula>
    </cfRule>
  </conditionalFormatting>
  <conditionalFormatting sqref="AR103:BB104">
    <cfRule type="containsText" dxfId="595" priority="231" operator="containsText" text="17">
      <formula>NOT(ISERROR(SEARCH("17",AR103)))</formula>
    </cfRule>
  </conditionalFormatting>
  <conditionalFormatting sqref="AR121:BB121">
    <cfRule type="containsText" dxfId="594" priority="221" operator="containsText" text="17">
      <formula>NOT(ISERROR(SEARCH("17",AR121)))</formula>
    </cfRule>
  </conditionalFormatting>
  <conditionalFormatting sqref="AR123:BB123">
    <cfRule type="containsText" dxfId="593" priority="211" operator="containsText" text="17">
      <formula>NOT(ISERROR(SEARCH("17",AR123)))</formula>
    </cfRule>
  </conditionalFormatting>
  <conditionalFormatting sqref="AR152:BE158">
    <cfRule type="containsText" dxfId="592" priority="128" operator="containsText" text="17">
      <formula>NOT(ISERROR(SEARCH("17",AR152)))</formula>
    </cfRule>
  </conditionalFormatting>
  <conditionalFormatting sqref="AR152:BG158">
    <cfRule type="containsText" dxfId="591" priority="122" operator="containsText" text="T">
      <formula>NOT(ISERROR(SEARCH("T",AR152)))</formula>
    </cfRule>
  </conditionalFormatting>
  <conditionalFormatting sqref="AS28:AS32">
    <cfRule type="containsText" dxfId="590" priority="455" operator="containsText" text="17">
      <formula>NOT(ISERROR(SEARCH("17",AS28)))</formula>
    </cfRule>
    <cfRule type="containsText" dxfId="589" priority="456" operator="containsText" text="T">
      <formula>NOT(ISERROR(SEARCH("T",AS28)))</formula>
    </cfRule>
  </conditionalFormatting>
  <conditionalFormatting sqref="AS48:AS49">
    <cfRule type="containsText" dxfId="588" priority="445" operator="containsText" text="17">
      <formula>NOT(ISERROR(SEARCH("17",AS48)))</formula>
    </cfRule>
    <cfRule type="containsText" dxfId="587" priority="446" operator="containsText" text="T">
      <formula>NOT(ISERROR(SEARCH("T",AS48)))</formula>
    </cfRule>
  </conditionalFormatting>
  <conditionalFormatting sqref="AS90 AW90:AY90 AB91:AV96 AY91:AY96">
    <cfRule type="containsText" dxfId="586" priority="514" operator="containsText" text="T">
      <formula>NOT(ISERROR(SEARCH("T",AB90)))</formula>
    </cfRule>
  </conditionalFormatting>
  <conditionalFormatting sqref="AS182">
    <cfRule type="containsText" dxfId="585" priority="529" operator="containsText" text="T">
      <formula>NOT(ISERROR(SEARCH("T",AS182)))</formula>
    </cfRule>
  </conditionalFormatting>
  <conditionalFormatting sqref="AS192:AS193 X194:AR199 X192:AF193">
    <cfRule type="containsText" dxfId="584" priority="576" operator="containsText" text="17">
      <formula>NOT(ISERROR(SEARCH("17",X192)))</formula>
    </cfRule>
  </conditionalFormatting>
  <conditionalFormatting sqref="AS208:AS213">
    <cfRule type="containsText" dxfId="583" priority="607" operator="containsText" text="T">
      <formula>NOT(ISERROR(SEARCH("T",AS208)))</formula>
    </cfRule>
  </conditionalFormatting>
  <conditionalFormatting sqref="AS90:AT90 AW90:AY90 AY91:AY96">
    <cfRule type="containsText" dxfId="582" priority="515" operator="containsText" text="17">
      <formula>NOT(ISERROR(SEARCH("17",AS90)))</formula>
    </cfRule>
  </conditionalFormatting>
  <conditionalFormatting sqref="AS50:AY53">
    <cfRule type="containsText" dxfId="581" priority="438" operator="containsText" text="17">
      <formula>NOT(ISERROR(SEARCH("17",AS50)))</formula>
    </cfRule>
    <cfRule type="containsText" dxfId="580" priority="439" operator="containsText" text="T">
      <formula>NOT(ISERROR(SEARCH("T",AS50)))</formula>
    </cfRule>
  </conditionalFormatting>
  <conditionalFormatting sqref="AS63:AY66">
    <cfRule type="containsText" dxfId="579" priority="428" operator="containsText" text="17">
      <formula>NOT(ISERROR(SEARCH("17",AS63)))</formula>
    </cfRule>
    <cfRule type="containsText" dxfId="578" priority="429" operator="containsText" text="T">
      <formula>NOT(ISERROR(SEARCH("T",AS63)))</formula>
    </cfRule>
  </conditionalFormatting>
  <conditionalFormatting sqref="AS67:BC68">
    <cfRule type="containsText" dxfId="577" priority="171" operator="containsText" text="17">
      <formula>NOT(ISERROR(SEARCH("17",AS67)))</formula>
    </cfRule>
  </conditionalFormatting>
  <conditionalFormatting sqref="AS99:BC102">
    <cfRule type="containsText" dxfId="576" priority="191" operator="containsText" text="17">
      <formula>NOT(ISERROR(SEARCH("17",AS99)))</formula>
    </cfRule>
  </conditionalFormatting>
  <conditionalFormatting sqref="AS105:BC105">
    <cfRule type="containsText" dxfId="575" priority="181" operator="containsText" text="17">
      <formula>NOT(ISERROR(SEARCH("17",AS105)))</formula>
    </cfRule>
  </conditionalFormatting>
  <conditionalFormatting sqref="AS159:BF165">
    <cfRule type="containsText" dxfId="574" priority="118" operator="containsText" text="17">
      <formula>NOT(ISERROR(SEARCH("17",AS159)))</formula>
    </cfRule>
  </conditionalFormatting>
  <conditionalFormatting sqref="AS159:BH165">
    <cfRule type="containsText" dxfId="573" priority="112" operator="containsText" text="T">
      <formula>NOT(ISERROR(SEARCH("T",AS159)))</formula>
    </cfRule>
  </conditionalFormatting>
  <conditionalFormatting sqref="AT14 AX14:AZ14 AC15:AW20 AZ15:AZ20">
    <cfRule type="containsText" dxfId="572" priority="501" operator="containsText" text="T">
      <formula>NOT(ISERROR(SEARCH("T",AC14)))</formula>
    </cfRule>
  </conditionalFormatting>
  <conditionalFormatting sqref="AT50:AT53">
    <cfRule type="containsText" dxfId="571" priority="435" operator="containsText" text="17">
      <formula>NOT(ISERROR(SEARCH("17",AT50)))</formula>
    </cfRule>
    <cfRule type="containsText" dxfId="570" priority="436" operator="containsText" text="T">
      <formula>NOT(ISERROR(SEARCH("T",AT50)))</formula>
    </cfRule>
  </conditionalFormatting>
  <conditionalFormatting sqref="AT63:AT66">
    <cfRule type="containsText" dxfId="569" priority="425" operator="containsText" text="17">
      <formula>NOT(ISERROR(SEARCH("17",AT63)))</formula>
    </cfRule>
    <cfRule type="containsText" dxfId="568" priority="426" operator="containsText" text="T">
      <formula>NOT(ISERROR(SEARCH("T",AT63)))</formula>
    </cfRule>
  </conditionalFormatting>
  <conditionalFormatting sqref="AT90">
    <cfRule type="containsText" dxfId="567" priority="516" operator="containsText" text="T">
      <formula>NOT(ISERROR(SEARCH("T",AT90)))</formula>
    </cfRule>
  </conditionalFormatting>
  <conditionalFormatting sqref="AT201:AT206">
    <cfRule type="containsText" dxfId="566" priority="594" operator="containsText" text="T">
      <formula>NOT(ISERROR(SEARCH("T",AT201)))</formula>
    </cfRule>
  </conditionalFormatting>
  <conditionalFormatting sqref="AT14:AU14 AX14:AZ14 AZ15:AZ20">
    <cfRule type="containsText" dxfId="565" priority="502" operator="containsText" text="17">
      <formula>NOT(ISERROR(SEARCH("17",AT14)))</formula>
    </cfRule>
  </conditionalFormatting>
  <conditionalFormatting sqref="AT59:AZ62">
    <cfRule type="containsText" dxfId="564" priority="414" operator="containsText" text="17">
      <formula>NOT(ISERROR(SEARCH("17",AT59)))</formula>
    </cfRule>
    <cfRule type="containsText" dxfId="563" priority="415" operator="containsText" text="T">
      <formula>NOT(ISERROR(SEARCH("T",AT59)))</formula>
    </cfRule>
  </conditionalFormatting>
  <conditionalFormatting sqref="AT86:AZ89">
    <cfRule type="containsText" dxfId="562" priority="404" operator="containsText" text="17">
      <formula>NOT(ISERROR(SEARCH("17",AT86)))</formula>
    </cfRule>
    <cfRule type="containsText" dxfId="561" priority="405" operator="containsText" text="T">
      <formula>NOT(ISERROR(SEARCH("T",AT86)))</formula>
    </cfRule>
  </conditionalFormatting>
  <conditionalFormatting sqref="AT97:BD98">
    <cfRule type="containsText" dxfId="560" priority="161" operator="containsText" text="17">
      <formula>NOT(ISERROR(SEARCH("17",AT97)))</formula>
    </cfRule>
  </conditionalFormatting>
  <conditionalFormatting sqref="AT131:BD137">
    <cfRule type="containsText" dxfId="559" priority="151" operator="containsText" text="17">
      <formula>NOT(ISERROR(SEARCH("17",AT131)))</formula>
    </cfRule>
  </conditionalFormatting>
  <conditionalFormatting sqref="AU14">
    <cfRule type="containsText" dxfId="558" priority="503" operator="containsText" text="T">
      <formula>NOT(ISERROR(SEARCH("T",AU14)))</formula>
    </cfRule>
  </conditionalFormatting>
  <conditionalFormatting sqref="AU34 AY34:BA34 AD35:AX40 BA35:BA40">
    <cfRule type="containsText" dxfId="557" priority="488" operator="containsText" text="T">
      <formula>NOT(ISERROR(SEARCH("T",AD34)))</formula>
    </cfRule>
  </conditionalFormatting>
  <conditionalFormatting sqref="AU59:AU62">
    <cfRule type="containsText" dxfId="556" priority="411" operator="containsText" text="17">
      <formula>NOT(ISERROR(SEARCH("17",AU59)))</formula>
    </cfRule>
    <cfRule type="containsText" dxfId="555" priority="412" operator="containsText" text="T">
      <formula>NOT(ISERROR(SEARCH("T",AU59)))</formula>
    </cfRule>
  </conditionalFormatting>
  <conditionalFormatting sqref="AU86:AU89">
    <cfRule type="containsText" dxfId="554" priority="401" operator="containsText" text="17">
      <formula>NOT(ISERROR(SEARCH("17",AU86)))</formula>
    </cfRule>
    <cfRule type="containsText" dxfId="553" priority="402" operator="containsText" text="T">
      <formula>NOT(ISERROR(SEARCH("T",AU86)))</formula>
    </cfRule>
  </conditionalFormatting>
  <conditionalFormatting sqref="AU194:AU199">
    <cfRule type="containsText" dxfId="552" priority="581" operator="containsText" text="T">
      <formula>NOT(ISERROR(SEARCH("T",AU194)))</formula>
    </cfRule>
  </conditionalFormatting>
  <conditionalFormatting sqref="AU34:AV34 AY34:BA34 BA35:BA40">
    <cfRule type="containsText" dxfId="551" priority="489" operator="containsText" text="17">
      <formula>NOT(ISERROR(SEARCH("17",AU34)))</formula>
    </cfRule>
  </conditionalFormatting>
  <conditionalFormatting sqref="AU83:BA85">
    <cfRule type="containsText" dxfId="550" priority="394" operator="containsText" text="17">
      <formula>NOT(ISERROR(SEARCH("17",AU83)))</formula>
    </cfRule>
    <cfRule type="containsText" dxfId="549" priority="395" operator="containsText" text="T">
      <formula>NOT(ISERROR(SEARCH("T",AU83)))</formula>
    </cfRule>
  </conditionalFormatting>
  <conditionalFormatting sqref="AU214:BA217">
    <cfRule type="containsText" dxfId="548" priority="384" operator="containsText" text="17">
      <formula>NOT(ISERROR(SEARCH("17",AU214)))</formula>
    </cfRule>
    <cfRule type="containsText" dxfId="547" priority="385" operator="containsText" text="T">
      <formula>NOT(ISERROR(SEARCH("T",AU214)))</formula>
    </cfRule>
  </conditionalFormatting>
  <conditionalFormatting sqref="AU138:BE144">
    <cfRule type="containsText" dxfId="546" priority="141" operator="containsText" text="17">
      <formula>NOT(ISERROR(SEARCH("17",AU138)))</formula>
    </cfRule>
  </conditionalFormatting>
  <conditionalFormatting sqref="AT207:CP213 AY189:CP190 J191:CP191 BA14:CP20 J33:CP33 BB34:CP40 AX175:BB181 J14:AB20 J21:AD27 BC21:CP27 J28:AE32 BE28:CP32 AE28:AF33 J34:AC40 J41:AE47 BD41:CP47 BE48:CP49 J50:AG53 BF50:CP53 AG53:BG53 J54:CP58 BG59:CP62 BF63:CP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J200:V206 J207:U213 BH214:XFD217 BI218:XFD220 BI218:CP224 BJ225:CP231 BK232:CP234 BQ105:CP105 AJ107:AO112 J120:L126 AU200:CP206 AV192:CP199 CA175:CP181 AY182:BC188 CB182:CP188">
    <cfRule type="containsText" dxfId="545" priority="8400" operator="containsText" text="17">
      <formula>NOT(ISERROR(SEARCH("17",J14)))</formula>
    </cfRule>
  </conditionalFormatting>
  <conditionalFormatting sqref="AV21 AZ21:BB21 AE22:AY27">
    <cfRule type="containsText" dxfId="544" priority="475" operator="containsText" text="T">
      <formula>NOT(ISERROR(SEARCH("T",AE21)))</formula>
    </cfRule>
  </conditionalFormatting>
  <conditionalFormatting sqref="AV34">
    <cfRule type="containsText" dxfId="543" priority="490" operator="containsText" text="T">
      <formula>NOT(ISERROR(SEARCH("T",AV34)))</formula>
    </cfRule>
  </conditionalFormatting>
  <conditionalFormatting sqref="AV83:AV85">
    <cfRule type="containsText" dxfId="542" priority="391" operator="containsText" text="17">
      <formula>NOT(ISERROR(SEARCH("17",AV83)))</formula>
    </cfRule>
    <cfRule type="containsText" dxfId="541" priority="392" operator="containsText" text="T">
      <formula>NOT(ISERROR(SEARCH("T",AV83)))</formula>
    </cfRule>
  </conditionalFormatting>
  <conditionalFormatting sqref="AV169:AV174">
    <cfRule type="containsText" dxfId="540" priority="563" operator="containsText" text="T">
      <formula>NOT(ISERROR(SEARCH("T",AV169)))</formula>
    </cfRule>
  </conditionalFormatting>
  <conditionalFormatting sqref="AV214:AV217">
    <cfRule type="containsText" dxfId="539" priority="381" operator="containsText" text="17">
      <formula>NOT(ISERROR(SEARCH("17",AV214)))</formula>
    </cfRule>
    <cfRule type="containsText" dxfId="538" priority="382" operator="containsText" text="T">
      <formula>NOT(ISERROR(SEARCH("T",AV214)))</formula>
    </cfRule>
  </conditionalFormatting>
  <conditionalFormatting sqref="AV21:AW21 AZ21:BB21 BB22:BY27">
    <cfRule type="containsText" dxfId="537" priority="476" operator="containsText" text="17">
      <formula>NOT(ISERROR(SEARCH("17",AV21)))</formula>
    </cfRule>
  </conditionalFormatting>
  <conditionalFormatting sqref="AV218:BB224">
    <cfRule type="containsText" dxfId="536" priority="374" operator="containsText" text="17">
      <formula>NOT(ISERROR(SEARCH("17",AV218)))</formula>
    </cfRule>
    <cfRule type="containsText" dxfId="535" priority="375" operator="containsText" text="T">
      <formula>NOT(ISERROR(SEARCH("T",AV218)))</formula>
    </cfRule>
  </conditionalFormatting>
  <conditionalFormatting sqref="AV145:BF151">
    <cfRule type="containsText" dxfId="534" priority="131" operator="containsText" text="17">
      <formula>NOT(ISERROR(SEARCH("17",AV145)))</formula>
    </cfRule>
  </conditionalFormatting>
  <conditionalFormatting sqref="BH214:XFD217 BJ225:CP231 BI218:XFD220 BI218:CP224 AT207:CP213 AN127:CP130 AY189:CP190 BG86:CP89 AZ90:CP96 BL79:CP82 BT145:CP151 BC21:CP27 BE28:CP32 J33:CP33 BB34:CP40 BD41:CP47 BE48:CP49 BF50:CP53 AG53:BG53 J54:CP58 BG59:CP62 BF63:CP66 BQ67:CP68 BP69:CP71 BO72:CP75 BN76:CP78 BH83:CP85 BQ99:CP102 BP103:CP104 BO106:CP106 BN107:CP112 BK113:CP116 BL117:CP119 BO120:CP120 BP121:CP121 BO122:CP122 BP123:CP123 BO124:CP126 BR131:CP137 BS138:CP144 BU152:CP158 BV159:CP165 AX175:BB181 O130:AO130 J14:AB20 BA14:CP20 J21:AD27 J28:AE32 AE28:AF33 J34:AC40 J41:AE47 J69:M75 J76:J82 J90:AA96 J99:N105 J106:K112 J131:P137 J138:Q144 J145:R151 J152:S158 J159:T165 J166:CP167 J168:X174 J175:Y181 J182:Z190 J191:CP191 J192:W199 J200:V206 J207:U213 AU200:CP206 AV192:CP199 CA175:CP181 AY182:BC188 CB182:CP188">
    <cfRule type="containsText" dxfId="533" priority="7170" operator="containsText" text="T">
      <formula>NOT(ISERROR(SEARCH("T",J14)))</formula>
    </cfRule>
  </conditionalFormatting>
  <conditionalFormatting sqref="AW21">
    <cfRule type="containsText" dxfId="532" priority="477" operator="containsText" text="T">
      <formula>NOT(ISERROR(SEARCH("T",AW21)))</formula>
    </cfRule>
  </conditionalFormatting>
  <conditionalFormatting sqref="AW41 BA41:BC41 AF42:AZ47 BC42:BC47">
    <cfRule type="containsText" dxfId="531" priority="462" operator="containsText" text="T">
      <formula>NOT(ISERROR(SEARCH("T",AF41)))</formula>
    </cfRule>
  </conditionalFormatting>
  <conditionalFormatting sqref="AW176:AW181">
    <cfRule type="containsText" dxfId="530" priority="550" operator="containsText" text="T">
      <formula>NOT(ISERROR(SEARCH("T",AW176)))</formula>
    </cfRule>
  </conditionalFormatting>
  <conditionalFormatting sqref="AW218:AW224">
    <cfRule type="containsText" dxfId="529" priority="371" operator="containsText" text="17">
      <formula>NOT(ISERROR(SEARCH("17",AW218)))</formula>
    </cfRule>
    <cfRule type="containsText" dxfId="528" priority="372" operator="containsText" text="T">
      <formula>NOT(ISERROR(SEARCH("T",AW218)))</formula>
    </cfRule>
  </conditionalFormatting>
  <conditionalFormatting sqref="AW41:AX41 BA41:BC41 BC42:BC47">
    <cfRule type="containsText" dxfId="527" priority="463" operator="containsText" text="17">
      <formula>NOT(ISERROR(SEARCH("17",AW41)))</formula>
    </cfRule>
  </conditionalFormatting>
  <conditionalFormatting sqref="AW225:BC231">
    <cfRule type="containsText" dxfId="526" priority="364" operator="containsText" text="17">
      <formula>NOT(ISERROR(SEARCH("17",AW225)))</formula>
    </cfRule>
    <cfRule type="containsText" dxfId="525" priority="365" operator="containsText" text="T">
      <formula>NOT(ISERROR(SEARCH("T",AW225)))</formula>
    </cfRule>
  </conditionalFormatting>
  <conditionalFormatting sqref="AW152:BG158">
    <cfRule type="containsText" dxfId="524" priority="121" operator="containsText" text="17">
      <formula>NOT(ISERROR(SEARCH("17",AW152)))</formula>
    </cfRule>
  </conditionalFormatting>
  <conditionalFormatting sqref="AX28:AX32 BB28:BD32">
    <cfRule type="containsText" dxfId="523" priority="452" operator="containsText" text="T">
      <formula>NOT(ISERROR(SEARCH("T",AX28)))</formula>
    </cfRule>
  </conditionalFormatting>
  <conditionalFormatting sqref="AX41">
    <cfRule type="containsText" dxfId="522" priority="464" operator="containsText" text="T">
      <formula>NOT(ISERROR(SEARCH("T",AX41)))</formula>
    </cfRule>
  </conditionalFormatting>
  <conditionalFormatting sqref="AX48:AX49 BB48:BD49">
    <cfRule type="containsText" dxfId="521" priority="442" operator="containsText" text="T">
      <formula>NOT(ISERROR(SEARCH("T",AX48)))</formula>
    </cfRule>
  </conditionalFormatting>
  <conditionalFormatting sqref="AX170:BA170">
    <cfRule type="containsText" dxfId="520" priority="8595" operator="containsText" text="17">
      <formula>NOT(ISERROR(SEARCH("17",AX170)))</formula>
    </cfRule>
    <cfRule type="containsText" dxfId="519" priority="8596" operator="containsText" text="T">
      <formula>NOT(ISERROR(SEARCH("T",AX170)))</formula>
    </cfRule>
  </conditionalFormatting>
  <conditionalFormatting sqref="AX180:AX181 AY182:AY185 BM191 BU200:BU202 BV203:BV205">
    <cfRule type="containsText" dxfId="518" priority="7185" operator="containsText" text="17">
      <formula>NOT(ISERROR(SEARCH("17",AX180)))</formula>
    </cfRule>
    <cfRule type="containsText" dxfId="517" priority="7186" operator="containsText" text="T">
      <formula>NOT(ISERROR(SEARCH("T",AX180)))</formula>
    </cfRule>
    <cfRule type="containsText" dxfId="516" priority="7187" operator="containsText" text="17">
      <formula>NOT(ISERROR(SEARCH("17",AX180)))</formula>
    </cfRule>
    <cfRule type="containsText" dxfId="515" priority="7188" operator="containsText" text="T">
      <formula>NOT(ISERROR(SEARCH("T",AX180)))</formula>
    </cfRule>
  </conditionalFormatting>
  <conditionalFormatting sqref="AX183:AX190">
    <cfRule type="containsText" dxfId="514" priority="537" operator="containsText" text="T">
      <formula>NOT(ISERROR(SEARCH("T",AX183)))</formula>
    </cfRule>
  </conditionalFormatting>
  <conditionalFormatting sqref="AX192">
    <cfRule type="containsText" dxfId="513" priority="2236" operator="containsText" text="17">
      <formula>NOT(ISERROR(SEARCH("17",AX192)))</formula>
    </cfRule>
    <cfRule type="containsText" dxfId="512" priority="2237" operator="containsText" text="T">
      <formula>NOT(ISERROR(SEARCH("T",AX192)))</formula>
    </cfRule>
    <cfRule type="containsText" dxfId="511" priority="6133" operator="containsText" text="17">
      <formula>NOT(ISERROR(SEARCH("17",AX192)))</formula>
    </cfRule>
    <cfRule type="containsText" dxfId="510" priority="6134" operator="containsText" text="T">
      <formula>NOT(ISERROR(SEARCH("T",AX192)))</formula>
    </cfRule>
  </conditionalFormatting>
  <conditionalFormatting sqref="AX196:AX198">
    <cfRule type="containsText" dxfId="509" priority="7161" operator="containsText" text="17">
      <formula>NOT(ISERROR(SEARCH("17",AX196)))</formula>
    </cfRule>
    <cfRule type="containsText" dxfId="508" priority="7162" operator="containsText" text="T">
      <formula>NOT(ISERROR(SEARCH("T",AX196)))</formula>
    </cfRule>
  </conditionalFormatting>
  <conditionalFormatting sqref="AX225:AX231">
    <cfRule type="containsText" dxfId="507" priority="361" operator="containsText" text="17">
      <formula>NOT(ISERROR(SEARCH("17",AX225)))</formula>
    </cfRule>
    <cfRule type="containsText" dxfId="506" priority="362" operator="containsText" text="T">
      <formula>NOT(ISERROR(SEARCH("T",AX225)))</formula>
    </cfRule>
  </conditionalFormatting>
  <conditionalFormatting sqref="AX28:AY32 BB28:BD32">
    <cfRule type="containsText" dxfId="505" priority="453" operator="containsText" text="17">
      <formula>NOT(ISERROR(SEARCH("17",AX28)))</formula>
    </cfRule>
  </conditionalFormatting>
  <conditionalFormatting sqref="AX48:AY49 BB48:BD49">
    <cfRule type="containsText" dxfId="504" priority="443" operator="containsText" text="17">
      <formula>NOT(ISERROR(SEARCH("17",AX48)))</formula>
    </cfRule>
  </conditionalFormatting>
  <conditionalFormatting sqref="AX199:BB199 AX206:BA206 AX213 BP199:BR199 BO206:BQ206 BT199 BS206 BV199 BU206">
    <cfRule type="containsText" dxfId="503" priority="4927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02" priority="4928" operator="containsText" text="T">
      <formula>NOT(ISERROR(SEARCH("T",AX199)))</formula>
    </cfRule>
  </conditionalFormatting>
  <conditionalFormatting sqref="AX33:BC33">
    <cfRule type="containsText" dxfId="501" priority="8699" operator="containsText" text="T">
      <formula>NOT(ISERROR(SEARCH("T",AX33)))</formula>
    </cfRule>
  </conditionalFormatting>
  <conditionalFormatting sqref="AX113:BD116">
    <cfRule type="containsText" dxfId="500" priority="344" operator="containsText" text="17">
      <formula>NOT(ISERROR(SEARCH("17",AX113)))</formula>
    </cfRule>
    <cfRule type="containsText" dxfId="499" priority="345" operator="containsText" text="T">
      <formula>NOT(ISERROR(SEARCH("T",AX113)))</formula>
    </cfRule>
  </conditionalFormatting>
  <conditionalFormatting sqref="AX232:BD234">
    <cfRule type="containsText" dxfId="498" priority="354" operator="containsText" text="17">
      <formula>NOT(ISERROR(SEARCH("17",AX232)))</formula>
    </cfRule>
    <cfRule type="containsText" dxfId="497" priority="355" operator="containsText" text="T">
      <formula>NOT(ISERROR(SEARCH("T",AX232)))</formula>
    </cfRule>
  </conditionalFormatting>
  <conditionalFormatting sqref="AX199:BE199 AX206:BD206 AX213">
    <cfRule type="containsText" dxfId="496" priority="4935" operator="containsText" text="17">
      <formula>NOT(ISERROR(SEARCH("17",AX199)))</formula>
    </cfRule>
    <cfRule type="containsText" dxfId="495" priority="4936" operator="containsText" text="T">
      <formula>NOT(ISERROR(SEARCH("T",AX199)))</formula>
    </cfRule>
  </conditionalFormatting>
  <conditionalFormatting sqref="AX159:BH165">
    <cfRule type="containsText" dxfId="494" priority="111" operator="containsText" text="17">
      <formula>NOT(ISERROR(SEARCH("17",AX159)))</formula>
    </cfRule>
  </conditionalFormatting>
  <conditionalFormatting sqref="AY28:AY32">
    <cfRule type="containsText" dxfId="493" priority="454" operator="containsText" text="T">
      <formula>NOT(ISERROR(SEARCH("T",AY28)))</formula>
    </cfRule>
  </conditionalFormatting>
  <conditionalFormatting sqref="AY33">
    <cfRule type="containsText" dxfId="492" priority="8073" operator="containsText" text="17">
      <formula>NOT(ISERROR(SEARCH("17",AY33)))</formula>
    </cfRule>
    <cfRule type="containsText" dxfId="491" priority="8074" operator="containsText" text="T">
      <formula>NOT(ISERROR(SEARCH("T",AY33)))</formula>
    </cfRule>
  </conditionalFormatting>
  <conditionalFormatting sqref="AY48:AY49">
    <cfRule type="containsText" dxfId="490" priority="444" operator="containsText" text="T">
      <formula>NOT(ISERROR(SEARCH("T",AY48)))</formula>
    </cfRule>
  </conditionalFormatting>
  <conditionalFormatting sqref="AY50:AY53 BC50:BE53">
    <cfRule type="containsText" dxfId="489" priority="432" operator="containsText" text="T">
      <formula>NOT(ISERROR(SEARCH("T",AY50)))</formula>
    </cfRule>
  </conditionalFormatting>
  <conditionalFormatting sqref="AY63:AY66 BC63:BN66">
    <cfRule type="containsText" dxfId="488" priority="422" operator="containsText" text="T">
      <formula>NOT(ISERROR(SEARCH("T",AY63)))</formula>
    </cfRule>
  </conditionalFormatting>
  <conditionalFormatting sqref="AY91:AY96">
    <cfRule type="containsText" dxfId="487" priority="524" operator="containsText" text="T">
      <formula>NOT(ISERROR(SEARCH("T",AY91)))</formula>
    </cfRule>
  </conditionalFormatting>
  <conditionalFormatting sqref="AY113:AY116">
    <cfRule type="containsText" dxfId="486" priority="341" operator="containsText" text="17">
      <formula>NOT(ISERROR(SEARCH("17",AY113)))</formula>
    </cfRule>
    <cfRule type="containsText" dxfId="485" priority="342" operator="containsText" text="T">
      <formula>NOT(ISERROR(SEARCH("T",AY113)))</formula>
    </cfRule>
  </conditionalFormatting>
  <conditionalFormatting sqref="AY189">
    <cfRule type="containsText" dxfId="484" priority="4759" operator="containsText" text="17">
      <formula>NOT(ISERROR(SEARCH("17",AY189)))</formula>
    </cfRule>
    <cfRule type="containsText" dxfId="483" priority="4760" operator="containsText" text="T">
      <formula>NOT(ISERROR(SEARCH("T",AY189)))</formula>
    </cfRule>
    <cfRule type="containsText" dxfId="482" priority="4777" operator="containsText" text="17">
      <formula>NOT(ISERROR(SEARCH("17",AY189)))</formula>
    </cfRule>
    <cfRule type="containsText" dxfId="481" priority="4778" operator="containsText" text="T">
      <formula>NOT(ISERROR(SEARCH("T",AY189)))</formula>
    </cfRule>
  </conditionalFormatting>
  <conditionalFormatting sqref="AY190 AX191:BH191 BK191 BO191:BS191">
    <cfRule type="containsText" dxfId="480" priority="8381" operator="containsText" text="T">
      <formula>NOT(ISERROR(SEARCH("T",AX190)))</formula>
    </cfRule>
  </conditionalFormatting>
  <conditionalFormatting sqref="AY199 AX206">
    <cfRule type="containsText" dxfId="479" priority="2010" operator="containsText" text="17">
      <formula>NOT(ISERROR(SEARCH("17",AX199)))</formula>
    </cfRule>
    <cfRule type="containsText" dxfId="478" priority="2011" operator="containsText" text="T">
      <formula>NOT(ISERROR(SEARCH("T",AX199)))</formula>
    </cfRule>
  </conditionalFormatting>
  <conditionalFormatting sqref="AY232:AY234">
    <cfRule type="containsText" dxfId="477" priority="351" operator="containsText" text="17">
      <formula>NOT(ISERROR(SEARCH("17",AY232)))</formula>
    </cfRule>
    <cfRule type="containsText" dxfId="476" priority="352" operator="containsText" text="T">
      <formula>NOT(ISERROR(SEARCH("T",AY232)))</formula>
    </cfRule>
  </conditionalFormatting>
  <conditionalFormatting sqref="AY50:AZ53 BC50:BE53">
    <cfRule type="containsText" dxfId="475" priority="433" operator="containsText" text="17">
      <formula>NOT(ISERROR(SEARCH("17",AY50)))</formula>
    </cfRule>
  </conditionalFormatting>
  <conditionalFormatting sqref="AY63:AZ66 BC63:BE66">
    <cfRule type="containsText" dxfId="474" priority="423" operator="containsText" text="17">
      <formula>NOT(ISERROR(SEARCH("17",AY63)))</formula>
    </cfRule>
  </conditionalFormatting>
  <conditionalFormatting sqref="AY79:BE82">
    <cfRule type="containsText" dxfId="473" priority="324" operator="containsText" text="17">
      <formula>NOT(ISERROR(SEARCH("17",AY79)))</formula>
    </cfRule>
    <cfRule type="containsText" dxfId="472" priority="325" operator="containsText" text="T">
      <formula>NOT(ISERROR(SEARCH("T",AY79)))</formula>
    </cfRule>
  </conditionalFormatting>
  <conditionalFormatting sqref="AY117:BE119">
    <cfRule type="containsText" dxfId="471" priority="334" operator="containsText" text="17">
      <formula>NOT(ISERROR(SEARCH("17",AY117)))</formula>
    </cfRule>
    <cfRule type="containsText" dxfId="470" priority="335" operator="containsText" text="T">
      <formula>NOT(ISERROR(SEARCH("T",AY117)))</formula>
    </cfRule>
  </conditionalFormatting>
  <conditionalFormatting sqref="AY207:BI213">
    <cfRule type="containsText" dxfId="469" priority="101" operator="containsText" text="17">
      <formula>NOT(ISERROR(SEARCH("17",AY207)))</formula>
    </cfRule>
  </conditionalFormatting>
  <conditionalFormatting sqref="AY193:BV213 AX195:BV195 BH214:BV215 AZ200:BW206 BA192:BX199">
    <cfRule type="containsText" dxfId="468" priority="781" operator="containsText" text="T">
      <formula>NOT(ISERROR(SEARCH("T",AX192)))</formula>
    </cfRule>
    <cfRule type="containsText" dxfId="467" priority="782" operator="containsText" text="17">
      <formula>NOT(ISERROR(SEARCH("17",AX192)))</formula>
    </cfRule>
  </conditionalFormatting>
  <conditionalFormatting sqref="AZ15:AZ20">
    <cfRule type="containsText" dxfId="466" priority="511" operator="containsText" text="T">
      <formula>NOT(ISERROR(SEARCH("T",AZ15)))</formula>
    </cfRule>
  </conditionalFormatting>
  <conditionalFormatting sqref="AZ50:AZ53">
    <cfRule type="containsText" dxfId="465" priority="434" operator="containsText" text="T">
      <formula>NOT(ISERROR(SEARCH("T",AZ50)))</formula>
    </cfRule>
  </conditionalFormatting>
  <conditionalFormatting sqref="AZ63:AZ66">
    <cfRule type="containsText" dxfId="464" priority="424" operator="containsText" text="T">
      <formula>NOT(ISERROR(SEARCH("T",AZ63)))</formula>
    </cfRule>
  </conditionalFormatting>
  <conditionalFormatting sqref="AZ79:AZ82">
    <cfRule type="containsText" dxfId="463" priority="321" operator="containsText" text="17">
      <formula>NOT(ISERROR(SEARCH("17",AZ79)))</formula>
    </cfRule>
    <cfRule type="containsText" dxfId="462" priority="322" operator="containsText" text="T">
      <formula>NOT(ISERROR(SEARCH("T",AZ79)))</formula>
    </cfRule>
  </conditionalFormatting>
  <conditionalFormatting sqref="AZ86:AZ89 BD86:BF89">
    <cfRule type="containsText" dxfId="461" priority="398" operator="containsText" text="T">
      <formula>NOT(ISERROR(SEARCH("T",AZ86)))</formula>
    </cfRule>
  </conditionalFormatting>
  <conditionalFormatting sqref="AZ117:AZ119">
    <cfRule type="containsText" dxfId="460" priority="331" operator="containsText" text="17">
      <formula>NOT(ISERROR(SEARCH("17",AZ117)))</formula>
    </cfRule>
    <cfRule type="containsText" dxfId="459" priority="332" operator="containsText" text="T">
      <formula>NOT(ISERROR(SEARCH("T",AZ117)))</formula>
    </cfRule>
  </conditionalFormatting>
  <conditionalFormatting sqref="AZ59:BA62 BD59:BF62">
    <cfRule type="containsText" dxfId="458" priority="409" operator="containsText" text="17">
      <formula>NOT(ISERROR(SEARCH("17",AZ59)))</formula>
    </cfRule>
  </conditionalFormatting>
  <conditionalFormatting sqref="AZ86:BA89 BD86:BF89">
    <cfRule type="containsText" dxfId="457" priority="399" operator="containsText" text="17">
      <formula>NOT(ISERROR(SEARCH("17",AZ86)))</formula>
    </cfRule>
  </conditionalFormatting>
  <conditionalFormatting sqref="AZ93:BB93">
    <cfRule type="containsText" dxfId="456" priority="3923" operator="containsText" text="17">
      <formula>NOT(ISERROR(SEARCH("17",AZ93)))</formula>
    </cfRule>
    <cfRule type="containsText" dxfId="455" priority="3924" operator="containsText" text="T">
      <formula>NOT(ISERROR(SEARCH("T",AZ93)))</formula>
    </cfRule>
  </conditionalFormatting>
  <conditionalFormatting sqref="AZ175:BB178">
    <cfRule type="containsText" dxfId="454" priority="800" operator="containsText" text="T">
      <formula>NOT(ISERROR(SEARCH("T",AZ175)))</formula>
    </cfRule>
  </conditionalFormatting>
  <conditionalFormatting sqref="AZ182:BC183 AZ180:BB181">
    <cfRule type="containsText" dxfId="453" priority="794" operator="containsText" text="T">
      <formula>NOT(ISERROR(SEARCH("T",AZ180)))</formula>
    </cfRule>
  </conditionalFormatting>
  <conditionalFormatting sqref="AZ189:BW190 AZ185:BC188">
    <cfRule type="containsText" dxfId="452" priority="788" operator="containsText" text="T">
      <formula>NOT(ISERROR(SEARCH("T",AZ185)))</formula>
    </cfRule>
  </conditionalFormatting>
  <conditionalFormatting sqref="BA22:BA27">
    <cfRule type="containsText" dxfId="451" priority="416" operator="containsText" text="T">
      <formula>NOT(ISERROR(SEARCH("T",BA22)))</formula>
    </cfRule>
    <cfRule type="containsText" dxfId="450" priority="417" operator="containsText" text="17">
      <formula>NOT(ISERROR(SEARCH("17",BA22)))</formula>
    </cfRule>
  </conditionalFormatting>
  <conditionalFormatting sqref="BA35:BA40">
    <cfRule type="containsText" dxfId="449" priority="498" operator="containsText" text="T">
      <formula>NOT(ISERROR(SEARCH("T",BA35)))</formula>
    </cfRule>
  </conditionalFormatting>
  <conditionalFormatting sqref="BA59:BA62">
    <cfRule type="containsText" dxfId="448" priority="410" operator="containsText" text="T">
      <formula>NOT(ISERROR(SEARCH("T",BA59)))</formula>
    </cfRule>
  </conditionalFormatting>
  <conditionalFormatting sqref="BA83:BA85 BE83:BG85">
    <cfRule type="containsText" dxfId="447" priority="388" operator="containsText" text="T">
      <formula>NOT(ISERROR(SEARCH("T",BA83)))</formula>
    </cfRule>
  </conditionalFormatting>
  <conditionalFormatting sqref="BA86:BA89">
    <cfRule type="containsText" dxfId="446" priority="400" operator="containsText" text="T">
      <formula>NOT(ISERROR(SEARCH("T",BA86)))</formula>
    </cfRule>
  </conditionalFormatting>
  <conditionalFormatting sqref="BA199 AZ206">
    <cfRule type="containsText" dxfId="445" priority="4923" operator="containsText" text="17">
      <formula>NOT(ISERROR(SEARCH("17",AZ199)))</formula>
    </cfRule>
    <cfRule type="containsText" dxfId="444" priority="4924" operator="containsText" text="T">
      <formula>NOT(ISERROR(SEARCH("T",AZ199)))</formula>
    </cfRule>
  </conditionalFormatting>
  <conditionalFormatting sqref="BA214:BA217 BE214:BG217">
    <cfRule type="containsText" dxfId="443" priority="378" operator="containsText" text="T">
      <formula>NOT(ISERROR(SEARCH("T",BA214)))</formula>
    </cfRule>
  </conditionalFormatting>
  <conditionalFormatting sqref="BA22:BB27">
    <cfRule type="containsText" dxfId="442" priority="419" operator="containsText" text="T">
      <formula>NOT(ISERROR(SEARCH("T",BA22)))</formula>
    </cfRule>
  </conditionalFormatting>
  <conditionalFormatting sqref="BA83:BB85 BE83:BG85">
    <cfRule type="containsText" dxfId="441" priority="389" operator="containsText" text="17">
      <formula>NOT(ISERROR(SEARCH("17",BA83)))</formula>
    </cfRule>
  </conditionalFormatting>
  <conditionalFormatting sqref="BA214:BB217 BE214:BG217">
    <cfRule type="containsText" dxfId="440" priority="379" operator="containsText" text="17">
      <formula>NOT(ISERROR(SEARCH("17",BA214)))</formula>
    </cfRule>
  </conditionalFormatting>
  <conditionalFormatting sqref="BA76:BG78">
    <cfRule type="containsText" dxfId="439" priority="299" operator="containsText" text="17">
      <formula>NOT(ISERROR(SEARCH("17",BA76)))</formula>
    </cfRule>
    <cfRule type="containsText" dxfId="438" priority="300" operator="containsText" text="T">
      <formula>NOT(ISERROR(SEARCH("T",BA76)))</formula>
    </cfRule>
  </conditionalFormatting>
  <conditionalFormatting sqref="BA107:BG112">
    <cfRule type="containsText" dxfId="437" priority="309" operator="containsText" text="17">
      <formula>NOT(ISERROR(SEARCH("17",BA107)))</formula>
    </cfRule>
    <cfRule type="containsText" dxfId="436" priority="310" operator="containsText" text="T">
      <formula>NOT(ISERROR(SEARCH("T",BA107)))</formula>
    </cfRule>
  </conditionalFormatting>
  <conditionalFormatting sqref="BB22:BB27">
    <cfRule type="containsText" dxfId="435" priority="485" operator="containsText" text="T">
      <formula>NOT(ISERROR(SEARCH("T",BB22)))</formula>
    </cfRule>
  </conditionalFormatting>
  <conditionalFormatting sqref="BB76:BB78">
    <cfRule type="containsText" dxfId="434" priority="296" operator="containsText" text="17">
      <formula>NOT(ISERROR(SEARCH("17",BB76)))</formula>
    </cfRule>
    <cfRule type="containsText" dxfId="433" priority="297" operator="containsText" text="T">
      <formula>NOT(ISERROR(SEARCH("T",BB76)))</formula>
    </cfRule>
  </conditionalFormatting>
  <conditionalFormatting sqref="BB83:BB85">
    <cfRule type="containsText" dxfId="432" priority="390" operator="containsText" text="T">
      <formula>NOT(ISERROR(SEARCH("T",BB83)))</formula>
    </cfRule>
  </conditionalFormatting>
  <conditionalFormatting sqref="BB107:BB112">
    <cfRule type="containsText" dxfId="431" priority="306" operator="containsText" text="17">
      <formula>NOT(ISERROR(SEARCH("17",BB107)))</formula>
    </cfRule>
    <cfRule type="containsText" dxfId="430" priority="307" operator="containsText" text="T">
      <formula>NOT(ISERROR(SEARCH("T",BB107)))</formula>
    </cfRule>
  </conditionalFormatting>
  <conditionalFormatting sqref="BB199 BD199:BI199 BA206 BC206:BH206">
    <cfRule type="containsText" dxfId="429" priority="4937" operator="containsText" text="17">
      <formula>NOT(ISERROR(SEARCH("17",BA199)))</formula>
    </cfRule>
    <cfRule type="containsText" dxfId="428" priority="4938" operator="containsText" text="T">
      <formula>NOT(ISERROR(SEARCH("T",BA199)))</formula>
    </cfRule>
  </conditionalFormatting>
  <conditionalFormatting sqref="BB214:BB217">
    <cfRule type="containsText" dxfId="427" priority="380" operator="containsText" text="T">
      <formula>NOT(ISERROR(SEARCH("T",BB214)))</formula>
    </cfRule>
  </conditionalFormatting>
  <conditionalFormatting sqref="BB218:BB224 BF218:BH224">
    <cfRule type="containsText" dxfId="426" priority="368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25" priority="8413" operator="containsText" text="T">
      <formula>NOT(ISERROR(SEARCH("T",AX35)))</formula>
    </cfRule>
  </conditionalFormatting>
  <conditionalFormatting sqref="BB218:BC224 BF218:BH224">
    <cfRule type="containsText" dxfId="424" priority="369" operator="containsText" text="17">
      <formula>NOT(ISERROR(SEARCH("17",BB218)))</formula>
    </cfRule>
  </conditionalFormatting>
  <conditionalFormatting sqref="BB72:BH75">
    <cfRule type="containsText" dxfId="423" priority="289" operator="containsText" text="17">
      <formula>NOT(ISERROR(SEARCH("17",BB72)))</formula>
    </cfRule>
    <cfRule type="containsText" dxfId="422" priority="290" operator="containsText" text="T">
      <formula>NOT(ISERROR(SEARCH("T",BB72)))</formula>
    </cfRule>
  </conditionalFormatting>
  <conditionalFormatting sqref="BB106:BH106">
    <cfRule type="containsText" dxfId="421" priority="279" operator="containsText" text="17">
      <formula>NOT(ISERROR(SEARCH("17",BB106)))</formula>
    </cfRule>
    <cfRule type="containsText" dxfId="420" priority="280" operator="containsText" text="T">
      <formula>NOT(ISERROR(SEARCH("T",BB106)))</formula>
    </cfRule>
  </conditionalFormatting>
  <conditionalFormatting sqref="BB120:BH120">
    <cfRule type="containsText" dxfId="419" priority="259" operator="containsText" text="17">
      <formula>NOT(ISERROR(SEARCH("17",BB120)))</formula>
    </cfRule>
    <cfRule type="containsText" dxfId="418" priority="260" operator="containsText" text="T">
      <formula>NOT(ISERROR(SEARCH("T",BB120)))</formula>
    </cfRule>
  </conditionalFormatting>
  <conditionalFormatting sqref="BB122:BH122">
    <cfRule type="containsText" dxfId="417" priority="249" operator="containsText" text="17">
      <formula>NOT(ISERROR(SEARCH("17",BB122)))</formula>
    </cfRule>
    <cfRule type="containsText" dxfId="416" priority="250" operator="containsText" text="T">
      <formula>NOT(ISERROR(SEARCH("T",BB122)))</formula>
    </cfRule>
  </conditionalFormatting>
  <conditionalFormatting sqref="BB124:BH126">
    <cfRule type="containsText" dxfId="415" priority="269" operator="containsText" text="17">
      <formula>NOT(ISERROR(SEARCH("17",BB124)))</formula>
    </cfRule>
    <cfRule type="containsText" dxfId="414" priority="270" operator="containsText" text="T">
      <formula>NOT(ISERROR(SEARCH("T",BB124)))</formula>
    </cfRule>
  </conditionalFormatting>
  <conditionalFormatting sqref="BB194:BN194 BB196:BN198">
    <cfRule type="containsText" dxfId="413" priority="783" operator="containsText" text="17">
      <formula>NOT(ISERROR(SEARCH("17",BB194)))</formula>
    </cfRule>
  </conditionalFormatting>
  <conditionalFormatting sqref="BC34">
    <cfRule type="containsText" dxfId="412" priority="7927" operator="containsText" text="17">
      <formula>NOT(ISERROR(SEARCH("17",BC34)))</formula>
    </cfRule>
    <cfRule type="containsText" dxfId="411" priority="7928" operator="containsText" text="T">
      <formula>NOT(ISERROR(SEARCH("T",BC34)))</formula>
    </cfRule>
    <cfRule type="containsText" dxfId="410" priority="7929" operator="containsText" text="17">
      <formula>NOT(ISERROR(SEARCH("17",BC34)))</formula>
    </cfRule>
    <cfRule type="containsText" dxfId="409" priority="7930" operator="containsText" text="T">
      <formula>NOT(ISERROR(SEARCH("T",BC34)))</formula>
    </cfRule>
  </conditionalFormatting>
  <conditionalFormatting sqref="BC42:BC47">
    <cfRule type="containsText" dxfId="408" priority="472" operator="containsText" text="T">
      <formula>NOT(ISERROR(SEARCH("T",BC42)))</formula>
    </cfRule>
  </conditionalFormatting>
  <conditionalFormatting sqref="BC72:BC75">
    <cfRule type="containsText" dxfId="407" priority="286" operator="containsText" text="17">
      <formula>NOT(ISERROR(SEARCH("17",BC72)))</formula>
    </cfRule>
    <cfRule type="containsText" dxfId="406" priority="287" operator="containsText" text="T">
      <formula>NOT(ISERROR(SEARCH("T",BC72)))</formula>
    </cfRule>
  </conditionalFormatting>
  <conditionalFormatting sqref="BC106">
    <cfRule type="containsText" dxfId="405" priority="276" operator="containsText" text="17">
      <formula>NOT(ISERROR(SEARCH("17",BC106)))</formula>
    </cfRule>
    <cfRule type="containsText" dxfId="404" priority="277" operator="containsText" text="T">
      <formula>NOT(ISERROR(SEARCH("T",BC106)))</formula>
    </cfRule>
  </conditionalFormatting>
  <conditionalFormatting sqref="BC120">
    <cfRule type="containsText" dxfId="403" priority="256" operator="containsText" text="17">
      <formula>NOT(ISERROR(SEARCH("17",BC120)))</formula>
    </cfRule>
    <cfRule type="containsText" dxfId="402" priority="257" operator="containsText" text="T">
      <formula>NOT(ISERROR(SEARCH("T",BC120)))</formula>
    </cfRule>
  </conditionalFormatting>
  <conditionalFormatting sqref="BC122">
    <cfRule type="containsText" dxfId="401" priority="246" operator="containsText" text="17">
      <formula>NOT(ISERROR(SEARCH("17",BC122)))</formula>
    </cfRule>
    <cfRule type="containsText" dxfId="400" priority="247" operator="containsText" text="T">
      <formula>NOT(ISERROR(SEARCH("T",BC122)))</formula>
    </cfRule>
  </conditionalFormatting>
  <conditionalFormatting sqref="BC124:BC126">
    <cfRule type="containsText" dxfId="399" priority="266" operator="containsText" text="17">
      <formula>NOT(ISERROR(SEARCH("17",BC124)))</formula>
    </cfRule>
    <cfRule type="containsText" dxfId="398" priority="267" operator="containsText" text="T">
      <formula>NOT(ISERROR(SEARCH("T",BC124)))</formula>
    </cfRule>
  </conditionalFormatting>
  <conditionalFormatting sqref="BC199 BB206 BS127">
    <cfRule type="containsText" dxfId="397" priority="2012" operator="containsText" text="17">
      <formula>NOT(ISERROR(SEARCH("17",BB127)))</formula>
    </cfRule>
  </conditionalFormatting>
  <conditionalFormatting sqref="BC218:BC224">
    <cfRule type="containsText" dxfId="396" priority="370" operator="containsText" text="T">
      <formula>NOT(ISERROR(SEARCH("T",BC218)))</formula>
    </cfRule>
  </conditionalFormatting>
  <conditionalFormatting sqref="BC225:BC231 BG225:BI231">
    <cfRule type="containsText" dxfId="395" priority="358" operator="containsText" text="T">
      <formula>NOT(ISERROR(SEARCH("T",BC225)))</formula>
    </cfRule>
  </conditionalFormatting>
  <conditionalFormatting sqref="BC225:BD231 BG225:BI231">
    <cfRule type="containsText" dxfId="394" priority="359" operator="containsText" text="17">
      <formula>NOT(ISERROR(SEARCH("17",BC225)))</formula>
    </cfRule>
  </conditionalFormatting>
  <conditionalFormatting sqref="BC69:BI71">
    <cfRule type="containsText" dxfId="393" priority="209" operator="containsText" text="17">
      <formula>NOT(ISERROR(SEARCH("17",BC69)))</formula>
    </cfRule>
    <cfRule type="containsText" dxfId="392" priority="210" operator="containsText" text="T">
      <formula>NOT(ISERROR(SEARCH("T",BC69)))</formula>
    </cfRule>
  </conditionalFormatting>
  <conditionalFormatting sqref="BC103:BI104">
    <cfRule type="containsText" dxfId="391" priority="239" operator="containsText" text="17">
      <formula>NOT(ISERROR(SEARCH("17",BC103)))</formula>
    </cfRule>
    <cfRule type="containsText" dxfId="390" priority="240" operator="containsText" text="T">
      <formula>NOT(ISERROR(SEARCH("T",BC103)))</formula>
    </cfRule>
  </conditionalFormatting>
  <conditionalFormatting sqref="BC121:BI121">
    <cfRule type="containsText" dxfId="389" priority="229" operator="containsText" text="17">
      <formula>NOT(ISERROR(SEARCH("17",BC121)))</formula>
    </cfRule>
    <cfRule type="containsText" dxfId="388" priority="230" operator="containsText" text="T">
      <formula>NOT(ISERROR(SEARCH("T",BC121)))</formula>
    </cfRule>
  </conditionalFormatting>
  <conditionalFormatting sqref="BC123:BI123">
    <cfRule type="containsText" dxfId="387" priority="219" operator="containsText" text="17">
      <formula>NOT(ISERROR(SEARCH("17",BC123)))</formula>
    </cfRule>
    <cfRule type="containsText" dxfId="386" priority="220" operator="containsText" text="T">
      <formula>NOT(ISERROR(SEARCH("T",BC123)))</formula>
    </cfRule>
  </conditionalFormatting>
  <conditionalFormatting sqref="BC16:BO20">
    <cfRule type="containsText" dxfId="385" priority="8246" operator="containsText" text="17">
      <formula>NOT(ISERROR(SEARCH("17",BC16)))</formula>
    </cfRule>
  </conditionalFormatting>
  <conditionalFormatting sqref="BC182:BC183">
    <cfRule type="containsText" dxfId="384" priority="795" operator="containsText" text="17">
      <formula>NOT(ISERROR(SEARCH("17",BC182)))</formula>
    </cfRule>
  </conditionalFormatting>
  <conditionalFormatting sqref="BC189:BO190 BC186:BC188">
    <cfRule type="containsText" dxfId="383" priority="789" operator="containsText" text="17">
      <formula>NOT(ISERROR(SEARCH("17",BC186)))</formula>
    </cfRule>
  </conditionalFormatting>
  <conditionalFormatting sqref="BC199:BR199 BB206:BQ206 BS127">
    <cfRule type="containsText" dxfId="382" priority="4917" operator="containsText" text="17">
      <formula>NOT(ISERROR(SEARCH("17",BB127)))</formula>
    </cfRule>
  </conditionalFormatting>
  <conditionalFormatting sqref="BD69:BD71">
    <cfRule type="containsText" dxfId="381" priority="206" operator="containsText" text="17">
      <formula>NOT(ISERROR(SEARCH("17",BD69)))</formula>
    </cfRule>
    <cfRule type="containsText" dxfId="380" priority="207" operator="containsText" text="T">
      <formula>NOT(ISERROR(SEARCH("T",BD69)))</formula>
    </cfRule>
  </conditionalFormatting>
  <conditionalFormatting sqref="BD103:BD104">
    <cfRule type="containsText" dxfId="379" priority="236" operator="containsText" text="17">
      <formula>NOT(ISERROR(SEARCH("17",BD103)))</formula>
    </cfRule>
    <cfRule type="containsText" dxfId="378" priority="237" operator="containsText" text="T">
      <formula>NOT(ISERROR(SEARCH("T",BD103)))</formula>
    </cfRule>
  </conditionalFormatting>
  <conditionalFormatting sqref="BD113:BD116 BH113:BJ116">
    <cfRule type="containsText" dxfId="377" priority="338" operator="containsText" text="T">
      <formula>NOT(ISERROR(SEARCH("T",BD113)))</formula>
    </cfRule>
  </conditionalFormatting>
  <conditionalFormatting sqref="BD121">
    <cfRule type="containsText" dxfId="376" priority="226" operator="containsText" text="17">
      <formula>NOT(ISERROR(SEARCH("17",BD121)))</formula>
    </cfRule>
    <cfRule type="containsText" dxfId="375" priority="227" operator="containsText" text="T">
      <formula>NOT(ISERROR(SEARCH("T",BD121)))</formula>
    </cfRule>
  </conditionalFormatting>
  <conditionalFormatting sqref="BD123">
    <cfRule type="containsText" dxfId="374" priority="216" operator="containsText" text="17">
      <formula>NOT(ISERROR(SEARCH("17",BD123)))</formula>
    </cfRule>
    <cfRule type="containsText" dxfId="373" priority="217" operator="containsText" text="T">
      <formula>NOT(ISERROR(SEARCH("T",BD123)))</formula>
    </cfRule>
  </conditionalFormatting>
  <conditionalFormatting sqref="BD225:BD231">
    <cfRule type="containsText" dxfId="372" priority="360" operator="containsText" text="T">
      <formula>NOT(ISERROR(SEARCH("T",BD225)))</formula>
    </cfRule>
  </conditionalFormatting>
  <conditionalFormatting sqref="BD232:BD234 BH232:BJ234">
    <cfRule type="containsText" dxfId="371" priority="348" operator="containsText" text="T">
      <formula>NOT(ISERROR(SEARCH("T",BD232)))</formula>
    </cfRule>
  </conditionalFormatting>
  <conditionalFormatting sqref="BD113:BE116 BH113:BJ116">
    <cfRule type="containsText" dxfId="370" priority="339" operator="containsText" text="17">
      <formula>NOT(ISERROR(SEARCH("17",BD113)))</formula>
    </cfRule>
  </conditionalFormatting>
  <conditionalFormatting sqref="BD232:BE234 BH232:BV234">
    <cfRule type="containsText" dxfId="369" priority="349" operator="containsText" text="17">
      <formula>NOT(ISERROR(SEARCH("17",BD232)))</formula>
    </cfRule>
  </conditionalFormatting>
  <conditionalFormatting sqref="BD67:BJ68">
    <cfRule type="containsText" dxfId="368" priority="179" operator="containsText" text="17">
      <formula>NOT(ISERROR(SEARCH("17",BD67)))</formula>
    </cfRule>
    <cfRule type="containsText" dxfId="367" priority="180" operator="containsText" text="T">
      <formula>NOT(ISERROR(SEARCH("T",BD67)))</formula>
    </cfRule>
  </conditionalFormatting>
  <conditionalFormatting sqref="BD99:BJ102">
    <cfRule type="containsText" dxfId="366" priority="199" operator="containsText" text="17">
      <formula>NOT(ISERROR(SEARCH("17",BD99)))</formula>
    </cfRule>
    <cfRule type="containsText" dxfId="365" priority="200" operator="containsText" text="T">
      <formula>NOT(ISERROR(SEARCH("T",BD99)))</formula>
    </cfRule>
  </conditionalFormatting>
  <conditionalFormatting sqref="BD105:BJ105">
    <cfRule type="containsText" dxfId="364" priority="189" operator="containsText" text="17">
      <formula>NOT(ISERROR(SEARCH("17",BD105)))</formula>
    </cfRule>
    <cfRule type="containsText" dxfId="363" priority="190" operator="containsText" text="T">
      <formula>NOT(ISERROR(SEARCH("T",BD105)))</formula>
    </cfRule>
  </conditionalFormatting>
  <conditionalFormatting sqref="BD54:BN62 AZ59:AZ62">
    <cfRule type="containsText" dxfId="362" priority="408" operator="containsText" text="T">
      <formula>NOT(ISERROR(SEARCH("T",AZ54)))</formula>
    </cfRule>
  </conditionalFormatting>
  <conditionalFormatting sqref="BD35:CA39">
    <cfRule type="containsText" dxfId="361" priority="916" operator="containsText" text="T">
      <formula>NOT(ISERROR(SEARCH("T",BD35)))</formula>
    </cfRule>
  </conditionalFormatting>
  <conditionalFormatting sqref="BD41:CA45">
    <cfRule type="containsText" dxfId="360" priority="909" operator="containsText" text="T">
      <formula>NOT(ISERROR(SEARCH("T",BD41)))</formula>
    </cfRule>
  </conditionalFormatting>
  <conditionalFormatting sqref="BD47:CA47 BE48:CA48">
    <cfRule type="containsText" dxfId="359" priority="904" operator="containsText" text="T">
      <formula>NOT(ISERROR(SEARCH("T",BD47)))</formula>
    </cfRule>
  </conditionalFormatting>
  <conditionalFormatting sqref="BE67:BE68">
    <cfRule type="containsText" dxfId="358" priority="176" operator="containsText" text="17">
      <formula>NOT(ISERROR(SEARCH("17",BE67)))</formula>
    </cfRule>
    <cfRule type="containsText" dxfId="357" priority="177" operator="containsText" text="T">
      <formula>NOT(ISERROR(SEARCH("T",BE67)))</formula>
    </cfRule>
  </conditionalFormatting>
  <conditionalFormatting sqref="BE79:BE82 BI79:BK82">
    <cfRule type="containsText" dxfId="356" priority="318" operator="containsText" text="T">
      <formula>NOT(ISERROR(SEARCH("T",BE79)))</formula>
    </cfRule>
  </conditionalFormatting>
  <conditionalFormatting sqref="BE99:BE102">
    <cfRule type="containsText" dxfId="355" priority="196" operator="containsText" text="17">
      <formula>NOT(ISERROR(SEARCH("17",BE99)))</formula>
    </cfRule>
    <cfRule type="containsText" dxfId="354" priority="197" operator="containsText" text="T">
      <formula>NOT(ISERROR(SEARCH("T",BE99)))</formula>
    </cfRule>
  </conditionalFormatting>
  <conditionalFormatting sqref="BE105">
    <cfRule type="containsText" dxfId="353" priority="186" operator="containsText" text="17">
      <formula>NOT(ISERROR(SEARCH("17",BE105)))</formula>
    </cfRule>
    <cfRule type="containsText" dxfId="352" priority="187" operator="containsText" text="T">
      <formula>NOT(ISERROR(SEARCH("T",BE105)))</formula>
    </cfRule>
  </conditionalFormatting>
  <conditionalFormatting sqref="BE113:BE116">
    <cfRule type="containsText" dxfId="351" priority="340" operator="containsText" text="T">
      <formula>NOT(ISERROR(SEARCH("T",BE113)))</formula>
    </cfRule>
  </conditionalFormatting>
  <conditionalFormatting sqref="BE117:BE119 BI117:BK119">
    <cfRule type="containsText" dxfId="350" priority="328" operator="containsText" text="T">
      <formula>NOT(ISERROR(SEARCH("T",BE117)))</formula>
    </cfRule>
  </conditionalFormatting>
  <conditionalFormatting sqref="BE232:BE234">
    <cfRule type="containsText" dxfId="349" priority="350" operator="containsText" text="T">
      <formula>NOT(ISERROR(SEARCH("T",BE232)))</formula>
    </cfRule>
  </conditionalFormatting>
  <conditionalFormatting sqref="BE79:BF82 BI79:BK82">
    <cfRule type="containsText" dxfId="348" priority="319" operator="containsText" text="17">
      <formula>NOT(ISERROR(SEARCH("17",BE79)))</formula>
    </cfRule>
  </conditionalFormatting>
  <conditionalFormatting sqref="BE117:BF119 BI117:CI119">
    <cfRule type="containsText" dxfId="347" priority="329" operator="containsText" text="17">
      <formula>NOT(ISERROR(SEARCH("17",BE117)))</formula>
    </cfRule>
  </conditionalFormatting>
  <conditionalFormatting sqref="BE199:BF199 BD206:BE206">
    <cfRule type="containsText" dxfId="346" priority="2008" operator="containsText" text="17">
      <formula>NOT(ISERROR(SEARCH("17",BD199)))</formula>
    </cfRule>
    <cfRule type="containsText" dxfId="345" priority="2009" operator="containsText" text="T">
      <formula>NOT(ISERROR(SEARCH("T",BD199)))</formula>
    </cfRule>
  </conditionalFormatting>
  <conditionalFormatting sqref="BE97:BK98">
    <cfRule type="containsText" dxfId="344" priority="169" operator="containsText" text="17">
      <formula>NOT(ISERROR(SEARCH("17",BE97)))</formula>
    </cfRule>
    <cfRule type="containsText" dxfId="343" priority="170" operator="containsText" text="T">
      <formula>NOT(ISERROR(SEARCH("T",BE97)))</formula>
    </cfRule>
  </conditionalFormatting>
  <conditionalFormatting sqref="BE131:BK137">
    <cfRule type="containsText" dxfId="342" priority="159" operator="containsText" text="17">
      <formula>NOT(ISERROR(SEARCH("17",BE131)))</formula>
    </cfRule>
    <cfRule type="containsText" dxfId="341" priority="160" operator="containsText" text="T">
      <formula>NOT(ISERROR(SEARCH("T",BE131)))</formula>
    </cfRule>
  </conditionalFormatting>
  <conditionalFormatting sqref="BE23:BQ27">
    <cfRule type="containsText" dxfId="340" priority="929" operator="containsText" text="17">
      <formula>NOT(ISERROR(SEARCH("17",BE23)))</formula>
    </cfRule>
  </conditionalFormatting>
  <conditionalFormatting sqref="BF79:BF82">
    <cfRule type="containsText" dxfId="339" priority="320" operator="containsText" text="T">
      <formula>NOT(ISERROR(SEARCH("T",BF79)))</formula>
    </cfRule>
  </conditionalFormatting>
  <conditionalFormatting sqref="BF93:BF96 AZ94:BB96 BG94:BI96 BS97 BM231:BV234">
    <cfRule type="containsText" dxfId="338" priority="8443" operator="containsText" text="T">
      <formula>NOT(ISERROR(SEARCH("T",AZ93)))</formula>
    </cfRule>
  </conditionalFormatting>
  <conditionalFormatting sqref="BF93:BF96 AZ94:BB96 BS97 BG94:BI96 BM231:BV234">
    <cfRule type="containsText" dxfId="337" priority="8442" operator="containsText" text="17">
      <formula>NOT(ISERROR(SEARCH("17",AZ93)))</formula>
    </cfRule>
  </conditionalFormatting>
  <conditionalFormatting sqref="BF97:BF98">
    <cfRule type="containsText" dxfId="336" priority="166" operator="containsText" text="17">
      <formula>NOT(ISERROR(SEARCH("17",BF97)))</formula>
    </cfRule>
    <cfRule type="containsText" dxfId="335" priority="167" operator="containsText" text="T">
      <formula>NOT(ISERROR(SEARCH("T",BF97)))</formula>
    </cfRule>
  </conditionalFormatting>
  <conditionalFormatting sqref="BF117:BF119">
    <cfRule type="containsText" dxfId="334" priority="330" operator="containsText" text="T">
      <formula>NOT(ISERROR(SEARCH("T",BF117)))</formula>
    </cfRule>
  </conditionalFormatting>
  <conditionalFormatting sqref="BF131:BF137">
    <cfRule type="containsText" dxfId="333" priority="156" operator="containsText" text="17">
      <formula>NOT(ISERROR(SEARCH("17",BF131)))</formula>
    </cfRule>
    <cfRule type="containsText" dxfId="332" priority="157" operator="containsText" text="T">
      <formula>NOT(ISERROR(SEARCH("T",BF131)))</formula>
    </cfRule>
  </conditionalFormatting>
  <conditionalFormatting sqref="BF138:BL144">
    <cfRule type="containsText" dxfId="331" priority="149" operator="containsText" text="17">
      <formula>NOT(ISERROR(SEARCH("17",BF138)))</formula>
    </cfRule>
    <cfRule type="containsText" dxfId="330" priority="150" operator="containsText" text="T">
      <formula>NOT(ISERROR(SEARCH("T",BF138)))</formula>
    </cfRule>
  </conditionalFormatting>
  <conditionalFormatting sqref="BF50:CA52 BF53:BN53">
    <cfRule type="containsText" dxfId="329" priority="899" operator="containsText" text="T">
      <formula>NOT(ISERROR(SEARCH("T",BF50)))</formula>
    </cfRule>
  </conditionalFormatting>
  <conditionalFormatting sqref="BG76:BG78 BK76:BM78">
    <cfRule type="containsText" dxfId="328" priority="293" operator="containsText" text="T">
      <formula>NOT(ISERROR(SEARCH("T",BG76)))</formula>
    </cfRule>
  </conditionalFormatting>
  <conditionalFormatting sqref="BG86 BG93:BI93">
    <cfRule type="containsText" dxfId="327" priority="3967" operator="containsText" text="17">
      <formula>NOT(ISERROR(SEARCH("17",BG86)))</formula>
    </cfRule>
    <cfRule type="containsText" dxfId="326" priority="3968" operator="containsText" text="T">
      <formula>NOT(ISERROR(SEARCH("T",BG86)))</formula>
    </cfRule>
  </conditionalFormatting>
  <conditionalFormatting sqref="BG107:BG112 BK107:BM112">
    <cfRule type="containsText" dxfId="325" priority="303" operator="containsText" text="T">
      <formula>NOT(ISERROR(SEARCH("T",BG107)))</formula>
    </cfRule>
  </conditionalFormatting>
  <conditionalFormatting sqref="BG138:BG144">
    <cfRule type="containsText" dxfId="324" priority="146" operator="containsText" text="17">
      <formula>NOT(ISERROR(SEARCH("17",BG138)))</formula>
    </cfRule>
    <cfRule type="containsText" dxfId="323" priority="147" operator="containsText" text="T">
      <formula>NOT(ISERROR(SEARCH("T",BG138)))</formula>
    </cfRule>
  </conditionalFormatting>
  <conditionalFormatting sqref="BG76:BH78 BK76:BM78">
    <cfRule type="containsText" dxfId="322" priority="294" operator="containsText" text="17">
      <formula>NOT(ISERROR(SEARCH("17",BG76)))</formula>
    </cfRule>
  </conditionalFormatting>
  <conditionalFormatting sqref="BG107:BH112 BK107:BM112">
    <cfRule type="containsText" dxfId="321" priority="304" operator="containsText" text="17">
      <formula>NOT(ISERROR(SEARCH("17",BG107)))</formula>
    </cfRule>
  </conditionalFormatting>
  <conditionalFormatting sqref="BG145:BM151">
    <cfRule type="containsText" dxfId="320" priority="139" operator="containsText" text="17">
      <formula>NOT(ISERROR(SEARCH("17",BG145)))</formula>
    </cfRule>
    <cfRule type="containsText" dxfId="319" priority="140" operator="containsText" text="T">
      <formula>NOT(ISERROR(SEARCH("T",BG145)))</formula>
    </cfRule>
  </conditionalFormatting>
  <conditionalFormatting sqref="BG35:BQ39">
    <cfRule type="containsText" dxfId="318" priority="920" operator="containsText" text="17">
      <formula>NOT(ISERROR(SEARCH("17",BG35)))</formula>
    </cfRule>
  </conditionalFormatting>
  <conditionalFormatting sqref="BG41:BQ45">
    <cfRule type="containsText" dxfId="317" priority="913" operator="containsText" text="17">
      <formula>NOT(ISERROR(SEARCH("17",BG41)))</formula>
    </cfRule>
  </conditionalFormatting>
  <conditionalFormatting sqref="BG47:BQ48">
    <cfRule type="containsText" dxfId="316" priority="908" operator="containsText" text="17">
      <formula>NOT(ISERROR(SEARCH("17",BG47)))</formula>
    </cfRule>
  </conditionalFormatting>
  <conditionalFormatting sqref="BG50:BQ52">
    <cfRule type="containsText" dxfId="315" priority="903" operator="containsText" text="17">
      <formula>NOT(ISERROR(SEARCH("17",BG50)))</formula>
    </cfRule>
  </conditionalFormatting>
  <conditionalFormatting sqref="BG30:BS33">
    <cfRule type="containsText" dxfId="314" priority="923" operator="containsText" text="17">
      <formula>NOT(ISERROR(SEARCH("17",BG30)))</formula>
    </cfRule>
  </conditionalFormatting>
  <conditionalFormatting sqref="BG36:BS39">
    <cfRule type="containsText" dxfId="313" priority="917" operator="containsText" text="17">
      <formula>NOT(ISERROR(SEARCH("17",BG36)))</formula>
    </cfRule>
  </conditionalFormatting>
  <conditionalFormatting sqref="BG42:BS45">
    <cfRule type="containsText" dxfId="312" priority="910" operator="containsText" text="17">
      <formula>NOT(ISERROR(SEARCH("17",BG42)))</formula>
    </cfRule>
  </conditionalFormatting>
  <conditionalFormatting sqref="BG48:BS48">
    <cfRule type="containsText" dxfId="311" priority="905" operator="containsText" text="17">
      <formula>NOT(ISERROR(SEARCH("17",BG48)))</formula>
    </cfRule>
  </conditionalFormatting>
  <conditionalFormatting sqref="BG51:BS52 BG53:BN66">
    <cfRule type="containsText" dxfId="310" priority="900" operator="containsText" text="17">
      <formula>NOT(ISERROR(SEARCH("17",BG51)))</formula>
    </cfRule>
  </conditionalFormatting>
  <conditionalFormatting sqref="BH72:BH75 BL72:BN75">
    <cfRule type="containsText" dxfId="309" priority="283" operator="containsText" text="T">
      <formula>NOT(ISERROR(SEARCH("T",BH72)))</formula>
    </cfRule>
  </conditionalFormatting>
  <conditionalFormatting sqref="BH76:BH78">
    <cfRule type="containsText" dxfId="308" priority="295" operator="containsText" text="T">
      <formula>NOT(ISERROR(SEARCH("T",BH76)))</formula>
    </cfRule>
  </conditionalFormatting>
  <conditionalFormatting sqref="BH106 BL106:BN106">
    <cfRule type="containsText" dxfId="307" priority="273" operator="containsText" text="T">
      <formula>NOT(ISERROR(SEARCH("T",BH106)))</formula>
    </cfRule>
  </conditionalFormatting>
  <conditionalFormatting sqref="BH107:BH112">
    <cfRule type="containsText" dxfId="306" priority="305" operator="containsText" text="T">
      <formula>NOT(ISERROR(SEARCH("T",BH107)))</formula>
    </cfRule>
  </conditionalFormatting>
  <conditionalFormatting sqref="BH120 BL120:BN120">
    <cfRule type="containsText" dxfId="305" priority="253" operator="containsText" text="T">
      <formula>NOT(ISERROR(SEARCH("T",BH120)))</formula>
    </cfRule>
  </conditionalFormatting>
  <conditionalFormatting sqref="BH122 BL122:BN122">
    <cfRule type="containsText" dxfId="304" priority="243" operator="containsText" text="T">
      <formula>NOT(ISERROR(SEARCH("T",BH122)))</formula>
    </cfRule>
  </conditionalFormatting>
  <conditionalFormatting sqref="BH124:BH126 BL124:BN126">
    <cfRule type="containsText" dxfId="303" priority="263" operator="containsText" text="T">
      <formula>NOT(ISERROR(SEARCH("T",BH124)))</formula>
    </cfRule>
  </conditionalFormatting>
  <conditionalFormatting sqref="BH145:BH151">
    <cfRule type="containsText" dxfId="302" priority="136" operator="containsText" text="17">
      <formula>NOT(ISERROR(SEARCH("17",BH145)))</formula>
    </cfRule>
    <cfRule type="containsText" dxfId="301" priority="137" operator="containsText" text="T">
      <formula>NOT(ISERROR(SEARCH("T",BH145)))</formula>
    </cfRule>
  </conditionalFormatting>
  <conditionalFormatting sqref="BH72:BI75 BL72:BN75">
    <cfRule type="containsText" dxfId="300" priority="284" operator="containsText" text="17">
      <formula>NOT(ISERROR(SEARCH("17",BH72)))</formula>
    </cfRule>
  </conditionalFormatting>
  <conditionalFormatting sqref="BH106:BI106 BL106:CJ106">
    <cfRule type="containsText" dxfId="299" priority="274" operator="containsText" text="17">
      <formula>NOT(ISERROR(SEARCH("17",BH106)))</formula>
    </cfRule>
  </conditionalFormatting>
  <conditionalFormatting sqref="BH120:BI120 BL120:CI120">
    <cfRule type="containsText" dxfId="298" priority="254" operator="containsText" text="17">
      <formula>NOT(ISERROR(SEARCH("17",BH120)))</formula>
    </cfRule>
  </conditionalFormatting>
  <conditionalFormatting sqref="BH122:BI122 BL122:BN122">
    <cfRule type="containsText" dxfId="297" priority="244" operator="containsText" text="17">
      <formula>NOT(ISERROR(SEARCH("17",BH122)))</formula>
    </cfRule>
  </conditionalFormatting>
  <conditionalFormatting sqref="BH124:BI126 BL124:BZ126">
    <cfRule type="containsText" dxfId="296" priority="264" operator="containsText" text="17">
      <formula>NOT(ISERROR(SEARCH("17",BH124)))</formula>
    </cfRule>
  </conditionalFormatting>
  <conditionalFormatting sqref="BH214:BI216">
    <cfRule type="containsText" dxfId="295" priority="5723" operator="containsText" text="17">
      <formula>NOT(ISERROR(SEARCH("17",BH214)))</formula>
    </cfRule>
    <cfRule type="containsText" dxfId="294" priority="5724" operator="containsText" text="T">
      <formula>NOT(ISERROR(SEARCH("T",BH214)))</formula>
    </cfRule>
  </conditionalFormatting>
  <conditionalFormatting sqref="BH152:BN158">
    <cfRule type="containsText" dxfId="293" priority="129" operator="containsText" text="17">
      <formula>NOT(ISERROR(SEARCH("17",BH152)))</formula>
    </cfRule>
    <cfRule type="containsText" dxfId="292" priority="130" operator="containsText" text="T">
      <formula>NOT(ISERROR(SEARCH("T",BH152)))</formula>
    </cfRule>
  </conditionalFormatting>
  <conditionalFormatting sqref="BH84:CE89">
    <cfRule type="containsText" dxfId="291" priority="876" operator="containsText" text="17">
      <formula>NOT(ISERROR(SEARCH("17",BH84)))</formula>
    </cfRule>
  </conditionalFormatting>
  <conditionalFormatting sqref="BI69:BI71 BM69:BO71">
    <cfRule type="containsText" dxfId="290" priority="203" operator="containsText" text="T">
      <formula>NOT(ISERROR(SEARCH("T",BI69)))</formula>
    </cfRule>
  </conditionalFormatting>
  <conditionalFormatting sqref="BI72:BI75">
    <cfRule type="containsText" dxfId="289" priority="285" operator="containsText" text="T">
      <formula>NOT(ISERROR(SEARCH("T",BI72)))</formula>
    </cfRule>
  </conditionalFormatting>
  <conditionalFormatting sqref="BI103:BI104 BM103:BO104">
    <cfRule type="containsText" dxfId="288" priority="233" operator="containsText" text="T">
      <formula>NOT(ISERROR(SEARCH("T",BI103)))</formula>
    </cfRule>
  </conditionalFormatting>
  <conditionalFormatting sqref="BI106">
    <cfRule type="containsText" dxfId="287" priority="275" operator="containsText" text="T">
      <formula>NOT(ISERROR(SEARCH("T",BI106)))</formula>
    </cfRule>
  </conditionalFormatting>
  <conditionalFormatting sqref="BI120">
    <cfRule type="containsText" dxfId="286" priority="255" operator="containsText" text="T">
      <formula>NOT(ISERROR(SEARCH("T",BI120)))</formula>
    </cfRule>
  </conditionalFormatting>
  <conditionalFormatting sqref="BI121 BM121:BO121">
    <cfRule type="containsText" dxfId="285" priority="223" operator="containsText" text="T">
      <formula>NOT(ISERROR(SEARCH("T",BI121)))</formula>
    </cfRule>
  </conditionalFormatting>
  <conditionalFormatting sqref="BI122">
    <cfRule type="containsText" dxfId="284" priority="245" operator="containsText" text="T">
      <formula>NOT(ISERROR(SEARCH("T",BI122)))</formula>
    </cfRule>
  </conditionalFormatting>
  <conditionalFormatting sqref="BI123 BM123:BO123">
    <cfRule type="containsText" dxfId="283" priority="213" operator="containsText" text="T">
      <formula>NOT(ISERROR(SEARCH("T",BI123)))</formula>
    </cfRule>
  </conditionalFormatting>
  <conditionalFormatting sqref="BI124:BI126">
    <cfRule type="containsText" dxfId="282" priority="265" operator="containsText" text="T">
      <formula>NOT(ISERROR(SEARCH("T",BI124)))</formula>
    </cfRule>
  </conditionalFormatting>
  <conditionalFormatting sqref="BI152:BI158">
    <cfRule type="containsText" dxfId="281" priority="126" operator="containsText" text="17">
      <formula>NOT(ISERROR(SEARCH("17",BI152)))</formula>
    </cfRule>
    <cfRule type="containsText" dxfId="280" priority="127" operator="containsText" text="T">
      <formula>NOT(ISERROR(SEARCH("T",BI152)))</formula>
    </cfRule>
  </conditionalFormatting>
  <conditionalFormatting sqref="BI69:BJ71 BM69:BO71">
    <cfRule type="containsText" dxfId="279" priority="204" operator="containsText" text="17">
      <formula>NOT(ISERROR(SEARCH("17",BI69)))</formula>
    </cfRule>
  </conditionalFormatting>
  <conditionalFormatting sqref="BI103:BJ104 BM103:BO104">
    <cfRule type="containsText" dxfId="278" priority="234" operator="containsText" text="17">
      <formula>NOT(ISERROR(SEARCH("17",BI103)))</formula>
    </cfRule>
  </conditionalFormatting>
  <conditionalFormatting sqref="BI121:BJ121 BM121:BO121">
    <cfRule type="containsText" dxfId="277" priority="224" operator="containsText" text="17">
      <formula>NOT(ISERROR(SEARCH("17",BI121)))</formula>
    </cfRule>
  </conditionalFormatting>
  <conditionalFormatting sqref="BI123:BJ123 BM123:BZ123">
    <cfRule type="containsText" dxfId="276" priority="214" operator="containsText" text="17">
      <formula>NOT(ISERROR(SEARCH("17",BI123)))</formula>
    </cfRule>
  </conditionalFormatting>
  <conditionalFormatting sqref="BI214:BJ216 BM214:BM216">
    <cfRule type="containsText" dxfId="275" priority="5730" operator="containsText" text="T">
      <formula>NOT(ISERROR(SEARCH("T",BI214)))</formula>
    </cfRule>
  </conditionalFormatting>
  <conditionalFormatting sqref="BI159:BO165">
    <cfRule type="containsText" dxfId="274" priority="119" operator="containsText" text="17">
      <formula>NOT(ISERROR(SEARCH("17",BI159)))</formula>
    </cfRule>
    <cfRule type="containsText" dxfId="273" priority="120" operator="containsText" text="T">
      <formula>NOT(ISERROR(SEARCH("T",BI159)))</formula>
    </cfRule>
  </conditionalFormatting>
  <conditionalFormatting sqref="BJ67:BJ68 BN67:BP68">
    <cfRule type="containsText" dxfId="272" priority="173" operator="containsText" text="T">
      <formula>NOT(ISERROR(SEARCH("T",BJ67)))</formula>
    </cfRule>
  </conditionalFormatting>
  <conditionalFormatting sqref="BJ69:BJ71">
    <cfRule type="containsText" dxfId="271" priority="205" operator="containsText" text="T">
      <formula>NOT(ISERROR(SEARCH("T",BJ69)))</formula>
    </cfRule>
  </conditionalFormatting>
  <conditionalFormatting sqref="BJ99:BJ102 BN99:BP102">
    <cfRule type="containsText" dxfId="270" priority="193" operator="containsText" text="T">
      <formula>NOT(ISERROR(SEARCH("T",BJ99)))</formula>
    </cfRule>
  </conditionalFormatting>
  <conditionalFormatting sqref="BJ103:BJ104">
    <cfRule type="containsText" dxfId="269" priority="235" operator="containsText" text="T">
      <formula>NOT(ISERROR(SEARCH("T",BJ103)))</formula>
    </cfRule>
  </conditionalFormatting>
  <conditionalFormatting sqref="BJ105 BN105:BP105">
    <cfRule type="containsText" dxfId="268" priority="183" operator="containsText" text="T">
      <formula>NOT(ISERROR(SEARCH("T",BJ105)))</formula>
    </cfRule>
  </conditionalFormatting>
  <conditionalFormatting sqref="BJ121">
    <cfRule type="containsText" dxfId="267" priority="225" operator="containsText" text="T">
      <formula>NOT(ISERROR(SEARCH("T",BJ121)))</formula>
    </cfRule>
  </conditionalFormatting>
  <conditionalFormatting sqref="BJ123">
    <cfRule type="containsText" dxfId="266" priority="215" operator="containsText" text="T">
      <formula>NOT(ISERROR(SEARCH("T",BJ123)))</formula>
    </cfRule>
  </conditionalFormatting>
  <conditionalFormatting sqref="BJ159:BJ165">
    <cfRule type="containsText" dxfId="265" priority="116" operator="containsText" text="17">
      <formula>NOT(ISERROR(SEARCH("17",BJ159)))</formula>
    </cfRule>
    <cfRule type="containsText" dxfId="264" priority="117" operator="containsText" text="T">
      <formula>NOT(ISERROR(SEARCH("T",BJ159)))</formula>
    </cfRule>
  </conditionalFormatting>
  <conditionalFormatting sqref="BJ199 BI206">
    <cfRule type="containsText" dxfId="263" priority="4915" operator="containsText" text="17">
      <formula>NOT(ISERROR(SEARCH("17",BI199)))</formula>
    </cfRule>
    <cfRule type="containsText" dxfId="262" priority="4916" operator="containsText" text="T">
      <formula>NOT(ISERROR(SEARCH("T",BI199)))</formula>
    </cfRule>
  </conditionalFormatting>
  <conditionalFormatting sqref="BJ67:BK68 BN67:BP68">
    <cfRule type="containsText" dxfId="261" priority="174" operator="containsText" text="17">
      <formula>NOT(ISERROR(SEARCH("17",BJ67)))</formula>
    </cfRule>
  </conditionalFormatting>
  <conditionalFormatting sqref="BJ99:BK102 BN99:BP102">
    <cfRule type="containsText" dxfId="260" priority="194" operator="containsText" text="17">
      <formula>NOT(ISERROR(SEARCH("17",BJ99)))</formula>
    </cfRule>
  </conditionalFormatting>
  <conditionalFormatting sqref="BJ105:BK105 BN105:CJ105">
    <cfRule type="containsText" dxfId="259" priority="184" operator="containsText" text="17">
      <formula>NOT(ISERROR(SEARCH("17",BJ105)))</formula>
    </cfRule>
  </conditionalFormatting>
  <conditionalFormatting sqref="BJ207:BP213">
    <cfRule type="containsText" dxfId="258" priority="109" operator="containsText" text="17">
      <formula>NOT(ISERROR(SEARCH("17",BJ207)))</formula>
    </cfRule>
    <cfRule type="containsText" dxfId="257" priority="110" operator="containsText" text="T">
      <formula>NOT(ISERROR(SEARCH("T",BJ207)))</formula>
    </cfRule>
  </conditionalFormatting>
  <conditionalFormatting sqref="BJ228:BV231 BK232:BV234">
    <cfRule type="containsText" dxfId="256" priority="5554" operator="containsText" text="T">
      <formula>NOT(ISERROR(SEARCH("T",BJ228)))</formula>
    </cfRule>
    <cfRule type="containsText" dxfId="255" priority="5557" operator="containsText" text="17">
      <formula>NOT(ISERROR(SEARCH("17",BJ228)))</formula>
    </cfRule>
  </conditionalFormatting>
  <conditionalFormatting sqref="BJ228:BV231 BK232:CP234">
    <cfRule type="containsText" dxfId="254" priority="5558" operator="containsText" text="T">
      <formula>NOT(ISERROR(SEARCH("T",BJ228)))</formula>
    </cfRule>
  </conditionalFormatting>
  <conditionalFormatting sqref="BJ228:BV231">
    <cfRule type="containsText" dxfId="253" priority="5553" operator="containsText" text="17">
      <formula>NOT(ISERROR(SEARCH("17",BJ228)))</formula>
    </cfRule>
  </conditionalFormatting>
  <conditionalFormatting sqref="BK67:BK68">
    <cfRule type="containsText" dxfId="252" priority="175" operator="containsText" text="T">
      <formula>NOT(ISERROR(SEARCH("T",BK67)))</formula>
    </cfRule>
  </conditionalFormatting>
  <conditionalFormatting sqref="BK97:BK98 BO97:CP98">
    <cfRule type="containsText" dxfId="251" priority="163" operator="containsText" text="T">
      <formula>NOT(ISERROR(SEARCH("T",BK97)))</formula>
    </cfRule>
  </conditionalFormatting>
  <conditionalFormatting sqref="BK99:BK102">
    <cfRule type="containsText" dxfId="250" priority="195" operator="containsText" text="T">
      <formula>NOT(ISERROR(SEARCH("T",BK99)))</formula>
    </cfRule>
  </conditionalFormatting>
  <conditionalFormatting sqref="BK105">
    <cfRule type="containsText" dxfId="249" priority="185" operator="containsText" text="T">
      <formula>NOT(ISERROR(SEARCH("T",BK105)))</formula>
    </cfRule>
  </conditionalFormatting>
  <conditionalFormatting sqref="BK131:BK137 BO131:BQ137">
    <cfRule type="containsText" dxfId="248" priority="153" operator="containsText" text="T">
      <formula>NOT(ISERROR(SEARCH("T",BK131)))</formula>
    </cfRule>
  </conditionalFormatting>
  <conditionalFormatting sqref="BK207:BK213">
    <cfRule type="containsText" dxfId="247" priority="106" operator="containsText" text="17">
      <formula>NOT(ISERROR(SEARCH("17",BK207)))</formula>
    </cfRule>
    <cfRule type="containsText" dxfId="246" priority="107" operator="containsText" text="T">
      <formula>NOT(ISERROR(SEARCH("T",BK207)))</formula>
    </cfRule>
  </conditionalFormatting>
  <conditionalFormatting sqref="BK199 BJ206">
    <cfRule type="containsText" dxfId="245" priority="4931" operator="containsText" text="17">
      <formula>NOT(ISERROR(SEARCH("17",BJ199)))</formula>
    </cfRule>
    <cfRule type="containsText" dxfId="244" priority="4932" operator="containsText" text="T">
      <formula>NOT(ISERROR(SEARCH("T",BJ199)))</formula>
    </cfRule>
  </conditionalFormatting>
  <conditionalFormatting sqref="BK217:BK223 BL224:BL230">
    <cfRule type="containsText" dxfId="243" priority="5481" operator="containsText" text="17">
      <formula>NOT(ISERROR(SEARCH("17",BK217)))</formula>
    </cfRule>
    <cfRule type="containsText" dxfId="242" priority="5482" operator="containsText" text="T">
      <formula>NOT(ISERROR(SEARCH("T",BK217)))</formula>
    </cfRule>
  </conditionalFormatting>
  <conditionalFormatting sqref="BK97:BL98 BO97:CP98">
    <cfRule type="containsText" dxfId="241" priority="164" operator="containsText" text="17">
      <formula>NOT(ISERROR(SEARCH("17",BK97)))</formula>
    </cfRule>
  </conditionalFormatting>
  <conditionalFormatting sqref="BK131:BL137 BO131:BQ137">
    <cfRule type="containsText" dxfId="240" priority="154" operator="containsText" text="17">
      <formula>NOT(ISERROR(SEARCH("17",BK131)))</formula>
    </cfRule>
  </conditionalFormatting>
  <conditionalFormatting sqref="BK217:BN217">
    <cfRule type="containsText" dxfId="239" priority="5179" operator="containsText" text="17">
      <formula>NOT(ISERROR(SEARCH("17",BK217)))</formula>
    </cfRule>
    <cfRule type="containsText" dxfId="238" priority="5180" operator="containsText" text="T">
      <formula>NOT(ISERROR(SEARCH("T",BK217)))</formula>
    </cfRule>
  </conditionalFormatting>
  <conditionalFormatting sqref="BK218:BN223">
    <cfRule type="containsText" dxfId="237" priority="5487" operator="containsText" text="17">
      <formula>NOT(ISERROR(SEARCH("17",BK218)))</formula>
    </cfRule>
    <cfRule type="containsText" dxfId="236" priority="5488" operator="containsText" text="T">
      <formula>NOT(ISERROR(SEARCH("T",BK218)))</formula>
    </cfRule>
  </conditionalFormatting>
  <conditionalFormatting sqref="BK85:BW89">
    <cfRule type="containsText" dxfId="235" priority="877" operator="containsText" text="17">
      <formula>NOT(ISERROR(SEARCH("17",BK85)))</formula>
    </cfRule>
  </conditionalFormatting>
  <conditionalFormatting sqref="BL79">
    <cfRule type="containsText" dxfId="234" priority="3735" operator="containsText" text="17">
      <formula>NOT(ISERROR(SEARCH("17",BL79)))</formula>
    </cfRule>
    <cfRule type="containsText" dxfId="233" priority="3736" operator="containsText" text="T">
      <formula>NOT(ISERROR(SEARCH("T",BL79)))</formula>
    </cfRule>
  </conditionalFormatting>
  <conditionalFormatting sqref="BL97:BL98">
    <cfRule type="containsText" dxfId="232" priority="165" operator="containsText" text="T">
      <formula>NOT(ISERROR(SEARCH("T",BL97)))</formula>
    </cfRule>
  </conditionalFormatting>
  <conditionalFormatting sqref="BL131:BL137">
    <cfRule type="containsText" dxfId="231" priority="155" operator="containsText" text="T">
      <formula>NOT(ISERROR(SEARCH("T",BL131)))</formula>
    </cfRule>
  </conditionalFormatting>
  <conditionalFormatting sqref="BL138:BL144 BP138:BR144">
    <cfRule type="containsText" dxfId="230" priority="143" operator="containsText" text="T">
      <formula>NOT(ISERROR(SEARCH("T",BL138)))</formula>
    </cfRule>
  </conditionalFormatting>
  <conditionalFormatting sqref="BL138:BM144 BP138:BR144">
    <cfRule type="containsText" dxfId="229" priority="144" operator="containsText" text="17">
      <formula>NOT(ISERROR(SEARCH("17",BL138)))</formula>
    </cfRule>
  </conditionalFormatting>
  <conditionalFormatting sqref="BL199:BM199 BK206:BL206">
    <cfRule type="containsText" dxfId="228" priority="2006" operator="containsText" text="17">
      <formula>NOT(ISERROR(SEARCH("17",BK199)))</formula>
    </cfRule>
    <cfRule type="containsText" dxfId="227" priority="2007" operator="containsText" text="T">
      <formula>NOT(ISERROR(SEARCH("T",BK199)))</formula>
    </cfRule>
  </conditionalFormatting>
  <conditionalFormatting sqref="BL224:BP230 BO214:BO223">
    <cfRule type="containsText" dxfId="226" priority="5485" operator="containsText" text="17">
      <formula>NOT(ISERROR(SEARCH("17",BL214)))</formula>
    </cfRule>
  </conditionalFormatting>
  <conditionalFormatting sqref="BL217:BQ217">
    <cfRule type="containsText" dxfId="225" priority="5181" operator="containsText" text="17">
      <formula>NOT(ISERROR(SEARCH("17",BL217)))</formula>
    </cfRule>
    <cfRule type="containsText" dxfId="224" priority="5182" operator="containsText" text="T">
      <formula>NOT(ISERROR(SEARCH("T",BL217)))</formula>
    </cfRule>
  </conditionalFormatting>
  <conditionalFormatting sqref="BL218:BQ223 BM224:BV230">
    <cfRule type="containsText" dxfId="223" priority="5493" operator="containsText" text="17">
      <formula>NOT(ISERROR(SEARCH("17",BL218)))</formula>
    </cfRule>
    <cfRule type="containsText" dxfId="222" priority="5494" operator="containsText" text="T">
      <formula>NOT(ISERROR(SEARCH("T",BL218)))</formula>
    </cfRule>
  </conditionalFormatting>
  <conditionalFormatting sqref="BM138:BM144">
    <cfRule type="containsText" dxfId="221" priority="145" operator="containsText" text="T">
      <formula>NOT(ISERROR(SEARCH("T",BM138)))</formula>
    </cfRule>
  </conditionalFormatting>
  <conditionalFormatting sqref="BM145:BM151 BQ145:BS151">
    <cfRule type="containsText" dxfId="220" priority="133" operator="containsText" text="T">
      <formula>NOT(ISERROR(SEARCH("T",BM145)))</formula>
    </cfRule>
  </conditionalFormatting>
  <conditionalFormatting sqref="BM214:BM216 BI214:BJ216">
    <cfRule type="containsText" dxfId="219" priority="5729" operator="containsText" text="17">
      <formula>NOT(ISERROR(SEARCH("17",BI214)))</formula>
    </cfRule>
  </conditionalFormatting>
  <conditionalFormatting sqref="BM214:BM216">
    <cfRule type="containsText" dxfId="218" priority="5727" operator="containsText" text="17">
      <formula>NOT(ISERROR(SEARCH("17",BM214)))</formula>
    </cfRule>
    <cfRule type="containsText" dxfId="217" priority="5728" operator="containsText" text="T">
      <formula>NOT(ISERROR(SEARCH("T",BM214)))</formula>
    </cfRule>
  </conditionalFormatting>
  <conditionalFormatting sqref="BM145:BN151 BQ145:BS151">
    <cfRule type="containsText" dxfId="216" priority="134" operator="containsText" text="17">
      <formula>NOT(ISERROR(SEARCH("17",BM145)))</formula>
    </cfRule>
  </conditionalFormatting>
  <conditionalFormatting sqref="BM193:BN215 BP193:BU215 BN200:BO206 BQ200:BV206 BN192:BW199">
    <cfRule type="containsText" dxfId="215" priority="785" operator="containsText" text="T">
      <formula>NOT(ISERROR(SEARCH("T",BM192)))</formula>
    </cfRule>
  </conditionalFormatting>
  <conditionalFormatting sqref="BM193:BU215 BN200:BV206 BN192:BW199">
    <cfRule type="containsText" dxfId="214" priority="784" operator="containsText" text="17">
      <formula>NOT(ISERROR(SEARCH("17",BM192)))</formula>
    </cfRule>
  </conditionalFormatting>
  <conditionalFormatting sqref="BM92:BY96">
    <cfRule type="containsText" dxfId="213" priority="871" operator="containsText" text="17">
      <formula>NOT(ISERROR(SEARCH("17",BM92)))</formula>
    </cfRule>
  </conditionalFormatting>
  <conditionalFormatting sqref="BM79:CJ82 CF83:CJ84">
    <cfRule type="containsText" dxfId="212" priority="882" operator="containsText" text="17">
      <formula>NOT(ISERROR(SEARCH("17",BM79)))</formula>
    </cfRule>
  </conditionalFormatting>
  <conditionalFormatting sqref="BN145:BN151">
    <cfRule type="containsText" dxfId="211" priority="135" operator="containsText" text="T">
      <formula>NOT(ISERROR(SEARCH("T",BN145)))</formula>
    </cfRule>
  </conditionalFormatting>
  <conditionalFormatting sqref="BN152:BN158 BR152:BT158">
    <cfRule type="containsText" dxfId="210" priority="123" operator="containsText" text="T">
      <formula>NOT(ISERROR(SEARCH("T",BN152)))</formula>
    </cfRule>
  </conditionalFormatting>
  <conditionalFormatting sqref="BN15:BO15 BP15:BV20">
    <cfRule type="containsText" dxfId="209" priority="8247" operator="containsText" text="17">
      <formula>NOT(ISERROR(SEARCH("17",BN15)))</formula>
    </cfRule>
  </conditionalFormatting>
  <conditionalFormatting sqref="BN15:BO15 BQ15:BU15">
    <cfRule type="containsText" dxfId="208" priority="8248" operator="containsText" text="T">
      <formula>NOT(ISERROR(SEARCH("T",BN15)))</formula>
    </cfRule>
  </conditionalFormatting>
  <conditionalFormatting sqref="BN152:BO158 BR152:BT158">
    <cfRule type="containsText" dxfId="207" priority="124" operator="containsText" text="17">
      <formula>NOT(ISERROR(SEARCH("17",BN152)))</formula>
    </cfRule>
  </conditionalFormatting>
  <conditionalFormatting sqref="BP189:BV190">
    <cfRule type="containsText" dxfId="206" priority="790" operator="containsText" text="17">
      <formula>NOT(ISERROR(SEARCH("17",BP189)))</formula>
    </cfRule>
    <cfRule type="containsText" dxfId="205" priority="791" operator="containsText" text="T">
      <formula>NOT(ISERROR(SEARCH("T",BP189)))</formula>
    </cfRule>
  </conditionalFormatting>
  <conditionalFormatting sqref="BN107:CJ109">
    <cfRule type="containsText" dxfId="204" priority="860" operator="containsText" text="17">
      <formula>NOT(ISERROR(SEARCH("17",BN107)))</formula>
    </cfRule>
  </conditionalFormatting>
  <conditionalFormatting sqref="BN111:CJ112 BM113:CJ115 CJ116">
    <cfRule type="containsText" dxfId="203" priority="854" operator="containsText" text="17">
      <formula>NOT(ISERROR(SEARCH("17",BM111)))</formula>
    </cfRule>
  </conditionalFormatting>
  <conditionalFormatting sqref="BO152:BO158">
    <cfRule type="containsText" dxfId="202" priority="125" operator="containsText" text="T">
      <formula>NOT(ISERROR(SEARCH("T",BO152)))</formula>
    </cfRule>
  </conditionalFormatting>
  <conditionalFormatting sqref="BO159:BO165 BS159:BU165">
    <cfRule type="containsText" dxfId="201" priority="113" operator="containsText" text="T">
      <formula>NOT(ISERROR(SEARCH("T",BO159)))</formula>
    </cfRule>
  </conditionalFormatting>
  <conditionalFormatting sqref="BO193:BO215 BP194:BT194 BM195:BS195 BO196:BT198 BP192:BP199">
    <cfRule type="containsText" dxfId="200" priority="787" operator="containsText" text="T">
      <formula>NOT(ISERROR(SEARCH("T",BM192)))</formula>
    </cfRule>
  </conditionalFormatting>
  <conditionalFormatting sqref="BO214:BO216">
    <cfRule type="containsText" dxfId="199" priority="5751" operator="containsText" text="17">
      <formula>NOT(ISERROR(SEARCH("17",BO214)))</formula>
    </cfRule>
    <cfRule type="containsText" dxfId="198" priority="5752" operator="containsText" text="T">
      <formula>NOT(ISERROR(SEARCH("T",BO214)))</formula>
    </cfRule>
  </conditionalFormatting>
  <conditionalFormatting sqref="BO214:BO223 BL224:BP230">
    <cfRule type="containsText" dxfId="197" priority="5486" operator="containsText" text="T">
      <formula>NOT(ISERROR(SEARCH("T",BL214)))</formula>
    </cfRule>
  </conditionalFormatting>
  <conditionalFormatting sqref="BO159:BP165 BS159:BU165">
    <cfRule type="containsText" dxfId="196" priority="114" operator="containsText" text="17">
      <formula>NOT(ISERROR(SEARCH("17",BO159)))</formula>
    </cfRule>
  </conditionalFormatting>
  <conditionalFormatting sqref="BO118:CA120">
    <cfRule type="containsText" dxfId="195" priority="849" operator="containsText" text="17">
      <formula>NOT(ISERROR(SEARCH("17",BO118)))</formula>
    </cfRule>
  </conditionalFormatting>
  <conditionalFormatting sqref="BO73:CK75 BN76:CK77 CK78">
    <cfRule type="containsText" dxfId="194" priority="888" operator="containsText" text="17">
      <formula>NOT(ISERROR(SEARCH("17",BN73)))</formula>
    </cfRule>
  </conditionalFormatting>
  <conditionalFormatting sqref="BP159:BP165">
    <cfRule type="containsText" dxfId="193" priority="115" operator="containsText" text="T">
      <formula>NOT(ISERROR(SEARCH("T",BP159)))</formula>
    </cfRule>
  </conditionalFormatting>
  <conditionalFormatting sqref="BP207:BP213">
    <cfRule type="containsText" dxfId="192" priority="103" operator="containsText" text="T">
      <formula>NOT(ISERROR(SEARCH("T",BP207)))</formula>
    </cfRule>
  </conditionalFormatting>
  <conditionalFormatting sqref="BP217:BP223 BQ224:BQ230 BR217:BU223">
    <cfRule type="containsText" dxfId="191" priority="5495" operator="containsText" text="17">
      <formula>NOT(ISERROR(SEARCH("17",BP217)))</formula>
    </cfRule>
  </conditionalFormatting>
  <conditionalFormatting sqref="BP217:BP223 BR217:BU223 BQ224:BQ230">
    <cfRule type="containsText" dxfId="190" priority="5496" operator="containsText" text="T">
      <formula>NOT(ISERROR(SEARCH("T",BP217)))</formula>
    </cfRule>
  </conditionalFormatting>
  <conditionalFormatting sqref="BP22:BQ22 BR22:BX27">
    <cfRule type="containsText" dxfId="189" priority="931" operator="containsText" text="T">
      <formula>NOT(ISERROR(SEARCH("T",BP22)))</formula>
    </cfRule>
  </conditionalFormatting>
  <conditionalFormatting sqref="BP22:BQ22">
    <cfRule type="containsText" dxfId="188" priority="930" operator="containsText" text="17">
      <formula>NOT(ISERROR(SEARCH("17",BP22)))</formula>
    </cfRule>
  </conditionalFormatting>
  <conditionalFormatting sqref="BP207:BQ213">
    <cfRule type="containsText" dxfId="187" priority="104" operator="containsText" text="17">
      <formula>NOT(ISERROR(SEARCH("17",BP207)))</formula>
    </cfRule>
  </conditionalFormatting>
  <conditionalFormatting sqref="BP194:BT194 BM195:BS195 BO196:BT198">
    <cfRule type="containsText" dxfId="186" priority="786" operator="containsText" text="17">
      <formula>NOT(ISERROR(SEARCH("17",BM194)))</formula>
    </cfRule>
  </conditionalFormatting>
  <conditionalFormatting sqref="BP80:CB82">
    <cfRule type="containsText" dxfId="185" priority="883" operator="containsText" text="17">
      <formula>NOT(ISERROR(SEARCH("17",BP80)))</formula>
    </cfRule>
  </conditionalFormatting>
  <conditionalFormatting sqref="BP106:CB109">
    <cfRule type="containsText" dxfId="184" priority="861" operator="containsText" text="17">
      <formula>NOT(ISERROR(SEARCH("17",BP106)))</formula>
    </cfRule>
  </conditionalFormatting>
  <conditionalFormatting sqref="BP112:CB115">
    <cfRule type="containsText" dxfId="183" priority="855" operator="containsText" text="17">
      <formula>NOT(ISERROR(SEARCH("17",BP112)))</formula>
    </cfRule>
  </conditionalFormatting>
  <conditionalFormatting sqref="BQ207:BQ213">
    <cfRule type="containsText" dxfId="182" priority="105" operator="containsText" text="T">
      <formula>NOT(ISERROR(SEARCH("T",BQ207)))</formula>
    </cfRule>
  </conditionalFormatting>
  <conditionalFormatting sqref="BQ214:BQ223">
    <cfRule type="containsText" dxfId="181" priority="5479" operator="containsText" text="17">
      <formula>NOT(ISERROR(SEARCH("17",BQ214)))</formula>
    </cfRule>
    <cfRule type="containsText" dxfId="180" priority="5480" operator="containsText" text="T">
      <formula>NOT(ISERROR(SEARCH("T",BQ214)))</formula>
    </cfRule>
  </conditionalFormatting>
  <conditionalFormatting sqref="BQ214:BU216">
    <cfRule type="containsText" dxfId="179" priority="5707" operator="containsText" text="17">
      <formula>NOT(ISERROR(SEARCH("17",BQ214)))</formula>
    </cfRule>
    <cfRule type="containsText" dxfId="178" priority="5708" operator="containsText" text="T">
      <formula>NOT(ISERROR(SEARCH("T",BQ214)))</formula>
    </cfRule>
  </conditionalFormatting>
  <conditionalFormatting sqref="BQ100:CB102 BP103:CB103">
    <cfRule type="containsText" dxfId="177" priority="866" operator="containsText" text="17">
      <formula>NOT(ISERROR(SEARCH("17",BP100)))</formula>
    </cfRule>
  </conditionalFormatting>
  <conditionalFormatting sqref="BR29:BS29 BT29:BZ33">
    <cfRule type="containsText" dxfId="176" priority="924" operator="containsText" text="17">
      <formula>NOT(ISERROR(SEARCH("17",BR29)))</formula>
    </cfRule>
    <cfRule type="containsText" dxfId="175" priority="925" operator="containsText" text="T">
      <formula>NOT(ISERROR(SEARCH("T",BR29)))</formula>
    </cfRule>
  </conditionalFormatting>
  <conditionalFormatting sqref="BR35:BS35 BT35:BZ39">
    <cfRule type="containsText" dxfId="174" priority="918" operator="containsText" text="17">
      <formula>NOT(ISERROR(SEARCH("17",BR35)))</formula>
    </cfRule>
    <cfRule type="containsText" dxfId="173" priority="919" operator="containsText" text="T">
      <formula>NOT(ISERROR(SEARCH("T",BR35)))</formula>
    </cfRule>
  </conditionalFormatting>
  <conditionalFormatting sqref="BR41:BS41 BT41:BZ45">
    <cfRule type="containsText" dxfId="172" priority="911" operator="containsText" text="17">
      <formula>NOT(ISERROR(SEARCH("17",BR41)))</formula>
    </cfRule>
    <cfRule type="containsText" dxfId="171" priority="912" operator="containsText" text="T">
      <formula>NOT(ISERROR(SEARCH("T",BR41)))</formula>
    </cfRule>
  </conditionalFormatting>
  <conditionalFormatting sqref="BR47:BS47 BU47:BY47">
    <cfRule type="containsText" dxfId="170" priority="906" operator="containsText" text="17">
      <formula>NOT(ISERROR(SEARCH("17",BR47)))</formula>
    </cfRule>
    <cfRule type="containsText" dxfId="169" priority="907" operator="containsText" text="T">
      <formula>NOT(ISERROR(SEARCH("T",BR47)))</formula>
    </cfRule>
  </conditionalFormatting>
  <conditionalFormatting sqref="BR50:BS50 BU50:BY50">
    <cfRule type="containsText" dxfId="168" priority="901" operator="containsText" text="17">
      <formula>NOT(ISERROR(SEARCH("17",BR50)))</formula>
    </cfRule>
    <cfRule type="containsText" dxfId="167" priority="902" operator="containsText" text="T">
      <formula>NOT(ISERROR(SEARCH("T",BR50)))</formula>
    </cfRule>
  </conditionalFormatting>
  <conditionalFormatting sqref="BR214:BV216">
    <cfRule type="containsText" dxfId="166" priority="5713" operator="containsText" text="17">
      <formula>NOT(ISERROR(SEARCH("17",BR214)))</formula>
    </cfRule>
    <cfRule type="containsText" dxfId="165" priority="5714" operator="containsText" text="T">
      <formula>NOT(ISERROR(SEARCH("T",BR214)))</formula>
    </cfRule>
  </conditionalFormatting>
  <conditionalFormatting sqref="BR217:BV230">
    <cfRule type="containsText" dxfId="164" priority="5177" operator="containsText" text="17">
      <formula>NOT(ISERROR(SEARCH("17",BR217)))</formula>
    </cfRule>
    <cfRule type="containsText" dxfId="163" priority="5178" operator="containsText" text="T">
      <formula>NOT(ISERROR(SEARCH("T",BR217)))</formula>
    </cfRule>
  </conditionalFormatting>
  <conditionalFormatting sqref="BR68:CD71 BQ74:CC77">
    <cfRule type="containsText" dxfId="162" priority="889" operator="containsText" text="17">
      <formula>NOT(ISERROR(SEARCH("17",BQ68)))</formula>
    </cfRule>
  </conditionalFormatting>
  <conditionalFormatting sqref="BS127 BC199 BB206">
    <cfRule type="containsText" dxfId="161" priority="2013" operator="containsText" text="T">
      <formula>NOT(ISERROR(SEARCH("T",BB127)))</formula>
    </cfRule>
  </conditionalFormatting>
  <conditionalFormatting sqref="BS127 BC199:BR199 BB206:BQ206">
    <cfRule type="containsText" dxfId="160" priority="4918" operator="containsText" text="T">
      <formula>NOT(ISERROR(SEARCH("T",BB127)))</formula>
    </cfRule>
  </conditionalFormatting>
  <conditionalFormatting sqref="BS199:BT199 BR206:BS206">
    <cfRule type="containsText" dxfId="159" priority="2016" operator="containsText" text="17">
      <formula>NOT(ISERROR(SEARCH("17",BR199)))</formula>
    </cfRule>
    <cfRule type="containsText" dxfId="158" priority="2017" operator="containsText" text="T">
      <formula>NOT(ISERROR(SEARCH("T",BR199)))</formula>
    </cfRule>
  </conditionalFormatting>
  <conditionalFormatting sqref="BT47:BT48 BZ47:BZ48 BU48:BY48 BT50:BT52 BZ50:BZ52 BU51:BY52 BP15:BP20 BV15:BV20 BQ16:BU20">
    <cfRule type="containsText" dxfId="157" priority="8427" operator="containsText" text="T">
      <formula>NOT(ISERROR(SEARCH("T",BP15)))</formula>
    </cfRule>
  </conditionalFormatting>
  <conditionalFormatting sqref="BT47:BT48 BZ47:BZ48 BU48:BY48 BT50:BT52 BZ50:BZ52 BU51:BY52">
    <cfRule type="containsText" dxfId="156" priority="8426" operator="containsText" text="17">
      <formula>NOT(ISERROR(SEARCH("17",BT47)))</formula>
    </cfRule>
  </conditionalFormatting>
  <conditionalFormatting sqref="BT145:BT148">
    <cfRule type="containsText" dxfId="155" priority="1456" operator="containsText" text="17">
      <formula>NOT(ISERROR(SEARCH("17",BT145)))</formula>
    </cfRule>
    <cfRule type="containsText" dxfId="154" priority="1457" operator="containsText" text="T">
      <formula>NOT(ISERROR(SEARCH("T",BT145)))</formula>
    </cfRule>
    <cfRule type="containsText" dxfId="153" priority="8401" operator="containsText" text="T">
      <formula>NOT(ISERROR(SEARCH("T",BT145)))</formula>
    </cfRule>
  </conditionalFormatting>
  <conditionalFormatting sqref="BT139:CQ144">
    <cfRule type="containsText" dxfId="152" priority="832" operator="containsText" text="17">
      <formula>NOT(ISERROR(SEARCH("17",BT139)))</formula>
    </cfRule>
    <cfRule type="containsText" dxfId="151" priority="835" operator="containsText" text="T">
      <formula>NOT(ISERROR(SEARCH("T",BT139)))</formula>
    </cfRule>
  </conditionalFormatting>
  <conditionalFormatting sqref="BU200:BU202 AX210:AX211">
    <cfRule type="containsText" dxfId="150" priority="8387" operator="containsText" text="T">
      <formula>NOT(ISERROR(SEARCH("T",AX200)))</formula>
    </cfRule>
  </conditionalFormatting>
  <conditionalFormatting sqref="BU200:BU202 AY190 AX191:BH191 BK191 BO191:BS191">
    <cfRule type="containsText" dxfId="149" priority="8380" operator="containsText" text="17">
      <formula>NOT(ISERROR(SEARCH("17",AX190)))</formula>
    </cfRule>
  </conditionalFormatting>
  <conditionalFormatting sqref="BU206 BV199">
    <cfRule type="containsText" dxfId="148" priority="2014" operator="containsText" text="17">
      <formula>NOT(ISERROR(SEARCH("17",BU199)))</formula>
    </cfRule>
  </conditionalFormatting>
  <conditionalFormatting sqref="BU153:CQ158">
    <cfRule type="containsText" dxfId="147" priority="819" operator="containsText" text="17">
      <formula>NOT(ISERROR(SEARCH("17",BU153)))</formula>
    </cfRule>
    <cfRule type="containsText" dxfId="146" priority="822" operator="containsText" text="T">
      <formula>NOT(ISERROR(SEARCH("T",BU153)))</formula>
    </cfRule>
  </conditionalFormatting>
  <conditionalFormatting sqref="BU146:CR151 BV160:CQ165">
    <cfRule type="containsText" dxfId="145" priority="8234" operator="containsText" text="17">
      <formula>NOT(ISERROR(SEARCH("17",BU146)))</formula>
    </cfRule>
  </conditionalFormatting>
  <conditionalFormatting sqref="BU146:CR151">
    <cfRule type="containsText" dxfId="144" priority="831" operator="containsText" text="T">
      <formula>NOT(ISERROR(SEARCH("T",BU146)))</formula>
    </cfRule>
  </conditionalFormatting>
  <conditionalFormatting sqref="BV199 BU206">
    <cfRule type="containsText" dxfId="143" priority="2015" operator="containsText" text="T">
      <formula>NOT(ISERROR(SEARCH("T",BU199)))</formula>
    </cfRule>
  </conditionalFormatting>
  <conditionalFormatting sqref="BV214:BV216">
    <cfRule type="containsText" dxfId="142" priority="5715" operator="containsText" text="17">
      <formula>NOT(ISERROR(SEARCH("17",BV214)))</formula>
    </cfRule>
    <cfRule type="containsText" dxfId="141" priority="5716" operator="containsText" text="T">
      <formula>NOT(ISERROR(SEARCH("T",BV214)))</formula>
    </cfRule>
  </conditionalFormatting>
  <conditionalFormatting sqref="BV84:BW84 BX84:CD89">
    <cfRule type="containsText" dxfId="140" priority="879" operator="containsText" text="T">
      <formula>NOT(ISERROR(SEARCH("T",BV84)))</formula>
    </cfRule>
  </conditionalFormatting>
  <conditionalFormatting sqref="BV84:BW84">
    <cfRule type="containsText" dxfId="139" priority="878" operator="containsText" text="17">
      <formula>NOT(ISERROR(SEARCH("17",BV84)))</formula>
    </cfRule>
  </conditionalFormatting>
  <conditionalFormatting sqref="BV133:CH137">
    <cfRule type="containsText" dxfId="138" priority="838" operator="containsText" text="17">
      <formula>NOT(ISERROR(SEARCH("17",BV133)))</formula>
    </cfRule>
  </conditionalFormatting>
  <conditionalFormatting sqref="BV160:CQ165">
    <cfRule type="containsText" dxfId="137" priority="818" operator="containsText" text="T">
      <formula>NOT(ISERROR(SEARCH("T",BV160)))</formula>
    </cfRule>
  </conditionalFormatting>
  <conditionalFormatting sqref="BW160:CG165">
    <cfRule type="containsText" dxfId="136" priority="816" operator="containsText" text="17">
      <formula>NOT(ISERROR(SEARCH("17",BW160)))</formula>
    </cfRule>
  </conditionalFormatting>
  <conditionalFormatting sqref="BW140:CI144">
    <cfRule type="containsText" dxfId="135" priority="833" operator="containsText" text="17">
      <formula>NOT(ISERROR(SEARCH("17",BW140)))</formula>
    </cfRule>
  </conditionalFormatting>
  <conditionalFormatting sqref="BW154:CI158">
    <cfRule type="containsText" dxfId="134" priority="820" operator="containsText" text="17">
      <formula>NOT(ISERROR(SEARCH("17",BW154)))</formula>
    </cfRule>
  </conditionalFormatting>
  <conditionalFormatting sqref="BW161:CI165">
    <cfRule type="containsText" dxfId="133" priority="813" operator="containsText" text="17">
      <formula>NOT(ISERROR(SEARCH("17",BW161)))</formula>
    </cfRule>
  </conditionalFormatting>
  <conditionalFormatting sqref="BX91:BY91 BZ91:CF96">
    <cfRule type="containsText" dxfId="132" priority="872" operator="containsText" text="17">
      <formula>NOT(ISERROR(SEARCH("17",BX91)))</formula>
    </cfRule>
    <cfRule type="containsText" dxfId="131" priority="873" operator="containsText" text="T">
      <formula>NOT(ISERROR(SEARCH("T",BX91)))</formula>
    </cfRule>
  </conditionalFormatting>
  <conditionalFormatting sqref="BX146:CH151">
    <cfRule type="containsText" dxfId="130" priority="829" operator="containsText" text="17">
      <formula>NOT(ISERROR(SEARCH("17",BX146)))</formula>
    </cfRule>
  </conditionalFormatting>
  <conditionalFormatting sqref="BX147:CJ151">
    <cfRule type="containsText" dxfId="129" priority="826" operator="containsText" text="17">
      <formula>NOT(ISERROR(SEARCH("17",BX147)))</formula>
    </cfRule>
  </conditionalFormatting>
  <conditionalFormatting sqref="BY122:BZ122 CA122:CG126">
    <cfRule type="containsText" dxfId="128" priority="844" operator="containsText" text="17">
      <formula>NOT(ISERROR(SEARCH("17",BY122)))</formula>
    </cfRule>
    <cfRule type="containsText" dxfId="127" priority="845" operator="containsText" text="T">
      <formula>NOT(ISERROR(SEARCH("T",BY122)))</formula>
    </cfRule>
  </conditionalFormatting>
  <conditionalFormatting sqref="BZ117:CA117 CB117:CH120">
    <cfRule type="containsText" dxfId="126" priority="851" operator="containsText" text="T">
      <formula>NOT(ISERROR(SEARCH("T",BZ117)))</formula>
    </cfRule>
  </conditionalFormatting>
  <conditionalFormatting sqref="BZ117:CA117">
    <cfRule type="containsText" dxfId="125" priority="850" operator="containsText" text="17">
      <formula>NOT(ISERROR(SEARCH("17",BZ117)))</formula>
    </cfRule>
  </conditionalFormatting>
  <conditionalFormatting sqref="CA79:CB79 CC79:CH82">
    <cfRule type="containsText" dxfId="124" priority="885" operator="containsText" text="T">
      <formula>NOT(ISERROR(SEARCH("T",CA79)))</formula>
    </cfRule>
  </conditionalFormatting>
  <conditionalFormatting sqref="CA79:CB79">
    <cfRule type="containsText" dxfId="123" priority="884" operator="containsText" text="17">
      <formula>NOT(ISERROR(SEARCH("17",CA79)))</formula>
    </cfRule>
  </conditionalFormatting>
  <conditionalFormatting sqref="CA99:CB99 CC99:CI103">
    <cfRule type="containsText" dxfId="122" priority="867" operator="containsText" text="17">
      <formula>NOT(ISERROR(SEARCH("17",CA99)))</formula>
    </cfRule>
    <cfRule type="containsText" dxfId="121" priority="868" operator="containsText" text="T">
      <formula>NOT(ISERROR(SEARCH("T",CA99)))</formula>
    </cfRule>
  </conditionalFormatting>
  <conditionalFormatting sqref="CA111:CB111 CC111:CI115">
    <cfRule type="containsText" dxfId="120" priority="857" operator="containsText" text="T">
      <formula>NOT(ISERROR(SEARCH("T",CA111)))</formula>
    </cfRule>
  </conditionalFormatting>
  <conditionalFormatting sqref="CA111:CB111">
    <cfRule type="containsText" dxfId="119" priority="856" operator="containsText" text="17">
      <formula>NOT(ISERROR(SEARCH("17",CA111)))</formula>
    </cfRule>
  </conditionalFormatting>
  <conditionalFormatting sqref="CC67:CD67 CE67:CK71 CB73:CC73 CD73:CJ77">
    <cfRule type="containsText" dxfId="118" priority="891" operator="containsText" text="T">
      <formula>NOT(ISERROR(SEARCH("T",CB67)))</formula>
    </cfRule>
  </conditionalFormatting>
  <conditionalFormatting sqref="CC67:CD67 CE67:CK71 CB73:CC73">
    <cfRule type="containsText" dxfId="117" priority="890" operator="containsText" text="17">
      <formula>NOT(ISERROR(SEARCH("17",CB67)))</formula>
    </cfRule>
  </conditionalFormatting>
  <conditionalFormatting sqref="CC105:CI109 BQ105:CP105">
    <cfRule type="containsText" dxfId="116" priority="863" operator="containsText" text="T">
      <formula>NOT(ISERROR(SEARCH("T",BQ105)))</formula>
    </cfRule>
  </conditionalFormatting>
  <conditionalFormatting sqref="CG132:CH132 CI132:CO137">
    <cfRule type="containsText" dxfId="115" priority="839" operator="containsText" text="17">
      <formula>NOT(ISERROR(SEARCH("17",CG132)))</formula>
    </cfRule>
    <cfRule type="containsText" dxfId="114" priority="840" operator="containsText" text="T">
      <formula>NOT(ISERROR(SEARCH("T",CG132)))</formula>
    </cfRule>
  </conditionalFormatting>
  <conditionalFormatting sqref="CH139:CI139">
    <cfRule type="containsText" dxfId="113" priority="834" operator="containsText" text="17">
      <formula>NOT(ISERROR(SEARCH("17",CH139)))</formula>
    </cfRule>
  </conditionalFormatting>
  <conditionalFormatting sqref="CH153:CI153">
    <cfRule type="containsText" dxfId="112" priority="821" operator="containsText" text="17">
      <formula>NOT(ISERROR(SEARCH("17",CH153)))</formula>
    </cfRule>
  </conditionalFormatting>
  <conditionalFormatting sqref="CH160:CI160 CJ160:CP165">
    <cfRule type="containsText" dxfId="111" priority="814" operator="containsText" text="17">
      <formula>NOT(ISERROR(SEARCH("17",CH160)))</formula>
    </cfRule>
  </conditionalFormatting>
  <conditionalFormatting sqref="CH160:CI160 CK160:CO165">
    <cfRule type="containsText" dxfId="110" priority="815" operator="containsText" text="T">
      <formula>NOT(ISERROR(SEARCH("T",CH160)))</formula>
    </cfRule>
  </conditionalFormatting>
  <conditionalFormatting sqref="CI79:CI84 CF83:CH84">
    <cfRule type="containsText" dxfId="109" priority="887" operator="containsText" text="T">
      <formula>NOT(ISERROR(SEARCH("T",CF79)))</formula>
    </cfRule>
  </conditionalFormatting>
  <conditionalFormatting sqref="CI79:CI84">
    <cfRule type="containsText" dxfId="108" priority="886" operator="containsText" text="17">
      <formula>NOT(ISERROR(SEARCH("17",CI79)))</formula>
    </cfRule>
  </conditionalFormatting>
  <conditionalFormatting sqref="CI121:CI122">
    <cfRule type="containsText" dxfId="107" priority="848" operator="containsText" text="17">
      <formula>NOT(ISERROR(SEARCH("17",CI121)))</formula>
    </cfRule>
  </conditionalFormatting>
  <conditionalFormatting sqref="CI146:CJ146 CK146:CQ151">
    <cfRule type="containsText" dxfId="106" priority="827" operator="containsText" text="17">
      <formula>NOT(ISERROR(SEARCH("17",CI146)))</formula>
    </cfRule>
  </conditionalFormatting>
  <conditionalFormatting sqref="CI146:CJ146 CL146:CP151">
    <cfRule type="containsText" dxfId="105" priority="828" operator="containsText" text="T">
      <formula>NOT(ISERROR(SEARCH("T",CI146)))</formula>
    </cfRule>
  </conditionalFormatting>
  <conditionalFormatting sqref="AZ200:BJ206 BU200:BW206">
    <cfRule type="containsText" dxfId="104" priority="99" operator="containsText" text="T">
      <formula>NOT(ISERROR(SEARCH("T",AZ200)))</formula>
    </cfRule>
  </conditionalFormatting>
  <conditionalFormatting sqref="AZ200:BH206 BU200:BW206">
    <cfRule type="containsText" dxfId="103" priority="98" operator="containsText" text="17">
      <formula>NOT(ISERROR(SEARCH("17",AZ200)))</formula>
    </cfRule>
  </conditionalFormatting>
  <conditionalFormatting sqref="AZ200:BJ206">
    <cfRule type="containsText" dxfId="102" priority="90" operator="containsText" text="17">
      <formula>NOT(ISERROR(SEARCH("17",AZ200)))</formula>
    </cfRule>
  </conditionalFormatting>
  <conditionalFormatting sqref="BK200:BQ206">
    <cfRule type="containsText" dxfId="101" priority="96" operator="containsText" text="17">
      <formula>NOT(ISERROR(SEARCH("17",BK200)))</formula>
    </cfRule>
    <cfRule type="containsText" dxfId="100" priority="97" operator="containsText" text="T">
      <formula>NOT(ISERROR(SEARCH("T",BK200)))</formula>
    </cfRule>
  </conditionalFormatting>
  <conditionalFormatting sqref="BL200:BL206">
    <cfRule type="containsText" dxfId="99" priority="94" operator="containsText" text="17">
      <formula>NOT(ISERROR(SEARCH("17",BL200)))</formula>
    </cfRule>
    <cfRule type="containsText" dxfId="98" priority="95" operator="containsText" text="T">
      <formula>NOT(ISERROR(SEARCH("T",BL200)))</formula>
    </cfRule>
  </conditionalFormatting>
  <conditionalFormatting sqref="BP200:BP206">
    <cfRule type="containsText" dxfId="97" priority="100" operator="containsText" text="T">
      <formula>NOT(ISERROR(SEARCH("T",BP200)))</formula>
    </cfRule>
  </conditionalFormatting>
  <conditionalFormatting sqref="BQ200:BQ206">
    <cfRule type="containsText" dxfId="96" priority="91" operator="containsText" text="T">
      <formula>NOT(ISERROR(SEARCH("T",BQ200)))</formula>
    </cfRule>
  </conditionalFormatting>
  <conditionalFormatting sqref="BQ200:BR206">
    <cfRule type="containsText" dxfId="95" priority="92" operator="containsText" text="17">
      <formula>NOT(ISERROR(SEARCH("17",BQ200)))</formula>
    </cfRule>
  </conditionalFormatting>
  <conditionalFormatting sqref="BR200:BR206">
    <cfRule type="containsText" dxfId="94" priority="93" operator="containsText" text="T">
      <formula>NOT(ISERROR(SEARCH("T",BR200)))</formula>
    </cfRule>
  </conditionalFormatting>
  <conditionalFormatting sqref="BV192:BV199">
    <cfRule type="containsText" dxfId="93" priority="84" operator="containsText" text="17">
      <formula>NOT(ISERROR(SEARCH("17",BV192)))</formula>
    </cfRule>
    <cfRule type="containsText" dxfId="92" priority="85" operator="containsText" text="T">
      <formula>NOT(ISERROR(SEARCH("T",BV192)))</formula>
    </cfRule>
    <cfRule type="containsText" dxfId="91" priority="86" operator="containsText" text="17">
      <formula>NOT(ISERROR(SEARCH("17",BV192)))</formula>
    </cfRule>
    <cfRule type="containsText" dxfId="90" priority="87" operator="containsText" text="T">
      <formula>NOT(ISERROR(SEARCH("T",BV192)))</formula>
    </cfRule>
  </conditionalFormatting>
  <conditionalFormatting sqref="BV192:BV199">
    <cfRule type="containsText" dxfId="89" priority="89" operator="containsText" text="T">
      <formula>NOT(ISERROR(SEARCH("T",BV192)))</formula>
    </cfRule>
  </conditionalFormatting>
  <conditionalFormatting sqref="BV192:BV199">
    <cfRule type="containsText" dxfId="88" priority="88" operator="containsText" text="17">
      <formula>NOT(ISERROR(SEARCH("17",BV192)))</formula>
    </cfRule>
  </conditionalFormatting>
  <conditionalFormatting sqref="BA192:BK199 BV192:BX199">
    <cfRule type="containsText" dxfId="87" priority="82" operator="containsText" text="T">
      <formula>NOT(ISERROR(SEARCH("T",BA192)))</formula>
    </cfRule>
  </conditionalFormatting>
  <conditionalFormatting sqref="BA192:BI199 BV192:BX199">
    <cfRule type="containsText" dxfId="86" priority="81" operator="containsText" text="17">
      <formula>NOT(ISERROR(SEARCH("17",BA192)))</formula>
    </cfRule>
  </conditionalFormatting>
  <conditionalFormatting sqref="BA192:BK199">
    <cfRule type="containsText" dxfId="85" priority="73" operator="containsText" text="17">
      <formula>NOT(ISERROR(SEARCH("17",BA192)))</formula>
    </cfRule>
  </conditionalFormatting>
  <conditionalFormatting sqref="BL192:BR199">
    <cfRule type="containsText" dxfId="84" priority="79" operator="containsText" text="17">
      <formula>NOT(ISERROR(SEARCH("17",BL192)))</formula>
    </cfRule>
    <cfRule type="containsText" dxfId="83" priority="80" operator="containsText" text="T">
      <formula>NOT(ISERROR(SEARCH("T",BL192)))</formula>
    </cfRule>
  </conditionalFormatting>
  <conditionalFormatting sqref="BM192:BM199">
    <cfRule type="containsText" dxfId="82" priority="77" operator="containsText" text="17">
      <formula>NOT(ISERROR(SEARCH("17",BM192)))</formula>
    </cfRule>
    <cfRule type="containsText" dxfId="81" priority="78" operator="containsText" text="T">
      <formula>NOT(ISERROR(SEARCH("T",BM192)))</formula>
    </cfRule>
  </conditionalFormatting>
  <conditionalFormatting sqref="BQ192:BQ199">
    <cfRule type="containsText" dxfId="80" priority="83" operator="containsText" text="T">
      <formula>NOT(ISERROR(SEARCH("T",BQ192)))</formula>
    </cfRule>
  </conditionalFormatting>
  <conditionalFormatting sqref="BR192:BR199">
    <cfRule type="containsText" dxfId="79" priority="74" operator="containsText" text="T">
      <formula>NOT(ISERROR(SEARCH("T",BR192)))</formula>
    </cfRule>
  </conditionalFormatting>
  <conditionalFormatting sqref="BR192:BS199">
    <cfRule type="containsText" dxfId="78" priority="75" operator="containsText" text="17">
      <formula>NOT(ISERROR(SEARCH("17",BR192)))</formula>
    </cfRule>
  </conditionalFormatting>
  <conditionalFormatting sqref="BS192:BS199">
    <cfRule type="containsText" dxfId="77" priority="76" operator="containsText" text="T">
      <formula>NOT(ISERROR(SEARCH("T",BS192)))</formula>
    </cfRule>
  </conditionalFormatting>
  <conditionalFormatting sqref="BB168:BY174">
    <cfRule type="containsText" dxfId="76" priority="72" operator="containsText" text="17">
      <formula>NOT(ISERROR(SEARCH("17",BB168)))</formula>
    </cfRule>
  </conditionalFormatting>
  <conditionalFormatting sqref="BB168:BY174">
    <cfRule type="containsText" dxfId="75" priority="65" operator="containsText" text="T">
      <formula>NOT(ISERROR(SEARCH("T",BB168)))</formula>
    </cfRule>
  </conditionalFormatting>
  <conditionalFormatting sqref="BW168:BW174">
    <cfRule type="containsText" dxfId="74" priority="66" operator="containsText" text="17">
      <formula>NOT(ISERROR(SEARCH("17",BW168)))</formula>
    </cfRule>
    <cfRule type="containsText" dxfId="73" priority="67" operator="containsText" text="T">
      <formula>NOT(ISERROR(SEARCH("T",BW168)))</formula>
    </cfRule>
    <cfRule type="containsText" dxfId="72" priority="68" operator="containsText" text="17">
      <formula>NOT(ISERROR(SEARCH("17",BW168)))</formula>
    </cfRule>
    <cfRule type="containsText" dxfId="71" priority="69" operator="containsText" text="T">
      <formula>NOT(ISERROR(SEARCH("T",BW168)))</formula>
    </cfRule>
  </conditionalFormatting>
  <conditionalFormatting sqref="BB168:BY174">
    <cfRule type="containsText" dxfId="70" priority="60" operator="containsText" text="T">
      <formula>NOT(ISERROR(SEARCH("T",BB168)))</formula>
    </cfRule>
    <cfRule type="containsText" dxfId="69" priority="61" operator="containsText" text="17">
      <formula>NOT(ISERROR(SEARCH("17",BB168)))</formula>
    </cfRule>
  </conditionalFormatting>
  <conditionalFormatting sqref="BO168:BX174">
    <cfRule type="containsText" dxfId="68" priority="63" operator="containsText" text="T">
      <formula>NOT(ISERROR(SEARCH("T",BO168)))</formula>
    </cfRule>
  </conditionalFormatting>
  <conditionalFormatting sqref="BO168:BX174">
    <cfRule type="containsText" dxfId="67" priority="62" operator="containsText" text="17">
      <formula>NOT(ISERROR(SEARCH("17",BO168)))</formula>
    </cfRule>
  </conditionalFormatting>
  <conditionalFormatting sqref="BQ168:BQ174">
    <cfRule type="containsText" dxfId="66" priority="64" operator="containsText" text="T">
      <formula>NOT(ISERROR(SEARCH("T",BQ168)))</formula>
    </cfRule>
  </conditionalFormatting>
  <conditionalFormatting sqref="BW168:BW174">
    <cfRule type="containsText" dxfId="65" priority="71" operator="containsText" text="T">
      <formula>NOT(ISERROR(SEARCH("T",BW168)))</formula>
    </cfRule>
  </conditionalFormatting>
  <conditionalFormatting sqref="BW168:BW174">
    <cfRule type="containsText" dxfId="64" priority="70" operator="containsText" text="17">
      <formula>NOT(ISERROR(SEARCH("17",BW168)))</formula>
    </cfRule>
  </conditionalFormatting>
  <conditionalFormatting sqref="BB168:BL174 BW168:BY174">
    <cfRule type="containsText" dxfId="63" priority="58" operator="containsText" text="T">
      <formula>NOT(ISERROR(SEARCH("T",BB168)))</formula>
    </cfRule>
  </conditionalFormatting>
  <conditionalFormatting sqref="BB168:BJ174 BW168:BY174">
    <cfRule type="containsText" dxfId="62" priority="57" operator="containsText" text="17">
      <formula>NOT(ISERROR(SEARCH("17",BB168)))</formula>
    </cfRule>
  </conditionalFormatting>
  <conditionalFormatting sqref="BB168:BL174">
    <cfRule type="containsText" dxfId="61" priority="49" operator="containsText" text="17">
      <formula>NOT(ISERROR(SEARCH("17",BB168)))</formula>
    </cfRule>
  </conditionalFormatting>
  <conditionalFormatting sqref="BM168:BS174">
    <cfRule type="containsText" dxfId="60" priority="55" operator="containsText" text="17">
      <formula>NOT(ISERROR(SEARCH("17",BM168)))</formula>
    </cfRule>
    <cfRule type="containsText" dxfId="59" priority="56" operator="containsText" text="T">
      <formula>NOT(ISERROR(SEARCH("T",BM168)))</formula>
    </cfRule>
  </conditionalFormatting>
  <conditionalFormatting sqref="BN168:BN174">
    <cfRule type="containsText" dxfId="58" priority="53" operator="containsText" text="17">
      <formula>NOT(ISERROR(SEARCH("17",BN168)))</formula>
    </cfRule>
    <cfRule type="containsText" dxfId="57" priority="54" operator="containsText" text="T">
      <formula>NOT(ISERROR(SEARCH("T",BN168)))</formula>
    </cfRule>
  </conditionalFormatting>
  <conditionalFormatting sqref="BR168:BR174">
    <cfRule type="containsText" dxfId="56" priority="59" operator="containsText" text="T">
      <formula>NOT(ISERROR(SEARCH("T",BR168)))</formula>
    </cfRule>
  </conditionalFormatting>
  <conditionalFormatting sqref="BS168:BS174">
    <cfRule type="containsText" dxfId="55" priority="50" operator="containsText" text="T">
      <formula>NOT(ISERROR(SEARCH("T",BS168)))</formula>
    </cfRule>
  </conditionalFormatting>
  <conditionalFormatting sqref="BS168:BT174">
    <cfRule type="containsText" dxfId="54" priority="51" operator="containsText" text="17">
      <formula>NOT(ISERROR(SEARCH("17",BS168)))</formula>
    </cfRule>
  </conditionalFormatting>
  <conditionalFormatting sqref="BT168:BT174">
    <cfRule type="containsText" dxfId="53" priority="52" operator="containsText" text="T">
      <formula>NOT(ISERROR(SEARCH("T",BT168)))</formula>
    </cfRule>
  </conditionalFormatting>
  <conditionalFormatting sqref="BC175:BZ181">
    <cfRule type="containsText" dxfId="52" priority="48" operator="containsText" text="17">
      <formula>NOT(ISERROR(SEARCH("17",BC175)))</formula>
    </cfRule>
  </conditionalFormatting>
  <conditionalFormatting sqref="BC175:BZ181">
    <cfRule type="containsText" dxfId="51" priority="41" operator="containsText" text="T">
      <formula>NOT(ISERROR(SEARCH("T",BC175)))</formula>
    </cfRule>
  </conditionalFormatting>
  <conditionalFormatting sqref="BX175:BX181">
    <cfRule type="containsText" dxfId="50" priority="42" operator="containsText" text="17">
      <formula>NOT(ISERROR(SEARCH("17",BX175)))</formula>
    </cfRule>
    <cfRule type="containsText" dxfId="49" priority="43" operator="containsText" text="T">
      <formula>NOT(ISERROR(SEARCH("T",BX175)))</formula>
    </cfRule>
    <cfRule type="containsText" dxfId="48" priority="44" operator="containsText" text="17">
      <formula>NOT(ISERROR(SEARCH("17",BX175)))</formula>
    </cfRule>
    <cfRule type="containsText" dxfId="47" priority="45" operator="containsText" text="T">
      <formula>NOT(ISERROR(SEARCH("T",BX175)))</formula>
    </cfRule>
  </conditionalFormatting>
  <conditionalFormatting sqref="BC175:BZ181">
    <cfRule type="containsText" dxfId="46" priority="36" operator="containsText" text="T">
      <formula>NOT(ISERROR(SEARCH("T",BC175)))</formula>
    </cfRule>
    <cfRule type="containsText" dxfId="45" priority="37" operator="containsText" text="17">
      <formula>NOT(ISERROR(SEARCH("17",BC175)))</formula>
    </cfRule>
  </conditionalFormatting>
  <conditionalFormatting sqref="BP175:BY181">
    <cfRule type="containsText" dxfId="44" priority="39" operator="containsText" text="T">
      <formula>NOT(ISERROR(SEARCH("T",BP175)))</formula>
    </cfRule>
  </conditionalFormatting>
  <conditionalFormatting sqref="BP175:BY181">
    <cfRule type="containsText" dxfId="43" priority="38" operator="containsText" text="17">
      <formula>NOT(ISERROR(SEARCH("17",BP175)))</formula>
    </cfRule>
  </conditionalFormatting>
  <conditionalFormatting sqref="BR175:BR181">
    <cfRule type="containsText" dxfId="42" priority="40" operator="containsText" text="T">
      <formula>NOT(ISERROR(SEARCH("T",BR175)))</formula>
    </cfRule>
  </conditionalFormatting>
  <conditionalFormatting sqref="BX175:BX181">
    <cfRule type="containsText" dxfId="41" priority="47" operator="containsText" text="T">
      <formula>NOT(ISERROR(SEARCH("T",BX175)))</formula>
    </cfRule>
  </conditionalFormatting>
  <conditionalFormatting sqref="BX175:BX181">
    <cfRule type="containsText" dxfId="40" priority="46" operator="containsText" text="17">
      <formula>NOT(ISERROR(SEARCH("17",BX175)))</formula>
    </cfRule>
  </conditionalFormatting>
  <conditionalFormatting sqref="BC175:BM181 BX175:BZ181">
    <cfRule type="containsText" dxfId="39" priority="34" operator="containsText" text="T">
      <formula>NOT(ISERROR(SEARCH("T",BC175)))</formula>
    </cfRule>
  </conditionalFormatting>
  <conditionalFormatting sqref="BC175:BK181 BX175:BZ181">
    <cfRule type="containsText" dxfId="38" priority="33" operator="containsText" text="17">
      <formula>NOT(ISERROR(SEARCH("17",BC175)))</formula>
    </cfRule>
  </conditionalFormatting>
  <conditionalFormatting sqref="BC175:BM181">
    <cfRule type="containsText" dxfId="37" priority="25" operator="containsText" text="17">
      <formula>NOT(ISERROR(SEARCH("17",BC175)))</formula>
    </cfRule>
  </conditionalFormatting>
  <conditionalFormatting sqref="BN175:BT181">
    <cfRule type="containsText" dxfId="36" priority="31" operator="containsText" text="17">
      <formula>NOT(ISERROR(SEARCH("17",BN175)))</formula>
    </cfRule>
    <cfRule type="containsText" dxfId="35" priority="32" operator="containsText" text="T">
      <formula>NOT(ISERROR(SEARCH("T",BN175)))</formula>
    </cfRule>
  </conditionalFormatting>
  <conditionalFormatting sqref="BO175:BO181">
    <cfRule type="containsText" dxfId="34" priority="29" operator="containsText" text="17">
      <formula>NOT(ISERROR(SEARCH("17",BO175)))</formula>
    </cfRule>
    <cfRule type="containsText" dxfId="33" priority="30" operator="containsText" text="T">
      <formula>NOT(ISERROR(SEARCH("T",BO175)))</formula>
    </cfRule>
  </conditionalFormatting>
  <conditionalFormatting sqref="BS175:BS181">
    <cfRule type="containsText" dxfId="32" priority="35" operator="containsText" text="T">
      <formula>NOT(ISERROR(SEARCH("T",BS175)))</formula>
    </cfRule>
  </conditionalFormatting>
  <conditionalFormatting sqref="BT175:BT181">
    <cfRule type="containsText" dxfId="31" priority="26" operator="containsText" text="T">
      <formula>NOT(ISERROR(SEARCH("T",BT175)))</formula>
    </cfRule>
  </conditionalFormatting>
  <conditionalFormatting sqref="BT175:BU181">
    <cfRule type="containsText" dxfId="30" priority="27" operator="containsText" text="17">
      <formula>NOT(ISERROR(SEARCH("17",BT175)))</formula>
    </cfRule>
  </conditionalFormatting>
  <conditionalFormatting sqref="BU175:BU181">
    <cfRule type="containsText" dxfId="29" priority="28" operator="containsText" text="T">
      <formula>NOT(ISERROR(SEARCH("T",BU175)))</formula>
    </cfRule>
  </conditionalFormatting>
  <conditionalFormatting sqref="BD182:CA188">
    <cfRule type="containsText" dxfId="28" priority="24" operator="containsText" text="17">
      <formula>NOT(ISERROR(SEARCH("17",BD182)))</formula>
    </cfRule>
  </conditionalFormatting>
  <conditionalFormatting sqref="BD182:CA188">
    <cfRule type="containsText" dxfId="27" priority="17" operator="containsText" text="T">
      <formula>NOT(ISERROR(SEARCH("T",BD182)))</formula>
    </cfRule>
  </conditionalFormatting>
  <conditionalFormatting sqref="BY182:BY188">
    <cfRule type="containsText" dxfId="26" priority="18" operator="containsText" text="17">
      <formula>NOT(ISERROR(SEARCH("17",BY182)))</formula>
    </cfRule>
    <cfRule type="containsText" dxfId="25" priority="19" operator="containsText" text="T">
      <formula>NOT(ISERROR(SEARCH("T",BY182)))</formula>
    </cfRule>
    <cfRule type="containsText" dxfId="24" priority="20" operator="containsText" text="17">
      <formula>NOT(ISERROR(SEARCH("17",BY182)))</formula>
    </cfRule>
    <cfRule type="containsText" dxfId="23" priority="21" operator="containsText" text="T">
      <formula>NOT(ISERROR(SEARCH("T",BY182)))</formula>
    </cfRule>
  </conditionalFormatting>
  <conditionalFormatting sqref="BD182:CA188">
    <cfRule type="containsText" dxfId="22" priority="12" operator="containsText" text="T">
      <formula>NOT(ISERROR(SEARCH("T",BD182)))</formula>
    </cfRule>
    <cfRule type="containsText" dxfId="21" priority="13" operator="containsText" text="17">
      <formula>NOT(ISERROR(SEARCH("17",BD182)))</formula>
    </cfRule>
  </conditionalFormatting>
  <conditionalFormatting sqref="BQ182:BZ188">
    <cfRule type="containsText" dxfId="20" priority="15" operator="containsText" text="T">
      <formula>NOT(ISERROR(SEARCH("T",BQ182)))</formula>
    </cfRule>
  </conditionalFormatting>
  <conditionalFormatting sqref="BQ182:BZ188">
    <cfRule type="containsText" dxfId="19" priority="14" operator="containsText" text="17">
      <formula>NOT(ISERROR(SEARCH("17",BQ182)))</formula>
    </cfRule>
  </conditionalFormatting>
  <conditionalFormatting sqref="BS182:BS188">
    <cfRule type="containsText" dxfId="18" priority="16" operator="containsText" text="T">
      <formula>NOT(ISERROR(SEARCH("T",BS182)))</formula>
    </cfRule>
  </conditionalFormatting>
  <conditionalFormatting sqref="BY182:BY188">
    <cfRule type="containsText" dxfId="17" priority="23" operator="containsText" text="T">
      <formula>NOT(ISERROR(SEARCH("T",BY182)))</formula>
    </cfRule>
  </conditionalFormatting>
  <conditionalFormatting sqref="BY182:BY188">
    <cfRule type="containsText" dxfId="16" priority="22" operator="containsText" text="17">
      <formula>NOT(ISERROR(SEARCH("17",BY182)))</formula>
    </cfRule>
  </conditionalFormatting>
  <conditionalFormatting sqref="BD182:BN188 BY182:CA188">
    <cfRule type="containsText" dxfId="15" priority="10" operator="containsText" text="T">
      <formula>NOT(ISERROR(SEARCH("T",BD182)))</formula>
    </cfRule>
  </conditionalFormatting>
  <conditionalFormatting sqref="BD182:BL188 BY182:CA188">
    <cfRule type="containsText" dxfId="14" priority="9" operator="containsText" text="17">
      <formula>NOT(ISERROR(SEARCH("17",BD182)))</formula>
    </cfRule>
  </conditionalFormatting>
  <conditionalFormatting sqref="BD182:BN188">
    <cfRule type="containsText" dxfId="13" priority="1" operator="containsText" text="17">
      <formula>NOT(ISERROR(SEARCH("17",BD182)))</formula>
    </cfRule>
  </conditionalFormatting>
  <conditionalFormatting sqref="BO182:BU188">
    <cfRule type="containsText" dxfId="12" priority="7" operator="containsText" text="17">
      <formula>NOT(ISERROR(SEARCH("17",BO182)))</formula>
    </cfRule>
    <cfRule type="containsText" dxfId="11" priority="8" operator="containsText" text="T">
      <formula>NOT(ISERROR(SEARCH("T",BO182)))</formula>
    </cfRule>
  </conditionalFormatting>
  <conditionalFormatting sqref="BP182:BP188">
    <cfRule type="containsText" dxfId="10" priority="5" operator="containsText" text="17">
      <formula>NOT(ISERROR(SEARCH("17",BP182)))</formula>
    </cfRule>
    <cfRule type="containsText" dxfId="9" priority="6" operator="containsText" text="T">
      <formula>NOT(ISERROR(SEARCH("T",BP182)))</formula>
    </cfRule>
  </conditionalFormatting>
  <conditionalFormatting sqref="BT182:BT188">
    <cfRule type="containsText" dxfId="8" priority="11" operator="containsText" text="T">
      <formula>NOT(ISERROR(SEARCH("T",BT182)))</formula>
    </cfRule>
  </conditionalFormatting>
  <conditionalFormatting sqref="BU182:BU188">
    <cfRule type="containsText" dxfId="7" priority="2" operator="containsText" text="T">
      <formula>NOT(ISERROR(SEARCH("T",BU182)))</formula>
    </cfRule>
  </conditionalFormatting>
  <conditionalFormatting sqref="BU182:BV188">
    <cfRule type="containsText" dxfId="6" priority="3" operator="containsText" text="17">
      <formula>NOT(ISERROR(SEARCH("17",BU182)))</formula>
    </cfRule>
  </conditionalFormatting>
  <conditionalFormatting sqref="BV182:BV188">
    <cfRule type="containsText" dxfId="5" priority="4" operator="containsText" text="T">
      <formula>NOT(ISERROR(SEARCH("T",BV182)))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00"/>
  <sheetViews>
    <sheetView workbookViewId="0">
      <pane xSplit="2" ySplit="1" topLeftCell="C118" activePane="bottomRight" state="frozen"/>
      <selection pane="topRight" activeCell="C1" sqref="C1"/>
      <selection pane="bottomLeft" activeCell="A2" sqref="A2"/>
      <selection pane="bottomRight" activeCell="N141" sqref="N141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29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:J76" si="40">I36-A36</f>
        <v>29</v>
      </c>
      <c r="K36" s="25">
        <v>18.510000000000002</v>
      </c>
      <c r="L36" s="25">
        <v>8.51</v>
      </c>
      <c r="M36" s="25">
        <f t="shared" ref="M36:M76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>
        <v>45997</v>
      </c>
      <c r="J37" s="78">
        <f t="shared" si="40"/>
        <v>30</v>
      </c>
      <c r="K37" s="25">
        <v>15.21</v>
      </c>
      <c r="L37" s="25">
        <v>6.98</v>
      </c>
      <c r="M37" s="25">
        <f t="shared" si="41"/>
        <v>8.23</v>
      </c>
      <c r="N37" s="25" t="s">
        <v>592</v>
      </c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>
        <v>45997</v>
      </c>
      <c r="J38" s="78">
        <f t="shared" si="40"/>
        <v>30</v>
      </c>
      <c r="K38" s="25">
        <v>13.98</v>
      </c>
      <c r="L38" s="25">
        <v>5.71</v>
      </c>
      <c r="M38" s="25">
        <f t="shared" si="41"/>
        <v>8.27</v>
      </c>
      <c r="N38" s="25" t="s">
        <v>592</v>
      </c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>
        <v>45997</v>
      </c>
      <c r="J39" s="78">
        <f t="shared" si="40"/>
        <v>30</v>
      </c>
      <c r="K39" s="25">
        <v>16.2</v>
      </c>
      <c r="L39" s="25">
        <v>8.1199999999999992</v>
      </c>
      <c r="M39" s="25">
        <f t="shared" si="41"/>
        <v>8.08</v>
      </c>
      <c r="N39" s="25" t="s">
        <v>592</v>
      </c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>
        <v>45997</v>
      </c>
      <c r="J40" s="78">
        <f t="shared" si="40"/>
        <v>30</v>
      </c>
      <c r="K40" s="25">
        <v>14.91</v>
      </c>
      <c r="L40" s="25">
        <v>7.08</v>
      </c>
      <c r="M40" s="25">
        <f t="shared" si="41"/>
        <v>7.83</v>
      </c>
      <c r="N40" s="25" t="s">
        <v>592</v>
      </c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si="40"/>
        <v>29</v>
      </c>
      <c r="K41" s="25">
        <v>16.11</v>
      </c>
      <c r="L41" s="25">
        <v>14.97</v>
      </c>
      <c r="M41" s="25">
        <f t="shared" si="41"/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0"/>
        <v>29</v>
      </c>
      <c r="K42" s="25">
        <v>14.56</v>
      </c>
      <c r="L42" s="25">
        <v>13.82</v>
      </c>
      <c r="M42" s="25">
        <f t="shared" si="41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>
        <v>45997</v>
      </c>
      <c r="J43" s="78">
        <f t="shared" si="40"/>
        <v>30</v>
      </c>
      <c r="K43" s="25">
        <v>15.24</v>
      </c>
      <c r="L43" s="25">
        <v>7.62</v>
      </c>
      <c r="M43" s="25">
        <f t="shared" si="41"/>
        <v>7.62</v>
      </c>
      <c r="N43" s="25" t="s">
        <v>592</v>
      </c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>
        <v>45997</v>
      </c>
      <c r="J44" s="78">
        <f t="shared" si="40"/>
        <v>29</v>
      </c>
      <c r="K44" s="25">
        <v>14.56</v>
      </c>
      <c r="L44" s="25">
        <v>7.03</v>
      </c>
      <c r="M44" s="25">
        <f t="shared" si="41"/>
        <v>7.53</v>
      </c>
      <c r="N44" s="25" t="s">
        <v>593</v>
      </c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>
        <v>45997</v>
      </c>
      <c r="J45" s="78">
        <f t="shared" si="40"/>
        <v>29</v>
      </c>
      <c r="K45" s="25">
        <v>15.27</v>
      </c>
      <c r="L45" s="25">
        <v>14.31</v>
      </c>
      <c r="M45" s="25">
        <f t="shared" si="41"/>
        <v>0.95999999999999908</v>
      </c>
      <c r="N45" s="25" t="s">
        <v>593</v>
      </c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>
        <v>45997</v>
      </c>
      <c r="J46" s="78">
        <f t="shared" si="40"/>
        <v>29</v>
      </c>
      <c r="K46" s="25">
        <v>14.32</v>
      </c>
      <c r="L46" s="25">
        <v>13.59</v>
      </c>
      <c r="M46" s="25">
        <f t="shared" si="41"/>
        <v>0.73000000000000043</v>
      </c>
      <c r="N46" s="25" t="s">
        <v>593</v>
      </c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>
        <v>45997</v>
      </c>
      <c r="J47" s="78">
        <f t="shared" si="40"/>
        <v>29</v>
      </c>
      <c r="K47" s="25">
        <v>15.29</v>
      </c>
      <c r="L47" s="25">
        <v>14.62</v>
      </c>
      <c r="M47" s="25">
        <f t="shared" si="41"/>
        <v>0.66999999999999993</v>
      </c>
      <c r="N47" s="25" t="s">
        <v>593</v>
      </c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>
        <v>45997</v>
      </c>
      <c r="J48" s="78">
        <f t="shared" si="40"/>
        <v>29</v>
      </c>
      <c r="K48" s="25">
        <v>11.74</v>
      </c>
      <c r="L48" s="25">
        <v>10.28</v>
      </c>
      <c r="M48" s="25">
        <f t="shared" si="41"/>
        <v>1.4600000000000009</v>
      </c>
      <c r="N48" s="25" t="s">
        <v>593</v>
      </c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>
        <v>45997</v>
      </c>
      <c r="J49" s="78">
        <f t="shared" si="40"/>
        <v>29</v>
      </c>
      <c r="K49" s="25">
        <v>11.28</v>
      </c>
      <c r="L49" s="25">
        <v>10.14</v>
      </c>
      <c r="M49" s="25">
        <f t="shared" si="41"/>
        <v>1.1399999999999988</v>
      </c>
      <c r="N49" s="25" t="s">
        <v>593</v>
      </c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>
        <v>45997</v>
      </c>
      <c r="J50" s="78">
        <f t="shared" si="40"/>
        <v>29</v>
      </c>
      <c r="K50" s="25">
        <v>8.2100000000000009</v>
      </c>
      <c r="L50" s="25">
        <v>7.05</v>
      </c>
      <c r="M50" s="25">
        <f t="shared" si="41"/>
        <v>1.160000000000001</v>
      </c>
      <c r="N50" s="25" t="s">
        <v>593</v>
      </c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>
        <v>45998</v>
      </c>
      <c r="J51" s="78">
        <f t="shared" si="40"/>
        <v>29</v>
      </c>
      <c r="K51" s="25">
        <v>14.21</v>
      </c>
      <c r="L51" s="25">
        <v>7.71</v>
      </c>
      <c r="M51" s="25">
        <f t="shared" si="41"/>
        <v>6.5000000000000009</v>
      </c>
      <c r="N51" s="25" t="s">
        <v>592</v>
      </c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>
        <v>45998</v>
      </c>
      <c r="J52" s="78">
        <f t="shared" si="40"/>
        <v>29</v>
      </c>
      <c r="K52" s="25">
        <v>13.68</v>
      </c>
      <c r="L52" s="25">
        <v>6.22</v>
      </c>
      <c r="M52" s="25">
        <f t="shared" si="41"/>
        <v>7.46</v>
      </c>
      <c r="N52" s="25" t="s">
        <v>592</v>
      </c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>
        <v>45998</v>
      </c>
      <c r="J53" s="78">
        <f t="shared" si="40"/>
        <v>29</v>
      </c>
      <c r="K53" s="25">
        <v>15.29</v>
      </c>
      <c r="L53" s="25">
        <v>8.69</v>
      </c>
      <c r="M53" s="25">
        <f t="shared" si="41"/>
        <v>6.6</v>
      </c>
      <c r="N53" s="25" t="s">
        <v>592</v>
      </c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>
        <v>45998</v>
      </c>
      <c r="J54" s="78">
        <f t="shared" si="40"/>
        <v>29</v>
      </c>
      <c r="K54" s="25">
        <v>11.52</v>
      </c>
      <c r="L54" s="25">
        <v>10.77</v>
      </c>
      <c r="M54" s="25">
        <f t="shared" si="41"/>
        <v>0.75</v>
      </c>
      <c r="N54" s="25" t="s">
        <v>593</v>
      </c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>
        <v>45998</v>
      </c>
      <c r="J55" s="78">
        <f t="shared" si="40"/>
        <v>29</v>
      </c>
      <c r="K55" s="25">
        <v>13.4</v>
      </c>
      <c r="L55" s="25">
        <v>12.19</v>
      </c>
      <c r="M55" s="25">
        <f t="shared" si="41"/>
        <v>1.2100000000000009</v>
      </c>
      <c r="N55" s="25" t="s">
        <v>593</v>
      </c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>
        <v>45998</v>
      </c>
      <c r="J56" s="78">
        <f t="shared" si="40"/>
        <v>29</v>
      </c>
      <c r="K56" s="25">
        <v>11.58</v>
      </c>
      <c r="L56" s="25">
        <v>10.71</v>
      </c>
      <c r="M56" s="25">
        <f t="shared" si="41"/>
        <v>0.86999999999999922</v>
      </c>
      <c r="N56" s="25" t="s">
        <v>593</v>
      </c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>
        <v>45998</v>
      </c>
      <c r="J57" s="78">
        <f t="shared" si="40"/>
        <v>29</v>
      </c>
      <c r="K57" s="25">
        <v>12.17</v>
      </c>
      <c r="L57" s="25">
        <v>11.59</v>
      </c>
      <c r="M57" s="25">
        <f t="shared" si="41"/>
        <v>0.58000000000000007</v>
      </c>
      <c r="N57" s="25" t="s">
        <v>593</v>
      </c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>
        <v>45998</v>
      </c>
      <c r="J58" s="78">
        <f t="shared" si="40"/>
        <v>28</v>
      </c>
      <c r="K58" s="25">
        <v>11.98</v>
      </c>
      <c r="L58" s="25">
        <v>10.01</v>
      </c>
      <c r="M58" s="25">
        <f t="shared" si="41"/>
        <v>1.9700000000000006</v>
      </c>
      <c r="N58" s="25" t="s">
        <v>593</v>
      </c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>
        <v>45998</v>
      </c>
      <c r="J59" s="78">
        <f t="shared" si="40"/>
        <v>28</v>
      </c>
      <c r="K59" s="25">
        <v>10.71</v>
      </c>
      <c r="L59" s="25">
        <v>9.84</v>
      </c>
      <c r="M59" s="25">
        <f t="shared" si="41"/>
        <v>0.87000000000000099</v>
      </c>
      <c r="N59" s="25" t="s">
        <v>593</v>
      </c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>
        <v>45998</v>
      </c>
      <c r="J60" s="78">
        <f t="shared" si="40"/>
        <v>28</v>
      </c>
      <c r="K60" s="25">
        <v>7.55</v>
      </c>
      <c r="L60" s="25">
        <v>6.64</v>
      </c>
      <c r="M60" s="25">
        <f t="shared" si="41"/>
        <v>0.91000000000000014</v>
      </c>
      <c r="N60" s="25" t="s">
        <v>593</v>
      </c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>
        <v>45998</v>
      </c>
      <c r="J61" s="78">
        <f t="shared" si="40"/>
        <v>28</v>
      </c>
      <c r="K61" s="25">
        <v>7.41</v>
      </c>
      <c r="L61" s="25">
        <v>6.28</v>
      </c>
      <c r="M61" s="25">
        <f t="shared" si="41"/>
        <v>1.1299999999999999</v>
      </c>
      <c r="N61" s="25" t="s">
        <v>593</v>
      </c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>
        <v>45998</v>
      </c>
      <c r="J62" s="78">
        <f t="shared" si="40"/>
        <v>28</v>
      </c>
      <c r="K62" s="25">
        <v>6.36</v>
      </c>
      <c r="L62" s="25">
        <v>5.71</v>
      </c>
      <c r="M62" s="25">
        <f t="shared" si="41"/>
        <v>0.65000000000000036</v>
      </c>
      <c r="N62" s="25" t="s">
        <v>593</v>
      </c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>
        <v>45999</v>
      </c>
      <c r="J63" s="78">
        <f t="shared" si="40"/>
        <v>29</v>
      </c>
      <c r="K63" s="25">
        <v>7.21</v>
      </c>
      <c r="L63" s="25">
        <v>3.42</v>
      </c>
      <c r="M63" s="25">
        <f t="shared" si="41"/>
        <v>3.79</v>
      </c>
      <c r="N63" s="25" t="s">
        <v>592</v>
      </c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>
        <v>45999</v>
      </c>
      <c r="J64" s="78">
        <f t="shared" si="40"/>
        <v>29</v>
      </c>
      <c r="K64" s="25">
        <v>6.13</v>
      </c>
      <c r="L64" s="25">
        <v>3.28</v>
      </c>
      <c r="M64" s="25">
        <f t="shared" si="41"/>
        <v>2.85</v>
      </c>
      <c r="N64" s="25" t="s">
        <v>592</v>
      </c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>
        <v>45999</v>
      </c>
      <c r="J65" s="78">
        <f t="shared" si="40"/>
        <v>28</v>
      </c>
      <c r="K65" s="25">
        <v>13.21</v>
      </c>
      <c r="L65" s="25">
        <v>6.51</v>
      </c>
      <c r="M65" s="25">
        <f t="shared" si="41"/>
        <v>6.7000000000000011</v>
      </c>
      <c r="N65" s="25" t="s">
        <v>592</v>
      </c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>
        <v>45999</v>
      </c>
      <c r="J66" s="78">
        <f t="shared" si="40"/>
        <v>28</v>
      </c>
      <c r="K66" s="25">
        <v>14.17</v>
      </c>
      <c r="L66" s="25">
        <v>8.17</v>
      </c>
      <c r="M66" s="25">
        <f t="shared" si="41"/>
        <v>6</v>
      </c>
      <c r="N66" s="25" t="s">
        <v>592</v>
      </c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>
        <v>45999</v>
      </c>
      <c r="J67" s="78">
        <f t="shared" si="40"/>
        <v>28</v>
      </c>
      <c r="K67" s="25">
        <v>14.36</v>
      </c>
      <c r="L67" s="25">
        <v>8.24</v>
      </c>
      <c r="M67" s="25">
        <f t="shared" si="41"/>
        <v>6.1199999999999992</v>
      </c>
      <c r="N67" s="25" t="s">
        <v>592</v>
      </c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>
        <v>45999</v>
      </c>
      <c r="J68" s="78">
        <f t="shared" si="40"/>
        <v>28</v>
      </c>
      <c r="K68" s="25">
        <v>12.71</v>
      </c>
      <c r="L68" s="25">
        <v>11.28</v>
      </c>
      <c r="M68" s="25">
        <f t="shared" si="41"/>
        <v>1.4300000000000015</v>
      </c>
      <c r="N68" s="25" t="s">
        <v>593</v>
      </c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>
        <v>45999</v>
      </c>
      <c r="J69" s="78">
        <f t="shared" si="40"/>
        <v>28</v>
      </c>
      <c r="K69" s="25">
        <v>13.9</v>
      </c>
      <c r="L69" s="25">
        <v>12.01</v>
      </c>
      <c r="M69" s="25">
        <f t="shared" si="41"/>
        <v>1.8900000000000006</v>
      </c>
      <c r="N69" s="25" t="s">
        <v>593</v>
      </c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>
        <v>45999</v>
      </c>
      <c r="J70" s="78">
        <f t="shared" si="40"/>
        <v>28</v>
      </c>
      <c r="K70" s="25">
        <v>10.77</v>
      </c>
      <c r="L70" s="25">
        <v>9.06</v>
      </c>
      <c r="M70" s="25">
        <f t="shared" si="41"/>
        <v>1.7099999999999991</v>
      </c>
      <c r="N70" s="25" t="s">
        <v>593</v>
      </c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>
        <v>45999</v>
      </c>
      <c r="J71" s="78">
        <f t="shared" si="40"/>
        <v>28</v>
      </c>
      <c r="K71" s="25">
        <v>11.28</v>
      </c>
      <c r="L71" s="25">
        <v>10.51</v>
      </c>
      <c r="M71" s="25">
        <f t="shared" si="41"/>
        <v>0.76999999999999957</v>
      </c>
      <c r="N71" s="25" t="s">
        <v>593</v>
      </c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>
        <v>45999</v>
      </c>
      <c r="J72" s="78">
        <f t="shared" si="40"/>
        <v>27</v>
      </c>
      <c r="K72" s="25">
        <v>9.64</v>
      </c>
      <c r="L72" s="25">
        <v>8.1199999999999992</v>
      </c>
      <c r="M72" s="25">
        <f t="shared" si="41"/>
        <v>1.5200000000000014</v>
      </c>
      <c r="N72" s="25" t="s">
        <v>593</v>
      </c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>
        <v>46000</v>
      </c>
      <c r="J73" s="78">
        <f t="shared" si="40"/>
        <v>28</v>
      </c>
      <c r="K73" s="25">
        <v>12.72</v>
      </c>
      <c r="L73" s="25">
        <v>6.36</v>
      </c>
      <c r="M73" s="25">
        <f t="shared" si="41"/>
        <v>6.36</v>
      </c>
      <c r="N73" s="25" t="s">
        <v>592</v>
      </c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>
        <v>46000</v>
      </c>
      <c r="J74" s="78">
        <f t="shared" si="40"/>
        <v>28</v>
      </c>
      <c r="K74" s="25">
        <v>8.32</v>
      </c>
      <c r="L74" s="25">
        <v>4.1900000000000004</v>
      </c>
      <c r="M74" s="25">
        <f t="shared" si="41"/>
        <v>4.13</v>
      </c>
      <c r="N74" s="25" t="s">
        <v>592</v>
      </c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>
        <v>46000</v>
      </c>
      <c r="J75" s="78">
        <f t="shared" si="40"/>
        <v>28</v>
      </c>
      <c r="K75" s="25">
        <v>11.98</v>
      </c>
      <c r="L75" s="25">
        <v>7.94</v>
      </c>
      <c r="M75" s="25">
        <f t="shared" si="41"/>
        <v>4.04</v>
      </c>
      <c r="N75" s="25" t="s">
        <v>592</v>
      </c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>
        <v>46000</v>
      </c>
      <c r="J76" s="78">
        <f t="shared" si="40"/>
        <v>28</v>
      </c>
      <c r="K76" s="25">
        <v>9.1199999999999992</v>
      </c>
      <c r="L76" s="25">
        <v>6.7</v>
      </c>
      <c r="M76" s="25">
        <f t="shared" si="41"/>
        <v>2.419999999999999</v>
      </c>
      <c r="N76" s="25" t="s">
        <v>593</v>
      </c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>
        <v>46000</v>
      </c>
      <c r="J77" s="78">
        <f t="shared" ref="J77" si="42">I77-A77</f>
        <v>28</v>
      </c>
      <c r="K77" s="25">
        <v>5.32</v>
      </c>
      <c r="L77" s="25">
        <v>4.12</v>
      </c>
      <c r="M77" s="25">
        <f t="shared" ref="M77" si="43">K77-L77</f>
        <v>1.2000000000000002</v>
      </c>
      <c r="N77" s="25" t="s">
        <v>593</v>
      </c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>
        <v>46000</v>
      </c>
      <c r="J78" s="78">
        <f t="shared" ref="J78:J94" si="44">I78-A78</f>
        <v>28</v>
      </c>
      <c r="K78" s="25">
        <v>8.58</v>
      </c>
      <c r="L78" s="25">
        <v>6.29</v>
      </c>
      <c r="M78" s="25">
        <f t="shared" ref="M78:M90" si="45">K78-L78</f>
        <v>2.29</v>
      </c>
      <c r="N78" s="25" t="s">
        <v>593</v>
      </c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>
        <v>46000</v>
      </c>
      <c r="J79" s="78">
        <f t="shared" si="44"/>
        <v>27</v>
      </c>
      <c r="K79" s="25">
        <v>9.23</v>
      </c>
      <c r="L79" s="25">
        <v>5.23</v>
      </c>
      <c r="M79" s="25">
        <f t="shared" si="45"/>
        <v>4</v>
      </c>
      <c r="N79" s="25" t="s">
        <v>593</v>
      </c>
    </row>
    <row r="80" spans="1:14" x14ac:dyDescent="0.25">
      <c r="A80" s="77">
        <v>45973</v>
      </c>
      <c r="B80" s="25" t="s">
        <v>505</v>
      </c>
      <c r="C80" s="77">
        <f t="shared" ref="C80:C141" si="46">A80+23</f>
        <v>45996</v>
      </c>
      <c r="D80" s="77">
        <f t="shared" ref="D80:D141" si="47">A80+7</f>
        <v>45980</v>
      </c>
      <c r="E80" s="77">
        <f t="shared" ref="E80:E141" si="48">A80+14</f>
        <v>45987</v>
      </c>
      <c r="F80" s="77">
        <f t="shared" ref="F80:F141" si="49">A80+20</f>
        <v>45993</v>
      </c>
      <c r="G80" s="77">
        <f t="shared" ref="G80:G141" si="50">A80+8</f>
        <v>45981</v>
      </c>
      <c r="H80" s="77">
        <f t="shared" ref="H80:H141" si="51">A80+15</f>
        <v>45988</v>
      </c>
      <c r="I80" s="77">
        <v>46001</v>
      </c>
      <c r="J80" s="78">
        <f t="shared" si="44"/>
        <v>28</v>
      </c>
      <c r="K80" s="25">
        <v>12.21</v>
      </c>
      <c r="L80" s="25">
        <v>6.01</v>
      </c>
      <c r="M80" s="25">
        <f t="shared" si="45"/>
        <v>6.2000000000000011</v>
      </c>
      <c r="N80" s="25" t="s">
        <v>592</v>
      </c>
    </row>
    <row r="81" spans="1:14" x14ac:dyDescent="0.25">
      <c r="A81" s="77">
        <v>45973</v>
      </c>
      <c r="B81" s="25" t="s">
        <v>506</v>
      </c>
      <c r="C81" s="77">
        <f t="shared" si="46"/>
        <v>45996</v>
      </c>
      <c r="D81" s="77">
        <f t="shared" si="47"/>
        <v>45980</v>
      </c>
      <c r="E81" s="77">
        <f t="shared" si="48"/>
        <v>45987</v>
      </c>
      <c r="F81" s="77">
        <f t="shared" si="49"/>
        <v>45993</v>
      </c>
      <c r="G81" s="77">
        <f t="shared" si="50"/>
        <v>45981</v>
      </c>
      <c r="H81" s="77">
        <f t="shared" si="51"/>
        <v>45988</v>
      </c>
      <c r="I81" s="77">
        <v>46001</v>
      </c>
      <c r="J81" s="78">
        <f t="shared" si="44"/>
        <v>28</v>
      </c>
      <c r="K81" s="25">
        <v>12.57</v>
      </c>
      <c r="L81" s="25">
        <v>6.24</v>
      </c>
      <c r="M81" s="25">
        <f t="shared" si="45"/>
        <v>6.33</v>
      </c>
      <c r="N81" s="25" t="s">
        <v>592</v>
      </c>
    </row>
    <row r="82" spans="1:14" x14ac:dyDescent="0.25">
      <c r="A82" s="77">
        <v>45973</v>
      </c>
      <c r="B82" s="25" t="s">
        <v>507</v>
      </c>
      <c r="C82" s="77">
        <f t="shared" si="46"/>
        <v>45996</v>
      </c>
      <c r="D82" s="77">
        <f t="shared" si="47"/>
        <v>45980</v>
      </c>
      <c r="E82" s="77">
        <f t="shared" si="48"/>
        <v>45987</v>
      </c>
      <c r="F82" s="77">
        <f t="shared" si="49"/>
        <v>45993</v>
      </c>
      <c r="G82" s="77">
        <f t="shared" si="50"/>
        <v>45981</v>
      </c>
      <c r="H82" s="77">
        <f t="shared" si="51"/>
        <v>45988</v>
      </c>
      <c r="I82" s="77">
        <v>46001</v>
      </c>
      <c r="J82" s="78">
        <f t="shared" si="44"/>
        <v>28</v>
      </c>
      <c r="K82" s="25">
        <v>11.12</v>
      </c>
      <c r="L82" s="25">
        <v>5.17</v>
      </c>
      <c r="M82" s="25">
        <f t="shared" si="45"/>
        <v>5.9499999999999993</v>
      </c>
      <c r="N82" s="25" t="s">
        <v>592</v>
      </c>
    </row>
    <row r="83" spans="1:14" x14ac:dyDescent="0.25">
      <c r="A83" s="77">
        <v>45973</v>
      </c>
      <c r="B83" s="25" t="s">
        <v>508</v>
      </c>
      <c r="C83" s="77">
        <f t="shared" si="46"/>
        <v>45996</v>
      </c>
      <c r="D83" s="77">
        <f t="shared" si="47"/>
        <v>45980</v>
      </c>
      <c r="E83" s="77">
        <f t="shared" si="48"/>
        <v>45987</v>
      </c>
      <c r="F83" s="77">
        <f t="shared" si="49"/>
        <v>45993</v>
      </c>
      <c r="G83" s="77">
        <f t="shared" si="50"/>
        <v>45981</v>
      </c>
      <c r="H83" s="77">
        <f t="shared" si="51"/>
        <v>45988</v>
      </c>
      <c r="I83" s="77">
        <v>46001</v>
      </c>
      <c r="J83" s="78">
        <f t="shared" si="44"/>
        <v>28</v>
      </c>
      <c r="K83" s="25">
        <v>11.63</v>
      </c>
      <c r="L83" s="25">
        <v>10.210000000000001</v>
      </c>
      <c r="M83" s="25">
        <f t="shared" si="45"/>
        <v>1.42</v>
      </c>
      <c r="N83" s="25" t="s">
        <v>593</v>
      </c>
    </row>
    <row r="84" spans="1:14" x14ac:dyDescent="0.25">
      <c r="A84" s="77">
        <v>45973</v>
      </c>
      <c r="B84" s="25" t="s">
        <v>509</v>
      </c>
      <c r="C84" s="77">
        <f t="shared" si="46"/>
        <v>45996</v>
      </c>
      <c r="D84" s="77">
        <f t="shared" si="47"/>
        <v>45980</v>
      </c>
      <c r="E84" s="77">
        <f t="shared" si="48"/>
        <v>45987</v>
      </c>
      <c r="F84" s="77">
        <f t="shared" si="49"/>
        <v>45993</v>
      </c>
      <c r="G84" s="77">
        <f t="shared" si="50"/>
        <v>45981</v>
      </c>
      <c r="H84" s="77">
        <f t="shared" si="51"/>
        <v>45988</v>
      </c>
      <c r="I84" s="77">
        <v>46001</v>
      </c>
      <c r="J84" s="78">
        <f t="shared" si="44"/>
        <v>28</v>
      </c>
      <c r="K84" s="25">
        <v>10.71</v>
      </c>
      <c r="L84" s="25">
        <v>9.89</v>
      </c>
      <c r="M84" s="25">
        <f t="shared" si="45"/>
        <v>0.82000000000000028</v>
      </c>
      <c r="N84" s="25" t="s">
        <v>593</v>
      </c>
    </row>
    <row r="85" spans="1:14" x14ac:dyDescent="0.25">
      <c r="A85" s="77">
        <v>45973</v>
      </c>
      <c r="B85" s="25" t="s">
        <v>510</v>
      </c>
      <c r="C85" s="77">
        <f t="shared" si="46"/>
        <v>45996</v>
      </c>
      <c r="D85" s="77">
        <f t="shared" si="47"/>
        <v>45980</v>
      </c>
      <c r="E85" s="77">
        <f t="shared" si="48"/>
        <v>45987</v>
      </c>
      <c r="F85" s="77">
        <f t="shared" si="49"/>
        <v>45993</v>
      </c>
      <c r="G85" s="77">
        <f t="shared" si="50"/>
        <v>45981</v>
      </c>
      <c r="H85" s="77">
        <f t="shared" si="51"/>
        <v>45988</v>
      </c>
      <c r="I85" s="77">
        <v>46001</v>
      </c>
      <c r="J85" s="78">
        <f t="shared" si="44"/>
        <v>28</v>
      </c>
      <c r="K85" s="25">
        <v>10.66</v>
      </c>
      <c r="L85" s="25">
        <v>9.27</v>
      </c>
      <c r="M85" s="25">
        <f t="shared" si="45"/>
        <v>1.3900000000000006</v>
      </c>
      <c r="N85" s="25" t="s">
        <v>593</v>
      </c>
    </row>
    <row r="86" spans="1:14" x14ac:dyDescent="0.25">
      <c r="A86" s="77">
        <v>45974</v>
      </c>
      <c r="B86" s="25" t="s">
        <v>552</v>
      </c>
      <c r="C86" s="77">
        <f t="shared" si="46"/>
        <v>45997</v>
      </c>
      <c r="D86" s="77">
        <f t="shared" si="47"/>
        <v>45981</v>
      </c>
      <c r="E86" s="77">
        <f t="shared" si="48"/>
        <v>45988</v>
      </c>
      <c r="F86" s="77">
        <f t="shared" si="49"/>
        <v>45994</v>
      </c>
      <c r="G86" s="77">
        <f t="shared" si="50"/>
        <v>45982</v>
      </c>
      <c r="H86" s="77">
        <f t="shared" si="51"/>
        <v>45989</v>
      </c>
      <c r="I86" s="77">
        <v>46002</v>
      </c>
      <c r="J86" s="78">
        <f t="shared" ref="J86:J88" si="52">I86-A86</f>
        <v>28</v>
      </c>
      <c r="K86" s="25">
        <v>13.73</v>
      </c>
      <c r="L86" s="25">
        <v>12.51</v>
      </c>
      <c r="M86" s="25">
        <f t="shared" si="45"/>
        <v>1.2200000000000006</v>
      </c>
      <c r="N86" s="25" t="s">
        <v>593</v>
      </c>
    </row>
    <row r="87" spans="1:14" x14ac:dyDescent="0.25">
      <c r="A87" s="77">
        <v>45974</v>
      </c>
      <c r="B87" s="25" t="s">
        <v>553</v>
      </c>
      <c r="C87" s="77">
        <f t="shared" si="46"/>
        <v>45997</v>
      </c>
      <c r="D87" s="77">
        <f t="shared" si="47"/>
        <v>45981</v>
      </c>
      <c r="E87" s="77">
        <f t="shared" si="48"/>
        <v>45988</v>
      </c>
      <c r="F87" s="77">
        <f t="shared" si="49"/>
        <v>45994</v>
      </c>
      <c r="G87" s="77">
        <f t="shared" si="50"/>
        <v>45982</v>
      </c>
      <c r="H87" s="77">
        <f t="shared" si="51"/>
        <v>45989</v>
      </c>
      <c r="I87" s="77">
        <v>46002</v>
      </c>
      <c r="J87" s="78">
        <f t="shared" si="52"/>
        <v>28</v>
      </c>
      <c r="K87" s="25">
        <v>14.51</v>
      </c>
      <c r="L87" s="25">
        <v>7.39</v>
      </c>
      <c r="M87" s="25">
        <f t="shared" si="45"/>
        <v>7.12</v>
      </c>
      <c r="N87" s="25" t="s">
        <v>592</v>
      </c>
    </row>
    <row r="88" spans="1:14" x14ac:dyDescent="0.25">
      <c r="A88" s="77">
        <v>45974</v>
      </c>
      <c r="B88" s="25" t="s">
        <v>554</v>
      </c>
      <c r="C88" s="77">
        <f t="shared" si="46"/>
        <v>45997</v>
      </c>
      <c r="D88" s="77">
        <f t="shared" si="47"/>
        <v>45981</v>
      </c>
      <c r="E88" s="77">
        <f t="shared" si="48"/>
        <v>45988</v>
      </c>
      <c r="F88" s="77">
        <f t="shared" si="49"/>
        <v>45994</v>
      </c>
      <c r="G88" s="77">
        <f t="shared" si="50"/>
        <v>45982</v>
      </c>
      <c r="H88" s="77">
        <f t="shared" si="51"/>
        <v>45989</v>
      </c>
      <c r="I88" s="77">
        <v>46002</v>
      </c>
      <c r="J88" s="78">
        <f t="shared" si="52"/>
        <v>28</v>
      </c>
      <c r="K88" s="25">
        <v>14.39</v>
      </c>
      <c r="L88" s="25">
        <v>7.21</v>
      </c>
      <c r="M88" s="25">
        <f t="shared" si="45"/>
        <v>7.1800000000000006</v>
      </c>
      <c r="N88" s="25" t="s">
        <v>592</v>
      </c>
    </row>
    <row r="89" spans="1:14" x14ac:dyDescent="0.25">
      <c r="A89" s="77">
        <v>45974</v>
      </c>
      <c r="B89" s="25" t="s">
        <v>555</v>
      </c>
      <c r="C89" s="77">
        <f t="shared" si="46"/>
        <v>45997</v>
      </c>
      <c r="D89" s="77">
        <f t="shared" si="47"/>
        <v>45981</v>
      </c>
      <c r="E89" s="77">
        <f t="shared" si="48"/>
        <v>45988</v>
      </c>
      <c r="F89" s="77">
        <f t="shared" si="49"/>
        <v>45994</v>
      </c>
      <c r="G89" s="77">
        <f t="shared" si="50"/>
        <v>45982</v>
      </c>
      <c r="H89" s="77">
        <f t="shared" si="51"/>
        <v>45989</v>
      </c>
      <c r="I89" s="77">
        <v>46002</v>
      </c>
      <c r="J89" s="78">
        <f t="shared" si="44"/>
        <v>28</v>
      </c>
      <c r="K89" s="25">
        <v>11.19</v>
      </c>
      <c r="L89" s="25">
        <v>5.15</v>
      </c>
      <c r="M89" s="25">
        <f t="shared" si="45"/>
        <v>6.0399999999999991</v>
      </c>
      <c r="N89" s="25" t="s">
        <v>592</v>
      </c>
    </row>
    <row r="90" spans="1:14" x14ac:dyDescent="0.25">
      <c r="A90" s="77">
        <v>45974</v>
      </c>
      <c r="B90" s="25" t="s">
        <v>556</v>
      </c>
      <c r="C90" s="77">
        <f t="shared" si="46"/>
        <v>45997</v>
      </c>
      <c r="D90" s="77">
        <f t="shared" si="47"/>
        <v>45981</v>
      </c>
      <c r="E90" s="77">
        <f t="shared" si="48"/>
        <v>45988</v>
      </c>
      <c r="F90" s="77">
        <f t="shared" si="49"/>
        <v>45994</v>
      </c>
      <c r="G90" s="77">
        <f t="shared" si="50"/>
        <v>45982</v>
      </c>
      <c r="H90" s="77">
        <f t="shared" si="51"/>
        <v>45989</v>
      </c>
      <c r="I90" s="77">
        <v>46002</v>
      </c>
      <c r="J90" s="78">
        <f t="shared" si="44"/>
        <v>28</v>
      </c>
      <c r="K90" s="25">
        <v>12.47</v>
      </c>
      <c r="L90" s="25">
        <v>6.28</v>
      </c>
      <c r="M90" s="25">
        <f t="shared" si="45"/>
        <v>6.19</v>
      </c>
      <c r="N90" s="25" t="s">
        <v>592</v>
      </c>
    </row>
    <row r="91" spans="1:14" x14ac:dyDescent="0.25">
      <c r="A91" s="77">
        <v>45974</v>
      </c>
      <c r="B91" s="25" t="s">
        <v>557</v>
      </c>
      <c r="C91" s="77">
        <f t="shared" si="46"/>
        <v>45997</v>
      </c>
      <c r="D91" s="77">
        <f t="shared" si="47"/>
        <v>45981</v>
      </c>
      <c r="E91" s="77">
        <f t="shared" si="48"/>
        <v>45988</v>
      </c>
      <c r="F91" s="77">
        <f t="shared" si="49"/>
        <v>45994</v>
      </c>
      <c r="G91" s="77">
        <f t="shared" si="50"/>
        <v>45982</v>
      </c>
      <c r="H91" s="77">
        <f t="shared" si="51"/>
        <v>45989</v>
      </c>
      <c r="I91" s="77">
        <v>46001</v>
      </c>
      <c r="J91" s="78">
        <f t="shared" si="44"/>
        <v>27</v>
      </c>
      <c r="K91" s="25">
        <v>15.82</v>
      </c>
      <c r="L91" s="25">
        <v>14.25</v>
      </c>
      <c r="M91" s="25">
        <f t="shared" ref="M91:M96" si="53">K91-L91</f>
        <v>1.5700000000000003</v>
      </c>
      <c r="N91" s="25" t="s">
        <v>593</v>
      </c>
    </row>
    <row r="92" spans="1:14" x14ac:dyDescent="0.25">
      <c r="A92" s="77">
        <v>45974</v>
      </c>
      <c r="B92" s="25" t="s">
        <v>558</v>
      </c>
      <c r="C92" s="77">
        <f t="shared" si="46"/>
        <v>45997</v>
      </c>
      <c r="D92" s="77">
        <f t="shared" si="47"/>
        <v>45981</v>
      </c>
      <c r="E92" s="77">
        <f t="shared" si="48"/>
        <v>45988</v>
      </c>
      <c r="F92" s="77">
        <f t="shared" si="49"/>
        <v>45994</v>
      </c>
      <c r="G92" s="77">
        <f t="shared" si="50"/>
        <v>45982</v>
      </c>
      <c r="H92" s="77">
        <f t="shared" si="51"/>
        <v>45989</v>
      </c>
      <c r="I92" s="77">
        <v>46001</v>
      </c>
      <c r="J92" s="78">
        <f t="shared" si="44"/>
        <v>27</v>
      </c>
      <c r="K92" s="25">
        <v>16.89</v>
      </c>
      <c r="L92" s="25">
        <v>15.28</v>
      </c>
      <c r="M92" s="25">
        <f t="shared" si="53"/>
        <v>1.6100000000000012</v>
      </c>
      <c r="N92" s="25" t="s">
        <v>593</v>
      </c>
    </row>
    <row r="93" spans="1:14" x14ac:dyDescent="0.25">
      <c r="A93" s="77">
        <v>45975</v>
      </c>
      <c r="B93" s="25" t="s">
        <v>545</v>
      </c>
      <c r="C93" s="77">
        <f t="shared" si="46"/>
        <v>45998</v>
      </c>
      <c r="D93" s="77">
        <f t="shared" si="47"/>
        <v>45982</v>
      </c>
      <c r="E93" s="77">
        <f t="shared" si="48"/>
        <v>45989</v>
      </c>
      <c r="F93" s="77">
        <f t="shared" si="49"/>
        <v>45995</v>
      </c>
      <c r="G93" s="77">
        <f t="shared" si="50"/>
        <v>45983</v>
      </c>
      <c r="H93" s="77">
        <f t="shared" si="51"/>
        <v>45990</v>
      </c>
      <c r="I93" s="77">
        <v>46003</v>
      </c>
      <c r="J93" s="78">
        <f t="shared" si="44"/>
        <v>28</v>
      </c>
      <c r="K93" s="25">
        <v>10.98</v>
      </c>
      <c r="L93" s="25">
        <v>4.1100000000000003</v>
      </c>
      <c r="M93" s="25">
        <f t="shared" si="53"/>
        <v>6.87</v>
      </c>
      <c r="N93" s="25" t="s">
        <v>592</v>
      </c>
    </row>
    <row r="94" spans="1:14" x14ac:dyDescent="0.25">
      <c r="A94" s="77">
        <v>45975</v>
      </c>
      <c r="B94" s="25" t="s">
        <v>546</v>
      </c>
      <c r="C94" s="77">
        <f t="shared" si="46"/>
        <v>45998</v>
      </c>
      <c r="D94" s="77">
        <f t="shared" si="47"/>
        <v>45982</v>
      </c>
      <c r="E94" s="77">
        <f t="shared" si="48"/>
        <v>45989</v>
      </c>
      <c r="F94" s="77">
        <f t="shared" si="49"/>
        <v>45995</v>
      </c>
      <c r="G94" s="77">
        <f t="shared" si="50"/>
        <v>45983</v>
      </c>
      <c r="H94" s="77">
        <f t="shared" si="51"/>
        <v>45990</v>
      </c>
      <c r="I94" s="77">
        <v>46003</v>
      </c>
      <c r="J94" s="78">
        <f t="shared" si="44"/>
        <v>28</v>
      </c>
      <c r="K94" s="25">
        <v>11.61</v>
      </c>
      <c r="L94" s="25">
        <v>5.21</v>
      </c>
      <c r="M94" s="25">
        <f t="shared" si="53"/>
        <v>6.3999999999999995</v>
      </c>
      <c r="N94" s="25" t="s">
        <v>592</v>
      </c>
    </row>
    <row r="95" spans="1:14" x14ac:dyDescent="0.25">
      <c r="A95" s="77">
        <v>45975</v>
      </c>
      <c r="B95" s="25" t="s">
        <v>547</v>
      </c>
      <c r="C95" s="77">
        <f t="shared" si="46"/>
        <v>45998</v>
      </c>
      <c r="D95" s="77">
        <f t="shared" si="47"/>
        <v>45982</v>
      </c>
      <c r="E95" s="77">
        <f t="shared" si="48"/>
        <v>45989</v>
      </c>
      <c r="F95" s="77">
        <f t="shared" si="49"/>
        <v>45995</v>
      </c>
      <c r="G95" s="77">
        <f t="shared" si="50"/>
        <v>45983</v>
      </c>
      <c r="H95" s="77">
        <f t="shared" si="51"/>
        <v>45990</v>
      </c>
      <c r="I95" s="77">
        <v>46003</v>
      </c>
      <c r="J95" s="78">
        <f t="shared" ref="J95" si="54">I95-A95</f>
        <v>28</v>
      </c>
      <c r="K95" s="25">
        <v>10.43</v>
      </c>
      <c r="L95" s="25">
        <v>4.6399999999999997</v>
      </c>
      <c r="M95" s="25">
        <f t="shared" si="53"/>
        <v>5.79</v>
      </c>
      <c r="N95" s="25" t="s">
        <v>592</v>
      </c>
    </row>
    <row r="96" spans="1:14" x14ac:dyDescent="0.25">
      <c r="A96" s="77">
        <v>45975</v>
      </c>
      <c r="B96" s="25" t="s">
        <v>548</v>
      </c>
      <c r="C96" s="77">
        <f t="shared" si="46"/>
        <v>45998</v>
      </c>
      <c r="D96" s="77">
        <f t="shared" si="47"/>
        <v>45982</v>
      </c>
      <c r="E96" s="77">
        <f t="shared" si="48"/>
        <v>45989</v>
      </c>
      <c r="F96" s="77">
        <f t="shared" si="49"/>
        <v>45995</v>
      </c>
      <c r="G96" s="77">
        <f t="shared" si="50"/>
        <v>45983</v>
      </c>
      <c r="H96" s="77">
        <f t="shared" si="51"/>
        <v>45990</v>
      </c>
      <c r="I96" s="77">
        <v>46003</v>
      </c>
      <c r="J96" s="78">
        <f t="shared" ref="J96" si="55">I96-A96</f>
        <v>28</v>
      </c>
      <c r="K96" s="25">
        <v>11.82</v>
      </c>
      <c r="L96" s="25">
        <v>5.71</v>
      </c>
      <c r="M96" s="25">
        <f t="shared" si="53"/>
        <v>6.11</v>
      </c>
      <c r="N96" s="25" t="s">
        <v>592</v>
      </c>
    </row>
    <row r="97" spans="1:14" x14ac:dyDescent="0.25">
      <c r="A97" s="77">
        <v>45975</v>
      </c>
      <c r="B97" s="25" t="s">
        <v>549</v>
      </c>
      <c r="C97" s="77">
        <f t="shared" si="46"/>
        <v>45998</v>
      </c>
      <c r="D97" s="77">
        <f t="shared" si="47"/>
        <v>45982</v>
      </c>
      <c r="E97" s="77">
        <f t="shared" si="48"/>
        <v>45989</v>
      </c>
      <c r="F97" s="77">
        <f t="shared" si="49"/>
        <v>45995</v>
      </c>
      <c r="G97" s="77">
        <f t="shared" si="50"/>
        <v>45983</v>
      </c>
      <c r="H97" s="77">
        <f t="shared" si="51"/>
        <v>45990</v>
      </c>
      <c r="I97" s="77">
        <v>46002</v>
      </c>
      <c r="J97" s="78">
        <f t="shared" ref="J97:J98" si="56">I97-A97</f>
        <v>27</v>
      </c>
      <c r="K97" s="25">
        <v>13.66</v>
      </c>
      <c r="L97" s="25">
        <v>12.73</v>
      </c>
      <c r="M97" s="25">
        <f t="shared" ref="M97:M128" si="57">K97-L97</f>
        <v>0.92999999999999972</v>
      </c>
      <c r="N97" s="25" t="s">
        <v>593</v>
      </c>
    </row>
    <row r="98" spans="1:14" x14ac:dyDescent="0.25">
      <c r="A98" s="77">
        <v>45975</v>
      </c>
      <c r="B98" s="25" t="s">
        <v>550</v>
      </c>
      <c r="C98" s="77">
        <f t="shared" si="46"/>
        <v>45998</v>
      </c>
      <c r="D98" s="77">
        <f t="shared" si="47"/>
        <v>45982</v>
      </c>
      <c r="E98" s="77">
        <f t="shared" si="48"/>
        <v>45989</v>
      </c>
      <c r="F98" s="77">
        <f t="shared" si="49"/>
        <v>45995</v>
      </c>
      <c r="G98" s="77">
        <f t="shared" si="50"/>
        <v>45983</v>
      </c>
      <c r="H98" s="77">
        <f t="shared" si="51"/>
        <v>45990</v>
      </c>
      <c r="I98" s="77">
        <v>46002</v>
      </c>
      <c r="J98" s="78">
        <f t="shared" si="56"/>
        <v>27</v>
      </c>
      <c r="K98" s="25">
        <v>15.17</v>
      </c>
      <c r="L98" s="25">
        <v>14.58</v>
      </c>
      <c r="M98" s="25">
        <f t="shared" si="57"/>
        <v>0.58999999999999986</v>
      </c>
      <c r="N98" s="25" t="s">
        <v>593</v>
      </c>
    </row>
    <row r="99" spans="1:14" x14ac:dyDescent="0.25">
      <c r="A99" s="77">
        <v>45975</v>
      </c>
      <c r="B99" s="25" t="s">
        <v>551</v>
      </c>
      <c r="C99" s="77">
        <f t="shared" si="46"/>
        <v>45998</v>
      </c>
      <c r="D99" s="77">
        <f t="shared" si="47"/>
        <v>45982</v>
      </c>
      <c r="E99" s="77">
        <f t="shared" si="48"/>
        <v>45989</v>
      </c>
      <c r="F99" s="77">
        <f t="shared" si="49"/>
        <v>45995</v>
      </c>
      <c r="G99" s="77">
        <f t="shared" si="50"/>
        <v>45983</v>
      </c>
      <c r="H99" s="77">
        <f t="shared" si="51"/>
        <v>45990</v>
      </c>
      <c r="I99" s="77">
        <v>46002</v>
      </c>
      <c r="J99" s="78">
        <f t="shared" ref="J99:J100" si="58">I99-A99</f>
        <v>27</v>
      </c>
      <c r="K99" s="25">
        <v>14.25</v>
      </c>
      <c r="L99" s="25">
        <v>13.1</v>
      </c>
      <c r="M99" s="25">
        <f t="shared" si="57"/>
        <v>1.1500000000000004</v>
      </c>
      <c r="N99" s="25" t="s">
        <v>593</v>
      </c>
    </row>
    <row r="100" spans="1:14" x14ac:dyDescent="0.25">
      <c r="A100" s="77">
        <v>45976</v>
      </c>
      <c r="B100" s="25" t="s">
        <v>537</v>
      </c>
      <c r="C100" s="77">
        <f t="shared" si="46"/>
        <v>45999</v>
      </c>
      <c r="D100" s="77">
        <f t="shared" si="47"/>
        <v>45983</v>
      </c>
      <c r="E100" s="77">
        <f t="shared" si="48"/>
        <v>45990</v>
      </c>
      <c r="F100" s="77">
        <f t="shared" si="49"/>
        <v>45996</v>
      </c>
      <c r="G100" s="77">
        <f t="shared" si="50"/>
        <v>45984</v>
      </c>
      <c r="H100" s="77">
        <f t="shared" si="51"/>
        <v>45991</v>
      </c>
      <c r="I100" s="77">
        <v>46003</v>
      </c>
      <c r="J100" s="78">
        <f t="shared" si="58"/>
        <v>27</v>
      </c>
      <c r="K100" s="25">
        <v>9.76</v>
      </c>
      <c r="L100" s="25">
        <v>8.6199999999999992</v>
      </c>
      <c r="M100" s="25">
        <f t="shared" si="57"/>
        <v>1.1400000000000006</v>
      </c>
      <c r="N100" s="25" t="s">
        <v>593</v>
      </c>
    </row>
    <row r="101" spans="1:14" x14ac:dyDescent="0.25">
      <c r="A101" s="77">
        <v>45976</v>
      </c>
      <c r="B101" s="25" t="s">
        <v>538</v>
      </c>
      <c r="C101" s="77">
        <f t="shared" si="46"/>
        <v>45999</v>
      </c>
      <c r="D101" s="77">
        <f t="shared" si="47"/>
        <v>45983</v>
      </c>
      <c r="E101" s="77">
        <f t="shared" si="48"/>
        <v>45990</v>
      </c>
      <c r="F101" s="77">
        <f t="shared" si="49"/>
        <v>45996</v>
      </c>
      <c r="G101" s="77">
        <f t="shared" si="50"/>
        <v>45984</v>
      </c>
      <c r="H101" s="77">
        <f t="shared" si="51"/>
        <v>45991</v>
      </c>
      <c r="I101" s="77">
        <v>46003</v>
      </c>
      <c r="J101" s="78">
        <f t="shared" ref="J101" si="59">I101-A101</f>
        <v>27</v>
      </c>
      <c r="K101" s="25">
        <v>9.81</v>
      </c>
      <c r="L101" s="25">
        <v>8.76</v>
      </c>
      <c r="M101" s="25">
        <f t="shared" si="57"/>
        <v>1.0500000000000007</v>
      </c>
      <c r="N101" s="25" t="s">
        <v>593</v>
      </c>
    </row>
    <row r="102" spans="1:14" x14ac:dyDescent="0.25">
      <c r="A102" s="77">
        <v>45976</v>
      </c>
      <c r="B102" s="25" t="s">
        <v>539</v>
      </c>
      <c r="C102" s="77">
        <f t="shared" si="46"/>
        <v>45999</v>
      </c>
      <c r="D102" s="77">
        <f t="shared" si="47"/>
        <v>45983</v>
      </c>
      <c r="E102" s="77">
        <f t="shared" si="48"/>
        <v>45990</v>
      </c>
      <c r="F102" s="77">
        <f t="shared" si="49"/>
        <v>45996</v>
      </c>
      <c r="G102" s="77">
        <f t="shared" si="50"/>
        <v>45984</v>
      </c>
      <c r="H102" s="77">
        <f t="shared" si="51"/>
        <v>45991</v>
      </c>
      <c r="I102" s="77">
        <v>46003</v>
      </c>
      <c r="J102" s="78">
        <f t="shared" ref="J102" si="60">I102-A102</f>
        <v>27</v>
      </c>
      <c r="K102" s="25">
        <v>13.25</v>
      </c>
      <c r="L102" s="25">
        <v>12.15</v>
      </c>
      <c r="M102" s="25">
        <f t="shared" si="57"/>
        <v>1.0999999999999996</v>
      </c>
      <c r="N102" s="25" t="s">
        <v>593</v>
      </c>
    </row>
    <row r="103" spans="1:14" x14ac:dyDescent="0.25">
      <c r="A103" s="77">
        <v>45976</v>
      </c>
      <c r="B103" s="25" t="s">
        <v>540</v>
      </c>
      <c r="C103" s="77">
        <f t="shared" si="46"/>
        <v>45999</v>
      </c>
      <c r="D103" s="77">
        <f t="shared" si="47"/>
        <v>45983</v>
      </c>
      <c r="E103" s="77">
        <f t="shared" si="48"/>
        <v>45990</v>
      </c>
      <c r="F103" s="77">
        <f t="shared" si="49"/>
        <v>45996</v>
      </c>
      <c r="G103" s="77">
        <f t="shared" si="50"/>
        <v>45984</v>
      </c>
      <c r="H103" s="77">
        <f t="shared" si="51"/>
        <v>45991</v>
      </c>
      <c r="I103" s="77">
        <v>46003</v>
      </c>
      <c r="J103" s="78">
        <f t="shared" ref="J103" si="61">I103-A103</f>
        <v>27</v>
      </c>
      <c r="K103" s="25">
        <v>13.53</v>
      </c>
      <c r="L103" s="25">
        <v>12.37</v>
      </c>
      <c r="M103" s="25">
        <f t="shared" si="57"/>
        <v>1.1600000000000001</v>
      </c>
      <c r="N103" s="25" t="s">
        <v>593</v>
      </c>
    </row>
    <row r="104" spans="1:14" x14ac:dyDescent="0.25">
      <c r="A104" s="77">
        <v>45976</v>
      </c>
      <c r="B104" s="25" t="s">
        <v>541</v>
      </c>
      <c r="C104" s="77">
        <f t="shared" si="46"/>
        <v>45999</v>
      </c>
      <c r="D104" s="77">
        <f t="shared" si="47"/>
        <v>45983</v>
      </c>
      <c r="E104" s="77">
        <f t="shared" si="48"/>
        <v>45990</v>
      </c>
      <c r="F104" s="77">
        <f t="shared" si="49"/>
        <v>45996</v>
      </c>
      <c r="G104" s="77">
        <f t="shared" si="50"/>
        <v>45984</v>
      </c>
      <c r="H104" s="77">
        <f t="shared" si="51"/>
        <v>45991</v>
      </c>
      <c r="I104" s="77">
        <v>46003</v>
      </c>
      <c r="J104" s="78">
        <f t="shared" ref="J104:J108" si="62">I104-A104</f>
        <v>27</v>
      </c>
      <c r="K104" s="25">
        <v>12.49</v>
      </c>
      <c r="L104" s="25">
        <v>11.21</v>
      </c>
      <c r="M104" s="25">
        <f t="shared" si="57"/>
        <v>1.2799999999999994</v>
      </c>
      <c r="N104" s="25" t="s">
        <v>593</v>
      </c>
    </row>
    <row r="105" spans="1:14" x14ac:dyDescent="0.25">
      <c r="A105" s="77">
        <v>45976</v>
      </c>
      <c r="B105" s="25" t="s">
        <v>542</v>
      </c>
      <c r="C105" s="77">
        <f t="shared" si="46"/>
        <v>45999</v>
      </c>
      <c r="D105" s="77">
        <f t="shared" si="47"/>
        <v>45983</v>
      </c>
      <c r="E105" s="77">
        <f t="shared" si="48"/>
        <v>45990</v>
      </c>
      <c r="F105" s="77">
        <f t="shared" si="49"/>
        <v>45996</v>
      </c>
      <c r="G105" s="77">
        <f t="shared" si="50"/>
        <v>45984</v>
      </c>
      <c r="H105" s="77">
        <f t="shared" si="51"/>
        <v>45991</v>
      </c>
      <c r="I105" s="77">
        <v>46003</v>
      </c>
      <c r="J105" s="78">
        <f t="shared" si="62"/>
        <v>27</v>
      </c>
      <c r="K105" s="25">
        <v>13.17</v>
      </c>
      <c r="L105" s="25">
        <v>12.56</v>
      </c>
      <c r="M105" s="25">
        <f t="shared" si="57"/>
        <v>0.60999999999999943</v>
      </c>
      <c r="N105" s="25" t="s">
        <v>593</v>
      </c>
    </row>
    <row r="106" spans="1:14" x14ac:dyDescent="0.25">
      <c r="A106" s="77">
        <v>45976</v>
      </c>
      <c r="B106" s="25" t="s">
        <v>543</v>
      </c>
      <c r="C106" s="77">
        <f t="shared" si="46"/>
        <v>45999</v>
      </c>
      <c r="D106" s="77">
        <f t="shared" si="47"/>
        <v>45983</v>
      </c>
      <c r="E106" s="77">
        <f t="shared" si="48"/>
        <v>45990</v>
      </c>
      <c r="F106" s="77">
        <f t="shared" si="49"/>
        <v>45996</v>
      </c>
      <c r="G106" s="77">
        <f t="shared" si="50"/>
        <v>45984</v>
      </c>
      <c r="H106" s="77">
        <f t="shared" si="51"/>
        <v>45991</v>
      </c>
      <c r="I106" s="77">
        <v>46003</v>
      </c>
      <c r="J106" s="78">
        <f t="shared" si="62"/>
        <v>27</v>
      </c>
      <c r="K106" s="25">
        <v>10.56</v>
      </c>
      <c r="L106" s="25">
        <v>4.71</v>
      </c>
      <c r="M106" s="25">
        <f t="shared" si="57"/>
        <v>5.8500000000000005</v>
      </c>
      <c r="N106" s="25" t="s">
        <v>593</v>
      </c>
    </row>
    <row r="107" spans="1:14" x14ac:dyDescent="0.25">
      <c r="A107" s="77">
        <v>45976</v>
      </c>
      <c r="B107" s="25" t="s">
        <v>544</v>
      </c>
      <c r="C107" s="77">
        <f t="shared" si="46"/>
        <v>45999</v>
      </c>
      <c r="D107" s="77">
        <f t="shared" si="47"/>
        <v>45983</v>
      </c>
      <c r="E107" s="77">
        <f t="shared" si="48"/>
        <v>45990</v>
      </c>
      <c r="F107" s="77">
        <f t="shared" si="49"/>
        <v>45996</v>
      </c>
      <c r="G107" s="77">
        <f t="shared" si="50"/>
        <v>45984</v>
      </c>
      <c r="H107" s="77">
        <f t="shared" si="51"/>
        <v>45991</v>
      </c>
      <c r="I107" s="77">
        <v>46003</v>
      </c>
      <c r="J107" s="78">
        <f t="shared" si="62"/>
        <v>27</v>
      </c>
      <c r="K107" s="25">
        <v>11.09</v>
      </c>
      <c r="L107" s="25">
        <v>5.04</v>
      </c>
      <c r="M107" s="25">
        <f t="shared" si="57"/>
        <v>6.05</v>
      </c>
      <c r="N107" s="25" t="s">
        <v>593</v>
      </c>
    </row>
    <row r="108" spans="1:14" x14ac:dyDescent="0.25">
      <c r="A108" s="77">
        <v>45977</v>
      </c>
      <c r="B108" s="25" t="s">
        <v>513</v>
      </c>
      <c r="C108" s="77">
        <f t="shared" si="46"/>
        <v>46000</v>
      </c>
      <c r="D108" s="77">
        <f t="shared" si="47"/>
        <v>45984</v>
      </c>
      <c r="E108" s="77">
        <f t="shared" si="48"/>
        <v>45991</v>
      </c>
      <c r="F108" s="77">
        <f t="shared" si="49"/>
        <v>45997</v>
      </c>
      <c r="G108" s="77">
        <f t="shared" si="50"/>
        <v>45985</v>
      </c>
      <c r="H108" s="77">
        <f t="shared" si="51"/>
        <v>45992</v>
      </c>
      <c r="I108" s="77">
        <v>46004</v>
      </c>
      <c r="J108" s="78">
        <f t="shared" si="62"/>
        <v>27</v>
      </c>
      <c r="K108" s="25">
        <v>12.55</v>
      </c>
      <c r="L108" s="25">
        <v>6.07</v>
      </c>
      <c r="M108" s="25">
        <f t="shared" si="57"/>
        <v>6.48</v>
      </c>
      <c r="N108" s="25" t="s">
        <v>592</v>
      </c>
    </row>
    <row r="109" spans="1:14" x14ac:dyDescent="0.25">
      <c r="A109" s="77">
        <v>45977</v>
      </c>
      <c r="B109" s="25" t="s">
        <v>514</v>
      </c>
      <c r="C109" s="77">
        <f t="shared" si="46"/>
        <v>46000</v>
      </c>
      <c r="D109" s="77">
        <f t="shared" si="47"/>
        <v>45984</v>
      </c>
      <c r="E109" s="77">
        <f t="shared" si="48"/>
        <v>45991</v>
      </c>
      <c r="F109" s="77">
        <f t="shared" si="49"/>
        <v>45997</v>
      </c>
      <c r="G109" s="77">
        <f t="shared" si="50"/>
        <v>45985</v>
      </c>
      <c r="H109" s="77">
        <f t="shared" si="51"/>
        <v>45992</v>
      </c>
      <c r="I109" s="77">
        <v>46004</v>
      </c>
      <c r="J109" s="78">
        <f t="shared" ref="J109:J128" si="63">I109-A109</f>
        <v>27</v>
      </c>
      <c r="K109" s="25">
        <v>11.71</v>
      </c>
      <c r="L109" s="25">
        <v>5.58</v>
      </c>
      <c r="M109" s="25">
        <f t="shared" si="57"/>
        <v>6.1300000000000008</v>
      </c>
      <c r="N109" s="25" t="s">
        <v>592</v>
      </c>
    </row>
    <row r="110" spans="1:14" x14ac:dyDescent="0.25">
      <c r="A110" s="77">
        <v>45977</v>
      </c>
      <c r="B110" s="25" t="s">
        <v>515</v>
      </c>
      <c r="C110" s="77">
        <f t="shared" si="46"/>
        <v>46000</v>
      </c>
      <c r="D110" s="77">
        <f t="shared" si="47"/>
        <v>45984</v>
      </c>
      <c r="E110" s="77">
        <f t="shared" si="48"/>
        <v>45991</v>
      </c>
      <c r="F110" s="77">
        <f t="shared" si="49"/>
        <v>45997</v>
      </c>
      <c r="G110" s="77">
        <f t="shared" si="50"/>
        <v>45985</v>
      </c>
      <c r="H110" s="77">
        <f t="shared" si="51"/>
        <v>45992</v>
      </c>
      <c r="I110" s="77">
        <v>46004</v>
      </c>
      <c r="J110" s="78">
        <f t="shared" si="63"/>
        <v>27</v>
      </c>
      <c r="K110" s="25">
        <v>11.62</v>
      </c>
      <c r="L110" s="25">
        <v>5.22</v>
      </c>
      <c r="M110" s="25">
        <f t="shared" si="57"/>
        <v>6.3999999999999995</v>
      </c>
      <c r="N110" s="25" t="s">
        <v>592</v>
      </c>
    </row>
    <row r="111" spans="1:14" x14ac:dyDescent="0.25">
      <c r="A111" s="77">
        <v>45977</v>
      </c>
      <c r="B111" s="25" t="s">
        <v>516</v>
      </c>
      <c r="C111" s="77">
        <f t="shared" si="46"/>
        <v>46000</v>
      </c>
      <c r="D111" s="77">
        <f t="shared" si="47"/>
        <v>45984</v>
      </c>
      <c r="E111" s="77">
        <f t="shared" si="48"/>
        <v>45991</v>
      </c>
      <c r="F111" s="77">
        <f t="shared" si="49"/>
        <v>45997</v>
      </c>
      <c r="G111" s="77">
        <f t="shared" si="50"/>
        <v>45985</v>
      </c>
      <c r="H111" s="77">
        <f t="shared" si="51"/>
        <v>45992</v>
      </c>
      <c r="I111" s="77">
        <v>46004</v>
      </c>
      <c r="J111" s="78">
        <f t="shared" si="63"/>
        <v>27</v>
      </c>
      <c r="K111" s="25">
        <v>12.47</v>
      </c>
      <c r="L111" s="25">
        <v>11.29</v>
      </c>
      <c r="M111" s="25">
        <f t="shared" si="57"/>
        <v>1.1800000000000015</v>
      </c>
      <c r="N111" s="25" t="s">
        <v>593</v>
      </c>
    </row>
    <row r="112" spans="1:14" x14ac:dyDescent="0.25">
      <c r="A112" s="77">
        <v>45977</v>
      </c>
      <c r="B112" s="25" t="s">
        <v>517</v>
      </c>
      <c r="C112" s="77">
        <f t="shared" si="46"/>
        <v>46000</v>
      </c>
      <c r="D112" s="77">
        <f t="shared" si="47"/>
        <v>45984</v>
      </c>
      <c r="E112" s="77">
        <f t="shared" si="48"/>
        <v>45991</v>
      </c>
      <c r="F112" s="77">
        <f t="shared" si="49"/>
        <v>45997</v>
      </c>
      <c r="G112" s="77">
        <f t="shared" si="50"/>
        <v>45985</v>
      </c>
      <c r="H112" s="77">
        <f t="shared" si="51"/>
        <v>45992</v>
      </c>
      <c r="I112" s="77">
        <v>46004</v>
      </c>
      <c r="J112" s="78">
        <f t="shared" si="63"/>
        <v>27</v>
      </c>
      <c r="K112" s="25">
        <v>11.81</v>
      </c>
      <c r="L112" s="25">
        <v>10.76</v>
      </c>
      <c r="M112" s="25">
        <f t="shared" si="57"/>
        <v>1.0500000000000007</v>
      </c>
      <c r="N112" s="25" t="s">
        <v>593</v>
      </c>
    </row>
    <row r="113" spans="1:14" x14ac:dyDescent="0.25">
      <c r="A113" s="77">
        <v>45977</v>
      </c>
      <c r="B113" s="25" t="s">
        <v>518</v>
      </c>
      <c r="C113" s="77">
        <f t="shared" si="46"/>
        <v>46000</v>
      </c>
      <c r="D113" s="77">
        <f t="shared" si="47"/>
        <v>45984</v>
      </c>
      <c r="E113" s="77">
        <f t="shared" si="48"/>
        <v>45991</v>
      </c>
      <c r="F113" s="77">
        <f t="shared" si="49"/>
        <v>45997</v>
      </c>
      <c r="G113" s="77">
        <f t="shared" si="50"/>
        <v>45985</v>
      </c>
      <c r="H113" s="77">
        <f t="shared" si="51"/>
        <v>45992</v>
      </c>
      <c r="I113" s="77">
        <v>46004</v>
      </c>
      <c r="J113" s="78">
        <f t="shared" si="63"/>
        <v>27</v>
      </c>
      <c r="K113" s="25">
        <v>13.49</v>
      </c>
      <c r="L113" s="25">
        <v>12.15</v>
      </c>
      <c r="M113" s="25">
        <f t="shared" si="57"/>
        <v>1.3399999999999999</v>
      </c>
      <c r="N113" s="25" t="s">
        <v>593</v>
      </c>
    </row>
    <row r="114" spans="1:14" x14ac:dyDescent="0.25">
      <c r="A114" s="77">
        <v>45977</v>
      </c>
      <c r="B114" s="25" t="s">
        <v>519</v>
      </c>
      <c r="C114" s="77">
        <f t="shared" si="46"/>
        <v>46000</v>
      </c>
      <c r="D114" s="77">
        <f t="shared" si="47"/>
        <v>45984</v>
      </c>
      <c r="E114" s="77">
        <f t="shared" si="48"/>
        <v>45991</v>
      </c>
      <c r="F114" s="77">
        <f t="shared" si="49"/>
        <v>45997</v>
      </c>
      <c r="G114" s="77">
        <f t="shared" si="50"/>
        <v>45985</v>
      </c>
      <c r="H114" s="77">
        <f t="shared" si="51"/>
        <v>45992</v>
      </c>
      <c r="I114" s="77">
        <v>46004</v>
      </c>
      <c r="J114" s="78">
        <f t="shared" si="63"/>
        <v>27</v>
      </c>
      <c r="K114" s="25">
        <v>12.68</v>
      </c>
      <c r="L114" s="25">
        <v>11.33</v>
      </c>
      <c r="M114" s="25">
        <f t="shared" si="57"/>
        <v>1.3499999999999996</v>
      </c>
      <c r="N114" s="25" t="s">
        <v>593</v>
      </c>
    </row>
    <row r="115" spans="1:14" x14ac:dyDescent="0.25">
      <c r="A115" s="77">
        <v>45978</v>
      </c>
      <c r="B115" s="25" t="s">
        <v>520</v>
      </c>
      <c r="C115" s="77">
        <f t="shared" si="46"/>
        <v>46001</v>
      </c>
      <c r="D115" s="77">
        <f t="shared" si="47"/>
        <v>45985</v>
      </c>
      <c r="E115" s="77">
        <f t="shared" si="48"/>
        <v>45992</v>
      </c>
      <c r="F115" s="77">
        <f t="shared" si="49"/>
        <v>45998</v>
      </c>
      <c r="G115" s="77">
        <f t="shared" si="50"/>
        <v>45986</v>
      </c>
      <c r="H115" s="77">
        <f t="shared" si="51"/>
        <v>45993</v>
      </c>
      <c r="I115" s="77">
        <v>46005</v>
      </c>
      <c r="J115" s="78">
        <f t="shared" si="63"/>
        <v>27</v>
      </c>
      <c r="K115" s="25">
        <v>12.74</v>
      </c>
      <c r="L115" s="25">
        <v>6.28</v>
      </c>
      <c r="M115" s="25">
        <f t="shared" si="57"/>
        <v>6.46</v>
      </c>
      <c r="N115" s="25" t="s">
        <v>592</v>
      </c>
    </row>
    <row r="116" spans="1:14" x14ac:dyDescent="0.25">
      <c r="A116" s="77">
        <v>45978</v>
      </c>
      <c r="B116" s="25" t="s">
        <v>521</v>
      </c>
      <c r="C116" s="77">
        <f t="shared" si="46"/>
        <v>46001</v>
      </c>
      <c r="D116" s="77">
        <f t="shared" si="47"/>
        <v>45985</v>
      </c>
      <c r="E116" s="77">
        <f t="shared" si="48"/>
        <v>45992</v>
      </c>
      <c r="F116" s="77">
        <f t="shared" si="49"/>
        <v>45998</v>
      </c>
      <c r="G116" s="77">
        <f t="shared" si="50"/>
        <v>45986</v>
      </c>
      <c r="H116" s="77">
        <f t="shared" si="51"/>
        <v>45993</v>
      </c>
      <c r="I116" s="77">
        <v>46005</v>
      </c>
      <c r="J116" s="78">
        <f t="shared" si="63"/>
        <v>27</v>
      </c>
      <c r="K116" s="25">
        <v>14.52</v>
      </c>
      <c r="L116" s="25">
        <v>7.31</v>
      </c>
      <c r="M116" s="25">
        <f t="shared" si="57"/>
        <v>7.21</v>
      </c>
      <c r="N116" s="25" t="s">
        <v>592</v>
      </c>
    </row>
    <row r="117" spans="1:14" x14ac:dyDescent="0.25">
      <c r="A117" s="77">
        <v>45978</v>
      </c>
      <c r="B117" s="25" t="s">
        <v>522</v>
      </c>
      <c r="C117" s="77">
        <f t="shared" si="46"/>
        <v>46001</v>
      </c>
      <c r="D117" s="77">
        <f t="shared" si="47"/>
        <v>45985</v>
      </c>
      <c r="E117" s="77">
        <f t="shared" si="48"/>
        <v>45992</v>
      </c>
      <c r="F117" s="77">
        <f t="shared" si="49"/>
        <v>45998</v>
      </c>
      <c r="G117" s="77">
        <f t="shared" si="50"/>
        <v>45986</v>
      </c>
      <c r="H117" s="77">
        <f t="shared" si="51"/>
        <v>45993</v>
      </c>
      <c r="I117" s="77">
        <v>46005</v>
      </c>
      <c r="J117" s="78">
        <f t="shared" si="63"/>
        <v>27</v>
      </c>
      <c r="K117" s="25">
        <v>14.81</v>
      </c>
      <c r="L117" s="25">
        <v>7.52</v>
      </c>
      <c r="M117" s="25">
        <f t="shared" si="57"/>
        <v>7.2900000000000009</v>
      </c>
      <c r="N117" s="25" t="s">
        <v>592</v>
      </c>
    </row>
    <row r="118" spans="1:14" x14ac:dyDescent="0.25">
      <c r="A118" s="77">
        <v>45978</v>
      </c>
      <c r="B118" s="25" t="s">
        <v>523</v>
      </c>
      <c r="C118" s="77">
        <f t="shared" si="46"/>
        <v>46001</v>
      </c>
      <c r="D118" s="77">
        <f t="shared" si="47"/>
        <v>45985</v>
      </c>
      <c r="E118" s="77">
        <f t="shared" si="48"/>
        <v>45992</v>
      </c>
      <c r="F118" s="77">
        <f t="shared" si="49"/>
        <v>45998</v>
      </c>
      <c r="G118" s="77">
        <f t="shared" si="50"/>
        <v>45986</v>
      </c>
      <c r="H118" s="77">
        <f t="shared" si="51"/>
        <v>45993</v>
      </c>
      <c r="I118" s="77">
        <v>46005</v>
      </c>
      <c r="J118" s="78">
        <f t="shared" si="63"/>
        <v>27</v>
      </c>
      <c r="K118" s="25">
        <v>13.1</v>
      </c>
      <c r="L118" s="25">
        <v>6.98</v>
      </c>
      <c r="M118" s="25">
        <f t="shared" si="57"/>
        <v>6.1199999999999992</v>
      </c>
      <c r="N118" s="25" t="s">
        <v>592</v>
      </c>
    </row>
    <row r="119" spans="1:14" x14ac:dyDescent="0.25">
      <c r="A119" s="77">
        <v>45978</v>
      </c>
      <c r="B119" s="25" t="s">
        <v>524</v>
      </c>
      <c r="C119" s="77">
        <f t="shared" si="46"/>
        <v>46001</v>
      </c>
      <c r="D119" s="77">
        <f t="shared" si="47"/>
        <v>45985</v>
      </c>
      <c r="E119" s="77">
        <f t="shared" si="48"/>
        <v>45992</v>
      </c>
      <c r="F119" s="77">
        <f t="shared" si="49"/>
        <v>45998</v>
      </c>
      <c r="G119" s="77">
        <f t="shared" si="50"/>
        <v>45986</v>
      </c>
      <c r="H119" s="77">
        <f t="shared" si="51"/>
        <v>45993</v>
      </c>
      <c r="I119" s="77">
        <v>46005</v>
      </c>
      <c r="J119" s="78">
        <f t="shared" si="63"/>
        <v>27</v>
      </c>
      <c r="K119" s="25">
        <v>11.66</v>
      </c>
      <c r="L119" s="25">
        <v>10.210000000000001</v>
      </c>
      <c r="M119" s="25">
        <f t="shared" si="57"/>
        <v>1.4499999999999993</v>
      </c>
      <c r="N119" s="25" t="s">
        <v>593</v>
      </c>
    </row>
    <row r="120" spans="1:14" x14ac:dyDescent="0.25">
      <c r="A120" s="77">
        <v>45978</v>
      </c>
      <c r="B120" s="25" t="s">
        <v>525</v>
      </c>
      <c r="C120" s="77">
        <f t="shared" si="46"/>
        <v>46001</v>
      </c>
      <c r="D120" s="77">
        <f t="shared" si="47"/>
        <v>45985</v>
      </c>
      <c r="E120" s="77">
        <f t="shared" si="48"/>
        <v>45992</v>
      </c>
      <c r="F120" s="77">
        <f t="shared" si="49"/>
        <v>45998</v>
      </c>
      <c r="G120" s="77">
        <f t="shared" si="50"/>
        <v>45986</v>
      </c>
      <c r="H120" s="77">
        <f t="shared" si="51"/>
        <v>45993</v>
      </c>
      <c r="I120" s="77">
        <v>46005</v>
      </c>
      <c r="J120" s="78">
        <f t="shared" si="63"/>
        <v>27</v>
      </c>
      <c r="K120" s="25">
        <v>13.79</v>
      </c>
      <c r="L120" s="25">
        <v>12.17</v>
      </c>
      <c r="M120" s="25">
        <f t="shared" si="57"/>
        <v>1.6199999999999992</v>
      </c>
      <c r="N120" s="25" t="s">
        <v>593</v>
      </c>
    </row>
    <row r="121" spans="1:14" x14ac:dyDescent="0.25">
      <c r="A121" s="77">
        <v>45978</v>
      </c>
      <c r="B121" s="25" t="s">
        <v>526</v>
      </c>
      <c r="C121" s="77">
        <f t="shared" si="46"/>
        <v>46001</v>
      </c>
      <c r="D121" s="77">
        <f t="shared" si="47"/>
        <v>45985</v>
      </c>
      <c r="E121" s="77">
        <f t="shared" si="48"/>
        <v>45992</v>
      </c>
      <c r="F121" s="77">
        <f t="shared" si="49"/>
        <v>45998</v>
      </c>
      <c r="G121" s="77">
        <f t="shared" si="50"/>
        <v>45986</v>
      </c>
      <c r="H121" s="77">
        <f t="shared" si="51"/>
        <v>45993</v>
      </c>
      <c r="I121" s="77">
        <v>46005</v>
      </c>
      <c r="J121" s="78">
        <f t="shared" si="63"/>
        <v>27</v>
      </c>
      <c r="K121" s="25">
        <v>11.82</v>
      </c>
      <c r="L121" s="25">
        <v>10.58</v>
      </c>
      <c r="M121" s="25">
        <f t="shared" si="57"/>
        <v>1.2400000000000002</v>
      </c>
      <c r="N121" s="25" t="s">
        <v>593</v>
      </c>
    </row>
    <row r="122" spans="1:14" x14ac:dyDescent="0.25">
      <c r="A122" s="77">
        <v>45979</v>
      </c>
      <c r="B122" s="25" t="s">
        <v>527</v>
      </c>
      <c r="C122" s="77">
        <f t="shared" si="46"/>
        <v>46002</v>
      </c>
      <c r="D122" s="77">
        <f t="shared" si="47"/>
        <v>45986</v>
      </c>
      <c r="E122" s="77">
        <f t="shared" si="48"/>
        <v>45993</v>
      </c>
      <c r="F122" s="77">
        <f t="shared" si="49"/>
        <v>45999</v>
      </c>
      <c r="G122" s="77">
        <f t="shared" si="50"/>
        <v>45987</v>
      </c>
      <c r="H122" s="77">
        <f t="shared" si="51"/>
        <v>45994</v>
      </c>
      <c r="I122" s="77">
        <v>46005</v>
      </c>
      <c r="J122" s="78">
        <f t="shared" si="63"/>
        <v>26</v>
      </c>
      <c r="K122" s="25">
        <v>12.75</v>
      </c>
      <c r="L122" s="25">
        <v>11.07</v>
      </c>
      <c r="M122" s="25">
        <f t="shared" si="57"/>
        <v>1.6799999999999997</v>
      </c>
      <c r="N122" s="25" t="s">
        <v>593</v>
      </c>
    </row>
    <row r="123" spans="1:14" x14ac:dyDescent="0.25">
      <c r="A123" s="77">
        <v>45979</v>
      </c>
      <c r="B123" s="25" t="s">
        <v>528</v>
      </c>
      <c r="C123" s="77">
        <f t="shared" si="46"/>
        <v>46002</v>
      </c>
      <c r="D123" s="77">
        <f t="shared" si="47"/>
        <v>45986</v>
      </c>
      <c r="E123" s="77">
        <f t="shared" si="48"/>
        <v>45993</v>
      </c>
      <c r="F123" s="77">
        <f t="shared" si="49"/>
        <v>45999</v>
      </c>
      <c r="G123" s="77">
        <f t="shared" si="50"/>
        <v>45987</v>
      </c>
      <c r="H123" s="77">
        <f t="shared" si="51"/>
        <v>45994</v>
      </c>
      <c r="I123" s="77">
        <v>46005</v>
      </c>
      <c r="J123" s="78">
        <f t="shared" si="63"/>
        <v>26</v>
      </c>
      <c r="K123" s="25">
        <v>12.88</v>
      </c>
      <c r="L123" s="25">
        <v>11.16</v>
      </c>
      <c r="M123" s="25">
        <f t="shared" si="57"/>
        <v>1.7200000000000006</v>
      </c>
      <c r="N123" s="25" t="s">
        <v>593</v>
      </c>
    </row>
    <row r="124" spans="1:14" x14ac:dyDescent="0.25">
      <c r="A124" s="77">
        <v>45979</v>
      </c>
      <c r="B124" s="25" t="s">
        <v>529</v>
      </c>
      <c r="C124" s="77">
        <f t="shared" si="46"/>
        <v>46002</v>
      </c>
      <c r="D124" s="77">
        <f t="shared" si="47"/>
        <v>45986</v>
      </c>
      <c r="E124" s="77">
        <f t="shared" si="48"/>
        <v>45993</v>
      </c>
      <c r="F124" s="77">
        <f t="shared" si="49"/>
        <v>45999</v>
      </c>
      <c r="G124" s="77">
        <f t="shared" si="50"/>
        <v>45987</v>
      </c>
      <c r="H124" s="77">
        <f t="shared" si="51"/>
        <v>45994</v>
      </c>
      <c r="I124" s="77">
        <v>46005</v>
      </c>
      <c r="J124" s="78">
        <f t="shared" si="63"/>
        <v>26</v>
      </c>
      <c r="K124" s="25">
        <v>13.54</v>
      </c>
      <c r="L124" s="25">
        <v>12.42</v>
      </c>
      <c r="M124" s="25">
        <f t="shared" si="57"/>
        <v>1.1199999999999992</v>
      </c>
      <c r="N124" s="25" t="s">
        <v>593</v>
      </c>
    </row>
    <row r="125" spans="1:14" x14ac:dyDescent="0.25">
      <c r="A125" s="77">
        <v>45979</v>
      </c>
      <c r="B125" s="25" t="s">
        <v>530</v>
      </c>
      <c r="C125" s="77">
        <f t="shared" si="46"/>
        <v>46002</v>
      </c>
      <c r="D125" s="77">
        <f t="shared" si="47"/>
        <v>45986</v>
      </c>
      <c r="E125" s="77">
        <f t="shared" si="48"/>
        <v>45993</v>
      </c>
      <c r="F125" s="77">
        <f t="shared" si="49"/>
        <v>45999</v>
      </c>
      <c r="G125" s="77">
        <f t="shared" si="50"/>
        <v>45987</v>
      </c>
      <c r="H125" s="77">
        <f t="shared" si="51"/>
        <v>45994</v>
      </c>
      <c r="I125" s="77">
        <v>46006</v>
      </c>
      <c r="J125" s="78">
        <f t="shared" si="63"/>
        <v>27</v>
      </c>
      <c r="K125" s="25">
        <v>13.52</v>
      </c>
      <c r="L125" s="25">
        <v>5.91</v>
      </c>
      <c r="M125" s="25">
        <f t="shared" si="57"/>
        <v>7.6099999999999994</v>
      </c>
      <c r="N125" s="25" t="s">
        <v>592</v>
      </c>
    </row>
    <row r="126" spans="1:14" x14ac:dyDescent="0.25">
      <c r="A126" s="77">
        <v>45979</v>
      </c>
      <c r="B126" s="25" t="s">
        <v>531</v>
      </c>
      <c r="C126" s="77">
        <f t="shared" si="46"/>
        <v>46002</v>
      </c>
      <c r="D126" s="77">
        <f t="shared" si="47"/>
        <v>45986</v>
      </c>
      <c r="E126" s="77">
        <f t="shared" si="48"/>
        <v>45993</v>
      </c>
      <c r="F126" s="77">
        <f t="shared" si="49"/>
        <v>45999</v>
      </c>
      <c r="G126" s="77">
        <f t="shared" si="50"/>
        <v>45987</v>
      </c>
      <c r="H126" s="77">
        <f t="shared" si="51"/>
        <v>45994</v>
      </c>
      <c r="I126" s="77">
        <v>46006</v>
      </c>
      <c r="J126" s="78">
        <f t="shared" si="63"/>
        <v>27</v>
      </c>
      <c r="K126" s="25">
        <v>12.96</v>
      </c>
      <c r="L126" s="25">
        <v>5.86</v>
      </c>
      <c r="M126" s="25">
        <f t="shared" si="57"/>
        <v>7.1000000000000005</v>
      </c>
      <c r="N126" s="25" t="s">
        <v>592</v>
      </c>
    </row>
    <row r="127" spans="1:14" x14ac:dyDescent="0.25">
      <c r="A127" s="77">
        <v>45979</v>
      </c>
      <c r="B127" s="25" t="s">
        <v>532</v>
      </c>
      <c r="C127" s="77">
        <f t="shared" si="46"/>
        <v>46002</v>
      </c>
      <c r="D127" s="77">
        <f t="shared" si="47"/>
        <v>45986</v>
      </c>
      <c r="E127" s="77">
        <f t="shared" si="48"/>
        <v>45993</v>
      </c>
      <c r="F127" s="77">
        <f t="shared" si="49"/>
        <v>45999</v>
      </c>
      <c r="G127" s="77">
        <f t="shared" si="50"/>
        <v>45987</v>
      </c>
      <c r="H127" s="77">
        <f t="shared" si="51"/>
        <v>45994</v>
      </c>
      <c r="I127" s="77">
        <v>46006</v>
      </c>
      <c r="J127" s="78">
        <f t="shared" si="63"/>
        <v>27</v>
      </c>
      <c r="K127" s="25">
        <v>12.25</v>
      </c>
      <c r="L127" s="25">
        <v>5.1100000000000003</v>
      </c>
      <c r="M127" s="25">
        <f t="shared" si="57"/>
        <v>7.14</v>
      </c>
      <c r="N127" s="25" t="s">
        <v>592</v>
      </c>
    </row>
    <row r="128" spans="1:14" x14ac:dyDescent="0.25">
      <c r="A128" s="77">
        <v>45979</v>
      </c>
      <c r="B128" s="25" t="s">
        <v>533</v>
      </c>
      <c r="C128" s="77">
        <f t="shared" si="46"/>
        <v>46002</v>
      </c>
      <c r="D128" s="77">
        <f t="shared" si="47"/>
        <v>45986</v>
      </c>
      <c r="E128" s="77">
        <f t="shared" si="48"/>
        <v>45993</v>
      </c>
      <c r="F128" s="77">
        <f t="shared" si="49"/>
        <v>45999</v>
      </c>
      <c r="G128" s="77">
        <f t="shared" si="50"/>
        <v>45987</v>
      </c>
      <c r="H128" s="77">
        <f t="shared" si="51"/>
        <v>45994</v>
      </c>
      <c r="I128" s="77">
        <v>46006</v>
      </c>
      <c r="J128" s="78">
        <f t="shared" si="63"/>
        <v>27</v>
      </c>
      <c r="K128" s="25">
        <v>11.81</v>
      </c>
      <c r="L128" s="25">
        <v>4.75</v>
      </c>
      <c r="M128" s="25">
        <f t="shared" si="57"/>
        <v>7.0600000000000005</v>
      </c>
      <c r="N128" s="25" t="s">
        <v>592</v>
      </c>
    </row>
    <row r="129" spans="1:14" x14ac:dyDescent="0.25">
      <c r="A129" s="77">
        <v>45980</v>
      </c>
      <c r="B129" s="25" t="s">
        <v>435</v>
      </c>
      <c r="C129" s="77">
        <f t="shared" si="46"/>
        <v>46003</v>
      </c>
      <c r="D129" s="77">
        <f t="shared" si="47"/>
        <v>45987</v>
      </c>
      <c r="E129" s="77">
        <f t="shared" si="48"/>
        <v>45994</v>
      </c>
      <c r="F129" s="77">
        <f t="shared" si="49"/>
        <v>46000</v>
      </c>
      <c r="G129" s="77">
        <f t="shared" si="50"/>
        <v>45988</v>
      </c>
      <c r="H129" s="77">
        <f t="shared" si="51"/>
        <v>45995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45980</v>
      </c>
      <c r="B130" s="25" t="s">
        <v>436</v>
      </c>
      <c r="C130" s="77">
        <f t="shared" si="46"/>
        <v>46003</v>
      </c>
      <c r="D130" s="77">
        <f t="shared" si="47"/>
        <v>45987</v>
      </c>
      <c r="E130" s="77">
        <f t="shared" si="48"/>
        <v>45994</v>
      </c>
      <c r="F130" s="77">
        <f t="shared" si="49"/>
        <v>46000</v>
      </c>
      <c r="G130" s="77">
        <f t="shared" si="50"/>
        <v>45988</v>
      </c>
      <c r="H130" s="77">
        <f t="shared" si="51"/>
        <v>45995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437</v>
      </c>
      <c r="C131" s="77">
        <f t="shared" si="46"/>
        <v>46003</v>
      </c>
      <c r="D131" s="77">
        <f t="shared" si="47"/>
        <v>45987</v>
      </c>
      <c r="E131" s="77">
        <f t="shared" si="48"/>
        <v>45994</v>
      </c>
      <c r="F131" s="77">
        <f t="shared" si="49"/>
        <v>46000</v>
      </c>
      <c r="G131" s="77">
        <f t="shared" si="50"/>
        <v>45988</v>
      </c>
      <c r="H131" s="77">
        <f t="shared" si="51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438</v>
      </c>
      <c r="C132" s="77">
        <f t="shared" si="46"/>
        <v>46003</v>
      </c>
      <c r="D132" s="77">
        <f t="shared" si="47"/>
        <v>45987</v>
      </c>
      <c r="E132" s="77">
        <f t="shared" si="48"/>
        <v>45994</v>
      </c>
      <c r="F132" s="77">
        <f t="shared" si="49"/>
        <v>46000</v>
      </c>
      <c r="G132" s="77">
        <f t="shared" si="50"/>
        <v>45988</v>
      </c>
      <c r="H132" s="77">
        <f t="shared" si="51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439</v>
      </c>
      <c r="C133" s="77">
        <f t="shared" si="46"/>
        <v>46003</v>
      </c>
      <c r="D133" s="77">
        <f t="shared" si="47"/>
        <v>45987</v>
      </c>
      <c r="E133" s="77">
        <f t="shared" si="48"/>
        <v>45994</v>
      </c>
      <c r="F133" s="77">
        <f t="shared" si="49"/>
        <v>46000</v>
      </c>
      <c r="G133" s="77">
        <f t="shared" si="50"/>
        <v>45988</v>
      </c>
      <c r="H133" s="77">
        <f t="shared" si="51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440</v>
      </c>
      <c r="C134" s="77">
        <f t="shared" si="46"/>
        <v>46003</v>
      </c>
      <c r="D134" s="77">
        <f t="shared" si="47"/>
        <v>45987</v>
      </c>
      <c r="E134" s="77">
        <f t="shared" si="48"/>
        <v>45994</v>
      </c>
      <c r="F134" s="77">
        <f t="shared" si="49"/>
        <v>46000</v>
      </c>
      <c r="G134" s="77">
        <f t="shared" si="50"/>
        <v>45988</v>
      </c>
      <c r="H134" s="77">
        <f t="shared" si="51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441</v>
      </c>
      <c r="C135" s="77">
        <f t="shared" si="46"/>
        <v>46003</v>
      </c>
      <c r="D135" s="77">
        <f t="shared" si="47"/>
        <v>45987</v>
      </c>
      <c r="E135" s="77">
        <f t="shared" si="48"/>
        <v>45994</v>
      </c>
      <c r="F135" s="77">
        <f t="shared" si="49"/>
        <v>46000</v>
      </c>
      <c r="G135" s="77">
        <f t="shared" si="50"/>
        <v>45988</v>
      </c>
      <c r="H135" s="77">
        <f t="shared" si="51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45981</v>
      </c>
      <c r="B136" s="25" t="s">
        <v>359</v>
      </c>
      <c r="C136" s="77">
        <f t="shared" si="46"/>
        <v>46004</v>
      </c>
      <c r="D136" s="77">
        <f t="shared" si="47"/>
        <v>45988</v>
      </c>
      <c r="E136" s="77">
        <f t="shared" si="48"/>
        <v>45995</v>
      </c>
      <c r="F136" s="77">
        <f t="shared" si="49"/>
        <v>46001</v>
      </c>
      <c r="G136" s="77">
        <f t="shared" si="50"/>
        <v>45989</v>
      </c>
      <c r="H136" s="77">
        <f t="shared" si="51"/>
        <v>45996</v>
      </c>
      <c r="I136" s="77">
        <v>46006</v>
      </c>
      <c r="J136" s="78">
        <f t="shared" ref="J136:J140" si="64">I136-A136</f>
        <v>25</v>
      </c>
      <c r="K136" s="25">
        <v>16.739999999999998</v>
      </c>
      <c r="L136" s="25">
        <v>12.16</v>
      </c>
      <c r="M136" s="25">
        <f t="shared" ref="M136:M140" si="65">K136-L136</f>
        <v>4.5799999999999983</v>
      </c>
      <c r="N136" s="25" t="s">
        <v>593</v>
      </c>
    </row>
    <row r="137" spans="1:14" x14ac:dyDescent="0.25">
      <c r="A137" s="77">
        <v>45981</v>
      </c>
      <c r="B137" s="25" t="s">
        <v>360</v>
      </c>
      <c r="C137" s="77">
        <f t="shared" si="46"/>
        <v>46004</v>
      </c>
      <c r="D137" s="77">
        <f t="shared" si="47"/>
        <v>45988</v>
      </c>
      <c r="E137" s="77">
        <f t="shared" si="48"/>
        <v>45995</v>
      </c>
      <c r="F137" s="77">
        <f t="shared" si="49"/>
        <v>46001</v>
      </c>
      <c r="G137" s="77">
        <f t="shared" si="50"/>
        <v>45989</v>
      </c>
      <c r="H137" s="77">
        <f t="shared" si="51"/>
        <v>45996</v>
      </c>
      <c r="I137" s="77">
        <v>46006</v>
      </c>
      <c r="J137" s="78">
        <f t="shared" si="64"/>
        <v>25</v>
      </c>
      <c r="K137" s="25">
        <v>18.91</v>
      </c>
      <c r="L137" s="25">
        <v>16.38</v>
      </c>
      <c r="M137" s="25">
        <f t="shared" si="65"/>
        <v>2.5300000000000011</v>
      </c>
      <c r="N137" s="25" t="s">
        <v>593</v>
      </c>
    </row>
    <row r="138" spans="1:14" x14ac:dyDescent="0.25">
      <c r="A138" s="77">
        <v>45981</v>
      </c>
      <c r="B138" s="25" t="s">
        <v>361</v>
      </c>
      <c r="C138" s="77">
        <f t="shared" si="46"/>
        <v>46004</v>
      </c>
      <c r="D138" s="77">
        <f t="shared" si="47"/>
        <v>45988</v>
      </c>
      <c r="E138" s="77">
        <f t="shared" si="48"/>
        <v>45995</v>
      </c>
      <c r="F138" s="77">
        <f t="shared" si="49"/>
        <v>46001</v>
      </c>
      <c r="G138" s="77">
        <f t="shared" si="50"/>
        <v>45989</v>
      </c>
      <c r="H138" s="77">
        <f t="shared" si="51"/>
        <v>45996</v>
      </c>
      <c r="I138" s="77">
        <v>46006</v>
      </c>
      <c r="J138" s="78">
        <f t="shared" si="64"/>
        <v>25</v>
      </c>
      <c r="K138" s="25">
        <v>18.27</v>
      </c>
      <c r="L138" s="25">
        <v>15.14</v>
      </c>
      <c r="M138" s="25">
        <f t="shared" si="65"/>
        <v>3.129999999999999</v>
      </c>
      <c r="N138" s="25" t="s">
        <v>593</v>
      </c>
    </row>
    <row r="139" spans="1:14" x14ac:dyDescent="0.25">
      <c r="A139" s="77">
        <v>45981</v>
      </c>
      <c r="B139" s="25" t="s">
        <v>362</v>
      </c>
      <c r="C139" s="77">
        <f t="shared" si="46"/>
        <v>46004</v>
      </c>
      <c r="D139" s="77">
        <f t="shared" si="47"/>
        <v>45988</v>
      </c>
      <c r="E139" s="77">
        <f t="shared" si="48"/>
        <v>45995</v>
      </c>
      <c r="F139" s="77">
        <f t="shared" si="49"/>
        <v>46001</v>
      </c>
      <c r="G139" s="77">
        <f t="shared" si="50"/>
        <v>45989</v>
      </c>
      <c r="H139" s="77">
        <f t="shared" si="51"/>
        <v>45996</v>
      </c>
      <c r="I139" s="77">
        <v>46006</v>
      </c>
      <c r="J139" s="78">
        <f t="shared" si="64"/>
        <v>25</v>
      </c>
      <c r="K139" s="25">
        <v>16.100000000000001</v>
      </c>
      <c r="L139" s="25">
        <v>13.47</v>
      </c>
      <c r="M139" s="25">
        <f t="shared" si="65"/>
        <v>2.6300000000000008</v>
      </c>
      <c r="N139" s="25" t="s">
        <v>593</v>
      </c>
    </row>
    <row r="140" spans="1:14" x14ac:dyDescent="0.25">
      <c r="A140" s="77">
        <v>45981</v>
      </c>
      <c r="B140" s="25" t="s">
        <v>363</v>
      </c>
      <c r="C140" s="77">
        <f t="shared" si="46"/>
        <v>46004</v>
      </c>
      <c r="D140" s="77">
        <f t="shared" si="47"/>
        <v>45988</v>
      </c>
      <c r="E140" s="77">
        <f t="shared" si="48"/>
        <v>45995</v>
      </c>
      <c r="F140" s="77">
        <f t="shared" si="49"/>
        <v>46001</v>
      </c>
      <c r="G140" s="77">
        <f t="shared" si="50"/>
        <v>45989</v>
      </c>
      <c r="H140" s="77">
        <f t="shared" si="51"/>
        <v>45996</v>
      </c>
      <c r="I140" s="77">
        <v>46006</v>
      </c>
      <c r="J140" s="78">
        <f t="shared" si="64"/>
        <v>25</v>
      </c>
      <c r="K140" s="25">
        <v>16.190000000000001</v>
      </c>
      <c r="L140" s="25">
        <v>12.1</v>
      </c>
      <c r="M140" s="25">
        <f t="shared" si="65"/>
        <v>4.0900000000000016</v>
      </c>
      <c r="N140" s="25" t="s">
        <v>593</v>
      </c>
    </row>
    <row r="141" spans="1:14" x14ac:dyDescent="0.25">
      <c r="A141" s="77">
        <v>45981</v>
      </c>
      <c r="B141" s="25" t="s">
        <v>364</v>
      </c>
      <c r="C141" s="77">
        <f t="shared" si="46"/>
        <v>46004</v>
      </c>
      <c r="D141" s="77">
        <f t="shared" si="47"/>
        <v>45988</v>
      </c>
      <c r="E141" s="77">
        <f t="shared" si="48"/>
        <v>45995</v>
      </c>
      <c r="F141" s="77">
        <f t="shared" si="49"/>
        <v>46001</v>
      </c>
      <c r="G141" s="77">
        <f t="shared" si="50"/>
        <v>45989</v>
      </c>
      <c r="H141" s="77">
        <f t="shared" si="51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365</v>
      </c>
      <c r="C142" s="77">
        <f t="shared" ref="C142:C205" si="66">A142+23</f>
        <v>46004</v>
      </c>
      <c r="D142" s="77">
        <f t="shared" ref="D142:D205" si="67">A142+7</f>
        <v>45988</v>
      </c>
      <c r="E142" s="77">
        <f t="shared" ref="E142:E205" si="68">A142+14</f>
        <v>45995</v>
      </c>
      <c r="F142" s="77">
        <f t="shared" ref="F142:F205" si="69">A142+20</f>
        <v>46001</v>
      </c>
      <c r="G142" s="77">
        <f t="shared" ref="G142:G205" si="70">A142+8</f>
        <v>45989</v>
      </c>
      <c r="H142" s="77">
        <f t="shared" ref="H142:H205" si="71">A142+15</f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45982</v>
      </c>
      <c r="B143" s="25" t="s">
        <v>379</v>
      </c>
      <c r="C143" s="77">
        <f t="shared" si="66"/>
        <v>46005</v>
      </c>
      <c r="D143" s="77">
        <f t="shared" si="67"/>
        <v>45989</v>
      </c>
      <c r="E143" s="77">
        <f t="shared" si="68"/>
        <v>45996</v>
      </c>
      <c r="F143" s="77">
        <f t="shared" si="69"/>
        <v>46002</v>
      </c>
      <c r="G143" s="77">
        <f t="shared" si="70"/>
        <v>45990</v>
      </c>
      <c r="H143" s="77">
        <f t="shared" si="71"/>
        <v>45997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45982</v>
      </c>
      <c r="B144" s="25" t="s">
        <v>380</v>
      </c>
      <c r="C144" s="77">
        <f t="shared" si="66"/>
        <v>46005</v>
      </c>
      <c r="D144" s="77">
        <f t="shared" si="67"/>
        <v>45989</v>
      </c>
      <c r="E144" s="77">
        <f t="shared" si="68"/>
        <v>45996</v>
      </c>
      <c r="F144" s="77">
        <f t="shared" si="69"/>
        <v>46002</v>
      </c>
      <c r="G144" s="77">
        <f t="shared" si="70"/>
        <v>45990</v>
      </c>
      <c r="H144" s="77">
        <f t="shared" si="71"/>
        <v>45997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381</v>
      </c>
      <c r="C145" s="77">
        <f t="shared" si="66"/>
        <v>46005</v>
      </c>
      <c r="D145" s="77">
        <f t="shared" si="67"/>
        <v>45989</v>
      </c>
      <c r="E145" s="77">
        <f t="shared" si="68"/>
        <v>45996</v>
      </c>
      <c r="F145" s="77">
        <f t="shared" si="69"/>
        <v>46002</v>
      </c>
      <c r="G145" s="77">
        <f t="shared" si="70"/>
        <v>45990</v>
      </c>
      <c r="H145" s="77">
        <f t="shared" si="71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382</v>
      </c>
      <c r="C146" s="77">
        <f t="shared" si="66"/>
        <v>46005</v>
      </c>
      <c r="D146" s="77">
        <f t="shared" si="67"/>
        <v>45989</v>
      </c>
      <c r="E146" s="77">
        <f t="shared" si="68"/>
        <v>45996</v>
      </c>
      <c r="F146" s="77">
        <f t="shared" si="69"/>
        <v>46002</v>
      </c>
      <c r="G146" s="77">
        <f t="shared" si="70"/>
        <v>45990</v>
      </c>
      <c r="H146" s="77">
        <f t="shared" si="71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383</v>
      </c>
      <c r="C147" s="77">
        <f t="shared" si="66"/>
        <v>46005</v>
      </c>
      <c r="D147" s="77">
        <f t="shared" si="67"/>
        <v>45989</v>
      </c>
      <c r="E147" s="77">
        <f t="shared" si="68"/>
        <v>45996</v>
      </c>
      <c r="F147" s="77">
        <f t="shared" si="69"/>
        <v>46002</v>
      </c>
      <c r="G147" s="77">
        <f t="shared" si="70"/>
        <v>45990</v>
      </c>
      <c r="H147" s="77">
        <f t="shared" si="71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384</v>
      </c>
      <c r="C148" s="77">
        <f t="shared" si="66"/>
        <v>46005</v>
      </c>
      <c r="D148" s="77">
        <f t="shared" si="67"/>
        <v>45989</v>
      </c>
      <c r="E148" s="77">
        <f t="shared" si="68"/>
        <v>45996</v>
      </c>
      <c r="F148" s="77">
        <f t="shared" si="69"/>
        <v>46002</v>
      </c>
      <c r="G148" s="77">
        <f t="shared" si="70"/>
        <v>45990</v>
      </c>
      <c r="H148" s="77">
        <f t="shared" si="71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385</v>
      </c>
      <c r="C149" s="77">
        <f t="shared" si="66"/>
        <v>46005</v>
      </c>
      <c r="D149" s="77">
        <f t="shared" si="67"/>
        <v>45989</v>
      </c>
      <c r="E149" s="77">
        <f t="shared" si="68"/>
        <v>45996</v>
      </c>
      <c r="F149" s="77">
        <f t="shared" si="69"/>
        <v>46002</v>
      </c>
      <c r="G149" s="77">
        <f t="shared" si="70"/>
        <v>45990</v>
      </c>
      <c r="H149" s="77">
        <f t="shared" si="71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45983</v>
      </c>
      <c r="B150" s="25" t="s">
        <v>366</v>
      </c>
      <c r="C150" s="77">
        <f t="shared" si="66"/>
        <v>46006</v>
      </c>
      <c r="D150" s="77">
        <f t="shared" si="67"/>
        <v>45990</v>
      </c>
      <c r="E150" s="77">
        <f t="shared" si="68"/>
        <v>45997</v>
      </c>
      <c r="F150" s="77">
        <f t="shared" si="69"/>
        <v>46003</v>
      </c>
      <c r="G150" s="77">
        <f t="shared" si="70"/>
        <v>45991</v>
      </c>
      <c r="H150" s="77">
        <f t="shared" si="71"/>
        <v>45998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45983</v>
      </c>
      <c r="B151" s="25" t="s">
        <v>367</v>
      </c>
      <c r="C151" s="77">
        <f t="shared" si="66"/>
        <v>46006</v>
      </c>
      <c r="D151" s="77">
        <f t="shared" si="67"/>
        <v>45990</v>
      </c>
      <c r="E151" s="77">
        <f t="shared" si="68"/>
        <v>45997</v>
      </c>
      <c r="F151" s="77">
        <f t="shared" si="69"/>
        <v>46003</v>
      </c>
      <c r="G151" s="77">
        <f t="shared" si="70"/>
        <v>45991</v>
      </c>
      <c r="H151" s="77">
        <f t="shared" si="71"/>
        <v>45998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368</v>
      </c>
      <c r="C152" s="77">
        <f t="shared" si="66"/>
        <v>46006</v>
      </c>
      <c r="D152" s="77">
        <f t="shared" si="67"/>
        <v>45990</v>
      </c>
      <c r="E152" s="77">
        <f t="shared" si="68"/>
        <v>45997</v>
      </c>
      <c r="F152" s="77">
        <f t="shared" si="69"/>
        <v>46003</v>
      </c>
      <c r="G152" s="77">
        <f t="shared" si="70"/>
        <v>45991</v>
      </c>
      <c r="H152" s="77">
        <f t="shared" si="71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369</v>
      </c>
      <c r="C153" s="77">
        <f t="shared" si="66"/>
        <v>46006</v>
      </c>
      <c r="D153" s="77">
        <f t="shared" si="67"/>
        <v>45990</v>
      </c>
      <c r="E153" s="77">
        <f t="shared" si="68"/>
        <v>45997</v>
      </c>
      <c r="F153" s="77">
        <f t="shared" si="69"/>
        <v>46003</v>
      </c>
      <c r="G153" s="77">
        <f t="shared" si="70"/>
        <v>45991</v>
      </c>
      <c r="H153" s="77">
        <f t="shared" si="71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370</v>
      </c>
      <c r="C154" s="77">
        <f t="shared" si="66"/>
        <v>46006</v>
      </c>
      <c r="D154" s="77">
        <f t="shared" si="67"/>
        <v>45990</v>
      </c>
      <c r="E154" s="77">
        <f t="shared" si="68"/>
        <v>45997</v>
      </c>
      <c r="F154" s="77">
        <f t="shared" si="69"/>
        <v>46003</v>
      </c>
      <c r="G154" s="77">
        <f t="shared" si="70"/>
        <v>45991</v>
      </c>
      <c r="H154" s="77">
        <f t="shared" si="71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371</v>
      </c>
      <c r="C155" s="77">
        <f t="shared" si="66"/>
        <v>46006</v>
      </c>
      <c r="D155" s="77">
        <f t="shared" si="67"/>
        <v>45990</v>
      </c>
      <c r="E155" s="77">
        <f t="shared" si="68"/>
        <v>45997</v>
      </c>
      <c r="F155" s="77">
        <f t="shared" si="69"/>
        <v>46003</v>
      </c>
      <c r="G155" s="77">
        <f t="shared" si="70"/>
        <v>45991</v>
      </c>
      <c r="H155" s="77">
        <f t="shared" si="71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372</v>
      </c>
      <c r="C156" s="77">
        <f t="shared" si="66"/>
        <v>46006</v>
      </c>
      <c r="D156" s="77">
        <f t="shared" si="67"/>
        <v>45990</v>
      </c>
      <c r="E156" s="77">
        <f t="shared" si="68"/>
        <v>45997</v>
      </c>
      <c r="F156" s="77">
        <f t="shared" si="69"/>
        <v>46003</v>
      </c>
      <c r="G156" s="77">
        <f t="shared" si="70"/>
        <v>45991</v>
      </c>
      <c r="H156" s="77">
        <f t="shared" si="71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45984</v>
      </c>
      <c r="B157" s="25" t="s">
        <v>386</v>
      </c>
      <c r="C157" s="77">
        <f t="shared" si="66"/>
        <v>46007</v>
      </c>
      <c r="D157" s="77">
        <f t="shared" si="67"/>
        <v>45991</v>
      </c>
      <c r="E157" s="77">
        <f t="shared" si="68"/>
        <v>45998</v>
      </c>
      <c r="F157" s="77">
        <f t="shared" si="69"/>
        <v>46004</v>
      </c>
      <c r="G157" s="77">
        <f t="shared" si="70"/>
        <v>45992</v>
      </c>
      <c r="H157" s="77">
        <f t="shared" si="71"/>
        <v>45999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45984</v>
      </c>
      <c r="B158" s="25" t="s">
        <v>387</v>
      </c>
      <c r="C158" s="77">
        <f t="shared" si="66"/>
        <v>46007</v>
      </c>
      <c r="D158" s="77">
        <f t="shared" si="67"/>
        <v>45991</v>
      </c>
      <c r="E158" s="77">
        <f t="shared" si="68"/>
        <v>45998</v>
      </c>
      <c r="F158" s="77">
        <f t="shared" si="69"/>
        <v>46004</v>
      </c>
      <c r="G158" s="77">
        <f t="shared" si="70"/>
        <v>45992</v>
      </c>
      <c r="H158" s="77">
        <f t="shared" si="71"/>
        <v>45999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388</v>
      </c>
      <c r="C159" s="77">
        <f t="shared" si="66"/>
        <v>46007</v>
      </c>
      <c r="D159" s="77">
        <f t="shared" si="67"/>
        <v>45991</v>
      </c>
      <c r="E159" s="77">
        <f t="shared" si="68"/>
        <v>45998</v>
      </c>
      <c r="F159" s="77">
        <f t="shared" si="69"/>
        <v>46004</v>
      </c>
      <c r="G159" s="77">
        <f t="shared" si="70"/>
        <v>45992</v>
      </c>
      <c r="H159" s="77">
        <f t="shared" si="71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389</v>
      </c>
      <c r="C160" s="77">
        <f t="shared" si="66"/>
        <v>46007</v>
      </c>
      <c r="D160" s="77">
        <f t="shared" si="67"/>
        <v>45991</v>
      </c>
      <c r="E160" s="77">
        <f t="shared" si="68"/>
        <v>45998</v>
      </c>
      <c r="F160" s="77">
        <f t="shared" si="69"/>
        <v>46004</v>
      </c>
      <c r="G160" s="77">
        <f t="shared" si="70"/>
        <v>45992</v>
      </c>
      <c r="H160" s="77">
        <f t="shared" si="71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390</v>
      </c>
      <c r="C161" s="77">
        <f t="shared" si="66"/>
        <v>46007</v>
      </c>
      <c r="D161" s="77">
        <f t="shared" si="67"/>
        <v>45991</v>
      </c>
      <c r="E161" s="77">
        <f t="shared" si="68"/>
        <v>45998</v>
      </c>
      <c r="F161" s="77">
        <f t="shared" si="69"/>
        <v>46004</v>
      </c>
      <c r="G161" s="77">
        <f t="shared" si="70"/>
        <v>45992</v>
      </c>
      <c r="H161" s="77">
        <f t="shared" si="71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391</v>
      </c>
      <c r="C162" s="77">
        <f t="shared" si="66"/>
        <v>46007</v>
      </c>
      <c r="D162" s="77">
        <f t="shared" si="67"/>
        <v>45991</v>
      </c>
      <c r="E162" s="77">
        <f t="shared" si="68"/>
        <v>45998</v>
      </c>
      <c r="F162" s="77">
        <f t="shared" si="69"/>
        <v>46004</v>
      </c>
      <c r="G162" s="77">
        <f t="shared" si="70"/>
        <v>45992</v>
      </c>
      <c r="H162" s="77">
        <f t="shared" si="71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392</v>
      </c>
      <c r="C163" s="77">
        <f t="shared" si="66"/>
        <v>46007</v>
      </c>
      <c r="D163" s="77">
        <f t="shared" si="67"/>
        <v>45991</v>
      </c>
      <c r="E163" s="77">
        <f t="shared" si="68"/>
        <v>45998</v>
      </c>
      <c r="F163" s="77">
        <f t="shared" si="69"/>
        <v>46004</v>
      </c>
      <c r="G163" s="77">
        <f t="shared" si="70"/>
        <v>45992</v>
      </c>
      <c r="H163" s="77">
        <f t="shared" si="71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45985</v>
      </c>
      <c r="B164" s="25" t="s">
        <v>373</v>
      </c>
      <c r="C164" s="77">
        <f t="shared" si="66"/>
        <v>46008</v>
      </c>
      <c r="D164" s="77">
        <f t="shared" si="67"/>
        <v>45992</v>
      </c>
      <c r="E164" s="77">
        <f t="shared" si="68"/>
        <v>45999</v>
      </c>
      <c r="F164" s="77">
        <f t="shared" si="69"/>
        <v>46005</v>
      </c>
      <c r="G164" s="77">
        <f t="shared" si="70"/>
        <v>45993</v>
      </c>
      <c r="H164" s="77">
        <f t="shared" si="71"/>
        <v>46000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45985</v>
      </c>
      <c r="B165" s="25" t="s">
        <v>374</v>
      </c>
      <c r="C165" s="77">
        <f t="shared" si="66"/>
        <v>46008</v>
      </c>
      <c r="D165" s="77">
        <f t="shared" si="67"/>
        <v>45992</v>
      </c>
      <c r="E165" s="77">
        <f t="shared" si="68"/>
        <v>45999</v>
      </c>
      <c r="F165" s="77">
        <f t="shared" si="69"/>
        <v>46005</v>
      </c>
      <c r="G165" s="77">
        <f t="shared" si="70"/>
        <v>45993</v>
      </c>
      <c r="H165" s="77">
        <f t="shared" si="71"/>
        <v>46000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375</v>
      </c>
      <c r="C166" s="77">
        <f t="shared" si="66"/>
        <v>46008</v>
      </c>
      <c r="D166" s="77">
        <f t="shared" si="67"/>
        <v>45992</v>
      </c>
      <c r="E166" s="77">
        <f t="shared" si="68"/>
        <v>45999</v>
      </c>
      <c r="F166" s="77">
        <f t="shared" si="69"/>
        <v>46005</v>
      </c>
      <c r="G166" s="77">
        <f t="shared" si="70"/>
        <v>45993</v>
      </c>
      <c r="H166" s="77">
        <f t="shared" si="71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376</v>
      </c>
      <c r="C167" s="77">
        <f t="shared" si="66"/>
        <v>46008</v>
      </c>
      <c r="D167" s="77">
        <f t="shared" si="67"/>
        <v>45992</v>
      </c>
      <c r="E167" s="77">
        <f t="shared" si="68"/>
        <v>45999</v>
      </c>
      <c r="F167" s="77">
        <f t="shared" si="69"/>
        <v>46005</v>
      </c>
      <c r="G167" s="77">
        <f t="shared" si="70"/>
        <v>45993</v>
      </c>
      <c r="H167" s="77">
        <f t="shared" si="71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377</v>
      </c>
      <c r="C168" s="77">
        <f t="shared" si="66"/>
        <v>46008</v>
      </c>
      <c r="D168" s="77">
        <f t="shared" si="67"/>
        <v>45992</v>
      </c>
      <c r="E168" s="77">
        <f t="shared" si="68"/>
        <v>45999</v>
      </c>
      <c r="F168" s="77">
        <f t="shared" si="69"/>
        <v>46005</v>
      </c>
      <c r="G168" s="77">
        <f t="shared" si="70"/>
        <v>45993</v>
      </c>
      <c r="H168" s="77">
        <f t="shared" si="71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393</v>
      </c>
      <c r="C169" s="77">
        <f t="shared" si="66"/>
        <v>46008</v>
      </c>
      <c r="D169" s="77">
        <f t="shared" si="67"/>
        <v>45992</v>
      </c>
      <c r="E169" s="77">
        <f t="shared" si="68"/>
        <v>45999</v>
      </c>
      <c r="F169" s="77">
        <f t="shared" si="69"/>
        <v>46005</v>
      </c>
      <c r="G169" s="77">
        <f t="shared" si="70"/>
        <v>45993</v>
      </c>
      <c r="H169" s="77">
        <f t="shared" si="71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394</v>
      </c>
      <c r="C170" s="77">
        <f t="shared" si="66"/>
        <v>46008</v>
      </c>
      <c r="D170" s="77">
        <f t="shared" si="67"/>
        <v>45992</v>
      </c>
      <c r="E170" s="77">
        <f t="shared" si="68"/>
        <v>45999</v>
      </c>
      <c r="F170" s="77">
        <f t="shared" si="69"/>
        <v>46005</v>
      </c>
      <c r="G170" s="77">
        <f t="shared" si="70"/>
        <v>45993</v>
      </c>
      <c r="H170" s="77">
        <f t="shared" si="71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45986</v>
      </c>
      <c r="B171" s="25" t="s">
        <v>395</v>
      </c>
      <c r="C171" s="77">
        <f t="shared" si="66"/>
        <v>46009</v>
      </c>
      <c r="D171" s="77">
        <f t="shared" si="67"/>
        <v>45993</v>
      </c>
      <c r="E171" s="77">
        <f t="shared" si="68"/>
        <v>46000</v>
      </c>
      <c r="F171" s="77">
        <f t="shared" si="69"/>
        <v>46006</v>
      </c>
      <c r="G171" s="77">
        <f t="shared" si="70"/>
        <v>45994</v>
      </c>
      <c r="H171" s="77">
        <f t="shared" si="71"/>
        <v>46001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45986</v>
      </c>
      <c r="B172" s="25" t="s">
        <v>396</v>
      </c>
      <c r="C172" s="77">
        <f t="shared" si="66"/>
        <v>46009</v>
      </c>
      <c r="D172" s="77">
        <f t="shared" si="67"/>
        <v>45993</v>
      </c>
      <c r="E172" s="77">
        <f t="shared" si="68"/>
        <v>46000</v>
      </c>
      <c r="F172" s="77">
        <f t="shared" si="69"/>
        <v>46006</v>
      </c>
      <c r="G172" s="77">
        <f t="shared" si="70"/>
        <v>45994</v>
      </c>
      <c r="H172" s="77">
        <f t="shared" si="71"/>
        <v>46001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397</v>
      </c>
      <c r="C173" s="77">
        <f t="shared" si="66"/>
        <v>46009</v>
      </c>
      <c r="D173" s="77">
        <f t="shared" si="67"/>
        <v>45993</v>
      </c>
      <c r="E173" s="77">
        <f t="shared" si="68"/>
        <v>46000</v>
      </c>
      <c r="F173" s="77">
        <f t="shared" si="69"/>
        <v>46006</v>
      </c>
      <c r="G173" s="77">
        <f t="shared" si="70"/>
        <v>45994</v>
      </c>
      <c r="H173" s="77">
        <f t="shared" si="71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408</v>
      </c>
      <c r="C174" s="77">
        <f t="shared" si="66"/>
        <v>46009</v>
      </c>
      <c r="D174" s="77">
        <f t="shared" si="67"/>
        <v>45993</v>
      </c>
      <c r="E174" s="77">
        <f t="shared" si="68"/>
        <v>46000</v>
      </c>
      <c r="F174" s="77">
        <f t="shared" si="69"/>
        <v>46006</v>
      </c>
      <c r="G174" s="77">
        <f t="shared" si="70"/>
        <v>45994</v>
      </c>
      <c r="H174" s="77">
        <f t="shared" si="71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409</v>
      </c>
      <c r="C175" s="77">
        <f t="shared" si="66"/>
        <v>46009</v>
      </c>
      <c r="D175" s="77">
        <f t="shared" si="67"/>
        <v>45993</v>
      </c>
      <c r="E175" s="77">
        <f t="shared" si="68"/>
        <v>46000</v>
      </c>
      <c r="F175" s="77">
        <f t="shared" si="69"/>
        <v>46006</v>
      </c>
      <c r="G175" s="77">
        <f t="shared" si="70"/>
        <v>45994</v>
      </c>
      <c r="H175" s="77">
        <f t="shared" si="71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410</v>
      </c>
      <c r="C176" s="77">
        <f t="shared" si="66"/>
        <v>46009</v>
      </c>
      <c r="D176" s="77">
        <f t="shared" si="67"/>
        <v>45993</v>
      </c>
      <c r="E176" s="77">
        <f t="shared" si="68"/>
        <v>46000</v>
      </c>
      <c r="F176" s="77">
        <f t="shared" si="69"/>
        <v>46006</v>
      </c>
      <c r="G176" s="77">
        <f t="shared" si="70"/>
        <v>45994</v>
      </c>
      <c r="H176" s="77">
        <f t="shared" si="71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411</v>
      </c>
      <c r="C177" s="77">
        <f t="shared" si="66"/>
        <v>46009</v>
      </c>
      <c r="D177" s="77">
        <f t="shared" si="67"/>
        <v>45993</v>
      </c>
      <c r="E177" s="77">
        <f t="shared" si="68"/>
        <v>46000</v>
      </c>
      <c r="F177" s="77">
        <f t="shared" si="69"/>
        <v>46006</v>
      </c>
      <c r="G177" s="77">
        <f t="shared" si="70"/>
        <v>45994</v>
      </c>
      <c r="H177" s="77">
        <f t="shared" si="71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45987</v>
      </c>
      <c r="B178" s="25" t="s">
        <v>404</v>
      </c>
      <c r="C178" s="77">
        <f t="shared" si="66"/>
        <v>46010</v>
      </c>
      <c r="D178" s="77">
        <f t="shared" si="67"/>
        <v>45994</v>
      </c>
      <c r="E178" s="77">
        <f t="shared" si="68"/>
        <v>46001</v>
      </c>
      <c r="F178" s="77">
        <f t="shared" si="69"/>
        <v>46007</v>
      </c>
      <c r="G178" s="77">
        <f t="shared" si="70"/>
        <v>45995</v>
      </c>
      <c r="H178" s="77">
        <f t="shared" si="71"/>
        <v>46002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45987</v>
      </c>
      <c r="B179" s="25" t="s">
        <v>405</v>
      </c>
      <c r="C179" s="77">
        <f t="shared" si="66"/>
        <v>46010</v>
      </c>
      <c r="D179" s="77">
        <f t="shared" si="67"/>
        <v>45994</v>
      </c>
      <c r="E179" s="77">
        <f t="shared" si="68"/>
        <v>46001</v>
      </c>
      <c r="F179" s="77">
        <f t="shared" si="69"/>
        <v>46007</v>
      </c>
      <c r="G179" s="77">
        <f t="shared" si="70"/>
        <v>45995</v>
      </c>
      <c r="H179" s="77">
        <f t="shared" si="71"/>
        <v>46002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406</v>
      </c>
      <c r="C180" s="77">
        <f t="shared" si="66"/>
        <v>46010</v>
      </c>
      <c r="D180" s="77">
        <f t="shared" si="67"/>
        <v>45994</v>
      </c>
      <c r="E180" s="77">
        <f t="shared" si="68"/>
        <v>46001</v>
      </c>
      <c r="F180" s="77">
        <f t="shared" si="69"/>
        <v>46007</v>
      </c>
      <c r="G180" s="77">
        <f t="shared" si="70"/>
        <v>45995</v>
      </c>
      <c r="H180" s="77">
        <f t="shared" si="71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407</v>
      </c>
      <c r="C181" s="77">
        <f t="shared" si="66"/>
        <v>46010</v>
      </c>
      <c r="D181" s="77">
        <f t="shared" si="67"/>
        <v>45994</v>
      </c>
      <c r="E181" s="77">
        <f t="shared" si="68"/>
        <v>46001</v>
      </c>
      <c r="F181" s="77">
        <f t="shared" si="69"/>
        <v>46007</v>
      </c>
      <c r="G181" s="77">
        <f t="shared" si="70"/>
        <v>45995</v>
      </c>
      <c r="H181" s="77">
        <f t="shared" si="71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431</v>
      </c>
      <c r="C182" s="77">
        <f t="shared" si="66"/>
        <v>46010</v>
      </c>
      <c r="D182" s="77">
        <f t="shared" si="67"/>
        <v>45994</v>
      </c>
      <c r="E182" s="77">
        <f t="shared" si="68"/>
        <v>46001</v>
      </c>
      <c r="F182" s="77">
        <f t="shared" si="69"/>
        <v>46007</v>
      </c>
      <c r="G182" s="77">
        <f t="shared" si="70"/>
        <v>45995</v>
      </c>
      <c r="H182" s="77">
        <f t="shared" si="71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432</v>
      </c>
      <c r="C183" s="77">
        <f t="shared" si="66"/>
        <v>46010</v>
      </c>
      <c r="D183" s="77">
        <f t="shared" si="67"/>
        <v>45994</v>
      </c>
      <c r="E183" s="77">
        <f t="shared" si="68"/>
        <v>46001</v>
      </c>
      <c r="F183" s="77">
        <f t="shared" si="69"/>
        <v>46007</v>
      </c>
      <c r="G183" s="77">
        <f t="shared" si="70"/>
        <v>45995</v>
      </c>
      <c r="H183" s="77">
        <f t="shared" si="71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433</v>
      </c>
      <c r="C184" s="77">
        <f t="shared" si="66"/>
        <v>46010</v>
      </c>
      <c r="D184" s="77">
        <f t="shared" si="67"/>
        <v>45994</v>
      </c>
      <c r="E184" s="77">
        <f t="shared" si="68"/>
        <v>46001</v>
      </c>
      <c r="F184" s="77">
        <f t="shared" si="69"/>
        <v>46007</v>
      </c>
      <c r="G184" s="77">
        <f t="shared" si="70"/>
        <v>45995</v>
      </c>
      <c r="H184" s="77">
        <f t="shared" si="71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434</v>
      </c>
      <c r="C185" s="77">
        <f t="shared" si="66"/>
        <v>46010</v>
      </c>
      <c r="D185" s="77">
        <f t="shared" si="67"/>
        <v>45994</v>
      </c>
      <c r="E185" s="77">
        <f t="shared" si="68"/>
        <v>46001</v>
      </c>
      <c r="F185" s="77">
        <f t="shared" si="69"/>
        <v>46007</v>
      </c>
      <c r="G185" s="77">
        <f t="shared" si="70"/>
        <v>45995</v>
      </c>
      <c r="H185" s="77">
        <f t="shared" si="71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45988</v>
      </c>
      <c r="B186" s="25" t="s">
        <v>428</v>
      </c>
      <c r="C186" s="77">
        <f t="shared" si="66"/>
        <v>46011</v>
      </c>
      <c r="D186" s="77">
        <f t="shared" si="67"/>
        <v>45995</v>
      </c>
      <c r="E186" s="77">
        <f t="shared" si="68"/>
        <v>46002</v>
      </c>
      <c r="F186" s="77">
        <f t="shared" si="69"/>
        <v>46008</v>
      </c>
      <c r="G186" s="77">
        <f t="shared" si="70"/>
        <v>45996</v>
      </c>
      <c r="H186" s="77">
        <f t="shared" si="71"/>
        <v>46003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429</v>
      </c>
      <c r="C187" s="77">
        <f t="shared" si="66"/>
        <v>46011</v>
      </c>
      <c r="D187" s="77">
        <f t="shared" si="67"/>
        <v>45995</v>
      </c>
      <c r="E187" s="77">
        <f t="shared" si="68"/>
        <v>46002</v>
      </c>
      <c r="F187" s="77">
        <f t="shared" si="69"/>
        <v>46008</v>
      </c>
      <c r="G187" s="77">
        <f t="shared" si="70"/>
        <v>45996</v>
      </c>
      <c r="H187" s="77">
        <f t="shared" si="71"/>
        <v>46003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430</v>
      </c>
      <c r="C188" s="77">
        <f t="shared" si="66"/>
        <v>46011</v>
      </c>
      <c r="D188" s="77">
        <f t="shared" si="67"/>
        <v>45995</v>
      </c>
      <c r="E188" s="77">
        <f t="shared" si="68"/>
        <v>46002</v>
      </c>
      <c r="F188" s="77">
        <f t="shared" si="69"/>
        <v>46008</v>
      </c>
      <c r="G188" s="77">
        <f t="shared" si="70"/>
        <v>45996</v>
      </c>
      <c r="H188" s="77">
        <f t="shared" si="71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559</v>
      </c>
      <c r="C189" s="77">
        <f t="shared" si="66"/>
        <v>46011</v>
      </c>
      <c r="D189" s="77">
        <f t="shared" si="67"/>
        <v>45995</v>
      </c>
      <c r="E189" s="77">
        <f t="shared" si="68"/>
        <v>46002</v>
      </c>
      <c r="F189" s="77">
        <f t="shared" si="69"/>
        <v>46008</v>
      </c>
      <c r="G189" s="77">
        <f t="shared" si="70"/>
        <v>45996</v>
      </c>
      <c r="H189" s="77">
        <f t="shared" si="71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560</v>
      </c>
      <c r="C190" s="77">
        <f t="shared" si="66"/>
        <v>46011</v>
      </c>
      <c r="D190" s="77">
        <f t="shared" si="67"/>
        <v>45995</v>
      </c>
      <c r="E190" s="77">
        <f t="shared" si="68"/>
        <v>46002</v>
      </c>
      <c r="F190" s="77">
        <f t="shared" si="69"/>
        <v>46008</v>
      </c>
      <c r="G190" s="77">
        <f t="shared" si="70"/>
        <v>45996</v>
      </c>
      <c r="H190" s="77">
        <f t="shared" si="71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561</v>
      </c>
      <c r="C191" s="77">
        <f t="shared" si="66"/>
        <v>46011</v>
      </c>
      <c r="D191" s="77">
        <f t="shared" si="67"/>
        <v>45995</v>
      </c>
      <c r="E191" s="77">
        <f t="shared" si="68"/>
        <v>46002</v>
      </c>
      <c r="F191" s="77">
        <f t="shared" si="69"/>
        <v>46008</v>
      </c>
      <c r="G191" s="77">
        <f t="shared" si="70"/>
        <v>45996</v>
      </c>
      <c r="H191" s="77">
        <f t="shared" si="71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562</v>
      </c>
      <c r="C192" s="77">
        <f t="shared" si="66"/>
        <v>46011</v>
      </c>
      <c r="D192" s="77">
        <f t="shared" si="67"/>
        <v>45995</v>
      </c>
      <c r="E192" s="77">
        <f t="shared" si="68"/>
        <v>46002</v>
      </c>
      <c r="F192" s="77">
        <f t="shared" si="69"/>
        <v>46008</v>
      </c>
      <c r="G192" s="77">
        <f t="shared" si="70"/>
        <v>45996</v>
      </c>
      <c r="H192" s="77">
        <f t="shared" si="71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45989</v>
      </c>
      <c r="B193" s="25" t="s">
        <v>563</v>
      </c>
      <c r="C193" s="77">
        <f t="shared" si="66"/>
        <v>46012</v>
      </c>
      <c r="D193" s="77">
        <f t="shared" si="67"/>
        <v>45996</v>
      </c>
      <c r="E193" s="77">
        <f t="shared" si="68"/>
        <v>46003</v>
      </c>
      <c r="F193" s="77">
        <f t="shared" si="69"/>
        <v>46009</v>
      </c>
      <c r="G193" s="77">
        <f t="shared" si="70"/>
        <v>45997</v>
      </c>
      <c r="H193" s="77">
        <f t="shared" si="71"/>
        <v>46004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564</v>
      </c>
      <c r="C194" s="77">
        <f t="shared" si="66"/>
        <v>46012</v>
      </c>
      <c r="D194" s="77">
        <f t="shared" si="67"/>
        <v>45996</v>
      </c>
      <c r="E194" s="77">
        <f t="shared" si="68"/>
        <v>46003</v>
      </c>
      <c r="F194" s="77">
        <f t="shared" si="69"/>
        <v>46009</v>
      </c>
      <c r="G194" s="77">
        <f t="shared" si="70"/>
        <v>45997</v>
      </c>
      <c r="H194" s="77">
        <f t="shared" si="71"/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565</v>
      </c>
      <c r="C195" s="77">
        <f t="shared" si="66"/>
        <v>46012</v>
      </c>
      <c r="D195" s="77">
        <f t="shared" si="67"/>
        <v>45996</v>
      </c>
      <c r="E195" s="77">
        <f t="shared" si="68"/>
        <v>46003</v>
      </c>
      <c r="F195" s="77">
        <f t="shared" si="69"/>
        <v>46009</v>
      </c>
      <c r="G195" s="77">
        <f t="shared" si="70"/>
        <v>45997</v>
      </c>
      <c r="H195" s="77">
        <f t="shared" si="71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566</v>
      </c>
      <c r="C196" s="77">
        <f t="shared" si="66"/>
        <v>46012</v>
      </c>
      <c r="D196" s="77">
        <f t="shared" si="67"/>
        <v>45996</v>
      </c>
      <c r="E196" s="77">
        <f t="shared" si="68"/>
        <v>46003</v>
      </c>
      <c r="F196" s="77">
        <f t="shared" si="69"/>
        <v>46009</v>
      </c>
      <c r="G196" s="77">
        <f t="shared" si="70"/>
        <v>45997</v>
      </c>
      <c r="H196" s="77">
        <f t="shared" si="71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567</v>
      </c>
      <c r="C197" s="77">
        <f t="shared" si="66"/>
        <v>46012</v>
      </c>
      <c r="D197" s="77">
        <f t="shared" si="67"/>
        <v>45996</v>
      </c>
      <c r="E197" s="77">
        <f t="shared" si="68"/>
        <v>46003</v>
      </c>
      <c r="F197" s="77">
        <f t="shared" si="69"/>
        <v>46009</v>
      </c>
      <c r="G197" s="77">
        <f t="shared" si="70"/>
        <v>45997</v>
      </c>
      <c r="H197" s="77">
        <f t="shared" si="71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568</v>
      </c>
      <c r="C198" s="77">
        <f t="shared" si="66"/>
        <v>46012</v>
      </c>
      <c r="D198" s="77">
        <f t="shared" si="67"/>
        <v>45996</v>
      </c>
      <c r="E198" s="77">
        <f t="shared" si="68"/>
        <v>46003</v>
      </c>
      <c r="F198" s="77">
        <f t="shared" si="69"/>
        <v>46009</v>
      </c>
      <c r="G198" s="77">
        <f t="shared" si="70"/>
        <v>45997</v>
      </c>
      <c r="H198" s="77">
        <f t="shared" si="71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569</v>
      </c>
      <c r="C199" s="77">
        <f t="shared" si="66"/>
        <v>46012</v>
      </c>
      <c r="D199" s="77">
        <f t="shared" si="67"/>
        <v>45996</v>
      </c>
      <c r="E199" s="77">
        <f t="shared" si="68"/>
        <v>46003</v>
      </c>
      <c r="F199" s="77">
        <f t="shared" si="69"/>
        <v>46009</v>
      </c>
      <c r="G199" s="77">
        <f t="shared" si="70"/>
        <v>45997</v>
      </c>
      <c r="H199" s="77">
        <f t="shared" si="71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45990</v>
      </c>
      <c r="B200" s="25" t="s">
        <v>570</v>
      </c>
      <c r="C200" s="77">
        <f t="shared" si="66"/>
        <v>46013</v>
      </c>
      <c r="D200" s="77">
        <f t="shared" si="67"/>
        <v>45997</v>
      </c>
      <c r="E200" s="77">
        <f t="shared" si="68"/>
        <v>46004</v>
      </c>
      <c r="F200" s="77">
        <f t="shared" si="69"/>
        <v>46010</v>
      </c>
      <c r="G200" s="77">
        <f t="shared" si="70"/>
        <v>45998</v>
      </c>
      <c r="H200" s="77">
        <f t="shared" si="71"/>
        <v>46005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571</v>
      </c>
      <c r="C201" s="77">
        <f t="shared" si="66"/>
        <v>46013</v>
      </c>
      <c r="D201" s="77">
        <f t="shared" si="67"/>
        <v>45997</v>
      </c>
      <c r="E201" s="77">
        <f t="shared" si="68"/>
        <v>46004</v>
      </c>
      <c r="F201" s="77">
        <f t="shared" si="69"/>
        <v>46010</v>
      </c>
      <c r="G201" s="77">
        <f t="shared" si="70"/>
        <v>45998</v>
      </c>
      <c r="H201" s="77">
        <f t="shared" si="71"/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572</v>
      </c>
      <c r="C202" s="77">
        <f t="shared" si="66"/>
        <v>46013</v>
      </c>
      <c r="D202" s="77">
        <f t="shared" si="67"/>
        <v>45997</v>
      </c>
      <c r="E202" s="77">
        <f t="shared" si="68"/>
        <v>46004</v>
      </c>
      <c r="F202" s="77">
        <f t="shared" si="69"/>
        <v>46010</v>
      </c>
      <c r="G202" s="77">
        <f t="shared" si="70"/>
        <v>45998</v>
      </c>
      <c r="H202" s="77">
        <f t="shared" si="71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573</v>
      </c>
      <c r="C203" s="77">
        <f t="shared" si="66"/>
        <v>46013</v>
      </c>
      <c r="D203" s="77">
        <f t="shared" si="67"/>
        <v>45997</v>
      </c>
      <c r="E203" s="77">
        <f t="shared" si="68"/>
        <v>46004</v>
      </c>
      <c r="F203" s="77">
        <f t="shared" si="69"/>
        <v>46010</v>
      </c>
      <c r="G203" s="77">
        <f t="shared" si="70"/>
        <v>45998</v>
      </c>
      <c r="H203" s="77">
        <f t="shared" si="71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574</v>
      </c>
      <c r="C204" s="77">
        <f t="shared" si="66"/>
        <v>46013</v>
      </c>
      <c r="D204" s="77">
        <f t="shared" si="67"/>
        <v>45997</v>
      </c>
      <c r="E204" s="77">
        <f t="shared" si="68"/>
        <v>46004</v>
      </c>
      <c r="F204" s="77">
        <f t="shared" si="69"/>
        <v>46010</v>
      </c>
      <c r="G204" s="77">
        <f t="shared" si="70"/>
        <v>45998</v>
      </c>
      <c r="H204" s="77">
        <f t="shared" si="71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575</v>
      </c>
      <c r="C205" s="77">
        <f t="shared" si="66"/>
        <v>46013</v>
      </c>
      <c r="D205" s="77">
        <f t="shared" si="67"/>
        <v>45997</v>
      </c>
      <c r="E205" s="77">
        <f t="shared" si="68"/>
        <v>46004</v>
      </c>
      <c r="F205" s="77">
        <f t="shared" si="69"/>
        <v>46010</v>
      </c>
      <c r="G205" s="77">
        <f t="shared" si="70"/>
        <v>45998</v>
      </c>
      <c r="H205" s="77">
        <f t="shared" si="71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576</v>
      </c>
      <c r="C206" s="77">
        <f t="shared" ref="C206:C209" si="72">A206+23</f>
        <v>46013</v>
      </c>
      <c r="D206" s="77">
        <f t="shared" ref="D206:D209" si="73">A206+7</f>
        <v>45997</v>
      </c>
      <c r="E206" s="77">
        <f t="shared" ref="E206:E209" si="74">A206+14</f>
        <v>46004</v>
      </c>
      <c r="F206" s="77">
        <f t="shared" ref="F206:F209" si="75">A206+20</f>
        <v>46010</v>
      </c>
      <c r="G206" s="77">
        <f t="shared" ref="G206:G209" si="76">A206+8</f>
        <v>45998</v>
      </c>
      <c r="H206" s="77">
        <f t="shared" ref="H206:H209" si="77">A206+15</f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45991</v>
      </c>
      <c r="B207" s="25" t="s">
        <v>458</v>
      </c>
      <c r="C207" s="77">
        <f t="shared" si="72"/>
        <v>46014</v>
      </c>
      <c r="D207" s="77">
        <f t="shared" si="73"/>
        <v>45998</v>
      </c>
      <c r="E207" s="77">
        <f t="shared" si="74"/>
        <v>46005</v>
      </c>
      <c r="F207" s="77">
        <f t="shared" si="75"/>
        <v>46011</v>
      </c>
      <c r="G207" s="77">
        <f t="shared" si="76"/>
        <v>45999</v>
      </c>
      <c r="H207" s="77">
        <f t="shared" si="77"/>
        <v>46006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459</v>
      </c>
      <c r="C208" s="77">
        <f t="shared" si="72"/>
        <v>46014</v>
      </c>
      <c r="D208" s="77">
        <f t="shared" si="73"/>
        <v>45998</v>
      </c>
      <c r="E208" s="77">
        <f t="shared" si="74"/>
        <v>46005</v>
      </c>
      <c r="F208" s="77">
        <f t="shared" si="75"/>
        <v>46011</v>
      </c>
      <c r="G208" s="77">
        <f t="shared" si="76"/>
        <v>45999</v>
      </c>
      <c r="H208" s="77">
        <f t="shared" si="77"/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460</v>
      </c>
      <c r="C209" s="77">
        <f t="shared" si="72"/>
        <v>46014</v>
      </c>
      <c r="D209" s="77">
        <f t="shared" si="73"/>
        <v>45998</v>
      </c>
      <c r="E209" s="77">
        <f t="shared" si="74"/>
        <v>46005</v>
      </c>
      <c r="F209" s="77">
        <f t="shared" si="75"/>
        <v>46011</v>
      </c>
      <c r="G209" s="77">
        <f t="shared" si="76"/>
        <v>45999</v>
      </c>
      <c r="H209" s="77">
        <f t="shared" si="77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461</v>
      </c>
      <c r="C210" s="77">
        <f t="shared" ref="C210:C213" si="78">A210+23</f>
        <v>46014</v>
      </c>
      <c r="D210" s="77">
        <f t="shared" ref="D210:D213" si="79">A210+7</f>
        <v>45998</v>
      </c>
      <c r="E210" s="77">
        <f t="shared" ref="E210:E213" si="80">A210+14</f>
        <v>46005</v>
      </c>
      <c r="F210" s="77">
        <f t="shared" ref="F210:F213" si="81">A210+20</f>
        <v>46011</v>
      </c>
      <c r="G210" s="77">
        <f t="shared" ref="G210:G213" si="82">A210+8</f>
        <v>45999</v>
      </c>
      <c r="H210" s="77">
        <f t="shared" ref="H210:H213" si="83">A210+15</f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577</v>
      </c>
      <c r="C211" s="77">
        <f t="shared" si="78"/>
        <v>46014</v>
      </c>
      <c r="D211" s="77">
        <f t="shared" si="79"/>
        <v>45998</v>
      </c>
      <c r="E211" s="77">
        <f t="shared" si="80"/>
        <v>46005</v>
      </c>
      <c r="F211" s="77">
        <f t="shared" si="81"/>
        <v>46011</v>
      </c>
      <c r="G211" s="77">
        <f t="shared" si="82"/>
        <v>45999</v>
      </c>
      <c r="H211" s="77">
        <f t="shared" si="83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578</v>
      </c>
      <c r="C212" s="77">
        <f t="shared" si="78"/>
        <v>46014</v>
      </c>
      <c r="D212" s="77">
        <f t="shared" si="79"/>
        <v>45998</v>
      </c>
      <c r="E212" s="77">
        <f t="shared" si="80"/>
        <v>46005</v>
      </c>
      <c r="F212" s="77">
        <f t="shared" si="81"/>
        <v>46011</v>
      </c>
      <c r="G212" s="77">
        <f t="shared" si="82"/>
        <v>45999</v>
      </c>
      <c r="H212" s="77">
        <f t="shared" si="83"/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579</v>
      </c>
      <c r="C213" s="77">
        <f t="shared" si="78"/>
        <v>46014</v>
      </c>
      <c r="D213" s="77">
        <f t="shared" si="79"/>
        <v>45998</v>
      </c>
      <c r="E213" s="77">
        <f t="shared" si="80"/>
        <v>46005</v>
      </c>
      <c r="F213" s="77">
        <f t="shared" si="81"/>
        <v>46011</v>
      </c>
      <c r="G213" s="77">
        <f t="shared" si="82"/>
        <v>45999</v>
      </c>
      <c r="H213" s="77">
        <f t="shared" si="83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45992</v>
      </c>
      <c r="B214" s="25" t="s">
        <v>462</v>
      </c>
      <c r="C214" s="77">
        <f t="shared" ref="C214:C220" si="84">A214+23</f>
        <v>46015</v>
      </c>
      <c r="D214" s="77">
        <f t="shared" ref="D214:D220" si="85">A214+7</f>
        <v>45999</v>
      </c>
      <c r="E214" s="77">
        <f t="shared" ref="E214:E220" si="86">A214+14</f>
        <v>46006</v>
      </c>
      <c r="F214" s="77">
        <f t="shared" ref="F214:F220" si="87">A214+20</f>
        <v>46012</v>
      </c>
      <c r="G214" s="77">
        <f t="shared" ref="G214:G220" si="88">A214+8</f>
        <v>46000</v>
      </c>
      <c r="H214" s="77">
        <f t="shared" ref="H214:H220" si="89">A214+15</f>
        <v>46007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463</v>
      </c>
      <c r="C215" s="77">
        <f t="shared" si="84"/>
        <v>46015</v>
      </c>
      <c r="D215" s="77">
        <f t="shared" si="85"/>
        <v>45999</v>
      </c>
      <c r="E215" s="77">
        <f t="shared" si="86"/>
        <v>46006</v>
      </c>
      <c r="F215" s="77">
        <f t="shared" si="87"/>
        <v>46012</v>
      </c>
      <c r="G215" s="77">
        <f t="shared" si="88"/>
        <v>46000</v>
      </c>
      <c r="H215" s="77">
        <f t="shared" si="89"/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464</v>
      </c>
      <c r="C216" s="77">
        <f t="shared" si="84"/>
        <v>46015</v>
      </c>
      <c r="D216" s="77">
        <f t="shared" si="85"/>
        <v>45999</v>
      </c>
      <c r="E216" s="77">
        <f t="shared" si="86"/>
        <v>46006</v>
      </c>
      <c r="F216" s="77">
        <f t="shared" si="87"/>
        <v>46012</v>
      </c>
      <c r="G216" s="77">
        <f t="shared" si="88"/>
        <v>46000</v>
      </c>
      <c r="H216" s="77">
        <f t="shared" si="89"/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424</v>
      </c>
      <c r="C217" s="77">
        <f t="shared" si="84"/>
        <v>46015</v>
      </c>
      <c r="D217" s="77">
        <f t="shared" si="85"/>
        <v>45999</v>
      </c>
      <c r="E217" s="77">
        <f t="shared" si="86"/>
        <v>46006</v>
      </c>
      <c r="F217" s="77">
        <f t="shared" si="87"/>
        <v>46012</v>
      </c>
      <c r="G217" s="77">
        <f t="shared" si="88"/>
        <v>46000</v>
      </c>
      <c r="H217" s="77">
        <f t="shared" si="89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425</v>
      </c>
      <c r="C218" s="77">
        <f t="shared" si="84"/>
        <v>46015</v>
      </c>
      <c r="D218" s="77">
        <f t="shared" si="85"/>
        <v>45999</v>
      </c>
      <c r="E218" s="77">
        <f t="shared" si="86"/>
        <v>46006</v>
      </c>
      <c r="F218" s="77">
        <f t="shared" si="87"/>
        <v>46012</v>
      </c>
      <c r="G218" s="77">
        <f t="shared" si="88"/>
        <v>46000</v>
      </c>
      <c r="H218" s="77">
        <f t="shared" si="89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426</v>
      </c>
      <c r="C219" s="77">
        <f t="shared" si="84"/>
        <v>46015</v>
      </c>
      <c r="D219" s="77">
        <f t="shared" si="85"/>
        <v>45999</v>
      </c>
      <c r="E219" s="77">
        <f t="shared" si="86"/>
        <v>46006</v>
      </c>
      <c r="F219" s="77">
        <f t="shared" si="87"/>
        <v>46012</v>
      </c>
      <c r="G219" s="77">
        <f t="shared" si="88"/>
        <v>46000</v>
      </c>
      <c r="H219" s="77">
        <f t="shared" si="89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427</v>
      </c>
      <c r="C220" s="77">
        <f t="shared" si="84"/>
        <v>46015</v>
      </c>
      <c r="D220" s="77">
        <f t="shared" si="85"/>
        <v>45999</v>
      </c>
      <c r="E220" s="77">
        <f t="shared" si="86"/>
        <v>46006</v>
      </c>
      <c r="F220" s="77">
        <f t="shared" si="87"/>
        <v>46012</v>
      </c>
      <c r="G220" s="77">
        <f t="shared" si="88"/>
        <v>46000</v>
      </c>
      <c r="H220" s="77">
        <f t="shared" si="89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45994</v>
      </c>
      <c r="B221" s="25" t="s">
        <v>421</v>
      </c>
      <c r="C221" s="77">
        <f t="shared" ref="C221:C229" si="90">A221+23</f>
        <v>46017</v>
      </c>
      <c r="D221" s="77">
        <f t="shared" ref="D221:D229" si="91">A221+7</f>
        <v>46001</v>
      </c>
      <c r="E221" s="77">
        <f t="shared" ref="E221:E229" si="92">A221+14</f>
        <v>46008</v>
      </c>
      <c r="F221" s="77">
        <f t="shared" ref="F221:F229" si="93">A221+20</f>
        <v>46014</v>
      </c>
      <c r="G221" s="77">
        <f t="shared" ref="G221:G229" si="94">A221+8</f>
        <v>46002</v>
      </c>
      <c r="H221" s="77">
        <f t="shared" ref="H221:H229" si="95">A221+15</f>
        <v>46009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422</v>
      </c>
      <c r="C222" s="77">
        <f t="shared" si="90"/>
        <v>46017</v>
      </c>
      <c r="D222" s="77">
        <f t="shared" si="91"/>
        <v>46001</v>
      </c>
      <c r="E222" s="77">
        <f t="shared" si="92"/>
        <v>46008</v>
      </c>
      <c r="F222" s="77">
        <f t="shared" si="93"/>
        <v>46014</v>
      </c>
      <c r="G222" s="77">
        <f t="shared" si="94"/>
        <v>46002</v>
      </c>
      <c r="H222" s="77">
        <f t="shared" si="95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423</v>
      </c>
      <c r="C223" s="77">
        <f t="shared" si="90"/>
        <v>46017</v>
      </c>
      <c r="D223" s="77">
        <f t="shared" si="91"/>
        <v>46001</v>
      </c>
      <c r="E223" s="77">
        <f t="shared" si="92"/>
        <v>46008</v>
      </c>
      <c r="F223" s="77">
        <f t="shared" si="93"/>
        <v>46014</v>
      </c>
      <c r="G223" s="77">
        <f t="shared" si="94"/>
        <v>46002</v>
      </c>
      <c r="H223" s="77">
        <f t="shared" si="95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452</v>
      </c>
      <c r="C224" s="77">
        <f t="shared" si="90"/>
        <v>46017</v>
      </c>
      <c r="D224" s="77">
        <f t="shared" si="91"/>
        <v>46001</v>
      </c>
      <c r="E224" s="77">
        <f t="shared" si="92"/>
        <v>46008</v>
      </c>
      <c r="F224" s="77">
        <f t="shared" si="93"/>
        <v>46014</v>
      </c>
      <c r="G224" s="77">
        <f t="shared" si="94"/>
        <v>46002</v>
      </c>
      <c r="H224" s="77">
        <f t="shared" si="95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453</v>
      </c>
      <c r="C225" s="77">
        <f t="shared" si="90"/>
        <v>46017</v>
      </c>
      <c r="D225" s="77">
        <f t="shared" si="91"/>
        <v>46001</v>
      </c>
      <c r="E225" s="77">
        <f t="shared" si="92"/>
        <v>46008</v>
      </c>
      <c r="F225" s="77">
        <f t="shared" si="93"/>
        <v>46014</v>
      </c>
      <c r="G225" s="77">
        <f t="shared" si="94"/>
        <v>46002</v>
      </c>
      <c r="H225" s="77">
        <f t="shared" si="95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454</v>
      </c>
      <c r="C226" s="77">
        <f t="shared" si="90"/>
        <v>46017</v>
      </c>
      <c r="D226" s="77">
        <f t="shared" si="91"/>
        <v>46001</v>
      </c>
      <c r="E226" s="77">
        <f t="shared" si="92"/>
        <v>46008</v>
      </c>
      <c r="F226" s="77">
        <f t="shared" si="93"/>
        <v>46014</v>
      </c>
      <c r="G226" s="77">
        <f t="shared" si="94"/>
        <v>46002</v>
      </c>
      <c r="H226" s="77">
        <f t="shared" si="95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455</v>
      </c>
      <c r="C227" s="77">
        <f t="shared" si="90"/>
        <v>46017</v>
      </c>
      <c r="D227" s="77">
        <f t="shared" si="91"/>
        <v>46001</v>
      </c>
      <c r="E227" s="77">
        <f t="shared" si="92"/>
        <v>46008</v>
      </c>
      <c r="F227" s="77">
        <f t="shared" si="93"/>
        <v>46014</v>
      </c>
      <c r="G227" s="77">
        <f t="shared" si="94"/>
        <v>46002</v>
      </c>
      <c r="H227" s="77">
        <f t="shared" si="95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456</v>
      </c>
      <c r="C228" s="77">
        <f t="shared" si="90"/>
        <v>46017</v>
      </c>
      <c r="D228" s="77">
        <f t="shared" si="91"/>
        <v>46001</v>
      </c>
      <c r="E228" s="77">
        <f t="shared" si="92"/>
        <v>46008</v>
      </c>
      <c r="F228" s="77">
        <f t="shared" si="93"/>
        <v>46014</v>
      </c>
      <c r="G228" s="77">
        <f t="shared" si="94"/>
        <v>46002</v>
      </c>
      <c r="H228" s="77">
        <f t="shared" si="95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457</v>
      </c>
      <c r="C229" s="77">
        <f t="shared" si="90"/>
        <v>46017</v>
      </c>
      <c r="D229" s="77">
        <f t="shared" si="91"/>
        <v>46001</v>
      </c>
      <c r="E229" s="77">
        <f t="shared" si="92"/>
        <v>46008</v>
      </c>
      <c r="F229" s="77">
        <f t="shared" si="93"/>
        <v>46014</v>
      </c>
      <c r="G229" s="77">
        <f t="shared" si="94"/>
        <v>46002</v>
      </c>
      <c r="H229" s="77">
        <f t="shared" si="95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45995</v>
      </c>
      <c r="B230" s="25" t="s">
        <v>417</v>
      </c>
      <c r="C230" s="77">
        <f t="shared" ref="C230:C239" si="96">A230+23</f>
        <v>46018</v>
      </c>
      <c r="D230" s="77">
        <f t="shared" ref="D230:D239" si="97">A230+7</f>
        <v>46002</v>
      </c>
      <c r="E230" s="77">
        <f t="shared" ref="E230:E239" si="98">A230+14</f>
        <v>46009</v>
      </c>
      <c r="F230" s="77">
        <f t="shared" ref="F230:F239" si="99">A230+20</f>
        <v>46015</v>
      </c>
      <c r="G230" s="77">
        <f t="shared" ref="G230:G239" si="100">A230+8</f>
        <v>46003</v>
      </c>
      <c r="H230" s="77">
        <f t="shared" ref="H230:H239" si="101">A230+15</f>
        <v>46010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418</v>
      </c>
      <c r="C231" s="77">
        <f t="shared" si="96"/>
        <v>46018</v>
      </c>
      <c r="D231" s="77">
        <f t="shared" si="97"/>
        <v>46002</v>
      </c>
      <c r="E231" s="77">
        <f t="shared" si="98"/>
        <v>46009</v>
      </c>
      <c r="F231" s="77">
        <f t="shared" si="99"/>
        <v>46015</v>
      </c>
      <c r="G231" s="77">
        <f t="shared" si="100"/>
        <v>46003</v>
      </c>
      <c r="H231" s="77">
        <f t="shared" si="101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419</v>
      </c>
      <c r="C232" s="77">
        <f t="shared" si="96"/>
        <v>46018</v>
      </c>
      <c r="D232" s="77">
        <f t="shared" si="97"/>
        <v>46002</v>
      </c>
      <c r="E232" s="77">
        <f t="shared" si="98"/>
        <v>46009</v>
      </c>
      <c r="F232" s="77">
        <f t="shared" si="99"/>
        <v>46015</v>
      </c>
      <c r="G232" s="77">
        <f t="shared" si="100"/>
        <v>46003</v>
      </c>
      <c r="H232" s="77">
        <f t="shared" si="101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420</v>
      </c>
      <c r="C233" s="77">
        <f t="shared" si="96"/>
        <v>46018</v>
      </c>
      <c r="D233" s="77">
        <f t="shared" si="97"/>
        <v>46002</v>
      </c>
      <c r="E233" s="77">
        <f t="shared" si="98"/>
        <v>46009</v>
      </c>
      <c r="F233" s="77">
        <f t="shared" si="99"/>
        <v>46015</v>
      </c>
      <c r="G233" s="77">
        <f t="shared" si="100"/>
        <v>46003</v>
      </c>
      <c r="H233" s="77">
        <f t="shared" si="101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451</v>
      </c>
      <c r="C234" s="77">
        <f t="shared" si="96"/>
        <v>46018</v>
      </c>
      <c r="D234" s="77">
        <f t="shared" si="97"/>
        <v>46002</v>
      </c>
      <c r="E234" s="77">
        <f t="shared" si="98"/>
        <v>46009</v>
      </c>
      <c r="F234" s="77">
        <f t="shared" si="99"/>
        <v>46015</v>
      </c>
      <c r="G234" s="77">
        <f t="shared" si="100"/>
        <v>46003</v>
      </c>
      <c r="H234" s="77">
        <f t="shared" si="101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465</v>
      </c>
      <c r="C235" s="77">
        <f t="shared" si="96"/>
        <v>46018</v>
      </c>
      <c r="D235" s="77">
        <f t="shared" si="97"/>
        <v>46002</v>
      </c>
      <c r="E235" s="77">
        <f t="shared" si="98"/>
        <v>46009</v>
      </c>
      <c r="F235" s="77">
        <f t="shared" si="99"/>
        <v>46015</v>
      </c>
      <c r="G235" s="77">
        <f t="shared" si="100"/>
        <v>46003</v>
      </c>
      <c r="H235" s="77">
        <f t="shared" si="101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467</v>
      </c>
      <c r="C236" s="77">
        <f t="shared" si="96"/>
        <v>46018</v>
      </c>
      <c r="D236" s="77">
        <f t="shared" si="97"/>
        <v>46002</v>
      </c>
      <c r="E236" s="77">
        <f t="shared" si="98"/>
        <v>46009</v>
      </c>
      <c r="F236" s="77">
        <f t="shared" si="99"/>
        <v>46015</v>
      </c>
      <c r="G236" s="77">
        <f t="shared" si="100"/>
        <v>46003</v>
      </c>
      <c r="H236" s="77">
        <f t="shared" si="101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469</v>
      </c>
      <c r="C237" s="77">
        <f t="shared" si="96"/>
        <v>46018</v>
      </c>
      <c r="D237" s="77">
        <f t="shared" si="97"/>
        <v>46002</v>
      </c>
      <c r="E237" s="77">
        <f t="shared" si="98"/>
        <v>46009</v>
      </c>
      <c r="F237" s="77">
        <f t="shared" si="99"/>
        <v>46015</v>
      </c>
      <c r="G237" s="77">
        <f t="shared" si="100"/>
        <v>46003</v>
      </c>
      <c r="H237" s="77">
        <f t="shared" si="101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470</v>
      </c>
      <c r="C238" s="77">
        <f t="shared" si="96"/>
        <v>46018</v>
      </c>
      <c r="D238" s="77">
        <f t="shared" si="97"/>
        <v>46002</v>
      </c>
      <c r="E238" s="77">
        <f t="shared" si="98"/>
        <v>46009</v>
      </c>
      <c r="F238" s="77">
        <f t="shared" si="99"/>
        <v>46015</v>
      </c>
      <c r="G238" s="77">
        <f t="shared" si="100"/>
        <v>46003</v>
      </c>
      <c r="H238" s="77">
        <f t="shared" si="101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471</v>
      </c>
      <c r="C239" s="77">
        <f t="shared" si="96"/>
        <v>46018</v>
      </c>
      <c r="D239" s="77">
        <f t="shared" si="97"/>
        <v>46002</v>
      </c>
      <c r="E239" s="77">
        <f t="shared" si="98"/>
        <v>46009</v>
      </c>
      <c r="F239" s="77">
        <f t="shared" si="99"/>
        <v>46015</v>
      </c>
      <c r="G239" s="77">
        <f t="shared" si="100"/>
        <v>46003</v>
      </c>
      <c r="H239" s="77">
        <f t="shared" si="101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45996</v>
      </c>
      <c r="B240" s="25" t="s">
        <v>414</v>
      </c>
      <c r="C240" s="77">
        <f t="shared" ref="C240:C246" si="102">A240+23</f>
        <v>46019</v>
      </c>
      <c r="D240" s="77">
        <f t="shared" ref="D240:D246" si="103">A240+7</f>
        <v>46003</v>
      </c>
      <c r="E240" s="77">
        <f t="shared" ref="E240:E246" si="104">A240+14</f>
        <v>46010</v>
      </c>
      <c r="F240" s="77">
        <f t="shared" ref="F240:F246" si="105">A240+20</f>
        <v>46016</v>
      </c>
      <c r="G240" s="77">
        <f t="shared" ref="G240:G246" si="106">A240+8</f>
        <v>46004</v>
      </c>
      <c r="H240" s="77">
        <f t="shared" ref="H240:H246" si="107">A240+15</f>
        <v>46011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415</v>
      </c>
      <c r="C241" s="77">
        <f t="shared" si="102"/>
        <v>46019</v>
      </c>
      <c r="D241" s="77">
        <f t="shared" si="103"/>
        <v>46003</v>
      </c>
      <c r="E241" s="77">
        <f t="shared" si="104"/>
        <v>46010</v>
      </c>
      <c r="F241" s="77">
        <f t="shared" si="105"/>
        <v>46016</v>
      </c>
      <c r="G241" s="77">
        <f t="shared" si="106"/>
        <v>46004</v>
      </c>
      <c r="H241" s="77">
        <f t="shared" si="107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416</v>
      </c>
      <c r="C242" s="77">
        <f t="shared" si="102"/>
        <v>46019</v>
      </c>
      <c r="D242" s="77">
        <f t="shared" si="103"/>
        <v>46003</v>
      </c>
      <c r="E242" s="77">
        <f t="shared" si="104"/>
        <v>46010</v>
      </c>
      <c r="F242" s="77">
        <f t="shared" si="105"/>
        <v>46016</v>
      </c>
      <c r="G242" s="77">
        <f t="shared" si="106"/>
        <v>46004</v>
      </c>
      <c r="H242" s="77">
        <f t="shared" si="107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448</v>
      </c>
      <c r="C243" s="77">
        <f t="shared" si="102"/>
        <v>46019</v>
      </c>
      <c r="D243" s="77">
        <f t="shared" si="103"/>
        <v>46003</v>
      </c>
      <c r="E243" s="77">
        <f t="shared" si="104"/>
        <v>46010</v>
      </c>
      <c r="F243" s="77">
        <f t="shared" si="105"/>
        <v>46016</v>
      </c>
      <c r="G243" s="77">
        <f t="shared" si="106"/>
        <v>46004</v>
      </c>
      <c r="H243" s="77">
        <f t="shared" si="107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449</v>
      </c>
      <c r="C244" s="77">
        <f t="shared" si="102"/>
        <v>46019</v>
      </c>
      <c r="D244" s="77">
        <f t="shared" si="103"/>
        <v>46003</v>
      </c>
      <c r="E244" s="77">
        <f t="shared" si="104"/>
        <v>46010</v>
      </c>
      <c r="F244" s="77">
        <f t="shared" si="105"/>
        <v>46016</v>
      </c>
      <c r="G244" s="77">
        <f t="shared" si="106"/>
        <v>46004</v>
      </c>
      <c r="H244" s="77">
        <f t="shared" si="107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466</v>
      </c>
      <c r="C245" s="77">
        <f t="shared" si="102"/>
        <v>46019</v>
      </c>
      <c r="D245" s="77">
        <f t="shared" si="103"/>
        <v>46003</v>
      </c>
      <c r="E245" s="77">
        <f t="shared" si="104"/>
        <v>46010</v>
      </c>
      <c r="F245" s="77">
        <f t="shared" si="105"/>
        <v>46016</v>
      </c>
      <c r="G245" s="77">
        <f t="shared" si="106"/>
        <v>46004</v>
      </c>
      <c r="H245" s="77">
        <f t="shared" si="107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468</v>
      </c>
      <c r="C246" s="77">
        <f t="shared" si="102"/>
        <v>46019</v>
      </c>
      <c r="D246" s="77">
        <f t="shared" si="103"/>
        <v>46003</v>
      </c>
      <c r="E246" s="77">
        <f t="shared" si="104"/>
        <v>46010</v>
      </c>
      <c r="F246" s="77">
        <f t="shared" si="105"/>
        <v>46016</v>
      </c>
      <c r="G246" s="77">
        <f t="shared" si="106"/>
        <v>46004</v>
      </c>
      <c r="H246" s="77">
        <f t="shared" si="107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45997</v>
      </c>
      <c r="B247" s="25" t="s">
        <v>412</v>
      </c>
      <c r="C247" s="77">
        <f t="shared" ref="C247:C253" si="108">A247+23</f>
        <v>46020</v>
      </c>
      <c r="D247" s="77">
        <f t="shared" ref="D247:D253" si="109">A247+7</f>
        <v>46004</v>
      </c>
      <c r="E247" s="77">
        <f t="shared" ref="E247:E253" si="110">A247+14</f>
        <v>46011</v>
      </c>
      <c r="F247" s="77">
        <f t="shared" ref="F247:F253" si="111">A247+20</f>
        <v>46017</v>
      </c>
      <c r="G247" s="77">
        <f t="shared" ref="G247:G253" si="112">A247+8</f>
        <v>46005</v>
      </c>
      <c r="H247" s="77">
        <f t="shared" ref="H247:H253" si="113">A247+15</f>
        <v>46012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413</v>
      </c>
      <c r="C248" s="77">
        <f t="shared" si="108"/>
        <v>46020</v>
      </c>
      <c r="D248" s="77">
        <f t="shared" si="109"/>
        <v>46004</v>
      </c>
      <c r="E248" s="77">
        <f t="shared" si="110"/>
        <v>46011</v>
      </c>
      <c r="F248" s="77">
        <f t="shared" si="111"/>
        <v>46017</v>
      </c>
      <c r="G248" s="77">
        <f t="shared" si="112"/>
        <v>46005</v>
      </c>
      <c r="H248" s="77">
        <f t="shared" si="113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444</v>
      </c>
      <c r="C249" s="77">
        <f t="shared" si="108"/>
        <v>46020</v>
      </c>
      <c r="D249" s="77">
        <f t="shared" si="109"/>
        <v>46004</v>
      </c>
      <c r="E249" s="77">
        <f t="shared" si="110"/>
        <v>46011</v>
      </c>
      <c r="F249" s="77">
        <f t="shared" si="111"/>
        <v>46017</v>
      </c>
      <c r="G249" s="77">
        <f t="shared" si="112"/>
        <v>46005</v>
      </c>
      <c r="H249" s="77">
        <f t="shared" si="113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445</v>
      </c>
      <c r="C250" s="77">
        <f t="shared" si="108"/>
        <v>46020</v>
      </c>
      <c r="D250" s="77">
        <f t="shared" si="109"/>
        <v>46004</v>
      </c>
      <c r="E250" s="77">
        <f t="shared" si="110"/>
        <v>46011</v>
      </c>
      <c r="F250" s="77">
        <f t="shared" si="111"/>
        <v>46017</v>
      </c>
      <c r="G250" s="77">
        <f t="shared" si="112"/>
        <v>46005</v>
      </c>
      <c r="H250" s="77">
        <f t="shared" si="113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446</v>
      </c>
      <c r="C251" s="77">
        <f t="shared" si="108"/>
        <v>46020</v>
      </c>
      <c r="D251" s="77">
        <f t="shared" si="109"/>
        <v>46004</v>
      </c>
      <c r="E251" s="77">
        <f t="shared" si="110"/>
        <v>46011</v>
      </c>
      <c r="F251" s="77">
        <f t="shared" si="111"/>
        <v>46017</v>
      </c>
      <c r="G251" s="77">
        <f t="shared" si="112"/>
        <v>46005</v>
      </c>
      <c r="H251" s="77">
        <f t="shared" si="113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447</v>
      </c>
      <c r="C252" s="77">
        <f t="shared" si="108"/>
        <v>46020</v>
      </c>
      <c r="D252" s="77">
        <f t="shared" si="109"/>
        <v>46004</v>
      </c>
      <c r="E252" s="77">
        <f t="shared" si="110"/>
        <v>46011</v>
      </c>
      <c r="F252" s="77">
        <f t="shared" si="111"/>
        <v>46017</v>
      </c>
      <c r="G252" s="77">
        <f t="shared" si="112"/>
        <v>46005</v>
      </c>
      <c r="H252" s="77">
        <f t="shared" si="113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450</v>
      </c>
      <c r="C253" s="77">
        <f t="shared" si="108"/>
        <v>46020</v>
      </c>
      <c r="D253" s="77">
        <f t="shared" si="109"/>
        <v>46004</v>
      </c>
      <c r="E253" s="77">
        <f t="shared" si="110"/>
        <v>46011</v>
      </c>
      <c r="F253" s="77">
        <f t="shared" si="111"/>
        <v>46017</v>
      </c>
      <c r="G253" s="77">
        <f t="shared" si="112"/>
        <v>46005</v>
      </c>
      <c r="H253" s="77">
        <f t="shared" si="113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45998</v>
      </c>
      <c r="B254" s="25" t="s">
        <v>442</v>
      </c>
      <c r="C254" s="77">
        <f t="shared" ref="C254:C262" si="114">A254+23</f>
        <v>46021</v>
      </c>
      <c r="D254" s="77">
        <f t="shared" ref="D254:D262" si="115">A254+7</f>
        <v>46005</v>
      </c>
      <c r="E254" s="77">
        <f t="shared" ref="E254:E262" si="116">A254+14</f>
        <v>46012</v>
      </c>
      <c r="F254" s="77">
        <f t="shared" ref="F254:F262" si="117">A254+20</f>
        <v>46018</v>
      </c>
      <c r="G254" s="77">
        <f t="shared" ref="G254:G262" si="118">A254+8</f>
        <v>46006</v>
      </c>
      <c r="H254" s="77">
        <f t="shared" ref="H254:H262" si="119">A254+15</f>
        <v>46013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443</v>
      </c>
      <c r="C255" s="77">
        <f t="shared" si="114"/>
        <v>46021</v>
      </c>
      <c r="D255" s="77">
        <f t="shared" si="115"/>
        <v>46005</v>
      </c>
      <c r="E255" s="77">
        <f t="shared" si="116"/>
        <v>46012</v>
      </c>
      <c r="F255" s="77">
        <f t="shared" si="117"/>
        <v>46018</v>
      </c>
      <c r="G255" s="77">
        <f t="shared" si="118"/>
        <v>46006</v>
      </c>
      <c r="H255" s="77">
        <f t="shared" si="119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476</v>
      </c>
      <c r="C256" s="77">
        <f t="shared" si="114"/>
        <v>46021</v>
      </c>
      <c r="D256" s="77">
        <f t="shared" si="115"/>
        <v>46005</v>
      </c>
      <c r="E256" s="77">
        <f t="shared" si="116"/>
        <v>46012</v>
      </c>
      <c r="F256" s="77">
        <f t="shared" si="117"/>
        <v>46018</v>
      </c>
      <c r="G256" s="77">
        <f t="shared" si="118"/>
        <v>46006</v>
      </c>
      <c r="H256" s="77">
        <f t="shared" si="119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477</v>
      </c>
      <c r="C257" s="77">
        <f t="shared" si="114"/>
        <v>46021</v>
      </c>
      <c r="D257" s="77">
        <f t="shared" si="115"/>
        <v>46005</v>
      </c>
      <c r="E257" s="77">
        <f t="shared" si="116"/>
        <v>46012</v>
      </c>
      <c r="F257" s="77">
        <f t="shared" si="117"/>
        <v>46018</v>
      </c>
      <c r="G257" s="77">
        <f t="shared" si="118"/>
        <v>46006</v>
      </c>
      <c r="H257" s="77">
        <f t="shared" si="119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478</v>
      </c>
      <c r="C258" s="77">
        <f t="shared" si="114"/>
        <v>46021</v>
      </c>
      <c r="D258" s="77">
        <f t="shared" si="115"/>
        <v>46005</v>
      </c>
      <c r="E258" s="77">
        <f t="shared" si="116"/>
        <v>46012</v>
      </c>
      <c r="F258" s="77">
        <f t="shared" si="117"/>
        <v>46018</v>
      </c>
      <c r="G258" s="77">
        <f t="shared" si="118"/>
        <v>46006</v>
      </c>
      <c r="H258" s="77">
        <f t="shared" si="119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479</v>
      </c>
      <c r="C259" s="77">
        <f t="shared" si="114"/>
        <v>46021</v>
      </c>
      <c r="D259" s="77">
        <f t="shared" si="115"/>
        <v>46005</v>
      </c>
      <c r="E259" s="77">
        <f t="shared" si="116"/>
        <v>46012</v>
      </c>
      <c r="F259" s="77">
        <f t="shared" si="117"/>
        <v>46018</v>
      </c>
      <c r="G259" s="77">
        <f t="shared" si="118"/>
        <v>46006</v>
      </c>
      <c r="H259" s="77">
        <f t="shared" si="119"/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480</v>
      </c>
      <c r="C260" s="77">
        <f t="shared" si="114"/>
        <v>46021</v>
      </c>
      <c r="D260" s="77">
        <f t="shared" si="115"/>
        <v>46005</v>
      </c>
      <c r="E260" s="77">
        <f t="shared" si="116"/>
        <v>46012</v>
      </c>
      <c r="F260" s="77">
        <f t="shared" si="117"/>
        <v>46018</v>
      </c>
      <c r="G260" s="77">
        <f t="shared" si="118"/>
        <v>46006</v>
      </c>
      <c r="H260" s="77">
        <f t="shared" si="119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481</v>
      </c>
      <c r="C261" s="77">
        <f t="shared" si="114"/>
        <v>46021</v>
      </c>
      <c r="D261" s="77">
        <f t="shared" si="115"/>
        <v>46005</v>
      </c>
      <c r="E261" s="77">
        <f t="shared" si="116"/>
        <v>46012</v>
      </c>
      <c r="F261" s="77">
        <f t="shared" si="117"/>
        <v>46018</v>
      </c>
      <c r="G261" s="77">
        <f t="shared" si="118"/>
        <v>46006</v>
      </c>
      <c r="H261" s="77">
        <f t="shared" si="119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482</v>
      </c>
      <c r="C262" s="77">
        <f t="shared" si="114"/>
        <v>46021</v>
      </c>
      <c r="D262" s="77">
        <f t="shared" si="115"/>
        <v>46005</v>
      </c>
      <c r="E262" s="77">
        <f t="shared" si="116"/>
        <v>46012</v>
      </c>
      <c r="F262" s="77">
        <f t="shared" si="117"/>
        <v>46018</v>
      </c>
      <c r="G262" s="77">
        <f t="shared" si="118"/>
        <v>46006</v>
      </c>
      <c r="H262" s="77">
        <f t="shared" si="119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45999</v>
      </c>
      <c r="B263" s="25" t="s">
        <v>483</v>
      </c>
      <c r="C263" s="77">
        <f t="shared" ref="C263:C297" si="120">A263+23</f>
        <v>46022</v>
      </c>
      <c r="D263" s="77">
        <f t="shared" ref="D263:D297" si="121">A263+7</f>
        <v>46006</v>
      </c>
      <c r="E263" s="77">
        <f t="shared" ref="E263:E297" si="122">A263+14</f>
        <v>46013</v>
      </c>
      <c r="F263" s="77">
        <f t="shared" ref="F263:F297" si="123">A263+20</f>
        <v>46019</v>
      </c>
      <c r="G263" s="77">
        <f t="shared" ref="G263:G297" si="124">A263+8</f>
        <v>46007</v>
      </c>
      <c r="H263" s="77">
        <f t="shared" ref="H263:H297" si="125">A263+15</f>
        <v>46014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484</v>
      </c>
      <c r="C264" s="77">
        <f t="shared" si="120"/>
        <v>46022</v>
      </c>
      <c r="D264" s="77">
        <f t="shared" si="121"/>
        <v>46006</v>
      </c>
      <c r="E264" s="77">
        <f t="shared" si="122"/>
        <v>46013</v>
      </c>
      <c r="F264" s="77">
        <f t="shared" si="123"/>
        <v>46019</v>
      </c>
      <c r="G264" s="77">
        <f t="shared" si="124"/>
        <v>46007</v>
      </c>
      <c r="H264" s="77">
        <f t="shared" si="125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485</v>
      </c>
      <c r="C265" s="77">
        <f t="shared" si="120"/>
        <v>46022</v>
      </c>
      <c r="D265" s="77">
        <f t="shared" si="121"/>
        <v>46006</v>
      </c>
      <c r="E265" s="77">
        <f t="shared" si="122"/>
        <v>46013</v>
      </c>
      <c r="F265" s="77">
        <f t="shared" si="123"/>
        <v>46019</v>
      </c>
      <c r="G265" s="77">
        <f t="shared" si="124"/>
        <v>46007</v>
      </c>
      <c r="H265" s="77">
        <f t="shared" si="125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486</v>
      </c>
      <c r="C266" s="77">
        <f t="shared" si="120"/>
        <v>46022</v>
      </c>
      <c r="D266" s="77">
        <f t="shared" si="121"/>
        <v>46006</v>
      </c>
      <c r="E266" s="77">
        <f t="shared" si="122"/>
        <v>46013</v>
      </c>
      <c r="F266" s="77">
        <f t="shared" si="123"/>
        <v>46019</v>
      </c>
      <c r="G266" s="77">
        <f t="shared" si="124"/>
        <v>46007</v>
      </c>
      <c r="H266" s="77">
        <f t="shared" si="125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487</v>
      </c>
      <c r="C267" s="77">
        <f t="shared" si="120"/>
        <v>46022</v>
      </c>
      <c r="D267" s="77">
        <f t="shared" si="121"/>
        <v>46006</v>
      </c>
      <c r="E267" s="77">
        <f t="shared" si="122"/>
        <v>46013</v>
      </c>
      <c r="F267" s="77">
        <f t="shared" si="123"/>
        <v>46019</v>
      </c>
      <c r="G267" s="77">
        <f t="shared" si="124"/>
        <v>46007</v>
      </c>
      <c r="H267" s="77">
        <f t="shared" si="125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488</v>
      </c>
      <c r="C268" s="77">
        <f t="shared" si="120"/>
        <v>46022</v>
      </c>
      <c r="D268" s="77">
        <f t="shared" si="121"/>
        <v>46006</v>
      </c>
      <c r="E268" s="77">
        <f t="shared" si="122"/>
        <v>46013</v>
      </c>
      <c r="F268" s="77">
        <f t="shared" si="123"/>
        <v>46019</v>
      </c>
      <c r="G268" s="77">
        <f t="shared" si="124"/>
        <v>46007</v>
      </c>
      <c r="H268" s="77">
        <f t="shared" si="125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489</v>
      </c>
      <c r="C269" s="77">
        <f t="shared" si="120"/>
        <v>46022</v>
      </c>
      <c r="D269" s="77">
        <f t="shared" si="121"/>
        <v>46006</v>
      </c>
      <c r="E269" s="77">
        <f t="shared" si="122"/>
        <v>46013</v>
      </c>
      <c r="F269" s="77">
        <f t="shared" si="123"/>
        <v>46019</v>
      </c>
      <c r="G269" s="77">
        <f t="shared" si="124"/>
        <v>46007</v>
      </c>
      <c r="H269" s="77">
        <f t="shared" si="125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46000</v>
      </c>
      <c r="B270" s="25" t="s">
        <v>490</v>
      </c>
      <c r="C270" s="77">
        <f t="shared" si="120"/>
        <v>46023</v>
      </c>
      <c r="D270" s="77">
        <f t="shared" si="121"/>
        <v>46007</v>
      </c>
      <c r="E270" s="77">
        <f t="shared" si="122"/>
        <v>46014</v>
      </c>
      <c r="F270" s="77">
        <f t="shared" si="123"/>
        <v>46020</v>
      </c>
      <c r="G270" s="77">
        <f t="shared" si="124"/>
        <v>46008</v>
      </c>
      <c r="H270" s="77">
        <f t="shared" si="125"/>
        <v>46015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491</v>
      </c>
      <c r="C271" s="77">
        <f t="shared" si="120"/>
        <v>46023</v>
      </c>
      <c r="D271" s="77">
        <f t="shared" si="121"/>
        <v>46007</v>
      </c>
      <c r="E271" s="77">
        <f t="shared" si="122"/>
        <v>46014</v>
      </c>
      <c r="F271" s="77">
        <f t="shared" si="123"/>
        <v>46020</v>
      </c>
      <c r="G271" s="77">
        <f t="shared" si="124"/>
        <v>46008</v>
      </c>
      <c r="H271" s="77">
        <f t="shared" si="125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492</v>
      </c>
      <c r="C272" s="77">
        <f t="shared" si="120"/>
        <v>46023</v>
      </c>
      <c r="D272" s="77">
        <f t="shared" si="121"/>
        <v>46007</v>
      </c>
      <c r="E272" s="77">
        <f t="shared" si="122"/>
        <v>46014</v>
      </c>
      <c r="F272" s="77">
        <f t="shared" si="123"/>
        <v>46020</v>
      </c>
      <c r="G272" s="77">
        <f t="shared" si="124"/>
        <v>46008</v>
      </c>
      <c r="H272" s="77">
        <f t="shared" si="125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493</v>
      </c>
      <c r="C273" s="77">
        <f t="shared" si="120"/>
        <v>46023</v>
      </c>
      <c r="D273" s="77">
        <f t="shared" si="121"/>
        <v>46007</v>
      </c>
      <c r="E273" s="77">
        <f t="shared" si="122"/>
        <v>46014</v>
      </c>
      <c r="F273" s="77">
        <f t="shared" si="123"/>
        <v>46020</v>
      </c>
      <c r="G273" s="77">
        <f t="shared" si="124"/>
        <v>46008</v>
      </c>
      <c r="H273" s="77">
        <f t="shared" si="125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494</v>
      </c>
      <c r="C274" s="77">
        <f t="shared" si="120"/>
        <v>46023</v>
      </c>
      <c r="D274" s="77">
        <f t="shared" si="121"/>
        <v>46007</v>
      </c>
      <c r="E274" s="77">
        <f t="shared" si="122"/>
        <v>46014</v>
      </c>
      <c r="F274" s="77">
        <f t="shared" si="123"/>
        <v>46020</v>
      </c>
      <c r="G274" s="77">
        <f t="shared" si="124"/>
        <v>46008</v>
      </c>
      <c r="H274" s="77">
        <f t="shared" si="125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495</v>
      </c>
      <c r="C275" s="77">
        <f t="shared" si="120"/>
        <v>46023</v>
      </c>
      <c r="D275" s="77">
        <f t="shared" si="121"/>
        <v>46007</v>
      </c>
      <c r="E275" s="77">
        <f t="shared" si="122"/>
        <v>46014</v>
      </c>
      <c r="F275" s="77">
        <f t="shared" si="123"/>
        <v>46020</v>
      </c>
      <c r="G275" s="77">
        <f t="shared" si="124"/>
        <v>46008</v>
      </c>
      <c r="H275" s="77">
        <f t="shared" si="125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496</v>
      </c>
      <c r="C276" s="77">
        <f t="shared" si="120"/>
        <v>46023</v>
      </c>
      <c r="D276" s="77">
        <f t="shared" si="121"/>
        <v>46007</v>
      </c>
      <c r="E276" s="77">
        <f t="shared" si="122"/>
        <v>46014</v>
      </c>
      <c r="F276" s="77">
        <f t="shared" si="123"/>
        <v>46020</v>
      </c>
      <c r="G276" s="77">
        <f t="shared" si="124"/>
        <v>46008</v>
      </c>
      <c r="H276" s="77">
        <f t="shared" si="125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46001</v>
      </c>
      <c r="B277" s="25" t="s">
        <v>497</v>
      </c>
      <c r="C277" s="77">
        <f t="shared" si="120"/>
        <v>46024</v>
      </c>
      <c r="D277" s="77">
        <f t="shared" si="121"/>
        <v>46008</v>
      </c>
      <c r="E277" s="77">
        <f t="shared" si="122"/>
        <v>46015</v>
      </c>
      <c r="F277" s="77">
        <f t="shared" si="123"/>
        <v>46021</v>
      </c>
      <c r="G277" s="77">
        <f t="shared" si="124"/>
        <v>46009</v>
      </c>
      <c r="H277" s="77">
        <f t="shared" si="125"/>
        <v>46016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498</v>
      </c>
      <c r="C278" s="77">
        <f t="shared" si="120"/>
        <v>46024</v>
      </c>
      <c r="D278" s="77">
        <f t="shared" si="121"/>
        <v>46008</v>
      </c>
      <c r="E278" s="77">
        <f t="shared" si="122"/>
        <v>46015</v>
      </c>
      <c r="F278" s="77">
        <f t="shared" si="123"/>
        <v>46021</v>
      </c>
      <c r="G278" s="77">
        <f t="shared" si="124"/>
        <v>46009</v>
      </c>
      <c r="H278" s="77">
        <f t="shared" si="125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499</v>
      </c>
      <c r="C279" s="77">
        <f t="shared" si="120"/>
        <v>46024</v>
      </c>
      <c r="D279" s="77">
        <f t="shared" si="121"/>
        <v>46008</v>
      </c>
      <c r="E279" s="77">
        <f t="shared" si="122"/>
        <v>46015</v>
      </c>
      <c r="F279" s="77">
        <f t="shared" si="123"/>
        <v>46021</v>
      </c>
      <c r="G279" s="77">
        <f t="shared" si="124"/>
        <v>46009</v>
      </c>
      <c r="H279" s="77">
        <f t="shared" si="125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500</v>
      </c>
      <c r="C280" s="77">
        <f t="shared" si="120"/>
        <v>46024</v>
      </c>
      <c r="D280" s="77">
        <f t="shared" si="121"/>
        <v>46008</v>
      </c>
      <c r="E280" s="77">
        <f t="shared" si="122"/>
        <v>46015</v>
      </c>
      <c r="F280" s="77">
        <f t="shared" si="123"/>
        <v>46021</v>
      </c>
      <c r="G280" s="77">
        <f t="shared" si="124"/>
        <v>46009</v>
      </c>
      <c r="H280" s="77">
        <f t="shared" si="125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501</v>
      </c>
      <c r="C281" s="77">
        <f t="shared" si="120"/>
        <v>46024</v>
      </c>
      <c r="D281" s="77">
        <f t="shared" si="121"/>
        <v>46008</v>
      </c>
      <c r="E281" s="77">
        <f t="shared" si="122"/>
        <v>46015</v>
      </c>
      <c r="F281" s="77">
        <f t="shared" si="123"/>
        <v>46021</v>
      </c>
      <c r="G281" s="77">
        <f t="shared" si="124"/>
        <v>46009</v>
      </c>
      <c r="H281" s="77">
        <f t="shared" si="125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502</v>
      </c>
      <c r="C282" s="77">
        <f t="shared" si="120"/>
        <v>46024</v>
      </c>
      <c r="D282" s="77">
        <f t="shared" si="121"/>
        <v>46008</v>
      </c>
      <c r="E282" s="77">
        <f t="shared" si="122"/>
        <v>46015</v>
      </c>
      <c r="F282" s="77">
        <f t="shared" si="123"/>
        <v>46021</v>
      </c>
      <c r="G282" s="77">
        <f t="shared" si="124"/>
        <v>46009</v>
      </c>
      <c r="H282" s="77">
        <f t="shared" si="125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503</v>
      </c>
      <c r="C283" s="77">
        <f t="shared" si="120"/>
        <v>46024</v>
      </c>
      <c r="D283" s="77">
        <f t="shared" si="121"/>
        <v>46008</v>
      </c>
      <c r="E283" s="77">
        <f t="shared" si="122"/>
        <v>46015</v>
      </c>
      <c r="F283" s="77">
        <f t="shared" si="123"/>
        <v>46021</v>
      </c>
      <c r="G283" s="77">
        <f t="shared" si="124"/>
        <v>46009</v>
      </c>
      <c r="H283" s="77">
        <f t="shared" si="125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46002</v>
      </c>
      <c r="B284" s="25" t="s">
        <v>504</v>
      </c>
      <c r="C284" s="77">
        <f t="shared" si="120"/>
        <v>46025</v>
      </c>
      <c r="D284" s="77">
        <f t="shared" si="121"/>
        <v>46009</v>
      </c>
      <c r="E284" s="77">
        <f t="shared" si="122"/>
        <v>46016</v>
      </c>
      <c r="F284" s="77">
        <f t="shared" si="123"/>
        <v>46022</v>
      </c>
      <c r="G284" s="77">
        <f t="shared" si="124"/>
        <v>46010</v>
      </c>
      <c r="H284" s="77">
        <f t="shared" si="125"/>
        <v>46017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505</v>
      </c>
      <c r="C285" s="77">
        <f t="shared" si="120"/>
        <v>46025</v>
      </c>
      <c r="D285" s="77">
        <f t="shared" si="121"/>
        <v>46009</v>
      </c>
      <c r="E285" s="77">
        <f t="shared" si="122"/>
        <v>46016</v>
      </c>
      <c r="F285" s="77">
        <f t="shared" si="123"/>
        <v>46022</v>
      </c>
      <c r="G285" s="77">
        <f t="shared" si="124"/>
        <v>46010</v>
      </c>
      <c r="H285" s="77">
        <f t="shared" si="125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506</v>
      </c>
      <c r="C286" s="77">
        <f t="shared" si="120"/>
        <v>46025</v>
      </c>
      <c r="D286" s="77">
        <f t="shared" si="121"/>
        <v>46009</v>
      </c>
      <c r="E286" s="77">
        <f t="shared" si="122"/>
        <v>46016</v>
      </c>
      <c r="F286" s="77">
        <f t="shared" si="123"/>
        <v>46022</v>
      </c>
      <c r="G286" s="77">
        <f t="shared" si="124"/>
        <v>46010</v>
      </c>
      <c r="H286" s="77">
        <f t="shared" si="125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507</v>
      </c>
      <c r="C287" s="77">
        <f t="shared" si="120"/>
        <v>46025</v>
      </c>
      <c r="D287" s="77">
        <f t="shared" si="121"/>
        <v>46009</v>
      </c>
      <c r="E287" s="77">
        <f t="shared" si="122"/>
        <v>46016</v>
      </c>
      <c r="F287" s="77">
        <f t="shared" si="123"/>
        <v>46022</v>
      </c>
      <c r="G287" s="77">
        <f t="shared" si="124"/>
        <v>46010</v>
      </c>
      <c r="H287" s="77">
        <f t="shared" si="125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508</v>
      </c>
      <c r="C288" s="77">
        <f t="shared" si="120"/>
        <v>46025</v>
      </c>
      <c r="D288" s="77">
        <f t="shared" si="121"/>
        <v>46009</v>
      </c>
      <c r="E288" s="77">
        <f t="shared" si="122"/>
        <v>46016</v>
      </c>
      <c r="F288" s="77">
        <f t="shared" si="123"/>
        <v>46022</v>
      </c>
      <c r="G288" s="77">
        <f t="shared" si="124"/>
        <v>46010</v>
      </c>
      <c r="H288" s="77">
        <f t="shared" si="125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509</v>
      </c>
      <c r="C289" s="77">
        <f t="shared" si="120"/>
        <v>46025</v>
      </c>
      <c r="D289" s="77">
        <f t="shared" si="121"/>
        <v>46009</v>
      </c>
      <c r="E289" s="77">
        <f t="shared" si="122"/>
        <v>46016</v>
      </c>
      <c r="F289" s="77">
        <f t="shared" si="123"/>
        <v>46022</v>
      </c>
      <c r="G289" s="77">
        <f t="shared" si="124"/>
        <v>46010</v>
      </c>
      <c r="H289" s="77">
        <f t="shared" si="125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510</v>
      </c>
      <c r="C290" s="77">
        <f t="shared" si="120"/>
        <v>46025</v>
      </c>
      <c r="D290" s="77">
        <f t="shared" si="121"/>
        <v>46009</v>
      </c>
      <c r="E290" s="77">
        <f t="shared" si="122"/>
        <v>46016</v>
      </c>
      <c r="F290" s="77">
        <f t="shared" si="123"/>
        <v>46022</v>
      </c>
      <c r="G290" s="77">
        <f t="shared" si="124"/>
        <v>46010</v>
      </c>
      <c r="H290" s="77">
        <f t="shared" si="125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46003</v>
      </c>
      <c r="B291" s="25" t="s">
        <v>513</v>
      </c>
      <c r="C291" s="77">
        <f t="shared" si="120"/>
        <v>46026</v>
      </c>
      <c r="D291" s="77">
        <f t="shared" si="121"/>
        <v>46010</v>
      </c>
      <c r="E291" s="77">
        <f t="shared" si="122"/>
        <v>46017</v>
      </c>
      <c r="F291" s="77">
        <f t="shared" si="123"/>
        <v>46023</v>
      </c>
      <c r="G291" s="77">
        <f t="shared" si="124"/>
        <v>46011</v>
      </c>
      <c r="H291" s="77">
        <f t="shared" si="125"/>
        <v>46018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514</v>
      </c>
      <c r="C292" s="77">
        <f t="shared" si="120"/>
        <v>46026</v>
      </c>
      <c r="D292" s="77">
        <f t="shared" si="121"/>
        <v>46010</v>
      </c>
      <c r="E292" s="77">
        <f t="shared" si="122"/>
        <v>46017</v>
      </c>
      <c r="F292" s="77">
        <f t="shared" si="123"/>
        <v>46023</v>
      </c>
      <c r="G292" s="77">
        <f t="shared" si="124"/>
        <v>46011</v>
      </c>
      <c r="H292" s="77">
        <f t="shared" si="125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515</v>
      </c>
      <c r="C293" s="77">
        <f t="shared" si="120"/>
        <v>46026</v>
      </c>
      <c r="D293" s="77">
        <f t="shared" si="121"/>
        <v>46010</v>
      </c>
      <c r="E293" s="77">
        <f t="shared" si="122"/>
        <v>46017</v>
      </c>
      <c r="F293" s="77">
        <f t="shared" si="123"/>
        <v>46023</v>
      </c>
      <c r="G293" s="77">
        <f t="shared" si="124"/>
        <v>46011</v>
      </c>
      <c r="H293" s="77">
        <f t="shared" si="125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516</v>
      </c>
      <c r="C294" s="77">
        <f t="shared" si="120"/>
        <v>46026</v>
      </c>
      <c r="D294" s="77">
        <f t="shared" si="121"/>
        <v>46010</v>
      </c>
      <c r="E294" s="77">
        <f t="shared" si="122"/>
        <v>46017</v>
      </c>
      <c r="F294" s="77">
        <f t="shared" si="123"/>
        <v>46023</v>
      </c>
      <c r="G294" s="77">
        <f t="shared" si="124"/>
        <v>46011</v>
      </c>
      <c r="H294" s="77">
        <f t="shared" si="125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517</v>
      </c>
      <c r="C295" s="77">
        <f t="shared" si="120"/>
        <v>46026</v>
      </c>
      <c r="D295" s="77">
        <f t="shared" si="121"/>
        <v>46010</v>
      </c>
      <c r="E295" s="77">
        <f t="shared" si="122"/>
        <v>46017</v>
      </c>
      <c r="F295" s="77">
        <f t="shared" si="123"/>
        <v>46023</v>
      </c>
      <c r="G295" s="77">
        <f t="shared" si="124"/>
        <v>46011</v>
      </c>
      <c r="H295" s="77">
        <f t="shared" si="125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518</v>
      </c>
      <c r="C296" s="77">
        <f t="shared" si="120"/>
        <v>46026</v>
      </c>
      <c r="D296" s="77">
        <f t="shared" si="121"/>
        <v>46010</v>
      </c>
      <c r="E296" s="77">
        <f t="shared" si="122"/>
        <v>46017</v>
      </c>
      <c r="F296" s="77">
        <f t="shared" si="123"/>
        <v>46023</v>
      </c>
      <c r="G296" s="77">
        <f t="shared" si="124"/>
        <v>46011</v>
      </c>
      <c r="H296" s="77">
        <f t="shared" si="125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519</v>
      </c>
      <c r="C297" s="77">
        <f t="shared" si="120"/>
        <v>46026</v>
      </c>
      <c r="D297" s="77">
        <f t="shared" si="121"/>
        <v>46010</v>
      </c>
      <c r="E297" s="77">
        <f t="shared" si="122"/>
        <v>46017</v>
      </c>
      <c r="F297" s="77">
        <f t="shared" si="123"/>
        <v>46023</v>
      </c>
      <c r="G297" s="77">
        <f t="shared" si="124"/>
        <v>46011</v>
      </c>
      <c r="H297" s="77">
        <f t="shared" si="125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/>
    </row>
    <row r="299" spans="1:14" x14ac:dyDescent="0.25">
      <c r="A299" s="77"/>
    </row>
    <row r="300" spans="1:14" x14ac:dyDescent="0.25">
      <c r="A300" s="77"/>
    </row>
  </sheetData>
  <conditionalFormatting sqref="C220:I297 A221:A297 A298:I1048576 A1:I220">
    <cfRule type="expression" dxfId="4" priority="2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4" activePane="bottomRight" state="frozen"/>
      <selection pane="topRight" activeCell="D1" sqref="D1"/>
      <selection pane="bottomLeft" activeCell="A2" sqref="A2"/>
      <selection pane="bottomRight" activeCell="G4" sqref="G4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2025-12-15T17:37:47Z</dcterms:modified>
</cp:coreProperties>
</file>