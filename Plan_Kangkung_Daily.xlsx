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70286C66-1E75-431E-A128-CED046E54C7B}" xr6:coauthVersionLast="47" xr6:coauthVersionMax="47" xr10:uidLastSave="{00000000-0000-0000-0000-000000000000}"/>
  <bookViews>
    <workbookView xWindow="-120" yWindow="-120" windowWidth="29040" windowHeight="15720" activeTab="1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" i="3" l="1"/>
  <c r="J61" i="3"/>
  <c r="J60" i="3"/>
  <c r="J59" i="3"/>
  <c r="J58" i="3"/>
  <c r="J57" i="3"/>
  <c r="J56" i="3"/>
  <c r="J55" i="3"/>
  <c r="J54" i="3"/>
  <c r="J53" i="3"/>
  <c r="J52" i="3"/>
  <c r="J51" i="3"/>
  <c r="M62" i="3"/>
  <c r="M61" i="3"/>
  <c r="M60" i="3"/>
  <c r="M59" i="3"/>
  <c r="M58" i="3"/>
  <c r="M57" i="3"/>
  <c r="M56" i="3"/>
  <c r="M55" i="3"/>
  <c r="M54" i="3"/>
  <c r="M53" i="3"/>
  <c r="M52" i="3"/>
  <c r="M51" i="3"/>
  <c r="H264" i="3"/>
  <c r="G264" i="3"/>
  <c r="F264" i="3"/>
  <c r="E264" i="3"/>
  <c r="D264" i="3"/>
  <c r="C264" i="3"/>
  <c r="H263" i="3"/>
  <c r="G263" i="3"/>
  <c r="F263" i="3"/>
  <c r="E263" i="3"/>
  <c r="D263" i="3"/>
  <c r="C263" i="3"/>
  <c r="H262" i="3"/>
  <c r="G262" i="3"/>
  <c r="F262" i="3"/>
  <c r="E262" i="3"/>
  <c r="D262" i="3"/>
  <c r="C262" i="3"/>
  <c r="H261" i="3"/>
  <c r="G261" i="3"/>
  <c r="F261" i="3"/>
  <c r="E261" i="3"/>
  <c r="D261" i="3"/>
  <c r="C261" i="3"/>
  <c r="H260" i="3"/>
  <c r="G260" i="3"/>
  <c r="F260" i="3"/>
  <c r="E260" i="3"/>
  <c r="D260" i="3"/>
  <c r="C260" i="3"/>
  <c r="H259" i="3"/>
  <c r="G259" i="3"/>
  <c r="F259" i="3"/>
  <c r="E259" i="3"/>
  <c r="D259" i="3"/>
  <c r="C259" i="3"/>
  <c r="H258" i="3"/>
  <c r="G258" i="3"/>
  <c r="F258" i="3"/>
  <c r="E258" i="3"/>
  <c r="D258" i="3"/>
  <c r="C258" i="3"/>
  <c r="H257" i="3"/>
  <c r="G257" i="3"/>
  <c r="F257" i="3"/>
  <c r="E257" i="3"/>
  <c r="D257" i="3"/>
  <c r="C257" i="3"/>
  <c r="H256" i="3"/>
  <c r="G256" i="3"/>
  <c r="F256" i="3"/>
  <c r="E256" i="3"/>
  <c r="D256" i="3"/>
  <c r="C256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J32" i="3" l="1"/>
  <c r="J31" i="3"/>
  <c r="J30" i="3"/>
  <c r="M32" i="3"/>
  <c r="M31" i="3"/>
  <c r="M30" i="3"/>
  <c r="M26" i="3"/>
  <c r="J26" i="3"/>
  <c r="M24" i="3"/>
  <c r="J24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<sst xmlns="http://schemas.openxmlformats.org/spreadsheetml/2006/main" count="3461" uniqueCount="829">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</sst>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07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zoomScale="77" zoomScaleNormal="146" workbookViewId="0">
      <selection activeCell="V21" sqref="V21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45999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12</v>
      </c>
      <c r="R6" s="25">
        <f t="shared" ca="1" si="1"/>
        <v>12</v>
      </c>
      <c r="S6" s="25">
        <f t="shared" ca="1" si="1"/>
        <v>12</v>
      </c>
      <c r="T6" s="25">
        <f t="shared" ca="1" si="1"/>
        <v>12</v>
      </c>
      <c r="U6" s="25">
        <f t="shared" ca="1" si="1"/>
        <v>13</v>
      </c>
      <c r="V6" s="25">
        <f ca="1">IF(V7="","",$B$1-V7)</f>
        <v>13</v>
      </c>
      <c r="W6" s="25">
        <f ca="1">IF(W7="","",$B$1-W7)</f>
        <v>13</v>
      </c>
      <c r="X6" s="25">
        <f ca="1">IF(X7="","",$B$1-X7)</f>
        <v>13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17</v>
      </c>
      <c r="D10" s="25">
        <f t="shared" ca="1" si="2"/>
        <v>17</v>
      </c>
      <c r="E10" s="25">
        <f t="shared" ca="1" si="2"/>
        <v>17</v>
      </c>
      <c r="F10" s="25">
        <f t="shared" ca="1" si="2"/>
        <v>17</v>
      </c>
      <c r="G10" s="25">
        <f t="shared" ca="1" si="2"/>
        <v>17</v>
      </c>
      <c r="H10" s="25">
        <f t="shared" ca="1" si="2"/>
        <v>17</v>
      </c>
      <c r="J10" s="25">
        <f t="shared" ref="J10:P10" ca="1" si="3">IF(J11="","",$B$1-J11)</f>
        <v>17</v>
      </c>
      <c r="K10" s="25">
        <f t="shared" ca="1" si="3"/>
        <v>15</v>
      </c>
      <c r="L10" s="25">
        <f t="shared" ca="1" si="3"/>
        <v>15</v>
      </c>
      <c r="M10" s="25">
        <f t="shared" ca="1" si="3"/>
        <v>15</v>
      </c>
      <c r="N10" s="25">
        <f t="shared" ca="1" si="3"/>
        <v>15</v>
      </c>
      <c r="O10" s="25">
        <f t="shared" ca="1" si="3"/>
        <v>15</v>
      </c>
      <c r="P10" s="25">
        <f t="shared" ca="1" si="3"/>
        <v>15</v>
      </c>
      <c r="R10" s="25">
        <f t="shared" ref="R10:W10" ca="1" si="4">IF(R11="","",$B$1-R11)</f>
        <v>15</v>
      </c>
      <c r="S10" s="25">
        <f t="shared" ca="1" si="4"/>
        <v>14</v>
      </c>
      <c r="T10" s="25">
        <f t="shared" ca="1" si="4"/>
        <v>14</v>
      </c>
      <c r="U10" s="25">
        <f t="shared" ca="1" si="4"/>
        <v>13</v>
      </c>
      <c r="V10" s="25">
        <f t="shared" ca="1" si="4"/>
        <v>13</v>
      </c>
      <c r="W10" s="25">
        <f t="shared" ca="1" si="4"/>
        <v>13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18</v>
      </c>
      <c r="D14" s="25">
        <f t="shared" ca="1" si="5"/>
        <v>18</v>
      </c>
      <c r="E14" s="25">
        <f t="shared" ca="1" si="5"/>
        <v>18</v>
      </c>
      <c r="F14" s="25">
        <f t="shared" ca="1" si="5"/>
        <v>18</v>
      </c>
      <c r="G14" s="25">
        <f t="shared" ca="1" si="5"/>
        <v>18</v>
      </c>
      <c r="H14" s="25">
        <f t="shared" ca="1" si="5"/>
        <v>18</v>
      </c>
      <c r="J14" s="25">
        <f t="shared" ref="J14:P14" ca="1" si="6">IF(J15="","",$B$1-J15)</f>
        <v>18</v>
      </c>
      <c r="K14" s="25">
        <f t="shared" ca="1" si="6"/>
        <v>16</v>
      </c>
      <c r="L14" s="25">
        <f t="shared" ca="1" si="6"/>
        <v>16</v>
      </c>
      <c r="M14" s="25">
        <f t="shared" ca="1" si="6"/>
        <v>16</v>
      </c>
      <c r="N14" s="25">
        <f t="shared" ca="1" si="6"/>
        <v>16</v>
      </c>
      <c r="O14" s="25">
        <f t="shared" ca="1" si="6"/>
        <v>16</v>
      </c>
      <c r="P14" s="25">
        <f t="shared" ca="1" si="6"/>
        <v>16</v>
      </c>
      <c r="R14" s="25">
        <f t="shared" ref="R14:W14" ca="1" si="7">IF(R15="","",$B$1-R15)</f>
        <v>16</v>
      </c>
      <c r="S14" s="25">
        <f t="shared" ca="1" si="7"/>
        <v>14</v>
      </c>
      <c r="T14" s="25">
        <f t="shared" ca="1" si="7"/>
        <v>14</v>
      </c>
      <c r="U14" s="25">
        <f t="shared" ca="1" si="7"/>
        <v>14</v>
      </c>
      <c r="V14" s="25">
        <f t="shared" ca="1" si="7"/>
        <v>14</v>
      </c>
      <c r="W14" s="25">
        <f t="shared" ca="1" si="7"/>
        <v>14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31</v>
      </c>
      <c r="K20" s="25">
        <f ca="1">IF(K21="","",$B$1-K21)</f>
        <v>31</v>
      </c>
      <c r="X20" s="25"/>
      <c r="AF20" s="25"/>
      <c r="AG20" s="25"/>
      <c r="AH20" s="25">
        <f ca="1">IF(AH21="","",$B$1-AH21)</f>
        <v>31</v>
      </c>
      <c r="AI20" s="25">
        <f ca="1">IF(AI21="","",$B$1-AI21)</f>
        <v>31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34</v>
      </c>
      <c r="G24" s="25">
        <f t="shared" ca="1" si="8"/>
        <v>34</v>
      </c>
      <c r="H24" s="25">
        <f t="shared" ca="1" si="8"/>
        <v>34</v>
      </c>
      <c r="J24" s="25">
        <f ca="1">IF(J25="","",$B$1-J25)</f>
        <v>34</v>
      </c>
      <c r="K24" s="25">
        <f t="shared" ref="K24:AI24" ca="1" si="9">IF(K25="","",$B$1-K25)</f>
        <v>7</v>
      </c>
      <c r="L24" s="25">
        <f t="shared" ca="1" si="9"/>
        <v>7</v>
      </c>
      <c r="M24" s="25">
        <f t="shared" ca="1" si="9"/>
        <v>7</v>
      </c>
      <c r="N24" s="25">
        <f t="shared" ca="1" si="9"/>
        <v>8</v>
      </c>
      <c r="O24" s="25">
        <f t="shared" ca="1" si="9"/>
        <v>8</v>
      </c>
      <c r="P24" s="25">
        <f t="shared" ca="1" si="9"/>
        <v>8</v>
      </c>
      <c r="R24" s="25">
        <f t="shared" ca="1" si="9"/>
        <v>8</v>
      </c>
      <c r="S24" s="25">
        <f t="shared" ca="1" si="9"/>
        <v>5</v>
      </c>
      <c r="T24" s="25">
        <f t="shared" ca="1" si="9"/>
        <v>5</v>
      </c>
      <c r="U24" s="25">
        <f t="shared" ca="1" si="9"/>
        <v>5</v>
      </c>
      <c r="V24" s="25">
        <f t="shared" ca="1" si="9"/>
        <v>5</v>
      </c>
      <c r="W24" s="25">
        <f t="shared" ca="1" si="9"/>
        <v>5</v>
      </c>
      <c r="X24" s="25">
        <f t="shared" ca="1" si="9"/>
        <v>5</v>
      </c>
      <c r="Z24" s="25">
        <f t="shared" ca="1" si="9"/>
        <v>35</v>
      </c>
      <c r="AA24" s="25">
        <f t="shared" ca="1" si="9"/>
        <v>32</v>
      </c>
      <c r="AB24" s="25">
        <f t="shared" ca="1" si="9"/>
        <v>32</v>
      </c>
      <c r="AC24" s="25">
        <f t="shared" ca="1" si="9"/>
        <v>32</v>
      </c>
      <c r="AD24" s="25">
        <f t="shared" ca="1" si="9"/>
        <v>32</v>
      </c>
      <c r="AE24" s="25">
        <f t="shared" ca="1" si="9"/>
        <v>32</v>
      </c>
      <c r="AF24" s="25">
        <f t="shared" ca="1" si="9"/>
        <v>32</v>
      </c>
      <c r="AG24" s="25">
        <f t="shared" ca="1" si="9"/>
        <v>32</v>
      </c>
      <c r="AH24" s="25">
        <f t="shared" ca="1" si="9"/>
        <v>31</v>
      </c>
      <c r="AI24" s="25">
        <f t="shared" ca="1" si="9"/>
        <v>31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19</v>
      </c>
      <c r="D28" s="25">
        <f t="shared" ca="1" si="10"/>
        <v>19</v>
      </c>
      <c r="E28" s="25">
        <f t="shared" ca="1" si="10"/>
        <v>19</v>
      </c>
      <c r="F28" s="25">
        <f t="shared" ca="1" si="10"/>
        <v>19</v>
      </c>
      <c r="G28" s="25">
        <f t="shared" ca="1" si="10"/>
        <v>19</v>
      </c>
      <c r="H28" s="25">
        <f t="shared" ca="1" si="10"/>
        <v>19</v>
      </c>
      <c r="J28" s="25">
        <f ca="1">IF(J29="","",$B$1-J29)</f>
        <v>19</v>
      </c>
      <c r="K28" s="25">
        <f t="shared" ref="K28:P28" ca="1" si="11">IF(K29="","",$B$1-K29)</f>
        <v>12</v>
      </c>
      <c r="L28" s="25">
        <f t="shared" ca="1" si="11"/>
        <v>12</v>
      </c>
      <c r="M28" s="25">
        <f t="shared" ca="1" si="11"/>
        <v>12</v>
      </c>
      <c r="N28" s="25">
        <f t="shared" ca="1" si="11"/>
        <v>12</v>
      </c>
      <c r="O28" s="25">
        <f t="shared" ca="1" si="11"/>
        <v>11</v>
      </c>
      <c r="P28" s="25">
        <f t="shared" ca="1" si="11"/>
        <v>11</v>
      </c>
      <c r="R28" s="25">
        <f t="shared" ref="R28:X28" ca="1" si="12">IF(R29="","",$B$1-R29)</f>
        <v>11</v>
      </c>
      <c r="S28" s="25">
        <f ca="1">IF(S29="","",$B$1-S29)</f>
        <v>7</v>
      </c>
      <c r="T28" s="25">
        <f ca="1">IF(T29="","",$B$1-T29)</f>
        <v>7</v>
      </c>
      <c r="U28" s="25">
        <f ca="1">IF(U29="","",$B$1-U29)</f>
        <v>7</v>
      </c>
      <c r="V28" s="25">
        <f ca="1">IF(V29="","",$B$1-V29)</f>
        <v>7</v>
      </c>
      <c r="W28" s="25">
        <f t="shared" ca="1" si="12"/>
        <v>5</v>
      </c>
      <c r="X28" s="25">
        <f t="shared" ca="1" si="12"/>
        <v>5</v>
      </c>
      <c r="Z28" s="25">
        <f t="shared" ref="Z28:AI28" ca="1" si="13">IF(Z29="","",$B$1-Z29)</f>
        <v>5</v>
      </c>
      <c r="AA28" s="25">
        <f t="shared" ca="1" si="13"/>
        <v>33</v>
      </c>
      <c r="AB28" s="25">
        <f t="shared" ca="1" si="13"/>
        <v>33</v>
      </c>
      <c r="AC28" s="25">
        <f t="shared" ca="1" si="13"/>
        <v>33</v>
      </c>
      <c r="AD28" s="25">
        <f t="shared" ca="1" si="13"/>
        <v>33</v>
      </c>
      <c r="AE28" s="25">
        <f t="shared" ca="1" si="13"/>
        <v>33</v>
      </c>
      <c r="AF28" s="25">
        <f t="shared" ca="1" si="13"/>
        <v>33</v>
      </c>
      <c r="AG28" s="25">
        <f t="shared" ca="1" si="13"/>
        <v>33</v>
      </c>
      <c r="AH28" s="25">
        <f t="shared" ca="1" si="13"/>
        <v>31</v>
      </c>
      <c r="AI28" s="25">
        <f t="shared" ca="1" si="13"/>
        <v>31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27</v>
      </c>
      <c r="D41" s="25">
        <f t="shared" ca="1" si="14"/>
        <v>27</v>
      </c>
      <c r="E41" s="25">
        <f t="shared" ca="1" si="14"/>
        <v>27</v>
      </c>
      <c r="F41" s="25">
        <f t="shared" ca="1" si="14"/>
        <v>27</v>
      </c>
      <c r="G41" s="25">
        <f t="shared" ca="1" si="14"/>
        <v>26</v>
      </c>
      <c r="H41" s="25">
        <f t="shared" ca="1" si="14"/>
        <v>26</v>
      </c>
      <c r="J41" s="25">
        <f t="shared" ca="1" si="14"/>
        <v>26</v>
      </c>
      <c r="K41" s="25">
        <f t="shared" ca="1" si="14"/>
        <v>26</v>
      </c>
      <c r="L41" s="25">
        <f t="shared" ca="1" si="14"/>
        <v>26</v>
      </c>
      <c r="M41" s="25">
        <f t="shared" ca="1" si="14"/>
        <v>26</v>
      </c>
      <c r="N41" s="25">
        <f t="shared" ca="1" si="14"/>
        <v>26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29</v>
      </c>
      <c r="D45" s="25">
        <f ca="1">IF(D46="","",$B$1-D46)</f>
        <v>29</v>
      </c>
      <c r="E45" s="25">
        <f ca="1">IF(E46="","",$B$1-E46)</f>
        <v>28</v>
      </c>
      <c r="F45" s="25">
        <f ca="1">IF(F46="","",$B$1-F46)</f>
        <v>28</v>
      </c>
      <c r="H45" s="25">
        <f ca="1">IF(H46="","",$B$1-H46)</f>
        <v>28</v>
      </c>
      <c r="J45" s="25">
        <f t="shared" ref="J45:P45" ca="1" si="15">IF(J46="","",$B$1-J46)</f>
        <v>28</v>
      </c>
      <c r="K45" s="25">
        <f t="shared" ca="1" si="15"/>
        <v>28</v>
      </c>
      <c r="L45" s="25">
        <f t="shared" ca="1" si="15"/>
        <v>28</v>
      </c>
      <c r="M45" s="25">
        <f t="shared" ca="1" si="15"/>
        <v>28</v>
      </c>
      <c r="N45" s="25">
        <f t="shared" ca="1" si="15"/>
        <v>27</v>
      </c>
      <c r="O45" s="25">
        <f t="shared" ca="1" si="15"/>
        <v>27</v>
      </c>
      <c r="P45" s="25">
        <f t="shared" ca="1" si="15"/>
        <v>27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30</v>
      </c>
      <c r="D49" s="25">
        <f ca="1">IF(D50="","",$B$1-D50)</f>
        <v>30</v>
      </c>
      <c r="E49" s="25">
        <f ca="1">IF(E50="","",$B$1-E50)</f>
        <v>30</v>
      </c>
      <c r="F49" s="25">
        <f ca="1">IF(F50="","",$B$1-F50)</f>
        <v>30</v>
      </c>
      <c r="H49" s="25">
        <f ca="1">IF(H50="","",$B$1-H50)</f>
        <v>30</v>
      </c>
      <c r="J49" s="25">
        <f t="shared" ref="J49:P49" ca="1" si="16">IF(J50="","",$B$1-J50)</f>
        <v>30</v>
      </c>
      <c r="K49" s="25">
        <f t="shared" ca="1" si="16"/>
        <v>30</v>
      </c>
      <c r="L49" s="25">
        <f t="shared" ca="1" si="16"/>
        <v>29</v>
      </c>
      <c r="M49" s="25">
        <f t="shared" ca="1" si="16"/>
        <v>29</v>
      </c>
      <c r="N49" s="25">
        <f t="shared" ca="1" si="16"/>
        <v>29</v>
      </c>
      <c r="O49" s="25">
        <f t="shared" ca="1" si="16"/>
        <v>29</v>
      </c>
      <c r="P49" s="25">
        <f t="shared" ca="1" si="16"/>
        <v>29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22</v>
      </c>
      <c r="D58" s="25">
        <f t="shared" ca="1" si="17"/>
        <v>22</v>
      </c>
      <c r="E58" s="25">
        <f t="shared" ca="1" si="17"/>
        <v>22</v>
      </c>
      <c r="F58" s="25">
        <f t="shared" ca="1" si="17"/>
        <v>22</v>
      </c>
      <c r="G58" s="25">
        <f t="shared" ca="1" si="17"/>
        <v>22</v>
      </c>
      <c r="H58" s="25">
        <f t="shared" ca="1" si="17"/>
        <v>22</v>
      </c>
      <c r="J58" s="25">
        <f t="shared" ref="J58:P58" ca="1" si="18">IF(J59="","",$B$1-J59)</f>
        <v>22</v>
      </c>
      <c r="K58" s="25">
        <f t="shared" ca="1" si="18"/>
        <v>21</v>
      </c>
      <c r="L58" s="25">
        <f t="shared" ca="1" si="18"/>
        <v>21</v>
      </c>
      <c r="M58" s="25">
        <f t="shared" ca="1" si="18"/>
        <v>21</v>
      </c>
      <c r="N58" s="25">
        <f t="shared" ca="1" si="18"/>
        <v>21</v>
      </c>
      <c r="O58" s="25">
        <f t="shared" ca="1" si="18"/>
        <v>21</v>
      </c>
      <c r="P58" s="25">
        <f t="shared" ca="1" si="18"/>
        <v>21</v>
      </c>
      <c r="R58" s="25">
        <f t="shared" ref="R58:X58" ca="1" si="19">IF(R59="","",$B$1-R59)</f>
        <v>21</v>
      </c>
      <c r="S58" s="25">
        <f t="shared" ca="1" si="19"/>
        <v>20</v>
      </c>
      <c r="T58" s="25">
        <f t="shared" ca="1" si="19"/>
        <v>20</v>
      </c>
      <c r="U58" s="25">
        <f t="shared" ca="1" si="19"/>
        <v>20</v>
      </c>
      <c r="V58" s="25">
        <f t="shared" ca="1" si="19"/>
        <v>20</v>
      </c>
      <c r="W58" s="25">
        <f t="shared" ca="1" si="19"/>
        <v>20</v>
      </c>
      <c r="X58" s="25">
        <f t="shared" ca="1" si="19"/>
        <v>20</v>
      </c>
      <c r="Z58" s="25">
        <f ca="1">IF(Z59="","",$B$1-Z59)</f>
        <v>20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23</v>
      </c>
      <c r="E62" s="25">
        <f t="shared" ca="1" si="20"/>
        <v>23</v>
      </c>
      <c r="F62" s="25">
        <f t="shared" ca="1" si="20"/>
        <v>23</v>
      </c>
      <c r="G62" s="25">
        <f t="shared" ca="1" si="20"/>
        <v>23</v>
      </c>
      <c r="H62" s="25">
        <f t="shared" ca="1" si="20"/>
        <v>23</v>
      </c>
      <c r="J62" s="25">
        <f t="shared" ref="J62:P62" ca="1" si="21">IF(J63="","",$B$1-J63)</f>
        <v>23</v>
      </c>
      <c r="K62" s="25">
        <f t="shared" ca="1" si="21"/>
        <v>23</v>
      </c>
      <c r="L62" s="25">
        <f t="shared" ca="1" si="21"/>
        <v>23</v>
      </c>
      <c r="M62" s="25">
        <f t="shared" ca="1" si="21"/>
        <v>24</v>
      </c>
      <c r="N62" s="25">
        <f t="shared" ca="1" si="21"/>
        <v>24</v>
      </c>
      <c r="O62" s="25">
        <f t="shared" ca="1" si="21"/>
        <v>24</v>
      </c>
      <c r="P62" s="25">
        <f t="shared" ca="1" si="21"/>
        <v>24</v>
      </c>
      <c r="R62" s="25">
        <f t="shared" ref="R62:X62" ca="1" si="22">IF(R63="","",$B$1-R63)</f>
        <v>24</v>
      </c>
      <c r="S62" s="25">
        <f t="shared" ca="1" si="22"/>
        <v>24</v>
      </c>
      <c r="T62" s="25">
        <f t="shared" ca="1" si="22"/>
        <v>24</v>
      </c>
      <c r="U62" s="25">
        <f t="shared" ca="1" si="22"/>
        <v>25</v>
      </c>
      <c r="V62" s="25">
        <f t="shared" ca="1" si="22"/>
        <v>25</v>
      </c>
      <c r="W62" s="25">
        <f t="shared" ca="1" si="22"/>
        <v>25</v>
      </c>
      <c r="X62" s="25">
        <f t="shared" ca="1" si="22"/>
        <v>25</v>
      </c>
      <c r="Z62" s="25">
        <f ca="1">IF(Z63="","",$B$1-Z63)</f>
        <v>25</v>
      </c>
      <c r="AA62" s="25">
        <f ca="1">IF(AA63="","",$B$1-AA63)</f>
        <v>25</v>
      </c>
      <c r="AB62" s="25">
        <f ca="1">IF(AB63="","",$B$1-AB63)</f>
        <v>25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8</v>
      </c>
      <c r="D71" s="25">
        <f t="shared" ca="1" si="23"/>
        <v>8</v>
      </c>
      <c r="E71" s="25">
        <f t="shared" ca="1" si="23"/>
        <v>8</v>
      </c>
      <c r="F71" s="25">
        <f t="shared" ca="1" si="23"/>
        <v>9</v>
      </c>
      <c r="G71" s="25">
        <f t="shared" ca="1" si="23"/>
        <v>9</v>
      </c>
      <c r="H71" s="25">
        <f t="shared" ca="1" si="23"/>
        <v>9</v>
      </c>
      <c r="J71" s="25">
        <f ca="1">IF(J72="","",$B$1-J72)</f>
        <v>9</v>
      </c>
      <c r="K71" s="25">
        <f t="shared" ref="K71:P71" ca="1" si="24">IF(K72="","",$B$1-K72)</f>
        <v>9</v>
      </c>
      <c r="L71" s="25">
        <f t="shared" ca="1" si="24"/>
        <v>9</v>
      </c>
      <c r="M71" s="25">
        <f t="shared" ca="1" si="24"/>
        <v>9</v>
      </c>
      <c r="N71" s="25">
        <f t="shared" ca="1" si="24"/>
        <v>10</v>
      </c>
      <c r="O71" s="25">
        <f t="shared" ca="1" si="24"/>
        <v>10</v>
      </c>
      <c r="P71" s="25">
        <f t="shared" ca="1" si="24"/>
        <v>10</v>
      </c>
      <c r="R71" s="25">
        <f t="shared" ref="R71:X71" ca="1" si="25">IF(R72="","",$B$1-R72)</f>
        <v>10</v>
      </c>
      <c r="S71" s="25">
        <f t="shared" ca="1" si="25"/>
        <v>10</v>
      </c>
      <c r="T71" s="25">
        <f t="shared" ca="1" si="25"/>
        <v>10</v>
      </c>
      <c r="U71" s="25">
        <f t="shared" ca="1" si="25"/>
        <v>10</v>
      </c>
      <c r="V71" s="25">
        <f t="shared" ca="1" si="25"/>
        <v>11</v>
      </c>
      <c r="W71" s="25">
        <f t="shared" ca="1" si="25"/>
        <v>11</v>
      </c>
      <c r="X71" s="25">
        <f t="shared" ca="1" si="25"/>
        <v>11</v>
      </c>
      <c r="Z71" s="25">
        <f ca="1">IF(Z72="","",$B$1-Z72)</f>
        <v>11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071" priority="123">
      <formula>LEN(TRIM(C72))=0</formula>
    </cfRule>
    <cfRule type="notContainsBlanks" dxfId="1070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069" priority="89">
      <formula>LEN(TRIM(C42))=0</formula>
    </cfRule>
    <cfRule type="notContainsBlanks" dxfId="1068" priority="90">
      <formula>LEN(TRIM(C42))&gt;0</formula>
    </cfRule>
    <cfRule type="containsBlanks" dxfId="1067" priority="91">
      <formula>LEN(TRIM(C42))=0</formula>
    </cfRule>
    <cfRule type="notContainsBlanks" dxfId="1066" priority="92">
      <formula>LEN(TRIM(C42))&gt;0</formula>
    </cfRule>
  </conditionalFormatting>
  <conditionalFormatting sqref="C46:F46">
    <cfRule type="containsBlanks" dxfId="1065" priority="103">
      <formula>LEN(TRIM(C46))=0</formula>
    </cfRule>
    <cfRule type="notContainsBlanks" dxfId="1064" priority="104">
      <formula>LEN(TRIM(C46))&gt;0</formula>
    </cfRule>
  </conditionalFormatting>
  <conditionalFormatting sqref="C50:F50">
    <cfRule type="containsBlanks" dxfId="1063" priority="243">
      <formula>LEN(TRIM(C50))=0</formula>
    </cfRule>
    <cfRule type="notContainsBlanks" dxfId="1062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061" priority="190">
      <formula>LEN(TRIM(C7))=0</formula>
    </cfRule>
    <cfRule type="notContainsBlanks" dxfId="1060" priority="191">
      <formula>LEN(TRIM(C7))&gt;0</formula>
    </cfRule>
  </conditionalFormatting>
  <conditionalFormatting sqref="C11:H11">
    <cfRule type="containsBlanks" dxfId="1059" priority="236">
      <formula>LEN(TRIM(C11))=0</formula>
    </cfRule>
    <cfRule type="notContainsBlanks" dxfId="1058" priority="237">
      <formula>LEN(TRIM(C11))&gt;0</formula>
    </cfRule>
  </conditionalFormatting>
  <conditionalFormatting sqref="C15:H15">
    <cfRule type="containsBlanks" dxfId="1057" priority="55">
      <formula>LEN(TRIM(C15))=0</formula>
    </cfRule>
    <cfRule type="notContainsBlanks" dxfId="1056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055" priority="151">
      <formula>LEN(TRIM(C25))=0</formula>
    </cfRule>
    <cfRule type="notContainsBlanks" dxfId="1054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053" priority="57">
      <formula>LEN(TRIM(C29))=0</formula>
    </cfRule>
    <cfRule type="notContainsBlanks" dxfId="1052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051" priority="93">
      <formula>LEN(TRIM(C42))=0</formula>
    </cfRule>
    <cfRule type="notContainsBlanks" dxfId="1050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049" priority="157">
      <formula>LEN(TRIM(C59))=0</formula>
    </cfRule>
    <cfRule type="notContainsBlanks" dxfId="1048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047" priority="73">
      <formula>LEN(TRIM(C63))=0</formula>
    </cfRule>
    <cfRule type="notContainsBlanks" dxfId="1046" priority="74">
      <formula>LEN(TRIM(C63))&gt;0</formula>
    </cfRule>
  </conditionalFormatting>
  <conditionalFormatting sqref="C72:H72">
    <cfRule type="containsBlanks" dxfId="1045" priority="9">
      <formula>LEN(TRIM(C72))=0</formula>
    </cfRule>
    <cfRule type="notContainsBlanks" dxfId="1044" priority="10">
      <formula>LEN(TRIM(C72))&gt;0</formula>
    </cfRule>
  </conditionalFormatting>
  <conditionalFormatting sqref="C76:H76">
    <cfRule type="containsBlanks" dxfId="1043" priority="188">
      <formula>LEN(TRIM(C76))=0</formula>
    </cfRule>
    <cfRule type="notContainsBlanks" dxfId="1042" priority="189">
      <formula>LEN(TRIM(C76))&gt;0</formula>
    </cfRule>
  </conditionalFormatting>
  <conditionalFormatting sqref="D63:H63">
    <cfRule type="containsBlanks" dxfId="1041" priority="71">
      <formula>LEN(TRIM(D63))=0</formula>
    </cfRule>
    <cfRule type="notContainsBlanks" dxfId="1040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039" priority="222">
      <formula>LEN(TRIM(E46))=0</formula>
    </cfRule>
    <cfRule type="notContainsBlanks" dxfId="1038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037" priority="7">
      <formula>LEN(TRIM(F72))=0</formula>
    </cfRule>
    <cfRule type="notContainsBlanks" dxfId="1036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035" priority="176">
      <formula>LEN(TRIM(G42))=0</formula>
    </cfRule>
    <cfRule type="notContainsBlanks" dxfId="1034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033" priority="99">
      <formula>LEN(TRIM(H46))=0</formula>
    </cfRule>
    <cfRule type="notContainsBlanks" dxfId="1032" priority="100">
      <formula>LEN(TRIM(H46))&gt;0</formula>
    </cfRule>
    <cfRule type="containsBlanks" dxfId="1031" priority="101">
      <formula>LEN(TRIM(H46))=0</formula>
    </cfRule>
    <cfRule type="notContainsBlanks" dxfId="1030" priority="102">
      <formula>LEN(TRIM(H46))&gt;0</formula>
    </cfRule>
  </conditionalFormatting>
  <conditionalFormatting sqref="H50">
    <cfRule type="containsBlanks" dxfId="1029" priority="107">
      <formula>LEN(TRIM(H50))=0</formula>
    </cfRule>
    <cfRule type="notContainsBlanks" dxfId="1028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027" priority="214">
      <formula>LEN(TRIM(J72))=0</formula>
    </cfRule>
    <cfRule type="notContainsBlanks" dxfId="1026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025" priority="109">
      <formula>LEN(TRIM(J21))=0</formula>
    </cfRule>
    <cfRule type="notContainsBlanks" dxfId="1024" priority="110">
      <formula>LEN(TRIM(J21))&gt;0</formula>
    </cfRule>
  </conditionalFormatting>
  <conditionalFormatting sqref="J63:L63">
    <cfRule type="containsBlanks" dxfId="1023" priority="155">
      <formula>LEN(TRIM(J63))=0</formula>
    </cfRule>
    <cfRule type="notContainsBlanks" dxfId="1022" priority="156">
      <formula>LEN(TRIM(J63))&gt;0</formula>
    </cfRule>
  </conditionalFormatting>
  <conditionalFormatting sqref="J46:M46">
    <cfRule type="containsBlanks" dxfId="1021" priority="95">
      <formula>LEN(TRIM(J46))=0</formula>
    </cfRule>
    <cfRule type="notContainsBlanks" dxfId="1020" priority="96">
      <formula>LEN(TRIM(J46))&gt;0</formula>
    </cfRule>
  </conditionalFormatting>
  <conditionalFormatting sqref="J72:M72">
    <cfRule type="containsBlanks" dxfId="1019" priority="127">
      <formula>LEN(TRIM(J72))=0</formula>
    </cfRule>
    <cfRule type="notContainsBlanks" dxfId="1018" priority="128">
      <formula>LEN(TRIM(J72))&gt;0</formula>
    </cfRule>
  </conditionalFormatting>
  <conditionalFormatting sqref="J42:N42">
    <cfRule type="containsBlanks" dxfId="1017" priority="85">
      <formula>LEN(TRIM(J42))=0</formula>
    </cfRule>
    <cfRule type="notContainsBlanks" dxfId="1016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15" priority="149">
      <formula>LEN(TRIM(J7))=0</formula>
    </cfRule>
    <cfRule type="notContainsBlanks" dxfId="1014" priority="150">
      <formula>LEN(TRIM(J7))&gt;0</formula>
    </cfRule>
  </conditionalFormatting>
  <conditionalFormatting sqref="J11:P11">
    <cfRule type="containsBlanks" dxfId="1013" priority="51">
      <formula>LEN(TRIM(J11))=0</formula>
    </cfRule>
    <cfRule type="notContainsBlanks" dxfId="1012" priority="52">
      <formula>LEN(TRIM(J11))&gt;0</formula>
    </cfRule>
  </conditionalFormatting>
  <conditionalFormatting sqref="J15:P15">
    <cfRule type="containsBlanks" dxfId="1011" priority="53">
      <formula>LEN(TRIM(J15))=0</formula>
    </cfRule>
    <cfRule type="notContainsBlanks" dxfId="1010" priority="54">
      <formula>LEN(TRIM(J15))&gt;0</formula>
    </cfRule>
  </conditionalFormatting>
  <conditionalFormatting sqref="J25:P25">
    <cfRule type="containsBlanks" dxfId="1009" priority="5">
      <formula>LEN(TRIM(J25))=0</formula>
    </cfRule>
    <cfRule type="notContainsBlanks" dxfId="1008" priority="6">
      <formula>LEN(TRIM(J25))&gt;0</formula>
    </cfRule>
  </conditionalFormatting>
  <conditionalFormatting sqref="J29:P29">
    <cfRule type="containsBlanks" dxfId="1007" priority="15">
      <formula>LEN(TRIM(J29))=0</formula>
    </cfRule>
    <cfRule type="notContainsBlanks" dxfId="1006" priority="16">
      <formula>LEN(TRIM(J29))&gt;0</formula>
    </cfRule>
  </conditionalFormatting>
  <conditionalFormatting sqref="J42:P42">
    <cfRule type="containsBlanks" dxfId="1005" priority="87">
      <formula>LEN(TRIM(J42))=0</formula>
    </cfRule>
    <cfRule type="notContainsBlanks" dxfId="1004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03" priority="97">
      <formula>LEN(TRIM(J46))=0</formula>
    </cfRule>
    <cfRule type="notContainsBlanks" dxfId="1002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01" priority="105">
      <formula>LEN(TRIM(J50))=0</formula>
    </cfRule>
    <cfRule type="notContainsBlanks" dxfId="1000" priority="106">
      <formula>LEN(TRIM(J50))&gt;0</formula>
    </cfRule>
  </conditionalFormatting>
  <conditionalFormatting sqref="J59:P59">
    <cfRule type="containsBlanks" dxfId="999" priority="69">
      <formula>LEN(TRIM(J59))=0</formula>
    </cfRule>
    <cfRule type="notContainsBlanks" dxfId="998" priority="70">
      <formula>LEN(TRIM(J59))&gt;0</formula>
    </cfRule>
  </conditionalFormatting>
  <conditionalFormatting sqref="J63:P63">
    <cfRule type="containsBlanks" dxfId="997" priority="77">
      <formula>LEN(TRIM(J63))=0</formula>
    </cfRule>
    <cfRule type="notContainsBlanks" dxfId="996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995" priority="11">
      <formula>LEN(TRIM(J72))=0</formula>
    </cfRule>
    <cfRule type="notContainsBlanks" dxfId="994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993" priority="186">
      <formula>LEN(TRIM(J76))=0</formula>
    </cfRule>
    <cfRule type="notContainsBlanks" dxfId="992" priority="187">
      <formula>LEN(TRIM(J76))&gt;0</formula>
    </cfRule>
  </conditionalFormatting>
  <conditionalFormatting sqref="K11:P11">
    <cfRule type="containsBlanks" dxfId="991" priority="153">
      <formula>LEN(TRIM(K11))=0</formula>
    </cfRule>
    <cfRule type="notContainsBlanks" dxfId="990" priority="154">
      <formula>LEN(TRIM(K11))&gt;0</formula>
    </cfRule>
  </conditionalFormatting>
  <conditionalFormatting sqref="K59:P59">
    <cfRule type="containsBlanks" dxfId="989" priority="159">
      <formula>LEN(TRIM(K59))=0</formula>
    </cfRule>
    <cfRule type="notContainsBlanks" dxfId="988" priority="160">
      <formula>LEN(TRIM(K59))&gt;0</formula>
    </cfRule>
    <cfRule type="containsBlanks" dxfId="987" priority="161">
      <formula>LEN(TRIM(K59))=0</formula>
    </cfRule>
    <cfRule type="notContainsBlanks" dxfId="986" priority="162">
      <formula>LEN(TRIM(K59))&gt;0</formula>
    </cfRule>
  </conditionalFormatting>
  <conditionalFormatting sqref="L76:P76">
    <cfRule type="containsBlanks" dxfId="985" priority="199">
      <formula>LEN(TRIM(L76))=0</formula>
    </cfRule>
    <cfRule type="notContainsBlanks" dxfId="984" priority="200">
      <formula>LEN(TRIM(L76))&gt;0</formula>
    </cfRule>
  </conditionalFormatting>
  <conditionalFormatting sqref="M50:P50">
    <cfRule type="containsBlanks" dxfId="983" priority="226">
      <formula>LEN(TRIM(M50))=0</formula>
    </cfRule>
    <cfRule type="notContainsBlanks" dxfId="982" priority="227">
      <formula>LEN(TRIM(M50))&gt;0</formula>
    </cfRule>
  </conditionalFormatting>
  <conditionalFormatting sqref="M63:P63">
    <cfRule type="containsBlanks" dxfId="981" priority="75">
      <formula>LEN(TRIM(M63))=0</formula>
    </cfRule>
    <cfRule type="notContainsBlanks" dxfId="980" priority="76">
      <formula>LEN(TRIM(M63))&gt;0</formula>
    </cfRule>
  </conditionalFormatting>
  <conditionalFormatting sqref="N46:P46">
    <cfRule type="containsBlanks" dxfId="979" priority="178">
      <formula>LEN(TRIM(N46))=0</formula>
    </cfRule>
    <cfRule type="notContainsBlanks" dxfId="978" priority="179">
      <formula>LEN(TRIM(N46))&gt;0</formula>
    </cfRule>
    <cfRule type="containsBlanks" dxfId="977" priority="220">
      <formula>LEN(TRIM(N46))=0</formula>
    </cfRule>
    <cfRule type="notContainsBlanks" dxfId="976" priority="221">
      <formula>LEN(TRIM(N46))&gt;0</formula>
    </cfRule>
  </conditionalFormatting>
  <conditionalFormatting sqref="O46:P46">
    <cfRule type="containsBlanks" dxfId="975" priority="224">
      <formula>LEN(TRIM(O46))=0</formula>
    </cfRule>
    <cfRule type="notContainsBlanks" dxfId="974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973" priority="145">
      <formula>LEN(TRIM(P7))=0</formula>
    </cfRule>
    <cfRule type="notContainsBlanks" dxfId="972" priority="146">
      <formula>LEN(TRIM(P7))&gt;0</formula>
    </cfRule>
    <cfRule type="containsBlanks" dxfId="971" priority="147">
      <formula>LEN(TRIM(P7))=0</formula>
    </cfRule>
    <cfRule type="notContainsBlanks" dxfId="970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969" priority="48">
      <formula>LEN(TRIM(R11))&gt;0</formula>
    </cfRule>
  </conditionalFormatting>
  <conditionalFormatting sqref="R15">
    <cfRule type="containsBlanks" dxfId="968" priority="49">
      <formula>LEN(TRIM(R15))=0</formula>
    </cfRule>
    <cfRule type="notContainsBlanks" dxfId="967" priority="50">
      <formula>LEN(TRIM(R15))&gt;0</formula>
    </cfRule>
  </conditionalFormatting>
  <conditionalFormatting sqref="R59">
    <cfRule type="containsBlanks" dxfId="966" priority="63">
      <formula>LEN(TRIM(R59))=0</formula>
    </cfRule>
    <cfRule type="notContainsBlanks" dxfId="965" priority="64">
      <formula>LEN(TRIM(R59))&gt;0</formula>
    </cfRule>
    <cfRule type="containsBlanks" dxfId="964" priority="65">
      <formula>LEN(TRIM(R59))=0</formula>
    </cfRule>
    <cfRule type="notContainsBlanks" dxfId="963" priority="66">
      <formula>LEN(TRIM(R59))&gt;0</formula>
    </cfRule>
  </conditionalFormatting>
  <conditionalFormatting sqref="R72">
    <cfRule type="containsBlanks" dxfId="962" priority="212">
      <formula>LEN(TRIM(R72))=0</formula>
    </cfRule>
    <cfRule type="notContainsBlanks" dxfId="961" priority="213">
      <formula>LEN(TRIM(R72))&gt;0</formula>
    </cfRule>
  </conditionalFormatting>
  <conditionalFormatting sqref="R63:S63">
    <cfRule type="containsBlanks" dxfId="960" priority="166">
      <formula>LEN(TRIM(R63))=0</formula>
    </cfRule>
    <cfRule type="notContainsBlanks" dxfId="959" priority="167">
      <formula>LEN(TRIM(R63))&gt;0</formula>
    </cfRule>
  </conditionalFormatting>
  <conditionalFormatting sqref="R76:S76">
    <cfRule type="containsBlanks" dxfId="958" priority="182">
      <formula>LEN(TRIM(R76))=0</formula>
    </cfRule>
    <cfRule type="notContainsBlanks" dxfId="957" priority="183">
      <formula>LEN(TRIM(R76))&gt;0</formula>
    </cfRule>
  </conditionalFormatting>
  <conditionalFormatting sqref="R7:T7">
    <cfRule type="containsBlanks" dxfId="956" priority="17">
      <formula>LEN(TRIM(R7))=0</formula>
    </cfRule>
    <cfRule type="notContainsBlanks" dxfId="955" priority="18">
      <formula>LEN(TRIM(R7))&gt;0</formula>
    </cfRule>
    <cfRule type="containsBlanks" dxfId="954" priority="19">
      <formula>LEN(TRIM(R7))=0</formula>
    </cfRule>
    <cfRule type="notContainsBlanks" dxfId="953" priority="20">
      <formula>LEN(TRIM(R7))&gt;0</formula>
    </cfRule>
  </conditionalFormatting>
  <conditionalFormatting sqref="R11:T11">
    <cfRule type="containsBlanks" dxfId="952" priority="41">
      <formula>LEN(TRIM(R11))=0</formula>
    </cfRule>
    <cfRule type="notContainsBlanks" dxfId="951" priority="42">
      <formula>LEN(TRIM(R11))&gt;0</formula>
    </cfRule>
  </conditionalFormatting>
  <conditionalFormatting sqref="R63:T63">
    <cfRule type="containsBlanks" dxfId="950" priority="168">
      <formula>LEN(TRIM(R63))=0</formula>
    </cfRule>
    <cfRule type="notContainsBlanks" dxfId="949" priority="169">
      <formula>LEN(TRIM(R63))&gt;0</formula>
    </cfRule>
    <cfRule type="containsBlanks" dxfId="948" priority="174">
      <formula>LEN(TRIM(R63))=0</formula>
    </cfRule>
    <cfRule type="notContainsBlanks" dxfId="947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946" priority="21">
      <formula>LEN(TRIM(R7))=0</formula>
    </cfRule>
    <cfRule type="notContainsBlanks" dxfId="945" priority="22">
      <formula>LEN(TRIM(R7))&gt;0</formula>
    </cfRule>
  </conditionalFormatting>
  <conditionalFormatting sqref="R25:X25">
    <cfRule type="containsBlanks" dxfId="944" priority="33">
      <formula>LEN(TRIM(R25))=0</formula>
    </cfRule>
    <cfRule type="notContainsBlanks" dxfId="943" priority="34">
      <formula>LEN(TRIM(R25))&gt;0</formula>
    </cfRule>
  </conditionalFormatting>
  <conditionalFormatting sqref="R29:X29">
    <cfRule type="containsBlanks" dxfId="942" priority="3">
      <formula>LEN(TRIM(R29))=0</formula>
    </cfRule>
    <cfRule type="notContainsBlanks" dxfId="941" priority="4">
      <formula>LEN(TRIM(R29))&gt;0</formula>
    </cfRule>
  </conditionalFormatting>
  <conditionalFormatting sqref="R59:X59">
    <cfRule type="containsBlanks" dxfId="940" priority="67">
      <formula>LEN(TRIM(R59))=0</formula>
    </cfRule>
    <cfRule type="notContainsBlanks" dxfId="939" priority="68">
      <formula>LEN(TRIM(R59))&gt;0</formula>
    </cfRule>
  </conditionalFormatting>
  <conditionalFormatting sqref="R72:X72">
    <cfRule type="containsBlanks" dxfId="938" priority="13">
      <formula>LEN(TRIM(R72))=0</formula>
    </cfRule>
    <cfRule type="notContainsBlanks" dxfId="937" priority="14">
      <formula>LEN(TRIM(R72))&gt;0</formula>
    </cfRule>
  </conditionalFormatting>
  <conditionalFormatting sqref="R76:X76">
    <cfRule type="containsBlanks" dxfId="936" priority="184">
      <formula>LEN(TRIM(R76))=0</formula>
    </cfRule>
    <cfRule type="notContainsBlanks" dxfId="935" priority="185">
      <formula>LEN(TRIM(R76))&gt;0</formula>
    </cfRule>
  </conditionalFormatting>
  <conditionalFormatting sqref="S15:W15">
    <cfRule type="containsBlanks" dxfId="934" priority="205">
      <formula>LEN(TRIM(S15))=0</formula>
    </cfRule>
    <cfRule type="notContainsBlanks" dxfId="933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932" priority="164">
      <formula>LEN(TRIM(S59))=0</formula>
    </cfRule>
    <cfRule type="notContainsBlanks" dxfId="931" priority="165">
      <formula>LEN(TRIM(S59))&gt;0</formula>
    </cfRule>
  </conditionalFormatting>
  <conditionalFormatting sqref="U11:X11 R11">
    <cfRule type="containsBlanks" dxfId="930" priority="47">
      <formula>LEN(TRIM(R11))=0</formula>
    </cfRule>
  </conditionalFormatting>
  <conditionalFormatting sqref="U63:X63">
    <cfRule type="containsBlanks" dxfId="929" priority="79">
      <formula>LEN(TRIM(U63))=0</formula>
    </cfRule>
    <cfRule type="notContainsBlanks" dxfId="928" priority="80">
      <formula>LEN(TRIM(U63))&gt;0</formula>
    </cfRule>
    <cfRule type="containsBlanks" dxfId="927" priority="81">
      <formula>LEN(TRIM(U63))=0</formula>
    </cfRule>
    <cfRule type="notContainsBlanks" dxfId="926" priority="82">
      <formula>LEN(TRIM(U63))&gt;0</formula>
    </cfRule>
    <cfRule type="containsBlanks" dxfId="925" priority="83">
      <formula>LEN(TRIM(U63))=0</formula>
    </cfRule>
    <cfRule type="notContainsBlanks" dxfId="924" priority="84">
      <formula>LEN(TRIM(U63))&gt;0</formula>
    </cfRule>
  </conditionalFormatting>
  <conditionalFormatting sqref="V11:W11">
    <cfRule type="containsBlanks" dxfId="923" priority="43">
      <formula>LEN(TRIM(V11))=0</formula>
    </cfRule>
    <cfRule type="notContainsBlanks" dxfId="922" priority="44">
      <formula>LEN(TRIM(V11))&gt;0</formula>
    </cfRule>
  </conditionalFormatting>
  <conditionalFormatting sqref="W15:X15">
    <cfRule type="containsBlanks" dxfId="921" priority="195">
      <formula>LEN(TRIM(W15))=0</formula>
    </cfRule>
    <cfRule type="notContainsBlanks" dxfId="920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919" priority="207">
      <formula>LEN(TRIM(W33))=0</formula>
    </cfRule>
    <cfRule type="notContainsBlanks" dxfId="918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17" priority="276">
      <formula>LEN(TRIM(X21))=0</formula>
    </cfRule>
    <cfRule type="notContainsBlanks" dxfId="916" priority="277">
      <formula>LEN(TRIM(X21))&gt;0</formula>
    </cfRule>
    <cfRule type="containsBlanks" dxfId="915" priority="278">
      <formula>LEN(TRIM(X21))=0</formula>
    </cfRule>
    <cfRule type="notContainsBlanks" dxfId="914" priority="279">
      <formula>LEN(TRIM(X21))&gt;0</formula>
    </cfRule>
    <cfRule type="containsBlanks" dxfId="913" priority="280">
      <formula>LEN(TRIM(X21))=0</formula>
    </cfRule>
    <cfRule type="notContainsBlanks" dxfId="912" priority="281">
      <formula>LEN(TRIM(X21))&gt;0</formula>
    </cfRule>
    <cfRule type="containsBlanks" dxfId="911" priority="282">
      <formula>LEN(TRIM(X21))=0</formula>
    </cfRule>
    <cfRule type="notContainsBlanks" dxfId="910" priority="283">
      <formula>LEN(TRIM(X21))&gt;0</formula>
    </cfRule>
    <cfRule type="containsBlanks" dxfId="909" priority="284">
      <formula>LEN(TRIM(X21))=0</formula>
    </cfRule>
    <cfRule type="notContainsBlanks" dxfId="908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07" priority="59">
      <formula>LEN(TRIM(Z59))=0</formula>
    </cfRule>
    <cfRule type="notContainsBlanks" dxfId="906" priority="60">
      <formula>LEN(TRIM(Z59))&gt;0</formula>
    </cfRule>
  </conditionalFormatting>
  <conditionalFormatting sqref="Z72">
    <cfRule type="containsBlanks" dxfId="905" priority="129">
      <formula>LEN(TRIM(Z72))=0</formula>
    </cfRule>
    <cfRule type="notContainsBlanks" dxfId="904" priority="130">
      <formula>LEN(TRIM(Z72))&gt;0</formula>
    </cfRule>
  </conditionalFormatting>
  <conditionalFormatting sqref="Z76">
    <cfRule type="containsBlanks" dxfId="903" priority="210">
      <formula>LEN(TRIM(Z76))=0</formula>
    </cfRule>
    <cfRule type="notContainsBlanks" dxfId="902" priority="211">
      <formula>LEN(TRIM(Z76))&gt;0</formula>
    </cfRule>
  </conditionalFormatting>
  <conditionalFormatting sqref="Z63:AA63">
    <cfRule type="containsBlanks" dxfId="901" priority="170">
      <formula>LEN(TRIM(Z63))=0</formula>
    </cfRule>
    <cfRule type="notContainsBlanks" dxfId="900" priority="171">
      <formula>LEN(TRIM(Z63))&gt;0</formula>
    </cfRule>
  </conditionalFormatting>
  <conditionalFormatting sqref="Z59:AB59">
    <cfRule type="containsBlanks" dxfId="899" priority="61">
      <formula>LEN(TRIM(Z59))=0</formula>
    </cfRule>
    <cfRule type="notContainsBlanks" dxfId="898" priority="62">
      <formula>LEN(TRIM(Z59))&gt;0</formula>
    </cfRule>
  </conditionalFormatting>
  <conditionalFormatting sqref="Z63:AB63">
    <cfRule type="containsBlanks" dxfId="897" priority="172">
      <formula>LEN(TRIM(Z63))=0</formula>
    </cfRule>
    <cfRule type="notContainsBlanks" dxfId="896" priority="173">
      <formula>LEN(TRIM(Z63))&gt;0</formula>
    </cfRule>
    <cfRule type="containsBlanks" dxfId="895" priority="180">
      <formula>LEN(TRIM(Z63))=0</formula>
    </cfRule>
    <cfRule type="notContainsBlanks" dxfId="894" priority="181">
      <formula>LEN(TRIM(Z63))&gt;0</formula>
    </cfRule>
  </conditionalFormatting>
  <conditionalFormatting sqref="Z25:AI25">
    <cfRule type="containsBlanks" dxfId="893" priority="115">
      <formula>LEN(TRIM(Z25))=0</formula>
    </cfRule>
    <cfRule type="notContainsBlanks" dxfId="892" priority="116">
      <formula>LEN(TRIM(Z25))&gt;0</formula>
    </cfRule>
  </conditionalFormatting>
  <conditionalFormatting sqref="Z29:AI29">
    <cfRule type="containsBlanks" dxfId="891" priority="1">
      <formula>LEN(TRIM(Z29))=0</formula>
    </cfRule>
    <cfRule type="notContainsBlanks" dxfId="890" priority="2">
      <formula>LEN(TRIM(Z29))&gt;0</formula>
    </cfRule>
  </conditionalFormatting>
  <conditionalFormatting sqref="AA59:AB59">
    <cfRule type="containsBlanks" dxfId="889" priority="141">
      <formula>LEN(TRIM(AA59))=0</formula>
    </cfRule>
    <cfRule type="notContainsBlanks" dxfId="888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887" priority="268">
      <formula>LEN(TRIM(AF21))=0</formula>
    </cfRule>
    <cfRule type="notContainsBlanks" dxfId="886" priority="269">
      <formula>LEN(TRIM(AF21))&gt;0</formula>
    </cfRule>
    <cfRule type="containsBlanks" dxfId="885" priority="270">
      <formula>LEN(TRIM(AF21))=0</formula>
    </cfRule>
    <cfRule type="notContainsBlanks" dxfId="884" priority="271">
      <formula>LEN(TRIM(AF21))&gt;0</formula>
    </cfRule>
    <cfRule type="containsBlanks" dxfId="883" priority="272">
      <formula>LEN(TRIM(AF21))=0</formula>
    </cfRule>
    <cfRule type="notContainsBlanks" dxfId="882" priority="273">
      <formula>LEN(TRIM(AF21))&gt;0</formula>
    </cfRule>
    <cfRule type="containsBlanks" dxfId="881" priority="274">
      <formula>LEN(TRIM(AF21))=0</formula>
    </cfRule>
    <cfRule type="notContainsBlanks" dxfId="880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879" priority="111">
      <formula>LEN(TRIM(AF21))=0</formula>
    </cfRule>
    <cfRule type="notContainsBlanks" dxfId="878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877" priority="286">
      <formula>LEN(TRIM(AG33))=0</formula>
    </cfRule>
    <cfRule type="notContainsBlanks" dxfId="876" priority="287">
      <formula>LEN(TRIM(AG33))&gt;0</formula>
    </cfRule>
    <cfRule type="containsBlanks" dxfId="875" priority="288">
      <formula>LEN(TRIM(AG33))=0</formula>
    </cfRule>
    <cfRule type="notContainsBlanks" dxfId="874" priority="289">
      <formula>LEN(TRIM(AG33))&gt;0</formula>
    </cfRule>
    <cfRule type="containsBlanks" dxfId="873" priority="290">
      <formula>LEN(TRIM(AG33))=0</formula>
    </cfRule>
    <cfRule type="notContainsBlanks" dxfId="872" priority="291">
      <formula>LEN(TRIM(AG33))&gt;0</formula>
    </cfRule>
    <cfRule type="containsBlanks" dxfId="871" priority="292">
      <formula>LEN(TRIM(AG33))=0</formula>
    </cfRule>
    <cfRule type="notContainsBlanks" dxfId="870" priority="293">
      <formula>LEN(TRIM(AG33))&gt;0</formula>
    </cfRule>
    <cfRule type="containsBlanks" dxfId="869" priority="294">
      <formula>LEN(TRIM(AG33))=0</formula>
    </cfRule>
    <cfRule type="notContainsBlanks" dxfId="868" priority="295">
      <formula>LEN(TRIM(AG33))&gt;0</formula>
    </cfRule>
    <cfRule type="containsBlanks" dxfId="867" priority="296">
      <formula>LEN(TRIM(AG33))=0</formula>
    </cfRule>
    <cfRule type="notContainsBlanks" dxfId="866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tabSelected="1" zoomScale="75" zoomScaleNormal="92" workbookViewId="0">
      <pane xSplit="2" ySplit="13" topLeftCell="C97" activePane="bottomRight" state="frozen"/>
      <selection pane="topRight" activeCell="C1" sqref="C1"/>
      <selection pane="bottomLeft" activeCell="A14" sqref="A14"/>
      <selection pane="bottomRight" activeCell="I252" sqref="I252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U3" s="4"/>
      <c r="AV3" s="4"/>
      <c r="AW3" s="4"/>
      <c r="AX3" s="4"/>
      <c r="AY3" s="4"/>
      <c r="AZ3" s="4"/>
      <c r="BA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0</v>
      </c>
      <c r="BS8" s="15">
        <f t="shared" si="6"/>
        <v>0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0</v>
      </c>
      <c r="AV9" s="17">
        <f t="shared" si="8"/>
        <v>0</v>
      </c>
      <c r="AW9" s="17">
        <f t="shared" si="8"/>
        <v>0</v>
      </c>
      <c r="AX9" s="17">
        <f t="shared" si="8"/>
        <v>0</v>
      </c>
      <c r="AY9" s="17">
        <f t="shared" si="8"/>
        <v>0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14</v>
      </c>
      <c r="BC10" s="19">
        <f t="shared" si="10"/>
        <v>8</v>
      </c>
      <c r="BD10" s="19">
        <f t="shared" si="10"/>
        <v>16</v>
      </c>
      <c r="BE10" s="19">
        <f t="shared" si="10"/>
        <v>17</v>
      </c>
      <c r="BF10" s="19">
        <f t="shared" si="10"/>
        <v>14</v>
      </c>
      <c r="BG10" s="19">
        <f t="shared" si="10"/>
        <v>14</v>
      </c>
      <c r="BH10" s="19">
        <f t="shared" si="10"/>
        <v>16</v>
      </c>
      <c r="BI10" s="19">
        <f t="shared" si="10"/>
        <v>0</v>
      </c>
      <c r="BJ10" s="19">
        <f t="shared" si="10"/>
        <v>9</v>
      </c>
      <c r="BK10" s="19">
        <f t="shared" si="10"/>
        <v>10</v>
      </c>
      <c r="BL10" s="19">
        <f t="shared" si="10"/>
        <v>7</v>
      </c>
      <c r="BM10" s="19">
        <f t="shared" si="10"/>
        <v>7</v>
      </c>
      <c r="BN10" s="19">
        <f t="shared" si="10"/>
        <v>9</v>
      </c>
      <c r="BO10" s="19">
        <f t="shared" si="10"/>
        <v>0</v>
      </c>
      <c r="BP10" s="19">
        <f t="shared" si="10"/>
        <v>0</v>
      </c>
      <c r="BQ10" s="19">
        <f t="shared" si="10"/>
        <v>0</v>
      </c>
      <c r="BR10" s="19">
        <f t="shared" si="10"/>
        <v>0</v>
      </c>
      <c r="BS10" s="19">
        <f t="shared" si="10"/>
        <v>0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7</v>
      </c>
      <c r="BD11" s="21">
        <f t="shared" si="12"/>
        <v>0</v>
      </c>
      <c r="BE11" s="21">
        <f t="shared" si="12"/>
        <v>9</v>
      </c>
      <c r="BF11" s="21">
        <f t="shared" si="12"/>
        <v>10</v>
      </c>
      <c r="BG11" s="21">
        <f t="shared" si="12"/>
        <v>7</v>
      </c>
      <c r="BH11" s="21">
        <f t="shared" si="12"/>
        <v>7</v>
      </c>
      <c r="BI11" s="21">
        <f t="shared" si="12"/>
        <v>9</v>
      </c>
      <c r="BJ11" s="21">
        <f t="shared" si="12"/>
        <v>0</v>
      </c>
      <c r="BK11" s="21">
        <f t="shared" si="12"/>
        <v>0</v>
      </c>
      <c r="BL11" s="21">
        <f t="shared" si="12"/>
        <v>0</v>
      </c>
      <c r="BM11" s="21">
        <f t="shared" si="12"/>
        <v>0</v>
      </c>
      <c r="BN11" s="21">
        <f t="shared" si="12"/>
        <v>0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1913</v>
      </c>
      <c r="AV12" s="23">
        <f t="shared" si="14"/>
        <v>1923</v>
      </c>
      <c r="AW12" s="23">
        <f t="shared" si="14"/>
        <v>1921</v>
      </c>
      <c r="AX12" s="23">
        <f t="shared" si="14"/>
        <v>1908</v>
      </c>
      <c r="AY12" s="23">
        <f t="shared" si="14"/>
        <v>1913</v>
      </c>
      <c r="AZ12" s="23">
        <f t="shared" si="14"/>
        <v>1917</v>
      </c>
      <c r="BA12" s="23">
        <f t="shared" si="14"/>
        <v>1914</v>
      </c>
      <c r="BB12" s="23">
        <f t="shared" si="14"/>
        <v>1921</v>
      </c>
      <c r="BC12" s="23">
        <f t="shared" si="14"/>
        <v>1936</v>
      </c>
      <c r="BD12" s="23">
        <f t="shared" si="14"/>
        <v>1935</v>
      </c>
      <c r="BE12" s="23">
        <f t="shared" si="14"/>
        <v>1925</v>
      </c>
      <c r="BF12" s="23">
        <f t="shared" si="14"/>
        <v>1926</v>
      </c>
      <c r="BG12" s="23">
        <f t="shared" si="14"/>
        <v>1930</v>
      </c>
      <c r="BH12" s="23">
        <f t="shared" si="14"/>
        <v>1928</v>
      </c>
      <c r="BI12" s="23">
        <f t="shared" si="14"/>
        <v>1942</v>
      </c>
      <c r="BJ12" s="23">
        <f t="shared" si="14"/>
        <v>1942</v>
      </c>
      <c r="BK12" s="23">
        <f t="shared" si="14"/>
        <v>1941</v>
      </c>
      <c r="BL12" s="23">
        <f t="shared" si="14"/>
        <v>1951</v>
      </c>
      <c r="BM12" s="23">
        <f t="shared" si="14"/>
        <v>1942</v>
      </c>
      <c r="BN12" s="23">
        <f t="shared" si="14"/>
        <v>1939</v>
      </c>
      <c r="BO12" s="23">
        <f t="shared" si="14"/>
        <v>1951</v>
      </c>
      <c r="BP12" s="23">
        <f t="shared" si="14"/>
        <v>1951</v>
      </c>
      <c r="BQ12" s="23">
        <f t="shared" si="14"/>
        <v>1949</v>
      </c>
      <c r="BR12" s="23">
        <f>COUNTIF(BR33:BR1972,"")</f>
        <v>1940</v>
      </c>
      <c r="BS12" s="23">
        <f>COUNTIF(BS28:BS1972,"")</f>
        <v>1945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79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79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79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79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79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79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79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79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79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79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79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79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79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79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79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79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79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79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79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79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79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79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79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79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79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79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79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79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79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79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79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79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79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79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79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79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79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79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79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79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79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79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79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79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79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79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79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79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79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79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79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79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>$A$2</f>
        <v>2</v>
      </c>
      <c r="G67" s="35" cm="1">
        <f t="array" ref="G67">IFERROR(INDEX($J$5:$AVW$5,_xlfn.AGGREGATE(14,6,(COLUMN($J67:$AVW67)-COLUMN($J67)+1)/($J67:$AVW67="T"),1)),"")</f>
        <v>45997</v>
      </c>
      <c r="H67" s="79">
        <f>COUNTIF($J67:$AVV67,"T")</f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>$A$2</f>
        <v>2</v>
      </c>
      <c r="G68" s="35" cm="1">
        <f t="array" ref="G68">IFERROR(INDEX($J$5:$AVW$5,_xlfn.AGGREGATE(14,6,(COLUMN($J68:$AVW68)-COLUMN($J68)+1)/($J68:$AVW68="T"),1)),"")</f>
        <v>45997</v>
      </c>
      <c r="H68" s="79">
        <f>COUNTIF($J68:$AVV68,"T")</f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>$A$2</f>
        <v>2</v>
      </c>
      <c r="G69" s="35" cm="1">
        <f t="array" ref="G69">IFERROR(INDEX($J$5:$AVW$5,_xlfn.AGGREGATE(14,6,(COLUMN($J69:$AVW69)-COLUMN($J69)+1)/($J69:$AVW69="T"),1)),"")</f>
        <v>45996</v>
      </c>
      <c r="H69" s="79">
        <f>COUNTIF($J69:$AVV69,"T")</f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>$A$2</f>
        <v>2</v>
      </c>
      <c r="G70" s="35" cm="1">
        <f t="array" ref="G70">IFERROR(INDEX($J$5:$AVW$5,_xlfn.AGGREGATE(14,6,(COLUMN($J70:$AVW70)-COLUMN($J70)+1)/($J70:$AVW70="T"),1)),"")</f>
        <v>45996</v>
      </c>
      <c r="H70" s="79">
        <f>COUNTIF($J70:$AVV70,"T")</f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>$A$2</f>
        <v>2</v>
      </c>
      <c r="G71" s="35" cm="1">
        <f t="array" ref="G71">IFERROR(INDEX($J$5:$AVW$5,_xlfn.AGGREGATE(14,6,(COLUMN($J71:$AVW71)-COLUMN($J71)+1)/($J71:$AVW71="T"),1)),"")</f>
        <v>45996</v>
      </c>
      <c r="H71" s="79">
        <f>COUNTIF($J71:$AVV71,"T")</f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>$A$2</f>
        <v>2</v>
      </c>
      <c r="G72" s="35" cm="1">
        <f t="array" ref="G72">IFERROR(INDEX($J$5:$AVW$5,_xlfn.AGGREGATE(14,6,(COLUMN($J72:$AVW72)-COLUMN($J72)+1)/($J72:$AVW72="T"),1)),"")</f>
        <v>45995</v>
      </c>
      <c r="H72" s="79">
        <f>COUNTIF($J72:$AVV72,"T")</f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>$A$2</f>
        <v>2</v>
      </c>
      <c r="G73" s="35" cm="1">
        <f t="array" ref="G73">IFERROR(INDEX($J$5:$AVW$5,_xlfn.AGGREGATE(14,6,(COLUMN($J73:$AVW73)-COLUMN($J73)+1)/($J73:$AVW73="T"),1)),"")</f>
        <v>45995</v>
      </c>
      <c r="H73" s="79">
        <f>COUNTIF($J73:$AVV73,"T")</f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>$A$2</f>
        <v>2</v>
      </c>
      <c r="G74" s="35" cm="1">
        <f t="array" ref="G74">IFERROR(INDEX($J$5:$AVW$5,_xlfn.AGGREGATE(14,6,(COLUMN($J74:$AVW74)-COLUMN($J74)+1)/($J74:$AVW74="T"),1)),"")</f>
        <v>45995</v>
      </c>
      <c r="H74" s="79">
        <f>COUNTIF($J74:$AVV74,"T")</f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>$A$2</f>
        <v>2</v>
      </c>
      <c r="G75" s="35" cm="1">
        <f t="array" ref="G75">IFERROR(INDEX($J$5:$AVW$5,_xlfn.AGGREGATE(14,6,(COLUMN($J75:$AVW75)-COLUMN($J75)+1)/($J75:$AVW75="T"),1)),"")</f>
        <v>45995</v>
      </c>
      <c r="H75" s="79">
        <f>COUNTIF($J75:$AVV75,"T")</f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79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79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79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79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79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79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79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79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79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79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79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79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79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79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79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79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79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79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79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79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>$A$2</f>
        <v>2</v>
      </c>
      <c r="G97" s="35" cm="1">
        <f t="array" ref="G97">IFERROR(INDEX($J$5:$AVW$5,_xlfn.AGGREGATE(14,6,(COLUMN($J97:$AVW97)-COLUMN($J97)+1)/($J97:$AVW97="T"),1)),"")</f>
        <v>45998</v>
      </c>
      <c r="H97" s="79">
        <f>COUNTIF($J97:$AVV97,"T")</f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>$A$2</f>
        <v>2</v>
      </c>
      <c r="G98" s="35" cm="1">
        <f t="array" ref="G98">IFERROR(INDEX($J$5:$AVW$5,_xlfn.AGGREGATE(14,6,(COLUMN($J98:$AVW98)-COLUMN($J98)+1)/($J98:$AVW98="T"),1)),"")</f>
        <v>45998</v>
      </c>
      <c r="H98" s="79">
        <f>COUNTIF($J98:$AVV98,"T")</f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>$A$2</f>
        <v>2</v>
      </c>
      <c r="G99" s="35" cm="1">
        <f t="array" ref="G99">IFERROR(INDEX($J$5:$AVW$5,_xlfn.AGGREGATE(14,6,(COLUMN($J99:$AVW99)-COLUMN($J99)+1)/($J99:$AVW99="T"),1)),"")</f>
        <v>45997</v>
      </c>
      <c r="H99" s="79">
        <f>COUNTIF($J99:$AVV99,"T")</f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>$A$2</f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>COUNTIF($J100:$AVV100,"T")</f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>$A$2</f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>COUNTIF($J101:$AVV101,"T")</f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>$A$2</f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>COUNTIF($J102:$AVV102,"T")</f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>$A$2</f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>COUNTIF($J103:$AVV103,"T")</f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>$A$2</f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>COUNTIF($J104:$AVV104,"T")</f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>$A$2</f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>COUNTIF($J105:$AVV105,"T")</f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>$A$2</f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>COUNTIF($J106:$AVV106,"T")</f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>$A$2</f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>COUNTIF($J120:$AVV120,"T")</f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>$A$2</f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>COUNTIF($J121:$AVV121,"T")</f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>$A$2</f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>COUNTIF($J122:$AVV122,"T")</f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>$A$2</f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>COUNTIF($J123:$AVV123,"T")</f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>$A$2</f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>COUNTIF($J124:$AVV124,"T")</f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>$A$2</f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>COUNTIF($J125:$AVV125,"T")</f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>$A$2</f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>COUNTIF($J126:$AVV126,"T")</f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>$A$2</f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>COUNTIF($J131:$AVV131,"T")</f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>$A$2</f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>COUNTIF($J132:$AVV132,"T")</f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>$A$2</f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>COUNTIF($J133:$AVV133,"T")</f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>$A$2</f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>COUNTIF($J134:$AVV134,"T")</f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>$A$2</f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>COUNTIF($J135:$AVV135,"T")</f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>$A$2</f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>COUNTIF($J136:$AVV136,"T")</f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>$A$2</f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>COUNTIF($J137:$AVV137,"T")</f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hidden="1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t="str" cm="1">
        <f t="array" ref="E138">IFERROR(INDEX($J$5:$AVX$5, _xlfn.AGGREGATE(15,6, COLUMN(J138:AVX138)-COLUMN(J138)+1 / (J138:AVX138="T"), F138)), "")</f>
        <v/>
      </c>
      <c r="F138" s="76">
        <f>$A$2</f>
        <v>2</v>
      </c>
      <c r="G138" s="35" cm="1">
        <f t="array" ref="G138">IFERROR(INDEX($J$5:$AVW$5,_xlfn.AGGREGATE(14,6,(COLUMN($J138:$AVW138)-COLUMN($J138)+1)/($J138:$AVW138="T"),1)),"")</f>
        <v>45970</v>
      </c>
      <c r="H138" s="79">
        <f>COUNTIF($J138:$AVV138,"T")</f>
        <v>1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hidden="1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t="str" cm="1">
        <f t="array" ref="E139">IFERROR(INDEX($J$5:$AVX$5, _xlfn.AGGREGATE(15,6, COLUMN(J139:AVX139)-COLUMN(J139)+1 / (J139:AVX139="T"), F139)), "")</f>
        <v/>
      </c>
      <c r="F139" s="76">
        <f>$A$2</f>
        <v>2</v>
      </c>
      <c r="G139" s="35" cm="1">
        <f t="array" ref="G139">IFERROR(INDEX($J$5:$AVW$5,_xlfn.AGGREGATE(14,6,(COLUMN($J139:$AVW139)-COLUMN($J139)+1)/($J139:$AVW139="T"),1)),"")</f>
        <v>45970</v>
      </c>
      <c r="H139" s="79">
        <f>COUNTIF($J139:$AVV139,"T")</f>
        <v>1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hidden="1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t="str" cm="1">
        <f t="array" ref="E140">IFERROR(INDEX($J$5:$AVX$5, _xlfn.AGGREGATE(15,6, COLUMN(J140:AVX140)-COLUMN(J140)+1 / (J140:AVX140="T"), F140)), "")</f>
        <v/>
      </c>
      <c r="F140" s="76">
        <f>$A$2</f>
        <v>2</v>
      </c>
      <c r="G140" s="35" cm="1">
        <f t="array" ref="G140">IFERROR(INDEX($J$5:$AVW$5,_xlfn.AGGREGATE(14,6,(COLUMN($J140:$AVW140)-COLUMN($J140)+1)/($J140:$AVW140="T"),1)),"")</f>
        <v>45970</v>
      </c>
      <c r="H140" s="79">
        <f>COUNTIF($J140:$AVV140,"T")</f>
        <v>1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hidden="1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t="str" cm="1">
        <f t="array" ref="E141">IFERROR(INDEX($J$5:$AVX$5, _xlfn.AGGREGATE(15,6, COLUMN(J141:AVX141)-COLUMN(J141)+1 / (J141:AVX141="T"), F141)), "")</f>
        <v/>
      </c>
      <c r="F141" s="76">
        <f>$A$2</f>
        <v>2</v>
      </c>
      <c r="G141" s="35" cm="1">
        <f t="array" ref="G141">IFERROR(INDEX($J$5:$AVW$5,_xlfn.AGGREGATE(14,6,(COLUMN($J141:$AVW141)-COLUMN($J141)+1)/($J141:$AVW141="T"),1)),"")</f>
        <v>45970</v>
      </c>
      <c r="H141" s="79">
        <f>COUNTIF($J141:$AVV141,"T")</f>
        <v>1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hidden="1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t="str" cm="1">
        <f t="array" ref="E142">IFERROR(INDEX($J$5:$AVX$5, _xlfn.AGGREGATE(15,6, COLUMN(J142:AVX142)-COLUMN(J142)+1 / (J142:AVX142="T"), F142)), "")</f>
        <v/>
      </c>
      <c r="F142" s="76">
        <f>$A$2</f>
        <v>2</v>
      </c>
      <c r="G142" s="35" cm="1">
        <f t="array" ref="G142">IFERROR(INDEX($J$5:$AVW$5,_xlfn.AGGREGATE(14,6,(COLUMN($J142:$AVW142)-COLUMN($J142)+1)/($J142:$AVW142="T"),1)),"")</f>
        <v>45970</v>
      </c>
      <c r="H142" s="79">
        <f>COUNTIF($J142:$AVV142,"T")</f>
        <v>1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hidden="1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t="str" cm="1">
        <f t="array" ref="E143">IFERROR(INDEX($J$5:$AVX$5, _xlfn.AGGREGATE(15,6, COLUMN(J143:AVX143)-COLUMN(J143)+1 / (J143:AVX143="T"), F143)), "")</f>
        <v/>
      </c>
      <c r="F143" s="76">
        <f>$A$2</f>
        <v>2</v>
      </c>
      <c r="G143" s="35" cm="1">
        <f t="array" ref="G143">IFERROR(INDEX($J$5:$AVW$5,_xlfn.AGGREGATE(14,6,(COLUMN($J143:$AVW143)-COLUMN($J143)+1)/($J143:$AVW143="T"),1)),"")</f>
        <v>45970</v>
      </c>
      <c r="H143" s="79">
        <f>COUNTIF($J143:$AVV143,"T")</f>
        <v>1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hidden="1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t="str" cm="1">
        <f t="array" ref="E144">IFERROR(INDEX($J$5:$AVX$5, _xlfn.AGGREGATE(15,6, COLUMN(J144:AVX144)-COLUMN(J144)+1 / (J144:AVX144="T"), F144)), "")</f>
        <v/>
      </c>
      <c r="F144" s="76">
        <f>$A$2</f>
        <v>2</v>
      </c>
      <c r="G144" s="35" cm="1">
        <f t="array" ref="G144">IFERROR(INDEX($J$5:$AVW$5,_xlfn.AGGREGATE(14,6,(COLUMN($J144:$AVW144)-COLUMN($J144)+1)/($J144:$AVW144="T"),1)),"")</f>
        <v>45970</v>
      </c>
      <c r="H144" s="79">
        <f>COUNTIF($J144:$AVV144,"T")</f>
        <v>1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hidden="1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t="str" cm="1">
        <f t="array" ref="E145">IFERROR(INDEX($J$5:$AVX$5, _xlfn.AGGREGATE(15,6, COLUMN(J145:AVX145)-COLUMN(J145)+1 / (J145:AVX145="T"), F145)), "")</f>
        <v/>
      </c>
      <c r="F145" s="76">
        <f>$A$2</f>
        <v>2</v>
      </c>
      <c r="G145" s="35" cm="1">
        <f t="array" ref="G145">IFERROR(INDEX($J$5:$AVW$5,_xlfn.AGGREGATE(14,6,(COLUMN($J145:$AVW145)-COLUMN($J145)+1)/($J145:$AVW145="T"),1)),"")</f>
        <v>45971</v>
      </c>
      <c r="H145" s="79">
        <f>COUNTIF($J145:$AVV145,"T")</f>
        <v>1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hidden="1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t="str" cm="1">
        <f t="array" ref="E146">IFERROR(INDEX($J$5:$AVX$5, _xlfn.AGGREGATE(15,6, COLUMN(J146:AVX146)-COLUMN(J146)+1 / (J146:AVX146="T"), F146)), "")</f>
        <v/>
      </c>
      <c r="F146" s="76">
        <f>$A$2</f>
        <v>2</v>
      </c>
      <c r="G146" s="35" cm="1">
        <f t="array" ref="G146">IFERROR(INDEX($J$5:$AVW$5,_xlfn.AGGREGATE(14,6,(COLUMN($J146:$AVW146)-COLUMN($J146)+1)/($J146:$AVW146="T"),1)),"")</f>
        <v>45971</v>
      </c>
      <c r="H146" s="79">
        <f>COUNTIF($J146:$AVV146,"T")</f>
        <v>1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hidden="1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t="str" cm="1">
        <f t="array" ref="E147">IFERROR(INDEX($J$5:$AVX$5, _xlfn.AGGREGATE(15,6, COLUMN(J147:AVX147)-COLUMN(J147)+1 / (J147:AVX147="T"), F147)), "")</f>
        <v/>
      </c>
      <c r="F147" s="76">
        <f>$A$2</f>
        <v>2</v>
      </c>
      <c r="G147" s="35" cm="1">
        <f t="array" ref="G147">IFERROR(INDEX($J$5:$AVW$5,_xlfn.AGGREGATE(14,6,(COLUMN($J147:$AVW147)-COLUMN($J147)+1)/($J147:$AVW147="T"),1)),"")</f>
        <v>45971</v>
      </c>
      <c r="H147" s="79">
        <f>COUNTIF($J147:$AVV147,"T")</f>
        <v>1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hidden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t="str" cm="1">
        <f t="array" ref="E148">IFERROR(INDEX($J$5:$AVX$5, _xlfn.AGGREGATE(15,6, COLUMN(J148:AVX148)-COLUMN(J148)+1 / (J148:AVX148="T"), F148)), "")</f>
        <v/>
      </c>
      <c r="F148" s="76">
        <f>$A$2</f>
        <v>2</v>
      </c>
      <c r="G148" s="35" cm="1">
        <f t="array" ref="G148">IFERROR(INDEX($J$5:$AVW$5,_xlfn.AGGREGATE(14,6,(COLUMN($J148:$AVW148)-COLUMN($J148)+1)/($J148:$AVW148="T"),1)),"")</f>
        <v>45971</v>
      </c>
      <c r="H148" s="79">
        <f>COUNTIF($J148:$AVV148,"T")</f>
        <v>1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hidden="1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t="str" cm="1">
        <f t="array" ref="E149">IFERROR(INDEX($J$5:$AVX$5, _xlfn.AGGREGATE(15,6, COLUMN(J149:AVX149)-COLUMN(J149)+1 / (J149:AVX149="T"), F149)), "")</f>
        <v/>
      </c>
      <c r="F149" s="76">
        <f>$A$2</f>
        <v>2</v>
      </c>
      <c r="G149" s="35" cm="1">
        <f t="array" ref="G149">IFERROR(INDEX($J$5:$AVW$5,_xlfn.AGGREGATE(14,6,(COLUMN($J149:$AVW149)-COLUMN($J149)+1)/($J149:$AVW149="T"),1)),"")</f>
        <v>45971</v>
      </c>
      <c r="H149" s="79">
        <f>COUNTIF($J149:$AVV149,"T")</f>
        <v>1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hidden="1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t="str" cm="1">
        <f t="array" ref="E150">IFERROR(INDEX($J$5:$AVX$5, _xlfn.AGGREGATE(15,6, COLUMN(J150:AVX150)-COLUMN(J150)+1 / (J150:AVX150="T"), F150)), "")</f>
        <v/>
      </c>
      <c r="F150" s="76">
        <f>$A$2</f>
        <v>2</v>
      </c>
      <c r="G150" s="35" cm="1">
        <f t="array" ref="G150">IFERROR(INDEX($J$5:$AVW$5,_xlfn.AGGREGATE(14,6,(COLUMN($J150:$AVW150)-COLUMN($J150)+1)/($J150:$AVW150="T"),1)),"")</f>
        <v>45971</v>
      </c>
      <c r="H150" s="79">
        <f>COUNTIF($J150:$AVV150,"T")</f>
        <v>1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hidden="1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t="str" cm="1">
        <f t="array" ref="E151">IFERROR(INDEX($J$5:$AVX$5, _xlfn.AGGREGATE(15,6, COLUMN(J151:AVX151)-COLUMN(J151)+1 / (J151:AVX151="T"), F151)), "")</f>
        <v/>
      </c>
      <c r="F151" s="76">
        <f>$A$2</f>
        <v>2</v>
      </c>
      <c r="G151" s="35" cm="1">
        <f t="array" ref="G151">IFERROR(INDEX($J$5:$AVW$5,_xlfn.AGGREGATE(14,6,(COLUMN($J151:$AVW151)-COLUMN($J151)+1)/($J151:$AVW151="T"),1)),"")</f>
        <v>45971</v>
      </c>
      <c r="H151" s="79">
        <f>COUNTIF($J151:$AVV151,"T")</f>
        <v>1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hidden="1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t="str" cm="1">
        <f t="array" ref="E152">IFERROR(INDEX($J$5:$AVX$5, _xlfn.AGGREGATE(15,6, COLUMN(J152:AVX152)-COLUMN(J152)+1 / (J152:AVX152="T"), F152)), "")</f>
        <v/>
      </c>
      <c r="F152" s="76">
        <f>$A$2</f>
        <v>2</v>
      </c>
      <c r="G152" s="35" cm="1">
        <f t="array" ref="G152">IFERROR(INDEX($J$5:$AVW$5,_xlfn.AGGREGATE(14,6,(COLUMN($J152:$AVW152)-COLUMN($J152)+1)/($J152:$AVW152="T"),1)),"")</f>
        <v>45972</v>
      </c>
      <c r="H152" s="79">
        <f>COUNTIF($J152:$AVV152,"T")</f>
        <v>1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hidden="1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t="str" cm="1">
        <f t="array" ref="E153">IFERROR(INDEX($J$5:$AVX$5, _xlfn.AGGREGATE(15,6, COLUMN(J153:AVX153)-COLUMN(J153)+1 / (J153:AVX153="T"), F153)), "")</f>
        <v/>
      </c>
      <c r="F153" s="76">
        <f>$A$2</f>
        <v>2</v>
      </c>
      <c r="G153" s="35" cm="1">
        <f t="array" ref="G153">IFERROR(INDEX($J$5:$AVW$5,_xlfn.AGGREGATE(14,6,(COLUMN($J153:$AVW153)-COLUMN($J153)+1)/($J153:$AVW153="T"),1)),"")</f>
        <v>45972</v>
      </c>
      <c r="H153" s="79">
        <f>COUNTIF($J153:$AVV153,"T")</f>
        <v>1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hidden="1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t="str" cm="1">
        <f t="array" ref="E154">IFERROR(INDEX($J$5:$AVX$5, _xlfn.AGGREGATE(15,6, COLUMN(J154:AVX154)-COLUMN(J154)+1 / (J154:AVX154="T"), F154)), "")</f>
        <v/>
      </c>
      <c r="F154" s="76">
        <f>$A$2</f>
        <v>2</v>
      </c>
      <c r="G154" s="35" cm="1">
        <f t="array" ref="G154">IFERROR(INDEX($J$5:$AVW$5,_xlfn.AGGREGATE(14,6,(COLUMN($J154:$AVW154)-COLUMN($J154)+1)/($J154:$AVW154="T"),1)),"")</f>
        <v>45972</v>
      </c>
      <c r="H154" s="79">
        <f>COUNTIF($J154:$AVV154,"T")</f>
        <v>1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hidden="1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t="str" cm="1">
        <f t="array" ref="E155">IFERROR(INDEX($J$5:$AVX$5, _xlfn.AGGREGATE(15,6, COLUMN(J155:AVX155)-COLUMN(J155)+1 / (J155:AVX155="T"), F155)), "")</f>
        <v/>
      </c>
      <c r="F155" s="76">
        <f>$A$2</f>
        <v>2</v>
      </c>
      <c r="G155" s="35" cm="1">
        <f t="array" ref="G155">IFERROR(INDEX($J$5:$AVW$5,_xlfn.AGGREGATE(14,6,(COLUMN($J155:$AVW155)-COLUMN($J155)+1)/($J155:$AVW155="T"),1)),"")</f>
        <v>45972</v>
      </c>
      <c r="H155" s="79">
        <f>COUNTIF($J155:$AVV155,"T")</f>
        <v>1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hidden="1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t="str" cm="1">
        <f t="array" ref="E156">IFERROR(INDEX($J$5:$AVX$5, _xlfn.AGGREGATE(15,6, COLUMN(J156:AVX156)-COLUMN(J156)+1 / (J156:AVX156="T"), F156)), "")</f>
        <v/>
      </c>
      <c r="F156" s="76">
        <f>$A$2</f>
        <v>2</v>
      </c>
      <c r="G156" s="35" cm="1">
        <f t="array" ref="G156">IFERROR(INDEX($J$5:$AVW$5,_xlfn.AGGREGATE(14,6,(COLUMN($J156:$AVW156)-COLUMN($J156)+1)/($J156:$AVW156="T"),1)),"")</f>
        <v>45972</v>
      </c>
      <c r="H156" s="79">
        <f>COUNTIF($J156:$AVV156,"T")</f>
        <v>1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hidden="1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t="str" cm="1">
        <f t="array" ref="E157">IFERROR(INDEX($J$5:$AVX$5, _xlfn.AGGREGATE(15,6, COLUMN(J157:AVX157)-COLUMN(J157)+1 / (J157:AVX157="T"), F157)), "")</f>
        <v/>
      </c>
      <c r="F157" s="76">
        <f>$A$2</f>
        <v>2</v>
      </c>
      <c r="G157" s="35" cm="1">
        <f t="array" ref="G157">IFERROR(INDEX($J$5:$AVW$5,_xlfn.AGGREGATE(14,6,(COLUMN($J157:$AVW157)-COLUMN($J157)+1)/($J157:$AVW157="T"),1)),"")</f>
        <v>45972</v>
      </c>
      <c r="H157" s="79">
        <f>COUNTIF($J157:$AVV157,"T")</f>
        <v>1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hidden="1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t="str" cm="1">
        <f t="array" ref="E158">IFERROR(INDEX($J$5:$AVX$5, _xlfn.AGGREGATE(15,6, COLUMN(J158:AVX158)-COLUMN(J158)+1 / (J158:AVX158="T"), F158)), "")</f>
        <v/>
      </c>
      <c r="F158" s="76">
        <f>$A$2</f>
        <v>2</v>
      </c>
      <c r="G158" s="35" cm="1">
        <f t="array" ref="G158">IFERROR(INDEX($J$5:$AVW$5,_xlfn.AGGREGATE(14,6,(COLUMN($J158:$AVW158)-COLUMN($J158)+1)/($J158:$AVW158="T"),1)),"")</f>
        <v>45972</v>
      </c>
      <c r="H158" s="79">
        <f>COUNTIF($J158:$AVV158,"T")</f>
        <v>1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hidden="1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t="str" cm="1">
        <f t="array" ref="E159">IFERROR(INDEX($J$5:$AVX$5, _xlfn.AGGREGATE(15,6, COLUMN(J159:AVX159)-COLUMN(J159)+1 / (J159:AVX159="T"), F159)), "")</f>
        <v/>
      </c>
      <c r="F159" s="76">
        <f>$A$2</f>
        <v>2</v>
      </c>
      <c r="G159" s="35" cm="1">
        <f t="array" ref="G159">IFERROR(INDEX($J$5:$AVW$5,_xlfn.AGGREGATE(14,6,(COLUMN($J159:$AVW159)-COLUMN($J159)+1)/($J159:$AVW159="T"),1)),"")</f>
        <v>45973</v>
      </c>
      <c r="H159" s="79">
        <f>COUNTIF($J159:$AVV159,"T")</f>
        <v>1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hidden="1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t="str" cm="1">
        <f t="array" ref="E160">IFERROR(INDEX($J$5:$AVX$5, _xlfn.AGGREGATE(15,6, COLUMN(J160:AVX160)-COLUMN(J160)+1 / (J160:AVX160="T"), F160)), "")</f>
        <v/>
      </c>
      <c r="F160" s="76">
        <f>$A$2</f>
        <v>2</v>
      </c>
      <c r="G160" s="35" cm="1">
        <f t="array" ref="G160">IFERROR(INDEX($J$5:$AVW$5,_xlfn.AGGREGATE(14,6,(COLUMN($J160:$AVW160)-COLUMN($J160)+1)/($J160:$AVW160="T"),1)),"")</f>
        <v>45973</v>
      </c>
      <c r="H160" s="79">
        <f>COUNTIF($J160:$AVV160,"T")</f>
        <v>1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hidden="1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t="str" cm="1">
        <f t="array" ref="E161">IFERROR(INDEX($J$5:$AVX$5, _xlfn.AGGREGATE(15,6, COLUMN(J161:AVX161)-COLUMN(J161)+1 / (J161:AVX161="T"), F161)), "")</f>
        <v/>
      </c>
      <c r="F161" s="76">
        <f>$A$2</f>
        <v>2</v>
      </c>
      <c r="G161" s="35" cm="1">
        <f t="array" ref="G161">IFERROR(INDEX($J$5:$AVW$5,_xlfn.AGGREGATE(14,6,(COLUMN($J161:$AVW161)-COLUMN($J161)+1)/($J161:$AVW161="T"),1)),"")</f>
        <v>45973</v>
      </c>
      <c r="H161" s="79">
        <f>COUNTIF($J161:$AVV161,"T")</f>
        <v>1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hidden="1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t="str" cm="1">
        <f t="array" ref="E162">IFERROR(INDEX($J$5:$AVX$5, _xlfn.AGGREGATE(15,6, COLUMN(J162:AVX162)-COLUMN(J162)+1 / (J162:AVX162="T"), F162)), "")</f>
        <v/>
      </c>
      <c r="F162" s="76">
        <f>$A$2</f>
        <v>2</v>
      </c>
      <c r="G162" s="35" cm="1">
        <f t="array" ref="G162">IFERROR(INDEX($J$5:$AVW$5,_xlfn.AGGREGATE(14,6,(COLUMN($J162:$AVW162)-COLUMN($J162)+1)/($J162:$AVW162="T"),1)),"")</f>
        <v>45973</v>
      </c>
      <c r="H162" s="79">
        <f>COUNTIF($J162:$AVV162,"T")</f>
        <v>1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hidden="1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t="str" cm="1">
        <f t="array" ref="E163">IFERROR(INDEX($J$5:$AVX$5, _xlfn.AGGREGATE(15,6, COLUMN(J163:AVX163)-COLUMN(J163)+1 / (J163:AVX163="T"), F163)), "")</f>
        <v/>
      </c>
      <c r="F163" s="76">
        <f>$A$2</f>
        <v>2</v>
      </c>
      <c r="G163" s="35" cm="1">
        <f t="array" ref="G163">IFERROR(INDEX($J$5:$AVW$5,_xlfn.AGGREGATE(14,6,(COLUMN($J163:$AVW163)-COLUMN($J163)+1)/($J163:$AVW163="T"),1)),"")</f>
        <v>45973</v>
      </c>
      <c r="H163" s="79">
        <f>COUNTIF($J163:$AVV163,"T")</f>
        <v>1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hidden="1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t="str" cm="1">
        <f t="array" ref="E164">IFERROR(INDEX($J$5:$AVX$5, _xlfn.AGGREGATE(15,6, COLUMN(J164:AVX164)-COLUMN(J164)+1 / (J164:AVX164="T"), F164)), "")</f>
        <v/>
      </c>
      <c r="F164" s="76">
        <f>$A$2</f>
        <v>2</v>
      </c>
      <c r="G164" s="35" cm="1">
        <f t="array" ref="G164">IFERROR(INDEX($J$5:$AVW$5,_xlfn.AGGREGATE(14,6,(COLUMN($J164:$AVW164)-COLUMN($J164)+1)/($J164:$AVW164="T"),1)),"")</f>
        <v>45973</v>
      </c>
      <c r="H164" s="79">
        <f>COUNTIF($J164:$AVV164,"T")</f>
        <v>1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hidden="1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t="str" cm="1">
        <f t="array" ref="E165">IFERROR(INDEX($J$5:$AVX$5, _xlfn.AGGREGATE(15,6, COLUMN(J165:AVX165)-COLUMN(J165)+1 / (J165:AVX165="T"), F165)), "")</f>
        <v/>
      </c>
      <c r="F165" s="76">
        <f>$A$2</f>
        <v>2</v>
      </c>
      <c r="G165" s="35" cm="1">
        <f t="array" ref="G165">IFERROR(INDEX($J$5:$AVW$5,_xlfn.AGGREGATE(14,6,(COLUMN($J165:$AVW165)-COLUMN($J165)+1)/($J165:$AVW165="T"),1)),"")</f>
        <v>45973</v>
      </c>
      <c r="H165" s="79">
        <f>COUNTIF($J165:$AVV165,"T")</f>
        <v>1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hidden="1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t="str" cm="1">
        <f t="array" ref="E168">IFERROR(INDEX($J$5:$AVX$5, _xlfn.AGGREGATE(15,6, COLUMN(J168:AVX168)-COLUMN(J168)+1 / (J168:AVX168="T"), F168)), "")</f>
        <v/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45977</v>
      </c>
      <c r="H168" s="79">
        <f>COUNTIF($J168:$AVV168,"T")</f>
        <v>1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hidden="1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t="str" cm="1">
        <f t="array" ref="E169">IFERROR(INDEX($J$5:$AVX$5, _xlfn.AGGREGATE(15,6, COLUMN(J169:AVX169)-COLUMN(J169)+1 / (J169:AVX169="T"), F169)), "")</f>
        <v/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45977</v>
      </c>
      <c r="H169" s="79">
        <f>COUNTIF($J169:$AVV169,"T")</f>
        <v>1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hidden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t="str" cm="1">
        <f t="array" ref="E170">IFERROR(INDEX($J$5:$AVX$5, _xlfn.AGGREGATE(15,6, COLUMN(J170:AVX170)-COLUMN(J170)+1 / (J170:AVX170="T"), F170)), "")</f>
        <v/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45977</v>
      </c>
      <c r="H170" s="79">
        <f>COUNTIF($J170:$AVV170,"T")</f>
        <v>1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hidden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t="str" cm="1">
        <f t="array" ref="E171">IFERROR(INDEX($J$5:$AVX$5, _xlfn.AGGREGATE(15,6, COLUMN(J171:AVX171)-COLUMN(J171)+1 / (J171:AVX171="T"), F171)), "")</f>
        <v/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45977</v>
      </c>
      <c r="H171" s="79">
        <f>COUNTIF($J171:$AVV171,"T")</f>
        <v>1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hidden="1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t="str" cm="1">
        <f t="array" ref="E172">IFERROR(INDEX($J$5:$AVX$5, _xlfn.AGGREGATE(15,6, COLUMN(J172:AVX172)-COLUMN(J172)+1 / (J172:AVX172="T"), F172)), "")</f>
        <v/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45977</v>
      </c>
      <c r="H172" s="79">
        <f>COUNTIF($J172:$AVV172,"T")</f>
        <v>1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hidden="1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t="str" cm="1">
        <f t="array" ref="E173">IFERROR(INDEX($J$5:$AVX$5, _xlfn.AGGREGATE(15,6, COLUMN(J173:AVX173)-COLUMN(J173)+1 / (J173:AVX173="T"), F173)), "")</f>
        <v/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45977</v>
      </c>
      <c r="H173" s="79">
        <f>COUNTIF($J173:$AVV173,"T")</f>
        <v>1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hidden="1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t="str" cm="1">
        <f t="array" ref="E174">IFERROR(INDEX($J$5:$AVX$5, _xlfn.AGGREGATE(15,6, COLUMN(J174:AVX174)-COLUMN(J174)+1 / (J174:AVX174="T"), F174)), "")</f>
        <v/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45977</v>
      </c>
      <c r="H174" s="79">
        <f>COUNTIF($J174:$AVV174,"T")</f>
        <v>1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>COUNTIF($J175:$AVV175,"T")</f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>COUNTIF($J176:$AVV176,"T")</f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>COUNTIF($J177:$AVV177,"T")</f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>COUNTIF($J178:$AVV178,"T")</f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>COUNTIF($J179:$AVV179,"T")</f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>COUNTIF($J180:$AVV180,"T")</f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>COUNTIF($J181:$AVV181,"T")</f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>COUNTIF($J182:$AVV182,"T")</f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>COUNTIF($J183:$AVV183,"T")</f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>COUNTIF($J184:$AVV184,"T")</f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>COUNTIF($J185:$AVV185,"T")</f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>COUNTIF($J186:$AVV186,"T")</f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>COUNTIF($J187:$AVV187,"T")</f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>COUNTIF($J188:$AVV188,"T")</f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>COUNTIF($J192:$AVV192,"T")</f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>COUNTIF($J193:$AVV193,"T")</f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>COUNTIF($J194:$AVV194,"T")</f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>COUNTIF($J195:$AVV195,"T")</f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>COUNTIF($J196:$AVV196,"T")</f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>COUNTIF($J197:$AVV197,"T")</f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>COUNTIF($J198:$AVV198,"T")</f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>COUNTIF($J199:$AVV199,"T")</f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>COUNTIF($J200:$AVV200,"T")</f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>COUNTIF($J201:$AVV201,"T")</f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>COUNTIF($J202:$AVV202,"T")</f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>COUNTIF($J203:$AVV203,"T")</f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>COUNTIF($J204:$AVV204,"T")</f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>COUNTIF($J205:$AVV205,"T")</f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>COUNTIF($J207:$AVV207,"T")</f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>COUNTIF($J208:$AVV208,"T")</f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>COUNTIF($J209:$AVV209,"T")</f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>COUNTIF($J210:$AVV210,"T")</f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>COUNTIF($J211:$AVV211,"T")</f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>COUNTIF($J212:$AVV212,"T")</f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>COUNTIF($J213:$AVV213,"T")</f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7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865" priority="628">
      <formula>LEN(TRIM(E14))=0</formula>
    </cfRule>
  </conditionalFormatting>
  <conditionalFormatting sqref="J114:J119">
    <cfRule type="containsText" dxfId="864" priority="623" operator="containsText" text="T">
      <formula>NOT(ISERROR(SEARCH("T",J114)))</formula>
    </cfRule>
  </conditionalFormatting>
  <conditionalFormatting sqref="J120:M126">
    <cfRule type="containsText" dxfId="863" priority="164" operator="containsText" text="T">
      <formula>NOT(ISERROR(SEARCH("T",J120)))</formula>
    </cfRule>
  </conditionalFormatting>
  <conditionalFormatting sqref="J113:T113">
    <cfRule type="containsText" dxfId="862" priority="615" operator="containsText" text="17">
      <formula>NOT(ISERROR(SEARCH("17",J113)))</formula>
    </cfRule>
    <cfRule type="containsText" dxfId="861" priority="616" operator="containsText" text="T">
      <formula>NOT(ISERROR(SEARCH("T",J113)))</formula>
    </cfRule>
  </conditionalFormatting>
  <conditionalFormatting sqref="J67:X68">
    <cfRule type="containsText" dxfId="860" priority="560" operator="containsText" text="17">
      <formula>NOT(ISERROR(SEARCH("17",J67)))</formula>
    </cfRule>
  </conditionalFormatting>
  <conditionalFormatting sqref="J97:X98">
    <cfRule type="containsText" dxfId="859" priority="550" operator="containsText" text="17">
      <formula>NOT(ISERROR(SEARCH("17",J97)))</formula>
    </cfRule>
  </conditionalFormatting>
  <conditionalFormatting sqref="J67:Z68">
    <cfRule type="containsText" dxfId="858" priority="554" operator="containsText" text="T">
      <formula>NOT(ISERROR(SEARCH("T",J67)))</formula>
    </cfRule>
  </conditionalFormatting>
  <conditionalFormatting sqref="J97:Z98">
    <cfRule type="containsText" dxfId="857" priority="544" operator="containsText" text="T">
      <formula>NOT(ISERROR(SEARCH("T",J97)))</formula>
    </cfRule>
  </conditionalFormatting>
  <conditionalFormatting sqref="J127:Z130">
    <cfRule type="containsText" dxfId="856" priority="524" operator="containsText" text="T">
      <formula>NOT(ISERROR(SEARCH("T",J127)))</formula>
    </cfRule>
  </conditionalFormatting>
  <conditionalFormatting sqref="J114:AD119 J113:R113">
    <cfRule type="containsText" dxfId="855" priority="622" operator="containsText" text="17">
      <formula>NOT(ISERROR(SEARCH("17",J113)))</formula>
    </cfRule>
  </conditionalFormatting>
  <conditionalFormatting sqref="J48:AO49">
    <cfRule type="containsText" dxfId="854" priority="297" operator="containsText" text="17">
      <formula>NOT(ISERROR(SEARCH("17",J48)))</formula>
    </cfRule>
  </conditionalFormatting>
  <conditionalFormatting sqref="J63:AP66">
    <cfRule type="containsText" dxfId="853" priority="277" operator="containsText" text="17">
      <formula>NOT(ISERROR(SEARCH("17",J63)))</formula>
    </cfRule>
  </conditionalFormatting>
  <conditionalFormatting sqref="J48:AQ49">
    <cfRule type="containsText" dxfId="852" priority="291" operator="containsText" text="T">
      <formula>NOT(ISERROR(SEARCH("T",J48)))</formula>
    </cfRule>
  </conditionalFormatting>
  <conditionalFormatting sqref="J59:AQ62">
    <cfRule type="containsText" dxfId="851" priority="263" operator="containsText" text="17">
      <formula>NOT(ISERROR(SEARCH("17",J59)))</formula>
    </cfRule>
  </conditionalFormatting>
  <conditionalFormatting sqref="J86:AQ89">
    <cfRule type="containsText" dxfId="850" priority="253" operator="containsText" text="17">
      <formula>NOT(ISERROR(SEARCH("17",J86)))</formula>
    </cfRule>
  </conditionalFormatting>
  <conditionalFormatting sqref="J50:AR53">
    <cfRule type="containsText" dxfId="849" priority="281" operator="containsText" text="T">
      <formula>NOT(ISERROR(SEARCH("T",J50)))</formula>
    </cfRule>
  </conditionalFormatting>
  <conditionalFormatting sqref="J63:AR66">
    <cfRule type="containsText" dxfId="848" priority="271" operator="containsText" text="T">
      <formula>NOT(ISERROR(SEARCH("T",J63)))</formula>
    </cfRule>
  </conditionalFormatting>
  <conditionalFormatting sqref="J83:AR85">
    <cfRule type="containsText" dxfId="847" priority="243" operator="containsText" text="17">
      <formula>NOT(ISERROR(SEARCH("17",J83)))</formula>
    </cfRule>
  </conditionalFormatting>
  <conditionalFormatting sqref="J214:AR217">
    <cfRule type="containsText" dxfId="846" priority="233" operator="containsText" text="17">
      <formula>NOT(ISERROR(SEARCH("17",J214)))</formula>
    </cfRule>
  </conditionalFormatting>
  <conditionalFormatting sqref="J59:AS62">
    <cfRule type="containsText" dxfId="845" priority="257" operator="containsText" text="T">
      <formula>NOT(ISERROR(SEARCH("T",J59)))</formula>
    </cfRule>
  </conditionalFormatting>
  <conditionalFormatting sqref="J86:AS89">
    <cfRule type="containsText" dxfId="844" priority="247" operator="containsText" text="T">
      <formula>NOT(ISERROR(SEARCH("T",J86)))</formula>
    </cfRule>
  </conditionalFormatting>
  <conditionalFormatting sqref="J218:AS224">
    <cfRule type="containsText" dxfId="843" priority="223" operator="containsText" text="17">
      <formula>NOT(ISERROR(SEARCH("17",J218)))</formula>
    </cfRule>
  </conditionalFormatting>
  <conditionalFormatting sqref="J83:AT85">
    <cfRule type="containsText" dxfId="842" priority="237" operator="containsText" text="T">
      <formula>NOT(ISERROR(SEARCH("T",J83)))</formula>
    </cfRule>
  </conditionalFormatting>
  <conditionalFormatting sqref="J214:AT217">
    <cfRule type="containsText" dxfId="841" priority="227" operator="containsText" text="T">
      <formula>NOT(ISERROR(SEARCH("T",J214)))</formula>
    </cfRule>
  </conditionalFormatting>
  <conditionalFormatting sqref="J225:AT231">
    <cfRule type="containsText" dxfId="840" priority="213" operator="containsText" text="17">
      <formula>NOT(ISERROR(SEARCH("17",J225)))</formula>
    </cfRule>
  </conditionalFormatting>
  <conditionalFormatting sqref="J218:AU224">
    <cfRule type="containsText" dxfId="839" priority="217" operator="containsText" text="T">
      <formula>NOT(ISERROR(SEARCH("T",J218)))</formula>
    </cfRule>
  </conditionalFormatting>
  <conditionalFormatting sqref="J232:AU234">
    <cfRule type="containsText" dxfId="838" priority="203" operator="containsText" text="17">
      <formula>NOT(ISERROR(SEARCH("17",J232)))</formula>
    </cfRule>
  </conditionalFormatting>
  <conditionalFormatting sqref="J225:AV231">
    <cfRule type="containsText" dxfId="837" priority="207" operator="containsText" text="T">
      <formula>NOT(ISERROR(SEARCH("T",J225)))</formula>
    </cfRule>
  </conditionalFormatting>
  <conditionalFormatting sqref="J232:AW234">
    <cfRule type="containsText" dxfId="836" priority="197" operator="containsText" text="T">
      <formula>NOT(ISERROR(SEARCH("T",J232)))</formula>
    </cfRule>
  </conditionalFormatting>
  <conditionalFormatting sqref="K77:K82">
    <cfRule type="containsText" dxfId="835" priority="610" operator="containsText" text="T">
      <formula>NOT(ISERROR(SEARCH("T",K77)))</formula>
    </cfRule>
  </conditionalFormatting>
  <conditionalFormatting sqref="K76:U76">
    <cfRule type="containsText" dxfId="834" priority="602" operator="containsText" text="17">
      <formula>NOT(ISERROR(SEARCH("17",K76)))</formula>
    </cfRule>
    <cfRule type="containsText" dxfId="833" priority="603" operator="containsText" text="T">
      <formula>NOT(ISERROR(SEARCH("T",K76)))</formula>
    </cfRule>
  </conditionalFormatting>
  <conditionalFormatting sqref="K77:AE82 K76:S76">
    <cfRule type="containsText" dxfId="832" priority="609" operator="containsText" text="17">
      <formula>NOT(ISERROR(SEARCH("17",K76)))</formula>
    </cfRule>
  </conditionalFormatting>
  <conditionalFormatting sqref="L107:L112">
    <cfRule type="containsText" dxfId="831" priority="597" operator="containsText" text="T">
      <formula>NOT(ISERROR(SEARCH("T",L107)))</formula>
    </cfRule>
  </conditionalFormatting>
  <conditionalFormatting sqref="L106:V106">
    <cfRule type="containsText" dxfId="830" priority="589" operator="containsText" text="17">
      <formula>NOT(ISERROR(SEARCH("17",L106)))</formula>
    </cfRule>
    <cfRule type="containsText" dxfId="829" priority="590" operator="containsText" text="T">
      <formula>NOT(ISERROR(SEARCH("T",L106)))</formula>
    </cfRule>
  </conditionalFormatting>
  <conditionalFormatting sqref="L107:AF112 L106:T106">
    <cfRule type="containsText" dxfId="828" priority="596" operator="containsText" text="17">
      <formula>NOT(ISERROR(SEARCH("17",L106)))</formula>
    </cfRule>
  </conditionalFormatting>
  <conditionalFormatting sqref="M120:AG126 AJ120:AJ126">
    <cfRule type="containsText" dxfId="827" priority="161" operator="containsText" text="T">
      <formula>NOT(ISERROR(SEARCH("T",M120)))</formula>
    </cfRule>
  </conditionalFormatting>
  <conditionalFormatting sqref="M120:AG126">
    <cfRule type="containsText" dxfId="826" priority="163" operator="containsText" text="17">
      <formula>NOT(ISERROR(SEARCH("17",M120)))</formula>
    </cfRule>
  </conditionalFormatting>
  <conditionalFormatting sqref="N70:N75">
    <cfRule type="containsText" dxfId="825" priority="584" operator="containsText" text="T">
      <formula>NOT(ISERROR(SEARCH("T",N70)))</formula>
    </cfRule>
  </conditionalFormatting>
  <conditionalFormatting sqref="N69:X69">
    <cfRule type="containsText" dxfId="824" priority="576" operator="containsText" text="17">
      <formula>NOT(ISERROR(SEARCH("17",N69)))</formula>
    </cfRule>
    <cfRule type="containsText" dxfId="823" priority="577" operator="containsText" text="T">
      <formula>NOT(ISERROR(SEARCH("T",N69)))</formula>
    </cfRule>
  </conditionalFormatting>
  <conditionalFormatting sqref="N70:AH75 N69:V69">
    <cfRule type="containsText" dxfId="822" priority="583" operator="containsText" text="17">
      <formula>NOT(ISERROR(SEARCH("17",N69)))</formula>
    </cfRule>
  </conditionalFormatting>
  <conditionalFormatting sqref="O100:O105">
    <cfRule type="containsText" dxfId="821" priority="571" operator="containsText" text="T">
      <formula>NOT(ISERROR(SEARCH("T",O100)))</formula>
    </cfRule>
  </conditionalFormatting>
  <conditionalFormatting sqref="O99:Y99">
    <cfRule type="containsText" dxfId="820" priority="563" operator="containsText" text="17">
      <formula>NOT(ISERROR(SEARCH("17",O99)))</formula>
    </cfRule>
    <cfRule type="containsText" dxfId="819" priority="564" operator="containsText" text="T">
      <formula>NOT(ISERROR(SEARCH("T",O99)))</formula>
    </cfRule>
  </conditionalFormatting>
  <conditionalFormatting sqref="O100:AI105 O99:W99">
    <cfRule type="containsText" dxfId="818" priority="570" operator="containsText" text="17">
      <formula>NOT(ISERROR(SEARCH("17",O99)))</formula>
    </cfRule>
  </conditionalFormatting>
  <conditionalFormatting sqref="P67:Z68">
    <cfRule type="containsText" dxfId="817" priority="553" operator="containsText" text="17">
      <formula>NOT(ISERROR(SEARCH("17",P67)))</formula>
    </cfRule>
  </conditionalFormatting>
  <conditionalFormatting sqref="P97:Z98">
    <cfRule type="containsText" dxfId="816" priority="543" operator="containsText" text="17">
      <formula>NOT(ISERROR(SEARCH("17",P97)))</formula>
    </cfRule>
  </conditionalFormatting>
  <conditionalFormatting sqref="P127:Z130">
    <cfRule type="containsText" dxfId="815" priority="523" operator="containsText" text="17">
      <formula>NOT(ISERROR(SEARCH("17",P127)))</formula>
    </cfRule>
  </conditionalFormatting>
  <conditionalFormatting sqref="Q132:Q137">
    <cfRule type="containsText" dxfId="814" priority="518" operator="containsText" text="T">
      <formula>NOT(ISERROR(SEARCH("T",Q132)))</formula>
    </cfRule>
  </conditionalFormatting>
  <conditionalFormatting sqref="Q131:AA131">
    <cfRule type="containsText" dxfId="813" priority="510" operator="containsText" text="17">
      <formula>NOT(ISERROR(SEARCH("17",Q131)))</formula>
    </cfRule>
    <cfRule type="containsText" dxfId="812" priority="511" operator="containsText" text="T">
      <formula>NOT(ISERROR(SEARCH("T",Q131)))</formula>
    </cfRule>
  </conditionalFormatting>
  <conditionalFormatting sqref="Q132:AK137 Q131:Y131">
    <cfRule type="containsText" dxfId="811" priority="517" operator="containsText" text="17">
      <formula>NOT(ISERROR(SEARCH("17",Q131)))</formula>
    </cfRule>
  </conditionalFormatting>
  <conditionalFormatting sqref="R139:R144">
    <cfRule type="containsText" dxfId="810" priority="505" operator="containsText" text="T">
      <formula>NOT(ISERROR(SEARCH("T",R139)))</formula>
    </cfRule>
  </conditionalFormatting>
  <conditionalFormatting sqref="R138:AB138">
    <cfRule type="containsText" dxfId="809" priority="497" operator="containsText" text="17">
      <formula>NOT(ISERROR(SEARCH("17",R138)))</formula>
    </cfRule>
    <cfRule type="containsText" dxfId="808" priority="498" operator="containsText" text="T">
      <formula>NOT(ISERROR(SEARCH("T",R138)))</formula>
    </cfRule>
  </conditionalFormatting>
  <conditionalFormatting sqref="R139:AL144 R138:Z138">
    <cfRule type="containsText" dxfId="807" priority="504" operator="containsText" text="17">
      <formula>NOT(ISERROR(SEARCH("17",R138)))</formula>
    </cfRule>
  </conditionalFormatting>
  <conditionalFormatting sqref="S146:S151">
    <cfRule type="containsText" dxfId="806" priority="492" operator="containsText" text="T">
      <formula>NOT(ISERROR(SEARCH("T",S146)))</formula>
    </cfRule>
  </conditionalFormatting>
  <conditionalFormatting sqref="S145:AC145">
    <cfRule type="containsText" dxfId="805" priority="484" operator="containsText" text="17">
      <formula>NOT(ISERROR(SEARCH("17",S145)))</formula>
    </cfRule>
    <cfRule type="containsText" dxfId="804" priority="485" operator="containsText" text="T">
      <formula>NOT(ISERROR(SEARCH("T",S145)))</formula>
    </cfRule>
  </conditionalFormatting>
  <conditionalFormatting sqref="S146:AM151 S145:AA145">
    <cfRule type="containsText" dxfId="803" priority="491" operator="containsText" text="17">
      <formula>NOT(ISERROR(SEARCH("17",S145)))</formula>
    </cfRule>
  </conditionalFormatting>
  <conditionalFormatting sqref="T153:T158">
    <cfRule type="containsText" dxfId="802" priority="479" operator="containsText" text="T">
      <formula>NOT(ISERROR(SEARCH("T",T153)))</formula>
    </cfRule>
  </conditionalFormatting>
  <conditionalFormatting sqref="T152:AD152">
    <cfRule type="containsText" dxfId="801" priority="471" operator="containsText" text="17">
      <formula>NOT(ISERROR(SEARCH("17",T152)))</formula>
    </cfRule>
    <cfRule type="containsText" dxfId="800" priority="472" operator="containsText" text="T">
      <formula>NOT(ISERROR(SEARCH("T",T152)))</formula>
    </cfRule>
  </conditionalFormatting>
  <conditionalFormatting sqref="T153:AN158 T152:AB152">
    <cfRule type="containsText" dxfId="799" priority="478" operator="containsText" text="17">
      <formula>NOT(ISERROR(SEARCH("17",T152)))</formula>
    </cfRule>
  </conditionalFormatting>
  <conditionalFormatting sqref="U160:U165">
    <cfRule type="containsText" dxfId="798" priority="466" operator="containsText" text="T">
      <formula>NOT(ISERROR(SEARCH("T",U160)))</formula>
    </cfRule>
  </conditionalFormatting>
  <conditionalFormatting sqref="U113:AA113">
    <cfRule type="containsText" dxfId="797" priority="624" operator="containsText" text="17">
      <formula>NOT(ISERROR(SEARCH("17",U113)))</formula>
    </cfRule>
    <cfRule type="containsText" dxfId="796" priority="625" operator="containsText" text="T">
      <formula>NOT(ISERROR(SEARCH("T",U113)))</formula>
    </cfRule>
  </conditionalFormatting>
  <conditionalFormatting sqref="U159:AE159">
    <cfRule type="containsText" dxfId="795" priority="458" operator="containsText" text="17">
      <formula>NOT(ISERROR(SEARCH("17",U159)))</formula>
    </cfRule>
    <cfRule type="containsText" dxfId="794" priority="459" operator="containsText" text="T">
      <formula>NOT(ISERROR(SEARCH("T",U159)))</formula>
    </cfRule>
  </conditionalFormatting>
  <conditionalFormatting sqref="U160:AO165 U159:AC159">
    <cfRule type="containsText" dxfId="793" priority="465" operator="containsText" text="17">
      <formula>NOT(ISERROR(SEARCH("17",U159)))</formula>
    </cfRule>
  </conditionalFormatting>
  <conditionalFormatting sqref="V113">
    <cfRule type="containsText" dxfId="792" priority="620" operator="containsText" text="17">
      <formula>NOT(ISERROR(SEARCH("17",V113)))</formula>
    </cfRule>
    <cfRule type="containsText" dxfId="791" priority="621" operator="containsText" text="T">
      <formula>NOT(ISERROR(SEARCH("T",V113)))</formula>
    </cfRule>
  </conditionalFormatting>
  <conditionalFormatting sqref="V208:V213">
    <cfRule type="containsText" dxfId="790" priority="453" operator="containsText" text="T">
      <formula>NOT(ISERROR(SEARCH("T",V208)))</formula>
    </cfRule>
  </conditionalFormatting>
  <conditionalFormatting sqref="V76:AB76">
    <cfRule type="containsText" dxfId="789" priority="611" operator="containsText" text="17">
      <formula>NOT(ISERROR(SEARCH("17",V76)))</formula>
    </cfRule>
    <cfRule type="containsText" dxfId="788" priority="612" operator="containsText" text="T">
      <formula>NOT(ISERROR(SEARCH("T",V76)))</formula>
    </cfRule>
  </conditionalFormatting>
  <conditionalFormatting sqref="V207:AF207">
    <cfRule type="containsText" dxfId="787" priority="445" operator="containsText" text="17">
      <formula>NOT(ISERROR(SEARCH("17",V207)))</formula>
    </cfRule>
    <cfRule type="containsText" dxfId="786" priority="446" operator="containsText" text="T">
      <formula>NOT(ISERROR(SEARCH("T",V207)))</formula>
    </cfRule>
  </conditionalFormatting>
  <conditionalFormatting sqref="V208:AP213 V207:AD207">
    <cfRule type="containsText" dxfId="785" priority="452" operator="containsText" text="17">
      <formula>NOT(ISERROR(SEARCH("17",V207)))</formula>
    </cfRule>
  </conditionalFormatting>
  <conditionalFormatting sqref="W76">
    <cfRule type="containsText" dxfId="784" priority="607" operator="containsText" text="17">
      <formula>NOT(ISERROR(SEARCH("17",W76)))</formula>
    </cfRule>
    <cfRule type="containsText" dxfId="783" priority="608" operator="containsText" text="T">
      <formula>NOT(ISERROR(SEARCH("T",W76)))</formula>
    </cfRule>
  </conditionalFormatting>
  <conditionalFormatting sqref="W201:W206">
    <cfRule type="containsText" dxfId="782" priority="440" operator="containsText" text="T">
      <formula>NOT(ISERROR(SEARCH("T",W201)))</formula>
    </cfRule>
  </conditionalFormatting>
  <conditionalFormatting sqref="W106:AC106">
    <cfRule type="containsText" dxfId="781" priority="598" operator="containsText" text="17">
      <formula>NOT(ISERROR(SEARCH("17",W106)))</formula>
    </cfRule>
    <cfRule type="containsText" dxfId="780" priority="599" operator="containsText" text="T">
      <formula>NOT(ISERROR(SEARCH("T",W106)))</formula>
    </cfRule>
  </conditionalFormatting>
  <conditionalFormatting sqref="W200:AG200">
    <cfRule type="containsText" dxfId="779" priority="432" operator="containsText" text="17">
      <formula>NOT(ISERROR(SEARCH("17",W200)))</formula>
    </cfRule>
    <cfRule type="containsText" dxfId="778" priority="433" operator="containsText" text="T">
      <formula>NOT(ISERROR(SEARCH("T",W200)))</formula>
    </cfRule>
  </conditionalFormatting>
  <conditionalFormatting sqref="W201:AQ206 W200:AE200">
    <cfRule type="containsText" dxfId="777" priority="439" operator="containsText" text="17">
      <formula>NOT(ISERROR(SEARCH("17",W200)))</formula>
    </cfRule>
  </conditionalFormatting>
  <conditionalFormatting sqref="X106">
    <cfRule type="containsText" dxfId="776" priority="594" operator="containsText" text="17">
      <formula>NOT(ISERROR(SEARCH("17",X106)))</formula>
    </cfRule>
    <cfRule type="containsText" dxfId="775" priority="595" operator="containsText" text="T">
      <formula>NOT(ISERROR(SEARCH("T",X106)))</formula>
    </cfRule>
  </conditionalFormatting>
  <conditionalFormatting sqref="X194:X199">
    <cfRule type="containsText" dxfId="774" priority="427" operator="containsText" text="T">
      <formula>NOT(ISERROR(SEARCH("T",X194)))</formula>
    </cfRule>
  </conditionalFormatting>
  <conditionalFormatting sqref="X192:AH193">
    <cfRule type="containsText" dxfId="773" priority="414" operator="containsText" text="17">
      <formula>NOT(ISERROR(SEARCH("17",X192)))</formula>
    </cfRule>
    <cfRule type="containsText" dxfId="772" priority="415" operator="containsText" text="T">
      <formula>NOT(ISERROR(SEARCH("T",X192)))</formula>
    </cfRule>
  </conditionalFormatting>
  <conditionalFormatting sqref="Y169:Y174">
    <cfRule type="containsText" dxfId="771" priority="409" operator="containsText" text="T">
      <formula>NOT(ISERROR(SEARCH("T",Y169)))</formula>
    </cfRule>
  </conditionalFormatting>
  <conditionalFormatting sqref="Y69:AE69">
    <cfRule type="containsText" dxfId="770" priority="585" operator="containsText" text="17">
      <formula>NOT(ISERROR(SEARCH("17",Y69)))</formula>
    </cfRule>
    <cfRule type="containsText" dxfId="769" priority="586" operator="containsText" text="T">
      <formula>NOT(ISERROR(SEARCH("T",Y69)))</formula>
    </cfRule>
  </conditionalFormatting>
  <conditionalFormatting sqref="Y168:AI168">
    <cfRule type="containsText" dxfId="768" priority="401" operator="containsText" text="17">
      <formula>NOT(ISERROR(SEARCH("17",Y168)))</formula>
    </cfRule>
    <cfRule type="containsText" dxfId="767" priority="402" operator="containsText" text="T">
      <formula>NOT(ISERROR(SEARCH("T",Y168)))</formula>
    </cfRule>
  </conditionalFormatting>
  <conditionalFormatting sqref="Y169:AS174 Y168:AG168">
    <cfRule type="containsText" dxfId="766" priority="408" operator="containsText" text="17">
      <formula>NOT(ISERROR(SEARCH("17",Y168)))</formula>
    </cfRule>
  </conditionalFormatting>
  <conditionalFormatting sqref="Z69">
    <cfRule type="containsText" dxfId="765" priority="581" operator="containsText" text="17">
      <formula>NOT(ISERROR(SEARCH("17",Z69)))</formula>
    </cfRule>
    <cfRule type="containsText" dxfId="764" priority="582" operator="containsText" text="T">
      <formula>NOT(ISERROR(SEARCH("T",Z69)))</formula>
    </cfRule>
  </conditionalFormatting>
  <conditionalFormatting sqref="Z176:Z181">
    <cfRule type="containsText" dxfId="763" priority="396" operator="containsText" text="T">
      <formula>NOT(ISERROR(SEARCH("T",Z176)))</formula>
    </cfRule>
  </conditionalFormatting>
  <conditionalFormatting sqref="Z99:AF99">
    <cfRule type="containsText" dxfId="762" priority="572" operator="containsText" text="17">
      <formula>NOT(ISERROR(SEARCH("17",Z99)))</formula>
    </cfRule>
    <cfRule type="containsText" dxfId="761" priority="573" operator="containsText" text="T">
      <formula>NOT(ISERROR(SEARCH("T",Z99)))</formula>
    </cfRule>
  </conditionalFormatting>
  <conditionalFormatting sqref="Z175:AJ175">
    <cfRule type="containsText" dxfId="760" priority="388" operator="containsText" text="17">
      <formula>NOT(ISERROR(SEARCH("17",Z175)))</formula>
    </cfRule>
    <cfRule type="containsText" dxfId="759" priority="389" operator="containsText" text="T">
      <formula>NOT(ISERROR(SEARCH("T",Z175)))</formula>
    </cfRule>
  </conditionalFormatting>
  <conditionalFormatting sqref="Z176:AT181 Z175:AH175">
    <cfRule type="containsText" dxfId="758" priority="395" operator="containsText" text="17">
      <formula>NOT(ISERROR(SEARCH("17",Z175)))</formula>
    </cfRule>
  </conditionalFormatting>
  <conditionalFormatting sqref="AA99">
    <cfRule type="containsText" dxfId="757" priority="568" operator="containsText" text="17">
      <formula>NOT(ISERROR(SEARCH("17",AA99)))</formula>
    </cfRule>
    <cfRule type="containsText" dxfId="756" priority="569" operator="containsText" text="T">
      <formula>NOT(ISERROR(SEARCH("T",AA99)))</formula>
    </cfRule>
  </conditionalFormatting>
  <conditionalFormatting sqref="AA113 AE113:AG113 J114:AD119 AG114:AG119">
    <cfRule type="containsText" dxfId="755" priority="617" operator="containsText" text="T">
      <formula>NOT(ISERROR(SEARCH("T",J113)))</formula>
    </cfRule>
  </conditionalFormatting>
  <conditionalFormatting sqref="AA183:AA190">
    <cfRule type="containsText" dxfId="754" priority="383" operator="containsText" text="T">
      <formula>NOT(ISERROR(SEARCH("T",AA183)))</formula>
    </cfRule>
  </conditionalFormatting>
  <conditionalFormatting sqref="AA113:AB113 AE113:AG113 AG114:AG119">
    <cfRule type="containsText" dxfId="753" priority="618" operator="containsText" text="17">
      <formula>NOT(ISERROR(SEARCH("17",AA113)))</formula>
    </cfRule>
  </conditionalFormatting>
  <conditionalFormatting sqref="AA67:AG68">
    <cfRule type="containsText" dxfId="752" priority="561" operator="containsText" text="17">
      <formula>NOT(ISERROR(SEARCH("17",AA67)))</formula>
    </cfRule>
    <cfRule type="containsText" dxfId="751" priority="562" operator="containsText" text="T">
      <formula>NOT(ISERROR(SEARCH("T",AA67)))</formula>
    </cfRule>
  </conditionalFormatting>
  <conditionalFormatting sqref="AA97:AG98">
    <cfRule type="containsText" dxfId="750" priority="551" operator="containsText" text="17">
      <formula>NOT(ISERROR(SEARCH("17",AA97)))</formula>
    </cfRule>
    <cfRule type="containsText" dxfId="749" priority="552" operator="containsText" text="T">
      <formula>NOT(ISERROR(SEARCH("T",AA97)))</formula>
    </cfRule>
  </conditionalFormatting>
  <conditionalFormatting sqref="AA127:AG130">
    <cfRule type="containsText" dxfId="748" priority="531" operator="containsText" text="17">
      <formula>NOT(ISERROR(SEARCH("17",AA127)))</formula>
    </cfRule>
    <cfRule type="containsText" dxfId="747" priority="532" operator="containsText" text="T">
      <formula>NOT(ISERROR(SEARCH("T",AA127)))</formula>
    </cfRule>
  </conditionalFormatting>
  <conditionalFormatting sqref="AA182:AK182">
    <cfRule type="containsText" dxfId="746" priority="375" operator="containsText" text="17">
      <formula>NOT(ISERROR(SEARCH("17",AA182)))</formula>
    </cfRule>
    <cfRule type="containsText" dxfId="745" priority="376" operator="containsText" text="T">
      <formula>NOT(ISERROR(SEARCH("T",AA182)))</formula>
    </cfRule>
  </conditionalFormatting>
  <conditionalFormatting sqref="AA183:AU190 AA182:AI182">
    <cfRule type="containsText" dxfId="744" priority="382" operator="containsText" text="17">
      <formula>NOT(ISERROR(SEARCH("17",AA182)))</formula>
    </cfRule>
  </conditionalFormatting>
  <conditionalFormatting sqref="AB67:AB68">
    <cfRule type="containsText" dxfId="743" priority="558" operator="containsText" text="17">
      <formula>NOT(ISERROR(SEARCH("17",AB67)))</formula>
    </cfRule>
    <cfRule type="containsText" dxfId="742" priority="559" operator="containsText" text="T">
      <formula>NOT(ISERROR(SEARCH("T",AB67)))</formula>
    </cfRule>
  </conditionalFormatting>
  <conditionalFormatting sqref="AB76 AF76:AH76 K77:AE82 AH77:AH82">
    <cfRule type="containsText" dxfId="741" priority="604" operator="containsText" text="T">
      <formula>NOT(ISERROR(SEARCH("T",K76)))</formula>
    </cfRule>
  </conditionalFormatting>
  <conditionalFormatting sqref="AB91:AB96">
    <cfRule type="containsText" dxfId="740" priority="370" operator="containsText" text="T">
      <formula>NOT(ISERROR(SEARCH("T",AB91)))</formula>
    </cfRule>
  </conditionalFormatting>
  <conditionalFormatting sqref="AB97:AB98">
    <cfRule type="containsText" dxfId="739" priority="548" operator="containsText" text="17">
      <formula>NOT(ISERROR(SEARCH("17",AB97)))</formula>
    </cfRule>
    <cfRule type="containsText" dxfId="738" priority="549" operator="containsText" text="T">
      <formula>NOT(ISERROR(SEARCH("T",AB97)))</formula>
    </cfRule>
  </conditionalFormatting>
  <conditionalFormatting sqref="AB113">
    <cfRule type="containsText" dxfId="737" priority="619" operator="containsText" text="T">
      <formula>NOT(ISERROR(SEARCH("T",AB113)))</formula>
    </cfRule>
  </conditionalFormatting>
  <conditionalFormatting sqref="AB127:AB130">
    <cfRule type="containsText" dxfId="736" priority="528" operator="containsText" text="17">
      <formula>NOT(ISERROR(SEARCH("17",AB127)))</formula>
    </cfRule>
    <cfRule type="containsText" dxfId="735" priority="529" operator="containsText" text="T">
      <formula>NOT(ISERROR(SEARCH("T",AB127)))</formula>
    </cfRule>
  </conditionalFormatting>
  <conditionalFormatting sqref="AB76:AC76 AF76:AH76 AH77:AH82">
    <cfRule type="containsText" dxfId="734" priority="605" operator="containsText" text="17">
      <formula>NOT(ISERROR(SEARCH("17",AB76)))</formula>
    </cfRule>
  </conditionalFormatting>
  <conditionalFormatting sqref="AB131:AH131">
    <cfRule type="containsText" dxfId="733" priority="519" operator="containsText" text="17">
      <formula>NOT(ISERROR(SEARCH("17",AB131)))</formula>
    </cfRule>
    <cfRule type="containsText" dxfId="732" priority="520" operator="containsText" text="T">
      <formula>NOT(ISERROR(SEARCH("T",AB131)))</formula>
    </cfRule>
  </conditionalFormatting>
  <conditionalFormatting sqref="AB90:AL90">
    <cfRule type="containsText" dxfId="731" priority="362" operator="containsText" text="17">
      <formula>NOT(ISERROR(SEARCH("17",AB90)))</formula>
    </cfRule>
    <cfRule type="containsText" dxfId="730" priority="363" operator="containsText" text="T">
      <formula>NOT(ISERROR(SEARCH("T",AB90)))</formula>
    </cfRule>
  </conditionalFormatting>
  <conditionalFormatting sqref="AB91:AV96 AB90:AJ90">
    <cfRule type="containsText" dxfId="729" priority="369" operator="containsText" text="17">
      <formula>NOT(ISERROR(SEARCH("17",AB90)))</formula>
    </cfRule>
  </conditionalFormatting>
  <conditionalFormatting sqref="AC15:AC20">
    <cfRule type="containsText" dxfId="728" priority="357" operator="containsText" text="T">
      <formula>NOT(ISERROR(SEARCH("T",AC15)))</formula>
    </cfRule>
  </conditionalFormatting>
  <conditionalFormatting sqref="AC76">
    <cfRule type="containsText" dxfId="727" priority="606" operator="containsText" text="T">
      <formula>NOT(ISERROR(SEARCH("T",AC76)))</formula>
    </cfRule>
  </conditionalFormatting>
  <conditionalFormatting sqref="AC106 AG106:AI106 L107:AF112 AI107:AI112">
    <cfRule type="containsText" dxfId="726" priority="591" operator="containsText" text="T">
      <formula>NOT(ISERROR(SEARCH("T",L106)))</formula>
    </cfRule>
  </conditionalFormatting>
  <conditionalFormatting sqref="AC131">
    <cfRule type="containsText" dxfId="725" priority="515" operator="containsText" text="17">
      <formula>NOT(ISERROR(SEARCH("17",AC131)))</formula>
    </cfRule>
    <cfRule type="containsText" dxfId="724" priority="516" operator="containsText" text="T">
      <formula>NOT(ISERROR(SEARCH("T",AC131)))</formula>
    </cfRule>
  </conditionalFormatting>
  <conditionalFormatting sqref="AC106:AD106 AG106:AI106 AI107:AI112">
    <cfRule type="containsText" dxfId="723" priority="592" operator="containsText" text="17">
      <formula>NOT(ISERROR(SEARCH("17",AC106)))</formula>
    </cfRule>
  </conditionalFormatting>
  <conditionalFormatting sqref="AC138:AI138">
    <cfRule type="containsText" dxfId="722" priority="506" operator="containsText" text="17">
      <formula>NOT(ISERROR(SEARCH("17",AC138)))</formula>
    </cfRule>
    <cfRule type="containsText" dxfId="721" priority="507" operator="containsText" text="T">
      <formula>NOT(ISERROR(SEARCH("T",AC138)))</formula>
    </cfRule>
  </conditionalFormatting>
  <conditionalFormatting sqref="AC14:AM14">
    <cfRule type="containsText" dxfId="720" priority="349" operator="containsText" text="17">
      <formula>NOT(ISERROR(SEARCH("17",AC14)))</formula>
    </cfRule>
    <cfRule type="containsText" dxfId="719" priority="350" operator="containsText" text="T">
      <formula>NOT(ISERROR(SEARCH("T",AC14)))</formula>
    </cfRule>
  </conditionalFormatting>
  <conditionalFormatting sqref="AC15:AW20 AC14:AK14">
    <cfRule type="containsText" dxfId="718" priority="356" operator="containsText" text="17">
      <formula>NOT(ISERROR(SEARCH("17",AC14)))</formula>
    </cfRule>
  </conditionalFormatting>
  <conditionalFormatting sqref="AD35:AD40">
    <cfRule type="containsText" dxfId="717" priority="344" operator="containsText" text="T">
      <formula>NOT(ISERROR(SEARCH("T",AD35)))</formula>
    </cfRule>
  </conditionalFormatting>
  <conditionalFormatting sqref="AD106">
    <cfRule type="containsText" dxfId="716" priority="593" operator="containsText" text="T">
      <formula>NOT(ISERROR(SEARCH("T",AD106)))</formula>
    </cfRule>
  </conditionalFormatting>
  <conditionalFormatting sqref="AD138">
    <cfRule type="containsText" dxfId="715" priority="502" operator="containsText" text="17">
      <formula>NOT(ISERROR(SEARCH("17",AD138)))</formula>
    </cfRule>
    <cfRule type="containsText" dxfId="714" priority="503" operator="containsText" text="T">
      <formula>NOT(ISERROR(SEARCH("T",AD138)))</formula>
    </cfRule>
  </conditionalFormatting>
  <conditionalFormatting sqref="AD145:AJ145">
    <cfRule type="containsText" dxfId="713" priority="493" operator="containsText" text="17">
      <formula>NOT(ISERROR(SEARCH("17",AD145)))</formula>
    </cfRule>
    <cfRule type="containsText" dxfId="712" priority="494" operator="containsText" text="T">
      <formula>NOT(ISERROR(SEARCH("T",AD145)))</formula>
    </cfRule>
  </conditionalFormatting>
  <conditionalFormatting sqref="AD34:AN34">
    <cfRule type="containsText" dxfId="711" priority="336" operator="containsText" text="17">
      <formula>NOT(ISERROR(SEARCH("17",AD34)))</formula>
    </cfRule>
    <cfRule type="containsText" dxfId="710" priority="337" operator="containsText" text="T">
      <formula>NOT(ISERROR(SEARCH("T",AD34)))</formula>
    </cfRule>
  </conditionalFormatting>
  <conditionalFormatting sqref="AD35:AX40 AD34:AL34">
    <cfRule type="containsText" dxfId="709" priority="343" operator="containsText" text="17">
      <formula>NOT(ISERROR(SEARCH("17",AD34)))</formula>
    </cfRule>
  </conditionalFormatting>
  <conditionalFormatting sqref="AE22:AE27">
    <cfRule type="containsText" dxfId="708" priority="331" operator="containsText" text="T">
      <formula>NOT(ISERROR(SEARCH("T",AE22)))</formula>
    </cfRule>
  </conditionalFormatting>
  <conditionalFormatting sqref="AE69 AI69:AK69 N70:AH75 AK70:AK75">
    <cfRule type="containsText" dxfId="707" priority="578" operator="containsText" text="T">
      <formula>NOT(ISERROR(SEARCH("T",N69)))</formula>
    </cfRule>
  </conditionalFormatting>
  <conditionalFormatting sqref="AE145">
    <cfRule type="containsText" dxfId="706" priority="489" operator="containsText" text="17">
      <formula>NOT(ISERROR(SEARCH("17",AE145)))</formula>
    </cfRule>
    <cfRule type="containsText" dxfId="705" priority="490" operator="containsText" text="T">
      <formula>NOT(ISERROR(SEARCH("T",AE145)))</formula>
    </cfRule>
  </conditionalFormatting>
  <conditionalFormatting sqref="AE69:AF69 AI69:AK69 AK70:AK75">
    <cfRule type="containsText" dxfId="704" priority="579" operator="containsText" text="17">
      <formula>NOT(ISERROR(SEARCH("17",AE69)))</formula>
    </cfRule>
  </conditionalFormatting>
  <conditionalFormatting sqref="AE152:AK152">
    <cfRule type="containsText" dxfId="703" priority="480" operator="containsText" text="17">
      <formula>NOT(ISERROR(SEARCH("17",AE152)))</formula>
    </cfRule>
    <cfRule type="containsText" dxfId="702" priority="481" operator="containsText" text="T">
      <formula>NOT(ISERROR(SEARCH("T",AE152)))</formula>
    </cfRule>
  </conditionalFormatting>
  <conditionalFormatting sqref="AE21:AO21">
    <cfRule type="containsText" dxfId="701" priority="323" operator="containsText" text="17">
      <formula>NOT(ISERROR(SEARCH("17",AE21)))</formula>
    </cfRule>
    <cfRule type="containsText" dxfId="700" priority="324" operator="containsText" text="T">
      <formula>NOT(ISERROR(SEARCH("T",AE21)))</formula>
    </cfRule>
  </conditionalFormatting>
  <conditionalFormatting sqref="AE22:AY27 AE21:AM21">
    <cfRule type="containsText" dxfId="699" priority="330" operator="containsText" text="17">
      <formula>NOT(ISERROR(SEARCH("17",AE21)))</formula>
    </cfRule>
  </conditionalFormatting>
  <conditionalFormatting sqref="AF42:AF47">
    <cfRule type="containsText" dxfId="698" priority="318" operator="containsText" text="T">
      <formula>NOT(ISERROR(SEARCH("T",AF42)))</formula>
    </cfRule>
  </conditionalFormatting>
  <conditionalFormatting sqref="AF69">
    <cfRule type="containsText" dxfId="697" priority="580" operator="containsText" text="T">
      <formula>NOT(ISERROR(SEARCH("T",AF69)))</formula>
    </cfRule>
  </conditionalFormatting>
  <conditionalFormatting sqref="AF99 AJ99:AL99 O100:AI105 AL100:AL105">
    <cfRule type="containsText" dxfId="696" priority="565" operator="containsText" text="T">
      <formula>NOT(ISERROR(SEARCH("T",O99)))</formula>
    </cfRule>
  </conditionalFormatting>
  <conditionalFormatting sqref="AF152">
    <cfRule type="containsText" dxfId="695" priority="476" operator="containsText" text="17">
      <formula>NOT(ISERROR(SEARCH("17",AF152)))</formula>
    </cfRule>
    <cfRule type="containsText" dxfId="694" priority="477" operator="containsText" text="T">
      <formula>NOT(ISERROR(SEARCH("T",AF152)))</formula>
    </cfRule>
  </conditionalFormatting>
  <conditionalFormatting sqref="AF99:AG99 AJ99:AL99 AL100:AL105">
    <cfRule type="containsText" dxfId="693" priority="566" operator="containsText" text="17">
      <formula>NOT(ISERROR(SEARCH("17",AF99)))</formula>
    </cfRule>
  </conditionalFormatting>
  <conditionalFormatting sqref="AF159:AL159">
    <cfRule type="containsText" dxfId="692" priority="467" operator="containsText" text="17">
      <formula>NOT(ISERROR(SEARCH("17",AF159)))</formula>
    </cfRule>
    <cfRule type="containsText" dxfId="691" priority="468" operator="containsText" text="T">
      <formula>NOT(ISERROR(SEARCH("T",AF159)))</formula>
    </cfRule>
  </conditionalFormatting>
  <conditionalFormatting sqref="AF41:AP41">
    <cfRule type="containsText" dxfId="690" priority="310" operator="containsText" text="17">
      <formula>NOT(ISERROR(SEARCH("17",AF41)))</formula>
    </cfRule>
    <cfRule type="containsText" dxfId="689" priority="311" operator="containsText" text="T">
      <formula>NOT(ISERROR(SEARCH("T",AF41)))</formula>
    </cfRule>
  </conditionalFormatting>
  <conditionalFormatting sqref="AF42:AZ47 AF41:AN41">
    <cfRule type="containsText" dxfId="688" priority="317" operator="containsText" text="17">
      <formula>NOT(ISERROR(SEARCH("17",AF41)))</formula>
    </cfRule>
  </conditionalFormatting>
  <conditionalFormatting sqref="AG67:AG68 AK67:AM68">
    <cfRule type="containsText" dxfId="687" priority="555" operator="containsText" text="T">
      <formula>NOT(ISERROR(SEARCH("T",AG67)))</formula>
    </cfRule>
  </conditionalFormatting>
  <conditionalFormatting sqref="AG97:AG98 AK97:AS98 BR97:CP98">
    <cfRule type="containsText" dxfId="686" priority="545" operator="containsText" text="T">
      <formula>NOT(ISERROR(SEARCH("T",AG97)))</formula>
    </cfRule>
  </conditionalFormatting>
  <conditionalFormatting sqref="AG99">
    <cfRule type="containsText" dxfId="685" priority="567" operator="containsText" text="T">
      <formula>NOT(ISERROR(SEARCH("T",AG99)))</formula>
    </cfRule>
  </conditionalFormatting>
  <conditionalFormatting sqref="AG114:AG119">
    <cfRule type="containsText" dxfId="684" priority="627" operator="containsText" text="T">
      <formula>NOT(ISERROR(SEARCH("T",AG114)))</formula>
    </cfRule>
  </conditionalFormatting>
  <conditionalFormatting sqref="AG127:AG130 AK127:AM130">
    <cfRule type="containsText" dxfId="683" priority="525" operator="containsText" text="T">
      <formula>NOT(ISERROR(SEARCH("T",AG127)))</formula>
    </cfRule>
  </conditionalFormatting>
  <conditionalFormatting sqref="AG159">
    <cfRule type="containsText" dxfId="682" priority="463" operator="containsText" text="17">
      <formula>NOT(ISERROR(SEARCH("17",AG159)))</formula>
    </cfRule>
    <cfRule type="containsText" dxfId="681" priority="464" operator="containsText" text="T">
      <formula>NOT(ISERROR(SEARCH("T",AG159)))</formula>
    </cfRule>
  </conditionalFormatting>
  <conditionalFormatting sqref="AG67:AH68 AK67:AM68">
    <cfRule type="containsText" dxfId="680" priority="556" operator="containsText" text="17">
      <formula>NOT(ISERROR(SEARCH("17",AG67)))</formula>
    </cfRule>
  </conditionalFormatting>
  <conditionalFormatting sqref="AG97:AH98 AK97:AS98 BR97:CP98">
    <cfRule type="containsText" dxfId="679" priority="546" operator="containsText" text="17">
      <formula>NOT(ISERROR(SEARCH("17",AG97)))</formula>
    </cfRule>
  </conditionalFormatting>
  <conditionalFormatting sqref="AG127:AH130 AK127:AM130">
    <cfRule type="containsText" dxfId="678" priority="526" operator="containsText" text="17">
      <formula>NOT(ISERROR(SEARCH("17",AG127)))</formula>
    </cfRule>
  </conditionalFormatting>
  <conditionalFormatting sqref="AG207:AM207">
    <cfRule type="containsText" dxfId="677" priority="454" operator="containsText" text="17">
      <formula>NOT(ISERROR(SEARCH("17",AG207)))</formula>
    </cfRule>
    <cfRule type="containsText" dxfId="676" priority="455" operator="containsText" text="T">
      <formula>NOT(ISERROR(SEARCH("T",AG207)))</formula>
    </cfRule>
  </conditionalFormatting>
  <conditionalFormatting sqref="AG28:AO32">
    <cfRule type="containsText" dxfId="675" priority="307" operator="containsText" text="17">
      <formula>NOT(ISERROR(SEARCH("17",AG28)))</formula>
    </cfRule>
  </conditionalFormatting>
  <conditionalFormatting sqref="AG28:AQ32">
    <cfRule type="containsText" dxfId="674" priority="300" operator="containsText" text="17">
      <formula>NOT(ISERROR(SEARCH("17",AG28)))</formula>
    </cfRule>
    <cfRule type="containsText" dxfId="673" priority="301" operator="containsText" text="T">
      <formula>NOT(ISERROR(SEARCH("T",AG28)))</formula>
    </cfRule>
  </conditionalFormatting>
  <conditionalFormatting sqref="AG48:AQ49">
    <cfRule type="containsText" dxfId="672" priority="290" operator="containsText" text="17">
      <formula>NOT(ISERROR(SEARCH("17",AG48)))</formula>
    </cfRule>
  </conditionalFormatting>
  <conditionalFormatting sqref="AH67:AH68">
    <cfRule type="containsText" dxfId="671" priority="557" operator="containsText" text="T">
      <formula>NOT(ISERROR(SEARCH("T",AH67)))</formula>
    </cfRule>
  </conditionalFormatting>
  <conditionalFormatting sqref="AH77:AH82">
    <cfRule type="containsText" dxfId="670" priority="614" operator="containsText" text="T">
      <formula>NOT(ISERROR(SEARCH("T",AH77)))</formula>
    </cfRule>
  </conditionalFormatting>
  <conditionalFormatting sqref="AH97:AH98">
    <cfRule type="containsText" dxfId="669" priority="547" operator="containsText" text="T">
      <formula>NOT(ISERROR(SEARCH("T",AH97)))</formula>
    </cfRule>
  </conditionalFormatting>
  <conditionalFormatting sqref="AH127:AH130">
    <cfRule type="containsText" dxfId="668" priority="527" operator="containsText" text="T">
      <formula>NOT(ISERROR(SEARCH("T",AH127)))</formula>
    </cfRule>
  </conditionalFormatting>
  <conditionalFormatting sqref="AH131 AL131:AN131 Q132:AK137 AN132:AN137">
    <cfRule type="containsText" dxfId="667" priority="512" operator="containsText" text="T">
      <formula>NOT(ISERROR(SEARCH("T",Q131)))</formula>
    </cfRule>
  </conditionalFormatting>
  <conditionalFormatting sqref="AH207">
    <cfRule type="containsText" dxfId="666" priority="450" operator="containsText" text="17">
      <formula>NOT(ISERROR(SEARCH("17",AH207)))</formula>
    </cfRule>
    <cfRule type="containsText" dxfId="665" priority="451" operator="containsText" text="T">
      <formula>NOT(ISERROR(SEARCH("T",AH207)))</formula>
    </cfRule>
  </conditionalFormatting>
  <conditionalFormatting sqref="AH131:AI131 AL131:AN131 AN132:AN137">
    <cfRule type="containsText" dxfId="664" priority="513" operator="containsText" text="17">
      <formula>NOT(ISERROR(SEARCH("17",AH131)))</formula>
    </cfRule>
  </conditionalFormatting>
  <conditionalFormatting sqref="AH200:AN200">
    <cfRule type="containsText" dxfId="663" priority="441" operator="containsText" text="17">
      <formula>NOT(ISERROR(SEARCH("17",AH200)))</formula>
    </cfRule>
    <cfRule type="containsText" dxfId="662" priority="442" operator="containsText" text="T">
      <formula>NOT(ISERROR(SEARCH("T",AH200)))</formula>
    </cfRule>
  </conditionalFormatting>
  <conditionalFormatting sqref="AH50:AP53">
    <cfRule type="containsText" dxfId="661" priority="287" operator="containsText" text="17">
      <formula>NOT(ISERROR(SEARCH("17",AH50)))</formula>
    </cfRule>
  </conditionalFormatting>
  <conditionalFormatting sqref="AH50:AR53">
    <cfRule type="containsText" dxfId="660" priority="280" operator="containsText" text="17">
      <formula>NOT(ISERROR(SEARCH("17",AH50)))</formula>
    </cfRule>
  </conditionalFormatting>
  <conditionalFormatting sqref="AH63:AR66">
    <cfRule type="containsText" dxfId="659" priority="270" operator="containsText" text="17">
      <formula>NOT(ISERROR(SEARCH("17",AH63)))</formula>
    </cfRule>
  </conditionalFormatting>
  <conditionalFormatting sqref="AH113:AU116">
    <cfRule type="containsText" dxfId="658" priority="193" operator="containsText" text="17">
      <formula>NOT(ISERROR(SEARCH("17",AH113)))</formula>
    </cfRule>
  </conditionalFormatting>
  <conditionalFormatting sqref="AH117:AV119">
    <cfRule type="containsText" dxfId="657" priority="183" operator="containsText" text="17">
      <formula>NOT(ISERROR(SEARCH("17",AH117)))</formula>
    </cfRule>
  </conditionalFormatting>
  <conditionalFormatting sqref="AH113:AW116">
    <cfRule type="containsText" dxfId="656" priority="187" operator="containsText" text="T">
      <formula>NOT(ISERROR(SEARCH("T",AH113)))</formula>
    </cfRule>
  </conditionalFormatting>
  <conditionalFormatting sqref="AH117:AX119">
    <cfRule type="containsText" dxfId="655" priority="177" operator="containsText" text="T">
      <formula>NOT(ISERROR(SEARCH("T",AH117)))</formula>
    </cfRule>
  </conditionalFormatting>
  <conditionalFormatting sqref="AI131">
    <cfRule type="containsText" dxfId="654" priority="514" operator="containsText" text="T">
      <formula>NOT(ISERROR(SEARCH("T",AI131)))</formula>
    </cfRule>
  </conditionalFormatting>
  <conditionalFormatting sqref="AI138 AM138:AO138 R139:AL144 AO139:AO144">
    <cfRule type="containsText" dxfId="653" priority="499" operator="containsText" text="T">
      <formula>NOT(ISERROR(SEARCH("T",R138)))</formula>
    </cfRule>
  </conditionalFormatting>
  <conditionalFormatting sqref="AI200">
    <cfRule type="containsText" dxfId="652" priority="437" operator="containsText" text="17">
      <formula>NOT(ISERROR(SEARCH("17",AI200)))</formula>
    </cfRule>
    <cfRule type="containsText" dxfId="651" priority="438" operator="containsText" text="T">
      <formula>NOT(ISERROR(SEARCH("T",AI200)))</formula>
    </cfRule>
  </conditionalFormatting>
  <conditionalFormatting sqref="AI138:AJ138 AM138:AO138 AO139:AO144">
    <cfRule type="containsText" dxfId="650" priority="500" operator="containsText" text="17">
      <formula>NOT(ISERROR(SEARCH("17",AI138)))</formula>
    </cfRule>
  </conditionalFormatting>
  <conditionalFormatting sqref="AI107:AO112">
    <cfRule type="containsText" dxfId="649" priority="601" operator="containsText" text="T">
      <formula>NOT(ISERROR(SEARCH("T",AI107)))</formula>
    </cfRule>
  </conditionalFormatting>
  <conditionalFormatting sqref="AI192:AO192">
    <cfRule type="containsText" dxfId="648" priority="418" operator="containsText" text="T">
      <formula>NOT(ISERROR(SEARCH("T",AI192)))</formula>
    </cfRule>
  </conditionalFormatting>
  <conditionalFormatting sqref="AI193:AO193">
    <cfRule type="containsText" dxfId="647" priority="428" operator="containsText" text="17">
      <formula>NOT(ISERROR(SEARCH("17",AI193)))</formula>
    </cfRule>
    <cfRule type="containsText" dxfId="646" priority="429" operator="containsText" text="T">
      <formula>NOT(ISERROR(SEARCH("T",AI193)))</formula>
    </cfRule>
  </conditionalFormatting>
  <conditionalFormatting sqref="AI192:AP192 AS192:AU192">
    <cfRule type="containsText" dxfId="645" priority="416" operator="containsText" text="17">
      <formula>NOT(ISERROR(SEARCH("17",AI192)))</formula>
    </cfRule>
  </conditionalFormatting>
  <conditionalFormatting sqref="AI59:AS62">
    <cfRule type="containsText" dxfId="644" priority="256" operator="containsText" text="17">
      <formula>NOT(ISERROR(SEARCH("17",AI59)))</formula>
    </cfRule>
  </conditionalFormatting>
  <conditionalFormatting sqref="AI86:AS89">
    <cfRule type="containsText" dxfId="643" priority="246" operator="containsText" text="17">
      <formula>NOT(ISERROR(SEARCH("17",AI86)))</formula>
    </cfRule>
  </conditionalFormatting>
  <conditionalFormatting sqref="AI79:AV82">
    <cfRule type="containsText" dxfId="642" priority="173" operator="containsText" text="17">
      <formula>NOT(ISERROR(SEARCH("17",AI79)))</formula>
    </cfRule>
  </conditionalFormatting>
  <conditionalFormatting sqref="AI76:AX78">
    <cfRule type="containsText" dxfId="641" priority="148" operator="containsText" text="17">
      <formula>NOT(ISERROR(SEARCH("17",AI76)))</formula>
    </cfRule>
  </conditionalFormatting>
  <conditionalFormatting sqref="AI79:AX82">
    <cfRule type="containsText" dxfId="640" priority="167" operator="containsText" text="T">
      <formula>NOT(ISERROR(SEARCH("T",AI79)))</formula>
    </cfRule>
  </conditionalFormatting>
  <conditionalFormatting sqref="AI76:AZ78">
    <cfRule type="containsText" dxfId="639" priority="142" operator="containsText" text="T">
      <formula>NOT(ISERROR(SEARCH("T",AI76)))</formula>
    </cfRule>
  </conditionalFormatting>
  <conditionalFormatting sqref="AJ120:AJ126">
    <cfRule type="containsText" dxfId="638" priority="162" operator="containsText" text="17">
      <formula>NOT(ISERROR(SEARCH("17",AJ120)))</formula>
    </cfRule>
    <cfRule type="containsText" dxfId="637" priority="165" operator="containsText" text="T">
      <formula>NOT(ISERROR(SEARCH("T",AJ120)))</formula>
    </cfRule>
  </conditionalFormatting>
  <conditionalFormatting sqref="AJ138">
    <cfRule type="containsText" dxfId="636" priority="501" operator="containsText" text="T">
      <formula>NOT(ISERROR(SEARCH("T",AJ138)))</formula>
    </cfRule>
  </conditionalFormatting>
  <conditionalFormatting sqref="AJ145 AN145:AP145 S146:AM151 AP146:AP151">
    <cfRule type="containsText" dxfId="635" priority="486" operator="containsText" text="T">
      <formula>NOT(ISERROR(SEARCH("T",S145)))</formula>
    </cfRule>
  </conditionalFormatting>
  <conditionalFormatting sqref="AJ192:AJ193">
    <cfRule type="containsText" dxfId="634" priority="424" operator="containsText" text="17">
      <formula>NOT(ISERROR(SEARCH("17",AJ192)))</formula>
    </cfRule>
    <cfRule type="containsText" dxfId="633" priority="425" operator="containsText" text="T">
      <formula>NOT(ISERROR(SEARCH("T",AJ192)))</formula>
    </cfRule>
  </conditionalFormatting>
  <conditionalFormatting sqref="AJ145:AK145 AN145:AP145 AP146:AP151">
    <cfRule type="containsText" dxfId="632" priority="487" operator="containsText" text="17">
      <formula>NOT(ISERROR(SEARCH("17",AJ145)))</formula>
    </cfRule>
  </conditionalFormatting>
  <conditionalFormatting sqref="AJ168:AP168">
    <cfRule type="containsText" dxfId="631" priority="410" operator="containsText" text="17">
      <formula>NOT(ISERROR(SEARCH("17",AJ168)))</formula>
    </cfRule>
    <cfRule type="containsText" dxfId="630" priority="411" operator="containsText" text="T">
      <formula>NOT(ISERROR(SEARCH("T",AJ168)))</formula>
    </cfRule>
  </conditionalFormatting>
  <conditionalFormatting sqref="AJ83:AT85">
    <cfRule type="containsText" dxfId="629" priority="236" operator="containsText" text="17">
      <formula>NOT(ISERROR(SEARCH("17",AJ83)))</formula>
    </cfRule>
  </conditionalFormatting>
  <conditionalFormatting sqref="AJ214:AT217">
    <cfRule type="containsText" dxfId="628" priority="226" operator="containsText" text="17">
      <formula>NOT(ISERROR(SEARCH("17",AJ214)))</formula>
    </cfRule>
  </conditionalFormatting>
  <conditionalFormatting sqref="AK70:AK75">
    <cfRule type="containsText" dxfId="627" priority="588" operator="containsText" text="T">
      <formula>NOT(ISERROR(SEARCH("T",AK70)))</formula>
    </cfRule>
  </conditionalFormatting>
  <conditionalFormatting sqref="AK129:AK130 P127:X130">
    <cfRule type="containsText" dxfId="626" priority="530" operator="containsText" text="17">
      <formula>NOT(ISERROR(SEARCH("17",P127)))</formula>
    </cfRule>
  </conditionalFormatting>
  <conditionalFormatting sqref="AK145">
    <cfRule type="containsText" dxfId="625" priority="488" operator="containsText" text="T">
      <formula>NOT(ISERROR(SEARCH("T",AK145)))</formula>
    </cfRule>
  </conditionalFormatting>
  <conditionalFormatting sqref="AK152 AO152:AQ152 T153:AN158 AQ153:AQ158">
    <cfRule type="containsText" dxfId="624" priority="473" operator="containsText" text="T">
      <formula>NOT(ISERROR(SEARCH("T",T152)))</formula>
    </cfRule>
  </conditionalFormatting>
  <conditionalFormatting sqref="AK168">
    <cfRule type="containsText" dxfId="623" priority="406" operator="containsText" text="17">
      <formula>NOT(ISERROR(SEARCH("17",AK168)))</formula>
    </cfRule>
    <cfRule type="containsText" dxfId="622" priority="407" operator="containsText" text="T">
      <formula>NOT(ISERROR(SEARCH("T",AK168)))</formula>
    </cfRule>
  </conditionalFormatting>
  <conditionalFormatting sqref="AK152:AL152 AO152:AQ152 AQ153:AQ158">
    <cfRule type="containsText" dxfId="621" priority="474" operator="containsText" text="17">
      <formula>NOT(ISERROR(SEARCH("17",AK152)))</formula>
    </cfRule>
  </conditionalFormatting>
  <conditionalFormatting sqref="AK175:AQ175">
    <cfRule type="containsText" dxfId="620" priority="397" operator="containsText" text="17">
      <formula>NOT(ISERROR(SEARCH("17",AK175)))</formula>
    </cfRule>
    <cfRule type="containsText" dxfId="619" priority="398" operator="containsText" text="T">
      <formula>NOT(ISERROR(SEARCH("T",AK175)))</formula>
    </cfRule>
  </conditionalFormatting>
  <conditionalFormatting sqref="AK218:AU224">
    <cfRule type="containsText" dxfId="618" priority="216" operator="containsText" text="17">
      <formula>NOT(ISERROR(SEARCH("17",AK218)))</formula>
    </cfRule>
  </conditionalFormatting>
  <conditionalFormatting sqref="AL100:AL105">
    <cfRule type="containsText" dxfId="617" priority="575" operator="containsText" text="T">
      <formula>NOT(ISERROR(SEARCH("T",AL100)))</formula>
    </cfRule>
  </conditionalFormatting>
  <conditionalFormatting sqref="AL152">
    <cfRule type="containsText" dxfId="616" priority="475" operator="containsText" text="T">
      <formula>NOT(ISERROR(SEARCH("T",AL152)))</formula>
    </cfRule>
  </conditionalFormatting>
  <conditionalFormatting sqref="AL159 AP159:AR159 U160:AO165 AR160:AR165">
    <cfRule type="containsText" dxfId="615" priority="460" operator="containsText" text="T">
      <formula>NOT(ISERROR(SEARCH("T",U159)))</formula>
    </cfRule>
  </conditionalFormatting>
  <conditionalFormatting sqref="AL175">
    <cfRule type="containsText" dxfId="614" priority="393" operator="containsText" text="17">
      <formula>NOT(ISERROR(SEARCH("17",AL175)))</formula>
    </cfRule>
    <cfRule type="containsText" dxfId="613" priority="394" operator="containsText" text="T">
      <formula>NOT(ISERROR(SEARCH("T",AL175)))</formula>
    </cfRule>
  </conditionalFormatting>
  <conditionalFormatting sqref="AL159:AM159 AP159:AR159 AR160:AR165">
    <cfRule type="containsText" dxfId="612" priority="461" operator="containsText" text="17">
      <formula>NOT(ISERROR(SEARCH("17",AL159)))</formula>
    </cfRule>
  </conditionalFormatting>
  <conditionalFormatting sqref="AL182:AR182">
    <cfRule type="containsText" dxfId="611" priority="384" operator="containsText" text="17">
      <formula>NOT(ISERROR(SEARCH("17",AL182)))</formula>
    </cfRule>
    <cfRule type="containsText" dxfId="610" priority="385" operator="containsText" text="T">
      <formula>NOT(ISERROR(SEARCH("T",AL182)))</formula>
    </cfRule>
  </conditionalFormatting>
  <conditionalFormatting sqref="AL225:AV231">
    <cfRule type="containsText" dxfId="609" priority="206" operator="containsText" text="17">
      <formula>NOT(ISERROR(SEARCH("17",AL225)))</formula>
    </cfRule>
  </conditionalFormatting>
  <conditionalFormatting sqref="AM159">
    <cfRule type="containsText" dxfId="608" priority="462" operator="containsText" text="T">
      <formula>NOT(ISERROR(SEARCH("T",AM159)))</formula>
    </cfRule>
  </conditionalFormatting>
  <conditionalFormatting sqref="AM182">
    <cfRule type="containsText" dxfId="607" priority="380" operator="containsText" text="17">
      <formula>NOT(ISERROR(SEARCH("17",AM182)))</formula>
    </cfRule>
    <cfRule type="containsText" dxfId="606" priority="381" operator="containsText" text="T">
      <formula>NOT(ISERROR(SEARCH("T",AM182)))</formula>
    </cfRule>
  </conditionalFormatting>
  <conditionalFormatting sqref="AM207 AQ207:AS207 V208:AP213 AS208:AS213">
    <cfRule type="containsText" dxfId="605" priority="447" operator="containsText" text="T">
      <formula>NOT(ISERROR(SEARCH("T",V207)))</formula>
    </cfRule>
  </conditionalFormatting>
  <conditionalFormatting sqref="AM207:AN207 AQ207:AS207 AS208:AS213">
    <cfRule type="containsText" dxfId="604" priority="448" operator="containsText" text="17">
      <formula>NOT(ISERROR(SEARCH("17",AM207)))</formula>
    </cfRule>
  </conditionalFormatting>
  <conditionalFormatting sqref="AM90:AS90">
    <cfRule type="containsText" dxfId="603" priority="371" operator="containsText" text="17">
      <formula>NOT(ISERROR(SEARCH("17",AM90)))</formula>
    </cfRule>
    <cfRule type="containsText" dxfId="602" priority="372" operator="containsText" text="T">
      <formula>NOT(ISERROR(SEARCH("T",AM90)))</formula>
    </cfRule>
  </conditionalFormatting>
  <conditionalFormatting sqref="AM113:AW116">
    <cfRule type="containsText" dxfId="601" priority="186" operator="containsText" text="17">
      <formula>NOT(ISERROR(SEARCH("17",AM113)))</formula>
    </cfRule>
  </conditionalFormatting>
  <conditionalFormatting sqref="AM232:AW234">
    <cfRule type="containsText" dxfId="600" priority="196" operator="containsText" text="17">
      <formula>NOT(ISERROR(SEARCH("17",AM232)))</formula>
    </cfRule>
  </conditionalFormatting>
  <conditionalFormatting sqref="AN90">
    <cfRule type="containsText" dxfId="599" priority="367" operator="containsText" text="17">
      <formula>NOT(ISERROR(SEARCH("17",AN90)))</formula>
    </cfRule>
    <cfRule type="containsText" dxfId="598" priority="368" operator="containsText" text="T">
      <formula>NOT(ISERROR(SEARCH("T",AN90)))</formula>
    </cfRule>
  </conditionalFormatting>
  <conditionalFormatting sqref="AN132:AN137">
    <cfRule type="containsText" dxfId="597" priority="522" operator="containsText" text="T">
      <formula>NOT(ISERROR(SEARCH("T",AN132)))</formula>
    </cfRule>
  </conditionalFormatting>
  <conditionalFormatting sqref="AN200 AR200:AT200 W201:AQ206 AT201:AT206">
    <cfRule type="containsText" dxfId="596" priority="434" operator="containsText" text="T">
      <formula>NOT(ISERROR(SEARCH("T",W200)))</formula>
    </cfRule>
  </conditionalFormatting>
  <conditionalFormatting sqref="AN207">
    <cfRule type="containsText" dxfId="595" priority="449" operator="containsText" text="T">
      <formula>NOT(ISERROR(SEARCH("T",AN207)))</formula>
    </cfRule>
  </conditionalFormatting>
  <conditionalFormatting sqref="AN200:AO200 AR200:AT200 AT201:AT206">
    <cfRule type="containsText" dxfId="594" priority="435" operator="containsText" text="17">
      <formula>NOT(ISERROR(SEARCH("17",AN200)))</formula>
    </cfRule>
  </conditionalFormatting>
  <conditionalFormatting sqref="AN14:AT14">
    <cfRule type="containsText" dxfId="593" priority="358" operator="containsText" text="17">
      <formula>NOT(ISERROR(SEARCH("17",AN14)))</formula>
    </cfRule>
    <cfRule type="containsText" dxfId="592" priority="359" operator="containsText" text="T">
      <formula>NOT(ISERROR(SEARCH("T",AN14)))</formula>
    </cfRule>
  </conditionalFormatting>
  <conditionalFormatting sqref="AN79:AX82">
    <cfRule type="containsText" dxfId="591" priority="166" operator="containsText" text="17">
      <formula>NOT(ISERROR(SEARCH("17",AN79)))</formula>
    </cfRule>
  </conditionalFormatting>
  <conditionalFormatting sqref="AN117:AX119">
    <cfRule type="containsText" dxfId="590" priority="176" operator="containsText" text="17">
      <formula>NOT(ISERROR(SEARCH("17",AN117)))</formula>
    </cfRule>
  </conditionalFormatting>
  <conditionalFormatting sqref="AO14">
    <cfRule type="containsText" dxfId="589" priority="354" operator="containsText" text="17">
      <formula>NOT(ISERROR(SEARCH("17",AO14)))</formula>
    </cfRule>
    <cfRule type="containsText" dxfId="588" priority="355" operator="containsText" text="T">
      <formula>NOT(ISERROR(SEARCH("T",AO14)))</formula>
    </cfRule>
  </conditionalFormatting>
  <conditionalFormatting sqref="AO139:AO144">
    <cfRule type="containsText" dxfId="587" priority="509" operator="containsText" text="T">
      <formula>NOT(ISERROR(SEARCH("T",AO139)))</formula>
    </cfRule>
  </conditionalFormatting>
  <conditionalFormatting sqref="AO192:AO193 AS192:AU193 X194:AR199 AU194:AU199">
    <cfRule type="containsText" dxfId="586" priority="421" operator="containsText" text="T">
      <formula>NOT(ISERROR(SEARCH("T",X192)))</formula>
    </cfRule>
  </conditionalFormatting>
  <conditionalFormatting sqref="AO200">
    <cfRule type="containsText" dxfId="585" priority="436" operator="containsText" text="T">
      <formula>NOT(ISERROR(SEARCH("T",AO200)))</formula>
    </cfRule>
  </conditionalFormatting>
  <conditionalFormatting sqref="AO193:AP193 AS193:AU193 AU194:AU199">
    <cfRule type="containsText" dxfId="584" priority="422" operator="containsText" text="17">
      <formula>NOT(ISERROR(SEARCH("17",AO193)))</formula>
    </cfRule>
  </conditionalFormatting>
  <conditionalFormatting sqref="AO34:AU34">
    <cfRule type="containsText" dxfId="583" priority="345" operator="containsText" text="17">
      <formula>NOT(ISERROR(SEARCH("17",AO34)))</formula>
    </cfRule>
    <cfRule type="containsText" dxfId="582" priority="346" operator="containsText" text="T">
      <formula>NOT(ISERROR(SEARCH("T",AO34)))</formula>
    </cfRule>
  </conditionalFormatting>
  <conditionalFormatting sqref="AP34">
    <cfRule type="containsText" dxfId="581" priority="341" operator="containsText" text="17">
      <formula>NOT(ISERROR(SEARCH("17",AP34)))</formula>
    </cfRule>
    <cfRule type="containsText" dxfId="580" priority="342" operator="containsText" text="T">
      <formula>NOT(ISERROR(SEARCH("T",AP34)))</formula>
    </cfRule>
  </conditionalFormatting>
  <conditionalFormatting sqref="AP146:AP151">
    <cfRule type="containsText" dxfId="579" priority="496" operator="containsText" text="T">
      <formula>NOT(ISERROR(SEARCH("T",AP146)))</formula>
    </cfRule>
  </conditionalFormatting>
  <conditionalFormatting sqref="AP168 AT168:AV168 Y169:AS174 AV169:AV174">
    <cfRule type="containsText" dxfId="578" priority="403" operator="containsText" text="T">
      <formula>NOT(ISERROR(SEARCH("T",Y168)))</formula>
    </cfRule>
  </conditionalFormatting>
  <conditionalFormatting sqref="AP192:AP193">
    <cfRule type="containsText" dxfId="577" priority="423" operator="containsText" text="T">
      <formula>NOT(ISERROR(SEARCH("T",AP192)))</formula>
    </cfRule>
  </conditionalFormatting>
  <conditionalFormatting sqref="AP168:AQ168 AT168:AV168 AV169:AV174">
    <cfRule type="containsText" dxfId="576" priority="404" operator="containsText" text="17">
      <formula>NOT(ISERROR(SEARCH("17",AP168)))</formula>
    </cfRule>
  </conditionalFormatting>
  <conditionalFormatting sqref="AP21:AV21">
    <cfRule type="containsText" dxfId="575" priority="332" operator="containsText" text="17">
      <formula>NOT(ISERROR(SEARCH("17",AP21)))</formula>
    </cfRule>
    <cfRule type="containsText" dxfId="574" priority="333" operator="containsText" text="T">
      <formula>NOT(ISERROR(SEARCH("T",AP21)))</formula>
    </cfRule>
  </conditionalFormatting>
  <conditionalFormatting sqref="AP107:AX112">
    <cfRule type="containsText" dxfId="573" priority="158" operator="containsText" text="17">
      <formula>NOT(ISERROR(SEARCH("17",AP107)))</formula>
    </cfRule>
  </conditionalFormatting>
  <conditionalFormatting sqref="AP76:AZ78">
    <cfRule type="containsText" dxfId="572" priority="141" operator="containsText" text="17">
      <formula>NOT(ISERROR(SEARCH("17",AP76)))</formula>
    </cfRule>
  </conditionalFormatting>
  <conditionalFormatting sqref="AP107:AZ112">
    <cfRule type="containsText" dxfId="571" priority="151" operator="containsText" text="17">
      <formula>NOT(ISERROR(SEARCH("17",AP107)))</formula>
    </cfRule>
    <cfRule type="containsText" dxfId="570" priority="152" operator="containsText" text="T">
      <formula>NOT(ISERROR(SEARCH("T",AP107)))</formula>
    </cfRule>
  </conditionalFormatting>
  <conditionalFormatting sqref="AQ21">
    <cfRule type="containsText" dxfId="569" priority="328" operator="containsText" text="17">
      <formula>NOT(ISERROR(SEARCH("17",AQ21)))</formula>
    </cfRule>
    <cfRule type="containsText" dxfId="568" priority="329" operator="containsText" text="T">
      <formula>NOT(ISERROR(SEARCH("T",AQ21)))</formula>
    </cfRule>
  </conditionalFormatting>
  <conditionalFormatting sqref="AQ153:AQ158">
    <cfRule type="containsText" dxfId="567" priority="483" operator="containsText" text="T">
      <formula>NOT(ISERROR(SEARCH("T",AQ153)))</formula>
    </cfRule>
  </conditionalFormatting>
  <conditionalFormatting sqref="AQ168">
    <cfRule type="containsText" dxfId="566" priority="405" operator="containsText" text="T">
      <formula>NOT(ISERROR(SEARCH("T",AQ168)))</formula>
    </cfRule>
  </conditionalFormatting>
  <conditionalFormatting sqref="AQ175 AU175:AW175 Z176:AT181 AW176:AW181">
    <cfRule type="containsText" dxfId="565" priority="390" operator="containsText" text="T">
      <formula>NOT(ISERROR(SEARCH("T",Z175)))</formula>
    </cfRule>
  </conditionalFormatting>
  <conditionalFormatting sqref="AQ175:AR175 AU175:AW175 AW176:AW181">
    <cfRule type="containsText" dxfId="564" priority="391" operator="containsText" text="17">
      <formula>NOT(ISERROR(SEARCH("17",AQ175)))</formula>
    </cfRule>
  </conditionalFormatting>
  <conditionalFormatting sqref="AQ41:AW41">
    <cfRule type="containsText" dxfId="563" priority="319" operator="containsText" text="17">
      <formula>NOT(ISERROR(SEARCH("17",AQ41)))</formula>
    </cfRule>
    <cfRule type="containsText" dxfId="562" priority="320" operator="containsText" text="T">
      <formula>NOT(ISERROR(SEARCH("T",AQ41)))</formula>
    </cfRule>
  </conditionalFormatting>
  <conditionalFormatting sqref="AR41">
    <cfRule type="containsText" dxfId="561" priority="315" operator="containsText" text="17">
      <formula>NOT(ISERROR(SEARCH("17",AR41)))</formula>
    </cfRule>
    <cfRule type="containsText" dxfId="560" priority="316" operator="containsText" text="T">
      <formula>NOT(ISERROR(SEARCH("T",AR41)))</formula>
    </cfRule>
  </conditionalFormatting>
  <conditionalFormatting sqref="AR160:AR165">
    <cfRule type="containsText" dxfId="559" priority="470" operator="containsText" text="T">
      <formula>NOT(ISERROR(SEARCH("T",AR160)))</formula>
    </cfRule>
  </conditionalFormatting>
  <conditionalFormatting sqref="AR175">
    <cfRule type="containsText" dxfId="558" priority="392" operator="containsText" text="T">
      <formula>NOT(ISERROR(SEARCH("T",AR175)))</formula>
    </cfRule>
  </conditionalFormatting>
  <conditionalFormatting sqref="AR182 AV182:AX182 AA183:AU190 AX183:AX190">
    <cfRule type="containsText" dxfId="557" priority="377" operator="containsText" text="T">
      <formula>NOT(ISERROR(SEARCH("T",AA182)))</formula>
    </cfRule>
  </conditionalFormatting>
  <conditionalFormatting sqref="AR182:AS182 AV182:AX182 AX183:AX190">
    <cfRule type="containsText" dxfId="556" priority="378" operator="containsText" text="17">
      <formula>NOT(ISERROR(SEARCH("17",AR182)))</formula>
    </cfRule>
  </conditionalFormatting>
  <conditionalFormatting sqref="AR28:AX32">
    <cfRule type="containsText" dxfId="555" priority="308" operator="containsText" text="17">
      <formula>NOT(ISERROR(SEARCH("17",AR28)))</formula>
    </cfRule>
    <cfRule type="containsText" dxfId="554" priority="309" operator="containsText" text="T">
      <formula>NOT(ISERROR(SEARCH("T",AR28)))</formula>
    </cfRule>
  </conditionalFormatting>
  <conditionalFormatting sqref="AR48:AX49">
    <cfRule type="containsText" dxfId="553" priority="298" operator="containsText" text="17">
      <formula>NOT(ISERROR(SEARCH("17",AR48)))</formula>
    </cfRule>
    <cfRule type="containsText" dxfId="552" priority="299" operator="containsText" text="T">
      <formula>NOT(ISERROR(SEARCH("T",AR48)))</formula>
    </cfRule>
  </conditionalFormatting>
  <conditionalFormatting sqref="AS28:AS32">
    <cfRule type="containsText" dxfId="551" priority="305" operator="containsText" text="17">
      <formula>NOT(ISERROR(SEARCH("17",AS28)))</formula>
    </cfRule>
    <cfRule type="containsText" dxfId="550" priority="306" operator="containsText" text="T">
      <formula>NOT(ISERROR(SEARCH("T",AS28)))</formula>
    </cfRule>
  </conditionalFormatting>
  <conditionalFormatting sqref="AS48:AS49">
    <cfRule type="containsText" dxfId="549" priority="295" operator="containsText" text="17">
      <formula>NOT(ISERROR(SEARCH("17",AS48)))</formula>
    </cfRule>
    <cfRule type="containsText" dxfId="548" priority="296" operator="containsText" text="T">
      <formula>NOT(ISERROR(SEARCH("T",AS48)))</formula>
    </cfRule>
  </conditionalFormatting>
  <conditionalFormatting sqref="AS90 AW90:AY90 AB91:AV96 AY91:AY96">
    <cfRule type="containsText" dxfId="547" priority="364" operator="containsText" text="T">
      <formula>NOT(ISERROR(SEARCH("T",AB90)))</formula>
    </cfRule>
  </conditionalFormatting>
  <conditionalFormatting sqref="AS182">
    <cfRule type="containsText" dxfId="546" priority="379" operator="containsText" text="T">
      <formula>NOT(ISERROR(SEARCH("T",AS182)))</formula>
    </cfRule>
  </conditionalFormatting>
  <conditionalFormatting sqref="AS192:AS193 X194:AR199 X192:AF193">
    <cfRule type="containsText" dxfId="545" priority="426" operator="containsText" text="17">
      <formula>NOT(ISERROR(SEARCH("17",X192)))</formula>
    </cfRule>
  </conditionalFormatting>
  <conditionalFormatting sqref="AS208:AS213">
    <cfRule type="containsText" dxfId="544" priority="457" operator="containsText" text="T">
      <formula>NOT(ISERROR(SEARCH("T",AS208)))</formula>
    </cfRule>
  </conditionalFormatting>
  <conditionalFormatting sqref="AS90:AT90 AW90:AY90 AY91:AY96">
    <cfRule type="containsText" dxfId="543" priority="365" operator="containsText" text="17">
      <formula>NOT(ISERROR(SEARCH("17",AS90)))</formula>
    </cfRule>
  </conditionalFormatting>
  <conditionalFormatting sqref="AS50:AY53">
    <cfRule type="containsText" dxfId="542" priority="288" operator="containsText" text="17">
      <formula>NOT(ISERROR(SEARCH("17",AS50)))</formula>
    </cfRule>
    <cfRule type="containsText" dxfId="541" priority="289" operator="containsText" text="T">
      <formula>NOT(ISERROR(SEARCH("T",AS50)))</formula>
    </cfRule>
  </conditionalFormatting>
  <conditionalFormatting sqref="AS63:AY66">
    <cfRule type="containsText" dxfId="540" priority="278" operator="containsText" text="17">
      <formula>NOT(ISERROR(SEARCH("17",AS63)))</formula>
    </cfRule>
    <cfRule type="containsText" dxfId="539" priority="279" operator="containsText" text="T">
      <formula>NOT(ISERROR(SEARCH("T",AS63)))</formula>
    </cfRule>
  </conditionalFormatting>
  <conditionalFormatting sqref="AT14 AX14:AZ14 AC15:AW20 AZ15:AZ20">
    <cfRule type="containsText" dxfId="538" priority="351" operator="containsText" text="T">
      <formula>NOT(ISERROR(SEARCH("T",AC14)))</formula>
    </cfRule>
  </conditionalFormatting>
  <conditionalFormatting sqref="AT50:AT53">
    <cfRule type="containsText" dxfId="537" priority="285" operator="containsText" text="17">
      <formula>NOT(ISERROR(SEARCH("17",AT50)))</formula>
    </cfRule>
    <cfRule type="containsText" dxfId="536" priority="286" operator="containsText" text="T">
      <formula>NOT(ISERROR(SEARCH("T",AT50)))</formula>
    </cfRule>
  </conditionalFormatting>
  <conditionalFormatting sqref="AT63:AT66">
    <cfRule type="containsText" dxfId="535" priority="275" operator="containsText" text="17">
      <formula>NOT(ISERROR(SEARCH("17",AT63)))</formula>
    </cfRule>
    <cfRule type="containsText" dxfId="534" priority="276" operator="containsText" text="T">
      <formula>NOT(ISERROR(SEARCH("T",AT63)))</formula>
    </cfRule>
  </conditionalFormatting>
  <conditionalFormatting sqref="AT90">
    <cfRule type="containsText" dxfId="533" priority="366" operator="containsText" text="T">
      <formula>NOT(ISERROR(SEARCH("T",AT90)))</formula>
    </cfRule>
  </conditionalFormatting>
  <conditionalFormatting sqref="AT201:AT206">
    <cfRule type="containsText" dxfId="532" priority="444" operator="containsText" text="T">
      <formula>NOT(ISERROR(SEARCH("T",AT201)))</formula>
    </cfRule>
  </conditionalFormatting>
  <conditionalFormatting sqref="AT14:AU14 AX14:AZ14 AZ15:AZ20">
    <cfRule type="containsText" dxfId="531" priority="352" operator="containsText" text="17">
      <formula>NOT(ISERROR(SEARCH("17",AT14)))</formula>
    </cfRule>
  </conditionalFormatting>
  <conditionalFormatting sqref="AT59:AZ62">
    <cfRule type="containsText" dxfId="530" priority="264" operator="containsText" text="17">
      <formula>NOT(ISERROR(SEARCH("17",AT59)))</formula>
    </cfRule>
    <cfRule type="containsText" dxfId="529" priority="265" operator="containsText" text="T">
      <formula>NOT(ISERROR(SEARCH("T",AT59)))</formula>
    </cfRule>
  </conditionalFormatting>
  <conditionalFormatting sqref="AT86:AZ89">
    <cfRule type="containsText" dxfId="528" priority="254" operator="containsText" text="17">
      <formula>NOT(ISERROR(SEARCH("17",AT86)))</formula>
    </cfRule>
    <cfRule type="containsText" dxfId="527" priority="255" operator="containsText" text="T">
      <formula>NOT(ISERROR(SEARCH("T",AT86)))</formula>
    </cfRule>
  </conditionalFormatting>
  <conditionalFormatting sqref="AU14">
    <cfRule type="containsText" dxfId="526" priority="353" operator="containsText" text="T">
      <formula>NOT(ISERROR(SEARCH("T",AU14)))</formula>
    </cfRule>
  </conditionalFormatting>
  <conditionalFormatting sqref="AU34 AY34:BA34 AD35:AX40 BA35:BA40">
    <cfRule type="containsText" dxfId="525" priority="338" operator="containsText" text="T">
      <formula>NOT(ISERROR(SEARCH("T",AD34)))</formula>
    </cfRule>
  </conditionalFormatting>
  <conditionalFormatting sqref="AU59:AU62">
    <cfRule type="containsText" dxfId="524" priority="261" operator="containsText" text="17">
      <formula>NOT(ISERROR(SEARCH("17",AU59)))</formula>
    </cfRule>
    <cfRule type="containsText" dxfId="523" priority="262" operator="containsText" text="T">
      <formula>NOT(ISERROR(SEARCH("T",AU59)))</formula>
    </cfRule>
  </conditionalFormatting>
  <conditionalFormatting sqref="AU86:AU89">
    <cfRule type="containsText" dxfId="522" priority="251" operator="containsText" text="17">
      <formula>NOT(ISERROR(SEARCH("17",AU86)))</formula>
    </cfRule>
    <cfRule type="containsText" dxfId="521" priority="252" operator="containsText" text="T">
      <formula>NOT(ISERROR(SEARCH("T",AU86)))</formula>
    </cfRule>
  </conditionalFormatting>
  <conditionalFormatting sqref="AU194:AU199">
    <cfRule type="containsText" dxfId="520" priority="431" operator="containsText" text="T">
      <formula>NOT(ISERROR(SEARCH("T",AU194)))</formula>
    </cfRule>
  </conditionalFormatting>
  <conditionalFormatting sqref="AU34:AV34 AY34:BA34 BA35:BA40">
    <cfRule type="containsText" dxfId="519" priority="339" operator="containsText" text="17">
      <formula>NOT(ISERROR(SEARCH("17",AU34)))</formula>
    </cfRule>
  </conditionalFormatting>
  <conditionalFormatting sqref="AU83:BA85">
    <cfRule type="containsText" dxfId="518" priority="244" operator="containsText" text="17">
      <formula>NOT(ISERROR(SEARCH("17",AU83)))</formula>
    </cfRule>
    <cfRule type="containsText" dxfId="517" priority="245" operator="containsText" text="T">
      <formula>NOT(ISERROR(SEARCH("T",AU83)))</formula>
    </cfRule>
  </conditionalFormatting>
  <conditionalFormatting sqref="AU214:BA217">
    <cfRule type="containsText" dxfId="516" priority="234" operator="containsText" text="17">
      <formula>NOT(ISERROR(SEARCH("17",AU214)))</formula>
    </cfRule>
    <cfRule type="containsText" dxfId="515" priority="235" operator="containsText" text="T">
      <formula>NOT(ISERROR(SEARCH("T",AU214)))</formula>
    </cfRule>
  </conditionalFormatting>
  <conditionalFormatting sqref="AU200:CP206 AT207:CP213 AY182:CP190 J191:CP191 BA14:CP20 J33:CP33 BB34:CP40 AL69:AQ71 AR152:CP158 AX175:CP181 J14:AB20 J21:AD27 BC21:CP27 J28:AE32 BE28:CP32 AE28:AF33 J34:AC40 J41:AE47 BD41:CP47 BE48:CP49 J50:AG53 BF50:CP53 AG53:BG53 J54:CP58 BG59:CP62 BF63:CP66 AN67:AR68 J69:M75 BN76:CP78 J76:J82 BL79:CP82 BH83:CP85 BG86:CP89 J90:AA96 AZ90:CP96 J99:N105 AM99:AR102 AJ106:AP106 J106:K112 BN107:CP112 BK113:CP116 BL117:CP119 AK121:AQ121 J127:O130 AN127:CP130 O130:AO130 J131:P137 AO131:AS137 J138:Q144 AP138:CP144 J145:R151 AQ145:CP151 J152:S158 J159:T165 AS159:CP165 J166:CP167 J168:X174 AW168:CP174 J175:Y181 J182:Z190 J192:W199 AV192:CP199 J200:V206 J207:U213 BH214:XFD217 BI218:XFD220 BI218:CP224 BJ225:CP231 BK232:CP234 AJ107:AO112 J120:L126 AL72:AP75 BO72:CP75 BO106:CP106 AK124:AP126 BO124:CP126 AK120:AP120 BO120:CP120 AK123:AQ123 AK122:AP122 BO122:CP122 AM105:AR105 AM103:AQ104 BP103:CP104 BP121:CP121 BP123:CP123 BP69:CP71 BQ99:CP102 BQ105:CP105 BQ67:CP68 BR131:CP137">
    <cfRule type="containsText" dxfId="514" priority="8250" operator="containsText" text="17">
      <formula>NOT(ISERROR(SEARCH("17",J14)))</formula>
    </cfRule>
  </conditionalFormatting>
  <conditionalFormatting sqref="AV21 AZ21:BB21 AE22:AY27">
    <cfRule type="containsText" dxfId="513" priority="325" operator="containsText" text="T">
      <formula>NOT(ISERROR(SEARCH("T",AE21)))</formula>
    </cfRule>
  </conditionalFormatting>
  <conditionalFormatting sqref="AV34">
    <cfRule type="containsText" dxfId="512" priority="340" operator="containsText" text="T">
      <formula>NOT(ISERROR(SEARCH("T",AV34)))</formula>
    </cfRule>
  </conditionalFormatting>
  <conditionalFormatting sqref="AV83:AV85">
    <cfRule type="containsText" dxfId="511" priority="241" operator="containsText" text="17">
      <formula>NOT(ISERROR(SEARCH("17",AV83)))</formula>
    </cfRule>
    <cfRule type="containsText" dxfId="510" priority="242" operator="containsText" text="T">
      <formula>NOT(ISERROR(SEARCH("T",AV83)))</formula>
    </cfRule>
  </conditionalFormatting>
  <conditionalFormatting sqref="AV169:AV174">
    <cfRule type="containsText" dxfId="509" priority="413" operator="containsText" text="T">
      <formula>NOT(ISERROR(SEARCH("T",AV169)))</formula>
    </cfRule>
  </conditionalFormatting>
  <conditionalFormatting sqref="AV214:AV217">
    <cfRule type="containsText" dxfId="508" priority="231" operator="containsText" text="17">
      <formula>NOT(ISERROR(SEARCH("17",AV214)))</formula>
    </cfRule>
    <cfRule type="containsText" dxfId="507" priority="232" operator="containsText" text="T">
      <formula>NOT(ISERROR(SEARCH("T",AV214)))</formula>
    </cfRule>
  </conditionalFormatting>
  <conditionalFormatting sqref="AV21:AW21 AZ21:BB21 BB22:BY27">
    <cfRule type="containsText" dxfId="506" priority="326" operator="containsText" text="17">
      <formula>NOT(ISERROR(SEARCH("17",AV21)))</formula>
    </cfRule>
  </conditionalFormatting>
  <conditionalFormatting sqref="AV218:BB224">
    <cfRule type="containsText" dxfId="505" priority="224" operator="containsText" text="17">
      <formula>NOT(ISERROR(SEARCH("17",AV218)))</formula>
    </cfRule>
    <cfRule type="containsText" dxfId="504" priority="225" operator="containsText" text="T">
      <formula>NOT(ISERROR(SEARCH("T",AV218)))</formula>
    </cfRule>
  </conditionalFormatting>
  <conditionalFormatting sqref="AV192:CP199 BH214:XFD217 BJ225:CP231 BI218:XFD220 BI218:CP224 AU200:CP206 AT207:CP213 AN127:CP130 AY182:CP190 AK121:AQ121 AM99:AR102 BG86:CP89 AZ90:CP96 BL79:CP82 AL69:AQ71 AQ145:CP151 AP138:CP144 AO131:AS137 AR152:CP158 AS159:CP165 BC21:CP27 BE28:CP32 J33:CP33 BB34:CP40 BD41:CP47 BE48:CP49 BF50:CP53 AG53:BG53 J54:CP58 BG59:CP62 BF63:CP66 AN67:AR68 BN76:CP78 BH83:CP85 AJ106:AP106 BN107:CP112 BK113:CP116 BL117:CP119 AW168:CP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AQ123 AK122:AP122 BO122:CP122 AM105:AR105 AM103:AQ104 BP103:CP104 BP121:CP121 BP123:CP123 BP69:CP71 BQ99:CP102 BQ105:CP105 BQ67:CP68 BR131:CP137">
    <cfRule type="containsText" dxfId="503" priority="7020" operator="containsText" text="T">
      <formula>NOT(ISERROR(SEARCH("T",J14)))</formula>
    </cfRule>
  </conditionalFormatting>
  <conditionalFormatting sqref="AW21">
    <cfRule type="containsText" dxfId="502" priority="327" operator="containsText" text="T">
      <formula>NOT(ISERROR(SEARCH("T",AW21)))</formula>
    </cfRule>
  </conditionalFormatting>
  <conditionalFormatting sqref="AW41 BA41:BC41 AF42:AZ47 BC42:BC47">
    <cfRule type="containsText" dxfId="501" priority="312" operator="containsText" text="T">
      <formula>NOT(ISERROR(SEARCH("T",AF41)))</formula>
    </cfRule>
  </conditionalFormatting>
  <conditionalFormatting sqref="AW176:AW181">
    <cfRule type="containsText" dxfId="500" priority="400" operator="containsText" text="T">
      <formula>NOT(ISERROR(SEARCH("T",AW176)))</formula>
    </cfRule>
  </conditionalFormatting>
  <conditionalFormatting sqref="AW218:AW224">
    <cfRule type="containsText" dxfId="499" priority="221" operator="containsText" text="17">
      <formula>NOT(ISERROR(SEARCH("17",AW218)))</formula>
    </cfRule>
    <cfRule type="containsText" dxfId="498" priority="222" operator="containsText" text="T">
      <formula>NOT(ISERROR(SEARCH("T",AW218)))</formula>
    </cfRule>
  </conditionalFormatting>
  <conditionalFormatting sqref="AW41:AX41 BA41:BC41 BC42:BC47">
    <cfRule type="containsText" dxfId="497" priority="313" operator="containsText" text="17">
      <formula>NOT(ISERROR(SEARCH("17",AW41)))</formula>
    </cfRule>
  </conditionalFormatting>
  <conditionalFormatting sqref="AW225:BC231">
    <cfRule type="containsText" dxfId="496" priority="214" operator="containsText" text="17">
      <formula>NOT(ISERROR(SEARCH("17",AW225)))</formula>
    </cfRule>
    <cfRule type="containsText" dxfId="495" priority="215" operator="containsText" text="T">
      <formula>NOT(ISERROR(SEARCH("T",AW225)))</formula>
    </cfRule>
  </conditionalFormatting>
  <conditionalFormatting sqref="AX28:AX32 BB28:BD32">
    <cfRule type="containsText" dxfId="494" priority="302" operator="containsText" text="T">
      <formula>NOT(ISERROR(SEARCH("T",AX28)))</formula>
    </cfRule>
  </conditionalFormatting>
  <conditionalFormatting sqref="AX41">
    <cfRule type="containsText" dxfId="493" priority="314" operator="containsText" text="T">
      <formula>NOT(ISERROR(SEARCH("T",AX41)))</formula>
    </cfRule>
  </conditionalFormatting>
  <conditionalFormatting sqref="AX48:AX49 BB48:BD49">
    <cfRule type="containsText" dxfId="492" priority="292" operator="containsText" text="T">
      <formula>NOT(ISERROR(SEARCH("T",AX48)))</formula>
    </cfRule>
  </conditionalFormatting>
  <conditionalFormatting sqref="AX145:AX148">
    <cfRule type="containsText" dxfId="491" priority="1386" operator="containsText" text="17">
      <formula>NOT(ISERROR(SEARCH("17",AX145)))</formula>
    </cfRule>
    <cfRule type="containsText" dxfId="490" priority="1387" operator="containsText" text="T">
      <formula>NOT(ISERROR(SEARCH("T",AX145)))</formula>
    </cfRule>
  </conditionalFormatting>
  <conditionalFormatting sqref="AX170">
    <cfRule type="containsText" dxfId="489" priority="8445" operator="containsText" text="17">
      <formula>NOT(ISERROR(SEARCH("17",AX170)))</formula>
    </cfRule>
    <cfRule type="containsText" dxfId="488" priority="8446" operator="containsText" text="T">
      <formula>NOT(ISERROR(SEARCH("T",AX170)))</formula>
    </cfRule>
  </conditionalFormatting>
  <conditionalFormatting sqref="AX183:AX190">
    <cfRule type="containsText" dxfId="487" priority="387" operator="containsText" text="T">
      <formula>NOT(ISERROR(SEARCH("T",AX183)))</formula>
    </cfRule>
  </conditionalFormatting>
  <conditionalFormatting sqref="AX192">
    <cfRule type="containsText" dxfId="486" priority="2086" operator="containsText" text="17">
      <formula>NOT(ISERROR(SEARCH("17",AX192)))</formula>
    </cfRule>
    <cfRule type="containsText" dxfId="485" priority="2087" operator="containsText" text="T">
      <formula>NOT(ISERROR(SEARCH("T",AX192)))</formula>
    </cfRule>
    <cfRule type="containsText" dxfId="484" priority="5983" operator="containsText" text="17">
      <formula>NOT(ISERROR(SEARCH("17",AX192)))</formula>
    </cfRule>
    <cfRule type="containsText" dxfId="483" priority="5984" operator="containsText" text="T">
      <formula>NOT(ISERROR(SEARCH("T",AX192)))</formula>
    </cfRule>
  </conditionalFormatting>
  <conditionalFormatting sqref="AX196:AX198">
    <cfRule type="containsText" dxfId="482" priority="7011" operator="containsText" text="17">
      <formula>NOT(ISERROR(SEARCH("17",AX196)))</formula>
    </cfRule>
    <cfRule type="containsText" dxfId="481" priority="7012" operator="containsText" text="T">
      <formula>NOT(ISERROR(SEARCH("T",AX196)))</formula>
    </cfRule>
  </conditionalFormatting>
  <conditionalFormatting sqref="AX225:AX231">
    <cfRule type="containsText" dxfId="480" priority="211" operator="containsText" text="17">
      <formula>NOT(ISERROR(SEARCH("17",AX225)))</formula>
    </cfRule>
    <cfRule type="containsText" dxfId="479" priority="212" operator="containsText" text="T">
      <formula>NOT(ISERROR(SEARCH("T",AX225)))</formula>
    </cfRule>
  </conditionalFormatting>
  <conditionalFormatting sqref="AX28:AY32 BB28:BD32">
    <cfRule type="containsText" dxfId="478" priority="303" operator="containsText" text="17">
      <formula>NOT(ISERROR(SEARCH("17",AX28)))</formula>
    </cfRule>
  </conditionalFormatting>
  <conditionalFormatting sqref="AX48:AY49 BB48:BD49">
    <cfRule type="containsText" dxfId="477" priority="293" operator="containsText" text="17">
      <formula>NOT(ISERROR(SEARCH("17",AX48)))</formula>
    </cfRule>
  </conditionalFormatting>
  <conditionalFormatting sqref="AX138:AZ142 BC138:BC142 BE138:BG142 BA142:BB142 BD142 BH142:BL142 AX143:BM144 BO143:BP144 BT145:BT148 AX149:BN154 BQ152:BR158 AX155:BF155 BH155:BN155 BG155:BG158 AX156:BB158 BE156:BE158 BH156:BI158 BR159:BR160 AX159:BO162 BP161:BP165 AX163:BC165 BF163:BF165 BH163:BJ165">
    <cfRule type="containsText" dxfId="476" priority="8251" operator="containsText" text="T">
      <formula>NOT(ISERROR(SEARCH("T",AX138)))</formula>
    </cfRule>
  </conditionalFormatting>
  <conditionalFormatting sqref="AX156:AZ158">
    <cfRule type="containsText" dxfId="475" priority="1156" operator="containsText" text="17">
      <formula>NOT(ISERROR(SEARCH("17",AX156)))</formula>
    </cfRule>
    <cfRule type="containsText" dxfId="474" priority="1157" operator="containsText" text="T">
      <formula>NOT(ISERROR(SEARCH("T",AX156)))</formula>
    </cfRule>
  </conditionalFormatting>
  <conditionalFormatting sqref="AX163:BA165">
    <cfRule type="containsText" dxfId="473" priority="1146" operator="containsText" text="17">
      <formula>NOT(ISERROR(SEARCH("17",AX163)))</formula>
    </cfRule>
    <cfRule type="containsText" dxfId="472" priority="1147" operator="containsText" text="T">
      <formula>NOT(ISERROR(SEARCH("T",AX163)))</formula>
    </cfRule>
  </conditionalFormatting>
  <conditionalFormatting sqref="AX138:BB141">
    <cfRule type="containsText" dxfId="471" priority="1330" operator="containsText" text="17">
      <formula>NOT(ISERROR(SEARCH("17",AX138)))</formula>
    </cfRule>
    <cfRule type="containsText" dxfId="470" priority="1331" operator="containsText" text="T">
      <formula>NOT(ISERROR(SEARCH("T",AX138)))</formula>
    </cfRule>
  </conditionalFormatting>
  <conditionalFormatting sqref="AX199:BB199 AX206:BA206 AX213:AZ213 BP199:BR199 BO206:BQ206 BN213:BP213 BT199 BS206 BR213 BV199 BU206 BT213">
    <cfRule type="containsText" dxfId="469" priority="477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468" priority="4778" operator="containsText" text="T">
      <formula>NOT(ISERROR(SEARCH("T",AX199)))</formula>
    </cfRule>
  </conditionalFormatting>
  <conditionalFormatting sqref="AX33:BC33">
    <cfRule type="containsText" dxfId="467" priority="8549" operator="containsText" text="T">
      <formula>NOT(ISERROR(SEARCH("T",AX33)))</formula>
    </cfRule>
  </conditionalFormatting>
  <conditionalFormatting sqref="AX145:BC148">
    <cfRule type="containsText" dxfId="466" priority="1384" operator="containsText" text="17">
      <formula>NOT(ISERROR(SEARCH("17",AX145)))</formula>
    </cfRule>
    <cfRule type="containsText" dxfId="465" priority="1385" operator="containsText" text="T">
      <formula>NOT(ISERROR(SEARCH("T",AX145)))</formula>
    </cfRule>
  </conditionalFormatting>
  <conditionalFormatting sqref="AX113:BD116">
    <cfRule type="containsText" dxfId="464" priority="194" operator="containsText" text="17">
      <formula>NOT(ISERROR(SEARCH("17",AX113)))</formula>
    </cfRule>
    <cfRule type="containsText" dxfId="463" priority="195" operator="containsText" text="T">
      <formula>NOT(ISERROR(SEARCH("T",AX113)))</formula>
    </cfRule>
  </conditionalFormatting>
  <conditionalFormatting sqref="AX232:BD234">
    <cfRule type="containsText" dxfId="462" priority="204" operator="containsText" text="17">
      <formula>NOT(ISERROR(SEARCH("17",AX232)))</formula>
    </cfRule>
    <cfRule type="containsText" dxfId="461" priority="205" operator="containsText" text="T">
      <formula>NOT(ISERROR(SEARCH("T",AX232)))</formula>
    </cfRule>
  </conditionalFormatting>
  <conditionalFormatting sqref="AX199:BE199 AX206:BD206 AX213:BC213">
    <cfRule type="containsText" dxfId="460" priority="4785" operator="containsText" text="17">
      <formula>NOT(ISERROR(SEARCH("17",AX199)))</formula>
    </cfRule>
    <cfRule type="containsText" dxfId="459" priority="4786" operator="containsText" text="T">
      <formula>NOT(ISERROR(SEARCH("T",AX199)))</formula>
    </cfRule>
  </conditionalFormatting>
  <conditionalFormatting sqref="AX138:BL141">
    <cfRule type="containsText" dxfId="458" priority="1312" operator="containsText" text="17">
      <formula>NOT(ISERROR(SEARCH("17",AX138)))</formula>
    </cfRule>
    <cfRule type="containsText" dxfId="457" priority="1313" operator="containsText" text="T">
      <formula>NOT(ISERROR(SEARCH("T",AX138)))</formula>
    </cfRule>
  </conditionalFormatting>
  <conditionalFormatting sqref="AY28:AY32">
    <cfRule type="containsText" dxfId="456" priority="304" operator="containsText" text="T">
      <formula>NOT(ISERROR(SEARCH("T",AY28)))</formula>
    </cfRule>
  </conditionalFormatting>
  <conditionalFormatting sqref="AY33">
    <cfRule type="containsText" dxfId="455" priority="7923" operator="containsText" text="17">
      <formula>NOT(ISERROR(SEARCH("17",AY33)))</formula>
    </cfRule>
    <cfRule type="containsText" dxfId="454" priority="7924" operator="containsText" text="T">
      <formula>NOT(ISERROR(SEARCH("T",AY33)))</formula>
    </cfRule>
  </conditionalFormatting>
  <conditionalFormatting sqref="AY48:AY49">
    <cfRule type="containsText" dxfId="453" priority="294" operator="containsText" text="T">
      <formula>NOT(ISERROR(SEARCH("T",AY48)))</formula>
    </cfRule>
  </conditionalFormatting>
  <conditionalFormatting sqref="AY50:AY53 BC50:BE53">
    <cfRule type="containsText" dxfId="452" priority="282" operator="containsText" text="T">
      <formula>NOT(ISERROR(SEARCH("T",AY50)))</formula>
    </cfRule>
  </conditionalFormatting>
  <conditionalFormatting sqref="AY63:AY66 BC63:BN66">
    <cfRule type="containsText" dxfId="451" priority="272" operator="containsText" text="T">
      <formula>NOT(ISERROR(SEARCH("T",AY63)))</formula>
    </cfRule>
  </conditionalFormatting>
  <conditionalFormatting sqref="AY91:AY96">
    <cfRule type="containsText" dxfId="450" priority="374" operator="containsText" text="T">
      <formula>NOT(ISERROR(SEARCH("T",AY91)))</formula>
    </cfRule>
  </conditionalFormatting>
  <conditionalFormatting sqref="AY113:AY116">
    <cfRule type="containsText" dxfId="449" priority="191" operator="containsText" text="17">
      <formula>NOT(ISERROR(SEARCH("17",AY113)))</formula>
    </cfRule>
    <cfRule type="containsText" dxfId="448" priority="192" operator="containsText" text="T">
      <formula>NOT(ISERROR(SEARCH("T",AY113)))</formula>
    </cfRule>
  </conditionalFormatting>
  <conditionalFormatting sqref="AY189">
    <cfRule type="containsText" dxfId="447" priority="4609" operator="containsText" text="17">
      <formula>NOT(ISERROR(SEARCH("17",AY189)))</formula>
    </cfRule>
    <cfRule type="containsText" dxfId="446" priority="4610" operator="containsText" text="T">
      <formula>NOT(ISERROR(SEARCH("T",AY189)))</formula>
    </cfRule>
    <cfRule type="containsText" dxfId="445" priority="4627" operator="containsText" text="17">
      <formula>NOT(ISERROR(SEARCH("17",AY189)))</formula>
    </cfRule>
    <cfRule type="containsText" dxfId="444" priority="4628" operator="containsText" text="T">
      <formula>NOT(ISERROR(SEARCH("T",AY189)))</formula>
    </cfRule>
  </conditionalFormatting>
  <conditionalFormatting sqref="AY190 AX191:BH191 BK191 BO191:BS191">
    <cfRule type="containsText" dxfId="443" priority="8231" operator="containsText" text="T">
      <formula>NOT(ISERROR(SEARCH("T",AX190)))</formula>
    </cfRule>
  </conditionalFormatting>
  <conditionalFormatting sqref="AY199 AX206">
    <cfRule type="containsText" dxfId="442" priority="1860" operator="containsText" text="17">
      <formula>NOT(ISERROR(SEARCH("17",AX199)))</formula>
    </cfRule>
    <cfRule type="containsText" dxfId="441" priority="1861" operator="containsText" text="T">
      <formula>NOT(ISERROR(SEARCH("T",AX199)))</formula>
    </cfRule>
  </conditionalFormatting>
  <conditionalFormatting sqref="AY232:AY234">
    <cfRule type="containsText" dxfId="440" priority="201" operator="containsText" text="17">
      <formula>NOT(ISERROR(SEARCH("17",AY232)))</formula>
    </cfRule>
    <cfRule type="containsText" dxfId="439" priority="202" operator="containsText" text="T">
      <formula>NOT(ISERROR(SEARCH("T",AY232)))</formula>
    </cfRule>
  </conditionalFormatting>
  <conditionalFormatting sqref="AY50:AZ53 BC50:BE53">
    <cfRule type="containsText" dxfId="438" priority="283" operator="containsText" text="17">
      <formula>NOT(ISERROR(SEARCH("17",AY50)))</formula>
    </cfRule>
  </conditionalFormatting>
  <conditionalFormatting sqref="AY63:AZ66 BC63:BE66">
    <cfRule type="containsText" dxfId="437" priority="273" operator="containsText" text="17">
      <formula>NOT(ISERROR(SEARCH("17",AY63)))</formula>
    </cfRule>
  </conditionalFormatting>
  <conditionalFormatting sqref="AY79:BE82">
    <cfRule type="containsText" dxfId="436" priority="174" operator="containsText" text="17">
      <formula>NOT(ISERROR(SEARCH("17",AY79)))</formula>
    </cfRule>
    <cfRule type="containsText" dxfId="435" priority="175" operator="containsText" text="T">
      <formula>NOT(ISERROR(SEARCH("T",AY79)))</formula>
    </cfRule>
  </conditionalFormatting>
  <conditionalFormatting sqref="AY117:BE119">
    <cfRule type="containsText" dxfId="434" priority="184" operator="containsText" text="17">
      <formula>NOT(ISERROR(SEARCH("17",AY117)))</formula>
    </cfRule>
    <cfRule type="containsText" dxfId="433" priority="185" operator="containsText" text="T">
      <formula>NOT(ISERROR(SEARCH("T",AY117)))</formula>
    </cfRule>
  </conditionalFormatting>
  <conditionalFormatting sqref="AY145:BL148">
    <cfRule type="containsText" dxfId="432" priority="1364" operator="containsText" text="17">
      <formula>NOT(ISERROR(SEARCH("17",AY145)))</formula>
    </cfRule>
    <cfRule type="containsText" dxfId="431" priority="1365" operator="containsText" text="T">
      <formula>NOT(ISERROR(SEARCH("T",AY145)))</formula>
    </cfRule>
  </conditionalFormatting>
  <conditionalFormatting sqref="AY169:BV173 AY174">
    <cfRule type="containsText" dxfId="430" priority="656" operator="containsText" text="T">
      <formula>NOT(ISERROR(SEARCH("T",AY169)))</formula>
    </cfRule>
  </conditionalFormatting>
  <conditionalFormatting sqref="AY193:BV213 AX195:BV195 BH214:BV215">
    <cfRule type="containsText" dxfId="429" priority="631" operator="containsText" text="T">
      <formula>NOT(ISERROR(SEARCH("T",AX193)))</formula>
    </cfRule>
    <cfRule type="containsText" dxfId="428" priority="632" operator="containsText" text="17">
      <formula>NOT(ISERROR(SEARCH("17",AX193)))</formula>
    </cfRule>
  </conditionalFormatting>
  <conditionalFormatting sqref="AZ15:AZ20">
    <cfRule type="containsText" dxfId="427" priority="361" operator="containsText" text="T">
      <formula>NOT(ISERROR(SEARCH("T",AZ15)))</formula>
    </cfRule>
  </conditionalFormatting>
  <conditionalFormatting sqref="AZ50:AZ53">
    <cfRule type="containsText" dxfId="426" priority="284" operator="containsText" text="T">
      <formula>NOT(ISERROR(SEARCH("T",AZ50)))</formula>
    </cfRule>
  </conditionalFormatting>
  <conditionalFormatting sqref="AZ63:AZ66">
    <cfRule type="containsText" dxfId="425" priority="274" operator="containsText" text="T">
      <formula>NOT(ISERROR(SEARCH("T",AZ63)))</formula>
    </cfRule>
  </conditionalFormatting>
  <conditionalFormatting sqref="AZ79:AZ82">
    <cfRule type="containsText" dxfId="424" priority="171" operator="containsText" text="17">
      <formula>NOT(ISERROR(SEARCH("17",AZ79)))</formula>
    </cfRule>
    <cfRule type="containsText" dxfId="423" priority="172" operator="containsText" text="T">
      <formula>NOT(ISERROR(SEARCH("T",AZ79)))</formula>
    </cfRule>
  </conditionalFormatting>
  <conditionalFormatting sqref="AZ86:AZ89 BD86:BF89">
    <cfRule type="containsText" dxfId="422" priority="248" operator="containsText" text="T">
      <formula>NOT(ISERROR(SEARCH("T",AZ86)))</formula>
    </cfRule>
  </conditionalFormatting>
  <conditionalFormatting sqref="AZ117:AZ119">
    <cfRule type="containsText" dxfId="421" priority="181" operator="containsText" text="17">
      <formula>NOT(ISERROR(SEARCH("17",AZ117)))</formula>
    </cfRule>
    <cfRule type="containsText" dxfId="420" priority="182" operator="containsText" text="T">
      <formula>NOT(ISERROR(SEARCH("T",AZ117)))</formula>
    </cfRule>
  </conditionalFormatting>
  <conditionalFormatting sqref="AZ59:BA62 BD59:BF62">
    <cfRule type="containsText" dxfId="419" priority="259" operator="containsText" text="17">
      <formula>NOT(ISERROR(SEARCH("17",AZ59)))</formula>
    </cfRule>
  </conditionalFormatting>
  <conditionalFormatting sqref="AZ86:BA89 BD86:BF89">
    <cfRule type="containsText" dxfId="418" priority="249" operator="containsText" text="17">
      <formula>NOT(ISERROR(SEARCH("17",AZ86)))</formula>
    </cfRule>
  </conditionalFormatting>
  <conditionalFormatting sqref="AZ93:BB93">
    <cfRule type="containsText" dxfId="417" priority="3773" operator="containsText" text="17">
      <formula>NOT(ISERROR(SEARCH("17",AZ93)))</formula>
    </cfRule>
    <cfRule type="containsText" dxfId="416" priority="3774" operator="containsText" text="T">
      <formula>NOT(ISERROR(SEARCH("T",AZ93)))</formula>
    </cfRule>
  </conditionalFormatting>
  <conditionalFormatting sqref="AZ175:BW178">
    <cfRule type="containsText" dxfId="415" priority="650" operator="containsText" text="T">
      <formula>NOT(ISERROR(SEARCH("T",AZ175)))</formula>
    </cfRule>
  </conditionalFormatting>
  <conditionalFormatting sqref="AZ180:BW183">
    <cfRule type="containsText" dxfId="414" priority="644" operator="containsText" text="T">
      <formula>NOT(ISERROR(SEARCH("T",AZ180)))</formula>
    </cfRule>
  </conditionalFormatting>
  <conditionalFormatting sqref="AZ185:BW190">
    <cfRule type="containsText" dxfId="413" priority="638" operator="containsText" text="T">
      <formula>NOT(ISERROR(SEARCH("T",AZ185)))</formula>
    </cfRule>
  </conditionalFormatting>
  <conditionalFormatting sqref="BA22:BA27">
    <cfRule type="containsText" dxfId="412" priority="266" operator="containsText" text="T">
      <formula>NOT(ISERROR(SEARCH("T",BA22)))</formula>
    </cfRule>
    <cfRule type="containsText" dxfId="411" priority="267" operator="containsText" text="17">
      <formula>NOT(ISERROR(SEARCH("17",BA22)))</formula>
    </cfRule>
  </conditionalFormatting>
  <conditionalFormatting sqref="BA35:BA40">
    <cfRule type="containsText" dxfId="410" priority="348" operator="containsText" text="T">
      <formula>NOT(ISERROR(SEARCH("T",BA35)))</formula>
    </cfRule>
  </conditionalFormatting>
  <conditionalFormatting sqref="BA59:BA62">
    <cfRule type="containsText" dxfId="409" priority="260" operator="containsText" text="T">
      <formula>NOT(ISERROR(SEARCH("T",BA59)))</formula>
    </cfRule>
  </conditionalFormatting>
  <conditionalFormatting sqref="BA83:BA85 BE83:BG85">
    <cfRule type="containsText" dxfId="408" priority="238" operator="containsText" text="T">
      <formula>NOT(ISERROR(SEARCH("T",BA83)))</formula>
    </cfRule>
  </conditionalFormatting>
  <conditionalFormatting sqref="BA86:BA89">
    <cfRule type="containsText" dxfId="407" priority="250" operator="containsText" text="T">
      <formula>NOT(ISERROR(SEARCH("T",BA86)))</formula>
    </cfRule>
  </conditionalFormatting>
  <conditionalFormatting sqref="BA199 AZ206 AY213">
    <cfRule type="containsText" dxfId="406" priority="4773" operator="containsText" text="17">
      <formula>NOT(ISERROR(SEARCH("17",AY199)))</formula>
    </cfRule>
    <cfRule type="containsText" dxfId="405" priority="4774" operator="containsText" text="T">
      <formula>NOT(ISERROR(SEARCH("T",AY199)))</formula>
    </cfRule>
  </conditionalFormatting>
  <conditionalFormatting sqref="BA214:BA217 BE214:BG217">
    <cfRule type="containsText" dxfId="404" priority="228" operator="containsText" text="T">
      <formula>NOT(ISERROR(SEARCH("T",BA214)))</formula>
    </cfRule>
  </conditionalFormatting>
  <conditionalFormatting sqref="BA22:BB27">
    <cfRule type="containsText" dxfId="403" priority="269" operator="containsText" text="T">
      <formula>NOT(ISERROR(SEARCH("T",BA22)))</formula>
    </cfRule>
  </conditionalFormatting>
  <conditionalFormatting sqref="BA83:BB85 BE83:BG85">
    <cfRule type="containsText" dxfId="402" priority="239" operator="containsText" text="17">
      <formula>NOT(ISERROR(SEARCH("17",BA83)))</formula>
    </cfRule>
  </conditionalFormatting>
  <conditionalFormatting sqref="BA214:BB217 BE214:BG217">
    <cfRule type="containsText" dxfId="401" priority="229" operator="containsText" text="17">
      <formula>NOT(ISERROR(SEARCH("17",BA214)))</formula>
    </cfRule>
  </conditionalFormatting>
  <conditionalFormatting sqref="BA76:BG78">
    <cfRule type="containsText" dxfId="400" priority="149" operator="containsText" text="17">
      <formula>NOT(ISERROR(SEARCH("17",BA76)))</formula>
    </cfRule>
    <cfRule type="containsText" dxfId="399" priority="150" operator="containsText" text="T">
      <formula>NOT(ISERROR(SEARCH("T",BA76)))</formula>
    </cfRule>
  </conditionalFormatting>
  <conditionalFormatting sqref="BA107:BG112">
    <cfRule type="containsText" dxfId="398" priority="159" operator="containsText" text="17">
      <formula>NOT(ISERROR(SEARCH("17",BA107)))</formula>
    </cfRule>
    <cfRule type="containsText" dxfId="397" priority="160" operator="containsText" text="T">
      <formula>NOT(ISERROR(SEARCH("T",BA107)))</formula>
    </cfRule>
  </conditionalFormatting>
  <conditionalFormatting sqref="BB22:BB27">
    <cfRule type="containsText" dxfId="396" priority="335" operator="containsText" text="T">
      <formula>NOT(ISERROR(SEARCH("T",BB22)))</formula>
    </cfRule>
  </conditionalFormatting>
  <conditionalFormatting sqref="BB76:BB78">
    <cfRule type="containsText" dxfId="395" priority="146" operator="containsText" text="17">
      <formula>NOT(ISERROR(SEARCH("17",BB76)))</formula>
    </cfRule>
    <cfRule type="containsText" dxfId="394" priority="147" operator="containsText" text="T">
      <formula>NOT(ISERROR(SEARCH("T",BB76)))</formula>
    </cfRule>
  </conditionalFormatting>
  <conditionalFormatting sqref="BB83:BB85">
    <cfRule type="containsText" dxfId="393" priority="240" operator="containsText" text="T">
      <formula>NOT(ISERROR(SEARCH("T",BB83)))</formula>
    </cfRule>
  </conditionalFormatting>
  <conditionalFormatting sqref="BB107:BB112">
    <cfRule type="containsText" dxfId="392" priority="156" operator="containsText" text="17">
      <formula>NOT(ISERROR(SEARCH("17",BB107)))</formula>
    </cfRule>
    <cfRule type="containsText" dxfId="391" priority="157" operator="containsText" text="T">
      <formula>NOT(ISERROR(SEARCH("T",BB107)))</formula>
    </cfRule>
  </conditionalFormatting>
  <conditionalFormatting sqref="BB199 BD199:BI199 BA206 BC206:BH206 AZ213 BB213:BG213">
    <cfRule type="containsText" dxfId="390" priority="4787" operator="containsText" text="17">
      <formula>NOT(ISERROR(SEARCH("17",AZ199)))</formula>
    </cfRule>
    <cfRule type="containsText" dxfId="389" priority="4788" operator="containsText" text="T">
      <formula>NOT(ISERROR(SEARCH("T",AZ199)))</formula>
    </cfRule>
  </conditionalFormatting>
  <conditionalFormatting sqref="BB214:BB217">
    <cfRule type="containsText" dxfId="388" priority="230" operator="containsText" text="T">
      <formula>NOT(ISERROR(SEARCH("T",BB214)))</formula>
    </cfRule>
  </conditionalFormatting>
  <conditionalFormatting sqref="BB218:BB224 BF218:BH224">
    <cfRule type="containsText" dxfId="387" priority="218" operator="containsText" text="T">
      <formula>NOT(ISERROR(SEARCH("T",BB218)))</formula>
    </cfRule>
  </conditionalFormatting>
  <conditionalFormatting sqref="BB35:BC40 AX54:BC58 BB93:BC96 BF93:BF96 BS161:BS165 AX166:BI167 BL166:BM167 BP166:BS167 AX175:AX178 AX196:AX198 AX203:BT205 BV203:BV205 BU210:BU212 AX212:BS212 BS97:BT97">
    <cfRule type="containsText" dxfId="386" priority="8263" operator="containsText" text="T">
      <formula>NOT(ISERROR(SEARCH("T",AX35)))</formula>
    </cfRule>
  </conditionalFormatting>
  <conditionalFormatting sqref="BB218:BC224 BF218:BH224">
    <cfRule type="containsText" dxfId="385" priority="219" operator="containsText" text="17">
      <formula>NOT(ISERROR(SEARCH("17",BB218)))</formula>
    </cfRule>
  </conditionalFormatting>
  <conditionalFormatting sqref="BB156:BD158">
    <cfRule type="containsText" dxfId="384" priority="1158" operator="containsText" text="17">
      <formula>NOT(ISERROR(SEARCH("17",BB156)))</formula>
    </cfRule>
    <cfRule type="containsText" dxfId="383" priority="1159" operator="containsText" text="T">
      <formula>NOT(ISERROR(SEARCH("T",BB156)))</formula>
    </cfRule>
  </conditionalFormatting>
  <conditionalFormatting sqref="BB169:BL173">
    <cfRule type="containsText" dxfId="382" priority="660" operator="containsText" text="17">
      <formula>NOT(ISERROR(SEARCH("17",BB169)))</formula>
    </cfRule>
  </conditionalFormatting>
  <conditionalFormatting sqref="BB170:BN173">
    <cfRule type="containsText" dxfId="381" priority="657" operator="containsText" text="17">
      <formula>NOT(ISERROR(SEARCH("17",BB170)))</formula>
    </cfRule>
  </conditionalFormatting>
  <conditionalFormatting sqref="BB194:BN194 BB196:BN198">
    <cfRule type="containsText" dxfId="380" priority="633" operator="containsText" text="17">
      <formula>NOT(ISERROR(SEARCH("17",BB194)))</formula>
    </cfRule>
  </conditionalFormatting>
  <conditionalFormatting sqref="BC34">
    <cfRule type="containsText" dxfId="379" priority="7777" operator="containsText" text="17">
      <formula>NOT(ISERROR(SEARCH("17",BC34)))</formula>
    </cfRule>
    <cfRule type="containsText" dxfId="378" priority="7778" operator="containsText" text="T">
      <formula>NOT(ISERROR(SEARCH("T",BC34)))</formula>
    </cfRule>
    <cfRule type="containsText" dxfId="377" priority="7779" operator="containsText" text="17">
      <formula>NOT(ISERROR(SEARCH("17",BC34)))</formula>
    </cfRule>
    <cfRule type="containsText" dxfId="376" priority="7780" operator="containsText" text="T">
      <formula>NOT(ISERROR(SEARCH("T",BC34)))</formula>
    </cfRule>
  </conditionalFormatting>
  <conditionalFormatting sqref="BC42:BC47">
    <cfRule type="containsText" dxfId="375" priority="322" operator="containsText" text="T">
      <formula>NOT(ISERROR(SEARCH("T",BC42)))</formula>
    </cfRule>
  </conditionalFormatting>
  <conditionalFormatting sqref="BC199 BB206 BA213 BS127">
    <cfRule type="containsText" dxfId="374" priority="1862" operator="containsText" text="17">
      <formula>NOT(ISERROR(SEARCH("17",BA127)))</formula>
    </cfRule>
  </conditionalFormatting>
  <conditionalFormatting sqref="BC218:BC224">
    <cfRule type="containsText" dxfId="373" priority="220" operator="containsText" text="T">
      <formula>NOT(ISERROR(SEARCH("T",BC218)))</formula>
    </cfRule>
  </conditionalFormatting>
  <conditionalFormatting sqref="BC225:BC231 BG225:BI231">
    <cfRule type="containsText" dxfId="372" priority="208" operator="containsText" text="T">
      <formula>NOT(ISERROR(SEARCH("T",BC225)))</formula>
    </cfRule>
  </conditionalFormatting>
  <conditionalFormatting sqref="BC225:BD231 BG225:BI231">
    <cfRule type="containsText" dxfId="371" priority="209" operator="containsText" text="17">
      <formula>NOT(ISERROR(SEARCH("17",BC225)))</formula>
    </cfRule>
  </conditionalFormatting>
  <conditionalFormatting sqref="BC163:BE165">
    <cfRule type="containsText" dxfId="370" priority="1148" operator="containsText" text="17">
      <formula>NOT(ISERROR(SEARCH("17",BC163)))</formula>
    </cfRule>
    <cfRule type="containsText" dxfId="369" priority="1149" operator="containsText" text="T">
      <formula>NOT(ISERROR(SEARCH("T",BC163)))</formula>
    </cfRule>
  </conditionalFormatting>
  <conditionalFormatting sqref="BC156:BF158 BI156:BN158">
    <cfRule type="containsText" dxfId="368" priority="1154" operator="containsText" text="17">
      <formula>NOT(ISERROR(SEARCH("17",BC156)))</formula>
    </cfRule>
    <cfRule type="containsText" dxfId="367" priority="1155" operator="containsText" text="T">
      <formula>NOT(ISERROR(SEARCH("T",BC156)))</formula>
    </cfRule>
  </conditionalFormatting>
  <conditionalFormatting sqref="BC16:BO20">
    <cfRule type="containsText" dxfId="366" priority="8096" operator="containsText" text="17">
      <formula>NOT(ISERROR(SEARCH("17",BC16)))</formula>
    </cfRule>
  </conditionalFormatting>
  <conditionalFormatting sqref="BC176:BO178">
    <cfRule type="containsText" dxfId="365" priority="651" operator="containsText" text="17">
      <formula>NOT(ISERROR(SEARCH("17",BC176)))</formula>
    </cfRule>
  </conditionalFormatting>
  <conditionalFormatting sqref="BC181:BO183">
    <cfRule type="containsText" dxfId="364" priority="645" operator="containsText" text="17">
      <formula>NOT(ISERROR(SEARCH("17",BC181)))</formula>
    </cfRule>
  </conditionalFormatting>
  <conditionalFormatting sqref="BC186:BO190">
    <cfRule type="containsText" dxfId="363" priority="639" operator="containsText" text="17">
      <formula>NOT(ISERROR(SEARCH("17",BC186)))</formula>
    </cfRule>
  </conditionalFormatting>
  <conditionalFormatting sqref="BC199:BR199 BB206:BQ206 BA213:BP213 BS127">
    <cfRule type="containsText" dxfId="362" priority="4767" operator="containsText" text="17">
      <formula>NOT(ISERROR(SEARCH("17",BA127)))</formula>
    </cfRule>
  </conditionalFormatting>
  <conditionalFormatting sqref="BD113:BD116 BH113:BJ116">
    <cfRule type="containsText" dxfId="361" priority="188" operator="containsText" text="T">
      <formula>NOT(ISERROR(SEARCH("T",BD113)))</formula>
    </cfRule>
  </conditionalFormatting>
  <conditionalFormatting sqref="BD225:BD231">
    <cfRule type="containsText" dxfId="360" priority="210" operator="containsText" text="T">
      <formula>NOT(ISERROR(SEARCH("T",BD225)))</formula>
    </cfRule>
  </conditionalFormatting>
  <conditionalFormatting sqref="BD232:BD234 BH232:BJ234">
    <cfRule type="containsText" dxfId="359" priority="198" operator="containsText" text="T">
      <formula>NOT(ISERROR(SEARCH("T",BD232)))</formula>
    </cfRule>
  </conditionalFormatting>
  <conditionalFormatting sqref="BD113:BE116 BH113:BJ116">
    <cfRule type="containsText" dxfId="358" priority="189" operator="containsText" text="17">
      <formula>NOT(ISERROR(SEARCH("17",BD113)))</formula>
    </cfRule>
  </conditionalFormatting>
  <conditionalFormatting sqref="BD232:BE234 BH232:BV234">
    <cfRule type="containsText" dxfId="357" priority="199" operator="containsText" text="17">
      <formula>NOT(ISERROR(SEARCH("17",BD232)))</formula>
    </cfRule>
  </conditionalFormatting>
  <conditionalFormatting sqref="BD163:BG165 BJ163:BO165">
    <cfRule type="containsText" dxfId="356" priority="1144" operator="containsText" text="17">
      <formula>NOT(ISERROR(SEARCH("17",BD163)))</formula>
    </cfRule>
    <cfRule type="containsText" dxfId="355" priority="1145" operator="containsText" text="T">
      <formula>NOT(ISERROR(SEARCH("T",BD163)))</formula>
    </cfRule>
  </conditionalFormatting>
  <conditionalFormatting sqref="BD54:BN62 AZ59:AZ62">
    <cfRule type="containsText" dxfId="354" priority="258" operator="containsText" text="T">
      <formula>NOT(ISERROR(SEARCH("T",AZ54)))</formula>
    </cfRule>
  </conditionalFormatting>
  <conditionalFormatting sqref="BD35:CA39">
    <cfRule type="containsText" dxfId="353" priority="766" operator="containsText" text="T">
      <formula>NOT(ISERROR(SEARCH("T",BD35)))</formula>
    </cfRule>
  </conditionalFormatting>
  <conditionalFormatting sqref="BD41:CA45">
    <cfRule type="containsText" dxfId="352" priority="759" operator="containsText" text="T">
      <formula>NOT(ISERROR(SEARCH("T",BD41)))</formula>
    </cfRule>
  </conditionalFormatting>
  <conditionalFormatting sqref="BD47:CA47 BE48:CA48">
    <cfRule type="containsText" dxfId="351" priority="754" operator="containsText" text="T">
      <formula>NOT(ISERROR(SEARCH("T",BD47)))</formula>
    </cfRule>
  </conditionalFormatting>
  <conditionalFormatting sqref="BE79:BE82 BI79:BK82">
    <cfRule type="containsText" dxfId="350" priority="168" operator="containsText" text="T">
      <formula>NOT(ISERROR(SEARCH("T",BE79)))</formula>
    </cfRule>
  </conditionalFormatting>
  <conditionalFormatting sqref="BE113:BE116">
    <cfRule type="containsText" dxfId="349" priority="190" operator="containsText" text="T">
      <formula>NOT(ISERROR(SEARCH("T",BE113)))</formula>
    </cfRule>
  </conditionalFormatting>
  <conditionalFormatting sqref="BE117:BE119 BI117:BK119">
    <cfRule type="containsText" dxfId="348" priority="178" operator="containsText" text="T">
      <formula>NOT(ISERROR(SEARCH("T",BE117)))</formula>
    </cfRule>
  </conditionalFormatting>
  <conditionalFormatting sqref="BE232:BE234">
    <cfRule type="containsText" dxfId="347" priority="200" operator="containsText" text="T">
      <formula>NOT(ISERROR(SEARCH("T",BE232)))</formula>
    </cfRule>
  </conditionalFormatting>
  <conditionalFormatting sqref="BE79:BF82 BI79:BK82">
    <cfRule type="containsText" dxfId="346" priority="169" operator="containsText" text="17">
      <formula>NOT(ISERROR(SEARCH("17",BE79)))</formula>
    </cfRule>
  </conditionalFormatting>
  <conditionalFormatting sqref="BE117:BF119 BI117:BK119">
    <cfRule type="containsText" dxfId="345" priority="179" operator="containsText" text="17">
      <formula>NOT(ISERROR(SEARCH("17",BE117)))</formula>
    </cfRule>
  </conditionalFormatting>
  <conditionalFormatting sqref="BE199:BF199 BD206:BE206 BC213:BD213">
    <cfRule type="containsText" dxfId="344" priority="1858" operator="containsText" text="17">
      <formula>NOT(ISERROR(SEARCH("17",BC199)))</formula>
    </cfRule>
    <cfRule type="containsText" dxfId="343" priority="1859" operator="containsText" text="T">
      <formula>NOT(ISERROR(SEARCH("T",BC199)))</formula>
    </cfRule>
  </conditionalFormatting>
  <conditionalFormatting sqref="BE23:BQ27">
    <cfRule type="containsText" dxfId="342" priority="779" operator="containsText" text="17">
      <formula>NOT(ISERROR(SEARCH("17",BE23)))</formula>
    </cfRule>
  </conditionalFormatting>
  <conditionalFormatting sqref="BF79:BF82">
    <cfRule type="containsText" dxfId="341" priority="170" operator="containsText" text="T">
      <formula>NOT(ISERROR(SEARCH("T",BF79)))</formula>
    </cfRule>
  </conditionalFormatting>
  <conditionalFormatting sqref="BF93:BF96 AZ94:BB96 BS97 BG94:BI96 BQ149:BQ151 BM231:BV234">
    <cfRule type="containsText" dxfId="340" priority="8292" operator="containsText" text="17">
      <formula>NOT(ISERROR(SEARCH("17",AZ93)))</formula>
    </cfRule>
  </conditionalFormatting>
  <conditionalFormatting sqref="BF117:BF119">
    <cfRule type="containsText" dxfId="339" priority="180" operator="containsText" text="T">
      <formula>NOT(ISERROR(SEARCH("T",BF117)))</formula>
    </cfRule>
  </conditionalFormatting>
  <conditionalFormatting sqref="BF138:BF141">
    <cfRule type="containsText" dxfId="338" priority="1326" operator="containsText" text="17">
      <formula>NOT(ISERROR(SEARCH("17",BF138)))</formula>
    </cfRule>
    <cfRule type="containsText" dxfId="337" priority="1327" operator="containsText" text="T">
      <formula>NOT(ISERROR(SEARCH("T",BF138)))</formula>
    </cfRule>
  </conditionalFormatting>
  <conditionalFormatting sqref="BF50:CA52 BF53:BN53">
    <cfRule type="containsText" dxfId="336" priority="749" operator="containsText" text="T">
      <formula>NOT(ISERROR(SEARCH("T",BF50)))</formula>
    </cfRule>
  </conditionalFormatting>
  <conditionalFormatting sqref="BG76:BG78 BK76:BM78">
    <cfRule type="containsText" dxfId="335" priority="143" operator="containsText" text="T">
      <formula>NOT(ISERROR(SEARCH("T",BG76)))</formula>
    </cfRule>
  </conditionalFormatting>
  <conditionalFormatting sqref="BG86 BG93:BI93">
    <cfRule type="containsText" dxfId="334" priority="3817" operator="containsText" text="17">
      <formula>NOT(ISERROR(SEARCH("17",BG86)))</formula>
    </cfRule>
    <cfRule type="containsText" dxfId="333" priority="3818" operator="containsText" text="T">
      <formula>NOT(ISERROR(SEARCH("T",BG86)))</formula>
    </cfRule>
  </conditionalFormatting>
  <conditionalFormatting sqref="BG107:BG112 BK107:BM112">
    <cfRule type="containsText" dxfId="332" priority="153" operator="containsText" text="T">
      <formula>NOT(ISERROR(SEARCH("T",BG107)))</formula>
    </cfRule>
  </conditionalFormatting>
  <conditionalFormatting sqref="BG145:BG148">
    <cfRule type="containsText" dxfId="331" priority="1380" operator="containsText" text="17">
      <formula>NOT(ISERROR(SEARCH("17",BG145)))</formula>
    </cfRule>
    <cfRule type="containsText" dxfId="330" priority="1381" operator="containsText" text="T">
      <formula>NOT(ISERROR(SEARCH("T",BG145)))</formula>
    </cfRule>
  </conditionalFormatting>
  <conditionalFormatting sqref="BG76:BH78 BK76:BM78">
    <cfRule type="containsText" dxfId="329" priority="144" operator="containsText" text="17">
      <formula>NOT(ISERROR(SEARCH("17",BG76)))</formula>
    </cfRule>
  </conditionalFormatting>
  <conditionalFormatting sqref="BG107:BH112 BK107:BM112">
    <cfRule type="containsText" dxfId="328" priority="154" operator="containsText" text="17">
      <formula>NOT(ISERROR(SEARCH("17",BG107)))</formula>
    </cfRule>
  </conditionalFormatting>
  <conditionalFormatting sqref="BF93:BF96 AZ94:BB96 BG94:BI96 BS97 BQ149:BQ151 BM231:BV234">
    <cfRule type="containsText" dxfId="327" priority="8293" operator="containsText" text="T">
      <formula>NOT(ISERROR(SEARCH("T",AZ93)))</formula>
    </cfRule>
  </conditionalFormatting>
  <conditionalFormatting sqref="BG35:BQ39">
    <cfRule type="containsText" dxfId="326" priority="770" operator="containsText" text="17">
      <formula>NOT(ISERROR(SEARCH("17",BG35)))</formula>
    </cfRule>
  </conditionalFormatting>
  <conditionalFormatting sqref="BG41:BQ45">
    <cfRule type="containsText" dxfId="325" priority="763" operator="containsText" text="17">
      <formula>NOT(ISERROR(SEARCH("17",BG41)))</formula>
    </cfRule>
  </conditionalFormatting>
  <conditionalFormatting sqref="BG47:BQ48">
    <cfRule type="containsText" dxfId="324" priority="758" operator="containsText" text="17">
      <formula>NOT(ISERROR(SEARCH("17",BG47)))</formula>
    </cfRule>
  </conditionalFormatting>
  <conditionalFormatting sqref="BG50:BQ52">
    <cfRule type="containsText" dxfId="323" priority="753" operator="containsText" text="17">
      <formula>NOT(ISERROR(SEARCH("17",BG50)))</formula>
    </cfRule>
  </conditionalFormatting>
  <conditionalFormatting sqref="BG30:BS33">
    <cfRule type="containsText" dxfId="322" priority="773" operator="containsText" text="17">
      <formula>NOT(ISERROR(SEARCH("17",BG30)))</formula>
    </cfRule>
  </conditionalFormatting>
  <conditionalFormatting sqref="BG36:BS39">
    <cfRule type="containsText" dxfId="321" priority="767" operator="containsText" text="17">
      <formula>NOT(ISERROR(SEARCH("17",BG36)))</formula>
    </cfRule>
  </conditionalFormatting>
  <conditionalFormatting sqref="BG42:BS45">
    <cfRule type="containsText" dxfId="320" priority="760" operator="containsText" text="17">
      <formula>NOT(ISERROR(SEARCH("17",BG42)))</formula>
    </cfRule>
  </conditionalFormatting>
  <conditionalFormatting sqref="BG48:BS48">
    <cfRule type="containsText" dxfId="319" priority="755" operator="containsText" text="17">
      <formula>NOT(ISERROR(SEARCH("17",BG48)))</formula>
    </cfRule>
  </conditionalFormatting>
  <conditionalFormatting sqref="BG51:BS52 BG53:BN66">
    <cfRule type="containsText" dxfId="318" priority="750" operator="containsText" text="17">
      <formula>NOT(ISERROR(SEARCH("17",BG51)))</formula>
    </cfRule>
  </conditionalFormatting>
  <conditionalFormatting sqref="BH76:BH78">
    <cfRule type="containsText" dxfId="317" priority="145" operator="containsText" text="T">
      <formula>NOT(ISERROR(SEARCH("T",BH76)))</formula>
    </cfRule>
  </conditionalFormatting>
  <conditionalFormatting sqref="BH107:BH112">
    <cfRule type="containsText" dxfId="316" priority="155" operator="containsText" text="T">
      <formula>NOT(ISERROR(SEARCH("T",BH107)))</formula>
    </cfRule>
  </conditionalFormatting>
  <conditionalFormatting sqref="BH138:BH140">
    <cfRule type="containsText" dxfId="315" priority="1362" operator="containsText" text="17">
      <formula>NOT(ISERROR(SEARCH("17",BH138)))</formula>
    </cfRule>
    <cfRule type="containsText" dxfId="314" priority="1363" operator="containsText" text="T">
      <formula>NOT(ISERROR(SEARCH("T",BH138)))</formula>
    </cfRule>
  </conditionalFormatting>
  <conditionalFormatting sqref="BH214:BI216">
    <cfRule type="containsText" dxfId="313" priority="5573" operator="containsText" text="17">
      <formula>NOT(ISERROR(SEARCH("17",BH214)))</formula>
    </cfRule>
    <cfRule type="containsText" dxfId="312" priority="5574" operator="containsText" text="T">
      <formula>NOT(ISERROR(SEARCH("T",BH214)))</formula>
    </cfRule>
  </conditionalFormatting>
  <conditionalFormatting sqref="BH84:CE89">
    <cfRule type="containsText" dxfId="311" priority="726" operator="containsText" text="17">
      <formula>NOT(ISERROR(SEARCH("17",BH84)))</formula>
    </cfRule>
  </conditionalFormatting>
  <conditionalFormatting sqref="BI214:BJ216 BM214:BM216">
    <cfRule type="containsText" dxfId="310" priority="5580" operator="containsText" text="T">
      <formula>NOT(ISERROR(SEARCH("T",BI214)))</formula>
    </cfRule>
  </conditionalFormatting>
  <conditionalFormatting sqref="BJ152:BJ154">
    <cfRule type="containsText" dxfId="309" priority="1152" operator="containsText" text="17">
      <formula>NOT(ISERROR(SEARCH("17",BJ152)))</formula>
    </cfRule>
    <cfRule type="containsText" dxfId="308" priority="1153" operator="containsText" text="T">
      <formula>NOT(ISERROR(SEARCH("T",BJ152)))</formula>
    </cfRule>
  </conditionalFormatting>
  <conditionalFormatting sqref="BJ199 BI206 BH213">
    <cfRule type="containsText" dxfId="307" priority="4765" operator="containsText" text="17">
      <formula>NOT(ISERROR(SEARCH("17",BH199)))</formula>
    </cfRule>
    <cfRule type="containsText" dxfId="306" priority="4766" operator="containsText" text="T">
      <formula>NOT(ISERROR(SEARCH("T",BH199)))</formula>
    </cfRule>
  </conditionalFormatting>
  <conditionalFormatting sqref="BJ228:BV231 BK232:BV234">
    <cfRule type="containsText" dxfId="305" priority="5404" operator="containsText" text="T">
      <formula>NOT(ISERROR(SEARCH("T",BJ228)))</formula>
    </cfRule>
    <cfRule type="containsText" dxfId="304" priority="5407" operator="containsText" text="17">
      <formula>NOT(ISERROR(SEARCH("17",BJ228)))</formula>
    </cfRule>
  </conditionalFormatting>
  <conditionalFormatting sqref="BJ228:BV231 BK232:CP234">
    <cfRule type="containsText" dxfId="303" priority="5408" operator="containsText" text="T">
      <formula>NOT(ISERROR(SEARCH("T",BJ228)))</formula>
    </cfRule>
  </conditionalFormatting>
  <conditionalFormatting sqref="BJ228:BV231">
    <cfRule type="containsText" dxfId="302" priority="5403" operator="containsText" text="17">
      <formula>NOT(ISERROR(SEARCH("17",BJ228)))</formula>
    </cfRule>
  </conditionalFormatting>
  <conditionalFormatting sqref="BK199 BJ206 BI213">
    <cfRule type="containsText" dxfId="301" priority="4781" operator="containsText" text="17">
      <formula>NOT(ISERROR(SEARCH("17",BI199)))</formula>
    </cfRule>
    <cfRule type="containsText" dxfId="300" priority="4782" operator="containsText" text="T">
      <formula>NOT(ISERROR(SEARCH("T",BI199)))</formula>
    </cfRule>
  </conditionalFormatting>
  <conditionalFormatting sqref="BK217:BK223 BL224:BL230">
    <cfRule type="containsText" dxfId="299" priority="5331" operator="containsText" text="17">
      <formula>NOT(ISERROR(SEARCH("17",BK217)))</formula>
    </cfRule>
    <cfRule type="containsText" dxfId="298" priority="5332" operator="containsText" text="T">
      <formula>NOT(ISERROR(SEARCH("T",BK217)))</formula>
    </cfRule>
  </conditionalFormatting>
  <conditionalFormatting sqref="BK138:BL141 BO138:BO141">
    <cfRule type="containsText" dxfId="297" priority="1323" operator="containsText" text="T">
      <formula>NOT(ISERROR(SEARCH("T",BK138)))</formula>
    </cfRule>
  </conditionalFormatting>
  <conditionalFormatting sqref="BK217:BN217">
    <cfRule type="containsText" dxfId="296" priority="5029" operator="containsText" text="17">
      <formula>NOT(ISERROR(SEARCH("17",BK217)))</formula>
    </cfRule>
    <cfRule type="containsText" dxfId="295" priority="5030" operator="containsText" text="T">
      <formula>NOT(ISERROR(SEARCH("T",BK217)))</formula>
    </cfRule>
  </conditionalFormatting>
  <conditionalFormatting sqref="BK218:BN223">
    <cfRule type="containsText" dxfId="294" priority="5337" operator="containsText" text="17">
      <formula>NOT(ISERROR(SEARCH("17",BK218)))</formula>
    </cfRule>
    <cfRule type="containsText" dxfId="293" priority="5338" operator="containsText" text="T">
      <formula>NOT(ISERROR(SEARCH("T",BK218)))</formula>
    </cfRule>
  </conditionalFormatting>
  <conditionalFormatting sqref="BK85:BW89">
    <cfRule type="containsText" dxfId="292" priority="727" operator="containsText" text="17">
      <formula>NOT(ISERROR(SEARCH("17",BK85)))</formula>
    </cfRule>
  </conditionalFormatting>
  <conditionalFormatting sqref="BL79">
    <cfRule type="containsText" dxfId="291" priority="3585" operator="containsText" text="17">
      <formula>NOT(ISERROR(SEARCH("17",BL79)))</formula>
    </cfRule>
    <cfRule type="containsText" dxfId="290" priority="3586" operator="containsText" text="T">
      <formula>NOT(ISERROR(SEARCH("T",BL79)))</formula>
    </cfRule>
  </conditionalFormatting>
  <conditionalFormatting sqref="BL145:BM148 BP145:BQ148">
    <cfRule type="containsText" dxfId="289" priority="1377" operator="containsText" text="T">
      <formula>NOT(ISERROR(SEARCH("T",BL145)))</formula>
    </cfRule>
  </conditionalFormatting>
  <conditionalFormatting sqref="BL199:BM199 BK206:BL206 BJ213:BK213">
    <cfRule type="containsText" dxfId="288" priority="1856" operator="containsText" text="17">
      <formula>NOT(ISERROR(SEARCH("17",BJ199)))</formula>
    </cfRule>
    <cfRule type="containsText" dxfId="287" priority="1857" operator="containsText" text="T">
      <formula>NOT(ISERROR(SEARCH("T",BJ199)))</formula>
    </cfRule>
  </conditionalFormatting>
  <conditionalFormatting sqref="BL224:BP230 BO214:BO223">
    <cfRule type="containsText" dxfId="286" priority="5335" operator="containsText" text="17">
      <formula>NOT(ISERROR(SEARCH("17",BL214)))</formula>
    </cfRule>
  </conditionalFormatting>
  <conditionalFormatting sqref="BL217:BQ217">
    <cfRule type="containsText" dxfId="285" priority="5031" operator="containsText" text="17">
      <formula>NOT(ISERROR(SEARCH("17",BL217)))</formula>
    </cfRule>
    <cfRule type="containsText" dxfId="284" priority="5032" operator="containsText" text="T">
      <formula>NOT(ISERROR(SEARCH("T",BL217)))</formula>
    </cfRule>
  </conditionalFormatting>
  <conditionalFormatting sqref="BL218:BQ223 BM224:BV230">
    <cfRule type="containsText" dxfId="283" priority="5343" operator="containsText" text="17">
      <formula>NOT(ISERROR(SEARCH("17",BL218)))</formula>
    </cfRule>
    <cfRule type="containsText" dxfId="282" priority="5344" operator="containsText" text="T">
      <formula>NOT(ISERROR(SEARCH("T",BL218)))</formula>
    </cfRule>
  </conditionalFormatting>
  <conditionalFormatting sqref="BL117:CI119 CI121:CI122 BO120:CI120">
    <cfRule type="containsText" dxfId="281" priority="698" operator="containsText" text="17">
      <formula>NOT(ISERROR(SEARCH("17",BL117)))</formula>
    </cfRule>
  </conditionalFormatting>
  <conditionalFormatting sqref="BM214:BM216 BI214:BJ216">
    <cfRule type="containsText" dxfId="280" priority="5579" operator="containsText" text="17">
      <formula>NOT(ISERROR(SEARCH("17",BI214)))</formula>
    </cfRule>
  </conditionalFormatting>
  <conditionalFormatting sqref="BM214:BM216">
    <cfRule type="containsText" dxfId="279" priority="5577" operator="containsText" text="17">
      <formula>NOT(ISERROR(SEARCH("17",BM214)))</formula>
    </cfRule>
    <cfRule type="containsText" dxfId="278" priority="5578" operator="containsText" text="T">
      <formula>NOT(ISERROR(SEARCH("T",BM214)))</formula>
    </cfRule>
  </conditionalFormatting>
  <conditionalFormatting sqref="BM169:BN169 BO169:BU173">
    <cfRule type="containsText" dxfId="277" priority="658" operator="containsText" text="17">
      <formula>NOT(ISERROR(SEARCH("17",BM169)))</formula>
    </cfRule>
    <cfRule type="containsText" dxfId="276" priority="659" operator="containsText" text="T">
      <formula>NOT(ISERROR(SEARCH("T",BM169)))</formula>
    </cfRule>
  </conditionalFormatting>
  <conditionalFormatting sqref="BM193:BN215 BP193:BU215">
    <cfRule type="containsText" dxfId="275" priority="635" operator="containsText" text="T">
      <formula>NOT(ISERROR(SEARCH("T",BM193)))</formula>
    </cfRule>
  </conditionalFormatting>
  <conditionalFormatting sqref="BM193:BU215">
    <cfRule type="containsText" dxfId="274" priority="634" operator="containsText" text="17">
      <formula>NOT(ISERROR(SEARCH("17",BM193)))</formula>
    </cfRule>
  </conditionalFormatting>
  <conditionalFormatting sqref="BM92:BY96">
    <cfRule type="containsText" dxfId="273" priority="721" operator="containsText" text="17">
      <formula>NOT(ISERROR(SEARCH("17",BM92)))</formula>
    </cfRule>
  </conditionalFormatting>
  <conditionalFormatting sqref="BM79:CJ82 CF83:CJ84">
    <cfRule type="containsText" dxfId="272" priority="732" operator="containsText" text="17">
      <formula>NOT(ISERROR(SEARCH("17",BM79)))</formula>
    </cfRule>
  </conditionalFormatting>
  <conditionalFormatting sqref="BQ105:CJ105 BN107:CJ109 BO106:CJ106">
    <cfRule type="containsText" dxfId="271" priority="710" operator="containsText" text="17">
      <formula>NOT(ISERROR(SEARCH("17",BN105)))</formula>
    </cfRule>
  </conditionalFormatting>
  <conditionalFormatting sqref="BN15:BO15 BP15:BV20">
    <cfRule type="containsText" dxfId="270" priority="8097" operator="containsText" text="17">
      <formula>NOT(ISERROR(SEARCH("17",BN15)))</formula>
    </cfRule>
  </conditionalFormatting>
  <conditionalFormatting sqref="BN15:BO15 BQ15:BU15">
    <cfRule type="containsText" dxfId="269" priority="8098" operator="containsText" text="T">
      <formula>NOT(ISERROR(SEARCH("T",BN15)))</formula>
    </cfRule>
  </conditionalFormatting>
  <conditionalFormatting sqref="BN175:BO175 BP175:BV178">
    <cfRule type="containsText" dxfId="268" priority="652" operator="containsText" text="17">
      <formula>NOT(ISERROR(SEARCH("17",BN175)))</formula>
    </cfRule>
    <cfRule type="containsText" dxfId="267" priority="653" operator="containsText" text="T">
      <formula>NOT(ISERROR(SEARCH("T",BN175)))</formula>
    </cfRule>
  </conditionalFormatting>
  <conditionalFormatting sqref="BN180:BO180 BP180:BV183">
    <cfRule type="containsText" dxfId="266" priority="646" operator="containsText" text="17">
      <formula>NOT(ISERROR(SEARCH("17",BN180)))</formula>
    </cfRule>
    <cfRule type="containsText" dxfId="265" priority="647" operator="containsText" text="T">
      <formula>NOT(ISERROR(SEARCH("T",BN180)))</formula>
    </cfRule>
  </conditionalFormatting>
  <conditionalFormatting sqref="BN185:BO185 BP185:BV190">
    <cfRule type="containsText" dxfId="264" priority="640" operator="containsText" text="17">
      <formula>NOT(ISERROR(SEARCH("17",BN185)))</formula>
    </cfRule>
    <cfRule type="containsText" dxfId="263" priority="641" operator="containsText" text="T">
      <formula>NOT(ISERROR(SEARCH("T",BN185)))</formula>
    </cfRule>
  </conditionalFormatting>
  <conditionalFormatting sqref="BP123:BZ123 BO124:BZ126">
    <cfRule type="containsText" dxfId="262" priority="693" operator="containsText" text="17">
      <formula>NOT(ISERROR(SEARCH("17",BO123)))</formula>
    </cfRule>
  </conditionalFormatting>
  <conditionalFormatting sqref="BN111:CJ112 BM113:CJ115 CJ116">
    <cfRule type="containsText" dxfId="261" priority="704" operator="containsText" text="17">
      <formula>NOT(ISERROR(SEARCH("17",BM111)))</formula>
    </cfRule>
  </conditionalFormatting>
  <conditionalFormatting sqref="BN76:CK77 CK78 BO73:CK75">
    <cfRule type="containsText" dxfId="260" priority="738" operator="containsText" text="17">
      <formula>NOT(ISERROR(SEARCH("17",BN73)))</formula>
    </cfRule>
  </conditionalFormatting>
  <conditionalFormatting sqref="BO138:BO141 BK138:BL141">
    <cfRule type="containsText" dxfId="259" priority="1322" operator="containsText" text="17">
      <formula>NOT(ISERROR(SEARCH("17",BK138)))</formula>
    </cfRule>
  </conditionalFormatting>
  <conditionalFormatting sqref="BO138:BO141">
    <cfRule type="containsText" dxfId="258" priority="1320" operator="containsText" text="17">
      <formula>NOT(ISERROR(SEARCH("17",BO138)))</formula>
    </cfRule>
    <cfRule type="containsText" dxfId="257" priority="1321" operator="containsText" text="T">
      <formula>NOT(ISERROR(SEARCH("T",BO138)))</formula>
    </cfRule>
  </conditionalFormatting>
  <conditionalFormatting sqref="BO193:BO215 BP194:BT194 BM195:BS195 BO196:BT198">
    <cfRule type="containsText" dxfId="256" priority="637" operator="containsText" text="T">
      <formula>NOT(ISERROR(SEARCH("T",BM193)))</formula>
    </cfRule>
  </conditionalFormatting>
  <conditionalFormatting sqref="BO214:BO216">
    <cfRule type="containsText" dxfId="255" priority="5601" operator="containsText" text="17">
      <formula>NOT(ISERROR(SEARCH("17",BO214)))</formula>
    </cfRule>
    <cfRule type="containsText" dxfId="254" priority="5602" operator="containsText" text="T">
      <formula>NOT(ISERROR(SEARCH("T",BO214)))</formula>
    </cfRule>
  </conditionalFormatting>
  <conditionalFormatting sqref="BO214:BO223 BL224:BP230">
    <cfRule type="containsText" dxfId="253" priority="5336" operator="containsText" text="T">
      <formula>NOT(ISERROR(SEARCH("T",BL214)))</formula>
    </cfRule>
  </conditionalFormatting>
  <conditionalFormatting sqref="BO118:CA120">
    <cfRule type="containsText" dxfId="252" priority="699" operator="containsText" text="17">
      <formula>NOT(ISERROR(SEARCH("17",BO118)))</formula>
    </cfRule>
  </conditionalFormatting>
  <conditionalFormatting sqref="BP141">
    <cfRule type="containsText" dxfId="251" priority="1334" operator="containsText" text="17">
      <formula>NOT(ISERROR(SEARCH("17",BP141)))</formula>
    </cfRule>
    <cfRule type="containsText" dxfId="250" priority="1335" operator="containsText" text="T">
      <formula>NOT(ISERROR(SEARCH("T",BP141)))</formula>
    </cfRule>
  </conditionalFormatting>
  <conditionalFormatting sqref="BP145:BP148">
    <cfRule type="containsText" dxfId="249" priority="1374" operator="containsText" text="17">
      <formula>NOT(ISERROR(SEARCH("17",BP145)))</formula>
    </cfRule>
    <cfRule type="containsText" dxfId="248" priority="1375" operator="containsText" text="T">
      <formula>NOT(ISERROR(SEARCH("T",BP145)))</formula>
    </cfRule>
  </conditionalFormatting>
  <conditionalFormatting sqref="BP217:BP223 BQ224:BQ230 BR217:BU223">
    <cfRule type="containsText" dxfId="247" priority="5345" operator="containsText" text="17">
      <formula>NOT(ISERROR(SEARCH("17",BP217)))</formula>
    </cfRule>
  </conditionalFormatting>
  <conditionalFormatting sqref="BP217:BP223 BR217:BU223 BQ224:BQ230">
    <cfRule type="containsText" dxfId="246" priority="5346" operator="containsText" text="T">
      <formula>NOT(ISERROR(SEARCH("T",BP217)))</formula>
    </cfRule>
  </conditionalFormatting>
  <conditionalFormatting sqref="BP22:BQ22 BR22:BX27">
    <cfRule type="containsText" dxfId="245" priority="781" operator="containsText" text="T">
      <formula>NOT(ISERROR(SEARCH("T",BP22)))</formula>
    </cfRule>
  </conditionalFormatting>
  <conditionalFormatting sqref="BP22:BQ22">
    <cfRule type="containsText" dxfId="244" priority="780" operator="containsText" text="17">
      <formula>NOT(ISERROR(SEARCH("17",BP22)))</formula>
    </cfRule>
  </conditionalFormatting>
  <conditionalFormatting sqref="BP145:BQ148 BL145:BM148">
    <cfRule type="containsText" dxfId="243" priority="1376" operator="containsText" text="17">
      <formula>NOT(ISERROR(SEARCH("17",BL145)))</formula>
    </cfRule>
  </conditionalFormatting>
  <conditionalFormatting sqref="BP194:BT194 BM195:BS195 BO196:BT198">
    <cfRule type="containsText" dxfId="242" priority="636" operator="containsText" text="17">
      <formula>NOT(ISERROR(SEARCH("17",BM194)))</formula>
    </cfRule>
  </conditionalFormatting>
  <conditionalFormatting sqref="BP80:CB82">
    <cfRule type="containsText" dxfId="241" priority="733" operator="containsText" text="17">
      <formula>NOT(ISERROR(SEARCH("17",BP80)))</formula>
    </cfRule>
  </conditionalFormatting>
  <conditionalFormatting sqref="BP103:CB103 BQ100:CB102">
    <cfRule type="containsText" dxfId="240" priority="716" operator="containsText" text="17">
      <formula>NOT(ISERROR(SEARCH("17",BP100)))</formula>
    </cfRule>
  </conditionalFormatting>
  <conditionalFormatting sqref="BP106:CB109">
    <cfRule type="containsText" dxfId="239" priority="711" operator="containsText" text="17">
      <formula>NOT(ISERROR(SEARCH("17",BP106)))</formula>
    </cfRule>
  </conditionalFormatting>
  <conditionalFormatting sqref="BP112:CB115">
    <cfRule type="containsText" dxfId="238" priority="705" operator="containsText" text="17">
      <formula>NOT(ISERROR(SEARCH("17",BP112)))</formula>
    </cfRule>
  </conditionalFormatting>
  <conditionalFormatting sqref="BQ214:BQ223">
    <cfRule type="containsText" dxfId="237" priority="5329" operator="containsText" text="17">
      <formula>NOT(ISERROR(SEARCH("17",BQ214)))</formula>
    </cfRule>
    <cfRule type="containsText" dxfId="236" priority="5330" operator="containsText" text="T">
      <formula>NOT(ISERROR(SEARCH("T",BQ214)))</formula>
    </cfRule>
  </conditionalFormatting>
  <conditionalFormatting sqref="BQ214:BU216">
    <cfRule type="containsText" dxfId="235" priority="5557" operator="containsText" text="17">
      <formula>NOT(ISERROR(SEARCH("17",BQ214)))</formula>
    </cfRule>
    <cfRule type="containsText" dxfId="234" priority="5558" operator="containsText" text="T">
      <formula>NOT(ISERROR(SEARCH("T",BQ214)))</formula>
    </cfRule>
  </conditionalFormatting>
  <conditionalFormatting sqref="BR155">
    <cfRule type="containsText" dxfId="233" priority="1160" operator="containsText" text="17">
      <formula>NOT(ISERROR(SEARCH("17",BR155)))</formula>
    </cfRule>
    <cfRule type="containsText" dxfId="232" priority="1161" operator="containsText" text="T">
      <formula>NOT(ISERROR(SEARCH("T",BR155)))</formula>
    </cfRule>
  </conditionalFormatting>
  <conditionalFormatting sqref="BR29:BS29 BT29:BZ33">
    <cfRule type="containsText" dxfId="231" priority="774" operator="containsText" text="17">
      <formula>NOT(ISERROR(SEARCH("17",BR29)))</formula>
    </cfRule>
    <cfRule type="containsText" dxfId="230" priority="775" operator="containsText" text="T">
      <formula>NOT(ISERROR(SEARCH("T",BR29)))</formula>
    </cfRule>
  </conditionalFormatting>
  <conditionalFormatting sqref="BR35:BS35 BT35:BZ39">
    <cfRule type="containsText" dxfId="229" priority="768" operator="containsText" text="17">
      <formula>NOT(ISERROR(SEARCH("17",BR35)))</formula>
    </cfRule>
    <cfRule type="containsText" dxfId="228" priority="769" operator="containsText" text="T">
      <formula>NOT(ISERROR(SEARCH("T",BR35)))</formula>
    </cfRule>
  </conditionalFormatting>
  <conditionalFormatting sqref="BR41:BS41 BT41:BZ45">
    <cfRule type="containsText" dxfId="227" priority="761" operator="containsText" text="17">
      <formula>NOT(ISERROR(SEARCH("17",BR41)))</formula>
    </cfRule>
    <cfRule type="containsText" dxfId="226" priority="762" operator="containsText" text="T">
      <formula>NOT(ISERROR(SEARCH("T",BR41)))</formula>
    </cfRule>
  </conditionalFormatting>
  <conditionalFormatting sqref="BR47:BS47 BU47:BY47">
    <cfRule type="containsText" dxfId="225" priority="756" operator="containsText" text="17">
      <formula>NOT(ISERROR(SEARCH("17",BR47)))</formula>
    </cfRule>
    <cfRule type="containsText" dxfId="224" priority="757" operator="containsText" text="T">
      <formula>NOT(ISERROR(SEARCH("T",BR47)))</formula>
    </cfRule>
  </conditionalFormatting>
  <conditionalFormatting sqref="BR50:BS50 BU50:BY50">
    <cfRule type="containsText" dxfId="223" priority="751" operator="containsText" text="17">
      <formula>NOT(ISERROR(SEARCH("17",BR50)))</formula>
    </cfRule>
    <cfRule type="containsText" dxfId="222" priority="752" operator="containsText" text="T">
      <formula>NOT(ISERROR(SEARCH("T",BR50)))</formula>
    </cfRule>
  </conditionalFormatting>
  <conditionalFormatting sqref="BR214:BV216">
    <cfRule type="containsText" dxfId="221" priority="5563" operator="containsText" text="17">
      <formula>NOT(ISERROR(SEARCH("17",BR214)))</formula>
    </cfRule>
    <cfRule type="containsText" dxfId="220" priority="5564" operator="containsText" text="T">
      <formula>NOT(ISERROR(SEARCH("T",BR214)))</formula>
    </cfRule>
  </conditionalFormatting>
  <conditionalFormatting sqref="BR217:BV230">
    <cfRule type="containsText" dxfId="219" priority="5027" operator="containsText" text="17">
      <formula>NOT(ISERROR(SEARCH("17",BR217)))</formula>
    </cfRule>
    <cfRule type="containsText" dxfId="218" priority="5028" operator="containsText" text="T">
      <formula>NOT(ISERROR(SEARCH("T",BR217)))</formula>
    </cfRule>
  </conditionalFormatting>
  <conditionalFormatting sqref="BR68:CD71 BQ74:CC77">
    <cfRule type="containsText" dxfId="217" priority="739" operator="containsText" text="17">
      <formula>NOT(ISERROR(SEARCH("17",BQ68)))</formula>
    </cfRule>
  </conditionalFormatting>
  <conditionalFormatting sqref="BS127 BC199 BB206 BA213">
    <cfRule type="containsText" dxfId="216" priority="1863" operator="containsText" text="T">
      <formula>NOT(ISERROR(SEARCH("T",BA127)))</formula>
    </cfRule>
  </conditionalFormatting>
  <conditionalFormatting sqref="BS127 BC199:BR199 BB206:BQ206 BA213:BP213">
    <cfRule type="containsText" dxfId="215" priority="4768" operator="containsText" text="T">
      <formula>NOT(ISERROR(SEARCH("T",BA127)))</formula>
    </cfRule>
  </conditionalFormatting>
  <conditionalFormatting sqref="BS154 AX180:AX181 AY182:AY185 BM191 BU200:BU202 BV203:BV205 BT207:BT209 BV207:BV209 BU210:BU212">
    <cfRule type="containsText" dxfId="214" priority="7035" operator="containsText" text="17">
      <formula>NOT(ISERROR(SEARCH("17",AX154)))</formula>
    </cfRule>
    <cfRule type="containsText" dxfId="213" priority="7036" operator="containsText" text="T">
      <formula>NOT(ISERROR(SEARCH("T",AX154)))</formula>
    </cfRule>
    <cfRule type="containsText" dxfId="212" priority="7037" operator="containsText" text="17">
      <formula>NOT(ISERROR(SEARCH("17",AX154)))</formula>
    </cfRule>
    <cfRule type="containsText" dxfId="211" priority="7038" operator="containsText" text="T">
      <formula>NOT(ISERROR(SEARCH("T",AX154)))</formula>
    </cfRule>
  </conditionalFormatting>
  <conditionalFormatting sqref="BS156:BS158">
    <cfRule type="containsText" dxfId="210" priority="1176" operator="containsText" text="17">
      <formula>NOT(ISERROR(SEARCH("17",BS156)))</formula>
    </cfRule>
    <cfRule type="containsText" dxfId="209" priority="1177" operator="containsText" text="T">
      <formula>NOT(ISERROR(SEARCH("T",BS156)))</formula>
    </cfRule>
    <cfRule type="containsText" dxfId="208" priority="1178" operator="containsText" text="17">
      <formula>NOT(ISERROR(SEARCH("17",BS156)))</formula>
    </cfRule>
    <cfRule type="containsText" dxfId="207" priority="1179" operator="containsText" text="T">
      <formula>NOT(ISERROR(SEARCH("T",BS156)))</formula>
    </cfRule>
  </conditionalFormatting>
  <conditionalFormatting sqref="BS162">
    <cfRule type="containsText" dxfId="206" priority="1150" operator="containsText" text="17">
      <formula>NOT(ISERROR(SEARCH("17",BS162)))</formula>
    </cfRule>
    <cfRule type="containsText" dxfId="205" priority="1151" operator="containsText" text="T">
      <formula>NOT(ISERROR(SEARCH("T",BS162)))</formula>
    </cfRule>
  </conditionalFormatting>
  <conditionalFormatting sqref="BS199:BT199 BR206:BS206 BQ213:BR213">
    <cfRule type="containsText" dxfId="204" priority="1866" operator="containsText" text="17">
      <formula>NOT(ISERROR(SEARCH("17",BQ199)))</formula>
    </cfRule>
    <cfRule type="containsText" dxfId="203" priority="186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202" priority="8277" operator="containsText" text="T">
      <formula>NOT(ISERROR(SEARCH("T",BP15)))</formula>
    </cfRule>
  </conditionalFormatting>
  <conditionalFormatting sqref="BT47:BT48 BZ47:BZ48 BU48:BY48 BT50:BT52 BZ50:BZ52 BU51:BY52">
    <cfRule type="containsText" dxfId="201" priority="8276" operator="containsText" text="17">
      <formula>NOT(ISERROR(SEARCH("17",BT47)))</formula>
    </cfRule>
  </conditionalFormatting>
  <conditionalFormatting sqref="BT145:BT148">
    <cfRule type="containsText" dxfId="200" priority="1306" operator="containsText" text="17">
      <formula>NOT(ISERROR(SEARCH("17",BT145)))</formula>
    </cfRule>
    <cfRule type="containsText" dxfId="199" priority="1307" operator="containsText" text="T">
      <formula>NOT(ISERROR(SEARCH("T",BT145)))</formula>
    </cfRule>
  </conditionalFormatting>
  <conditionalFormatting sqref="BT139:CQ144">
    <cfRule type="containsText" dxfId="198" priority="682" operator="containsText" text="17">
      <formula>NOT(ISERROR(SEARCH("17",BT139)))</formula>
    </cfRule>
    <cfRule type="containsText" dxfId="197" priority="685" operator="containsText" text="T">
      <formula>NOT(ISERROR(SEARCH("T",BT139)))</formula>
    </cfRule>
  </conditionalFormatting>
  <conditionalFormatting sqref="BT153:CQ158">
    <cfRule type="containsText" dxfId="196" priority="669" operator="containsText" text="17">
      <formula>NOT(ISERROR(SEARCH("17",BT153)))</formula>
    </cfRule>
    <cfRule type="containsText" dxfId="195" priority="672" operator="containsText" text="T">
      <formula>NOT(ISERROR(SEARCH("T",BT153)))</formula>
    </cfRule>
  </conditionalFormatting>
  <conditionalFormatting sqref="BT160:CQ165">
    <cfRule type="containsText" dxfId="194" priority="668" operator="containsText" text="T">
      <formula>NOT(ISERROR(SEARCH("T",BT160)))</formula>
    </cfRule>
  </conditionalFormatting>
  <conditionalFormatting sqref="BU200:BU202 BT207:BT209 AX210:BS211">
    <cfRule type="containsText" dxfId="193" priority="8237" operator="containsText" text="T">
      <formula>NOT(ISERROR(SEARCH("T",AX200)))</formula>
    </cfRule>
  </conditionalFormatting>
  <conditionalFormatting sqref="BU200:BU202 BT207:BT209 AY190 AX191:BH191 BK191 BO191:BS191">
    <cfRule type="containsText" dxfId="192" priority="8230" operator="containsText" text="17">
      <formula>NOT(ISERROR(SEARCH("17",AX190)))</formula>
    </cfRule>
  </conditionalFormatting>
  <conditionalFormatting sqref="BU206 BT213 BV199">
    <cfRule type="containsText" dxfId="191" priority="1864" operator="containsText" text="17">
      <formula>NOT(ISERROR(SEARCH("17",BT199)))</formula>
    </cfRule>
  </conditionalFormatting>
  <conditionalFormatting sqref="BU146:CR151 BT160:CQ165">
    <cfRule type="containsText" dxfId="190" priority="8084" operator="containsText" text="17">
      <formula>NOT(ISERROR(SEARCH("17",BT146)))</formula>
    </cfRule>
  </conditionalFormatting>
  <conditionalFormatting sqref="BU146:CR151">
    <cfRule type="containsText" dxfId="189" priority="681" operator="containsText" text="T">
      <formula>NOT(ISERROR(SEARCH("T",BU146)))</formula>
    </cfRule>
  </conditionalFormatting>
  <conditionalFormatting sqref="BV199 BU206 BT213">
    <cfRule type="containsText" dxfId="188" priority="1865" operator="containsText" text="T">
      <formula>NOT(ISERROR(SEARCH("T",BT199)))</formula>
    </cfRule>
  </conditionalFormatting>
  <conditionalFormatting sqref="BV213">
    <cfRule type="containsText" dxfId="187" priority="4757" operator="containsText" text="17">
      <formula>NOT(ISERROR(SEARCH("17",BV213)))</formula>
    </cfRule>
    <cfRule type="containsText" dxfId="186" priority="4758" operator="containsText" text="T">
      <formula>NOT(ISERROR(SEARCH("T",BV213)))</formula>
    </cfRule>
  </conditionalFormatting>
  <conditionalFormatting sqref="BV214:BV216">
    <cfRule type="containsText" dxfId="185" priority="5565" operator="containsText" text="17">
      <formula>NOT(ISERROR(SEARCH("17",BV214)))</formula>
    </cfRule>
    <cfRule type="containsText" dxfId="184" priority="5566" operator="containsText" text="T">
      <formula>NOT(ISERROR(SEARCH("T",BV214)))</formula>
    </cfRule>
  </conditionalFormatting>
  <conditionalFormatting sqref="BV84:BW84 BX84:CD89">
    <cfRule type="containsText" dxfId="183" priority="729" operator="containsText" text="T">
      <formula>NOT(ISERROR(SEARCH("T",BV84)))</formula>
    </cfRule>
  </conditionalFormatting>
  <conditionalFormatting sqref="BV84:BW84">
    <cfRule type="containsText" dxfId="182" priority="728" operator="containsText" text="17">
      <formula>NOT(ISERROR(SEARCH("17",BV84)))</formula>
    </cfRule>
  </conditionalFormatting>
  <conditionalFormatting sqref="BV133:CH137">
    <cfRule type="containsText" dxfId="181" priority="688" operator="containsText" text="17">
      <formula>NOT(ISERROR(SEARCH("17",BV133)))</formula>
    </cfRule>
  </conditionalFormatting>
  <conditionalFormatting sqref="BW160:CG165">
    <cfRule type="containsText" dxfId="180" priority="666" operator="containsText" text="17">
      <formula>NOT(ISERROR(SEARCH("17",BW160)))</formula>
    </cfRule>
  </conditionalFormatting>
  <conditionalFormatting sqref="BW140:CI144">
    <cfRule type="containsText" dxfId="179" priority="683" operator="containsText" text="17">
      <formula>NOT(ISERROR(SEARCH("17",BW140)))</formula>
    </cfRule>
  </conditionalFormatting>
  <conditionalFormatting sqref="BW154:CI158">
    <cfRule type="containsText" dxfId="178" priority="670" operator="containsText" text="17">
      <formula>NOT(ISERROR(SEARCH("17",BW154)))</formula>
    </cfRule>
  </conditionalFormatting>
  <conditionalFormatting sqref="BW161:CI165">
    <cfRule type="containsText" dxfId="177" priority="663" operator="containsText" text="17">
      <formula>NOT(ISERROR(SEARCH("17",BW161)))</formula>
    </cfRule>
  </conditionalFormatting>
  <conditionalFormatting sqref="BX91:BY91 BZ91:CF96">
    <cfRule type="containsText" dxfId="176" priority="722" operator="containsText" text="17">
      <formula>NOT(ISERROR(SEARCH("17",BX91)))</formula>
    </cfRule>
    <cfRule type="containsText" dxfId="175" priority="723" operator="containsText" text="T">
      <formula>NOT(ISERROR(SEARCH("T",BX91)))</formula>
    </cfRule>
  </conditionalFormatting>
  <conditionalFormatting sqref="BX146:CH151">
    <cfRule type="containsText" dxfId="174" priority="679" operator="containsText" text="17">
      <formula>NOT(ISERROR(SEARCH("17",BX146)))</formula>
    </cfRule>
  </conditionalFormatting>
  <conditionalFormatting sqref="BX147:CJ151">
    <cfRule type="containsText" dxfId="173" priority="676" operator="containsText" text="17">
      <formula>NOT(ISERROR(SEARCH("17",BX147)))</formula>
    </cfRule>
  </conditionalFormatting>
  <conditionalFormatting sqref="BY122:BZ122 CA122:CG126">
    <cfRule type="containsText" dxfId="172" priority="694" operator="containsText" text="17">
      <formula>NOT(ISERROR(SEARCH("17",BY122)))</formula>
    </cfRule>
    <cfRule type="containsText" dxfId="171" priority="695" operator="containsText" text="T">
      <formula>NOT(ISERROR(SEARCH("T",BY122)))</formula>
    </cfRule>
  </conditionalFormatting>
  <conditionalFormatting sqref="BZ117:CA117 CB117:CH120">
    <cfRule type="containsText" dxfId="170" priority="701" operator="containsText" text="T">
      <formula>NOT(ISERROR(SEARCH("T",BZ117)))</formula>
    </cfRule>
  </conditionalFormatting>
  <conditionalFormatting sqref="BZ117:CA117">
    <cfRule type="containsText" dxfId="169" priority="700" operator="containsText" text="17">
      <formula>NOT(ISERROR(SEARCH("17",BZ117)))</formula>
    </cfRule>
  </conditionalFormatting>
  <conditionalFormatting sqref="CA79:CB79 CC79:CH82">
    <cfRule type="containsText" dxfId="168" priority="735" operator="containsText" text="T">
      <formula>NOT(ISERROR(SEARCH("T",CA79)))</formula>
    </cfRule>
  </conditionalFormatting>
  <conditionalFormatting sqref="CA79:CB79">
    <cfRule type="containsText" dxfId="167" priority="734" operator="containsText" text="17">
      <formula>NOT(ISERROR(SEARCH("17",CA79)))</formula>
    </cfRule>
  </conditionalFormatting>
  <conditionalFormatting sqref="CA99:CB99 CC99:CI103">
    <cfRule type="containsText" dxfId="166" priority="717" operator="containsText" text="17">
      <formula>NOT(ISERROR(SEARCH("17",CA99)))</formula>
    </cfRule>
    <cfRule type="containsText" dxfId="165" priority="718" operator="containsText" text="T">
      <formula>NOT(ISERROR(SEARCH("T",CA99)))</formula>
    </cfRule>
  </conditionalFormatting>
  <conditionalFormatting sqref="CA105:CB105 CC105:CI109">
    <cfRule type="containsText" dxfId="164" priority="713" operator="containsText" text="T">
      <formula>NOT(ISERROR(SEARCH("T",CA105)))</formula>
    </cfRule>
  </conditionalFormatting>
  <conditionalFormatting sqref="CA105:CB105">
    <cfRule type="containsText" dxfId="163" priority="712" operator="containsText" text="17">
      <formula>NOT(ISERROR(SEARCH("17",CA105)))</formula>
    </cfRule>
  </conditionalFormatting>
  <conditionalFormatting sqref="CA111:CB111 CC111:CI115">
    <cfRule type="containsText" dxfId="162" priority="707" operator="containsText" text="T">
      <formula>NOT(ISERROR(SEARCH("T",CA111)))</formula>
    </cfRule>
  </conditionalFormatting>
  <conditionalFormatting sqref="CA111:CB111">
    <cfRule type="containsText" dxfId="161" priority="706" operator="containsText" text="17">
      <formula>NOT(ISERROR(SEARCH("17",CA111)))</formula>
    </cfRule>
  </conditionalFormatting>
  <conditionalFormatting sqref="CC67:CD67 CE67:CK71 CB73:CC73 CD73:CJ77">
    <cfRule type="containsText" dxfId="160" priority="741" operator="containsText" text="T">
      <formula>NOT(ISERROR(SEARCH("T",CB67)))</formula>
    </cfRule>
  </conditionalFormatting>
  <conditionalFormatting sqref="CC67:CD67 CE67:CK71 CB73:CC73">
    <cfRule type="containsText" dxfId="159" priority="740" operator="containsText" text="17">
      <formula>NOT(ISERROR(SEARCH("17",CB67)))</formula>
    </cfRule>
  </conditionalFormatting>
  <conditionalFormatting sqref="CG132:CH132 CI132:CO137">
    <cfRule type="containsText" dxfId="158" priority="689" operator="containsText" text="17">
      <formula>NOT(ISERROR(SEARCH("17",CG132)))</formula>
    </cfRule>
    <cfRule type="containsText" dxfId="157" priority="690" operator="containsText" text="T">
      <formula>NOT(ISERROR(SEARCH("T",CG132)))</formula>
    </cfRule>
  </conditionalFormatting>
  <conditionalFormatting sqref="CH139:CI139">
    <cfRule type="containsText" dxfId="156" priority="684" operator="containsText" text="17">
      <formula>NOT(ISERROR(SEARCH("17",CH139)))</formula>
    </cfRule>
  </conditionalFormatting>
  <conditionalFormatting sqref="CH153:CI153">
    <cfRule type="containsText" dxfId="155" priority="671" operator="containsText" text="17">
      <formula>NOT(ISERROR(SEARCH("17",CH153)))</formula>
    </cfRule>
  </conditionalFormatting>
  <conditionalFormatting sqref="CH160:CI160 CJ160:CP165">
    <cfRule type="containsText" dxfId="154" priority="664" operator="containsText" text="17">
      <formula>NOT(ISERROR(SEARCH("17",CH160)))</formula>
    </cfRule>
  </conditionalFormatting>
  <conditionalFormatting sqref="CH160:CI160 CK160:CO165">
    <cfRule type="containsText" dxfId="153" priority="665" operator="containsText" text="T">
      <formula>NOT(ISERROR(SEARCH("T",CH160)))</formula>
    </cfRule>
  </conditionalFormatting>
  <conditionalFormatting sqref="CI79:CI84 CF83:CH84">
    <cfRule type="containsText" dxfId="152" priority="737" operator="containsText" text="T">
      <formula>NOT(ISERROR(SEARCH("T",CF79)))</formula>
    </cfRule>
  </conditionalFormatting>
  <conditionalFormatting sqref="CI79:CI84">
    <cfRule type="containsText" dxfId="151" priority="736" operator="containsText" text="17">
      <formula>NOT(ISERROR(SEARCH("17",CI79)))</formula>
    </cfRule>
  </conditionalFormatting>
  <conditionalFormatting sqref="CI146:CJ146 CK146:CQ151">
    <cfRule type="containsText" dxfId="150" priority="677" operator="containsText" text="17">
      <formula>NOT(ISERROR(SEARCH("17",CI146)))</formula>
    </cfRule>
  </conditionalFormatting>
  <conditionalFormatting sqref="CI146:CJ146 CL146:CP151">
    <cfRule type="containsText" dxfId="149" priority="678" operator="containsText" text="T">
      <formula>NOT(ISERROR(SEARCH("T",CI146)))</formula>
    </cfRule>
  </conditionalFormatting>
  <conditionalFormatting sqref="AQ72:AY75">
    <cfRule type="containsText" dxfId="148" priority="138" operator="containsText" text="17">
      <formula>NOT(ISERROR(SEARCH("17",AQ72)))</formula>
    </cfRule>
  </conditionalFormatting>
  <conditionalFormatting sqref="AQ72:BA75">
    <cfRule type="containsText" dxfId="147" priority="132" operator="containsText" text="T">
      <formula>NOT(ISERROR(SEARCH("T",AQ72)))</formula>
    </cfRule>
  </conditionalFormatting>
  <conditionalFormatting sqref="AQ72:BA75">
    <cfRule type="containsText" dxfId="146" priority="131" operator="containsText" text="17">
      <formula>NOT(ISERROR(SEARCH("17",AQ72)))</formula>
    </cfRule>
  </conditionalFormatting>
  <conditionalFormatting sqref="BB72:BH75">
    <cfRule type="containsText" dxfId="145" priority="139" operator="containsText" text="17">
      <formula>NOT(ISERROR(SEARCH("17",BB72)))</formula>
    </cfRule>
    <cfRule type="containsText" dxfId="144" priority="140" operator="containsText" text="T">
      <formula>NOT(ISERROR(SEARCH("T",BB72)))</formula>
    </cfRule>
  </conditionalFormatting>
  <conditionalFormatting sqref="BC72:BC75">
    <cfRule type="containsText" dxfId="143" priority="136" operator="containsText" text="17">
      <formula>NOT(ISERROR(SEARCH("17",BC72)))</formula>
    </cfRule>
    <cfRule type="containsText" dxfId="142" priority="137" operator="containsText" text="T">
      <formula>NOT(ISERROR(SEARCH("T",BC72)))</formula>
    </cfRule>
  </conditionalFormatting>
  <conditionalFormatting sqref="BH72:BH75 BL72:BN75">
    <cfRule type="containsText" dxfId="141" priority="133" operator="containsText" text="T">
      <formula>NOT(ISERROR(SEARCH("T",BH72)))</formula>
    </cfRule>
  </conditionalFormatting>
  <conditionalFormatting sqref="BH72:BI75 BL72:BN75">
    <cfRule type="containsText" dxfId="140" priority="134" operator="containsText" text="17">
      <formula>NOT(ISERROR(SEARCH("17",BH72)))</formula>
    </cfRule>
  </conditionalFormatting>
  <conditionalFormatting sqref="BI72:BI75">
    <cfRule type="containsText" dxfId="139" priority="135" operator="containsText" text="T">
      <formula>NOT(ISERROR(SEARCH("T",BI72)))</formula>
    </cfRule>
  </conditionalFormatting>
  <conditionalFormatting sqref="AQ106:AY106">
    <cfRule type="containsText" dxfId="138" priority="128" operator="containsText" text="17">
      <formula>NOT(ISERROR(SEARCH("17",AQ106)))</formula>
    </cfRule>
  </conditionalFormatting>
  <conditionalFormatting sqref="AQ106:BA106">
    <cfRule type="containsText" dxfId="137" priority="122" operator="containsText" text="T">
      <formula>NOT(ISERROR(SEARCH("T",AQ106)))</formula>
    </cfRule>
  </conditionalFormatting>
  <conditionalFormatting sqref="AQ106:BA106">
    <cfRule type="containsText" dxfId="136" priority="121" operator="containsText" text="17">
      <formula>NOT(ISERROR(SEARCH("17",AQ106)))</formula>
    </cfRule>
  </conditionalFormatting>
  <conditionalFormatting sqref="BB106:BH106">
    <cfRule type="containsText" dxfId="135" priority="129" operator="containsText" text="17">
      <formula>NOT(ISERROR(SEARCH("17",BB106)))</formula>
    </cfRule>
    <cfRule type="containsText" dxfId="134" priority="130" operator="containsText" text="T">
      <formula>NOT(ISERROR(SEARCH("T",BB106)))</formula>
    </cfRule>
  </conditionalFormatting>
  <conditionalFormatting sqref="BC106">
    <cfRule type="containsText" dxfId="133" priority="126" operator="containsText" text="17">
      <formula>NOT(ISERROR(SEARCH("17",BC106)))</formula>
    </cfRule>
    <cfRule type="containsText" dxfId="132" priority="127" operator="containsText" text="T">
      <formula>NOT(ISERROR(SEARCH("T",BC106)))</formula>
    </cfRule>
  </conditionalFormatting>
  <conditionalFormatting sqref="BH106 BL106:BN106">
    <cfRule type="containsText" dxfId="131" priority="123" operator="containsText" text="T">
      <formula>NOT(ISERROR(SEARCH("T",BH106)))</formula>
    </cfRule>
  </conditionalFormatting>
  <conditionalFormatting sqref="BH106:BI106 BL106:BN106">
    <cfRule type="containsText" dxfId="130" priority="124" operator="containsText" text="17">
      <formula>NOT(ISERROR(SEARCH("17",BH106)))</formula>
    </cfRule>
  </conditionalFormatting>
  <conditionalFormatting sqref="BI106">
    <cfRule type="containsText" dxfId="129" priority="125" operator="containsText" text="T">
      <formula>NOT(ISERROR(SEARCH("T",BI106)))</formula>
    </cfRule>
  </conditionalFormatting>
  <conditionalFormatting sqref="AQ124:AY126">
    <cfRule type="containsText" dxfId="128" priority="118" operator="containsText" text="17">
      <formula>NOT(ISERROR(SEARCH("17",AQ124)))</formula>
    </cfRule>
  </conditionalFormatting>
  <conditionalFormatting sqref="AQ124:BA126">
    <cfRule type="containsText" dxfId="127" priority="112" operator="containsText" text="T">
      <formula>NOT(ISERROR(SEARCH("T",AQ124)))</formula>
    </cfRule>
  </conditionalFormatting>
  <conditionalFormatting sqref="AQ124:BA126">
    <cfRule type="containsText" dxfId="126" priority="111" operator="containsText" text="17">
      <formula>NOT(ISERROR(SEARCH("17",AQ124)))</formula>
    </cfRule>
  </conditionalFormatting>
  <conditionalFormatting sqref="BB124:BH126">
    <cfRule type="containsText" dxfId="125" priority="119" operator="containsText" text="17">
      <formula>NOT(ISERROR(SEARCH("17",BB124)))</formula>
    </cfRule>
    <cfRule type="containsText" dxfId="124" priority="120" operator="containsText" text="T">
      <formula>NOT(ISERROR(SEARCH("T",BB124)))</formula>
    </cfRule>
  </conditionalFormatting>
  <conditionalFormatting sqref="BC124:BC126">
    <cfRule type="containsText" dxfId="123" priority="116" operator="containsText" text="17">
      <formula>NOT(ISERROR(SEARCH("17",BC124)))</formula>
    </cfRule>
    <cfRule type="containsText" dxfId="122" priority="117" operator="containsText" text="T">
      <formula>NOT(ISERROR(SEARCH("T",BC124)))</formula>
    </cfRule>
  </conditionalFormatting>
  <conditionalFormatting sqref="BH124:BH126 BL124:BN126">
    <cfRule type="containsText" dxfId="121" priority="113" operator="containsText" text="T">
      <formula>NOT(ISERROR(SEARCH("T",BH124)))</formula>
    </cfRule>
  </conditionalFormatting>
  <conditionalFormatting sqref="BH124:BI126 BL124:BN126">
    <cfRule type="containsText" dxfId="120" priority="114" operator="containsText" text="17">
      <formula>NOT(ISERROR(SEARCH("17",BH124)))</formula>
    </cfRule>
  </conditionalFormatting>
  <conditionalFormatting sqref="BI124:BI126">
    <cfRule type="containsText" dxfId="119" priority="115" operator="containsText" text="T">
      <formula>NOT(ISERROR(SEARCH("T",BI124)))</formula>
    </cfRule>
  </conditionalFormatting>
  <conditionalFormatting sqref="AQ120:AY120">
    <cfRule type="containsText" dxfId="118" priority="108" operator="containsText" text="17">
      <formula>NOT(ISERROR(SEARCH("17",AQ120)))</formula>
    </cfRule>
  </conditionalFormatting>
  <conditionalFormatting sqref="AQ120:BA120">
    <cfRule type="containsText" dxfId="117" priority="102" operator="containsText" text="T">
      <formula>NOT(ISERROR(SEARCH("T",AQ120)))</formula>
    </cfRule>
  </conditionalFormatting>
  <conditionalFormatting sqref="AQ120:BA120">
    <cfRule type="containsText" dxfId="116" priority="101" operator="containsText" text="17">
      <formula>NOT(ISERROR(SEARCH("17",AQ120)))</formula>
    </cfRule>
  </conditionalFormatting>
  <conditionalFormatting sqref="BB120:BH120">
    <cfRule type="containsText" dxfId="115" priority="109" operator="containsText" text="17">
      <formula>NOT(ISERROR(SEARCH("17",BB120)))</formula>
    </cfRule>
    <cfRule type="containsText" dxfId="114" priority="110" operator="containsText" text="T">
      <formula>NOT(ISERROR(SEARCH("T",BB120)))</formula>
    </cfRule>
  </conditionalFormatting>
  <conditionalFormatting sqref="BC120">
    <cfRule type="containsText" dxfId="113" priority="106" operator="containsText" text="17">
      <formula>NOT(ISERROR(SEARCH("17",BC120)))</formula>
    </cfRule>
    <cfRule type="containsText" dxfId="112" priority="107" operator="containsText" text="T">
      <formula>NOT(ISERROR(SEARCH("T",BC120)))</formula>
    </cfRule>
  </conditionalFormatting>
  <conditionalFormatting sqref="BH120 BL120:BN120">
    <cfRule type="containsText" dxfId="111" priority="103" operator="containsText" text="T">
      <formula>NOT(ISERROR(SEARCH("T",BH120)))</formula>
    </cfRule>
  </conditionalFormatting>
  <conditionalFormatting sqref="BH120:BI120 BL120:BN120">
    <cfRule type="containsText" dxfId="110" priority="104" operator="containsText" text="17">
      <formula>NOT(ISERROR(SEARCH("17",BH120)))</formula>
    </cfRule>
  </conditionalFormatting>
  <conditionalFormatting sqref="BI120">
    <cfRule type="containsText" dxfId="109" priority="105" operator="containsText" text="T">
      <formula>NOT(ISERROR(SEARCH("T",BI120)))</formula>
    </cfRule>
  </conditionalFormatting>
  <conditionalFormatting sqref="AQ122:AY122">
    <cfRule type="containsText" dxfId="108" priority="98" operator="containsText" text="17">
      <formula>NOT(ISERROR(SEARCH("17",AQ122)))</formula>
    </cfRule>
  </conditionalFormatting>
  <conditionalFormatting sqref="AQ122:BA122">
    <cfRule type="containsText" dxfId="107" priority="92" operator="containsText" text="T">
      <formula>NOT(ISERROR(SEARCH("T",AQ122)))</formula>
    </cfRule>
  </conditionalFormatting>
  <conditionalFormatting sqref="AQ122:BA122">
    <cfRule type="containsText" dxfId="106" priority="91" operator="containsText" text="17">
      <formula>NOT(ISERROR(SEARCH("17",AQ122)))</formula>
    </cfRule>
  </conditionalFormatting>
  <conditionalFormatting sqref="BB122:BH122">
    <cfRule type="containsText" dxfId="105" priority="99" operator="containsText" text="17">
      <formula>NOT(ISERROR(SEARCH("17",BB122)))</formula>
    </cfRule>
    <cfRule type="containsText" dxfId="104" priority="100" operator="containsText" text="T">
      <formula>NOT(ISERROR(SEARCH("T",BB122)))</formula>
    </cfRule>
  </conditionalFormatting>
  <conditionalFormatting sqref="BC122">
    <cfRule type="containsText" dxfId="103" priority="96" operator="containsText" text="17">
      <formula>NOT(ISERROR(SEARCH("17",BC122)))</formula>
    </cfRule>
    <cfRule type="containsText" dxfId="102" priority="97" operator="containsText" text="T">
      <formula>NOT(ISERROR(SEARCH("T",BC122)))</formula>
    </cfRule>
  </conditionalFormatting>
  <conditionalFormatting sqref="BH122 BL122:BN122">
    <cfRule type="containsText" dxfId="101" priority="93" operator="containsText" text="T">
      <formula>NOT(ISERROR(SEARCH("T",BH122)))</formula>
    </cfRule>
  </conditionalFormatting>
  <conditionalFormatting sqref="BH122:BI122 BL122:BN122">
    <cfRule type="containsText" dxfId="100" priority="94" operator="containsText" text="17">
      <formula>NOT(ISERROR(SEARCH("17",BH122)))</formula>
    </cfRule>
  </conditionalFormatting>
  <conditionalFormatting sqref="BI122">
    <cfRule type="containsText" dxfId="99" priority="95" operator="containsText" text="T">
      <formula>NOT(ISERROR(SEARCH("T",BI122)))</formula>
    </cfRule>
  </conditionalFormatting>
  <conditionalFormatting sqref="AR103:BB104">
    <cfRule type="containsText" dxfId="98" priority="81" operator="containsText" text="17">
      <formula>NOT(ISERROR(SEARCH("17",AR103)))</formula>
    </cfRule>
    <cfRule type="containsText" dxfId="97" priority="82" operator="containsText" text="T">
      <formula>NOT(ISERROR(SEARCH("T",AR103)))</formula>
    </cfRule>
  </conditionalFormatting>
  <conditionalFormatting sqref="AR103:AZ104">
    <cfRule type="containsText" dxfId="96" priority="88" operator="containsText" text="17">
      <formula>NOT(ISERROR(SEARCH("17",AR103)))</formula>
    </cfRule>
  </conditionalFormatting>
  <conditionalFormatting sqref="BC103:BI104">
    <cfRule type="containsText" dxfId="95" priority="89" operator="containsText" text="17">
      <formula>NOT(ISERROR(SEARCH("17",BC103)))</formula>
    </cfRule>
    <cfRule type="containsText" dxfId="94" priority="90" operator="containsText" text="T">
      <formula>NOT(ISERROR(SEARCH("T",BC103)))</formula>
    </cfRule>
  </conditionalFormatting>
  <conditionalFormatting sqref="BD103:BD104">
    <cfRule type="containsText" dxfId="93" priority="86" operator="containsText" text="17">
      <formula>NOT(ISERROR(SEARCH("17",BD103)))</formula>
    </cfRule>
    <cfRule type="containsText" dxfId="92" priority="87" operator="containsText" text="T">
      <formula>NOT(ISERROR(SEARCH("T",BD103)))</formula>
    </cfRule>
  </conditionalFormatting>
  <conditionalFormatting sqref="BI103:BI104 BM103:BO104">
    <cfRule type="containsText" dxfId="91" priority="83" operator="containsText" text="T">
      <formula>NOT(ISERROR(SEARCH("T",BI103)))</formula>
    </cfRule>
  </conditionalFormatting>
  <conditionalFormatting sqref="BI103:BJ104 BM103:BO104">
    <cfRule type="containsText" dxfId="90" priority="84" operator="containsText" text="17">
      <formula>NOT(ISERROR(SEARCH("17",BI103)))</formula>
    </cfRule>
  </conditionalFormatting>
  <conditionalFormatting sqref="BJ103:BJ104">
    <cfRule type="containsText" dxfId="89" priority="85" operator="containsText" text="T">
      <formula>NOT(ISERROR(SEARCH("T",BJ103)))</formula>
    </cfRule>
  </conditionalFormatting>
  <conditionalFormatting sqref="AR121:BB121">
    <cfRule type="containsText" dxfId="88" priority="71" operator="containsText" text="17">
      <formula>NOT(ISERROR(SEARCH("17",AR121)))</formula>
    </cfRule>
    <cfRule type="containsText" dxfId="87" priority="72" operator="containsText" text="T">
      <formula>NOT(ISERROR(SEARCH("T",AR121)))</formula>
    </cfRule>
  </conditionalFormatting>
  <conditionalFormatting sqref="AR121:AZ121">
    <cfRule type="containsText" dxfId="86" priority="78" operator="containsText" text="17">
      <formula>NOT(ISERROR(SEARCH("17",AR121)))</formula>
    </cfRule>
  </conditionalFormatting>
  <conditionalFormatting sqref="BC121:BI121">
    <cfRule type="containsText" dxfId="85" priority="79" operator="containsText" text="17">
      <formula>NOT(ISERROR(SEARCH("17",BC121)))</formula>
    </cfRule>
    <cfRule type="containsText" dxfId="84" priority="80" operator="containsText" text="T">
      <formula>NOT(ISERROR(SEARCH("T",BC121)))</formula>
    </cfRule>
  </conditionalFormatting>
  <conditionalFormatting sqref="BD121">
    <cfRule type="containsText" dxfId="83" priority="76" operator="containsText" text="17">
      <formula>NOT(ISERROR(SEARCH("17",BD121)))</formula>
    </cfRule>
    <cfRule type="containsText" dxfId="82" priority="77" operator="containsText" text="T">
      <formula>NOT(ISERROR(SEARCH("T",BD121)))</formula>
    </cfRule>
  </conditionalFormatting>
  <conditionalFormatting sqref="BI121 BM121:BO121">
    <cfRule type="containsText" dxfId="81" priority="73" operator="containsText" text="T">
      <formula>NOT(ISERROR(SEARCH("T",BI121)))</formula>
    </cfRule>
  </conditionalFormatting>
  <conditionalFormatting sqref="BI121:BJ121 BM121:BO121">
    <cfRule type="containsText" dxfId="80" priority="74" operator="containsText" text="17">
      <formula>NOT(ISERROR(SEARCH("17",BI121)))</formula>
    </cfRule>
  </conditionalFormatting>
  <conditionalFormatting sqref="BJ121">
    <cfRule type="containsText" dxfId="79" priority="75" operator="containsText" text="T">
      <formula>NOT(ISERROR(SEARCH("T",BJ121)))</formula>
    </cfRule>
  </conditionalFormatting>
  <conditionalFormatting sqref="AR123:BB123">
    <cfRule type="containsText" dxfId="78" priority="61" operator="containsText" text="17">
      <formula>NOT(ISERROR(SEARCH("17",AR123)))</formula>
    </cfRule>
    <cfRule type="containsText" dxfId="77" priority="62" operator="containsText" text="T">
      <formula>NOT(ISERROR(SEARCH("T",AR123)))</formula>
    </cfRule>
  </conditionalFormatting>
  <conditionalFormatting sqref="AR123:AZ123">
    <cfRule type="containsText" dxfId="76" priority="68" operator="containsText" text="17">
      <formula>NOT(ISERROR(SEARCH("17",AR123)))</formula>
    </cfRule>
  </conditionalFormatting>
  <conditionalFormatting sqref="BC123:BI123">
    <cfRule type="containsText" dxfId="75" priority="69" operator="containsText" text="17">
      <formula>NOT(ISERROR(SEARCH("17",BC123)))</formula>
    </cfRule>
    <cfRule type="containsText" dxfId="74" priority="70" operator="containsText" text="T">
      <formula>NOT(ISERROR(SEARCH("T",BC123)))</formula>
    </cfRule>
  </conditionalFormatting>
  <conditionalFormatting sqref="BD123">
    <cfRule type="containsText" dxfId="73" priority="66" operator="containsText" text="17">
      <formula>NOT(ISERROR(SEARCH("17",BD123)))</formula>
    </cfRule>
    <cfRule type="containsText" dxfId="72" priority="67" operator="containsText" text="T">
      <formula>NOT(ISERROR(SEARCH("T",BD123)))</formula>
    </cfRule>
  </conditionalFormatting>
  <conditionalFormatting sqref="BI123 BM123:BO123">
    <cfRule type="containsText" dxfId="71" priority="63" operator="containsText" text="T">
      <formula>NOT(ISERROR(SEARCH("T",BI123)))</formula>
    </cfRule>
  </conditionalFormatting>
  <conditionalFormatting sqref="BI123:BJ123 BM123:BO123">
    <cfRule type="containsText" dxfId="70" priority="64" operator="containsText" text="17">
      <formula>NOT(ISERROR(SEARCH("17",BI123)))</formula>
    </cfRule>
  </conditionalFormatting>
  <conditionalFormatting sqref="BJ123">
    <cfRule type="containsText" dxfId="69" priority="65" operator="containsText" text="T">
      <formula>NOT(ISERROR(SEARCH("T",BJ123)))</formula>
    </cfRule>
  </conditionalFormatting>
  <conditionalFormatting sqref="AR69:BB71">
    <cfRule type="containsText" dxfId="68" priority="51" operator="containsText" text="17">
      <formula>NOT(ISERROR(SEARCH("17",AR69)))</formula>
    </cfRule>
    <cfRule type="containsText" dxfId="67" priority="52" operator="containsText" text="T">
      <formula>NOT(ISERROR(SEARCH("T",AR69)))</formula>
    </cfRule>
  </conditionalFormatting>
  <conditionalFormatting sqref="AR69:AZ71">
    <cfRule type="containsText" dxfId="66" priority="58" operator="containsText" text="17">
      <formula>NOT(ISERROR(SEARCH("17",AR69)))</formula>
    </cfRule>
  </conditionalFormatting>
  <conditionalFormatting sqref="BC69:BI71">
    <cfRule type="containsText" dxfId="65" priority="59" operator="containsText" text="17">
      <formula>NOT(ISERROR(SEARCH("17",BC69)))</formula>
    </cfRule>
    <cfRule type="containsText" dxfId="64" priority="60" operator="containsText" text="T">
      <formula>NOT(ISERROR(SEARCH("T",BC69)))</formula>
    </cfRule>
  </conditionalFormatting>
  <conditionalFormatting sqref="BD69:BD71">
    <cfRule type="containsText" dxfId="63" priority="56" operator="containsText" text="17">
      <formula>NOT(ISERROR(SEARCH("17",BD69)))</formula>
    </cfRule>
    <cfRule type="containsText" dxfId="62" priority="57" operator="containsText" text="T">
      <formula>NOT(ISERROR(SEARCH("T",BD69)))</formula>
    </cfRule>
  </conditionalFormatting>
  <conditionalFormatting sqref="BI69:BI71 BM69:BO71">
    <cfRule type="containsText" dxfId="61" priority="53" operator="containsText" text="T">
      <formula>NOT(ISERROR(SEARCH("T",BI69)))</formula>
    </cfRule>
  </conditionalFormatting>
  <conditionalFormatting sqref="BI69:BJ71 BM69:BO71">
    <cfRule type="containsText" dxfId="60" priority="54" operator="containsText" text="17">
      <formula>NOT(ISERROR(SEARCH("17",BI69)))</formula>
    </cfRule>
  </conditionalFormatting>
  <conditionalFormatting sqref="BJ69:BJ71">
    <cfRule type="containsText" dxfId="59" priority="55" operator="containsText" text="T">
      <formula>NOT(ISERROR(SEARCH("T",BJ69)))</formula>
    </cfRule>
  </conditionalFormatting>
  <conditionalFormatting sqref="AS99:BA102">
    <cfRule type="containsText" dxfId="58" priority="48" operator="containsText" text="17">
      <formula>NOT(ISERROR(SEARCH("17",AS99)))</formula>
    </cfRule>
  </conditionalFormatting>
  <conditionalFormatting sqref="AS99:BC102">
    <cfRule type="containsText" dxfId="57" priority="41" operator="containsText" text="17">
      <formula>NOT(ISERROR(SEARCH("17",AS99)))</formula>
    </cfRule>
    <cfRule type="containsText" dxfId="56" priority="42" operator="containsText" text="T">
      <formula>NOT(ISERROR(SEARCH("T",AS99)))</formula>
    </cfRule>
  </conditionalFormatting>
  <conditionalFormatting sqref="BD99:BJ102">
    <cfRule type="containsText" dxfId="55" priority="49" operator="containsText" text="17">
      <formula>NOT(ISERROR(SEARCH("17",BD99)))</formula>
    </cfRule>
    <cfRule type="containsText" dxfId="54" priority="50" operator="containsText" text="T">
      <formula>NOT(ISERROR(SEARCH("T",BD99)))</formula>
    </cfRule>
  </conditionalFormatting>
  <conditionalFormatting sqref="BE99:BE102">
    <cfRule type="containsText" dxfId="53" priority="46" operator="containsText" text="17">
      <formula>NOT(ISERROR(SEARCH("17",BE99)))</formula>
    </cfRule>
    <cfRule type="containsText" dxfId="52" priority="47" operator="containsText" text="T">
      <formula>NOT(ISERROR(SEARCH("T",BE99)))</formula>
    </cfRule>
  </conditionalFormatting>
  <conditionalFormatting sqref="BJ99:BJ102 BN99:BP102">
    <cfRule type="containsText" dxfId="51" priority="43" operator="containsText" text="T">
      <formula>NOT(ISERROR(SEARCH("T",BJ99)))</formula>
    </cfRule>
  </conditionalFormatting>
  <conditionalFormatting sqref="BJ99:BK102 BN99:BP102">
    <cfRule type="containsText" dxfId="50" priority="44" operator="containsText" text="17">
      <formula>NOT(ISERROR(SEARCH("17",BJ99)))</formula>
    </cfRule>
  </conditionalFormatting>
  <conditionalFormatting sqref="BK99:BK102">
    <cfRule type="containsText" dxfId="49" priority="45" operator="containsText" text="T">
      <formula>NOT(ISERROR(SEARCH("T",BK99)))</formula>
    </cfRule>
  </conditionalFormatting>
  <conditionalFormatting sqref="AS105:BA105">
    <cfRule type="containsText" dxfId="48" priority="38" operator="containsText" text="17">
      <formula>NOT(ISERROR(SEARCH("17",AS105)))</formula>
    </cfRule>
  </conditionalFormatting>
  <conditionalFormatting sqref="AS105:BC105">
    <cfRule type="containsText" dxfId="47" priority="31" operator="containsText" text="17">
      <formula>NOT(ISERROR(SEARCH("17",AS105)))</formula>
    </cfRule>
    <cfRule type="containsText" dxfId="46" priority="32" operator="containsText" text="T">
      <formula>NOT(ISERROR(SEARCH("T",AS105)))</formula>
    </cfRule>
  </conditionalFormatting>
  <conditionalFormatting sqref="BD105:BJ105">
    <cfRule type="containsText" dxfId="45" priority="39" operator="containsText" text="17">
      <formula>NOT(ISERROR(SEARCH("17",BD105)))</formula>
    </cfRule>
    <cfRule type="containsText" dxfId="44" priority="40" operator="containsText" text="T">
      <formula>NOT(ISERROR(SEARCH("T",BD105)))</formula>
    </cfRule>
  </conditionalFormatting>
  <conditionalFormatting sqref="BE105">
    <cfRule type="containsText" dxfId="43" priority="36" operator="containsText" text="17">
      <formula>NOT(ISERROR(SEARCH("17",BE105)))</formula>
    </cfRule>
    <cfRule type="containsText" dxfId="42" priority="37" operator="containsText" text="T">
      <formula>NOT(ISERROR(SEARCH("T",BE105)))</formula>
    </cfRule>
  </conditionalFormatting>
  <conditionalFormatting sqref="BJ105 BN105:BP105">
    <cfRule type="containsText" dxfId="41" priority="33" operator="containsText" text="T">
      <formula>NOT(ISERROR(SEARCH("T",BJ105)))</formula>
    </cfRule>
  </conditionalFormatting>
  <conditionalFormatting sqref="BJ105:BK105 BN105:BP105">
    <cfRule type="containsText" dxfId="40" priority="34" operator="containsText" text="17">
      <formula>NOT(ISERROR(SEARCH("17",BJ105)))</formula>
    </cfRule>
  </conditionalFormatting>
  <conditionalFormatting sqref="BK105">
    <cfRule type="containsText" dxfId="39" priority="35" operator="containsText" text="T">
      <formula>NOT(ISERROR(SEARCH("T",BK105)))</formula>
    </cfRule>
  </conditionalFormatting>
  <conditionalFormatting sqref="AS67:BA68">
    <cfRule type="containsText" dxfId="38" priority="28" operator="containsText" text="17">
      <formula>NOT(ISERROR(SEARCH("17",AS67)))</formula>
    </cfRule>
  </conditionalFormatting>
  <conditionalFormatting sqref="AS67:BC68">
    <cfRule type="containsText" dxfId="37" priority="21" operator="containsText" text="17">
      <formula>NOT(ISERROR(SEARCH("17",AS67)))</formula>
    </cfRule>
    <cfRule type="containsText" dxfId="36" priority="22" operator="containsText" text="T">
      <formula>NOT(ISERROR(SEARCH("T",AS67)))</formula>
    </cfRule>
  </conditionalFormatting>
  <conditionalFormatting sqref="BD67:BJ68">
    <cfRule type="containsText" dxfId="35" priority="29" operator="containsText" text="17">
      <formula>NOT(ISERROR(SEARCH("17",BD67)))</formula>
    </cfRule>
    <cfRule type="containsText" dxfId="34" priority="30" operator="containsText" text="T">
      <formula>NOT(ISERROR(SEARCH("T",BD67)))</formula>
    </cfRule>
  </conditionalFormatting>
  <conditionalFormatting sqref="BE67:BE68">
    <cfRule type="containsText" dxfId="33" priority="26" operator="containsText" text="17">
      <formula>NOT(ISERROR(SEARCH("17",BE67)))</formula>
    </cfRule>
    <cfRule type="containsText" dxfId="32" priority="27" operator="containsText" text="T">
      <formula>NOT(ISERROR(SEARCH("T",BE67)))</formula>
    </cfRule>
  </conditionalFormatting>
  <conditionalFormatting sqref="BJ67:BJ68 BN67:BP68">
    <cfRule type="containsText" dxfId="31" priority="23" operator="containsText" text="T">
      <formula>NOT(ISERROR(SEARCH("T",BJ67)))</formula>
    </cfRule>
  </conditionalFormatting>
  <conditionalFormatting sqref="BJ67:BK68 BN67:BP68">
    <cfRule type="containsText" dxfId="30" priority="24" operator="containsText" text="17">
      <formula>NOT(ISERROR(SEARCH("17",BJ67)))</formula>
    </cfRule>
  </conditionalFormatting>
  <conditionalFormatting sqref="BK67:BK68">
    <cfRule type="containsText" dxfId="29" priority="25" operator="containsText" text="T">
      <formula>NOT(ISERROR(SEARCH("T",BK67)))</formula>
    </cfRule>
  </conditionalFormatting>
  <conditionalFormatting sqref="AT97:BB98">
    <cfRule type="containsText" dxfId="28" priority="18" operator="containsText" text="17">
      <formula>NOT(ISERROR(SEARCH("17",AT97)))</formula>
    </cfRule>
  </conditionalFormatting>
  <conditionalFormatting sqref="AT97:BD98">
    <cfRule type="containsText" dxfId="27" priority="11" operator="containsText" text="17">
      <formula>NOT(ISERROR(SEARCH("17",AT97)))</formula>
    </cfRule>
    <cfRule type="containsText" dxfId="26" priority="12" operator="containsText" text="T">
      <formula>NOT(ISERROR(SEARCH("T",AT97)))</formula>
    </cfRule>
  </conditionalFormatting>
  <conditionalFormatting sqref="BE97:BK98">
    <cfRule type="containsText" dxfId="25" priority="19" operator="containsText" text="17">
      <formula>NOT(ISERROR(SEARCH("17",BE97)))</formula>
    </cfRule>
    <cfRule type="containsText" dxfId="24" priority="20" operator="containsText" text="T">
      <formula>NOT(ISERROR(SEARCH("T",BE97)))</formula>
    </cfRule>
  </conditionalFormatting>
  <conditionalFormatting sqref="BF97:BF98">
    <cfRule type="containsText" dxfId="23" priority="16" operator="containsText" text="17">
      <formula>NOT(ISERROR(SEARCH("17",BF97)))</formula>
    </cfRule>
    <cfRule type="containsText" dxfId="22" priority="17" operator="containsText" text="T">
      <formula>NOT(ISERROR(SEARCH("T",BF97)))</formula>
    </cfRule>
  </conditionalFormatting>
  <conditionalFormatting sqref="BK97:BK98 BO97:BQ98">
    <cfRule type="containsText" dxfId="21" priority="13" operator="containsText" text="T">
      <formula>NOT(ISERROR(SEARCH("T",BK97)))</formula>
    </cfRule>
  </conditionalFormatting>
  <conditionalFormatting sqref="BK97:BL98 BO97:BQ98">
    <cfRule type="containsText" dxfId="20" priority="14" operator="containsText" text="17">
      <formula>NOT(ISERROR(SEARCH("17",BK97)))</formula>
    </cfRule>
  </conditionalFormatting>
  <conditionalFormatting sqref="BL97:BL98">
    <cfRule type="containsText" dxfId="19" priority="15" operator="containsText" text="T">
      <formula>NOT(ISERROR(SEARCH("T",BL97)))</formula>
    </cfRule>
  </conditionalFormatting>
  <conditionalFormatting sqref="AT131:BB137">
    <cfRule type="containsText" dxfId="18" priority="8" operator="containsText" text="17">
      <formula>NOT(ISERROR(SEARCH("17",AT131)))</formula>
    </cfRule>
  </conditionalFormatting>
  <conditionalFormatting sqref="AT131:BD137">
    <cfRule type="containsText" dxfId="17" priority="1" operator="containsText" text="17">
      <formula>NOT(ISERROR(SEARCH("17",AT131)))</formula>
    </cfRule>
    <cfRule type="containsText" dxfId="16" priority="2" operator="containsText" text="T">
      <formula>NOT(ISERROR(SEARCH("T",AT131)))</formula>
    </cfRule>
  </conditionalFormatting>
  <conditionalFormatting sqref="BE131:BK137">
    <cfRule type="containsText" dxfId="15" priority="9" operator="containsText" text="17">
      <formula>NOT(ISERROR(SEARCH("17",BE131)))</formula>
    </cfRule>
    <cfRule type="containsText" dxfId="14" priority="10" operator="containsText" text="T">
      <formula>NOT(ISERROR(SEARCH("T",BE131)))</formula>
    </cfRule>
  </conditionalFormatting>
  <conditionalFormatting sqref="BF131:BF137">
    <cfRule type="containsText" dxfId="13" priority="6" operator="containsText" text="17">
      <formula>NOT(ISERROR(SEARCH("17",BF131)))</formula>
    </cfRule>
    <cfRule type="containsText" dxfId="12" priority="7" operator="containsText" text="T">
      <formula>NOT(ISERROR(SEARCH("T",BF131)))</formula>
    </cfRule>
  </conditionalFormatting>
  <conditionalFormatting sqref="BK131:BK137 BO131:BQ137">
    <cfRule type="containsText" dxfId="11" priority="3" operator="containsText" text="T">
      <formula>NOT(ISERROR(SEARCH("T",BK131)))</formula>
    </cfRule>
  </conditionalFormatting>
  <conditionalFormatting sqref="BK131:BL137 BO131:BQ137">
    <cfRule type="containsText" dxfId="10" priority="4" operator="containsText" text="17">
      <formula>NOT(ISERROR(SEARCH("17",BK131)))</formula>
    </cfRule>
  </conditionalFormatting>
  <conditionalFormatting sqref="BL131:BL137">
    <cfRule type="containsText" dxfId="9" priority="5" operator="containsText" text="T">
      <formula>NOT(ISERROR(SEARCH("T",BL131)))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264"/>
  <sheetViews>
    <sheetView workbookViewId="0">
      <pane xSplit="2" ySplit="1" topLeftCell="C42" activePane="bottomRight" state="frozen"/>
      <selection pane="topRight" activeCell="C1" sqref="C1"/>
      <selection pane="bottomLeft" activeCell="A2" sqref="A2"/>
      <selection pane="bottomRight" activeCell="J68" sqref="J68"/>
    </sheetView>
  </sheetViews>
  <sheetFormatPr defaultRowHeight="15" x14ac:dyDescent="0.25"/>
  <cols>
    <col min="1" max="1" width="10.7109375" bestFit="1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30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62" si="40">I36-A36</f>
        <v>29</v>
      </c>
      <c r="K36" s="25">
        <v>18.510000000000002</v>
      </c>
      <c r="L36" s="25">
        <v>8.51</v>
      </c>
      <c r="M36" s="25">
        <f t="shared" ref="M36:M62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45997</v>
      </c>
      <c r="J44" s="78">
        <f t="shared" si="40"/>
        <v>29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45997</v>
      </c>
      <c r="J45" s="78">
        <f t="shared" si="40"/>
        <v>29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45997</v>
      </c>
      <c r="J46" s="78">
        <f t="shared" si="40"/>
        <v>29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45997</v>
      </c>
      <c r="J47" s="78">
        <f t="shared" si="40"/>
        <v>29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45997</v>
      </c>
      <c r="J48" s="78">
        <f t="shared" si="40"/>
        <v>29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45997</v>
      </c>
      <c r="J49" s="78">
        <f t="shared" si="40"/>
        <v>29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45997</v>
      </c>
      <c r="J50" s="78">
        <f t="shared" si="40"/>
        <v>29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>
        <v>45998</v>
      </c>
      <c r="J51" s="78">
        <f t="shared" si="40"/>
        <v>29</v>
      </c>
      <c r="K51" s="25">
        <v>14.21</v>
      </c>
      <c r="L51" s="25">
        <v>7.71</v>
      </c>
      <c r="M51" s="25">
        <f t="shared" si="41"/>
        <v>6.5000000000000009</v>
      </c>
      <c r="N51" s="25" t="s">
        <v>592</v>
      </c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>
        <v>45998</v>
      </c>
      <c r="J52" s="78">
        <f t="shared" si="40"/>
        <v>29</v>
      </c>
      <c r="K52" s="25">
        <v>13.68</v>
      </c>
      <c r="L52" s="25">
        <v>6.22</v>
      </c>
      <c r="M52" s="25">
        <f t="shared" si="41"/>
        <v>7.46</v>
      </c>
      <c r="N52" s="25" t="s">
        <v>592</v>
      </c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>
        <v>45998</v>
      </c>
      <c r="J53" s="78">
        <f t="shared" si="40"/>
        <v>29</v>
      </c>
      <c r="K53" s="25">
        <v>15.29</v>
      </c>
      <c r="L53" s="25">
        <v>8.69</v>
      </c>
      <c r="M53" s="25">
        <f t="shared" si="41"/>
        <v>6.6</v>
      </c>
      <c r="N53" s="25" t="s">
        <v>592</v>
      </c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>
        <v>45998</v>
      </c>
      <c r="J54" s="78">
        <f t="shared" si="40"/>
        <v>29</v>
      </c>
      <c r="K54" s="25">
        <v>11.52</v>
      </c>
      <c r="L54" s="25">
        <v>10.77</v>
      </c>
      <c r="M54" s="25">
        <f t="shared" si="41"/>
        <v>0.75</v>
      </c>
      <c r="N54" s="25" t="s">
        <v>593</v>
      </c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>
        <v>45998</v>
      </c>
      <c r="J55" s="78">
        <f t="shared" si="40"/>
        <v>29</v>
      </c>
      <c r="K55" s="25">
        <v>13.4</v>
      </c>
      <c r="L55" s="25">
        <v>12.19</v>
      </c>
      <c r="M55" s="25">
        <f t="shared" si="41"/>
        <v>1.2100000000000009</v>
      </c>
      <c r="N55" s="25" t="s">
        <v>593</v>
      </c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>
        <v>45998</v>
      </c>
      <c r="J56" s="78">
        <f t="shared" si="40"/>
        <v>29</v>
      </c>
      <c r="K56" s="25">
        <v>11.58</v>
      </c>
      <c r="L56" s="25">
        <v>10.71</v>
      </c>
      <c r="M56" s="25">
        <f t="shared" si="41"/>
        <v>0.86999999999999922</v>
      </c>
      <c r="N56" s="25" t="s">
        <v>593</v>
      </c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>
        <v>45998</v>
      </c>
      <c r="J57" s="78">
        <f t="shared" si="40"/>
        <v>29</v>
      </c>
      <c r="K57" s="25">
        <v>12.17</v>
      </c>
      <c r="L57" s="25">
        <v>11.59</v>
      </c>
      <c r="M57" s="25">
        <f t="shared" si="41"/>
        <v>0.58000000000000007</v>
      </c>
      <c r="N57" s="25" t="s">
        <v>593</v>
      </c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>
        <v>45998</v>
      </c>
      <c r="J58" s="78">
        <f t="shared" si="40"/>
        <v>28</v>
      </c>
      <c r="K58" s="25">
        <v>11.98</v>
      </c>
      <c r="L58" s="25">
        <v>10.01</v>
      </c>
      <c r="M58" s="25">
        <f t="shared" si="41"/>
        <v>1.9700000000000006</v>
      </c>
      <c r="N58" s="25" t="s">
        <v>593</v>
      </c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>
        <v>45998</v>
      </c>
      <c r="J59" s="78">
        <f t="shared" si="40"/>
        <v>28</v>
      </c>
      <c r="K59" s="25">
        <v>10.71</v>
      </c>
      <c r="L59" s="25">
        <v>9.84</v>
      </c>
      <c r="M59" s="25">
        <f t="shared" si="41"/>
        <v>0.87000000000000099</v>
      </c>
      <c r="N59" s="25" t="s">
        <v>593</v>
      </c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>
        <v>45998</v>
      </c>
      <c r="J60" s="78">
        <f t="shared" si="40"/>
        <v>28</v>
      </c>
      <c r="K60" s="25">
        <v>7.55</v>
      </c>
      <c r="L60" s="25">
        <v>6.64</v>
      </c>
      <c r="M60" s="25">
        <f t="shared" si="41"/>
        <v>0.91000000000000014</v>
      </c>
      <c r="N60" s="25" t="s">
        <v>593</v>
      </c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>
        <v>45998</v>
      </c>
      <c r="J61" s="78">
        <f t="shared" si="40"/>
        <v>28</v>
      </c>
      <c r="K61" s="25">
        <v>7.41</v>
      </c>
      <c r="L61" s="25">
        <v>6.28</v>
      </c>
      <c r="M61" s="25">
        <f t="shared" si="41"/>
        <v>1.1299999999999999</v>
      </c>
      <c r="N61" s="25" t="s">
        <v>593</v>
      </c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>
        <v>45998</v>
      </c>
      <c r="J62" s="78">
        <f t="shared" si="40"/>
        <v>28</v>
      </c>
      <c r="K62" s="25">
        <v>6.36</v>
      </c>
      <c r="L62" s="25">
        <v>5.71</v>
      </c>
      <c r="M62" s="25">
        <f t="shared" si="41"/>
        <v>0.65000000000000036</v>
      </c>
      <c r="N62" s="25" t="s">
        <v>593</v>
      </c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/>
      <c r="J63" s="78"/>
      <c r="K63" s="25"/>
      <c r="L63" s="25"/>
      <c r="M63" s="25"/>
      <c r="N63" s="25"/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/>
      <c r="J64" s="78"/>
      <c r="K64" s="25"/>
      <c r="L64" s="25"/>
      <c r="M64" s="25"/>
      <c r="N64" s="25"/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/>
      <c r="J65" s="78"/>
      <c r="K65" s="25"/>
      <c r="L65" s="25"/>
      <c r="M65" s="25"/>
      <c r="N65" s="25"/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/>
      <c r="J66" s="78"/>
      <c r="K66" s="25"/>
      <c r="L66" s="25"/>
      <c r="M66" s="25"/>
      <c r="N66" s="25"/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/>
      <c r="J67" s="78"/>
      <c r="K67" s="25"/>
      <c r="L67" s="25"/>
      <c r="M67" s="25"/>
      <c r="N67" s="25"/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/>
      <c r="J68" s="78"/>
      <c r="K68" s="25"/>
      <c r="L68" s="25"/>
      <c r="M68" s="25"/>
      <c r="N68" s="25"/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/>
      <c r="J69" s="78"/>
      <c r="K69" s="25"/>
      <c r="L69" s="25"/>
      <c r="M69" s="25"/>
      <c r="N69" s="25"/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/>
      <c r="J70" s="78"/>
      <c r="K70" s="25"/>
      <c r="L70" s="25"/>
      <c r="M70" s="25"/>
      <c r="N70" s="25"/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/>
      <c r="J71" s="78"/>
      <c r="K71" s="25"/>
      <c r="L71" s="25"/>
      <c r="M71" s="25"/>
      <c r="N71" s="25"/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/>
      <c r="J72" s="78"/>
      <c r="K72" s="25"/>
      <c r="L72" s="25"/>
      <c r="M72" s="25"/>
      <c r="N72" s="25"/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/>
      <c r="J73" s="78"/>
      <c r="K73" s="25"/>
      <c r="L73" s="25"/>
      <c r="M73" s="25"/>
      <c r="N73" s="25"/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/>
      <c r="J74" s="78"/>
      <c r="K74" s="25"/>
      <c r="L74" s="25"/>
      <c r="M74" s="25"/>
      <c r="N74" s="25"/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/>
      <c r="J75" s="78"/>
      <c r="K75" s="25"/>
      <c r="L75" s="25"/>
      <c r="M75" s="25"/>
      <c r="N75" s="25"/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/>
      <c r="J76" s="78"/>
      <c r="K76" s="25"/>
      <c r="L76" s="25"/>
      <c r="M76" s="25"/>
      <c r="N76" s="25"/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/>
      <c r="J77" s="78"/>
      <c r="K77" s="25"/>
      <c r="L77" s="25"/>
      <c r="M77" s="25"/>
      <c r="N77" s="25"/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/>
      <c r="J78" s="78"/>
      <c r="K78" s="25"/>
      <c r="L78" s="25"/>
      <c r="M78" s="25"/>
      <c r="N78" s="25"/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/>
      <c r="J79" s="78"/>
      <c r="K79" s="25"/>
      <c r="L79" s="25"/>
      <c r="M79" s="25"/>
      <c r="N79" s="25"/>
    </row>
    <row r="80" spans="1:14" x14ac:dyDescent="0.25">
      <c r="A80" s="77">
        <v>45973</v>
      </c>
      <c r="B80" s="25" t="s">
        <v>505</v>
      </c>
      <c r="C80" s="77">
        <f t="shared" ref="C80:C143" si="42">A80+23</f>
        <v>45996</v>
      </c>
      <c r="D80" s="77">
        <f t="shared" ref="D80:D143" si="43">A80+7</f>
        <v>45980</v>
      </c>
      <c r="E80" s="77">
        <f t="shared" ref="E80:E143" si="44">A80+14</f>
        <v>45987</v>
      </c>
      <c r="F80" s="77">
        <f t="shared" ref="F80:F143" si="45">A80+20</f>
        <v>45993</v>
      </c>
      <c r="G80" s="77">
        <f t="shared" ref="G80:G143" si="46">A80+8</f>
        <v>45981</v>
      </c>
      <c r="H80" s="77">
        <f t="shared" ref="H80:H143" si="47">A80+15</f>
        <v>45988</v>
      </c>
      <c r="I80" s="77"/>
      <c r="J80" s="78"/>
      <c r="K80" s="25"/>
      <c r="L80" s="25"/>
      <c r="M80" s="25"/>
      <c r="N80" s="25"/>
    </row>
    <row r="81" spans="1:14" x14ac:dyDescent="0.25">
      <c r="A81" s="77">
        <v>45973</v>
      </c>
      <c r="B81" s="25" t="s">
        <v>506</v>
      </c>
      <c r="C81" s="77">
        <f t="shared" si="42"/>
        <v>45996</v>
      </c>
      <c r="D81" s="77">
        <f t="shared" si="43"/>
        <v>45980</v>
      </c>
      <c r="E81" s="77">
        <f t="shared" si="44"/>
        <v>45987</v>
      </c>
      <c r="F81" s="77">
        <f t="shared" si="45"/>
        <v>45993</v>
      </c>
      <c r="G81" s="77">
        <f t="shared" si="46"/>
        <v>45981</v>
      </c>
      <c r="H81" s="77">
        <f t="shared" si="47"/>
        <v>45988</v>
      </c>
      <c r="I81" s="77"/>
      <c r="J81" s="78"/>
      <c r="K81" s="25"/>
      <c r="L81" s="25"/>
      <c r="M81" s="25"/>
      <c r="N81" s="25"/>
    </row>
    <row r="82" spans="1:14" x14ac:dyDescent="0.25">
      <c r="A82" s="77">
        <v>45973</v>
      </c>
      <c r="B82" s="25" t="s">
        <v>507</v>
      </c>
      <c r="C82" s="77">
        <f t="shared" si="42"/>
        <v>45996</v>
      </c>
      <c r="D82" s="77">
        <f t="shared" si="43"/>
        <v>45980</v>
      </c>
      <c r="E82" s="77">
        <f t="shared" si="44"/>
        <v>45987</v>
      </c>
      <c r="F82" s="77">
        <f t="shared" si="45"/>
        <v>45993</v>
      </c>
      <c r="G82" s="77">
        <f t="shared" si="46"/>
        <v>45981</v>
      </c>
      <c r="H82" s="77">
        <f t="shared" si="47"/>
        <v>45988</v>
      </c>
      <c r="I82" s="77"/>
      <c r="J82" s="78"/>
      <c r="K82" s="25"/>
      <c r="L82" s="25"/>
      <c r="M82" s="25"/>
      <c r="N82" s="25"/>
    </row>
    <row r="83" spans="1:14" x14ac:dyDescent="0.25">
      <c r="A83" s="77">
        <v>45973</v>
      </c>
      <c r="B83" s="25" t="s">
        <v>508</v>
      </c>
      <c r="C83" s="77">
        <f t="shared" si="42"/>
        <v>45996</v>
      </c>
      <c r="D83" s="77">
        <f t="shared" si="43"/>
        <v>45980</v>
      </c>
      <c r="E83" s="77">
        <f t="shared" si="44"/>
        <v>45987</v>
      </c>
      <c r="F83" s="77">
        <f t="shared" si="45"/>
        <v>45993</v>
      </c>
      <c r="G83" s="77">
        <f t="shared" si="46"/>
        <v>45981</v>
      </c>
      <c r="H83" s="77">
        <f t="shared" si="47"/>
        <v>45988</v>
      </c>
      <c r="I83" s="77"/>
      <c r="J83" s="78"/>
      <c r="K83" s="25"/>
      <c r="L83" s="25"/>
      <c r="M83" s="25"/>
      <c r="N83" s="25"/>
    </row>
    <row r="84" spans="1:14" x14ac:dyDescent="0.25">
      <c r="A84" s="77">
        <v>45973</v>
      </c>
      <c r="B84" s="25" t="s">
        <v>509</v>
      </c>
      <c r="C84" s="77">
        <f t="shared" si="42"/>
        <v>45996</v>
      </c>
      <c r="D84" s="77">
        <f t="shared" si="43"/>
        <v>45980</v>
      </c>
      <c r="E84" s="77">
        <f t="shared" si="44"/>
        <v>45987</v>
      </c>
      <c r="F84" s="77">
        <f t="shared" si="45"/>
        <v>45993</v>
      </c>
      <c r="G84" s="77">
        <f t="shared" si="46"/>
        <v>45981</v>
      </c>
      <c r="H84" s="77">
        <f t="shared" si="47"/>
        <v>45988</v>
      </c>
      <c r="I84" s="77"/>
      <c r="J84" s="78"/>
      <c r="K84" s="25"/>
      <c r="L84" s="25"/>
      <c r="M84" s="25"/>
      <c r="N84" s="25"/>
    </row>
    <row r="85" spans="1:14" x14ac:dyDescent="0.25">
      <c r="A85" s="77">
        <v>45973</v>
      </c>
      <c r="B85" s="25" t="s">
        <v>510</v>
      </c>
      <c r="C85" s="77">
        <f t="shared" si="42"/>
        <v>45996</v>
      </c>
      <c r="D85" s="77">
        <f t="shared" si="43"/>
        <v>45980</v>
      </c>
      <c r="E85" s="77">
        <f t="shared" si="44"/>
        <v>45987</v>
      </c>
      <c r="F85" s="77">
        <f t="shared" si="45"/>
        <v>45993</v>
      </c>
      <c r="G85" s="77">
        <f t="shared" si="46"/>
        <v>45981</v>
      </c>
      <c r="H85" s="77">
        <f t="shared" si="47"/>
        <v>45988</v>
      </c>
      <c r="I85" s="77"/>
      <c r="J85" s="78"/>
      <c r="K85" s="25"/>
      <c r="L85" s="25"/>
      <c r="M85" s="25"/>
      <c r="N85" s="25"/>
    </row>
    <row r="86" spans="1:14" x14ac:dyDescent="0.25">
      <c r="A86" s="77">
        <v>45974</v>
      </c>
      <c r="B86" s="25" t="s">
        <v>552</v>
      </c>
      <c r="C86" s="77">
        <f t="shared" si="42"/>
        <v>45997</v>
      </c>
      <c r="D86" s="77">
        <f t="shared" si="43"/>
        <v>45981</v>
      </c>
      <c r="E86" s="77">
        <f t="shared" si="44"/>
        <v>45988</v>
      </c>
      <c r="F86" s="77">
        <f t="shared" si="45"/>
        <v>45994</v>
      </c>
      <c r="G86" s="77">
        <f t="shared" si="46"/>
        <v>45982</v>
      </c>
      <c r="H86" s="77">
        <f t="shared" si="47"/>
        <v>45989</v>
      </c>
      <c r="I86" s="77"/>
      <c r="J86" s="78"/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2"/>
        <v>45997</v>
      </c>
      <c r="D87" s="77">
        <f t="shared" si="43"/>
        <v>45981</v>
      </c>
      <c r="E87" s="77">
        <f t="shared" si="44"/>
        <v>45988</v>
      </c>
      <c r="F87" s="77">
        <f t="shared" si="45"/>
        <v>45994</v>
      </c>
      <c r="G87" s="77">
        <f t="shared" si="46"/>
        <v>45982</v>
      </c>
      <c r="H87" s="77">
        <f t="shared" si="47"/>
        <v>45989</v>
      </c>
      <c r="I87" s="77"/>
      <c r="J87" s="78"/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2"/>
        <v>45997</v>
      </c>
      <c r="D88" s="77">
        <f t="shared" si="43"/>
        <v>45981</v>
      </c>
      <c r="E88" s="77">
        <f t="shared" si="44"/>
        <v>45988</v>
      </c>
      <c r="F88" s="77">
        <f t="shared" si="45"/>
        <v>45994</v>
      </c>
      <c r="G88" s="77">
        <f t="shared" si="46"/>
        <v>45982</v>
      </c>
      <c r="H88" s="77">
        <f t="shared" si="47"/>
        <v>45989</v>
      </c>
      <c r="I88" s="77"/>
      <c r="J88" s="78"/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2"/>
        <v>45997</v>
      </c>
      <c r="D89" s="77">
        <f t="shared" si="43"/>
        <v>45981</v>
      </c>
      <c r="E89" s="77">
        <f t="shared" si="44"/>
        <v>45988</v>
      </c>
      <c r="F89" s="77">
        <f t="shared" si="45"/>
        <v>45994</v>
      </c>
      <c r="G89" s="77">
        <f t="shared" si="46"/>
        <v>45982</v>
      </c>
      <c r="H89" s="77">
        <f t="shared" si="47"/>
        <v>45989</v>
      </c>
      <c r="I89" s="77"/>
      <c r="J89" s="78"/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2"/>
        <v>45997</v>
      </c>
      <c r="D90" s="77">
        <f t="shared" si="43"/>
        <v>45981</v>
      </c>
      <c r="E90" s="77">
        <f t="shared" si="44"/>
        <v>45988</v>
      </c>
      <c r="F90" s="77">
        <f t="shared" si="45"/>
        <v>45994</v>
      </c>
      <c r="G90" s="77">
        <f t="shared" si="46"/>
        <v>45982</v>
      </c>
      <c r="H90" s="77">
        <f t="shared" si="47"/>
        <v>45989</v>
      </c>
      <c r="I90" s="77"/>
      <c r="J90" s="78"/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2"/>
        <v>45997</v>
      </c>
      <c r="D91" s="77">
        <f t="shared" si="43"/>
        <v>45981</v>
      </c>
      <c r="E91" s="77">
        <f t="shared" si="44"/>
        <v>45988</v>
      </c>
      <c r="F91" s="77">
        <f t="shared" si="45"/>
        <v>45994</v>
      </c>
      <c r="G91" s="77">
        <f t="shared" si="46"/>
        <v>45982</v>
      </c>
      <c r="H91" s="77">
        <f t="shared" si="47"/>
        <v>45989</v>
      </c>
      <c r="I91" s="77"/>
      <c r="J91" s="78"/>
      <c r="K91" s="25"/>
      <c r="L91" s="25"/>
      <c r="M91" s="25"/>
      <c r="N91" s="25"/>
    </row>
    <row r="92" spans="1:14" x14ac:dyDescent="0.25">
      <c r="A92" s="77">
        <v>45974</v>
      </c>
      <c r="B92" s="25" t="s">
        <v>558</v>
      </c>
      <c r="C92" s="77">
        <f t="shared" si="42"/>
        <v>45997</v>
      </c>
      <c r="D92" s="77">
        <f t="shared" si="43"/>
        <v>45981</v>
      </c>
      <c r="E92" s="77">
        <f t="shared" si="44"/>
        <v>45988</v>
      </c>
      <c r="F92" s="77">
        <f t="shared" si="45"/>
        <v>45994</v>
      </c>
      <c r="G92" s="77">
        <f t="shared" si="46"/>
        <v>45982</v>
      </c>
      <c r="H92" s="77">
        <f t="shared" si="47"/>
        <v>45989</v>
      </c>
      <c r="I92" s="77"/>
      <c r="J92" s="78"/>
      <c r="K92" s="25"/>
      <c r="L92" s="25"/>
      <c r="M92" s="25"/>
      <c r="N92" s="25"/>
    </row>
    <row r="93" spans="1:14" x14ac:dyDescent="0.25">
      <c r="A93" s="77">
        <v>45975</v>
      </c>
      <c r="B93" s="25" t="s">
        <v>545</v>
      </c>
      <c r="C93" s="77">
        <f t="shared" si="42"/>
        <v>45998</v>
      </c>
      <c r="D93" s="77">
        <f t="shared" si="43"/>
        <v>45982</v>
      </c>
      <c r="E93" s="77">
        <f t="shared" si="44"/>
        <v>45989</v>
      </c>
      <c r="F93" s="77">
        <f t="shared" si="45"/>
        <v>45995</v>
      </c>
      <c r="G93" s="77">
        <f t="shared" si="46"/>
        <v>45983</v>
      </c>
      <c r="H93" s="77">
        <f t="shared" si="47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2"/>
        <v>45998</v>
      </c>
      <c r="D94" s="77">
        <f t="shared" si="43"/>
        <v>45982</v>
      </c>
      <c r="E94" s="77">
        <f t="shared" si="44"/>
        <v>45989</v>
      </c>
      <c r="F94" s="77">
        <f t="shared" si="45"/>
        <v>45995</v>
      </c>
      <c r="G94" s="77">
        <f t="shared" si="46"/>
        <v>45983</v>
      </c>
      <c r="H94" s="77">
        <f t="shared" si="47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2"/>
        <v>45998</v>
      </c>
      <c r="D95" s="77">
        <f t="shared" si="43"/>
        <v>45982</v>
      </c>
      <c r="E95" s="77">
        <f t="shared" si="44"/>
        <v>45989</v>
      </c>
      <c r="F95" s="77">
        <f t="shared" si="45"/>
        <v>45995</v>
      </c>
      <c r="G95" s="77">
        <f t="shared" si="46"/>
        <v>45983</v>
      </c>
      <c r="H95" s="77">
        <f t="shared" si="47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2"/>
        <v>45998</v>
      </c>
      <c r="D96" s="77">
        <f t="shared" si="43"/>
        <v>45982</v>
      </c>
      <c r="E96" s="77">
        <f t="shared" si="44"/>
        <v>45989</v>
      </c>
      <c r="F96" s="77">
        <f t="shared" si="45"/>
        <v>45995</v>
      </c>
      <c r="G96" s="77">
        <f t="shared" si="46"/>
        <v>45983</v>
      </c>
      <c r="H96" s="77">
        <f t="shared" si="47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2"/>
        <v>45998</v>
      </c>
      <c r="D97" s="77">
        <f t="shared" si="43"/>
        <v>45982</v>
      </c>
      <c r="E97" s="77">
        <f t="shared" si="44"/>
        <v>45989</v>
      </c>
      <c r="F97" s="77">
        <f t="shared" si="45"/>
        <v>45995</v>
      </c>
      <c r="G97" s="77">
        <f t="shared" si="46"/>
        <v>45983</v>
      </c>
      <c r="H97" s="77">
        <f t="shared" si="47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2"/>
        <v>45998</v>
      </c>
      <c r="D98" s="77">
        <f t="shared" si="43"/>
        <v>45982</v>
      </c>
      <c r="E98" s="77">
        <f t="shared" si="44"/>
        <v>45989</v>
      </c>
      <c r="F98" s="77">
        <f t="shared" si="45"/>
        <v>45995</v>
      </c>
      <c r="G98" s="77">
        <f t="shared" si="46"/>
        <v>45983</v>
      </c>
      <c r="H98" s="77">
        <f t="shared" si="47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2"/>
        <v>45998</v>
      </c>
      <c r="D99" s="77">
        <f t="shared" si="43"/>
        <v>45982</v>
      </c>
      <c r="E99" s="77">
        <f t="shared" si="44"/>
        <v>45989</v>
      </c>
      <c r="F99" s="77">
        <f t="shared" si="45"/>
        <v>45995</v>
      </c>
      <c r="G99" s="77">
        <f t="shared" si="46"/>
        <v>45983</v>
      </c>
      <c r="H99" s="77">
        <f t="shared" si="47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2"/>
        <v>45999</v>
      </c>
      <c r="D100" s="77">
        <f t="shared" si="43"/>
        <v>45983</v>
      </c>
      <c r="E100" s="77">
        <f t="shared" si="44"/>
        <v>45990</v>
      </c>
      <c r="F100" s="77">
        <f t="shared" si="45"/>
        <v>45996</v>
      </c>
      <c r="G100" s="77">
        <f t="shared" si="46"/>
        <v>45984</v>
      </c>
      <c r="H100" s="77">
        <f t="shared" si="47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2"/>
        <v>45999</v>
      </c>
      <c r="D101" s="77">
        <f t="shared" si="43"/>
        <v>45983</v>
      </c>
      <c r="E101" s="77">
        <f t="shared" si="44"/>
        <v>45990</v>
      </c>
      <c r="F101" s="77">
        <f t="shared" si="45"/>
        <v>45996</v>
      </c>
      <c r="G101" s="77">
        <f t="shared" si="46"/>
        <v>45984</v>
      </c>
      <c r="H101" s="77">
        <f t="shared" si="47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2"/>
        <v>45999</v>
      </c>
      <c r="D102" s="77">
        <f t="shared" si="43"/>
        <v>45983</v>
      </c>
      <c r="E102" s="77">
        <f t="shared" si="44"/>
        <v>45990</v>
      </c>
      <c r="F102" s="77">
        <f t="shared" si="45"/>
        <v>45996</v>
      </c>
      <c r="G102" s="77">
        <f t="shared" si="46"/>
        <v>45984</v>
      </c>
      <c r="H102" s="77">
        <f t="shared" si="47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2"/>
        <v>45999</v>
      </c>
      <c r="D103" s="77">
        <f t="shared" si="43"/>
        <v>45983</v>
      </c>
      <c r="E103" s="77">
        <f t="shared" si="44"/>
        <v>45990</v>
      </c>
      <c r="F103" s="77">
        <f t="shared" si="45"/>
        <v>45996</v>
      </c>
      <c r="G103" s="77">
        <f t="shared" si="46"/>
        <v>45984</v>
      </c>
      <c r="H103" s="77">
        <f t="shared" si="47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2"/>
        <v>45999</v>
      </c>
      <c r="D104" s="77">
        <f t="shared" si="43"/>
        <v>45983</v>
      </c>
      <c r="E104" s="77">
        <f t="shared" si="44"/>
        <v>45990</v>
      </c>
      <c r="F104" s="77">
        <f t="shared" si="45"/>
        <v>45996</v>
      </c>
      <c r="G104" s="77">
        <f t="shared" si="46"/>
        <v>45984</v>
      </c>
      <c r="H104" s="77">
        <f t="shared" si="47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2"/>
        <v>45999</v>
      </c>
      <c r="D105" s="77">
        <f t="shared" si="43"/>
        <v>45983</v>
      </c>
      <c r="E105" s="77">
        <f t="shared" si="44"/>
        <v>45990</v>
      </c>
      <c r="F105" s="77">
        <f t="shared" si="45"/>
        <v>45996</v>
      </c>
      <c r="G105" s="77">
        <f t="shared" si="46"/>
        <v>45984</v>
      </c>
      <c r="H105" s="77">
        <f t="shared" si="47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2"/>
        <v>45999</v>
      </c>
      <c r="D106" s="77">
        <f t="shared" si="43"/>
        <v>45983</v>
      </c>
      <c r="E106" s="77">
        <f t="shared" si="44"/>
        <v>45990</v>
      </c>
      <c r="F106" s="77">
        <f t="shared" si="45"/>
        <v>45996</v>
      </c>
      <c r="G106" s="77">
        <f t="shared" si="46"/>
        <v>45984</v>
      </c>
      <c r="H106" s="77">
        <f t="shared" si="47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2"/>
        <v>45999</v>
      </c>
      <c r="D107" s="77">
        <f t="shared" si="43"/>
        <v>45983</v>
      </c>
      <c r="E107" s="77">
        <f t="shared" si="44"/>
        <v>45990</v>
      </c>
      <c r="F107" s="77">
        <f t="shared" si="45"/>
        <v>45996</v>
      </c>
      <c r="G107" s="77">
        <f t="shared" si="46"/>
        <v>45984</v>
      </c>
      <c r="H107" s="77">
        <f t="shared" si="47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2"/>
        <v>46000</v>
      </c>
      <c r="D108" s="77">
        <f t="shared" si="43"/>
        <v>45984</v>
      </c>
      <c r="E108" s="77">
        <f t="shared" si="44"/>
        <v>45991</v>
      </c>
      <c r="F108" s="77">
        <f t="shared" si="45"/>
        <v>45997</v>
      </c>
      <c r="G108" s="77">
        <f t="shared" si="46"/>
        <v>45985</v>
      </c>
      <c r="H108" s="77">
        <f t="shared" si="47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2"/>
        <v>46000</v>
      </c>
      <c r="D109" s="77">
        <f t="shared" si="43"/>
        <v>45984</v>
      </c>
      <c r="E109" s="77">
        <f t="shared" si="44"/>
        <v>45991</v>
      </c>
      <c r="F109" s="77">
        <f t="shared" si="45"/>
        <v>45997</v>
      </c>
      <c r="G109" s="77">
        <f t="shared" si="46"/>
        <v>45985</v>
      </c>
      <c r="H109" s="77">
        <f t="shared" si="47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2"/>
        <v>46000</v>
      </c>
      <c r="D110" s="77">
        <f t="shared" si="43"/>
        <v>45984</v>
      </c>
      <c r="E110" s="77">
        <f t="shared" si="44"/>
        <v>45991</v>
      </c>
      <c r="F110" s="77">
        <f t="shared" si="45"/>
        <v>45997</v>
      </c>
      <c r="G110" s="77">
        <f t="shared" si="46"/>
        <v>45985</v>
      </c>
      <c r="H110" s="77">
        <f t="shared" si="47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2"/>
        <v>46000</v>
      </c>
      <c r="D111" s="77">
        <f t="shared" si="43"/>
        <v>45984</v>
      </c>
      <c r="E111" s="77">
        <f t="shared" si="44"/>
        <v>45991</v>
      </c>
      <c r="F111" s="77">
        <f t="shared" si="45"/>
        <v>45997</v>
      </c>
      <c r="G111" s="77">
        <f t="shared" si="46"/>
        <v>45985</v>
      </c>
      <c r="H111" s="77">
        <f t="shared" si="47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2"/>
        <v>46000</v>
      </c>
      <c r="D112" s="77">
        <f t="shared" si="43"/>
        <v>45984</v>
      </c>
      <c r="E112" s="77">
        <f t="shared" si="44"/>
        <v>45991</v>
      </c>
      <c r="F112" s="77">
        <f t="shared" si="45"/>
        <v>45997</v>
      </c>
      <c r="G112" s="77">
        <f t="shared" si="46"/>
        <v>45985</v>
      </c>
      <c r="H112" s="77">
        <f t="shared" si="47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2"/>
        <v>46000</v>
      </c>
      <c r="D113" s="77">
        <f t="shared" si="43"/>
        <v>45984</v>
      </c>
      <c r="E113" s="77">
        <f t="shared" si="44"/>
        <v>45991</v>
      </c>
      <c r="F113" s="77">
        <f t="shared" si="45"/>
        <v>45997</v>
      </c>
      <c r="G113" s="77">
        <f t="shared" si="46"/>
        <v>45985</v>
      </c>
      <c r="H113" s="77">
        <f t="shared" si="47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2"/>
        <v>46000</v>
      </c>
      <c r="D114" s="77">
        <f t="shared" si="43"/>
        <v>45984</v>
      </c>
      <c r="E114" s="77">
        <f t="shared" si="44"/>
        <v>45991</v>
      </c>
      <c r="F114" s="77">
        <f t="shared" si="45"/>
        <v>45997</v>
      </c>
      <c r="G114" s="77">
        <f t="shared" si="46"/>
        <v>45985</v>
      </c>
      <c r="H114" s="77">
        <f t="shared" si="47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2"/>
        <v>46001</v>
      </c>
      <c r="D115" s="77">
        <f t="shared" si="43"/>
        <v>45985</v>
      </c>
      <c r="E115" s="77">
        <f t="shared" si="44"/>
        <v>45992</v>
      </c>
      <c r="F115" s="77">
        <f t="shared" si="45"/>
        <v>45998</v>
      </c>
      <c r="G115" s="77">
        <f t="shared" si="46"/>
        <v>45986</v>
      </c>
      <c r="H115" s="77">
        <f t="shared" si="47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2"/>
        <v>46001</v>
      </c>
      <c r="D116" s="77">
        <f t="shared" si="43"/>
        <v>45985</v>
      </c>
      <c r="E116" s="77">
        <f t="shared" si="44"/>
        <v>45992</v>
      </c>
      <c r="F116" s="77">
        <f t="shared" si="45"/>
        <v>45998</v>
      </c>
      <c r="G116" s="77">
        <f t="shared" si="46"/>
        <v>45986</v>
      </c>
      <c r="H116" s="77">
        <f t="shared" si="47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2"/>
        <v>46001</v>
      </c>
      <c r="D117" s="77">
        <f t="shared" si="43"/>
        <v>45985</v>
      </c>
      <c r="E117" s="77">
        <f t="shared" si="44"/>
        <v>45992</v>
      </c>
      <c r="F117" s="77">
        <f t="shared" si="45"/>
        <v>45998</v>
      </c>
      <c r="G117" s="77">
        <f t="shared" si="46"/>
        <v>45986</v>
      </c>
      <c r="H117" s="77">
        <f t="shared" si="47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2"/>
        <v>46001</v>
      </c>
      <c r="D118" s="77">
        <f t="shared" si="43"/>
        <v>45985</v>
      </c>
      <c r="E118" s="77">
        <f t="shared" si="44"/>
        <v>45992</v>
      </c>
      <c r="F118" s="77">
        <f t="shared" si="45"/>
        <v>45998</v>
      </c>
      <c r="G118" s="77">
        <f t="shared" si="46"/>
        <v>45986</v>
      </c>
      <c r="H118" s="77">
        <f t="shared" si="47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2"/>
        <v>46001</v>
      </c>
      <c r="D119" s="77">
        <f t="shared" si="43"/>
        <v>45985</v>
      </c>
      <c r="E119" s="77">
        <f t="shared" si="44"/>
        <v>45992</v>
      </c>
      <c r="F119" s="77">
        <f t="shared" si="45"/>
        <v>45998</v>
      </c>
      <c r="G119" s="77">
        <f t="shared" si="46"/>
        <v>45986</v>
      </c>
      <c r="H119" s="77">
        <f t="shared" si="47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2"/>
        <v>46001</v>
      </c>
      <c r="D120" s="77">
        <f t="shared" si="43"/>
        <v>45985</v>
      </c>
      <c r="E120" s="77">
        <f t="shared" si="44"/>
        <v>45992</v>
      </c>
      <c r="F120" s="77">
        <f t="shared" si="45"/>
        <v>45998</v>
      </c>
      <c r="G120" s="77">
        <f t="shared" si="46"/>
        <v>45986</v>
      </c>
      <c r="H120" s="77">
        <f t="shared" si="47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2"/>
        <v>46001</v>
      </c>
      <c r="D121" s="77">
        <f t="shared" si="43"/>
        <v>45985</v>
      </c>
      <c r="E121" s="77">
        <f t="shared" si="44"/>
        <v>45992</v>
      </c>
      <c r="F121" s="77">
        <f t="shared" si="45"/>
        <v>45998</v>
      </c>
      <c r="G121" s="77">
        <f t="shared" si="46"/>
        <v>45986</v>
      </c>
      <c r="H121" s="77">
        <f t="shared" si="47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2"/>
        <v>46002</v>
      </c>
      <c r="D122" s="77">
        <f t="shared" si="43"/>
        <v>45986</v>
      </c>
      <c r="E122" s="77">
        <f t="shared" si="44"/>
        <v>45993</v>
      </c>
      <c r="F122" s="77">
        <f t="shared" si="45"/>
        <v>45999</v>
      </c>
      <c r="G122" s="77">
        <f t="shared" si="46"/>
        <v>45987</v>
      </c>
      <c r="H122" s="77">
        <f t="shared" si="47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2"/>
        <v>46002</v>
      </c>
      <c r="D123" s="77">
        <f t="shared" si="43"/>
        <v>45986</v>
      </c>
      <c r="E123" s="77">
        <f t="shared" si="44"/>
        <v>45993</v>
      </c>
      <c r="F123" s="77">
        <f t="shared" si="45"/>
        <v>45999</v>
      </c>
      <c r="G123" s="77">
        <f t="shared" si="46"/>
        <v>45987</v>
      </c>
      <c r="H123" s="77">
        <f t="shared" si="47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2"/>
        <v>46002</v>
      </c>
      <c r="D124" s="77">
        <f t="shared" si="43"/>
        <v>45986</v>
      </c>
      <c r="E124" s="77">
        <f t="shared" si="44"/>
        <v>45993</v>
      </c>
      <c r="F124" s="77">
        <f t="shared" si="45"/>
        <v>45999</v>
      </c>
      <c r="G124" s="77">
        <f t="shared" si="46"/>
        <v>45987</v>
      </c>
      <c r="H124" s="77">
        <f t="shared" si="47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2"/>
        <v>46002</v>
      </c>
      <c r="D125" s="77">
        <f t="shared" si="43"/>
        <v>45986</v>
      </c>
      <c r="E125" s="77">
        <f t="shared" si="44"/>
        <v>45993</v>
      </c>
      <c r="F125" s="77">
        <f t="shared" si="45"/>
        <v>45999</v>
      </c>
      <c r="G125" s="77">
        <f t="shared" si="46"/>
        <v>45987</v>
      </c>
      <c r="H125" s="77">
        <f t="shared" si="47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2"/>
        <v>46002</v>
      </c>
      <c r="D126" s="77">
        <f t="shared" si="43"/>
        <v>45986</v>
      </c>
      <c r="E126" s="77">
        <f t="shared" si="44"/>
        <v>45993</v>
      </c>
      <c r="F126" s="77">
        <f t="shared" si="45"/>
        <v>45999</v>
      </c>
      <c r="G126" s="77">
        <f t="shared" si="46"/>
        <v>45987</v>
      </c>
      <c r="H126" s="77">
        <f t="shared" si="47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2"/>
        <v>46002</v>
      </c>
      <c r="D127" s="77">
        <f t="shared" si="43"/>
        <v>45986</v>
      </c>
      <c r="E127" s="77">
        <f t="shared" si="44"/>
        <v>45993</v>
      </c>
      <c r="F127" s="77">
        <f t="shared" si="45"/>
        <v>45999</v>
      </c>
      <c r="G127" s="77">
        <f t="shared" si="46"/>
        <v>45987</v>
      </c>
      <c r="H127" s="77">
        <f t="shared" si="47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2"/>
        <v>46002</v>
      </c>
      <c r="D128" s="77">
        <f t="shared" si="43"/>
        <v>45986</v>
      </c>
      <c r="E128" s="77">
        <f t="shared" si="44"/>
        <v>45993</v>
      </c>
      <c r="F128" s="77">
        <f t="shared" si="45"/>
        <v>45999</v>
      </c>
      <c r="G128" s="77">
        <f t="shared" si="46"/>
        <v>45987</v>
      </c>
      <c r="H128" s="77">
        <f t="shared" si="47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2"/>
        <v>46002</v>
      </c>
      <c r="D129" s="77">
        <f t="shared" si="43"/>
        <v>45986</v>
      </c>
      <c r="E129" s="77">
        <f t="shared" si="44"/>
        <v>45993</v>
      </c>
      <c r="F129" s="77">
        <f t="shared" si="45"/>
        <v>45999</v>
      </c>
      <c r="G129" s="77">
        <f t="shared" si="46"/>
        <v>45987</v>
      </c>
      <c r="H129" s="77">
        <f t="shared" si="47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2"/>
        <v>46002</v>
      </c>
      <c r="D130" s="77">
        <f t="shared" si="43"/>
        <v>45986</v>
      </c>
      <c r="E130" s="77">
        <f t="shared" si="44"/>
        <v>45993</v>
      </c>
      <c r="F130" s="77">
        <f t="shared" si="45"/>
        <v>45999</v>
      </c>
      <c r="G130" s="77">
        <f t="shared" si="46"/>
        <v>45987</v>
      </c>
      <c r="H130" s="77">
        <f t="shared" si="47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2"/>
        <v>46003</v>
      </c>
      <c r="D131" s="77">
        <f t="shared" si="43"/>
        <v>45987</v>
      </c>
      <c r="E131" s="77">
        <f t="shared" si="44"/>
        <v>45994</v>
      </c>
      <c r="F131" s="77">
        <f t="shared" si="45"/>
        <v>46000</v>
      </c>
      <c r="G131" s="77">
        <f t="shared" si="46"/>
        <v>45988</v>
      </c>
      <c r="H131" s="77">
        <f t="shared" si="47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2"/>
        <v>46003</v>
      </c>
      <c r="D132" s="77">
        <f t="shared" si="43"/>
        <v>45987</v>
      </c>
      <c r="E132" s="77">
        <f t="shared" si="44"/>
        <v>45994</v>
      </c>
      <c r="F132" s="77">
        <f t="shared" si="45"/>
        <v>46000</v>
      </c>
      <c r="G132" s="77">
        <f t="shared" si="46"/>
        <v>45988</v>
      </c>
      <c r="H132" s="77">
        <f t="shared" si="47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2"/>
        <v>46003</v>
      </c>
      <c r="D133" s="77">
        <f t="shared" si="43"/>
        <v>45987</v>
      </c>
      <c r="E133" s="77">
        <f t="shared" si="44"/>
        <v>45994</v>
      </c>
      <c r="F133" s="77">
        <f t="shared" si="45"/>
        <v>46000</v>
      </c>
      <c r="G133" s="77">
        <f t="shared" si="46"/>
        <v>45988</v>
      </c>
      <c r="H133" s="77">
        <f t="shared" si="47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2"/>
        <v>46003</v>
      </c>
      <c r="D134" s="77">
        <f t="shared" si="43"/>
        <v>45987</v>
      </c>
      <c r="E134" s="77">
        <f t="shared" si="44"/>
        <v>45994</v>
      </c>
      <c r="F134" s="77">
        <f t="shared" si="45"/>
        <v>46000</v>
      </c>
      <c r="G134" s="77">
        <f t="shared" si="46"/>
        <v>45988</v>
      </c>
      <c r="H134" s="77">
        <f t="shared" si="47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2"/>
        <v>46003</v>
      </c>
      <c r="D135" s="77">
        <f t="shared" si="43"/>
        <v>45987</v>
      </c>
      <c r="E135" s="77">
        <f t="shared" si="44"/>
        <v>45994</v>
      </c>
      <c r="F135" s="77">
        <f t="shared" si="45"/>
        <v>46000</v>
      </c>
      <c r="G135" s="77">
        <f t="shared" si="46"/>
        <v>45988</v>
      </c>
      <c r="H135" s="77">
        <f t="shared" si="47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2"/>
        <v>46003</v>
      </c>
      <c r="D136" s="77">
        <f t="shared" si="43"/>
        <v>45987</v>
      </c>
      <c r="E136" s="77">
        <f t="shared" si="44"/>
        <v>45994</v>
      </c>
      <c r="F136" s="77">
        <f t="shared" si="45"/>
        <v>46000</v>
      </c>
      <c r="G136" s="77">
        <f t="shared" si="46"/>
        <v>45988</v>
      </c>
      <c r="H136" s="77">
        <f t="shared" si="47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2"/>
        <v>46003</v>
      </c>
      <c r="D137" s="77">
        <f t="shared" si="43"/>
        <v>45987</v>
      </c>
      <c r="E137" s="77">
        <f t="shared" si="44"/>
        <v>45994</v>
      </c>
      <c r="F137" s="77">
        <f t="shared" si="45"/>
        <v>46000</v>
      </c>
      <c r="G137" s="77">
        <f t="shared" si="46"/>
        <v>45988</v>
      </c>
      <c r="H137" s="77">
        <f t="shared" si="47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2"/>
        <v>46004</v>
      </c>
      <c r="D138" s="77">
        <f t="shared" si="43"/>
        <v>45988</v>
      </c>
      <c r="E138" s="77">
        <f t="shared" si="44"/>
        <v>45995</v>
      </c>
      <c r="F138" s="77">
        <f t="shared" si="45"/>
        <v>46001</v>
      </c>
      <c r="G138" s="77">
        <f t="shared" si="46"/>
        <v>45989</v>
      </c>
      <c r="H138" s="77">
        <f t="shared" si="47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2"/>
        <v>46004</v>
      </c>
      <c r="D139" s="77">
        <f t="shared" si="43"/>
        <v>45988</v>
      </c>
      <c r="E139" s="77">
        <f t="shared" si="44"/>
        <v>45995</v>
      </c>
      <c r="F139" s="77">
        <f t="shared" si="45"/>
        <v>46001</v>
      </c>
      <c r="G139" s="77">
        <f t="shared" si="46"/>
        <v>45989</v>
      </c>
      <c r="H139" s="77">
        <f t="shared" si="47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2"/>
        <v>46004</v>
      </c>
      <c r="D140" s="77">
        <f t="shared" si="43"/>
        <v>45988</v>
      </c>
      <c r="E140" s="77">
        <f t="shared" si="44"/>
        <v>45995</v>
      </c>
      <c r="F140" s="77">
        <f t="shared" si="45"/>
        <v>46001</v>
      </c>
      <c r="G140" s="77">
        <f t="shared" si="46"/>
        <v>45989</v>
      </c>
      <c r="H140" s="77">
        <f t="shared" si="47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2"/>
        <v>46004</v>
      </c>
      <c r="D141" s="77">
        <f t="shared" si="43"/>
        <v>45988</v>
      </c>
      <c r="E141" s="77">
        <f t="shared" si="44"/>
        <v>45995</v>
      </c>
      <c r="F141" s="77">
        <f t="shared" si="45"/>
        <v>46001</v>
      </c>
      <c r="G141" s="77">
        <f t="shared" si="46"/>
        <v>45989</v>
      </c>
      <c r="H141" s="77">
        <f t="shared" si="47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2"/>
        <v>46004</v>
      </c>
      <c r="D142" s="77">
        <f t="shared" si="43"/>
        <v>45988</v>
      </c>
      <c r="E142" s="77">
        <f t="shared" si="44"/>
        <v>45995</v>
      </c>
      <c r="F142" s="77">
        <f t="shared" si="45"/>
        <v>46001</v>
      </c>
      <c r="G142" s="77">
        <f t="shared" si="46"/>
        <v>45989</v>
      </c>
      <c r="H142" s="77">
        <f t="shared" si="47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2"/>
        <v>46004</v>
      </c>
      <c r="D143" s="77">
        <f t="shared" si="43"/>
        <v>45988</v>
      </c>
      <c r="E143" s="77">
        <f t="shared" si="44"/>
        <v>45995</v>
      </c>
      <c r="F143" s="77">
        <f t="shared" si="45"/>
        <v>46001</v>
      </c>
      <c r="G143" s="77">
        <f t="shared" si="46"/>
        <v>45989</v>
      </c>
      <c r="H143" s="77">
        <f t="shared" si="47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48">A144+23</f>
        <v>46004</v>
      </c>
      <c r="D144" s="77">
        <f t="shared" ref="D144:D207" si="49">A144+7</f>
        <v>45988</v>
      </c>
      <c r="E144" s="77">
        <f t="shared" ref="E144:E207" si="50">A144+14</f>
        <v>45995</v>
      </c>
      <c r="F144" s="77">
        <f t="shared" ref="F144:F207" si="51">A144+20</f>
        <v>46001</v>
      </c>
      <c r="G144" s="77">
        <f t="shared" ref="G144:G207" si="52">A144+8</f>
        <v>45989</v>
      </c>
      <c r="H144" s="77">
        <f t="shared" ref="H144:H207" si="53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48"/>
        <v>46005</v>
      </c>
      <c r="D145" s="77">
        <f t="shared" si="49"/>
        <v>45989</v>
      </c>
      <c r="E145" s="77">
        <f t="shared" si="50"/>
        <v>45996</v>
      </c>
      <c r="F145" s="77">
        <f t="shared" si="51"/>
        <v>46002</v>
      </c>
      <c r="G145" s="77">
        <f t="shared" si="52"/>
        <v>45990</v>
      </c>
      <c r="H145" s="77">
        <f t="shared" si="53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48"/>
        <v>46005</v>
      </c>
      <c r="D146" s="77">
        <f t="shared" si="49"/>
        <v>45989</v>
      </c>
      <c r="E146" s="77">
        <f t="shared" si="50"/>
        <v>45996</v>
      </c>
      <c r="F146" s="77">
        <f t="shared" si="51"/>
        <v>46002</v>
      </c>
      <c r="G146" s="77">
        <f t="shared" si="52"/>
        <v>45990</v>
      </c>
      <c r="H146" s="77">
        <f t="shared" si="53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48"/>
        <v>46005</v>
      </c>
      <c r="D147" s="77">
        <f t="shared" si="49"/>
        <v>45989</v>
      </c>
      <c r="E147" s="77">
        <f t="shared" si="50"/>
        <v>45996</v>
      </c>
      <c r="F147" s="77">
        <f t="shared" si="51"/>
        <v>46002</v>
      </c>
      <c r="G147" s="77">
        <f t="shared" si="52"/>
        <v>45990</v>
      </c>
      <c r="H147" s="77">
        <f t="shared" si="53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48"/>
        <v>46005</v>
      </c>
      <c r="D148" s="77">
        <f t="shared" si="49"/>
        <v>45989</v>
      </c>
      <c r="E148" s="77">
        <f t="shared" si="50"/>
        <v>45996</v>
      </c>
      <c r="F148" s="77">
        <f t="shared" si="51"/>
        <v>46002</v>
      </c>
      <c r="G148" s="77">
        <f t="shared" si="52"/>
        <v>45990</v>
      </c>
      <c r="H148" s="77">
        <f t="shared" si="53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48"/>
        <v>46005</v>
      </c>
      <c r="D149" s="77">
        <f t="shared" si="49"/>
        <v>45989</v>
      </c>
      <c r="E149" s="77">
        <f t="shared" si="50"/>
        <v>45996</v>
      </c>
      <c r="F149" s="77">
        <f t="shared" si="51"/>
        <v>46002</v>
      </c>
      <c r="G149" s="77">
        <f t="shared" si="52"/>
        <v>45990</v>
      </c>
      <c r="H149" s="77">
        <f t="shared" si="53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48"/>
        <v>46005</v>
      </c>
      <c r="D150" s="77">
        <f t="shared" si="49"/>
        <v>45989</v>
      </c>
      <c r="E150" s="77">
        <f t="shared" si="50"/>
        <v>45996</v>
      </c>
      <c r="F150" s="77">
        <f t="shared" si="51"/>
        <v>46002</v>
      </c>
      <c r="G150" s="77">
        <f t="shared" si="52"/>
        <v>45990</v>
      </c>
      <c r="H150" s="77">
        <f t="shared" si="53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48"/>
        <v>46005</v>
      </c>
      <c r="D151" s="77">
        <f t="shared" si="49"/>
        <v>45989</v>
      </c>
      <c r="E151" s="77">
        <f t="shared" si="50"/>
        <v>45996</v>
      </c>
      <c r="F151" s="77">
        <f t="shared" si="51"/>
        <v>46002</v>
      </c>
      <c r="G151" s="77">
        <f t="shared" si="52"/>
        <v>45990</v>
      </c>
      <c r="H151" s="77">
        <f t="shared" si="53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48"/>
        <v>46006</v>
      </c>
      <c r="D152" s="77">
        <f t="shared" si="49"/>
        <v>45990</v>
      </c>
      <c r="E152" s="77">
        <f t="shared" si="50"/>
        <v>45997</v>
      </c>
      <c r="F152" s="77">
        <f t="shared" si="51"/>
        <v>46003</v>
      </c>
      <c r="G152" s="77">
        <f t="shared" si="52"/>
        <v>45991</v>
      </c>
      <c r="H152" s="77">
        <f t="shared" si="53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48"/>
        <v>46006</v>
      </c>
      <c r="D153" s="77">
        <f t="shared" si="49"/>
        <v>45990</v>
      </c>
      <c r="E153" s="77">
        <f t="shared" si="50"/>
        <v>45997</v>
      </c>
      <c r="F153" s="77">
        <f t="shared" si="51"/>
        <v>46003</v>
      </c>
      <c r="G153" s="77">
        <f t="shared" si="52"/>
        <v>45991</v>
      </c>
      <c r="H153" s="77">
        <f t="shared" si="53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48"/>
        <v>46006</v>
      </c>
      <c r="D154" s="77">
        <f t="shared" si="49"/>
        <v>45990</v>
      </c>
      <c r="E154" s="77">
        <f t="shared" si="50"/>
        <v>45997</v>
      </c>
      <c r="F154" s="77">
        <f t="shared" si="51"/>
        <v>46003</v>
      </c>
      <c r="G154" s="77">
        <f t="shared" si="52"/>
        <v>45991</v>
      </c>
      <c r="H154" s="77">
        <f t="shared" si="53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48"/>
        <v>46006</v>
      </c>
      <c r="D155" s="77">
        <f t="shared" si="49"/>
        <v>45990</v>
      </c>
      <c r="E155" s="77">
        <f t="shared" si="50"/>
        <v>45997</v>
      </c>
      <c r="F155" s="77">
        <f t="shared" si="51"/>
        <v>46003</v>
      </c>
      <c r="G155" s="77">
        <f t="shared" si="52"/>
        <v>45991</v>
      </c>
      <c r="H155" s="77">
        <f t="shared" si="53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48"/>
        <v>46006</v>
      </c>
      <c r="D156" s="77">
        <f t="shared" si="49"/>
        <v>45990</v>
      </c>
      <c r="E156" s="77">
        <f t="shared" si="50"/>
        <v>45997</v>
      </c>
      <c r="F156" s="77">
        <f t="shared" si="51"/>
        <v>46003</v>
      </c>
      <c r="G156" s="77">
        <f t="shared" si="52"/>
        <v>45991</v>
      </c>
      <c r="H156" s="77">
        <f t="shared" si="53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48"/>
        <v>46006</v>
      </c>
      <c r="D157" s="77">
        <f t="shared" si="49"/>
        <v>45990</v>
      </c>
      <c r="E157" s="77">
        <f t="shared" si="50"/>
        <v>45997</v>
      </c>
      <c r="F157" s="77">
        <f t="shared" si="51"/>
        <v>46003</v>
      </c>
      <c r="G157" s="77">
        <f t="shared" si="52"/>
        <v>45991</v>
      </c>
      <c r="H157" s="77">
        <f t="shared" si="53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48"/>
        <v>46006</v>
      </c>
      <c r="D158" s="77">
        <f t="shared" si="49"/>
        <v>45990</v>
      </c>
      <c r="E158" s="77">
        <f t="shared" si="50"/>
        <v>45997</v>
      </c>
      <c r="F158" s="77">
        <f t="shared" si="51"/>
        <v>46003</v>
      </c>
      <c r="G158" s="77">
        <f t="shared" si="52"/>
        <v>45991</v>
      </c>
      <c r="H158" s="77">
        <f t="shared" si="53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48"/>
        <v>46007</v>
      </c>
      <c r="D159" s="77">
        <f t="shared" si="49"/>
        <v>45991</v>
      </c>
      <c r="E159" s="77">
        <f t="shared" si="50"/>
        <v>45998</v>
      </c>
      <c r="F159" s="77">
        <f t="shared" si="51"/>
        <v>46004</v>
      </c>
      <c r="G159" s="77">
        <f t="shared" si="52"/>
        <v>45992</v>
      </c>
      <c r="H159" s="77">
        <f t="shared" si="53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48"/>
        <v>46007</v>
      </c>
      <c r="D160" s="77">
        <f t="shared" si="49"/>
        <v>45991</v>
      </c>
      <c r="E160" s="77">
        <f t="shared" si="50"/>
        <v>45998</v>
      </c>
      <c r="F160" s="77">
        <f t="shared" si="51"/>
        <v>46004</v>
      </c>
      <c r="G160" s="77">
        <f t="shared" si="52"/>
        <v>45992</v>
      </c>
      <c r="H160" s="77">
        <f t="shared" si="53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48"/>
        <v>46007</v>
      </c>
      <c r="D161" s="77">
        <f t="shared" si="49"/>
        <v>45991</v>
      </c>
      <c r="E161" s="77">
        <f t="shared" si="50"/>
        <v>45998</v>
      </c>
      <c r="F161" s="77">
        <f t="shared" si="51"/>
        <v>46004</v>
      </c>
      <c r="G161" s="77">
        <f t="shared" si="52"/>
        <v>45992</v>
      </c>
      <c r="H161" s="77">
        <f t="shared" si="53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48"/>
        <v>46007</v>
      </c>
      <c r="D162" s="77">
        <f t="shared" si="49"/>
        <v>45991</v>
      </c>
      <c r="E162" s="77">
        <f t="shared" si="50"/>
        <v>45998</v>
      </c>
      <c r="F162" s="77">
        <f t="shared" si="51"/>
        <v>46004</v>
      </c>
      <c r="G162" s="77">
        <f t="shared" si="52"/>
        <v>45992</v>
      </c>
      <c r="H162" s="77">
        <f t="shared" si="53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48"/>
        <v>46007</v>
      </c>
      <c r="D163" s="77">
        <f t="shared" si="49"/>
        <v>45991</v>
      </c>
      <c r="E163" s="77">
        <f t="shared" si="50"/>
        <v>45998</v>
      </c>
      <c r="F163" s="77">
        <f t="shared" si="51"/>
        <v>46004</v>
      </c>
      <c r="G163" s="77">
        <f t="shared" si="52"/>
        <v>45992</v>
      </c>
      <c r="H163" s="77">
        <f t="shared" si="53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48"/>
        <v>46007</v>
      </c>
      <c r="D164" s="77">
        <f t="shared" si="49"/>
        <v>45991</v>
      </c>
      <c r="E164" s="77">
        <f t="shared" si="50"/>
        <v>45998</v>
      </c>
      <c r="F164" s="77">
        <f t="shared" si="51"/>
        <v>46004</v>
      </c>
      <c r="G164" s="77">
        <f t="shared" si="52"/>
        <v>45992</v>
      </c>
      <c r="H164" s="77">
        <f t="shared" si="53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48"/>
        <v>46007</v>
      </c>
      <c r="D165" s="77">
        <f t="shared" si="49"/>
        <v>45991</v>
      </c>
      <c r="E165" s="77">
        <f t="shared" si="50"/>
        <v>45998</v>
      </c>
      <c r="F165" s="77">
        <f t="shared" si="51"/>
        <v>46004</v>
      </c>
      <c r="G165" s="77">
        <f t="shared" si="52"/>
        <v>45992</v>
      </c>
      <c r="H165" s="77">
        <f t="shared" si="53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48"/>
        <v>46008</v>
      </c>
      <c r="D166" s="77">
        <f t="shared" si="49"/>
        <v>45992</v>
      </c>
      <c r="E166" s="77">
        <f t="shared" si="50"/>
        <v>45999</v>
      </c>
      <c r="F166" s="77">
        <f t="shared" si="51"/>
        <v>46005</v>
      </c>
      <c r="G166" s="77">
        <f t="shared" si="52"/>
        <v>45993</v>
      </c>
      <c r="H166" s="77">
        <f t="shared" si="53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48"/>
        <v>46008</v>
      </c>
      <c r="D167" s="77">
        <f t="shared" si="49"/>
        <v>45992</v>
      </c>
      <c r="E167" s="77">
        <f t="shared" si="50"/>
        <v>45999</v>
      </c>
      <c r="F167" s="77">
        <f t="shared" si="51"/>
        <v>46005</v>
      </c>
      <c r="G167" s="77">
        <f t="shared" si="52"/>
        <v>45993</v>
      </c>
      <c r="H167" s="77">
        <f t="shared" si="53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48"/>
        <v>46008</v>
      </c>
      <c r="D168" s="77">
        <f t="shared" si="49"/>
        <v>45992</v>
      </c>
      <c r="E168" s="77">
        <f t="shared" si="50"/>
        <v>45999</v>
      </c>
      <c r="F168" s="77">
        <f t="shared" si="51"/>
        <v>46005</v>
      </c>
      <c r="G168" s="77">
        <f t="shared" si="52"/>
        <v>45993</v>
      </c>
      <c r="H168" s="77">
        <f t="shared" si="53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48"/>
        <v>46008</v>
      </c>
      <c r="D169" s="77">
        <f t="shared" si="49"/>
        <v>45992</v>
      </c>
      <c r="E169" s="77">
        <f t="shared" si="50"/>
        <v>45999</v>
      </c>
      <c r="F169" s="77">
        <f t="shared" si="51"/>
        <v>46005</v>
      </c>
      <c r="G169" s="77">
        <f t="shared" si="52"/>
        <v>45993</v>
      </c>
      <c r="H169" s="77">
        <f t="shared" si="53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48"/>
        <v>46008</v>
      </c>
      <c r="D170" s="77">
        <f t="shared" si="49"/>
        <v>45992</v>
      </c>
      <c r="E170" s="77">
        <f t="shared" si="50"/>
        <v>45999</v>
      </c>
      <c r="F170" s="77">
        <f t="shared" si="51"/>
        <v>46005</v>
      </c>
      <c r="G170" s="77">
        <f t="shared" si="52"/>
        <v>45993</v>
      </c>
      <c r="H170" s="77">
        <f t="shared" si="53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48"/>
        <v>46008</v>
      </c>
      <c r="D171" s="77">
        <f t="shared" si="49"/>
        <v>45992</v>
      </c>
      <c r="E171" s="77">
        <f t="shared" si="50"/>
        <v>45999</v>
      </c>
      <c r="F171" s="77">
        <f t="shared" si="51"/>
        <v>46005</v>
      </c>
      <c r="G171" s="77">
        <f t="shared" si="52"/>
        <v>45993</v>
      </c>
      <c r="H171" s="77">
        <f t="shared" si="53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48"/>
        <v>46008</v>
      </c>
      <c r="D172" s="77">
        <f t="shared" si="49"/>
        <v>45992</v>
      </c>
      <c r="E172" s="77">
        <f t="shared" si="50"/>
        <v>45999</v>
      </c>
      <c r="F172" s="77">
        <f t="shared" si="51"/>
        <v>46005</v>
      </c>
      <c r="G172" s="77">
        <f t="shared" si="52"/>
        <v>45993</v>
      </c>
      <c r="H172" s="77">
        <f t="shared" si="53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48"/>
        <v>46009</v>
      </c>
      <c r="D173" s="77">
        <f t="shared" si="49"/>
        <v>45993</v>
      </c>
      <c r="E173" s="77">
        <f t="shared" si="50"/>
        <v>46000</v>
      </c>
      <c r="F173" s="77">
        <f t="shared" si="51"/>
        <v>46006</v>
      </c>
      <c r="G173" s="77">
        <f t="shared" si="52"/>
        <v>45994</v>
      </c>
      <c r="H173" s="77">
        <f t="shared" si="53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48"/>
        <v>46009</v>
      </c>
      <c r="D174" s="77">
        <f t="shared" si="49"/>
        <v>45993</v>
      </c>
      <c r="E174" s="77">
        <f t="shared" si="50"/>
        <v>46000</v>
      </c>
      <c r="F174" s="77">
        <f t="shared" si="51"/>
        <v>46006</v>
      </c>
      <c r="G174" s="77">
        <f t="shared" si="52"/>
        <v>45994</v>
      </c>
      <c r="H174" s="77">
        <f t="shared" si="53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48"/>
        <v>46009</v>
      </c>
      <c r="D175" s="77">
        <f t="shared" si="49"/>
        <v>45993</v>
      </c>
      <c r="E175" s="77">
        <f t="shared" si="50"/>
        <v>46000</v>
      </c>
      <c r="F175" s="77">
        <f t="shared" si="51"/>
        <v>46006</v>
      </c>
      <c r="G175" s="77">
        <f t="shared" si="52"/>
        <v>45994</v>
      </c>
      <c r="H175" s="77">
        <f t="shared" si="53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48"/>
        <v>46009</v>
      </c>
      <c r="D176" s="77">
        <f t="shared" si="49"/>
        <v>45993</v>
      </c>
      <c r="E176" s="77">
        <f t="shared" si="50"/>
        <v>46000</v>
      </c>
      <c r="F176" s="77">
        <f t="shared" si="51"/>
        <v>46006</v>
      </c>
      <c r="G176" s="77">
        <f t="shared" si="52"/>
        <v>45994</v>
      </c>
      <c r="H176" s="77">
        <f t="shared" si="53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48"/>
        <v>46009</v>
      </c>
      <c r="D177" s="77">
        <f t="shared" si="49"/>
        <v>45993</v>
      </c>
      <c r="E177" s="77">
        <f t="shared" si="50"/>
        <v>46000</v>
      </c>
      <c r="F177" s="77">
        <f t="shared" si="51"/>
        <v>46006</v>
      </c>
      <c r="G177" s="77">
        <f t="shared" si="52"/>
        <v>45994</v>
      </c>
      <c r="H177" s="77">
        <f t="shared" si="53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48"/>
        <v>46009</v>
      </c>
      <c r="D178" s="77">
        <f t="shared" si="49"/>
        <v>45993</v>
      </c>
      <c r="E178" s="77">
        <f t="shared" si="50"/>
        <v>46000</v>
      </c>
      <c r="F178" s="77">
        <f t="shared" si="51"/>
        <v>46006</v>
      </c>
      <c r="G178" s="77">
        <f t="shared" si="52"/>
        <v>45994</v>
      </c>
      <c r="H178" s="77">
        <f t="shared" si="53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48"/>
        <v>46009</v>
      </c>
      <c r="D179" s="77">
        <f t="shared" si="49"/>
        <v>45993</v>
      </c>
      <c r="E179" s="77">
        <f t="shared" si="50"/>
        <v>46000</v>
      </c>
      <c r="F179" s="77">
        <f t="shared" si="51"/>
        <v>46006</v>
      </c>
      <c r="G179" s="77">
        <f t="shared" si="52"/>
        <v>45994</v>
      </c>
      <c r="H179" s="77">
        <f t="shared" si="53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48"/>
        <v>46010</v>
      </c>
      <c r="D180" s="77">
        <f t="shared" si="49"/>
        <v>45994</v>
      </c>
      <c r="E180" s="77">
        <f t="shared" si="50"/>
        <v>46001</v>
      </c>
      <c r="F180" s="77">
        <f t="shared" si="51"/>
        <v>46007</v>
      </c>
      <c r="G180" s="77">
        <f t="shared" si="52"/>
        <v>45995</v>
      </c>
      <c r="H180" s="77">
        <f t="shared" si="53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48"/>
        <v>46010</v>
      </c>
      <c r="D181" s="77">
        <f t="shared" si="49"/>
        <v>45994</v>
      </c>
      <c r="E181" s="77">
        <f t="shared" si="50"/>
        <v>46001</v>
      </c>
      <c r="F181" s="77">
        <f t="shared" si="51"/>
        <v>46007</v>
      </c>
      <c r="G181" s="77">
        <f t="shared" si="52"/>
        <v>45995</v>
      </c>
      <c r="H181" s="77">
        <f t="shared" si="53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48"/>
        <v>46010</v>
      </c>
      <c r="D182" s="77">
        <f t="shared" si="49"/>
        <v>45994</v>
      </c>
      <c r="E182" s="77">
        <f t="shared" si="50"/>
        <v>46001</v>
      </c>
      <c r="F182" s="77">
        <f t="shared" si="51"/>
        <v>46007</v>
      </c>
      <c r="G182" s="77">
        <f t="shared" si="52"/>
        <v>45995</v>
      </c>
      <c r="H182" s="77">
        <f t="shared" si="53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48"/>
        <v>46010</v>
      </c>
      <c r="D183" s="77">
        <f t="shared" si="49"/>
        <v>45994</v>
      </c>
      <c r="E183" s="77">
        <f t="shared" si="50"/>
        <v>46001</v>
      </c>
      <c r="F183" s="77">
        <f t="shared" si="51"/>
        <v>46007</v>
      </c>
      <c r="G183" s="77">
        <f t="shared" si="52"/>
        <v>45995</v>
      </c>
      <c r="H183" s="77">
        <f t="shared" si="53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48"/>
        <v>46010</v>
      </c>
      <c r="D184" s="77">
        <f t="shared" si="49"/>
        <v>45994</v>
      </c>
      <c r="E184" s="77">
        <f t="shared" si="50"/>
        <v>46001</v>
      </c>
      <c r="F184" s="77">
        <f t="shared" si="51"/>
        <v>46007</v>
      </c>
      <c r="G184" s="77">
        <f t="shared" si="52"/>
        <v>45995</v>
      </c>
      <c r="H184" s="77">
        <f t="shared" si="53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48"/>
        <v>46010</v>
      </c>
      <c r="D185" s="77">
        <f t="shared" si="49"/>
        <v>45994</v>
      </c>
      <c r="E185" s="77">
        <f t="shared" si="50"/>
        <v>46001</v>
      </c>
      <c r="F185" s="77">
        <f t="shared" si="51"/>
        <v>46007</v>
      </c>
      <c r="G185" s="77">
        <f t="shared" si="52"/>
        <v>45995</v>
      </c>
      <c r="H185" s="77">
        <f t="shared" si="53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48"/>
        <v>46010</v>
      </c>
      <c r="D186" s="77">
        <f t="shared" si="49"/>
        <v>45994</v>
      </c>
      <c r="E186" s="77">
        <f t="shared" si="50"/>
        <v>46001</v>
      </c>
      <c r="F186" s="77">
        <f t="shared" si="51"/>
        <v>46007</v>
      </c>
      <c r="G186" s="77">
        <f t="shared" si="52"/>
        <v>45995</v>
      </c>
      <c r="H186" s="77">
        <f t="shared" si="53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48"/>
        <v>46010</v>
      </c>
      <c r="D187" s="77">
        <f t="shared" si="49"/>
        <v>45994</v>
      </c>
      <c r="E187" s="77">
        <f t="shared" si="50"/>
        <v>46001</v>
      </c>
      <c r="F187" s="77">
        <f t="shared" si="51"/>
        <v>46007</v>
      </c>
      <c r="G187" s="77">
        <f t="shared" si="52"/>
        <v>45995</v>
      </c>
      <c r="H187" s="77">
        <f t="shared" si="53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48"/>
        <v>46011</v>
      </c>
      <c r="D188" s="77">
        <f t="shared" si="49"/>
        <v>45995</v>
      </c>
      <c r="E188" s="77">
        <f t="shared" si="50"/>
        <v>46002</v>
      </c>
      <c r="F188" s="77">
        <f t="shared" si="51"/>
        <v>46008</v>
      </c>
      <c r="G188" s="77">
        <f t="shared" si="52"/>
        <v>45996</v>
      </c>
      <c r="H188" s="77">
        <f t="shared" si="53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48"/>
        <v>46011</v>
      </c>
      <c r="D189" s="77">
        <f t="shared" si="49"/>
        <v>45995</v>
      </c>
      <c r="E189" s="77">
        <f t="shared" si="50"/>
        <v>46002</v>
      </c>
      <c r="F189" s="77">
        <f t="shared" si="51"/>
        <v>46008</v>
      </c>
      <c r="G189" s="77">
        <f t="shared" si="52"/>
        <v>45996</v>
      </c>
      <c r="H189" s="77">
        <f t="shared" si="5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48"/>
        <v>46011</v>
      </c>
      <c r="D190" s="77">
        <f t="shared" si="49"/>
        <v>45995</v>
      </c>
      <c r="E190" s="77">
        <f t="shared" si="50"/>
        <v>46002</v>
      </c>
      <c r="F190" s="77">
        <f t="shared" si="51"/>
        <v>46008</v>
      </c>
      <c r="G190" s="77">
        <f t="shared" si="52"/>
        <v>45996</v>
      </c>
      <c r="H190" s="77">
        <f t="shared" si="5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48"/>
        <v>46011</v>
      </c>
      <c r="D191" s="77">
        <f t="shared" si="49"/>
        <v>45995</v>
      </c>
      <c r="E191" s="77">
        <f t="shared" si="50"/>
        <v>46002</v>
      </c>
      <c r="F191" s="77">
        <f t="shared" si="51"/>
        <v>46008</v>
      </c>
      <c r="G191" s="77">
        <f t="shared" si="52"/>
        <v>45996</v>
      </c>
      <c r="H191" s="77">
        <f t="shared" si="5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48"/>
        <v>46011</v>
      </c>
      <c r="D192" s="77">
        <f t="shared" si="49"/>
        <v>45995</v>
      </c>
      <c r="E192" s="77">
        <f t="shared" si="50"/>
        <v>46002</v>
      </c>
      <c r="F192" s="77">
        <f t="shared" si="51"/>
        <v>46008</v>
      </c>
      <c r="G192" s="77">
        <f t="shared" si="52"/>
        <v>45996</v>
      </c>
      <c r="H192" s="77">
        <f t="shared" si="5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48"/>
        <v>46011</v>
      </c>
      <c r="D193" s="77">
        <f t="shared" si="49"/>
        <v>45995</v>
      </c>
      <c r="E193" s="77">
        <f t="shared" si="50"/>
        <v>46002</v>
      </c>
      <c r="F193" s="77">
        <f t="shared" si="51"/>
        <v>46008</v>
      </c>
      <c r="G193" s="77">
        <f t="shared" si="52"/>
        <v>45996</v>
      </c>
      <c r="H193" s="77">
        <f t="shared" si="5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48"/>
        <v>46011</v>
      </c>
      <c r="D194" s="77">
        <f t="shared" si="49"/>
        <v>45995</v>
      </c>
      <c r="E194" s="77">
        <f t="shared" si="50"/>
        <v>46002</v>
      </c>
      <c r="F194" s="77">
        <f t="shared" si="51"/>
        <v>46008</v>
      </c>
      <c r="G194" s="77">
        <f t="shared" si="52"/>
        <v>45996</v>
      </c>
      <c r="H194" s="77">
        <f t="shared" si="53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48"/>
        <v>46012</v>
      </c>
      <c r="D195" s="77">
        <f t="shared" si="49"/>
        <v>45996</v>
      </c>
      <c r="E195" s="77">
        <f t="shared" si="50"/>
        <v>46003</v>
      </c>
      <c r="F195" s="77">
        <f t="shared" si="51"/>
        <v>46009</v>
      </c>
      <c r="G195" s="77">
        <f t="shared" si="52"/>
        <v>45997</v>
      </c>
      <c r="H195" s="77">
        <f t="shared" si="53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48"/>
        <v>46012</v>
      </c>
      <c r="D196" s="77">
        <f t="shared" si="49"/>
        <v>45996</v>
      </c>
      <c r="E196" s="77">
        <f t="shared" si="50"/>
        <v>46003</v>
      </c>
      <c r="F196" s="77">
        <f t="shared" si="51"/>
        <v>46009</v>
      </c>
      <c r="G196" s="77">
        <f t="shared" si="52"/>
        <v>45997</v>
      </c>
      <c r="H196" s="77">
        <f t="shared" si="53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48"/>
        <v>46012</v>
      </c>
      <c r="D197" s="77">
        <f t="shared" si="49"/>
        <v>45996</v>
      </c>
      <c r="E197" s="77">
        <f t="shared" si="50"/>
        <v>46003</v>
      </c>
      <c r="F197" s="77">
        <f t="shared" si="51"/>
        <v>46009</v>
      </c>
      <c r="G197" s="77">
        <f t="shared" si="52"/>
        <v>45997</v>
      </c>
      <c r="H197" s="77">
        <f t="shared" si="53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48"/>
        <v>46012</v>
      </c>
      <c r="D198" s="77">
        <f t="shared" si="49"/>
        <v>45996</v>
      </c>
      <c r="E198" s="77">
        <f t="shared" si="50"/>
        <v>46003</v>
      </c>
      <c r="F198" s="77">
        <f t="shared" si="51"/>
        <v>46009</v>
      </c>
      <c r="G198" s="77">
        <f t="shared" si="52"/>
        <v>45997</v>
      </c>
      <c r="H198" s="77">
        <f t="shared" si="53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48"/>
        <v>46012</v>
      </c>
      <c r="D199" s="77">
        <f t="shared" si="49"/>
        <v>45996</v>
      </c>
      <c r="E199" s="77">
        <f t="shared" si="50"/>
        <v>46003</v>
      </c>
      <c r="F199" s="77">
        <f t="shared" si="51"/>
        <v>46009</v>
      </c>
      <c r="G199" s="77">
        <f t="shared" si="52"/>
        <v>45997</v>
      </c>
      <c r="H199" s="77">
        <f t="shared" si="53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48"/>
        <v>46012</v>
      </c>
      <c r="D200" s="77">
        <f t="shared" si="49"/>
        <v>45996</v>
      </c>
      <c r="E200" s="77">
        <f t="shared" si="50"/>
        <v>46003</v>
      </c>
      <c r="F200" s="77">
        <f t="shared" si="51"/>
        <v>46009</v>
      </c>
      <c r="G200" s="77">
        <f t="shared" si="52"/>
        <v>45997</v>
      </c>
      <c r="H200" s="77">
        <f t="shared" si="53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48"/>
        <v>46012</v>
      </c>
      <c r="D201" s="77">
        <f t="shared" si="49"/>
        <v>45996</v>
      </c>
      <c r="E201" s="77">
        <f t="shared" si="50"/>
        <v>46003</v>
      </c>
      <c r="F201" s="77">
        <f t="shared" si="51"/>
        <v>46009</v>
      </c>
      <c r="G201" s="77">
        <f t="shared" si="52"/>
        <v>45997</v>
      </c>
      <c r="H201" s="77">
        <f t="shared" si="53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48"/>
        <v>46013</v>
      </c>
      <c r="D202" s="77">
        <f t="shared" si="49"/>
        <v>45997</v>
      </c>
      <c r="E202" s="77">
        <f t="shared" si="50"/>
        <v>46004</v>
      </c>
      <c r="F202" s="77">
        <f t="shared" si="51"/>
        <v>46010</v>
      </c>
      <c r="G202" s="77">
        <f t="shared" si="52"/>
        <v>45998</v>
      </c>
      <c r="H202" s="77">
        <f t="shared" si="53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48"/>
        <v>46013</v>
      </c>
      <c r="D203" s="77">
        <f t="shared" si="49"/>
        <v>45997</v>
      </c>
      <c r="E203" s="77">
        <f t="shared" si="50"/>
        <v>46004</v>
      </c>
      <c r="F203" s="77">
        <f t="shared" si="51"/>
        <v>46010</v>
      </c>
      <c r="G203" s="77">
        <f t="shared" si="52"/>
        <v>45998</v>
      </c>
      <c r="H203" s="77">
        <f t="shared" si="53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48"/>
        <v>46013</v>
      </c>
      <c r="D204" s="77">
        <f t="shared" si="49"/>
        <v>45997</v>
      </c>
      <c r="E204" s="77">
        <f t="shared" si="50"/>
        <v>46004</v>
      </c>
      <c r="F204" s="77">
        <f t="shared" si="51"/>
        <v>46010</v>
      </c>
      <c r="G204" s="77">
        <f t="shared" si="52"/>
        <v>45998</v>
      </c>
      <c r="H204" s="77">
        <f t="shared" si="53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48"/>
        <v>46013</v>
      </c>
      <c r="D205" s="77">
        <f t="shared" si="49"/>
        <v>45997</v>
      </c>
      <c r="E205" s="77">
        <f t="shared" si="50"/>
        <v>46004</v>
      </c>
      <c r="F205" s="77">
        <f t="shared" si="51"/>
        <v>46010</v>
      </c>
      <c r="G205" s="77">
        <f t="shared" si="52"/>
        <v>45998</v>
      </c>
      <c r="H205" s="77">
        <f t="shared" si="53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48"/>
        <v>46013</v>
      </c>
      <c r="D206" s="77">
        <f t="shared" si="49"/>
        <v>45997</v>
      </c>
      <c r="E206" s="77">
        <f t="shared" si="50"/>
        <v>46004</v>
      </c>
      <c r="F206" s="77">
        <f t="shared" si="51"/>
        <v>46010</v>
      </c>
      <c r="G206" s="77">
        <f t="shared" si="52"/>
        <v>45998</v>
      </c>
      <c r="H206" s="77">
        <f t="shared" si="53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48"/>
        <v>46013</v>
      </c>
      <c r="D207" s="77">
        <f t="shared" si="49"/>
        <v>45997</v>
      </c>
      <c r="E207" s="77">
        <f t="shared" si="50"/>
        <v>46004</v>
      </c>
      <c r="F207" s="77">
        <f t="shared" si="51"/>
        <v>46010</v>
      </c>
      <c r="G207" s="77">
        <f t="shared" si="52"/>
        <v>45998</v>
      </c>
      <c r="H207" s="77">
        <f t="shared" si="53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4">A208+23</f>
        <v>46013</v>
      </c>
      <c r="D208" s="77">
        <f t="shared" ref="D208:D211" si="55">A208+7</f>
        <v>45997</v>
      </c>
      <c r="E208" s="77">
        <f t="shared" ref="E208:E211" si="56">A208+14</f>
        <v>46004</v>
      </c>
      <c r="F208" s="77">
        <f t="shared" ref="F208:F211" si="57">A208+20</f>
        <v>46010</v>
      </c>
      <c r="G208" s="77">
        <f t="shared" ref="G208:G211" si="58">A208+8</f>
        <v>45998</v>
      </c>
      <c r="H208" s="77">
        <f t="shared" ref="H208:H211" si="59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4"/>
        <v>46014</v>
      </c>
      <c r="D209" s="77">
        <f t="shared" si="55"/>
        <v>45998</v>
      </c>
      <c r="E209" s="77">
        <f t="shared" si="56"/>
        <v>46005</v>
      </c>
      <c r="F209" s="77">
        <f t="shared" si="57"/>
        <v>46011</v>
      </c>
      <c r="G209" s="77">
        <f t="shared" si="58"/>
        <v>45999</v>
      </c>
      <c r="H209" s="77">
        <f t="shared" si="59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4"/>
        <v>46014</v>
      </c>
      <c r="D210" s="77">
        <f t="shared" si="55"/>
        <v>45998</v>
      </c>
      <c r="E210" s="77">
        <f t="shared" si="56"/>
        <v>46005</v>
      </c>
      <c r="F210" s="77">
        <f t="shared" si="57"/>
        <v>46011</v>
      </c>
      <c r="G210" s="77">
        <f t="shared" si="58"/>
        <v>45999</v>
      </c>
      <c r="H210" s="77">
        <f t="shared" si="59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4"/>
        <v>46014</v>
      </c>
      <c r="D211" s="77">
        <f t="shared" si="55"/>
        <v>45998</v>
      </c>
      <c r="E211" s="77">
        <f t="shared" si="56"/>
        <v>46005</v>
      </c>
      <c r="F211" s="77">
        <f t="shared" si="57"/>
        <v>46011</v>
      </c>
      <c r="G211" s="77">
        <f t="shared" si="58"/>
        <v>45999</v>
      </c>
      <c r="H211" s="77">
        <f t="shared" si="59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60">A212+23</f>
        <v>46014</v>
      </c>
      <c r="D212" s="77">
        <f t="shared" ref="D212:D215" si="61">A212+7</f>
        <v>45998</v>
      </c>
      <c r="E212" s="77">
        <f t="shared" ref="E212:E215" si="62">A212+14</f>
        <v>46005</v>
      </c>
      <c r="F212" s="77">
        <f t="shared" ref="F212:F215" si="63">A212+20</f>
        <v>46011</v>
      </c>
      <c r="G212" s="77">
        <f t="shared" ref="G212:G215" si="64">A212+8</f>
        <v>45999</v>
      </c>
      <c r="H212" s="77">
        <f t="shared" ref="H212:H215" si="65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60"/>
        <v>46014</v>
      </c>
      <c r="D213" s="77">
        <f t="shared" si="61"/>
        <v>45998</v>
      </c>
      <c r="E213" s="77">
        <f t="shared" si="62"/>
        <v>46005</v>
      </c>
      <c r="F213" s="77">
        <f t="shared" si="63"/>
        <v>46011</v>
      </c>
      <c r="G213" s="77">
        <f t="shared" si="64"/>
        <v>45999</v>
      </c>
      <c r="H213" s="77">
        <f t="shared" si="65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60"/>
        <v>46014</v>
      </c>
      <c r="D214" s="77">
        <f t="shared" si="61"/>
        <v>45998</v>
      </c>
      <c r="E214" s="77">
        <f t="shared" si="62"/>
        <v>46005</v>
      </c>
      <c r="F214" s="77">
        <f t="shared" si="63"/>
        <v>46011</v>
      </c>
      <c r="G214" s="77">
        <f t="shared" si="64"/>
        <v>45999</v>
      </c>
      <c r="H214" s="77">
        <f t="shared" si="65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60"/>
        <v>46014</v>
      </c>
      <c r="D215" s="77">
        <f t="shared" si="61"/>
        <v>45998</v>
      </c>
      <c r="E215" s="77">
        <f t="shared" si="62"/>
        <v>46005</v>
      </c>
      <c r="F215" s="77">
        <f t="shared" si="63"/>
        <v>46011</v>
      </c>
      <c r="G215" s="77">
        <f t="shared" si="64"/>
        <v>45999</v>
      </c>
      <c r="H215" s="77">
        <f t="shared" si="65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66">A216+23</f>
        <v>46015</v>
      </c>
      <c r="D216" s="77">
        <f t="shared" ref="D216:D222" si="67">A216+7</f>
        <v>45999</v>
      </c>
      <c r="E216" s="77">
        <f t="shared" ref="E216:E222" si="68">A216+14</f>
        <v>46006</v>
      </c>
      <c r="F216" s="77">
        <f t="shared" ref="F216:F222" si="69">A216+20</f>
        <v>46012</v>
      </c>
      <c r="G216" s="77">
        <f t="shared" ref="G216:G222" si="70">A216+8</f>
        <v>46000</v>
      </c>
      <c r="H216" s="77">
        <f t="shared" ref="H216:H222" si="71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66"/>
        <v>46015</v>
      </c>
      <c r="D217" s="77">
        <f t="shared" si="67"/>
        <v>45999</v>
      </c>
      <c r="E217" s="77">
        <f t="shared" si="68"/>
        <v>46006</v>
      </c>
      <c r="F217" s="77">
        <f t="shared" si="69"/>
        <v>46012</v>
      </c>
      <c r="G217" s="77">
        <f t="shared" si="70"/>
        <v>46000</v>
      </c>
      <c r="H217" s="77">
        <f t="shared" si="71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66"/>
        <v>46015</v>
      </c>
      <c r="D218" s="77">
        <f t="shared" si="67"/>
        <v>45999</v>
      </c>
      <c r="E218" s="77">
        <f t="shared" si="68"/>
        <v>46006</v>
      </c>
      <c r="F218" s="77">
        <f t="shared" si="69"/>
        <v>46012</v>
      </c>
      <c r="G218" s="77">
        <f t="shared" si="70"/>
        <v>46000</v>
      </c>
      <c r="H218" s="77">
        <f t="shared" si="71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66"/>
        <v>46015</v>
      </c>
      <c r="D219" s="77">
        <f t="shared" si="67"/>
        <v>45999</v>
      </c>
      <c r="E219" s="77">
        <f t="shared" si="68"/>
        <v>46006</v>
      </c>
      <c r="F219" s="77">
        <f t="shared" si="69"/>
        <v>46012</v>
      </c>
      <c r="G219" s="77">
        <f t="shared" si="70"/>
        <v>46000</v>
      </c>
      <c r="H219" s="77">
        <f t="shared" si="71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66"/>
        <v>46015</v>
      </c>
      <c r="D220" s="77">
        <f t="shared" si="67"/>
        <v>45999</v>
      </c>
      <c r="E220" s="77">
        <f t="shared" si="68"/>
        <v>46006</v>
      </c>
      <c r="F220" s="77">
        <f t="shared" si="69"/>
        <v>46012</v>
      </c>
      <c r="G220" s="77">
        <f t="shared" si="70"/>
        <v>46000</v>
      </c>
      <c r="H220" s="77">
        <f t="shared" si="71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66"/>
        <v>46015</v>
      </c>
      <c r="D221" s="77">
        <f t="shared" si="67"/>
        <v>45999</v>
      </c>
      <c r="E221" s="77">
        <f t="shared" si="68"/>
        <v>46006</v>
      </c>
      <c r="F221" s="77">
        <f t="shared" si="69"/>
        <v>46012</v>
      </c>
      <c r="G221" s="77">
        <f t="shared" si="70"/>
        <v>46000</v>
      </c>
      <c r="H221" s="77">
        <f t="shared" si="71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66"/>
        <v>46015</v>
      </c>
      <c r="D222" s="77">
        <f t="shared" si="67"/>
        <v>45999</v>
      </c>
      <c r="E222" s="77">
        <f t="shared" si="68"/>
        <v>46006</v>
      </c>
      <c r="F222" s="77">
        <f t="shared" si="69"/>
        <v>46012</v>
      </c>
      <c r="G222" s="77">
        <f t="shared" si="70"/>
        <v>46000</v>
      </c>
      <c r="H222" s="77">
        <f t="shared" si="71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2">A223+23</f>
        <v>46017</v>
      </c>
      <c r="D223" s="77">
        <f t="shared" ref="D223:D231" si="73">A223+7</f>
        <v>46001</v>
      </c>
      <c r="E223" s="77">
        <f t="shared" ref="E223:E231" si="74">A223+14</f>
        <v>46008</v>
      </c>
      <c r="F223" s="77">
        <f t="shared" ref="F223:F231" si="75">A223+20</f>
        <v>46014</v>
      </c>
      <c r="G223" s="77">
        <f t="shared" ref="G223:G231" si="76">A223+8</f>
        <v>46002</v>
      </c>
      <c r="H223" s="77">
        <f t="shared" ref="H223:H231" si="77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2"/>
        <v>46017</v>
      </c>
      <c r="D224" s="77">
        <f t="shared" si="73"/>
        <v>46001</v>
      </c>
      <c r="E224" s="77">
        <f t="shared" si="74"/>
        <v>46008</v>
      </c>
      <c r="F224" s="77">
        <f t="shared" si="75"/>
        <v>46014</v>
      </c>
      <c r="G224" s="77">
        <f t="shared" si="76"/>
        <v>46002</v>
      </c>
      <c r="H224" s="77">
        <f t="shared" si="77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2"/>
        <v>46017</v>
      </c>
      <c r="D225" s="77">
        <f t="shared" si="73"/>
        <v>46001</v>
      </c>
      <c r="E225" s="77">
        <f t="shared" si="74"/>
        <v>46008</v>
      </c>
      <c r="F225" s="77">
        <f t="shared" si="75"/>
        <v>46014</v>
      </c>
      <c r="G225" s="77">
        <f t="shared" si="76"/>
        <v>46002</v>
      </c>
      <c r="H225" s="77">
        <f t="shared" si="77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2"/>
        <v>46017</v>
      </c>
      <c r="D226" s="77">
        <f t="shared" si="73"/>
        <v>46001</v>
      </c>
      <c r="E226" s="77">
        <f t="shared" si="74"/>
        <v>46008</v>
      </c>
      <c r="F226" s="77">
        <f t="shared" si="75"/>
        <v>46014</v>
      </c>
      <c r="G226" s="77">
        <f t="shared" si="76"/>
        <v>46002</v>
      </c>
      <c r="H226" s="77">
        <f t="shared" si="77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2"/>
        <v>46017</v>
      </c>
      <c r="D227" s="77">
        <f t="shared" si="73"/>
        <v>46001</v>
      </c>
      <c r="E227" s="77">
        <f t="shared" si="74"/>
        <v>46008</v>
      </c>
      <c r="F227" s="77">
        <f t="shared" si="75"/>
        <v>46014</v>
      </c>
      <c r="G227" s="77">
        <f t="shared" si="76"/>
        <v>46002</v>
      </c>
      <c r="H227" s="77">
        <f t="shared" si="77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2"/>
        <v>46017</v>
      </c>
      <c r="D228" s="77">
        <f t="shared" si="73"/>
        <v>46001</v>
      </c>
      <c r="E228" s="77">
        <f t="shared" si="74"/>
        <v>46008</v>
      </c>
      <c r="F228" s="77">
        <f t="shared" si="75"/>
        <v>46014</v>
      </c>
      <c r="G228" s="77">
        <f t="shared" si="76"/>
        <v>46002</v>
      </c>
      <c r="H228" s="77">
        <f t="shared" si="77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2"/>
        <v>46017</v>
      </c>
      <c r="D229" s="77">
        <f t="shared" si="73"/>
        <v>46001</v>
      </c>
      <c r="E229" s="77">
        <f t="shared" si="74"/>
        <v>46008</v>
      </c>
      <c r="F229" s="77">
        <f t="shared" si="75"/>
        <v>46014</v>
      </c>
      <c r="G229" s="77">
        <f t="shared" si="76"/>
        <v>46002</v>
      </c>
      <c r="H229" s="77">
        <f t="shared" si="77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2"/>
        <v>46017</v>
      </c>
      <c r="D230" s="77">
        <f t="shared" si="73"/>
        <v>46001</v>
      </c>
      <c r="E230" s="77">
        <f t="shared" si="74"/>
        <v>46008</v>
      </c>
      <c r="F230" s="77">
        <f t="shared" si="75"/>
        <v>46014</v>
      </c>
      <c r="G230" s="77">
        <f t="shared" si="76"/>
        <v>46002</v>
      </c>
      <c r="H230" s="77">
        <f t="shared" si="77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2"/>
        <v>46017</v>
      </c>
      <c r="D231" s="77">
        <f t="shared" si="73"/>
        <v>46001</v>
      </c>
      <c r="E231" s="77">
        <f t="shared" si="74"/>
        <v>46008</v>
      </c>
      <c r="F231" s="77">
        <f t="shared" si="75"/>
        <v>46014</v>
      </c>
      <c r="G231" s="77">
        <f t="shared" si="76"/>
        <v>46002</v>
      </c>
      <c r="H231" s="77">
        <f t="shared" si="77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78">A232+23</f>
        <v>46018</v>
      </c>
      <c r="D232" s="77">
        <f t="shared" ref="D232:D241" si="79">A232+7</f>
        <v>46002</v>
      </c>
      <c r="E232" s="77">
        <f t="shared" ref="E232:E241" si="80">A232+14</f>
        <v>46009</v>
      </c>
      <c r="F232" s="77">
        <f t="shared" ref="F232:F241" si="81">A232+20</f>
        <v>46015</v>
      </c>
      <c r="G232" s="77">
        <f t="shared" ref="G232:G241" si="82">A232+8</f>
        <v>46003</v>
      </c>
      <c r="H232" s="77">
        <f t="shared" ref="H232:H241" si="83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78"/>
        <v>46018</v>
      </c>
      <c r="D233" s="77">
        <f t="shared" si="79"/>
        <v>46002</v>
      </c>
      <c r="E233" s="77">
        <f t="shared" si="80"/>
        <v>46009</v>
      </c>
      <c r="F233" s="77">
        <f t="shared" si="81"/>
        <v>46015</v>
      </c>
      <c r="G233" s="77">
        <f t="shared" si="82"/>
        <v>46003</v>
      </c>
      <c r="H233" s="77">
        <f t="shared" si="83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78"/>
        <v>46018</v>
      </c>
      <c r="D234" s="77">
        <f t="shared" si="79"/>
        <v>46002</v>
      </c>
      <c r="E234" s="77">
        <f t="shared" si="80"/>
        <v>46009</v>
      </c>
      <c r="F234" s="77">
        <f t="shared" si="81"/>
        <v>46015</v>
      </c>
      <c r="G234" s="77">
        <f t="shared" si="82"/>
        <v>46003</v>
      </c>
      <c r="H234" s="77">
        <f t="shared" si="83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78"/>
        <v>46018</v>
      </c>
      <c r="D235" s="77">
        <f t="shared" si="79"/>
        <v>46002</v>
      </c>
      <c r="E235" s="77">
        <f t="shared" si="80"/>
        <v>46009</v>
      </c>
      <c r="F235" s="77">
        <f t="shared" si="81"/>
        <v>46015</v>
      </c>
      <c r="G235" s="77">
        <f t="shared" si="82"/>
        <v>46003</v>
      </c>
      <c r="H235" s="77">
        <f t="shared" si="83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78"/>
        <v>46018</v>
      </c>
      <c r="D236" s="77">
        <f t="shared" si="79"/>
        <v>46002</v>
      </c>
      <c r="E236" s="77">
        <f t="shared" si="80"/>
        <v>46009</v>
      </c>
      <c r="F236" s="77">
        <f t="shared" si="81"/>
        <v>46015</v>
      </c>
      <c r="G236" s="77">
        <f t="shared" si="82"/>
        <v>46003</v>
      </c>
      <c r="H236" s="77">
        <f t="shared" si="83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78"/>
        <v>46018</v>
      </c>
      <c r="D237" s="77">
        <f t="shared" si="79"/>
        <v>46002</v>
      </c>
      <c r="E237" s="77">
        <f t="shared" si="80"/>
        <v>46009</v>
      </c>
      <c r="F237" s="77">
        <f t="shared" si="81"/>
        <v>46015</v>
      </c>
      <c r="G237" s="77">
        <f t="shared" si="82"/>
        <v>46003</v>
      </c>
      <c r="H237" s="77">
        <f t="shared" si="83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78"/>
        <v>46018</v>
      </c>
      <c r="D238" s="77">
        <f t="shared" si="79"/>
        <v>46002</v>
      </c>
      <c r="E238" s="77">
        <f t="shared" si="80"/>
        <v>46009</v>
      </c>
      <c r="F238" s="77">
        <f t="shared" si="81"/>
        <v>46015</v>
      </c>
      <c r="G238" s="77">
        <f t="shared" si="82"/>
        <v>46003</v>
      </c>
      <c r="H238" s="77">
        <f t="shared" si="83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78"/>
        <v>46018</v>
      </c>
      <c r="D239" s="77">
        <f t="shared" si="79"/>
        <v>46002</v>
      </c>
      <c r="E239" s="77">
        <f t="shared" si="80"/>
        <v>46009</v>
      </c>
      <c r="F239" s="77">
        <f t="shared" si="81"/>
        <v>46015</v>
      </c>
      <c r="G239" s="77">
        <f t="shared" si="82"/>
        <v>46003</v>
      </c>
      <c r="H239" s="77">
        <f t="shared" si="83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78"/>
        <v>46018</v>
      </c>
      <c r="D240" s="77">
        <f t="shared" si="79"/>
        <v>46002</v>
      </c>
      <c r="E240" s="77">
        <f t="shared" si="80"/>
        <v>46009</v>
      </c>
      <c r="F240" s="77">
        <f t="shared" si="81"/>
        <v>46015</v>
      </c>
      <c r="G240" s="77">
        <f t="shared" si="82"/>
        <v>46003</v>
      </c>
      <c r="H240" s="77">
        <f t="shared" si="83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78"/>
        <v>46018</v>
      </c>
      <c r="D241" s="77">
        <f t="shared" si="79"/>
        <v>46002</v>
      </c>
      <c r="E241" s="77">
        <f t="shared" si="80"/>
        <v>46009</v>
      </c>
      <c r="F241" s="77">
        <f t="shared" si="81"/>
        <v>46015</v>
      </c>
      <c r="G241" s="77">
        <f t="shared" si="82"/>
        <v>46003</v>
      </c>
      <c r="H241" s="77">
        <f t="shared" si="83"/>
        <v>46010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414</v>
      </c>
      <c r="C242" s="77">
        <f t="shared" ref="C242:C248" si="84">A242+23</f>
        <v>46019</v>
      </c>
      <c r="D242" s="77">
        <f t="shared" ref="D242:D248" si="85">A242+7</f>
        <v>46003</v>
      </c>
      <c r="E242" s="77">
        <f t="shared" ref="E242:E248" si="86">A242+14</f>
        <v>46010</v>
      </c>
      <c r="F242" s="77">
        <f t="shared" ref="F242:F248" si="87">A242+20</f>
        <v>46016</v>
      </c>
      <c r="G242" s="77">
        <f t="shared" ref="G242:G248" si="88">A242+8</f>
        <v>46004</v>
      </c>
      <c r="H242" s="77">
        <f t="shared" ref="H242:H248" si="89"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415</v>
      </c>
      <c r="C243" s="77">
        <f t="shared" si="84"/>
        <v>46019</v>
      </c>
      <c r="D243" s="77">
        <f t="shared" si="85"/>
        <v>46003</v>
      </c>
      <c r="E243" s="77">
        <f t="shared" si="86"/>
        <v>46010</v>
      </c>
      <c r="F243" s="77">
        <f t="shared" si="87"/>
        <v>46016</v>
      </c>
      <c r="G243" s="77">
        <f t="shared" si="88"/>
        <v>46004</v>
      </c>
      <c r="H243" s="77">
        <f t="shared" si="89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416</v>
      </c>
      <c r="C244" s="77">
        <f t="shared" si="84"/>
        <v>46019</v>
      </c>
      <c r="D244" s="77">
        <f t="shared" si="85"/>
        <v>46003</v>
      </c>
      <c r="E244" s="77">
        <f t="shared" si="86"/>
        <v>46010</v>
      </c>
      <c r="F244" s="77">
        <f t="shared" si="87"/>
        <v>46016</v>
      </c>
      <c r="G244" s="77">
        <f t="shared" si="88"/>
        <v>46004</v>
      </c>
      <c r="H244" s="77">
        <f t="shared" si="89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448</v>
      </c>
      <c r="C245" s="77">
        <f t="shared" si="84"/>
        <v>46019</v>
      </c>
      <c r="D245" s="77">
        <f t="shared" si="85"/>
        <v>46003</v>
      </c>
      <c r="E245" s="77">
        <f t="shared" si="86"/>
        <v>46010</v>
      </c>
      <c r="F245" s="77">
        <f t="shared" si="87"/>
        <v>46016</v>
      </c>
      <c r="G245" s="77">
        <f t="shared" si="88"/>
        <v>46004</v>
      </c>
      <c r="H245" s="77">
        <f t="shared" si="89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449</v>
      </c>
      <c r="C246" s="77">
        <f t="shared" si="84"/>
        <v>46019</v>
      </c>
      <c r="D246" s="77">
        <f t="shared" si="85"/>
        <v>46003</v>
      </c>
      <c r="E246" s="77">
        <f t="shared" si="86"/>
        <v>46010</v>
      </c>
      <c r="F246" s="77">
        <f t="shared" si="87"/>
        <v>46016</v>
      </c>
      <c r="G246" s="77">
        <f t="shared" si="88"/>
        <v>46004</v>
      </c>
      <c r="H246" s="77">
        <f t="shared" si="89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466</v>
      </c>
      <c r="C247" s="77">
        <f t="shared" si="84"/>
        <v>46019</v>
      </c>
      <c r="D247" s="77">
        <f t="shared" si="85"/>
        <v>46003</v>
      </c>
      <c r="E247" s="77">
        <f t="shared" si="86"/>
        <v>46010</v>
      </c>
      <c r="F247" s="77">
        <f t="shared" si="87"/>
        <v>46016</v>
      </c>
      <c r="G247" s="77">
        <f t="shared" si="88"/>
        <v>46004</v>
      </c>
      <c r="H247" s="77">
        <f t="shared" si="89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45996</v>
      </c>
      <c r="B248" s="25" t="s">
        <v>468</v>
      </c>
      <c r="C248" s="77">
        <f t="shared" si="84"/>
        <v>46019</v>
      </c>
      <c r="D248" s="77">
        <f t="shared" si="85"/>
        <v>46003</v>
      </c>
      <c r="E248" s="77">
        <f t="shared" si="86"/>
        <v>46010</v>
      </c>
      <c r="F248" s="77">
        <f t="shared" si="87"/>
        <v>46016</v>
      </c>
      <c r="G248" s="77">
        <f t="shared" si="88"/>
        <v>46004</v>
      </c>
      <c r="H248" s="77">
        <f t="shared" si="89"/>
        <v>46011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412</v>
      </c>
      <c r="C249" s="77">
        <f t="shared" ref="C249:C255" si="90">A249+23</f>
        <v>46020</v>
      </c>
      <c r="D249" s="77">
        <f t="shared" ref="D249:D255" si="91">A249+7</f>
        <v>46004</v>
      </c>
      <c r="E249" s="77">
        <f t="shared" ref="E249:E255" si="92">A249+14</f>
        <v>46011</v>
      </c>
      <c r="F249" s="77">
        <f t="shared" ref="F249:F255" si="93">A249+20</f>
        <v>46017</v>
      </c>
      <c r="G249" s="77">
        <f t="shared" ref="G249:G255" si="94">A249+8</f>
        <v>46005</v>
      </c>
      <c r="H249" s="77">
        <f t="shared" ref="H249:H255" si="95">A249+15</f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413</v>
      </c>
      <c r="C250" s="77">
        <f t="shared" si="90"/>
        <v>46020</v>
      </c>
      <c r="D250" s="77">
        <f t="shared" si="91"/>
        <v>46004</v>
      </c>
      <c r="E250" s="77">
        <f t="shared" si="92"/>
        <v>46011</v>
      </c>
      <c r="F250" s="77">
        <f t="shared" si="93"/>
        <v>46017</v>
      </c>
      <c r="G250" s="77">
        <f t="shared" si="94"/>
        <v>46005</v>
      </c>
      <c r="H250" s="77">
        <f t="shared" si="95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444</v>
      </c>
      <c r="C251" s="77">
        <f t="shared" si="90"/>
        <v>46020</v>
      </c>
      <c r="D251" s="77">
        <f t="shared" si="91"/>
        <v>46004</v>
      </c>
      <c r="E251" s="77">
        <f t="shared" si="92"/>
        <v>46011</v>
      </c>
      <c r="F251" s="77">
        <f t="shared" si="93"/>
        <v>46017</v>
      </c>
      <c r="G251" s="77">
        <f t="shared" si="94"/>
        <v>46005</v>
      </c>
      <c r="H251" s="77">
        <f t="shared" si="95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445</v>
      </c>
      <c r="C252" s="77">
        <f t="shared" si="90"/>
        <v>46020</v>
      </c>
      <c r="D252" s="77">
        <f t="shared" si="91"/>
        <v>46004</v>
      </c>
      <c r="E252" s="77">
        <f t="shared" si="92"/>
        <v>46011</v>
      </c>
      <c r="F252" s="77">
        <f t="shared" si="93"/>
        <v>46017</v>
      </c>
      <c r="G252" s="77">
        <f t="shared" si="94"/>
        <v>46005</v>
      </c>
      <c r="H252" s="77">
        <f t="shared" si="95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446</v>
      </c>
      <c r="C253" s="77">
        <f t="shared" si="90"/>
        <v>46020</v>
      </c>
      <c r="D253" s="77">
        <f t="shared" si="91"/>
        <v>46004</v>
      </c>
      <c r="E253" s="77">
        <f t="shared" si="92"/>
        <v>46011</v>
      </c>
      <c r="F253" s="77">
        <f t="shared" si="93"/>
        <v>46017</v>
      </c>
      <c r="G253" s="77">
        <f t="shared" si="94"/>
        <v>46005</v>
      </c>
      <c r="H253" s="77">
        <f t="shared" si="95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447</v>
      </c>
      <c r="C254" s="77">
        <f t="shared" si="90"/>
        <v>46020</v>
      </c>
      <c r="D254" s="77">
        <f t="shared" si="91"/>
        <v>46004</v>
      </c>
      <c r="E254" s="77">
        <f t="shared" si="92"/>
        <v>46011</v>
      </c>
      <c r="F254" s="77">
        <f t="shared" si="93"/>
        <v>46017</v>
      </c>
      <c r="G254" s="77">
        <f t="shared" si="94"/>
        <v>46005</v>
      </c>
      <c r="H254" s="77">
        <f t="shared" si="95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45997</v>
      </c>
      <c r="B255" s="25" t="s">
        <v>450</v>
      </c>
      <c r="C255" s="77">
        <f t="shared" si="90"/>
        <v>46020</v>
      </c>
      <c r="D255" s="77">
        <f t="shared" si="91"/>
        <v>46004</v>
      </c>
      <c r="E255" s="77">
        <f t="shared" si="92"/>
        <v>46011</v>
      </c>
      <c r="F255" s="77">
        <f t="shared" si="93"/>
        <v>46017</v>
      </c>
      <c r="G255" s="77">
        <f t="shared" si="94"/>
        <v>46005</v>
      </c>
      <c r="H255" s="77">
        <f t="shared" si="95"/>
        <v>46012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442</v>
      </c>
      <c r="C256" s="77">
        <f t="shared" ref="C256:C264" si="96">A256+23</f>
        <v>46021</v>
      </c>
      <c r="D256" s="77">
        <f t="shared" ref="D256:D264" si="97">A256+7</f>
        <v>46005</v>
      </c>
      <c r="E256" s="77">
        <f t="shared" ref="E256:E264" si="98">A256+14</f>
        <v>46012</v>
      </c>
      <c r="F256" s="77">
        <f t="shared" ref="F256:F264" si="99">A256+20</f>
        <v>46018</v>
      </c>
      <c r="G256" s="77">
        <f t="shared" ref="G256:G264" si="100">A256+8</f>
        <v>46006</v>
      </c>
      <c r="H256" s="77">
        <f t="shared" ref="H256:H264" si="101">A256+15</f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443</v>
      </c>
      <c r="C257" s="77">
        <f t="shared" si="96"/>
        <v>46021</v>
      </c>
      <c r="D257" s="77">
        <f t="shared" si="97"/>
        <v>46005</v>
      </c>
      <c r="E257" s="77">
        <f t="shared" si="98"/>
        <v>46012</v>
      </c>
      <c r="F257" s="77">
        <f t="shared" si="99"/>
        <v>46018</v>
      </c>
      <c r="G257" s="77">
        <f t="shared" si="100"/>
        <v>46006</v>
      </c>
      <c r="H257" s="77">
        <f t="shared" si="101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476</v>
      </c>
      <c r="C258" s="77">
        <f t="shared" si="96"/>
        <v>46021</v>
      </c>
      <c r="D258" s="77">
        <f t="shared" si="97"/>
        <v>46005</v>
      </c>
      <c r="E258" s="77">
        <f t="shared" si="98"/>
        <v>46012</v>
      </c>
      <c r="F258" s="77">
        <f t="shared" si="99"/>
        <v>46018</v>
      </c>
      <c r="G258" s="77">
        <f t="shared" si="100"/>
        <v>46006</v>
      </c>
      <c r="H258" s="77">
        <f t="shared" si="101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477</v>
      </c>
      <c r="C259" s="77">
        <f t="shared" si="96"/>
        <v>46021</v>
      </c>
      <c r="D259" s="77">
        <f t="shared" si="97"/>
        <v>46005</v>
      </c>
      <c r="E259" s="77">
        <f t="shared" si="98"/>
        <v>46012</v>
      </c>
      <c r="F259" s="77">
        <f t="shared" si="99"/>
        <v>46018</v>
      </c>
      <c r="G259" s="77">
        <f t="shared" si="100"/>
        <v>46006</v>
      </c>
      <c r="H259" s="77">
        <f t="shared" si="101"/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478</v>
      </c>
      <c r="C260" s="77">
        <f t="shared" si="96"/>
        <v>46021</v>
      </c>
      <c r="D260" s="77">
        <f t="shared" si="97"/>
        <v>46005</v>
      </c>
      <c r="E260" s="77">
        <f t="shared" si="98"/>
        <v>46012</v>
      </c>
      <c r="F260" s="77">
        <f t="shared" si="99"/>
        <v>46018</v>
      </c>
      <c r="G260" s="77">
        <f t="shared" si="100"/>
        <v>46006</v>
      </c>
      <c r="H260" s="77">
        <f t="shared" si="101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479</v>
      </c>
      <c r="C261" s="77">
        <f t="shared" si="96"/>
        <v>46021</v>
      </c>
      <c r="D261" s="77">
        <f t="shared" si="97"/>
        <v>46005</v>
      </c>
      <c r="E261" s="77">
        <f t="shared" si="98"/>
        <v>46012</v>
      </c>
      <c r="F261" s="77">
        <f t="shared" si="99"/>
        <v>46018</v>
      </c>
      <c r="G261" s="77">
        <f t="shared" si="100"/>
        <v>46006</v>
      </c>
      <c r="H261" s="77">
        <f t="shared" si="101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480</v>
      </c>
      <c r="C262" s="77">
        <f t="shared" si="96"/>
        <v>46021</v>
      </c>
      <c r="D262" s="77">
        <f t="shared" si="97"/>
        <v>46005</v>
      </c>
      <c r="E262" s="77">
        <f t="shared" si="98"/>
        <v>46012</v>
      </c>
      <c r="F262" s="77">
        <f t="shared" si="99"/>
        <v>46018</v>
      </c>
      <c r="G262" s="77">
        <f t="shared" si="100"/>
        <v>46006</v>
      </c>
      <c r="H262" s="77">
        <f t="shared" si="101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481</v>
      </c>
      <c r="C263" s="77">
        <f t="shared" si="96"/>
        <v>46021</v>
      </c>
      <c r="D263" s="77">
        <f t="shared" si="97"/>
        <v>46005</v>
      </c>
      <c r="E263" s="77">
        <f t="shared" si="98"/>
        <v>46012</v>
      </c>
      <c r="F263" s="77">
        <f t="shared" si="99"/>
        <v>46018</v>
      </c>
      <c r="G263" s="77">
        <f t="shared" si="100"/>
        <v>46006</v>
      </c>
      <c r="H263" s="77">
        <f t="shared" si="101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45998</v>
      </c>
      <c r="B264" s="25" t="s">
        <v>482</v>
      </c>
      <c r="C264" s="77">
        <f t="shared" si="96"/>
        <v>46021</v>
      </c>
      <c r="D264" s="77">
        <f t="shared" si="97"/>
        <v>46005</v>
      </c>
      <c r="E264" s="77">
        <f t="shared" si="98"/>
        <v>46012</v>
      </c>
      <c r="F264" s="77">
        <f t="shared" si="99"/>
        <v>46018</v>
      </c>
      <c r="G264" s="77">
        <f t="shared" si="100"/>
        <v>46006</v>
      </c>
      <c r="H264" s="77">
        <f t="shared" si="101"/>
        <v>46013</v>
      </c>
      <c r="I264" s="77"/>
      <c r="J264" s="78"/>
      <c r="K264" s="25"/>
      <c r="L264" s="25"/>
      <c r="M264" s="25"/>
      <c r="N264" s="25"/>
    </row>
  </sheetData>
  <conditionalFormatting sqref="A265:I1048576 A223:A264 C222:I264 A1:I222">
    <cfRule type="expression" dxfId="8" priority="1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" sqref="G4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 C2:C76">
    <cfRule type="expression" dxfId="7" priority="10">
      <formula>$K2&gt;0</formula>
    </cfRule>
  </conditionalFormatting>
  <conditionalFormatting sqref="C115:C119">
    <cfRule type="expression" dxfId="6" priority="9">
      <formula>$K115&gt;0</formula>
    </cfRule>
  </conditionalFormatting>
  <conditionalFormatting sqref="C108:C111">
    <cfRule type="expression" dxfId="5" priority="8">
      <formula>$K108&gt;0</formula>
    </cfRule>
  </conditionalFormatting>
  <conditionalFormatting sqref="C102:C107">
    <cfRule type="expression" dxfId="4" priority="7">
      <formula>$K102&gt;0</formula>
    </cfRule>
  </conditionalFormatting>
  <conditionalFormatting sqref="C95:C101">
    <cfRule type="expression" dxfId="3" priority="6">
      <formula>$K95&gt;0</formula>
    </cfRule>
  </conditionalFormatting>
  <conditionalFormatting sqref="C91:C94">
    <cfRule type="expression" dxfId="2" priority="5">
      <formula>$K91&gt;0</formula>
    </cfRule>
  </conditionalFormatting>
  <conditionalFormatting sqref="C77:C90">
    <cfRule type="expression" dxfId="1" priority="4">
      <formula>$K77&gt;0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20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2025-12-08T11:12:57Z</dcterms:modified>
</cp:coreProperties>
</file>