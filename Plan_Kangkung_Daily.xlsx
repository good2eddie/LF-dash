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7" documentId="13_ncr:1_{38E5C085-8131-40F3-8E8E-B1ADC979640E}" xr6:coauthVersionLast="47" xr6:coauthVersionMax="47" xr10:uidLastSave="{9111B7F9-A032-4B95-806C-7C59CC59F262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617" i="3" l="1"/>
  <c r="H1617" i="3"/>
  <c r="G1617" i="3"/>
  <c r="F1617" i="3"/>
  <c r="E1617" i="3"/>
  <c r="D1617" i="3"/>
  <c r="C1617" i="3"/>
  <c r="I1616" i="3"/>
  <c r="H1616" i="3"/>
  <c r="G1616" i="3"/>
  <c r="F1616" i="3"/>
  <c r="E1616" i="3"/>
  <c r="D1616" i="3"/>
  <c r="C1616" i="3"/>
  <c r="I1615" i="3"/>
  <c r="H1615" i="3"/>
  <c r="G1615" i="3"/>
  <c r="F1615" i="3"/>
  <c r="E1615" i="3"/>
  <c r="D1615" i="3"/>
  <c r="C1615" i="3"/>
  <c r="I1614" i="3"/>
  <c r="H1614" i="3"/>
  <c r="G1614" i="3"/>
  <c r="F1614" i="3"/>
  <c r="E1614" i="3"/>
  <c r="D1614" i="3"/>
  <c r="C1614" i="3"/>
  <c r="I1613" i="3"/>
  <c r="H1613" i="3"/>
  <c r="G1613" i="3"/>
  <c r="F1613" i="3"/>
  <c r="E1613" i="3"/>
  <c r="D1613" i="3"/>
  <c r="C1613" i="3"/>
  <c r="I1612" i="3"/>
  <c r="H1612" i="3"/>
  <c r="G1612" i="3"/>
  <c r="F1612" i="3"/>
  <c r="E1612" i="3"/>
  <c r="D1612" i="3"/>
  <c r="C1612" i="3"/>
  <c r="I1611" i="3"/>
  <c r="H1611" i="3"/>
  <c r="G1611" i="3"/>
  <c r="F1611" i="3"/>
  <c r="E1611" i="3"/>
  <c r="D1611" i="3"/>
  <c r="C1611" i="3"/>
  <c r="I1610" i="3"/>
  <c r="H1610" i="3"/>
  <c r="G1610" i="3"/>
  <c r="F1610" i="3"/>
  <c r="E1610" i="3"/>
  <c r="D1610" i="3"/>
  <c r="C1610" i="3"/>
  <c r="I1609" i="3"/>
  <c r="H1609" i="3"/>
  <c r="G1609" i="3"/>
  <c r="F1609" i="3"/>
  <c r="E1609" i="3"/>
  <c r="D1609" i="3"/>
  <c r="C1609" i="3"/>
  <c r="I1608" i="3"/>
  <c r="H1608" i="3"/>
  <c r="G1608" i="3"/>
  <c r="F1608" i="3"/>
  <c r="E1608" i="3"/>
  <c r="D1608" i="3"/>
  <c r="C1608" i="3"/>
  <c r="I1607" i="3"/>
  <c r="H1607" i="3"/>
  <c r="G1607" i="3"/>
  <c r="F1607" i="3"/>
  <c r="E1607" i="3"/>
  <c r="D1607" i="3"/>
  <c r="C1607" i="3"/>
  <c r="I1606" i="3"/>
  <c r="H1606" i="3"/>
  <c r="G1606" i="3"/>
  <c r="F1606" i="3"/>
  <c r="E1606" i="3"/>
  <c r="D1606" i="3"/>
  <c r="C1606" i="3"/>
  <c r="I1605" i="3"/>
  <c r="H1605" i="3"/>
  <c r="G1605" i="3"/>
  <c r="F1605" i="3"/>
  <c r="E1605" i="3"/>
  <c r="D1605" i="3"/>
  <c r="C1605" i="3"/>
  <c r="I1604" i="3"/>
  <c r="H1604" i="3"/>
  <c r="G1604" i="3"/>
  <c r="F1604" i="3"/>
  <c r="E1604" i="3"/>
  <c r="D1604" i="3"/>
  <c r="C1604" i="3"/>
  <c r="I1603" i="3"/>
  <c r="H1603" i="3"/>
  <c r="G1603" i="3"/>
  <c r="F1603" i="3"/>
  <c r="E1603" i="3"/>
  <c r="D1603" i="3"/>
  <c r="C1603" i="3"/>
  <c r="I1602" i="3"/>
  <c r="H1602" i="3"/>
  <c r="G1602" i="3"/>
  <c r="F1602" i="3"/>
  <c r="E1602" i="3"/>
  <c r="D1602" i="3"/>
  <c r="C1602" i="3"/>
  <c r="I1601" i="3"/>
  <c r="H1601" i="3"/>
  <c r="G1601" i="3"/>
  <c r="F1601" i="3"/>
  <c r="E1601" i="3"/>
  <c r="D1601" i="3"/>
  <c r="C1601" i="3"/>
  <c r="I1600" i="3"/>
  <c r="H1600" i="3"/>
  <c r="G1600" i="3"/>
  <c r="F1600" i="3"/>
  <c r="E1600" i="3"/>
  <c r="D1600" i="3"/>
  <c r="C1600" i="3"/>
  <c r="I1599" i="3"/>
  <c r="H1599" i="3"/>
  <c r="G1599" i="3"/>
  <c r="F1599" i="3"/>
  <c r="E1599" i="3"/>
  <c r="D1599" i="3"/>
  <c r="C1599" i="3"/>
  <c r="I1598" i="3"/>
  <c r="H1598" i="3"/>
  <c r="G1598" i="3"/>
  <c r="F1598" i="3"/>
  <c r="E1598" i="3"/>
  <c r="D1598" i="3"/>
  <c r="C1598" i="3"/>
  <c r="I1597" i="3"/>
  <c r="H1597" i="3"/>
  <c r="G1597" i="3"/>
  <c r="F1597" i="3"/>
  <c r="E1597" i="3"/>
  <c r="D1597" i="3"/>
  <c r="C1597" i="3"/>
  <c r="I1596" i="3"/>
  <c r="H1596" i="3"/>
  <c r="G1596" i="3"/>
  <c r="F1596" i="3"/>
  <c r="E1596" i="3"/>
  <c r="D1596" i="3"/>
  <c r="C1596" i="3"/>
  <c r="I1595" i="3"/>
  <c r="H1595" i="3"/>
  <c r="G1595" i="3"/>
  <c r="F1595" i="3"/>
  <c r="E1595" i="3"/>
  <c r="D1595" i="3"/>
  <c r="C1595" i="3"/>
  <c r="I1594" i="3"/>
  <c r="H1594" i="3"/>
  <c r="G1594" i="3"/>
  <c r="F1594" i="3"/>
  <c r="E1594" i="3"/>
  <c r="D1594" i="3"/>
  <c r="C1594" i="3"/>
  <c r="I1593" i="3"/>
  <c r="H1593" i="3"/>
  <c r="G1593" i="3"/>
  <c r="F1593" i="3"/>
  <c r="E1593" i="3"/>
  <c r="D1593" i="3"/>
  <c r="C1593" i="3"/>
  <c r="I1592" i="3"/>
  <c r="H1592" i="3"/>
  <c r="G1592" i="3"/>
  <c r="F1592" i="3"/>
  <c r="E1592" i="3"/>
  <c r="D1592" i="3"/>
  <c r="C1592" i="3"/>
  <c r="I1591" i="3"/>
  <c r="H1591" i="3"/>
  <c r="G1591" i="3"/>
  <c r="F1591" i="3"/>
  <c r="E1591" i="3"/>
  <c r="D1591" i="3"/>
  <c r="C1591" i="3"/>
  <c r="I1590" i="3"/>
  <c r="H1590" i="3"/>
  <c r="G1590" i="3"/>
  <c r="F1590" i="3"/>
  <c r="E1590" i="3"/>
  <c r="D1590" i="3"/>
  <c r="C1590" i="3"/>
  <c r="I1589" i="3"/>
  <c r="H1589" i="3"/>
  <c r="G1589" i="3"/>
  <c r="F1589" i="3"/>
  <c r="E1589" i="3"/>
  <c r="D1589" i="3"/>
  <c r="C1589" i="3"/>
  <c r="I1588" i="3"/>
  <c r="H1588" i="3"/>
  <c r="G1588" i="3"/>
  <c r="F1588" i="3"/>
  <c r="E1588" i="3"/>
  <c r="D1588" i="3"/>
  <c r="C1588" i="3"/>
  <c r="I1587" i="3"/>
  <c r="H1587" i="3"/>
  <c r="G1587" i="3"/>
  <c r="F1587" i="3"/>
  <c r="E1587" i="3"/>
  <c r="D1587" i="3"/>
  <c r="C1587" i="3"/>
  <c r="I1586" i="3"/>
  <c r="H1586" i="3"/>
  <c r="G1586" i="3"/>
  <c r="F1586" i="3"/>
  <c r="E1586" i="3"/>
  <c r="D1586" i="3"/>
  <c r="C1586" i="3"/>
  <c r="I1585" i="3"/>
  <c r="H1585" i="3"/>
  <c r="G1585" i="3"/>
  <c r="F1585" i="3"/>
  <c r="E1585" i="3"/>
  <c r="D1585" i="3"/>
  <c r="C1585" i="3"/>
  <c r="I1584" i="3"/>
  <c r="H1584" i="3"/>
  <c r="G1584" i="3"/>
  <c r="F1584" i="3"/>
  <c r="E1584" i="3"/>
  <c r="D1584" i="3"/>
  <c r="C1584" i="3"/>
  <c r="I1583" i="3"/>
  <c r="H1583" i="3"/>
  <c r="G1583" i="3"/>
  <c r="F1583" i="3"/>
  <c r="E1583" i="3"/>
  <c r="D1583" i="3"/>
  <c r="C1583" i="3"/>
  <c r="I1582" i="3"/>
  <c r="H1582" i="3"/>
  <c r="G1582" i="3"/>
  <c r="F1582" i="3"/>
  <c r="E1582" i="3"/>
  <c r="D1582" i="3"/>
  <c r="C1582" i="3"/>
  <c r="I1581" i="3"/>
  <c r="H1581" i="3"/>
  <c r="G1581" i="3"/>
  <c r="F1581" i="3"/>
  <c r="E1581" i="3"/>
  <c r="D1581" i="3"/>
  <c r="C1581" i="3"/>
  <c r="I1580" i="3"/>
  <c r="H1580" i="3"/>
  <c r="G1580" i="3"/>
  <c r="F1580" i="3"/>
  <c r="E1580" i="3"/>
  <c r="D1580" i="3"/>
  <c r="C1580" i="3"/>
  <c r="I1579" i="3"/>
  <c r="H1579" i="3"/>
  <c r="G1579" i="3"/>
  <c r="F1579" i="3"/>
  <c r="E1579" i="3"/>
  <c r="D1579" i="3"/>
  <c r="C1579" i="3"/>
  <c r="I1578" i="3"/>
  <c r="H1578" i="3"/>
  <c r="G1578" i="3"/>
  <c r="F1578" i="3"/>
  <c r="E1578" i="3"/>
  <c r="D1578" i="3"/>
  <c r="C1578" i="3"/>
  <c r="I1577" i="3"/>
  <c r="H1577" i="3"/>
  <c r="G1577" i="3"/>
  <c r="F1577" i="3"/>
  <c r="E1577" i="3"/>
  <c r="D1577" i="3"/>
  <c r="C1577" i="3"/>
  <c r="I1576" i="3"/>
  <c r="H1576" i="3"/>
  <c r="G1576" i="3"/>
  <c r="F1576" i="3"/>
  <c r="E1576" i="3"/>
  <c r="D1576" i="3"/>
  <c r="C1576" i="3"/>
  <c r="I1575" i="3"/>
  <c r="H1575" i="3"/>
  <c r="G1575" i="3"/>
  <c r="F1575" i="3"/>
  <c r="E1575" i="3"/>
  <c r="D1575" i="3"/>
  <c r="C1575" i="3"/>
  <c r="I1574" i="3"/>
  <c r="H1574" i="3"/>
  <c r="G1574" i="3"/>
  <c r="F1574" i="3"/>
  <c r="E1574" i="3"/>
  <c r="D1574" i="3"/>
  <c r="C1574" i="3"/>
  <c r="I1573" i="3"/>
  <c r="H1573" i="3"/>
  <c r="G1573" i="3"/>
  <c r="F1573" i="3"/>
  <c r="E1573" i="3"/>
  <c r="D1573" i="3"/>
  <c r="C1573" i="3"/>
  <c r="I1572" i="3"/>
  <c r="H1572" i="3"/>
  <c r="G1572" i="3"/>
  <c r="F1572" i="3"/>
  <c r="E1572" i="3"/>
  <c r="D1572" i="3"/>
  <c r="C1572" i="3"/>
  <c r="I1571" i="3"/>
  <c r="H1571" i="3"/>
  <c r="G1571" i="3"/>
  <c r="F1571" i="3"/>
  <c r="E1571" i="3"/>
  <c r="D1571" i="3"/>
  <c r="C1571" i="3"/>
  <c r="I1570" i="3"/>
  <c r="H1570" i="3"/>
  <c r="G1570" i="3"/>
  <c r="F1570" i="3"/>
  <c r="E1570" i="3"/>
  <c r="D1570" i="3"/>
  <c r="C1570" i="3"/>
  <c r="I1569" i="3"/>
  <c r="H1569" i="3"/>
  <c r="G1569" i="3"/>
  <c r="F1569" i="3"/>
  <c r="E1569" i="3"/>
  <c r="D1569" i="3"/>
  <c r="C1569" i="3"/>
  <c r="I1568" i="3"/>
  <c r="H1568" i="3"/>
  <c r="G1568" i="3"/>
  <c r="F1568" i="3"/>
  <c r="E1568" i="3"/>
  <c r="D1568" i="3"/>
  <c r="C1568" i="3"/>
  <c r="I1567" i="3"/>
  <c r="H1567" i="3"/>
  <c r="G1567" i="3"/>
  <c r="F1567" i="3"/>
  <c r="E1567" i="3"/>
  <c r="D1567" i="3"/>
  <c r="C1567" i="3"/>
  <c r="I1566" i="3"/>
  <c r="H1566" i="3"/>
  <c r="G1566" i="3"/>
  <c r="F1566" i="3"/>
  <c r="E1566" i="3"/>
  <c r="D1566" i="3"/>
  <c r="C1566" i="3"/>
  <c r="I1565" i="3"/>
  <c r="H1565" i="3"/>
  <c r="G1565" i="3"/>
  <c r="F1565" i="3"/>
  <c r="E1565" i="3"/>
  <c r="D1565" i="3"/>
  <c r="C1565" i="3"/>
  <c r="I1564" i="3"/>
  <c r="H1564" i="3"/>
  <c r="G1564" i="3"/>
  <c r="F1564" i="3"/>
  <c r="E1564" i="3"/>
  <c r="D1564" i="3"/>
  <c r="C1564" i="3"/>
  <c r="I1563" i="3"/>
  <c r="H1563" i="3"/>
  <c r="G1563" i="3"/>
  <c r="F1563" i="3"/>
  <c r="E1563" i="3"/>
  <c r="D1563" i="3"/>
  <c r="C1563" i="3"/>
  <c r="I1562" i="3"/>
  <c r="H1562" i="3"/>
  <c r="G1562" i="3"/>
  <c r="F1562" i="3"/>
  <c r="E1562" i="3"/>
  <c r="D1562" i="3"/>
  <c r="C1562" i="3"/>
  <c r="I1561" i="3"/>
  <c r="H1561" i="3"/>
  <c r="G1561" i="3"/>
  <c r="F1561" i="3"/>
  <c r="E1561" i="3"/>
  <c r="D1561" i="3"/>
  <c r="C1561" i="3"/>
  <c r="I1560" i="3"/>
  <c r="H1560" i="3"/>
  <c r="G1560" i="3"/>
  <c r="F1560" i="3"/>
  <c r="E1560" i="3"/>
  <c r="D1560" i="3"/>
  <c r="C1560" i="3"/>
  <c r="I1559" i="3"/>
  <c r="H1559" i="3"/>
  <c r="G1559" i="3"/>
  <c r="F1559" i="3"/>
  <c r="E1559" i="3"/>
  <c r="D1559" i="3"/>
  <c r="C1559" i="3"/>
  <c r="I1558" i="3"/>
  <c r="H1558" i="3"/>
  <c r="G1558" i="3"/>
  <c r="F1558" i="3"/>
  <c r="E1558" i="3"/>
  <c r="D1558" i="3"/>
  <c r="C1558" i="3"/>
  <c r="I1557" i="3"/>
  <c r="H1557" i="3"/>
  <c r="G1557" i="3"/>
  <c r="F1557" i="3"/>
  <c r="E1557" i="3"/>
  <c r="D1557" i="3"/>
  <c r="C1557" i="3"/>
  <c r="I1556" i="3"/>
  <c r="H1556" i="3"/>
  <c r="G1556" i="3"/>
  <c r="F1556" i="3"/>
  <c r="E1556" i="3"/>
  <c r="D1556" i="3"/>
  <c r="C1556" i="3"/>
  <c r="I1555" i="3"/>
  <c r="H1555" i="3"/>
  <c r="G1555" i="3"/>
  <c r="F1555" i="3"/>
  <c r="E1555" i="3"/>
  <c r="D1555" i="3"/>
  <c r="C1555" i="3"/>
  <c r="I1554" i="3"/>
  <c r="H1554" i="3"/>
  <c r="G1554" i="3"/>
  <c r="F1554" i="3"/>
  <c r="E1554" i="3"/>
  <c r="D1554" i="3"/>
  <c r="C1554" i="3"/>
  <c r="I1553" i="3"/>
  <c r="H1553" i="3"/>
  <c r="G1553" i="3"/>
  <c r="F1553" i="3"/>
  <c r="E1553" i="3"/>
  <c r="D1553" i="3"/>
  <c r="C1553" i="3"/>
  <c r="I1552" i="3"/>
  <c r="H1552" i="3"/>
  <c r="G1552" i="3"/>
  <c r="F1552" i="3"/>
  <c r="E1552" i="3"/>
  <c r="D1552" i="3"/>
  <c r="C1552" i="3"/>
  <c r="I1551" i="3"/>
  <c r="H1551" i="3"/>
  <c r="G1551" i="3"/>
  <c r="F1551" i="3"/>
  <c r="E1551" i="3"/>
  <c r="D1551" i="3"/>
  <c r="C1551" i="3"/>
  <c r="I1550" i="3"/>
  <c r="H1550" i="3"/>
  <c r="G1550" i="3"/>
  <c r="F1550" i="3"/>
  <c r="E1550" i="3"/>
  <c r="D1550" i="3"/>
  <c r="C1550" i="3"/>
  <c r="I1549" i="3"/>
  <c r="H1549" i="3"/>
  <c r="G1549" i="3"/>
  <c r="F1549" i="3"/>
  <c r="E1549" i="3"/>
  <c r="D1549" i="3"/>
  <c r="C1549" i="3"/>
  <c r="I1548" i="3"/>
  <c r="H1548" i="3"/>
  <c r="G1548" i="3"/>
  <c r="F1548" i="3"/>
  <c r="E1548" i="3"/>
  <c r="D1548" i="3"/>
  <c r="C1548" i="3"/>
  <c r="I1547" i="3"/>
  <c r="H1547" i="3"/>
  <c r="G1547" i="3"/>
  <c r="F1547" i="3"/>
  <c r="E1547" i="3"/>
  <c r="D1547" i="3"/>
  <c r="C1547" i="3"/>
  <c r="I1546" i="3"/>
  <c r="H1546" i="3"/>
  <c r="G1546" i="3"/>
  <c r="F1546" i="3"/>
  <c r="E1546" i="3"/>
  <c r="D1546" i="3"/>
  <c r="C1546" i="3"/>
  <c r="I1545" i="3"/>
  <c r="H1545" i="3"/>
  <c r="G1545" i="3"/>
  <c r="F1545" i="3"/>
  <c r="E1545" i="3"/>
  <c r="D1545" i="3"/>
  <c r="C1545" i="3"/>
  <c r="I1544" i="3"/>
  <c r="H1544" i="3"/>
  <c r="G1544" i="3"/>
  <c r="F1544" i="3"/>
  <c r="E1544" i="3"/>
  <c r="D1544" i="3"/>
  <c r="C1544" i="3"/>
  <c r="I1543" i="3"/>
  <c r="H1543" i="3"/>
  <c r="G1543" i="3"/>
  <c r="F1543" i="3"/>
  <c r="E1543" i="3"/>
  <c r="D1543" i="3"/>
  <c r="C1543" i="3"/>
  <c r="I1542" i="3"/>
  <c r="H1542" i="3"/>
  <c r="G1542" i="3"/>
  <c r="F1542" i="3"/>
  <c r="E1542" i="3"/>
  <c r="D1542" i="3"/>
  <c r="C1542" i="3"/>
  <c r="I1541" i="3"/>
  <c r="H1541" i="3"/>
  <c r="G1541" i="3"/>
  <c r="F1541" i="3"/>
  <c r="E1541" i="3"/>
  <c r="D1541" i="3"/>
  <c r="C1541" i="3"/>
  <c r="I1540" i="3"/>
  <c r="H1540" i="3"/>
  <c r="G1540" i="3"/>
  <c r="F1540" i="3"/>
  <c r="E1540" i="3"/>
  <c r="D1540" i="3"/>
  <c r="C1540" i="3"/>
  <c r="I1539" i="3"/>
  <c r="H1539" i="3"/>
  <c r="G1539" i="3"/>
  <c r="F1539" i="3"/>
  <c r="E1539" i="3"/>
  <c r="D1539" i="3"/>
  <c r="C1539" i="3"/>
  <c r="I1538" i="3"/>
  <c r="H1538" i="3"/>
  <c r="G1538" i="3"/>
  <c r="F1538" i="3"/>
  <c r="E1538" i="3"/>
  <c r="D1538" i="3"/>
  <c r="C1538" i="3"/>
  <c r="I1537" i="3"/>
  <c r="H1537" i="3"/>
  <c r="G1537" i="3"/>
  <c r="F1537" i="3"/>
  <c r="E1537" i="3"/>
  <c r="D1537" i="3"/>
  <c r="C1537" i="3"/>
  <c r="I1536" i="3"/>
  <c r="H1536" i="3"/>
  <c r="G1536" i="3"/>
  <c r="F1536" i="3"/>
  <c r="E1536" i="3"/>
  <c r="D1536" i="3"/>
  <c r="C1536" i="3"/>
  <c r="I1535" i="3"/>
  <c r="H1535" i="3"/>
  <c r="G1535" i="3"/>
  <c r="F1535" i="3"/>
  <c r="E1535" i="3"/>
  <c r="D1535" i="3"/>
  <c r="C1535" i="3"/>
  <c r="I1534" i="3"/>
  <c r="H1534" i="3"/>
  <c r="G1534" i="3"/>
  <c r="F1534" i="3"/>
  <c r="E1534" i="3"/>
  <c r="D1534" i="3"/>
  <c r="C1534" i="3"/>
  <c r="I1533" i="3"/>
  <c r="H1533" i="3"/>
  <c r="G1533" i="3"/>
  <c r="F1533" i="3"/>
  <c r="E1533" i="3"/>
  <c r="D1533" i="3"/>
  <c r="C1533" i="3"/>
  <c r="I1532" i="3"/>
  <c r="H1532" i="3"/>
  <c r="G1532" i="3"/>
  <c r="F1532" i="3"/>
  <c r="E1532" i="3"/>
  <c r="D1532" i="3"/>
  <c r="C1532" i="3"/>
  <c r="I1531" i="3"/>
  <c r="H1531" i="3"/>
  <c r="G1531" i="3"/>
  <c r="F1531" i="3"/>
  <c r="E1531" i="3"/>
  <c r="D1531" i="3"/>
  <c r="C1531" i="3"/>
  <c r="I1530" i="3"/>
  <c r="H1530" i="3"/>
  <c r="G1530" i="3"/>
  <c r="F1530" i="3"/>
  <c r="E1530" i="3"/>
  <c r="D1530" i="3"/>
  <c r="C1530" i="3"/>
  <c r="I1529" i="3"/>
  <c r="H1529" i="3"/>
  <c r="G1529" i="3"/>
  <c r="F1529" i="3"/>
  <c r="E1529" i="3"/>
  <c r="D1529" i="3"/>
  <c r="C1529" i="3"/>
  <c r="I1528" i="3"/>
  <c r="H1528" i="3"/>
  <c r="G1528" i="3"/>
  <c r="F1528" i="3"/>
  <c r="E1528" i="3"/>
  <c r="D1528" i="3"/>
  <c r="C1528" i="3"/>
  <c r="I1527" i="3"/>
  <c r="H1527" i="3"/>
  <c r="G1527" i="3"/>
  <c r="F1527" i="3"/>
  <c r="E1527" i="3"/>
  <c r="D1527" i="3"/>
  <c r="C1527" i="3"/>
  <c r="I1526" i="3"/>
  <c r="H1526" i="3"/>
  <c r="G1526" i="3"/>
  <c r="F1526" i="3"/>
  <c r="E1526" i="3"/>
  <c r="D1526" i="3"/>
  <c r="C1526" i="3"/>
  <c r="I1525" i="3"/>
  <c r="H1525" i="3"/>
  <c r="G1525" i="3"/>
  <c r="F1525" i="3"/>
  <c r="E1525" i="3"/>
  <c r="D1525" i="3"/>
  <c r="C1525" i="3"/>
  <c r="I1524" i="3"/>
  <c r="H1524" i="3"/>
  <c r="G1524" i="3"/>
  <c r="F1524" i="3"/>
  <c r="E1524" i="3"/>
  <c r="D1524" i="3"/>
  <c r="C1524" i="3"/>
  <c r="I1523" i="3"/>
  <c r="H1523" i="3"/>
  <c r="G1523" i="3"/>
  <c r="F1523" i="3"/>
  <c r="E1523" i="3"/>
  <c r="D1523" i="3"/>
  <c r="C1523" i="3"/>
  <c r="I1522" i="3"/>
  <c r="H1522" i="3"/>
  <c r="G1522" i="3"/>
  <c r="F1522" i="3"/>
  <c r="E1522" i="3"/>
  <c r="D1522" i="3"/>
  <c r="C1522" i="3"/>
  <c r="I1521" i="3"/>
  <c r="H1521" i="3"/>
  <c r="G1521" i="3"/>
  <c r="F1521" i="3"/>
  <c r="E1521" i="3"/>
  <c r="D1521" i="3"/>
  <c r="C1521" i="3"/>
  <c r="I1520" i="3"/>
  <c r="H1520" i="3"/>
  <c r="G1520" i="3"/>
  <c r="F1520" i="3"/>
  <c r="E1520" i="3"/>
  <c r="D1520" i="3"/>
  <c r="C1520" i="3"/>
  <c r="I1519" i="3"/>
  <c r="H1519" i="3"/>
  <c r="G1519" i="3"/>
  <c r="F1519" i="3"/>
  <c r="E1519" i="3"/>
  <c r="D1519" i="3"/>
  <c r="C1519" i="3"/>
  <c r="I1518" i="3"/>
  <c r="H1518" i="3"/>
  <c r="G1518" i="3"/>
  <c r="F1518" i="3"/>
  <c r="E1518" i="3"/>
  <c r="D1518" i="3"/>
  <c r="C1518" i="3"/>
  <c r="I1517" i="3"/>
  <c r="H1517" i="3"/>
  <c r="G1517" i="3"/>
  <c r="F1517" i="3"/>
  <c r="E1517" i="3"/>
  <c r="D1517" i="3"/>
  <c r="C1517" i="3"/>
  <c r="I1516" i="3"/>
  <c r="H1516" i="3"/>
  <c r="G1516" i="3"/>
  <c r="F1516" i="3"/>
  <c r="E1516" i="3"/>
  <c r="D1516" i="3"/>
  <c r="C1516" i="3"/>
  <c r="I1515" i="3"/>
  <c r="H1515" i="3"/>
  <c r="G1515" i="3"/>
  <c r="F1515" i="3"/>
  <c r="E1515" i="3"/>
  <c r="D1515" i="3"/>
  <c r="C1515" i="3"/>
  <c r="I1514" i="3"/>
  <c r="H1514" i="3"/>
  <c r="G1514" i="3"/>
  <c r="F1514" i="3"/>
  <c r="E1514" i="3"/>
  <c r="D1514" i="3"/>
  <c r="C1514" i="3"/>
  <c r="I1513" i="3"/>
  <c r="H1513" i="3"/>
  <c r="G1513" i="3"/>
  <c r="F1513" i="3"/>
  <c r="E1513" i="3"/>
  <c r="D1513" i="3"/>
  <c r="C1513" i="3"/>
  <c r="I1512" i="3"/>
  <c r="H1512" i="3"/>
  <c r="G1512" i="3"/>
  <c r="F1512" i="3"/>
  <c r="E1512" i="3"/>
  <c r="D1512" i="3"/>
  <c r="C1512" i="3"/>
  <c r="I1511" i="3"/>
  <c r="H1511" i="3"/>
  <c r="G1511" i="3"/>
  <c r="F1511" i="3"/>
  <c r="E1511" i="3"/>
  <c r="D1511" i="3"/>
  <c r="C1511" i="3"/>
  <c r="I1510" i="3"/>
  <c r="H1510" i="3"/>
  <c r="G1510" i="3"/>
  <c r="F1510" i="3"/>
  <c r="E1510" i="3"/>
  <c r="D1510" i="3"/>
  <c r="C1510" i="3"/>
  <c r="I1509" i="3"/>
  <c r="H1509" i="3"/>
  <c r="G1509" i="3"/>
  <c r="F1509" i="3"/>
  <c r="E1509" i="3"/>
  <c r="D1509" i="3"/>
  <c r="C1509" i="3"/>
  <c r="I1508" i="3"/>
  <c r="H1508" i="3"/>
  <c r="G1508" i="3"/>
  <c r="F1508" i="3"/>
  <c r="E1508" i="3"/>
  <c r="D1508" i="3"/>
  <c r="C1508" i="3"/>
  <c r="I1507" i="3"/>
  <c r="H1507" i="3"/>
  <c r="G1507" i="3"/>
  <c r="F1507" i="3"/>
  <c r="E1507" i="3"/>
  <c r="D1507" i="3"/>
  <c r="C1507" i="3"/>
  <c r="I1506" i="3"/>
  <c r="H1506" i="3"/>
  <c r="G1506" i="3"/>
  <c r="F1506" i="3"/>
  <c r="E1506" i="3"/>
  <c r="D1506" i="3"/>
  <c r="C1506" i="3"/>
  <c r="I1505" i="3"/>
  <c r="H1505" i="3"/>
  <c r="G1505" i="3"/>
  <c r="F1505" i="3"/>
  <c r="E1505" i="3"/>
  <c r="D1505" i="3"/>
  <c r="C1505" i="3"/>
  <c r="I1504" i="3"/>
  <c r="H1504" i="3"/>
  <c r="G1504" i="3"/>
  <c r="F1504" i="3"/>
  <c r="E1504" i="3"/>
  <c r="D1504" i="3"/>
  <c r="C1504" i="3"/>
  <c r="I1503" i="3"/>
  <c r="H1503" i="3"/>
  <c r="G1503" i="3"/>
  <c r="F1503" i="3"/>
  <c r="E1503" i="3"/>
  <c r="D1503" i="3"/>
  <c r="C1503" i="3"/>
  <c r="I1502" i="3"/>
  <c r="H1502" i="3"/>
  <c r="G1502" i="3"/>
  <c r="F1502" i="3"/>
  <c r="E1502" i="3"/>
  <c r="D1502" i="3"/>
  <c r="C1502" i="3"/>
  <c r="I1501" i="3"/>
  <c r="H1501" i="3"/>
  <c r="G1501" i="3"/>
  <c r="F1501" i="3"/>
  <c r="E1501" i="3"/>
  <c r="D1501" i="3"/>
  <c r="C1501" i="3"/>
  <c r="I1500" i="3"/>
  <c r="H1500" i="3"/>
  <c r="G1500" i="3"/>
  <c r="F1500" i="3"/>
  <c r="E1500" i="3"/>
  <c r="D1500" i="3"/>
  <c r="C1500" i="3"/>
  <c r="I1499" i="3"/>
  <c r="H1499" i="3"/>
  <c r="G1499" i="3"/>
  <c r="F1499" i="3"/>
  <c r="E1499" i="3"/>
  <c r="D1499" i="3"/>
  <c r="C1499" i="3"/>
  <c r="I1498" i="3"/>
  <c r="H1498" i="3"/>
  <c r="G1498" i="3"/>
  <c r="F1498" i="3"/>
  <c r="E1498" i="3"/>
  <c r="D1498" i="3"/>
  <c r="C1498" i="3"/>
  <c r="I1497" i="3"/>
  <c r="H1497" i="3"/>
  <c r="G1497" i="3"/>
  <c r="F1497" i="3"/>
  <c r="E1497" i="3"/>
  <c r="D1497" i="3"/>
  <c r="C1497" i="3"/>
  <c r="I1496" i="3"/>
  <c r="H1496" i="3"/>
  <c r="G1496" i="3"/>
  <c r="F1496" i="3"/>
  <c r="E1496" i="3"/>
  <c r="D1496" i="3"/>
  <c r="C1496" i="3"/>
  <c r="I1495" i="3"/>
  <c r="H1495" i="3"/>
  <c r="G1495" i="3"/>
  <c r="F1495" i="3"/>
  <c r="E1495" i="3"/>
  <c r="D1495" i="3"/>
  <c r="C1495" i="3"/>
  <c r="I1494" i="3"/>
  <c r="H1494" i="3"/>
  <c r="G1494" i="3"/>
  <c r="F1494" i="3"/>
  <c r="E1494" i="3"/>
  <c r="D1494" i="3"/>
  <c r="C1494" i="3"/>
  <c r="I1493" i="3"/>
  <c r="H1493" i="3"/>
  <c r="G1493" i="3"/>
  <c r="F1493" i="3"/>
  <c r="E1493" i="3"/>
  <c r="D1493" i="3"/>
  <c r="C1493" i="3"/>
  <c r="I1492" i="3"/>
  <c r="H1492" i="3"/>
  <c r="G1492" i="3"/>
  <c r="F1492" i="3"/>
  <c r="E1492" i="3"/>
  <c r="D1492" i="3"/>
  <c r="C1492" i="3"/>
  <c r="I1491" i="3"/>
  <c r="H1491" i="3"/>
  <c r="G1491" i="3"/>
  <c r="F1491" i="3"/>
  <c r="E1491" i="3"/>
  <c r="D1491" i="3"/>
  <c r="C1491" i="3"/>
  <c r="I1490" i="3"/>
  <c r="H1490" i="3"/>
  <c r="G1490" i="3"/>
  <c r="F1490" i="3"/>
  <c r="E1490" i="3"/>
  <c r="D1490" i="3"/>
  <c r="C1490" i="3"/>
  <c r="I1489" i="3"/>
  <c r="H1489" i="3"/>
  <c r="G1489" i="3"/>
  <c r="F1489" i="3"/>
  <c r="E1489" i="3"/>
  <c r="D1489" i="3"/>
  <c r="C1489" i="3"/>
  <c r="I1488" i="3"/>
  <c r="H1488" i="3"/>
  <c r="G1488" i="3"/>
  <c r="F1488" i="3"/>
  <c r="E1488" i="3"/>
  <c r="D1488" i="3"/>
  <c r="C1488" i="3"/>
  <c r="I1487" i="3"/>
  <c r="H1487" i="3"/>
  <c r="G1487" i="3"/>
  <c r="F1487" i="3"/>
  <c r="E1487" i="3"/>
  <c r="D1487" i="3"/>
  <c r="C1487" i="3"/>
  <c r="I1486" i="3"/>
  <c r="H1486" i="3"/>
  <c r="G1486" i="3"/>
  <c r="F1486" i="3"/>
  <c r="E1486" i="3"/>
  <c r="D1486" i="3"/>
  <c r="C1486" i="3"/>
  <c r="I1485" i="3"/>
  <c r="H1485" i="3"/>
  <c r="G1485" i="3"/>
  <c r="F1485" i="3"/>
  <c r="E1485" i="3"/>
  <c r="D1485" i="3"/>
  <c r="C1485" i="3"/>
  <c r="I1484" i="3"/>
  <c r="H1484" i="3"/>
  <c r="G1484" i="3"/>
  <c r="F1484" i="3"/>
  <c r="E1484" i="3"/>
  <c r="D1484" i="3"/>
  <c r="C1484" i="3"/>
  <c r="I1483" i="3"/>
  <c r="H1483" i="3"/>
  <c r="G1483" i="3"/>
  <c r="F1483" i="3"/>
  <c r="E1483" i="3"/>
  <c r="D1483" i="3"/>
  <c r="C1483" i="3"/>
  <c r="I1482" i="3"/>
  <c r="H1482" i="3"/>
  <c r="G1482" i="3"/>
  <c r="F1482" i="3"/>
  <c r="E1482" i="3"/>
  <c r="D1482" i="3"/>
  <c r="C1482" i="3"/>
  <c r="I1481" i="3"/>
  <c r="H1481" i="3"/>
  <c r="G1481" i="3"/>
  <c r="F1481" i="3"/>
  <c r="E1481" i="3"/>
  <c r="D1481" i="3"/>
  <c r="C1481" i="3"/>
  <c r="I1480" i="3"/>
  <c r="H1480" i="3"/>
  <c r="G1480" i="3"/>
  <c r="F1480" i="3"/>
  <c r="E1480" i="3"/>
  <c r="D1480" i="3"/>
  <c r="C1480" i="3"/>
  <c r="I1479" i="3"/>
  <c r="H1479" i="3"/>
  <c r="G1479" i="3"/>
  <c r="F1479" i="3"/>
  <c r="E1479" i="3"/>
  <c r="D1479" i="3"/>
  <c r="C1479" i="3"/>
  <c r="I1478" i="3"/>
  <c r="H1478" i="3"/>
  <c r="G1478" i="3"/>
  <c r="F1478" i="3"/>
  <c r="E1478" i="3"/>
  <c r="D1478" i="3"/>
  <c r="C1478" i="3"/>
  <c r="I1477" i="3"/>
  <c r="H1477" i="3"/>
  <c r="G1477" i="3"/>
  <c r="F1477" i="3"/>
  <c r="E1477" i="3"/>
  <c r="D1477" i="3"/>
  <c r="C1477" i="3"/>
  <c r="I1476" i="3"/>
  <c r="H1476" i="3"/>
  <c r="G1476" i="3"/>
  <c r="F1476" i="3"/>
  <c r="E1476" i="3"/>
  <c r="D1476" i="3"/>
  <c r="C1476" i="3"/>
  <c r="I1475" i="3"/>
  <c r="H1475" i="3"/>
  <c r="G1475" i="3"/>
  <c r="F1475" i="3"/>
  <c r="E1475" i="3"/>
  <c r="D1475" i="3"/>
  <c r="C1475" i="3"/>
  <c r="I1474" i="3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K1461" i="3"/>
  <c r="I1461" i="3"/>
  <c r="H1461" i="3"/>
  <c r="G1461" i="3"/>
  <c r="F1461" i="3"/>
  <c r="E1461" i="3"/>
  <c r="D1461" i="3"/>
  <c r="C1461" i="3"/>
  <c r="K1460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K1453" i="3"/>
  <c r="I1453" i="3"/>
  <c r="H1453" i="3"/>
  <c r="G1453" i="3"/>
  <c r="F1453" i="3"/>
  <c r="E1453" i="3"/>
  <c r="D1453" i="3"/>
  <c r="C1453" i="3"/>
  <c r="K1452" i="3"/>
  <c r="I1452" i="3"/>
  <c r="H1452" i="3"/>
  <c r="G1452" i="3"/>
  <c r="F1452" i="3"/>
  <c r="E1452" i="3"/>
  <c r="D1452" i="3"/>
  <c r="C1452" i="3"/>
  <c r="K1451" i="3"/>
  <c r="I1451" i="3"/>
  <c r="H1451" i="3"/>
  <c r="G1451" i="3"/>
  <c r="F1451" i="3"/>
  <c r="E1451" i="3"/>
  <c r="D1451" i="3"/>
  <c r="C1451" i="3"/>
  <c r="K1450" i="3"/>
  <c r="I1450" i="3"/>
  <c r="H1450" i="3"/>
  <c r="G1450" i="3"/>
  <c r="F1450" i="3"/>
  <c r="E1450" i="3"/>
  <c r="D1450" i="3"/>
  <c r="C1450" i="3"/>
  <c r="K1449" i="3"/>
  <c r="I1449" i="3"/>
  <c r="H1449" i="3"/>
  <c r="G1449" i="3"/>
  <c r="F1449" i="3"/>
  <c r="E1449" i="3"/>
  <c r="D1449" i="3"/>
  <c r="C1449" i="3"/>
  <c r="K1448" i="3"/>
  <c r="I1448" i="3"/>
  <c r="H1448" i="3"/>
  <c r="G1448" i="3"/>
  <c r="F1448" i="3"/>
  <c r="E1448" i="3"/>
  <c r="D1448" i="3"/>
  <c r="C1448" i="3"/>
  <c r="K1447" i="3"/>
  <c r="I1447" i="3"/>
  <c r="H1447" i="3"/>
  <c r="G1447" i="3"/>
  <c r="F1447" i="3"/>
  <c r="E1447" i="3"/>
  <c r="D1447" i="3"/>
  <c r="C1447" i="3"/>
  <c r="K1446" i="3"/>
  <c r="I1446" i="3"/>
  <c r="H1446" i="3"/>
  <c r="G1446" i="3"/>
  <c r="F1446" i="3"/>
  <c r="E1446" i="3"/>
  <c r="D1446" i="3"/>
  <c r="C1446" i="3"/>
  <c r="K1445" i="3"/>
  <c r="I1445" i="3"/>
  <c r="H1445" i="3"/>
  <c r="G1445" i="3"/>
  <c r="F1445" i="3"/>
  <c r="E1445" i="3"/>
  <c r="D1445" i="3"/>
  <c r="C1445" i="3"/>
  <c r="K1444" i="3"/>
  <c r="I1444" i="3"/>
  <c r="H1444" i="3"/>
  <c r="G1444" i="3"/>
  <c r="F1444" i="3"/>
  <c r="E1444" i="3"/>
  <c r="D1444" i="3"/>
  <c r="C1444" i="3"/>
  <c r="K1443" i="3"/>
  <c r="I1443" i="3"/>
  <c r="H1443" i="3"/>
  <c r="G1443" i="3"/>
  <c r="F1443" i="3"/>
  <c r="E1443" i="3"/>
  <c r="D1443" i="3"/>
  <c r="C1443" i="3"/>
  <c r="K1442" i="3"/>
  <c r="I1442" i="3"/>
  <c r="H1442" i="3"/>
  <c r="G1442" i="3"/>
  <c r="F1442" i="3"/>
  <c r="E1442" i="3"/>
  <c r="D1442" i="3"/>
  <c r="C1442" i="3"/>
  <c r="K1441" i="3"/>
  <c r="I1441" i="3"/>
  <c r="H1441" i="3"/>
  <c r="G1441" i="3"/>
  <c r="F1441" i="3"/>
  <c r="E1441" i="3"/>
  <c r="D1441" i="3"/>
  <c r="C1441" i="3"/>
  <c r="K1440" i="3"/>
  <c r="I1440" i="3"/>
  <c r="H1440" i="3"/>
  <c r="G1440" i="3"/>
  <c r="F1440" i="3"/>
  <c r="E1440" i="3"/>
  <c r="D1440" i="3"/>
  <c r="C1440" i="3"/>
  <c r="K1439" i="3"/>
  <c r="I1439" i="3"/>
  <c r="H1439" i="3"/>
  <c r="G1439" i="3"/>
  <c r="F1439" i="3"/>
  <c r="E1439" i="3"/>
  <c r="D1439" i="3"/>
  <c r="C1439" i="3"/>
  <c r="K1438" i="3"/>
  <c r="I1438" i="3"/>
  <c r="H1438" i="3"/>
  <c r="G1438" i="3"/>
  <c r="F1438" i="3"/>
  <c r="E1438" i="3"/>
  <c r="D1438" i="3"/>
  <c r="C1438" i="3"/>
  <c r="K1437" i="3"/>
  <c r="I1437" i="3"/>
  <c r="H1437" i="3"/>
  <c r="G1437" i="3"/>
  <c r="F1437" i="3"/>
  <c r="E1437" i="3"/>
  <c r="D1437" i="3"/>
  <c r="C1437" i="3"/>
  <c r="K1436" i="3"/>
  <c r="I1436" i="3"/>
  <c r="H1436" i="3"/>
  <c r="G1436" i="3"/>
  <c r="F1436" i="3"/>
  <c r="E1436" i="3"/>
  <c r="D1436" i="3"/>
  <c r="C1436" i="3"/>
  <c r="K1435" i="3"/>
  <c r="I1435" i="3"/>
  <c r="H1435" i="3"/>
  <c r="G1435" i="3"/>
  <c r="F1435" i="3"/>
  <c r="E1435" i="3"/>
  <c r="D1435" i="3"/>
  <c r="C1435" i="3"/>
  <c r="K1434" i="3"/>
  <c r="I1434" i="3"/>
  <c r="H1434" i="3"/>
  <c r="G1434" i="3"/>
  <c r="F1434" i="3"/>
  <c r="E1434" i="3"/>
  <c r="D1434" i="3"/>
  <c r="C1434" i="3"/>
  <c r="K1433" i="3"/>
  <c r="I1433" i="3"/>
  <c r="H1433" i="3"/>
  <c r="G1433" i="3"/>
  <c r="F1433" i="3"/>
  <c r="E1433" i="3"/>
  <c r="D1433" i="3"/>
  <c r="C1433" i="3"/>
  <c r="K1432" i="3"/>
  <c r="I1432" i="3"/>
  <c r="H1432" i="3"/>
  <c r="G1432" i="3"/>
  <c r="F1432" i="3"/>
  <c r="E1432" i="3"/>
  <c r="D1432" i="3"/>
  <c r="C1432" i="3"/>
  <c r="K1431" i="3"/>
  <c r="I1431" i="3"/>
  <c r="H1431" i="3"/>
  <c r="G1431" i="3"/>
  <c r="F1431" i="3"/>
  <c r="E1431" i="3"/>
  <c r="D1431" i="3"/>
  <c r="C1431" i="3"/>
  <c r="K1430" i="3"/>
  <c r="I1430" i="3"/>
  <c r="H1430" i="3"/>
  <c r="G1430" i="3"/>
  <c r="F1430" i="3"/>
  <c r="E1430" i="3"/>
  <c r="D1430" i="3"/>
  <c r="C1430" i="3"/>
  <c r="K1429" i="3"/>
  <c r="I1429" i="3"/>
  <c r="H1429" i="3"/>
  <c r="G1429" i="3"/>
  <c r="F1429" i="3"/>
  <c r="E1429" i="3"/>
  <c r="D1429" i="3"/>
  <c r="C1429" i="3"/>
  <c r="K1428" i="3"/>
  <c r="I1428" i="3"/>
  <c r="H1428" i="3"/>
  <c r="G1428" i="3"/>
  <c r="F1428" i="3"/>
  <c r="E1428" i="3"/>
  <c r="D1428" i="3"/>
  <c r="C1428" i="3"/>
  <c r="K1427" i="3"/>
  <c r="I1427" i="3"/>
  <c r="H1427" i="3"/>
  <c r="G1427" i="3"/>
  <c r="F1427" i="3"/>
  <c r="E1427" i="3"/>
  <c r="D1427" i="3"/>
  <c r="C1427" i="3"/>
  <c r="K1426" i="3"/>
  <c r="I1426" i="3"/>
  <c r="H1426" i="3"/>
  <c r="G1426" i="3"/>
  <c r="F1426" i="3"/>
  <c r="E1426" i="3"/>
  <c r="D1426" i="3"/>
  <c r="C1426" i="3"/>
  <c r="K1425" i="3" l="1"/>
  <c r="I1425" i="3"/>
  <c r="H1425" i="3"/>
  <c r="G1425" i="3"/>
  <c r="F1425" i="3"/>
  <c r="E1425" i="3"/>
  <c r="D1425" i="3"/>
  <c r="C1425" i="3"/>
  <c r="K1424" i="3"/>
  <c r="I1424" i="3"/>
  <c r="H1424" i="3"/>
  <c r="G1424" i="3"/>
  <c r="F1424" i="3"/>
  <c r="E1424" i="3"/>
  <c r="D1424" i="3"/>
  <c r="C1424" i="3"/>
  <c r="K1423" i="3"/>
  <c r="I1423" i="3"/>
  <c r="H1423" i="3"/>
  <c r="G1423" i="3"/>
  <c r="F1423" i="3"/>
  <c r="E1423" i="3"/>
  <c r="D1423" i="3"/>
  <c r="C1423" i="3"/>
  <c r="K1422" i="3"/>
  <c r="I1422" i="3"/>
  <c r="H1422" i="3"/>
  <c r="G1422" i="3"/>
  <c r="F1422" i="3"/>
  <c r="E1422" i="3"/>
  <c r="D1422" i="3"/>
  <c r="C1422" i="3"/>
  <c r="K1421" i="3"/>
  <c r="I1421" i="3"/>
  <c r="H1421" i="3"/>
  <c r="G1421" i="3"/>
  <c r="F1421" i="3"/>
  <c r="E1421" i="3"/>
  <c r="D1421" i="3"/>
  <c r="C1421" i="3"/>
  <c r="K1420" i="3"/>
  <c r="I1420" i="3"/>
  <c r="H1420" i="3"/>
  <c r="G1420" i="3"/>
  <c r="F1420" i="3"/>
  <c r="E1420" i="3"/>
  <c r="D1420" i="3"/>
  <c r="C1420" i="3"/>
  <c r="K1419" i="3"/>
  <c r="I1419" i="3"/>
  <c r="H1419" i="3"/>
  <c r="G1419" i="3"/>
  <c r="F1419" i="3"/>
  <c r="E1419" i="3"/>
  <c r="D1419" i="3"/>
  <c r="C1419" i="3"/>
  <c r="K1418" i="3"/>
  <c r="I1418" i="3"/>
  <c r="H1418" i="3"/>
  <c r="G1418" i="3"/>
  <c r="F1418" i="3"/>
  <c r="E1418" i="3"/>
  <c r="D1418" i="3"/>
  <c r="C1418" i="3"/>
  <c r="K1417" i="3"/>
  <c r="I1417" i="3"/>
  <c r="H1417" i="3"/>
  <c r="G1417" i="3"/>
  <c r="F1417" i="3"/>
  <c r="E1417" i="3"/>
  <c r="D1417" i="3"/>
  <c r="C1417" i="3"/>
  <c r="K1416" i="3"/>
  <c r="I1416" i="3"/>
  <c r="H1416" i="3"/>
  <c r="G1416" i="3"/>
  <c r="F1416" i="3"/>
  <c r="E1416" i="3"/>
  <c r="D1416" i="3"/>
  <c r="C1416" i="3"/>
  <c r="K1415" i="3"/>
  <c r="I1415" i="3"/>
  <c r="H1415" i="3"/>
  <c r="G1415" i="3"/>
  <c r="F1415" i="3"/>
  <c r="E1415" i="3"/>
  <c r="D1415" i="3"/>
  <c r="C1415" i="3"/>
  <c r="K1414" i="3"/>
  <c r="I1414" i="3"/>
  <c r="H1414" i="3"/>
  <c r="G1414" i="3"/>
  <c r="F1414" i="3"/>
  <c r="E1414" i="3"/>
  <c r="D1414" i="3"/>
  <c r="C1414" i="3"/>
  <c r="K1413" i="3"/>
  <c r="I1413" i="3"/>
  <c r="H1413" i="3"/>
  <c r="G1413" i="3"/>
  <c r="F1413" i="3"/>
  <c r="E1413" i="3"/>
  <c r="D1413" i="3"/>
  <c r="C1413" i="3"/>
  <c r="K1412" i="3"/>
  <c r="I1412" i="3"/>
  <c r="H1412" i="3"/>
  <c r="G1412" i="3"/>
  <c r="F1412" i="3"/>
  <c r="E1412" i="3"/>
  <c r="D1412" i="3"/>
  <c r="C1412" i="3"/>
  <c r="K1411" i="3"/>
  <c r="I1411" i="3"/>
  <c r="H1411" i="3"/>
  <c r="G1411" i="3"/>
  <c r="F1411" i="3"/>
  <c r="E1411" i="3"/>
  <c r="D1411" i="3"/>
  <c r="C1411" i="3"/>
  <c r="K1410" i="3"/>
  <c r="I1410" i="3"/>
  <c r="H1410" i="3"/>
  <c r="G1410" i="3"/>
  <c r="F1410" i="3"/>
  <c r="E1410" i="3"/>
  <c r="D1410" i="3"/>
  <c r="C1410" i="3"/>
  <c r="K1409" i="3"/>
  <c r="I1409" i="3"/>
  <c r="H1409" i="3"/>
  <c r="G1409" i="3"/>
  <c r="F1409" i="3"/>
  <c r="E1409" i="3"/>
  <c r="D1409" i="3"/>
  <c r="C1409" i="3"/>
  <c r="K1408" i="3"/>
  <c r="I1408" i="3"/>
  <c r="H1408" i="3"/>
  <c r="G1408" i="3"/>
  <c r="F1408" i="3"/>
  <c r="E1408" i="3"/>
  <c r="D1408" i="3"/>
  <c r="C1408" i="3"/>
  <c r="K1407" i="3" l="1"/>
  <c r="I1407" i="3"/>
  <c r="H1407" i="3"/>
  <c r="G1407" i="3"/>
  <c r="F1407" i="3"/>
  <c r="E1407" i="3"/>
  <c r="D1407" i="3"/>
  <c r="C1407" i="3"/>
  <c r="K1406" i="3"/>
  <c r="I1406" i="3"/>
  <c r="H1406" i="3"/>
  <c r="G1406" i="3"/>
  <c r="F1406" i="3"/>
  <c r="E1406" i="3"/>
  <c r="D1406" i="3"/>
  <c r="C1406" i="3"/>
  <c r="K1405" i="3"/>
  <c r="I1405" i="3"/>
  <c r="H1405" i="3"/>
  <c r="G1405" i="3"/>
  <c r="F1405" i="3"/>
  <c r="E1405" i="3"/>
  <c r="D1405" i="3"/>
  <c r="C1405" i="3"/>
  <c r="K1404" i="3"/>
  <c r="I1404" i="3"/>
  <c r="H1404" i="3"/>
  <c r="G1404" i="3"/>
  <c r="F1404" i="3"/>
  <c r="E1404" i="3"/>
  <c r="D1404" i="3"/>
  <c r="C1404" i="3"/>
  <c r="K1403" i="3"/>
  <c r="I1403" i="3"/>
  <c r="H1403" i="3"/>
  <c r="G1403" i="3"/>
  <c r="F1403" i="3"/>
  <c r="E1403" i="3"/>
  <c r="D1403" i="3"/>
  <c r="C1403" i="3"/>
  <c r="K1402" i="3"/>
  <c r="I1402" i="3"/>
  <c r="H1402" i="3"/>
  <c r="G1402" i="3"/>
  <c r="F1402" i="3"/>
  <c r="E1402" i="3"/>
  <c r="D1402" i="3"/>
  <c r="C1402" i="3"/>
  <c r="K1401" i="3"/>
  <c r="I1401" i="3"/>
  <c r="H1401" i="3"/>
  <c r="G1401" i="3"/>
  <c r="F1401" i="3"/>
  <c r="E1401" i="3"/>
  <c r="D1401" i="3"/>
  <c r="C1401" i="3"/>
  <c r="K1400" i="3"/>
  <c r="I1400" i="3"/>
  <c r="H1400" i="3"/>
  <c r="G1400" i="3"/>
  <c r="F1400" i="3"/>
  <c r="E1400" i="3"/>
  <c r="D1400" i="3"/>
  <c r="C1400" i="3"/>
  <c r="K1399" i="3"/>
  <c r="I1399" i="3"/>
  <c r="H1399" i="3"/>
  <c r="G1399" i="3"/>
  <c r="F1399" i="3"/>
  <c r="E1399" i="3"/>
  <c r="D1399" i="3"/>
  <c r="C1399" i="3"/>
  <c r="K1398" i="3"/>
  <c r="I1398" i="3"/>
  <c r="H1398" i="3"/>
  <c r="G1398" i="3"/>
  <c r="F1398" i="3"/>
  <c r="E1398" i="3"/>
  <c r="D1398" i="3"/>
  <c r="C1398" i="3"/>
  <c r="K1397" i="3"/>
  <c r="I1397" i="3"/>
  <c r="H1397" i="3"/>
  <c r="G1397" i="3"/>
  <c r="F1397" i="3"/>
  <c r="E1397" i="3"/>
  <c r="D1397" i="3"/>
  <c r="C1397" i="3"/>
  <c r="K1396" i="3"/>
  <c r="I1396" i="3"/>
  <c r="H1396" i="3"/>
  <c r="G1396" i="3"/>
  <c r="F1396" i="3"/>
  <c r="E1396" i="3"/>
  <c r="D1396" i="3"/>
  <c r="C1396" i="3"/>
  <c r="K1395" i="3"/>
  <c r="I1395" i="3"/>
  <c r="H1395" i="3"/>
  <c r="G1395" i="3"/>
  <c r="F1395" i="3"/>
  <c r="E1395" i="3"/>
  <c r="D1395" i="3"/>
  <c r="C1395" i="3"/>
  <c r="K1394" i="3"/>
  <c r="I1394" i="3"/>
  <c r="H1394" i="3"/>
  <c r="G1394" i="3"/>
  <c r="F1394" i="3"/>
  <c r="E1394" i="3"/>
  <c r="D1394" i="3"/>
  <c r="C1394" i="3"/>
  <c r="K1393" i="3"/>
  <c r="I1393" i="3"/>
  <c r="H1393" i="3"/>
  <c r="G1393" i="3"/>
  <c r="F1393" i="3"/>
  <c r="E1393" i="3"/>
  <c r="D1393" i="3"/>
  <c r="C1393" i="3"/>
  <c r="K1392" i="3"/>
  <c r="I1392" i="3"/>
  <c r="H1392" i="3"/>
  <c r="G1392" i="3"/>
  <c r="F1392" i="3"/>
  <c r="E1392" i="3"/>
  <c r="D1392" i="3"/>
  <c r="C1392" i="3"/>
  <c r="K1391" i="3"/>
  <c r="I1391" i="3"/>
  <c r="H1391" i="3"/>
  <c r="G1391" i="3"/>
  <c r="F1391" i="3"/>
  <c r="E1391" i="3"/>
  <c r="D1391" i="3"/>
  <c r="C1391" i="3"/>
  <c r="K1390" i="3"/>
  <c r="I1390" i="3"/>
  <c r="H1390" i="3"/>
  <c r="G1390" i="3"/>
  <c r="F1390" i="3"/>
  <c r="E1390" i="3"/>
  <c r="D1390" i="3"/>
  <c r="C1390" i="3"/>
  <c r="K1389" i="3"/>
  <c r="I1389" i="3"/>
  <c r="H1389" i="3"/>
  <c r="G1389" i="3"/>
  <c r="F1389" i="3"/>
  <c r="E1389" i="3"/>
  <c r="D1389" i="3"/>
  <c r="C1389" i="3"/>
  <c r="K1388" i="3"/>
  <c r="I1388" i="3"/>
  <c r="H1388" i="3"/>
  <c r="G1388" i="3"/>
  <c r="F1388" i="3"/>
  <c r="E1388" i="3"/>
  <c r="D1388" i="3"/>
  <c r="C1388" i="3"/>
  <c r="K1387" i="3"/>
  <c r="I1387" i="3"/>
  <c r="H1387" i="3"/>
  <c r="G1387" i="3"/>
  <c r="F1387" i="3"/>
  <c r="E1387" i="3"/>
  <c r="D1387" i="3"/>
  <c r="C1387" i="3"/>
  <c r="K1386" i="3"/>
  <c r="I1386" i="3"/>
  <c r="H1386" i="3"/>
  <c r="G1386" i="3"/>
  <c r="F1386" i="3"/>
  <c r="E1386" i="3"/>
  <c r="D1386" i="3"/>
  <c r="C1386" i="3"/>
  <c r="K1385" i="3"/>
  <c r="I1385" i="3"/>
  <c r="H1385" i="3"/>
  <c r="G1385" i="3"/>
  <c r="F1385" i="3"/>
  <c r="E1385" i="3"/>
  <c r="D1385" i="3"/>
  <c r="C1385" i="3"/>
  <c r="K1384" i="3"/>
  <c r="I1384" i="3"/>
  <c r="H1384" i="3"/>
  <c r="G1384" i="3"/>
  <c r="F1384" i="3"/>
  <c r="E1384" i="3"/>
  <c r="D1384" i="3"/>
  <c r="C1384" i="3"/>
  <c r="K1383" i="3"/>
  <c r="I1383" i="3"/>
  <c r="H1383" i="3"/>
  <c r="G1383" i="3"/>
  <c r="F1383" i="3"/>
  <c r="E1383" i="3"/>
  <c r="D1383" i="3"/>
  <c r="C1383" i="3"/>
  <c r="K1382" i="3"/>
  <c r="I1382" i="3"/>
  <c r="H1382" i="3"/>
  <c r="G1382" i="3"/>
  <c r="F1382" i="3"/>
  <c r="E1382" i="3"/>
  <c r="D1382" i="3"/>
  <c r="C1382" i="3"/>
  <c r="K1381" i="3"/>
  <c r="I1381" i="3"/>
  <c r="H1381" i="3"/>
  <c r="G1381" i="3"/>
  <c r="F1381" i="3"/>
  <c r="E1381" i="3"/>
  <c r="D1381" i="3"/>
  <c r="C1381" i="3"/>
  <c r="K1380" i="3"/>
  <c r="I1380" i="3"/>
  <c r="H1380" i="3"/>
  <c r="G1380" i="3"/>
  <c r="F1380" i="3"/>
  <c r="E1380" i="3"/>
  <c r="D1380" i="3"/>
  <c r="C1380" i="3"/>
  <c r="K1379" i="3"/>
  <c r="I1379" i="3"/>
  <c r="H1379" i="3"/>
  <c r="G1379" i="3"/>
  <c r="F1379" i="3"/>
  <c r="E1379" i="3"/>
  <c r="D1379" i="3"/>
  <c r="C1379" i="3"/>
  <c r="K1378" i="3"/>
  <c r="I1378" i="3"/>
  <c r="H1378" i="3"/>
  <c r="G1378" i="3"/>
  <c r="F1378" i="3"/>
  <c r="E1378" i="3"/>
  <c r="D1378" i="3"/>
  <c r="C1378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<sst xmlns="http://schemas.openxmlformats.org/spreadsheetml/2006/main" count="4930" uniqueCount="1248">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</sst>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14" fontId="0" fillId="0" borderId="20" xfId="0" applyNumberFormat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459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806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206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506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80626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.shortcut-targets-by-id\1MCIZo_f5Ab2SUnXyqrJjW3Y4nSKeGcNg\DAILY_RPT\Sawangan_Update_110626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9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 refreshError="1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5">
        <f ca="1">TODAY()</f>
        <v>46202</v>
      </c>
      <c r="C1" s="75"/>
      <c r="D1" s="75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26</v>
      </c>
      <c r="E6" s="1">
        <f t="shared" ca="1" si="0"/>
        <v>26</v>
      </c>
      <c r="F6" s="1">
        <f t="shared" ca="1" si="0"/>
        <v>28</v>
      </c>
      <c r="G6" s="1">
        <f t="shared" ca="1" si="0"/>
        <v>28</v>
      </c>
      <c r="H6" s="1">
        <f t="shared" ca="1" si="0"/>
        <v>28</v>
      </c>
      <c r="J6" s="1">
        <f t="shared" ref="J6:P6" ca="1" si="1">IF(J7="","",$B$1-J7)</f>
        <v>28</v>
      </c>
      <c r="K6" s="1">
        <f t="shared" ca="1" si="1"/>
        <v>28</v>
      </c>
      <c r="L6" s="1">
        <f t="shared" ca="1" si="1"/>
        <v>28</v>
      </c>
      <c r="M6" s="1">
        <f t="shared" ca="1" si="1"/>
        <v>28</v>
      </c>
      <c r="N6" s="1">
        <f t="shared" ca="1" si="1"/>
        <v>29</v>
      </c>
      <c r="O6" s="1">
        <f t="shared" ca="1" si="1"/>
        <v>29</v>
      </c>
      <c r="P6" s="1">
        <f t="shared" ca="1" si="1"/>
        <v>29</v>
      </c>
      <c r="R6" s="1">
        <f t="shared" ref="R6:X6" ca="1" si="2">IF(R7="","",$B$1-R7)</f>
        <v>29</v>
      </c>
      <c r="S6" s="1">
        <f t="shared" ca="1" si="2"/>
        <v>29</v>
      </c>
      <c r="T6" s="1">
        <f t="shared" ca="1" si="2"/>
        <v>29</v>
      </c>
      <c r="U6" s="1">
        <f t="shared" ca="1" si="2"/>
        <v>29</v>
      </c>
      <c r="V6" s="1">
        <f t="shared" ca="1" si="2"/>
        <v>30</v>
      </c>
      <c r="W6" s="1">
        <f t="shared" ca="1" si="2"/>
        <v>30</v>
      </c>
      <c r="X6" s="1">
        <f t="shared" ca="1" si="2"/>
        <v>30</v>
      </c>
      <c r="Y6" s="9"/>
    </row>
    <row r="7" spans="1:25" ht="38.25" customHeight="1" x14ac:dyDescent="0.25">
      <c r="B7" s="72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3"/>
      <c r="Y8" s="9"/>
    </row>
    <row r="9" spans="1:25" x14ac:dyDescent="0.25">
      <c r="B9" s="73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4"/>
      <c r="C10" s="3">
        <f t="shared" ref="C10:H10" ca="1" si="3">IF(C11="","",$B$1-C11)</f>
        <v>35</v>
      </c>
      <c r="D10" s="1">
        <f t="shared" ca="1" si="3"/>
        <v>35</v>
      </c>
      <c r="E10" s="1">
        <f t="shared" ca="1" si="3"/>
        <v>35</v>
      </c>
      <c r="F10" s="1">
        <f t="shared" ca="1" si="3"/>
        <v>35</v>
      </c>
      <c r="G10" s="1">
        <f t="shared" ca="1" si="3"/>
        <v>35</v>
      </c>
      <c r="H10" s="1">
        <f t="shared" ca="1" si="3"/>
        <v>35</v>
      </c>
      <c r="J10" s="1">
        <f t="shared" ref="J10:P10" ca="1" si="4">IF(J11="","",$B$1-J11)</f>
        <v>35</v>
      </c>
      <c r="K10" s="1">
        <f t="shared" ca="1" si="4"/>
        <v>32</v>
      </c>
      <c r="L10" s="1">
        <f t="shared" ca="1" si="4"/>
        <v>32</v>
      </c>
      <c r="M10" s="1">
        <f t="shared" ca="1" si="4"/>
        <v>32</v>
      </c>
      <c r="N10" s="1">
        <f t="shared" ca="1" si="4"/>
        <v>32</v>
      </c>
      <c r="O10" s="1">
        <f t="shared" ca="1" si="4"/>
        <v>32</v>
      </c>
      <c r="P10" s="1">
        <f t="shared" ca="1" si="4"/>
        <v>32</v>
      </c>
      <c r="R10" s="1">
        <f t="shared" ref="R10:X10" ca="1" si="5">IF(R11="","",$B$1-R11)</f>
        <v>32</v>
      </c>
      <c r="S10" s="1">
        <f t="shared" ca="1" si="5"/>
        <v>31</v>
      </c>
      <c r="T10" s="1">
        <f t="shared" ca="1" si="5"/>
        <v>31</v>
      </c>
      <c r="U10" s="1">
        <f t="shared" ca="1" si="5"/>
        <v>30</v>
      </c>
      <c r="V10" s="1">
        <f t="shared" ca="1" si="5"/>
        <v>30</v>
      </c>
      <c r="W10" s="1">
        <f t="shared" ca="1" si="5"/>
        <v>30</v>
      </c>
      <c r="X10" s="1">
        <f t="shared" ca="1" si="5"/>
        <v>30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36</v>
      </c>
      <c r="D14" s="1">
        <f t="shared" ca="1" si="6"/>
        <v>36</v>
      </c>
      <c r="E14" s="1">
        <f t="shared" ca="1" si="6"/>
        <v>36</v>
      </c>
      <c r="F14" s="1">
        <f t="shared" ca="1" si="6"/>
        <v>36</v>
      </c>
      <c r="G14" s="1">
        <f t="shared" ca="1" si="6"/>
        <v>36</v>
      </c>
      <c r="H14" s="1">
        <f t="shared" ca="1" si="6"/>
        <v>36</v>
      </c>
      <c r="J14" s="1">
        <f t="shared" ref="J14:P14" ca="1" si="7">IF(J15="","",$B$1-J15)</f>
        <v>36</v>
      </c>
      <c r="K14" s="1">
        <f t="shared" ca="1" si="7"/>
        <v>33</v>
      </c>
      <c r="L14" s="1">
        <f t="shared" ca="1" si="7"/>
        <v>33</v>
      </c>
      <c r="M14" s="1">
        <f t="shared" ca="1" si="7"/>
        <v>33</v>
      </c>
      <c r="N14" s="1">
        <f t="shared" ca="1" si="7"/>
        <v>33</v>
      </c>
      <c r="O14" s="1">
        <f t="shared" ca="1" si="7"/>
        <v>33</v>
      </c>
      <c r="P14" s="1">
        <f t="shared" ca="1" si="7"/>
        <v>33</v>
      </c>
      <c r="R14" s="1">
        <f t="shared" ref="R14:X14" ca="1" si="8">IF(R15="","",$B$1-R15)</f>
        <v>33</v>
      </c>
      <c r="S14" s="1">
        <f t="shared" ca="1" si="8"/>
        <v>31</v>
      </c>
      <c r="T14" s="1">
        <f t="shared" ca="1" si="8"/>
        <v>31</v>
      </c>
      <c r="U14" s="1">
        <f t="shared" ca="1" si="8"/>
        <v>31</v>
      </c>
      <c r="V14" s="1">
        <f t="shared" ca="1" si="8"/>
        <v>31</v>
      </c>
      <c r="W14" s="1">
        <f t="shared" ca="1" si="8"/>
        <v>31</v>
      </c>
      <c r="X14" s="1">
        <f t="shared" ca="1" si="8"/>
        <v>31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48</v>
      </c>
      <c r="K20" s="1">
        <f ca="1">IF(K21="","",$B$1-K21)</f>
        <v>48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26</v>
      </c>
      <c r="D24" s="1">
        <f t="shared" ca="1" si="9"/>
        <v>26</v>
      </c>
      <c r="E24" s="1" t="str">
        <f t="shared" si="9"/>
        <v/>
      </c>
      <c r="F24" s="1" t="str">
        <f t="shared" si="9"/>
        <v/>
      </c>
      <c r="G24" s="1">
        <f t="shared" ca="1" si="9"/>
        <v>26</v>
      </c>
      <c r="H24" s="1">
        <f t="shared" ca="1" si="9"/>
        <v>26</v>
      </c>
      <c r="J24" s="1">
        <f ca="1">IF(J25="","",$B$1-J25)</f>
        <v>26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51</v>
      </c>
      <c r="T24" s="1">
        <f t="shared" ca="1" si="10"/>
        <v>51</v>
      </c>
      <c r="U24" s="1">
        <f t="shared" ca="1" si="10"/>
        <v>51</v>
      </c>
      <c r="V24" s="1">
        <f t="shared" ca="1" si="10"/>
        <v>51</v>
      </c>
      <c r="W24" s="1">
        <f t="shared" ca="1" si="10"/>
        <v>51</v>
      </c>
      <c r="X24" s="1">
        <f t="shared" ca="1" si="10"/>
        <v>51</v>
      </c>
      <c r="Z24" s="1">
        <f t="shared" ca="1" si="10"/>
        <v>51</v>
      </c>
      <c r="AA24" s="1">
        <f t="shared" ca="1" si="10"/>
        <v>49</v>
      </c>
      <c r="AB24" s="1">
        <f t="shared" ca="1" si="10"/>
        <v>49</v>
      </c>
      <c r="AC24" s="1">
        <f t="shared" ca="1" si="10"/>
        <v>49</v>
      </c>
      <c r="AD24" s="1">
        <f t="shared" ca="1" si="10"/>
        <v>49</v>
      </c>
      <c r="AE24" s="1">
        <f t="shared" ca="1" si="10"/>
        <v>49</v>
      </c>
      <c r="AF24" s="1">
        <f t="shared" ca="1" si="10"/>
        <v>49</v>
      </c>
      <c r="AG24" s="1">
        <f t="shared" ca="1" si="10"/>
        <v>49</v>
      </c>
      <c r="AH24" s="1">
        <f t="shared" ca="1" si="10"/>
        <v>48</v>
      </c>
      <c r="AI24" s="1">
        <f t="shared" ca="1" si="10"/>
        <v>48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27</v>
      </c>
      <c r="D28" s="1">
        <f t="shared" ca="1" si="11"/>
        <v>27</v>
      </c>
      <c r="E28" s="1">
        <f t="shared" ca="1" si="11"/>
        <v>27</v>
      </c>
      <c r="F28" s="1">
        <f t="shared" ca="1" si="11"/>
        <v>27</v>
      </c>
      <c r="G28" s="1">
        <f t="shared" ca="1" si="11"/>
        <v>27</v>
      </c>
      <c r="H28" s="1">
        <f t="shared" ca="1" si="11"/>
        <v>27</v>
      </c>
      <c r="J28" s="1">
        <f ca="1">IF(J29="","",$B$1-J29)</f>
        <v>27</v>
      </c>
      <c r="K28" s="1">
        <f t="shared" ref="K28:P28" ca="1" si="12">IF(K29="","",$B$1-K29)</f>
        <v>24</v>
      </c>
      <c r="L28" s="1">
        <f t="shared" ca="1" si="12"/>
        <v>24</v>
      </c>
      <c r="M28" s="1">
        <f t="shared" ca="1" si="12"/>
        <v>24</v>
      </c>
      <c r="N28" s="1">
        <f t="shared" ca="1" si="12"/>
        <v>24</v>
      </c>
      <c r="O28" s="1">
        <f t="shared" ca="1" si="12"/>
        <v>24</v>
      </c>
      <c r="P28" s="1">
        <f t="shared" ca="1" si="12"/>
        <v>24</v>
      </c>
      <c r="R28" s="1">
        <f t="shared" ref="R28:X28" ca="1" si="13">IF(R29="","",$B$1-R29)</f>
        <v>24</v>
      </c>
      <c r="S28" s="1">
        <f ca="1">IF(S29="","",$B$1-S29)</f>
        <v>52</v>
      </c>
      <c r="T28" s="1">
        <f ca="1">IF(T29="","",$B$1-T29)</f>
        <v>52</v>
      </c>
      <c r="U28" s="1">
        <f ca="1">IF(U29="","",$B$1-U29)</f>
        <v>52</v>
      </c>
      <c r="V28" s="1">
        <f ca="1">IF(V29="","",$B$1-V29)</f>
        <v>52</v>
      </c>
      <c r="W28" s="1">
        <f t="shared" ca="1" si="13"/>
        <v>52</v>
      </c>
      <c r="X28" s="1">
        <f t="shared" ca="1" si="13"/>
        <v>52</v>
      </c>
      <c r="Z28" s="1">
        <f t="shared" ref="Z28:AI28" ca="1" si="14">IF(Z29="","",$B$1-Z29)</f>
        <v>52</v>
      </c>
      <c r="AA28" s="1">
        <f t="shared" ca="1" si="14"/>
        <v>50</v>
      </c>
      <c r="AB28" s="1">
        <f t="shared" ca="1" si="14"/>
        <v>50</v>
      </c>
      <c r="AC28" s="1">
        <f t="shared" ca="1" si="14"/>
        <v>50</v>
      </c>
      <c r="AD28" s="1">
        <f t="shared" ca="1" si="14"/>
        <v>50</v>
      </c>
      <c r="AE28" s="1">
        <f t="shared" ca="1" si="14"/>
        <v>50</v>
      </c>
      <c r="AF28" s="1">
        <f t="shared" ca="1" si="14"/>
        <v>50</v>
      </c>
      <c r="AG28" s="1">
        <f t="shared" ca="1" si="14"/>
        <v>50</v>
      </c>
      <c r="AH28" s="1">
        <f t="shared" ca="1" si="14"/>
        <v>48</v>
      </c>
      <c r="AI28" s="1">
        <f t="shared" ca="1" si="14"/>
        <v>48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6" t="s">
        <v>135</v>
      </c>
      <c r="I30" s="77"/>
      <c r="J30" s="78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5">
        <v>45978</v>
      </c>
      <c r="C36" s="75"/>
      <c r="D36" s="75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44</v>
      </c>
      <c r="D41" s="1">
        <f t="shared" ca="1" si="15"/>
        <v>44</v>
      </c>
      <c r="E41" s="1">
        <f t="shared" ca="1" si="15"/>
        <v>44</v>
      </c>
      <c r="F41" s="1">
        <f t="shared" ca="1" si="15"/>
        <v>44</v>
      </c>
      <c r="G41" s="1">
        <f t="shared" ca="1" si="15"/>
        <v>43</v>
      </c>
      <c r="H41" s="1">
        <f t="shared" ca="1" si="15"/>
        <v>43</v>
      </c>
      <c r="J41" s="1">
        <f t="shared" ca="1" si="15"/>
        <v>43</v>
      </c>
      <c r="K41" s="1">
        <f t="shared" ca="1" si="15"/>
        <v>43</v>
      </c>
      <c r="L41" s="1">
        <f t="shared" ca="1" si="15"/>
        <v>43</v>
      </c>
      <c r="M41" s="1">
        <f t="shared" ca="1" si="15"/>
        <v>43</v>
      </c>
      <c r="N41" s="1">
        <f t="shared" ca="1" si="15"/>
        <v>43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46</v>
      </c>
      <c r="D45" s="1">
        <f ca="1">IF(D46="","",$B$1-D46)</f>
        <v>46</v>
      </c>
      <c r="E45" s="1">
        <f ca="1">IF(E46="","",$B$1-E46)</f>
        <v>45</v>
      </c>
      <c r="F45" s="1">
        <f ca="1">IF(F46="","",$B$1-F46)</f>
        <v>45</v>
      </c>
      <c r="H45" s="1">
        <f ca="1">IF(H46="","",$B$1-H46)</f>
        <v>45</v>
      </c>
      <c r="J45" s="1">
        <f t="shared" ref="J45:P45" ca="1" si="16">IF(J46="","",$B$1-J46)</f>
        <v>45</v>
      </c>
      <c r="K45" s="1">
        <f t="shared" ca="1" si="16"/>
        <v>45</v>
      </c>
      <c r="L45" s="1">
        <f t="shared" ca="1" si="16"/>
        <v>45</v>
      </c>
      <c r="M45" s="1">
        <f t="shared" ca="1" si="16"/>
        <v>45</v>
      </c>
      <c r="N45" s="1">
        <f t="shared" ca="1" si="16"/>
        <v>44</v>
      </c>
      <c r="O45" s="1">
        <f t="shared" ca="1" si="16"/>
        <v>44</v>
      </c>
      <c r="P45" s="1">
        <f t="shared" ca="1" si="16"/>
        <v>44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47</v>
      </c>
      <c r="D49" s="1">
        <f ca="1">IF(D50="","",$B$1-D50)</f>
        <v>47</v>
      </c>
      <c r="E49" s="1">
        <f ca="1">IF(E50="","",$B$1-E50)</f>
        <v>47</v>
      </c>
      <c r="F49" s="1">
        <f ca="1">IF(F50="","",$B$1-F50)</f>
        <v>47</v>
      </c>
      <c r="H49" s="1">
        <f ca="1">IF(H50="","",$B$1-H50)</f>
        <v>47</v>
      </c>
      <c r="J49" s="1">
        <f t="shared" ref="J49:P49" ca="1" si="17">IF(J50="","",$B$1-J50)</f>
        <v>47</v>
      </c>
      <c r="K49" s="1">
        <f t="shared" ca="1" si="17"/>
        <v>47</v>
      </c>
      <c r="L49" s="1">
        <f t="shared" ca="1" si="17"/>
        <v>46</v>
      </c>
      <c r="M49" s="1">
        <f t="shared" ca="1" si="17"/>
        <v>46</v>
      </c>
      <c r="N49" s="1">
        <f t="shared" ca="1" si="17"/>
        <v>46</v>
      </c>
      <c r="O49" s="1">
        <f t="shared" ca="1" si="17"/>
        <v>46</v>
      </c>
      <c r="P49" s="1">
        <f t="shared" ca="1" si="17"/>
        <v>46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6" t="s">
        <v>135</v>
      </c>
      <c r="G51" s="77"/>
      <c r="H51" s="78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39</v>
      </c>
      <c r="D58" s="1">
        <f t="shared" ca="1" si="18"/>
        <v>39</v>
      </c>
      <c r="E58" s="1">
        <f t="shared" ca="1" si="18"/>
        <v>39</v>
      </c>
      <c r="F58" s="1">
        <f t="shared" ca="1" si="18"/>
        <v>39</v>
      </c>
      <c r="G58" s="1">
        <f t="shared" ca="1" si="18"/>
        <v>39</v>
      </c>
      <c r="H58" s="1">
        <f t="shared" ca="1" si="18"/>
        <v>39</v>
      </c>
      <c r="J58" s="1">
        <f t="shared" ref="J58:P58" ca="1" si="19">IF(J59="","",$B$1-J59)</f>
        <v>39</v>
      </c>
      <c r="K58" s="1">
        <f t="shared" ca="1" si="19"/>
        <v>38</v>
      </c>
      <c r="L58" s="1">
        <f t="shared" ca="1" si="19"/>
        <v>38</v>
      </c>
      <c r="M58" s="1">
        <f t="shared" ca="1" si="19"/>
        <v>38</v>
      </c>
      <c r="N58" s="1">
        <f t="shared" ca="1" si="19"/>
        <v>38</v>
      </c>
      <c r="O58" s="1">
        <f t="shared" ca="1" si="19"/>
        <v>38</v>
      </c>
      <c r="P58" s="1">
        <f t="shared" ca="1" si="19"/>
        <v>38</v>
      </c>
      <c r="R58" s="1">
        <f t="shared" ref="R58:X58" ca="1" si="20">IF(R59="","",$B$1-R59)</f>
        <v>38</v>
      </c>
      <c r="S58" s="1">
        <f t="shared" ca="1" si="20"/>
        <v>37</v>
      </c>
      <c r="T58" s="1">
        <f t="shared" ca="1" si="20"/>
        <v>37</v>
      </c>
      <c r="U58" s="1">
        <f t="shared" ca="1" si="20"/>
        <v>37</v>
      </c>
      <c r="V58" s="1">
        <f t="shared" ca="1" si="20"/>
        <v>37</v>
      </c>
      <c r="W58" s="1">
        <f t="shared" ca="1" si="20"/>
        <v>37</v>
      </c>
      <c r="X58" s="1">
        <f t="shared" ca="1" si="20"/>
        <v>37</v>
      </c>
      <c r="Z58" s="1">
        <f ca="1">IF(Z59="","",$B$1-Z59)</f>
        <v>37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2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3"/>
      <c r="AC60" s="9"/>
    </row>
    <row r="61" spans="1:29" x14ac:dyDescent="0.25">
      <c r="B61" s="73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4"/>
      <c r="C62" s="43" t="str">
        <f t="shared" ref="C62:H62" si="21">IF(C63="","",$B$1-C63)</f>
        <v/>
      </c>
      <c r="D62" s="1">
        <f t="shared" ca="1" si="21"/>
        <v>40</v>
      </c>
      <c r="E62" s="1">
        <f t="shared" ca="1" si="21"/>
        <v>40</v>
      </c>
      <c r="F62" s="1">
        <f t="shared" ca="1" si="21"/>
        <v>40</v>
      </c>
      <c r="G62" s="1">
        <f t="shared" ca="1" si="21"/>
        <v>40</v>
      </c>
      <c r="H62" s="1">
        <f t="shared" ca="1" si="21"/>
        <v>40</v>
      </c>
      <c r="J62" s="1">
        <f t="shared" ref="J62:P62" ca="1" si="22">IF(J63="","",$B$1-J63)</f>
        <v>40</v>
      </c>
      <c r="K62" s="1">
        <f t="shared" ca="1" si="22"/>
        <v>40</v>
      </c>
      <c r="L62" s="1">
        <f t="shared" ca="1" si="22"/>
        <v>40</v>
      </c>
      <c r="M62" s="1">
        <f t="shared" ca="1" si="22"/>
        <v>41</v>
      </c>
      <c r="N62" s="1">
        <f t="shared" ca="1" si="22"/>
        <v>41</v>
      </c>
      <c r="O62" s="1">
        <f t="shared" ca="1" si="22"/>
        <v>41</v>
      </c>
      <c r="P62" s="1">
        <f t="shared" ca="1" si="22"/>
        <v>41</v>
      </c>
      <c r="R62" s="1">
        <f t="shared" ref="R62:X62" ca="1" si="23">IF(R63="","",$B$1-R63)</f>
        <v>41</v>
      </c>
      <c r="S62" s="1">
        <f t="shared" ca="1" si="23"/>
        <v>41</v>
      </c>
      <c r="T62" s="1">
        <f t="shared" ca="1" si="23"/>
        <v>41</v>
      </c>
      <c r="U62" s="1">
        <f t="shared" ca="1" si="23"/>
        <v>42</v>
      </c>
      <c r="V62" s="1">
        <f t="shared" ca="1" si="23"/>
        <v>42</v>
      </c>
      <c r="W62" s="1">
        <f t="shared" ca="1" si="23"/>
        <v>42</v>
      </c>
      <c r="X62" s="1">
        <f t="shared" ca="1" si="23"/>
        <v>42</v>
      </c>
      <c r="Z62" s="1">
        <f ca="1">IF(Z63="","",$B$1-Z63)</f>
        <v>42</v>
      </c>
      <c r="AA62" s="1">
        <f ca="1">IF(AA63="","",$B$1-AA63)</f>
        <v>42</v>
      </c>
      <c r="AB62" s="1">
        <f ca="1">IF(AB63="","",$B$1-AB63)</f>
        <v>42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458" priority="194">
      <formula>LEN(TRIM(C42))&gt;0</formula>
    </cfRule>
    <cfRule type="notContainsBlanks" dxfId="457" priority="192">
      <formula>LEN(TRIM(C42))&gt;0</formula>
    </cfRule>
    <cfRule type="containsBlanks" dxfId="456" priority="193">
      <formula>LEN(TRIM(C42))=0</formula>
    </cfRule>
    <cfRule type="containsBlanks" dxfId="455" priority="191">
      <formula>LEN(TRIM(C42))=0</formula>
    </cfRule>
  </conditionalFormatting>
  <conditionalFormatting sqref="C46:F46">
    <cfRule type="containsBlanks" dxfId="454" priority="29">
      <formula>LEN(TRIM(C46))=0</formula>
    </cfRule>
    <cfRule type="notContainsBlanks" dxfId="453" priority="30">
      <formula>LEN(TRIM(C46))&gt;0</formula>
    </cfRule>
  </conditionalFormatting>
  <conditionalFormatting sqref="C50:F50">
    <cfRule type="containsBlanks" dxfId="452" priority="21">
      <formula>LEN(TRIM(C50))=0</formula>
    </cfRule>
    <cfRule type="notContainsBlanks" dxfId="451" priority="22">
      <formula>LEN(TRIM(C50))&gt;0</formula>
    </cfRule>
  </conditionalFormatting>
  <conditionalFormatting sqref="C7:H7">
    <cfRule type="containsBlanks" dxfId="450" priority="1">
      <formula>LEN(TRIM(C7))=0</formula>
    </cfRule>
    <cfRule type="notContainsBlanks" dxfId="449" priority="2">
      <formula>LEN(TRIM(C7))&gt;0</formula>
    </cfRule>
  </conditionalFormatting>
  <conditionalFormatting sqref="C11:H11">
    <cfRule type="containsBlanks" dxfId="448" priority="338">
      <formula>LEN(TRIM(C11))=0</formula>
    </cfRule>
    <cfRule type="notContainsBlanks" dxfId="447" priority="339">
      <formula>LEN(TRIM(C11))&gt;0</formula>
    </cfRule>
  </conditionalFormatting>
  <conditionalFormatting sqref="C15:H15">
    <cfRule type="notContainsBlanks" dxfId="446" priority="158">
      <formula>LEN(TRIM(C15))&gt;0</formula>
    </cfRule>
    <cfRule type="containsBlanks" dxfId="445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444" priority="5">
      <formula>LEN(TRIM(C25))=0</formula>
    </cfRule>
    <cfRule type="notContainsBlanks" dxfId="443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442" priority="3">
      <formula>LEN(TRIM(C29))=0</formula>
    </cfRule>
    <cfRule type="notContainsBlanks" dxfId="441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440" priority="196">
      <formula>LEN(TRIM(C42))&gt;0</formula>
    </cfRule>
    <cfRule type="containsBlanks" dxfId="439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438" priority="60">
      <formula>LEN(TRIM(C59))&gt;0</formula>
    </cfRule>
    <cfRule type="containsBlanks" dxfId="437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436" priority="176">
      <formula>LEN(TRIM(C63))&gt;0</formula>
    </cfRule>
    <cfRule type="containsBlanks" dxfId="435" priority="175">
      <formula>LEN(TRIM(C63))=0</formula>
    </cfRule>
  </conditionalFormatting>
  <conditionalFormatting sqref="D63:H63">
    <cfRule type="notContainsBlanks" dxfId="434" priority="174">
      <formula>LEN(TRIM(D63))&gt;0</formula>
    </cfRule>
    <cfRule type="containsBlanks" dxfId="433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432" priority="28">
      <formula>LEN(TRIM(E46))&gt;0</formula>
    </cfRule>
    <cfRule type="containsBlanks" dxfId="431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430" priority="279">
      <formula>LEN(TRIM(G42))&gt;0</formula>
    </cfRule>
    <cfRule type="containsBlanks" dxfId="429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428" priority="33">
      <formula>LEN(TRIM(H46))=0</formula>
    </cfRule>
    <cfRule type="notContainsBlanks" dxfId="427" priority="32">
      <formula>LEN(TRIM(H46))&gt;0</formula>
    </cfRule>
    <cfRule type="containsBlanks" dxfId="426" priority="31">
      <formula>LEN(TRIM(H46))=0</formula>
    </cfRule>
    <cfRule type="notContainsBlanks" dxfId="425" priority="34">
      <formula>LEN(TRIM(H46))&gt;0</formula>
    </cfRule>
  </conditionalFormatting>
  <conditionalFormatting sqref="H50">
    <cfRule type="notContainsBlanks" dxfId="424" priority="24">
      <formula>LEN(TRIM(H50))&gt;0</formula>
    </cfRule>
    <cfRule type="containsBlanks" dxfId="423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422" priority="16">
      <formula>LEN(TRIM(J21))&gt;0</formula>
    </cfRule>
    <cfRule type="containsBlanks" dxfId="421" priority="15">
      <formula>LEN(TRIM(J21))=0</formula>
    </cfRule>
  </conditionalFormatting>
  <conditionalFormatting sqref="J63:L63">
    <cfRule type="containsBlanks" dxfId="420" priority="55">
      <formula>LEN(TRIM(J63))=0</formula>
    </cfRule>
    <cfRule type="notContainsBlanks" dxfId="419" priority="56">
      <formula>LEN(TRIM(J63))&gt;0</formula>
    </cfRule>
  </conditionalFormatting>
  <conditionalFormatting sqref="J46:M46">
    <cfRule type="notContainsBlanks" dxfId="418" priority="200">
      <formula>LEN(TRIM(J46))&gt;0</formula>
    </cfRule>
    <cfRule type="containsBlanks" dxfId="417" priority="199">
      <formula>LEN(TRIM(J46))=0</formula>
    </cfRule>
  </conditionalFormatting>
  <conditionalFormatting sqref="J42:N42">
    <cfRule type="containsBlanks" dxfId="416" priority="41">
      <formula>LEN(TRIM(J42))=0</formula>
    </cfRule>
    <cfRule type="notContainsBlanks" dxfId="415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414" priority="252">
      <formula>LEN(TRIM(J7))&gt;0</formula>
    </cfRule>
    <cfRule type="containsBlanks" dxfId="413" priority="251">
      <formula>LEN(TRIM(J7))=0</formula>
    </cfRule>
  </conditionalFormatting>
  <conditionalFormatting sqref="J11:P11">
    <cfRule type="containsBlanks" dxfId="412" priority="83">
      <formula>LEN(TRIM(J11))=0</formula>
    </cfRule>
    <cfRule type="notContainsBlanks" dxfId="411" priority="84">
      <formula>LEN(TRIM(J11))&gt;0</formula>
    </cfRule>
  </conditionalFormatting>
  <conditionalFormatting sqref="J15:P15">
    <cfRule type="notContainsBlanks" dxfId="410" priority="86">
      <formula>LEN(TRIM(J15))&gt;0</formula>
    </cfRule>
    <cfRule type="containsBlanks" dxfId="409" priority="85">
      <formula>LEN(TRIM(J15))=0</formula>
    </cfRule>
  </conditionalFormatting>
  <conditionalFormatting sqref="J25:P25">
    <cfRule type="containsBlanks" dxfId="408" priority="101">
      <formula>LEN(TRIM(J25))=0</formula>
    </cfRule>
    <cfRule type="notContainsBlanks" dxfId="407" priority="102">
      <formula>LEN(TRIM(J25))&gt;0</formula>
    </cfRule>
  </conditionalFormatting>
  <conditionalFormatting sqref="J29:P29">
    <cfRule type="notContainsBlanks" dxfId="406" priority="8">
      <formula>LEN(TRIM(J29))&gt;0</formula>
    </cfRule>
    <cfRule type="containsBlanks" dxfId="405" priority="7">
      <formula>LEN(TRIM(J29))=0</formula>
    </cfRule>
  </conditionalFormatting>
  <conditionalFormatting sqref="J42:P42">
    <cfRule type="notContainsBlanks" dxfId="404" priority="44">
      <formula>LEN(TRIM(J42))&gt;0</formula>
    </cfRule>
    <cfRule type="containsBlanks" dxfId="403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402" priority="39">
      <formula>LEN(TRIM(J46))=0</formula>
    </cfRule>
    <cfRule type="notContainsBlanks" dxfId="401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400" priority="26">
      <formula>LEN(TRIM(J50))&gt;0</formula>
    </cfRule>
    <cfRule type="containsBlanks" dxfId="399" priority="25">
      <formula>LEN(TRIM(J50))=0</formula>
    </cfRule>
  </conditionalFormatting>
  <conditionalFormatting sqref="J59:P59">
    <cfRule type="notContainsBlanks" dxfId="398" priority="66">
      <formula>LEN(TRIM(J59))&gt;0</formula>
    </cfRule>
    <cfRule type="containsBlanks" dxfId="397" priority="65">
      <formula>LEN(TRIM(J59))=0</formula>
    </cfRule>
  </conditionalFormatting>
  <conditionalFormatting sqref="J63:P63">
    <cfRule type="notContainsBlanks" dxfId="396" priority="58">
      <formula>LEN(TRIM(J63))&gt;0</formula>
    </cfRule>
    <cfRule type="containsBlanks" dxfId="395" priority="57">
      <formula>LEN(TRIM(J63))=0</formula>
    </cfRule>
  </conditionalFormatting>
  <conditionalFormatting sqref="K11:P11">
    <cfRule type="notContainsBlanks" dxfId="394" priority="256">
      <formula>LEN(TRIM(K11))&gt;0</formula>
    </cfRule>
    <cfRule type="containsBlanks" dxfId="393" priority="255">
      <formula>LEN(TRIM(K11))=0</formula>
    </cfRule>
  </conditionalFormatting>
  <conditionalFormatting sqref="K59:P59">
    <cfRule type="containsBlanks" dxfId="392" priority="63">
      <formula>LEN(TRIM(K59))=0</formula>
    </cfRule>
    <cfRule type="notContainsBlanks" dxfId="391" priority="62">
      <formula>LEN(TRIM(K59))&gt;0</formula>
    </cfRule>
    <cfRule type="containsBlanks" dxfId="390" priority="61">
      <formula>LEN(TRIM(K59))=0</formula>
    </cfRule>
    <cfRule type="notContainsBlanks" dxfId="389" priority="64">
      <formula>LEN(TRIM(K59))&gt;0</formula>
    </cfRule>
  </conditionalFormatting>
  <conditionalFormatting sqref="M63:P63">
    <cfRule type="notContainsBlanks" dxfId="388" priority="180">
      <formula>LEN(TRIM(M63))&gt;0</formula>
    </cfRule>
    <cfRule type="containsBlanks" dxfId="387" priority="179">
      <formula>LEN(TRIM(M63))=0</formula>
    </cfRule>
  </conditionalFormatting>
  <conditionalFormatting sqref="N46:P46">
    <cfRule type="notContainsBlanks" dxfId="386" priority="36">
      <formula>LEN(TRIM(N46))&gt;0</formula>
    </cfRule>
    <cfRule type="containsBlanks" dxfId="385" priority="35">
      <formula>LEN(TRIM(N46))=0</formula>
    </cfRule>
    <cfRule type="notContainsBlanks" dxfId="384" priority="38">
      <formula>LEN(TRIM(N46))&gt;0</formula>
    </cfRule>
    <cfRule type="containsBlanks" dxfId="383" priority="37">
      <formula>LEN(TRIM(N46))=0</formula>
    </cfRule>
  </conditionalFormatting>
  <conditionalFormatting sqref="P7">
    <cfRule type="containsBlanks" dxfId="382" priority="247">
      <formula>LEN(TRIM(P7))=0</formula>
    </cfRule>
    <cfRule type="notContainsBlanks" dxfId="381" priority="248">
      <formula>LEN(TRIM(P7))&gt;0</formula>
    </cfRule>
    <cfRule type="containsBlanks" dxfId="380" priority="249">
      <formula>LEN(TRIM(P7))=0</formula>
    </cfRule>
    <cfRule type="notContainsBlanks" dxfId="379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378" priority="79">
      <formula>LEN(TRIM(R11))=0</formula>
    </cfRule>
    <cfRule type="notContainsBlanks" dxfId="377" priority="80">
      <formula>LEN(TRIM(R11))&gt;0</formula>
    </cfRule>
  </conditionalFormatting>
  <conditionalFormatting sqref="R15">
    <cfRule type="containsBlanks" dxfId="376" priority="81">
      <formula>LEN(TRIM(R15))=0</formula>
    </cfRule>
    <cfRule type="notContainsBlanks" dxfId="375" priority="82">
      <formula>LEN(TRIM(R15))&gt;0</formula>
    </cfRule>
  </conditionalFormatting>
  <conditionalFormatting sqref="R59">
    <cfRule type="containsBlanks" dxfId="374" priority="167">
      <formula>LEN(TRIM(R59))=0</formula>
    </cfRule>
    <cfRule type="notContainsBlanks" dxfId="373" priority="168">
      <formula>LEN(TRIM(R59))&gt;0</formula>
    </cfRule>
    <cfRule type="notContainsBlanks" dxfId="372" priority="166">
      <formula>LEN(TRIM(R59))&gt;0</formula>
    </cfRule>
    <cfRule type="containsBlanks" dxfId="371" priority="165">
      <formula>LEN(TRIM(R59))=0</formula>
    </cfRule>
  </conditionalFormatting>
  <conditionalFormatting sqref="R11:T11">
    <cfRule type="containsBlanks" dxfId="370" priority="75">
      <formula>LEN(TRIM(R11))=0</formula>
    </cfRule>
    <cfRule type="notContainsBlanks" dxfId="369" priority="76">
      <formula>LEN(TRIM(R11))&gt;0</formula>
    </cfRule>
  </conditionalFormatting>
  <conditionalFormatting sqref="R63:T63">
    <cfRule type="notContainsBlanks" dxfId="368" priority="52">
      <formula>LEN(TRIM(R63))&gt;0</formula>
    </cfRule>
    <cfRule type="containsBlanks" dxfId="367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366" priority="71">
      <formula>LEN(TRIM(R7))=0</formula>
    </cfRule>
    <cfRule type="notContainsBlanks" dxfId="365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364" priority="14">
      <formula>LEN(TRIM(R25))&gt;0</formula>
    </cfRule>
    <cfRule type="containsBlanks" dxfId="363" priority="13">
      <formula>LEN(TRIM(R25))=0</formula>
    </cfRule>
  </conditionalFormatting>
  <conditionalFormatting sqref="R29:X29">
    <cfRule type="notContainsBlanks" dxfId="362" priority="12">
      <formula>LEN(TRIM(R29))&gt;0</formula>
    </cfRule>
    <cfRule type="containsBlanks" dxfId="361" priority="11">
      <formula>LEN(TRIM(R29))=0</formula>
    </cfRule>
  </conditionalFormatting>
  <conditionalFormatting sqref="R59:X59">
    <cfRule type="notContainsBlanks" dxfId="360" priority="170">
      <formula>LEN(TRIM(R59))&gt;0</formula>
    </cfRule>
    <cfRule type="containsBlanks" dxfId="359" priority="169">
      <formula>LEN(TRIM(R59))=0</formula>
    </cfRule>
  </conditionalFormatting>
  <conditionalFormatting sqref="R63:X63">
    <cfRule type="containsBlanks" dxfId="358" priority="53">
      <formula>LEN(TRIM(R63))=0</formula>
    </cfRule>
    <cfRule type="notContainsBlanks" dxfId="357" priority="54">
      <formula>LEN(TRIM(R63))&gt;0</formula>
    </cfRule>
  </conditionalFormatting>
  <conditionalFormatting sqref="S15:X15">
    <cfRule type="notContainsBlanks" dxfId="356" priority="308">
      <formula>LEN(TRIM(S15))&gt;0</formula>
    </cfRule>
    <cfRule type="containsBlanks" dxfId="355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354" priority="266">
      <formula>LEN(TRIM(S59))=0</formula>
    </cfRule>
    <cfRule type="notContainsBlanks" dxfId="353" priority="267">
      <formula>LEN(TRIM(S59))&gt;0</formula>
    </cfRule>
  </conditionalFormatting>
  <conditionalFormatting sqref="U11:X11">
    <cfRule type="notContainsBlanks" dxfId="352" priority="150">
      <formula>LEN(TRIM(U11))&gt;0</formula>
    </cfRule>
    <cfRule type="containsBlanks" dxfId="351" priority="149">
      <formula>LEN(TRIM(U11))=0</formula>
    </cfRule>
  </conditionalFormatting>
  <conditionalFormatting sqref="U63:X63">
    <cfRule type="notContainsBlanks" dxfId="350" priority="186">
      <formula>LEN(TRIM(U63))&gt;0</formula>
    </cfRule>
    <cfRule type="containsBlanks" dxfId="349" priority="185">
      <formula>LEN(TRIM(U63))=0</formula>
    </cfRule>
    <cfRule type="notContainsBlanks" dxfId="348" priority="184">
      <formula>LEN(TRIM(U63))&gt;0</formula>
    </cfRule>
    <cfRule type="containsBlanks" dxfId="347" priority="183">
      <formula>LEN(TRIM(U63))=0</formula>
    </cfRule>
  </conditionalFormatting>
  <conditionalFormatting sqref="V11:W11">
    <cfRule type="notContainsBlanks" dxfId="346" priority="146">
      <formula>LEN(TRIM(V11))&gt;0</formula>
    </cfRule>
    <cfRule type="containsBlanks" dxfId="345" priority="145">
      <formula>LEN(TRIM(V11))=0</formula>
    </cfRule>
  </conditionalFormatting>
  <conditionalFormatting sqref="W15:X15">
    <cfRule type="notContainsBlanks" dxfId="344" priority="298">
      <formula>LEN(TRIM(W15))&gt;0</formula>
    </cfRule>
    <cfRule type="containsBlanks" dxfId="343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342" priority="310">
      <formula>LEN(TRIM(W33))&gt;0</formula>
    </cfRule>
    <cfRule type="containsBlanks" dxfId="341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340" priority="387">
      <formula>LEN(TRIM(X21))&gt;0</formula>
    </cfRule>
    <cfRule type="containsBlanks" dxfId="339" priority="386">
      <formula>LEN(TRIM(X21))=0</formula>
    </cfRule>
    <cfRule type="notContainsBlanks" dxfId="338" priority="385">
      <formula>LEN(TRIM(X21))&gt;0</formula>
    </cfRule>
    <cfRule type="containsBlanks" dxfId="337" priority="378">
      <formula>LEN(TRIM(X21))=0</formula>
    </cfRule>
    <cfRule type="notContainsBlanks" dxfId="336" priority="379">
      <formula>LEN(TRIM(X21))&gt;0</formula>
    </cfRule>
    <cfRule type="containsBlanks" dxfId="335" priority="380">
      <formula>LEN(TRIM(X21))=0</formula>
    </cfRule>
    <cfRule type="notContainsBlanks" dxfId="334" priority="381">
      <formula>LEN(TRIM(X21))&gt;0</formula>
    </cfRule>
    <cfRule type="containsBlanks" dxfId="333" priority="382">
      <formula>LEN(TRIM(X21))=0</formula>
    </cfRule>
    <cfRule type="notContainsBlanks" dxfId="332" priority="383">
      <formula>LEN(TRIM(X21))&gt;0</formula>
    </cfRule>
    <cfRule type="containsBlanks" dxfId="331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330" priority="68">
      <formula>LEN(TRIM(Z59))&gt;0</formula>
    </cfRule>
    <cfRule type="containsBlanks" dxfId="329" priority="67">
      <formula>LEN(TRIM(Z59))=0</formula>
    </cfRule>
  </conditionalFormatting>
  <conditionalFormatting sqref="Z59:AB59">
    <cfRule type="notContainsBlanks" dxfId="328" priority="70">
      <formula>LEN(TRIM(Z59))&gt;0</formula>
    </cfRule>
    <cfRule type="containsBlanks" dxfId="327" priority="69">
      <formula>LEN(TRIM(Z59))=0</formula>
    </cfRule>
  </conditionalFormatting>
  <conditionalFormatting sqref="Z63:AB63">
    <cfRule type="containsBlanks" dxfId="326" priority="47">
      <formula>LEN(TRIM(Z63))=0</formula>
    </cfRule>
    <cfRule type="containsBlanks" dxfId="325" priority="45">
      <formula>LEN(TRIM(Z63))=0</formula>
    </cfRule>
    <cfRule type="notContainsBlanks" dxfId="324" priority="46">
      <formula>LEN(TRIM(Z63))&gt;0</formula>
    </cfRule>
    <cfRule type="notContainsBlanks" dxfId="323" priority="50">
      <formula>LEN(TRIM(Z63))&gt;0</formula>
    </cfRule>
    <cfRule type="containsBlanks" dxfId="322" priority="49">
      <formula>LEN(TRIM(Z63))=0</formula>
    </cfRule>
    <cfRule type="notContainsBlanks" dxfId="321" priority="48">
      <formula>LEN(TRIM(Z63))&gt;0</formula>
    </cfRule>
  </conditionalFormatting>
  <conditionalFormatting sqref="Z25:AI25">
    <cfRule type="notContainsBlanks" dxfId="320" priority="218">
      <formula>LEN(TRIM(Z25))&gt;0</formula>
    </cfRule>
    <cfRule type="containsBlanks" dxfId="319" priority="217">
      <formula>LEN(TRIM(Z25))=0</formula>
    </cfRule>
  </conditionalFormatting>
  <conditionalFormatting sqref="Z29:AI29">
    <cfRule type="containsBlanks" dxfId="318" priority="19">
      <formula>LEN(TRIM(Z29))=0</formula>
    </cfRule>
    <cfRule type="notContainsBlanks" dxfId="317" priority="20">
      <formula>LEN(TRIM(Z29))&gt;0</formula>
    </cfRule>
  </conditionalFormatting>
  <conditionalFormatting sqref="AA59:AB59">
    <cfRule type="containsBlanks" dxfId="316" priority="243">
      <formula>LEN(TRIM(AA59))=0</formula>
    </cfRule>
    <cfRule type="notContainsBlanks" dxfId="315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314" priority="17">
      <formula>LEN(TRIM(AF21))=0</formula>
    </cfRule>
    <cfRule type="notContainsBlanks" dxfId="313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312" priority="397">
      <formula>LEN(TRIM(AG33))&gt;0</formula>
    </cfRule>
    <cfRule type="containsBlanks" dxfId="311" priority="388">
      <formula>LEN(TRIM(AG33))=0</formula>
    </cfRule>
    <cfRule type="notContainsBlanks" dxfId="310" priority="389">
      <formula>LEN(TRIM(AG33))&gt;0</formula>
    </cfRule>
    <cfRule type="notContainsBlanks" dxfId="309" priority="391">
      <formula>LEN(TRIM(AG33))&gt;0</formula>
    </cfRule>
    <cfRule type="containsBlanks" dxfId="308" priority="392">
      <formula>LEN(TRIM(AG33))=0</formula>
    </cfRule>
    <cfRule type="notContainsBlanks" dxfId="307" priority="393">
      <formula>LEN(TRIM(AG33))&gt;0</formula>
    </cfRule>
    <cfRule type="containsBlanks" dxfId="306" priority="394">
      <formula>LEN(TRIM(AG33))=0</formula>
    </cfRule>
    <cfRule type="notContainsBlanks" dxfId="305" priority="395">
      <formula>LEN(TRIM(AG33))&gt;0</formula>
    </cfRule>
    <cfRule type="containsBlanks" dxfId="304" priority="396">
      <formula>LEN(TRIM(AG33))=0</formula>
    </cfRule>
    <cfRule type="containsBlanks" dxfId="303" priority="398">
      <formula>LEN(TRIM(AG33))=0</formula>
    </cfRule>
    <cfRule type="notContainsBlanks" dxfId="302" priority="399">
      <formula>LEN(TRIM(AG33))&gt;0</formula>
    </cfRule>
    <cfRule type="containsBlanks" dxfId="301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617"/>
  <sheetViews>
    <sheetView tabSelected="1" workbookViewId="0">
      <pane xSplit="2" ySplit="1" topLeftCell="C1432" activePane="bottomRight" state="frozen"/>
      <selection pane="topRight" activeCell="C1" sqref="C1"/>
      <selection pane="bottomLeft" activeCell="A2" sqref="A2"/>
      <selection pane="bottomRight" activeCell="Q1450" sqref="Q1450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82" si="384">A1235+23</f>
        <v>46166</v>
      </c>
      <c r="E1235" s="28">
        <f t="shared" ref="E1235:E1282" si="385">A1235+7</f>
        <v>46150</v>
      </c>
      <c r="F1235" s="28">
        <f t="shared" ref="F1235:F1282" si="386">A1235+14</f>
        <v>46157</v>
      </c>
      <c r="G1235" s="28">
        <f t="shared" ref="G1235:G1282" si="387">A1235+20</f>
        <v>46163</v>
      </c>
      <c r="H1235" s="28">
        <f t="shared" ref="H1235:H1282" si="388">A1235+8</f>
        <v>46151</v>
      </c>
      <c r="I1235" s="28">
        <f t="shared" ref="I1235:I1282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1246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1247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VLOOKUP(B1378,'[3]Migrasi Bed'!$B$4:$E$521,4,0)</f>
        <v>ST.A017</v>
      </c>
      <c r="D1378" s="28">
        <f t="shared" ref="D1378:D1441" si="390">A1378+23</f>
        <v>46188</v>
      </c>
      <c r="E1378" s="28">
        <f t="shared" ref="E1378:E1441" si="391">A1378+7</f>
        <v>46172</v>
      </c>
      <c r="F1378" s="28">
        <f t="shared" ref="F1378:F1441" si="392">A1378+14</f>
        <v>46179</v>
      </c>
      <c r="G1378" s="28">
        <f t="shared" ref="G1378:G1441" si="393">A1378+20</f>
        <v>46185</v>
      </c>
      <c r="H1378" s="28">
        <f t="shared" ref="H1378:H1441" si="394">A1378+8</f>
        <v>46173</v>
      </c>
      <c r="I1378" s="28">
        <f t="shared" ref="I1378:I1441" si="395">A1378+15</f>
        <v>46180</v>
      </c>
      <c r="J1378" s="28">
        <v>46192</v>
      </c>
      <c r="K1378" s="1">
        <f t="shared" ref="K1378:K1441" si="396">J1378-A1378</f>
        <v>27</v>
      </c>
      <c r="L1378" s="1">
        <v>14.1</v>
      </c>
      <c r="M1378" s="1">
        <v>12</v>
      </c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VLOOKUP(B1379,'[3]Migrasi Bed'!$B$4:$E$521,4,0)</f>
        <v>ST.A018</v>
      </c>
      <c r="D1379" s="28">
        <f t="shared" si="390"/>
        <v>46188</v>
      </c>
      <c r="E1379" s="28">
        <f t="shared" si="391"/>
        <v>46172</v>
      </c>
      <c r="F1379" s="28">
        <f t="shared" si="392"/>
        <v>46179</v>
      </c>
      <c r="G1379" s="28">
        <f t="shared" si="393"/>
        <v>46185</v>
      </c>
      <c r="H1379" s="28">
        <f t="shared" si="394"/>
        <v>46173</v>
      </c>
      <c r="I1379" s="28">
        <f t="shared" si="395"/>
        <v>46180</v>
      </c>
      <c r="J1379" s="28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VLOOKUP(B1380,'[3]Migrasi Bed'!$B$4:$E$521,4,0)</f>
        <v>ST.A019</v>
      </c>
      <c r="D1380" s="28">
        <f t="shared" si="390"/>
        <v>46188</v>
      </c>
      <c r="E1380" s="28">
        <f t="shared" si="391"/>
        <v>46172</v>
      </c>
      <c r="F1380" s="28">
        <f t="shared" si="392"/>
        <v>46179</v>
      </c>
      <c r="G1380" s="28">
        <f t="shared" si="393"/>
        <v>46185</v>
      </c>
      <c r="H1380" s="28">
        <f t="shared" si="394"/>
        <v>46173</v>
      </c>
      <c r="I1380" s="28">
        <f t="shared" si="395"/>
        <v>46180</v>
      </c>
      <c r="J1380" s="28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VLOOKUP(B1381,'[3]Migrasi Bed'!$B$4:$E$521,4,0)</f>
        <v>ST.A020</v>
      </c>
      <c r="D1381" s="28">
        <f t="shared" si="390"/>
        <v>46188</v>
      </c>
      <c r="E1381" s="28">
        <f t="shared" si="391"/>
        <v>46172</v>
      </c>
      <c r="F1381" s="28">
        <f t="shared" si="392"/>
        <v>46179</v>
      </c>
      <c r="G1381" s="28">
        <f t="shared" si="393"/>
        <v>46185</v>
      </c>
      <c r="H1381" s="28">
        <f t="shared" si="394"/>
        <v>46173</v>
      </c>
      <c r="I1381" s="28">
        <f t="shared" si="395"/>
        <v>46180</v>
      </c>
      <c r="J1381" s="28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VLOOKUP(B1382,'[3]Migrasi Bed'!$B$4:$E$521,4,0)</f>
        <v>ST.A021</v>
      </c>
      <c r="D1382" s="28">
        <f t="shared" si="390"/>
        <v>46188</v>
      </c>
      <c r="E1382" s="28">
        <f t="shared" si="391"/>
        <v>46172</v>
      </c>
      <c r="F1382" s="28">
        <f t="shared" si="392"/>
        <v>46179</v>
      </c>
      <c r="G1382" s="28">
        <f t="shared" si="393"/>
        <v>46185</v>
      </c>
      <c r="H1382" s="28">
        <f t="shared" si="394"/>
        <v>46173</v>
      </c>
      <c r="I1382" s="28">
        <f t="shared" si="395"/>
        <v>46180</v>
      </c>
      <c r="J1382" s="28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VLOOKUP(B1383,'[3]Migrasi Bed'!$B$4:$E$521,4,0)</f>
        <v>SV.F001</v>
      </c>
      <c r="D1383" s="28">
        <f t="shared" si="390"/>
        <v>46189</v>
      </c>
      <c r="E1383" s="28">
        <f t="shared" si="391"/>
        <v>46173</v>
      </c>
      <c r="F1383" s="28">
        <f t="shared" si="392"/>
        <v>46180</v>
      </c>
      <c r="G1383" s="28">
        <f t="shared" si="393"/>
        <v>46186</v>
      </c>
      <c r="H1383" s="28">
        <f t="shared" si="394"/>
        <v>46174</v>
      </c>
      <c r="I1383" s="28">
        <f t="shared" si="395"/>
        <v>46181</v>
      </c>
      <c r="J1383" s="28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VLOOKUP(B1384,'[3]Migrasi Bed'!$B$4:$E$521,4,0)</f>
        <v>SV.F002</v>
      </c>
      <c r="D1384" s="28">
        <f t="shared" si="390"/>
        <v>46189</v>
      </c>
      <c r="E1384" s="28">
        <f t="shared" si="391"/>
        <v>46173</v>
      </c>
      <c r="F1384" s="28">
        <f t="shared" si="392"/>
        <v>46180</v>
      </c>
      <c r="G1384" s="28">
        <f t="shared" si="393"/>
        <v>46186</v>
      </c>
      <c r="H1384" s="28">
        <f t="shared" si="394"/>
        <v>46174</v>
      </c>
      <c r="I1384" s="28">
        <f t="shared" si="395"/>
        <v>46181</v>
      </c>
      <c r="J1384" s="28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VLOOKUP(B1385,'[3]Migrasi Bed'!$B$4:$E$521,4,0)</f>
        <v>SV.F003</v>
      </c>
      <c r="D1385" s="28">
        <f t="shared" si="390"/>
        <v>46189</v>
      </c>
      <c r="E1385" s="28">
        <f t="shared" si="391"/>
        <v>46173</v>
      </c>
      <c r="F1385" s="28">
        <f t="shared" si="392"/>
        <v>46180</v>
      </c>
      <c r="G1385" s="28">
        <f t="shared" si="393"/>
        <v>46186</v>
      </c>
      <c r="H1385" s="28">
        <f t="shared" si="394"/>
        <v>46174</v>
      </c>
      <c r="I1385" s="28">
        <f t="shared" si="395"/>
        <v>46181</v>
      </c>
      <c r="J1385" s="28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VLOOKUP(B1386,'[3]Migrasi Bed'!$B$4:$E$521,4,0)</f>
        <v>SV.F004</v>
      </c>
      <c r="D1386" s="28">
        <f t="shared" si="390"/>
        <v>46189</v>
      </c>
      <c r="E1386" s="28">
        <f t="shared" si="391"/>
        <v>46173</v>
      </c>
      <c r="F1386" s="28">
        <f t="shared" si="392"/>
        <v>46180</v>
      </c>
      <c r="G1386" s="28">
        <f t="shared" si="393"/>
        <v>46186</v>
      </c>
      <c r="H1386" s="28">
        <f t="shared" si="394"/>
        <v>46174</v>
      </c>
      <c r="I1386" s="28">
        <f t="shared" si="395"/>
        <v>46181</v>
      </c>
      <c r="J1386" s="28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VLOOKUP(B1387,'[3]Migrasi Bed'!$B$4:$E$521,4,0)</f>
        <v>SV.F005</v>
      </c>
      <c r="D1387" s="28">
        <f t="shared" si="390"/>
        <v>46189</v>
      </c>
      <c r="E1387" s="28">
        <f t="shared" si="391"/>
        <v>46173</v>
      </c>
      <c r="F1387" s="28">
        <f t="shared" si="392"/>
        <v>46180</v>
      </c>
      <c r="G1387" s="28">
        <f t="shared" si="393"/>
        <v>46186</v>
      </c>
      <c r="H1387" s="28">
        <f t="shared" si="394"/>
        <v>46174</v>
      </c>
      <c r="I1387" s="28">
        <f t="shared" si="395"/>
        <v>46181</v>
      </c>
      <c r="J1387" s="28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VLOOKUP(B1388,'[3]Migrasi Bed'!$B$4:$E$521,4,0)</f>
        <v>SV.F006</v>
      </c>
      <c r="D1388" s="28">
        <f t="shared" si="390"/>
        <v>46189</v>
      </c>
      <c r="E1388" s="28">
        <f t="shared" si="391"/>
        <v>46173</v>
      </c>
      <c r="F1388" s="28">
        <f t="shared" si="392"/>
        <v>46180</v>
      </c>
      <c r="G1388" s="28">
        <f t="shared" si="393"/>
        <v>46186</v>
      </c>
      <c r="H1388" s="28">
        <f t="shared" si="394"/>
        <v>46174</v>
      </c>
      <c r="I1388" s="28">
        <f t="shared" si="395"/>
        <v>46181</v>
      </c>
      <c r="J1388" s="28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VLOOKUP(B1389,'[3]Migrasi Bed'!$B$4:$E$521,4,0)</f>
        <v>SV.F007</v>
      </c>
      <c r="D1389" s="28">
        <f t="shared" si="390"/>
        <v>46189</v>
      </c>
      <c r="E1389" s="28">
        <f t="shared" si="391"/>
        <v>46173</v>
      </c>
      <c r="F1389" s="28">
        <f t="shared" si="392"/>
        <v>46180</v>
      </c>
      <c r="G1389" s="28">
        <f t="shared" si="393"/>
        <v>46186</v>
      </c>
      <c r="H1389" s="28">
        <f t="shared" si="394"/>
        <v>46174</v>
      </c>
      <c r="I1389" s="28">
        <f t="shared" si="395"/>
        <v>46181</v>
      </c>
      <c r="J1389" s="28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VLOOKUP(B1390,'[3]Migrasi Bed'!$B$4:$E$521,4,0)</f>
        <v>SV.G001</v>
      </c>
      <c r="D1390" s="28">
        <f t="shared" si="390"/>
        <v>46190</v>
      </c>
      <c r="E1390" s="28">
        <f t="shared" si="391"/>
        <v>46174</v>
      </c>
      <c r="F1390" s="28">
        <f t="shared" si="392"/>
        <v>46181</v>
      </c>
      <c r="G1390" s="28">
        <f t="shared" si="393"/>
        <v>46187</v>
      </c>
      <c r="H1390" s="28">
        <f t="shared" si="394"/>
        <v>46175</v>
      </c>
      <c r="I1390" s="28">
        <f t="shared" si="395"/>
        <v>46182</v>
      </c>
      <c r="J1390" s="28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VLOOKUP(B1391,'[3]Migrasi Bed'!$B$4:$E$521,4,0)</f>
        <v>SV.G002</v>
      </c>
      <c r="D1391" s="28">
        <f t="shared" si="390"/>
        <v>46190</v>
      </c>
      <c r="E1391" s="28">
        <f t="shared" si="391"/>
        <v>46174</v>
      </c>
      <c r="F1391" s="28">
        <f t="shared" si="392"/>
        <v>46181</v>
      </c>
      <c r="G1391" s="28">
        <f t="shared" si="393"/>
        <v>46187</v>
      </c>
      <c r="H1391" s="28">
        <f t="shared" si="394"/>
        <v>46175</v>
      </c>
      <c r="I1391" s="28">
        <f t="shared" si="395"/>
        <v>46182</v>
      </c>
      <c r="J1391" s="28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VLOOKUP(B1392,'[3]Migrasi Bed'!$B$4:$E$521,4,0)</f>
        <v>SV.G003</v>
      </c>
      <c r="D1392" s="28">
        <f t="shared" si="390"/>
        <v>46190</v>
      </c>
      <c r="E1392" s="28">
        <f t="shared" si="391"/>
        <v>46174</v>
      </c>
      <c r="F1392" s="28">
        <f t="shared" si="392"/>
        <v>46181</v>
      </c>
      <c r="G1392" s="28">
        <f t="shared" si="393"/>
        <v>46187</v>
      </c>
      <c r="H1392" s="28">
        <f t="shared" si="394"/>
        <v>46175</v>
      </c>
      <c r="I1392" s="28">
        <f t="shared" si="395"/>
        <v>46182</v>
      </c>
      <c r="J1392" s="28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VLOOKUP(B1393,'[4]Migrasi Bed'!$B$4:$E$521,4,0)</f>
        <v>SV.G004</v>
      </c>
      <c r="D1393" s="28">
        <f t="shared" si="390"/>
        <v>46190</v>
      </c>
      <c r="E1393" s="28">
        <f t="shared" si="391"/>
        <v>46174</v>
      </c>
      <c r="F1393" s="28">
        <f t="shared" si="392"/>
        <v>46181</v>
      </c>
      <c r="G1393" s="28">
        <f t="shared" si="393"/>
        <v>46187</v>
      </c>
      <c r="H1393" s="28">
        <f t="shared" si="394"/>
        <v>46175</v>
      </c>
      <c r="I1393" s="28">
        <f t="shared" si="395"/>
        <v>46182</v>
      </c>
      <c r="J1393" s="28">
        <v>46194</v>
      </c>
      <c r="K1393" s="1">
        <f t="shared" si="396"/>
        <v>27</v>
      </c>
      <c r="L1393" s="1">
        <v>15.4</v>
      </c>
      <c r="M1393" s="1">
        <v>13.2</v>
      </c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VLOOKUP(B1394,'[4]Migrasi Bed'!$B$4:$E$521,4,0)</f>
        <v>SV.G005</v>
      </c>
      <c r="D1394" s="28">
        <f t="shared" si="390"/>
        <v>46190</v>
      </c>
      <c r="E1394" s="28">
        <f t="shared" si="391"/>
        <v>46174</v>
      </c>
      <c r="F1394" s="28">
        <f t="shared" si="392"/>
        <v>46181</v>
      </c>
      <c r="G1394" s="28">
        <f t="shared" si="393"/>
        <v>46187</v>
      </c>
      <c r="H1394" s="28">
        <f t="shared" si="394"/>
        <v>46175</v>
      </c>
      <c r="I1394" s="28">
        <f t="shared" si="395"/>
        <v>46182</v>
      </c>
      <c r="J1394" s="28">
        <v>46194</v>
      </c>
      <c r="K1394" s="1">
        <f t="shared" si="396"/>
        <v>27</v>
      </c>
      <c r="L1394" s="1">
        <v>16.3</v>
      </c>
      <c r="M1394" s="1">
        <v>14.1</v>
      </c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VLOOKUP(B1395,'[4]Migrasi Bed'!$B$4:$E$521,4,0)</f>
        <v>SV.G006</v>
      </c>
      <c r="D1395" s="28">
        <f t="shared" si="390"/>
        <v>46190</v>
      </c>
      <c r="E1395" s="28">
        <f t="shared" si="391"/>
        <v>46174</v>
      </c>
      <c r="F1395" s="28">
        <f t="shared" si="392"/>
        <v>46181</v>
      </c>
      <c r="G1395" s="28">
        <f t="shared" si="393"/>
        <v>46187</v>
      </c>
      <c r="H1395" s="28">
        <f t="shared" si="394"/>
        <v>46175</v>
      </c>
      <c r="I1395" s="28">
        <f t="shared" si="395"/>
        <v>46182</v>
      </c>
      <c r="J1395" s="28">
        <v>46194</v>
      </c>
      <c r="K1395" s="1">
        <f t="shared" si="396"/>
        <v>27</v>
      </c>
      <c r="L1395" s="1">
        <v>15.2</v>
      </c>
      <c r="M1395" s="1">
        <v>13.1</v>
      </c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VLOOKUP(B1396,'[4]Migrasi Bed'!$B$4:$E$521,4,0)</f>
        <v>SV.G007</v>
      </c>
      <c r="D1396" s="28">
        <f t="shared" si="390"/>
        <v>46190</v>
      </c>
      <c r="E1396" s="28">
        <f t="shared" si="391"/>
        <v>46174</v>
      </c>
      <c r="F1396" s="28">
        <f t="shared" si="392"/>
        <v>46181</v>
      </c>
      <c r="G1396" s="28">
        <f t="shared" si="393"/>
        <v>46187</v>
      </c>
      <c r="H1396" s="28">
        <f t="shared" si="394"/>
        <v>46175</v>
      </c>
      <c r="I1396" s="28">
        <f t="shared" si="395"/>
        <v>46182</v>
      </c>
      <c r="J1396" s="28">
        <v>46194</v>
      </c>
      <c r="K1396" s="1">
        <f t="shared" si="396"/>
        <v>27</v>
      </c>
      <c r="L1396" s="1">
        <v>15.5</v>
      </c>
      <c r="M1396" s="1">
        <v>13.2</v>
      </c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VLOOKUP(B1397,'[4]Migrasi Bed'!$B$4:$E$521,4,0)</f>
        <v>SV.F008</v>
      </c>
      <c r="D1397" s="28">
        <f t="shared" si="390"/>
        <v>46192</v>
      </c>
      <c r="E1397" s="28">
        <f t="shared" si="391"/>
        <v>46176</v>
      </c>
      <c r="F1397" s="28">
        <f t="shared" si="392"/>
        <v>46183</v>
      </c>
      <c r="G1397" s="28">
        <f t="shared" si="393"/>
        <v>46189</v>
      </c>
      <c r="H1397" s="28">
        <f t="shared" si="394"/>
        <v>46177</v>
      </c>
      <c r="I1397" s="28">
        <f t="shared" si="395"/>
        <v>46184</v>
      </c>
      <c r="J1397" s="28">
        <v>46194</v>
      </c>
      <c r="K1397" s="1">
        <f t="shared" si="396"/>
        <v>25</v>
      </c>
      <c r="L1397" s="1">
        <v>14.6</v>
      </c>
      <c r="M1397" s="1">
        <v>12.4</v>
      </c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VLOOKUP(B1398,'[4]Migrasi Bed'!$B$4:$E$521,4,0)</f>
        <v>SV.F009</v>
      </c>
      <c r="D1398" s="28">
        <f t="shared" si="390"/>
        <v>46192</v>
      </c>
      <c r="E1398" s="28">
        <f t="shared" si="391"/>
        <v>46176</v>
      </c>
      <c r="F1398" s="28">
        <f t="shared" si="392"/>
        <v>46183</v>
      </c>
      <c r="G1398" s="28">
        <f t="shared" si="393"/>
        <v>46189</v>
      </c>
      <c r="H1398" s="28">
        <f t="shared" si="394"/>
        <v>46177</v>
      </c>
      <c r="I1398" s="28">
        <f t="shared" si="395"/>
        <v>46184</v>
      </c>
      <c r="J1398" s="28">
        <v>46195</v>
      </c>
      <c r="K1398" s="1">
        <f t="shared" si="396"/>
        <v>26</v>
      </c>
      <c r="L1398" s="1">
        <v>16.3</v>
      </c>
      <c r="M1398" s="1">
        <v>14.5</v>
      </c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VLOOKUP(B1399,'[4]Migrasi Bed'!$B$4:$E$521,4,0)</f>
        <v>SV.F010</v>
      </c>
      <c r="D1399" s="28">
        <f t="shared" si="390"/>
        <v>46192</v>
      </c>
      <c r="E1399" s="28">
        <f t="shared" si="391"/>
        <v>46176</v>
      </c>
      <c r="F1399" s="28">
        <f t="shared" si="392"/>
        <v>46183</v>
      </c>
      <c r="G1399" s="28">
        <f t="shared" si="393"/>
        <v>46189</v>
      </c>
      <c r="H1399" s="28">
        <f t="shared" si="394"/>
        <v>46177</v>
      </c>
      <c r="I1399" s="28">
        <f t="shared" si="395"/>
        <v>46184</v>
      </c>
      <c r="J1399" s="28">
        <v>46195</v>
      </c>
      <c r="K1399" s="1">
        <f t="shared" si="396"/>
        <v>26</v>
      </c>
      <c r="L1399" s="1">
        <v>14.8</v>
      </c>
      <c r="M1399" s="1">
        <v>12.9</v>
      </c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VLOOKUP(B1400,'[4]Migrasi Bed'!$B$4:$E$521,4,0)</f>
        <v>SV.F011</v>
      </c>
      <c r="D1400" s="28">
        <f t="shared" si="390"/>
        <v>46192</v>
      </c>
      <c r="E1400" s="28">
        <f t="shared" si="391"/>
        <v>46176</v>
      </c>
      <c r="F1400" s="28">
        <f t="shared" si="392"/>
        <v>46183</v>
      </c>
      <c r="G1400" s="28">
        <f t="shared" si="393"/>
        <v>46189</v>
      </c>
      <c r="H1400" s="28">
        <f t="shared" si="394"/>
        <v>46177</v>
      </c>
      <c r="I1400" s="28">
        <f t="shared" si="395"/>
        <v>46184</v>
      </c>
      <c r="J1400" s="28">
        <v>46195</v>
      </c>
      <c r="K1400" s="1">
        <f t="shared" si="396"/>
        <v>26</v>
      </c>
      <c r="L1400" s="1">
        <v>15.2</v>
      </c>
      <c r="M1400" s="1">
        <v>13</v>
      </c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VLOOKUP(B1401,'[4]Migrasi Bed'!$B$4:$E$521,4,0)</f>
        <v>SV.F012</v>
      </c>
      <c r="D1401" s="28">
        <f t="shared" si="390"/>
        <v>46192</v>
      </c>
      <c r="E1401" s="28">
        <f t="shared" si="391"/>
        <v>46176</v>
      </c>
      <c r="F1401" s="28">
        <f t="shared" si="392"/>
        <v>46183</v>
      </c>
      <c r="G1401" s="28">
        <f t="shared" si="393"/>
        <v>46189</v>
      </c>
      <c r="H1401" s="28">
        <f t="shared" si="394"/>
        <v>46177</v>
      </c>
      <c r="I1401" s="28">
        <f t="shared" si="395"/>
        <v>46184</v>
      </c>
      <c r="J1401" s="28">
        <v>46195</v>
      </c>
      <c r="K1401" s="1">
        <f t="shared" si="396"/>
        <v>26</v>
      </c>
      <c r="L1401" s="1">
        <v>16.2</v>
      </c>
      <c r="M1401" s="1">
        <v>14.5</v>
      </c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VLOOKUP(B1402,'[4]Migrasi Bed'!$B$4:$E$521,4,0)</f>
        <v>SV.F013</v>
      </c>
      <c r="D1402" s="28">
        <f t="shared" si="390"/>
        <v>46192</v>
      </c>
      <c r="E1402" s="28">
        <f t="shared" si="391"/>
        <v>46176</v>
      </c>
      <c r="F1402" s="28">
        <f t="shared" si="392"/>
        <v>46183</v>
      </c>
      <c r="G1402" s="28">
        <f t="shared" si="393"/>
        <v>46189</v>
      </c>
      <c r="H1402" s="28">
        <f t="shared" si="394"/>
        <v>46177</v>
      </c>
      <c r="I1402" s="28">
        <f t="shared" si="395"/>
        <v>46184</v>
      </c>
      <c r="J1402" s="28">
        <v>46195</v>
      </c>
      <c r="K1402" s="1">
        <f t="shared" si="396"/>
        <v>26</v>
      </c>
      <c r="L1402" s="1">
        <v>15.3</v>
      </c>
      <c r="M1402" s="1">
        <v>13.6</v>
      </c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VLOOKUP(B1403,'[4]Migrasi Bed'!$B$4:$E$521,4,0)</f>
        <v>SV.F014</v>
      </c>
      <c r="D1403" s="28">
        <f t="shared" si="390"/>
        <v>46192</v>
      </c>
      <c r="E1403" s="28">
        <f t="shared" si="391"/>
        <v>46176</v>
      </c>
      <c r="F1403" s="28">
        <f t="shared" si="392"/>
        <v>46183</v>
      </c>
      <c r="G1403" s="28">
        <f t="shared" si="393"/>
        <v>46189</v>
      </c>
      <c r="H1403" s="28">
        <f t="shared" si="394"/>
        <v>46177</v>
      </c>
      <c r="I1403" s="28">
        <f t="shared" si="395"/>
        <v>46184</v>
      </c>
      <c r="J1403" s="28">
        <v>46195</v>
      </c>
      <c r="K1403" s="1">
        <f t="shared" si="396"/>
        <v>26</v>
      </c>
      <c r="L1403" s="1">
        <v>16.100000000000001</v>
      </c>
      <c r="M1403" s="1">
        <v>14</v>
      </c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VLOOKUP(B1404,'[4]Migrasi Bed'!$B$4:$E$521,4,0)</f>
        <v>SV.G008</v>
      </c>
      <c r="D1404" s="28">
        <f t="shared" si="390"/>
        <v>46193</v>
      </c>
      <c r="E1404" s="28">
        <f t="shared" si="391"/>
        <v>46177</v>
      </c>
      <c r="F1404" s="28">
        <f t="shared" si="392"/>
        <v>46184</v>
      </c>
      <c r="G1404" s="28">
        <f t="shared" si="393"/>
        <v>46190</v>
      </c>
      <c r="H1404" s="28">
        <f t="shared" si="394"/>
        <v>46178</v>
      </c>
      <c r="I1404" s="28">
        <f t="shared" si="395"/>
        <v>46185</v>
      </c>
      <c r="J1404" s="28">
        <v>46194</v>
      </c>
      <c r="K1404" s="1">
        <f t="shared" si="396"/>
        <v>24</v>
      </c>
      <c r="L1404" s="1">
        <v>15.6</v>
      </c>
      <c r="M1404" s="1">
        <v>13.3</v>
      </c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VLOOKUP(B1405,'[4]Migrasi Bed'!$B$4:$E$521,4,0)</f>
        <v>SV.G009</v>
      </c>
      <c r="D1405" s="28">
        <f t="shared" si="390"/>
        <v>46193</v>
      </c>
      <c r="E1405" s="28">
        <f t="shared" si="391"/>
        <v>46177</v>
      </c>
      <c r="F1405" s="28">
        <f t="shared" si="392"/>
        <v>46184</v>
      </c>
      <c r="G1405" s="28">
        <f t="shared" si="393"/>
        <v>46190</v>
      </c>
      <c r="H1405" s="28">
        <f t="shared" si="394"/>
        <v>46178</v>
      </c>
      <c r="I1405" s="28">
        <f t="shared" si="395"/>
        <v>46185</v>
      </c>
      <c r="J1405" s="28">
        <v>46194</v>
      </c>
      <c r="K1405" s="1">
        <f t="shared" si="396"/>
        <v>24</v>
      </c>
      <c r="L1405" s="1">
        <v>16.3</v>
      </c>
      <c r="M1405" s="1">
        <v>14.1</v>
      </c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VLOOKUP(B1406,'[4]Migrasi Bed'!$B$4:$E$521,4,0)</f>
        <v>SV.G010</v>
      </c>
      <c r="D1406" s="28">
        <f t="shared" si="390"/>
        <v>46193</v>
      </c>
      <c r="E1406" s="28">
        <f t="shared" si="391"/>
        <v>46177</v>
      </c>
      <c r="F1406" s="28">
        <f t="shared" si="392"/>
        <v>46184</v>
      </c>
      <c r="G1406" s="28">
        <f t="shared" si="393"/>
        <v>46190</v>
      </c>
      <c r="H1406" s="28">
        <f t="shared" si="394"/>
        <v>46178</v>
      </c>
      <c r="I1406" s="28">
        <f t="shared" si="395"/>
        <v>46185</v>
      </c>
      <c r="J1406" s="28">
        <v>46194</v>
      </c>
      <c r="K1406" s="1">
        <f t="shared" si="396"/>
        <v>24</v>
      </c>
      <c r="L1406" s="1">
        <v>15.7</v>
      </c>
      <c r="M1406" s="1">
        <v>13.2</v>
      </c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VLOOKUP(B1407,'[4]Migrasi Bed'!$B$4:$E$521,4,0)</f>
        <v>SV.G011</v>
      </c>
      <c r="D1407" s="28">
        <f t="shared" si="390"/>
        <v>46193</v>
      </c>
      <c r="E1407" s="28">
        <f t="shared" si="391"/>
        <v>46177</v>
      </c>
      <c r="F1407" s="28">
        <f t="shared" si="392"/>
        <v>46184</v>
      </c>
      <c r="G1407" s="28">
        <f t="shared" si="393"/>
        <v>46190</v>
      </c>
      <c r="H1407" s="28">
        <f t="shared" si="394"/>
        <v>46178</v>
      </c>
      <c r="I1407" s="28">
        <f t="shared" si="395"/>
        <v>46185</v>
      </c>
      <c r="J1407" s="28">
        <v>46195</v>
      </c>
      <c r="K1407" s="1">
        <f t="shared" si="396"/>
        <v>25</v>
      </c>
      <c r="L1407" s="1">
        <v>16.2</v>
      </c>
      <c r="M1407" s="1">
        <v>14.3</v>
      </c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VLOOKUP(B1408,'[5]Migrasi Bed'!$B$4:$E$521,4,0)</f>
        <v>SV.G012</v>
      </c>
      <c r="D1408" s="28">
        <f t="shared" si="390"/>
        <v>46193</v>
      </c>
      <c r="E1408" s="28">
        <f t="shared" si="391"/>
        <v>46177</v>
      </c>
      <c r="F1408" s="28">
        <f t="shared" si="392"/>
        <v>46184</v>
      </c>
      <c r="G1408" s="28">
        <f t="shared" si="393"/>
        <v>46190</v>
      </c>
      <c r="H1408" s="28">
        <f t="shared" si="394"/>
        <v>46178</v>
      </c>
      <c r="I1408" s="28">
        <f t="shared" si="395"/>
        <v>46185</v>
      </c>
      <c r="J1408" s="28">
        <v>46196</v>
      </c>
      <c r="K1408" s="1">
        <f t="shared" si="396"/>
        <v>26</v>
      </c>
      <c r="L1408" s="1">
        <v>14.7</v>
      </c>
      <c r="M1408" s="1">
        <v>12.8</v>
      </c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VLOOKUP(B1409,'[5]Migrasi Bed'!$B$4:$E$521,4,0)</f>
        <v>SV.G013</v>
      </c>
      <c r="D1409" s="28">
        <f t="shared" si="390"/>
        <v>46193</v>
      </c>
      <c r="E1409" s="28">
        <f t="shared" si="391"/>
        <v>46177</v>
      </c>
      <c r="F1409" s="28">
        <f t="shared" si="392"/>
        <v>46184</v>
      </c>
      <c r="G1409" s="28">
        <f t="shared" si="393"/>
        <v>46190</v>
      </c>
      <c r="H1409" s="28">
        <f t="shared" si="394"/>
        <v>46178</v>
      </c>
      <c r="I1409" s="28">
        <f t="shared" si="395"/>
        <v>46185</v>
      </c>
      <c r="J1409" s="28">
        <v>46196</v>
      </c>
      <c r="K1409" s="1">
        <f t="shared" si="396"/>
        <v>26</v>
      </c>
      <c r="L1409" s="1">
        <v>15.3</v>
      </c>
      <c r="M1409" s="1">
        <v>13.6</v>
      </c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VLOOKUP(B1410,'[5]Migrasi Bed'!$B$4:$E$521,4,0)</f>
        <v>SV.G014</v>
      </c>
      <c r="D1410" s="28">
        <f t="shared" si="390"/>
        <v>46193</v>
      </c>
      <c r="E1410" s="28">
        <f t="shared" si="391"/>
        <v>46177</v>
      </c>
      <c r="F1410" s="28">
        <f t="shared" si="392"/>
        <v>46184</v>
      </c>
      <c r="G1410" s="28">
        <f t="shared" si="393"/>
        <v>46190</v>
      </c>
      <c r="H1410" s="28">
        <f t="shared" si="394"/>
        <v>46178</v>
      </c>
      <c r="I1410" s="28">
        <f t="shared" si="395"/>
        <v>46185</v>
      </c>
      <c r="J1410" s="28">
        <v>46196</v>
      </c>
      <c r="K1410" s="1">
        <f t="shared" si="396"/>
        <v>26</v>
      </c>
      <c r="L1410" s="1">
        <v>16.100000000000001</v>
      </c>
      <c r="M1410" s="1">
        <v>14</v>
      </c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VLOOKUP(B1411,'[5]Migrasi Bed'!$B$4:$E$521,4,0)</f>
        <v>SV.F015</v>
      </c>
      <c r="D1411" s="28">
        <f t="shared" si="390"/>
        <v>46194</v>
      </c>
      <c r="E1411" s="28">
        <f t="shared" si="391"/>
        <v>46178</v>
      </c>
      <c r="F1411" s="28">
        <f t="shared" si="392"/>
        <v>46185</v>
      </c>
      <c r="G1411" s="28">
        <f t="shared" si="393"/>
        <v>46191</v>
      </c>
      <c r="H1411" s="28">
        <f t="shared" si="394"/>
        <v>46179</v>
      </c>
      <c r="I1411" s="28">
        <f t="shared" si="395"/>
        <v>46186</v>
      </c>
      <c r="J1411" s="28">
        <v>46196</v>
      </c>
      <c r="K1411" s="1">
        <f t="shared" si="396"/>
        <v>25</v>
      </c>
      <c r="L1411" s="1">
        <v>14.6</v>
      </c>
      <c r="M1411" s="1">
        <v>12.8</v>
      </c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VLOOKUP(B1412,'[5]Migrasi Bed'!$B$4:$E$521,4,0)</f>
        <v>SV.F016</v>
      </c>
      <c r="D1412" s="28">
        <f t="shared" si="390"/>
        <v>46194</v>
      </c>
      <c r="E1412" s="28">
        <f t="shared" si="391"/>
        <v>46178</v>
      </c>
      <c r="F1412" s="28">
        <f t="shared" si="392"/>
        <v>46185</v>
      </c>
      <c r="G1412" s="28">
        <f t="shared" si="393"/>
        <v>46191</v>
      </c>
      <c r="H1412" s="28">
        <f t="shared" si="394"/>
        <v>46179</v>
      </c>
      <c r="I1412" s="28">
        <f t="shared" si="395"/>
        <v>46186</v>
      </c>
      <c r="J1412" s="28">
        <v>46196</v>
      </c>
      <c r="K1412" s="1">
        <f t="shared" si="396"/>
        <v>25</v>
      </c>
      <c r="L1412" s="1">
        <v>16.399999999999999</v>
      </c>
      <c r="M1412" s="1">
        <v>14.2</v>
      </c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VLOOKUP(B1413,'[5]Migrasi Bed'!$B$4:$E$521,4,0)</f>
        <v>SV.F017</v>
      </c>
      <c r="D1413" s="28">
        <f t="shared" si="390"/>
        <v>46194</v>
      </c>
      <c r="E1413" s="28">
        <f t="shared" si="391"/>
        <v>46178</v>
      </c>
      <c r="F1413" s="28">
        <f t="shared" si="392"/>
        <v>46185</v>
      </c>
      <c r="G1413" s="28">
        <f t="shared" si="393"/>
        <v>46191</v>
      </c>
      <c r="H1413" s="28">
        <f t="shared" si="394"/>
        <v>46179</v>
      </c>
      <c r="I1413" s="28">
        <f t="shared" si="395"/>
        <v>46186</v>
      </c>
      <c r="J1413" s="28">
        <v>46196</v>
      </c>
      <c r="K1413" s="1">
        <f t="shared" si="396"/>
        <v>25</v>
      </c>
      <c r="L1413" s="1">
        <v>15.2</v>
      </c>
      <c r="M1413" s="1">
        <v>13.7</v>
      </c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VLOOKUP(B1414,'[5]Migrasi Bed'!$B$4:$E$521,4,0)</f>
        <v>SV.F018</v>
      </c>
      <c r="D1414" s="28">
        <f t="shared" si="390"/>
        <v>46194</v>
      </c>
      <c r="E1414" s="28">
        <f t="shared" si="391"/>
        <v>46178</v>
      </c>
      <c r="F1414" s="28">
        <f t="shared" si="392"/>
        <v>46185</v>
      </c>
      <c r="G1414" s="28">
        <f t="shared" si="393"/>
        <v>46191</v>
      </c>
      <c r="H1414" s="28">
        <f t="shared" si="394"/>
        <v>46179</v>
      </c>
      <c r="I1414" s="28">
        <f t="shared" si="395"/>
        <v>46186</v>
      </c>
      <c r="J1414" s="28">
        <v>46197</v>
      </c>
      <c r="K1414" s="1">
        <f t="shared" si="396"/>
        <v>26</v>
      </c>
      <c r="L1414" s="1">
        <v>15.2</v>
      </c>
      <c r="M1414" s="1">
        <v>13.1</v>
      </c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VLOOKUP(B1415,'[5]Migrasi Bed'!$B$4:$E$521,4,0)</f>
        <v>SV.F019</v>
      </c>
      <c r="D1415" s="28">
        <f t="shared" si="390"/>
        <v>46194</v>
      </c>
      <c r="E1415" s="28">
        <f t="shared" si="391"/>
        <v>46178</v>
      </c>
      <c r="F1415" s="28">
        <f t="shared" si="392"/>
        <v>46185</v>
      </c>
      <c r="G1415" s="28">
        <f t="shared" si="393"/>
        <v>46191</v>
      </c>
      <c r="H1415" s="28">
        <f t="shared" si="394"/>
        <v>46179</v>
      </c>
      <c r="I1415" s="28">
        <f t="shared" si="395"/>
        <v>46186</v>
      </c>
      <c r="J1415" s="28">
        <v>46197</v>
      </c>
      <c r="K1415" s="1">
        <f t="shared" si="396"/>
        <v>26</v>
      </c>
      <c r="L1415" s="1">
        <v>15.4</v>
      </c>
      <c r="M1415" s="1">
        <v>13.2</v>
      </c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VLOOKUP(B1416,'[5]Migrasi Bed'!$B$4:$E$521,4,0)</f>
        <v>SV.F020</v>
      </c>
      <c r="D1416" s="28">
        <f t="shared" si="390"/>
        <v>46194</v>
      </c>
      <c r="E1416" s="28">
        <f t="shared" si="391"/>
        <v>46178</v>
      </c>
      <c r="F1416" s="28">
        <f t="shared" si="392"/>
        <v>46185</v>
      </c>
      <c r="G1416" s="28">
        <f t="shared" si="393"/>
        <v>46191</v>
      </c>
      <c r="H1416" s="28">
        <f t="shared" si="394"/>
        <v>46179</v>
      </c>
      <c r="I1416" s="28">
        <f t="shared" si="395"/>
        <v>46186</v>
      </c>
      <c r="J1416" s="28">
        <v>46197</v>
      </c>
      <c r="K1416" s="1">
        <f t="shared" si="396"/>
        <v>26</v>
      </c>
      <c r="L1416" s="1">
        <v>14.3</v>
      </c>
      <c r="M1416" s="1">
        <v>12.9</v>
      </c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VLOOKUP(B1417,'[5]Migrasi Bed'!$B$4:$E$521,4,0)</f>
        <v>SV.G015</v>
      </c>
      <c r="D1417" s="28">
        <f t="shared" si="390"/>
        <v>46194</v>
      </c>
      <c r="E1417" s="28">
        <f t="shared" si="391"/>
        <v>46178</v>
      </c>
      <c r="F1417" s="28">
        <f t="shared" si="392"/>
        <v>46185</v>
      </c>
      <c r="G1417" s="28">
        <f t="shared" si="393"/>
        <v>46191</v>
      </c>
      <c r="H1417" s="28">
        <f t="shared" si="394"/>
        <v>46179</v>
      </c>
      <c r="I1417" s="28">
        <f t="shared" si="395"/>
        <v>46186</v>
      </c>
      <c r="J1417" s="28">
        <v>46197</v>
      </c>
      <c r="K1417" s="1">
        <f t="shared" si="396"/>
        <v>26</v>
      </c>
      <c r="L1417" s="1">
        <v>14.1</v>
      </c>
      <c r="M1417" s="1">
        <v>12.4</v>
      </c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VLOOKUP(B1418,'[5]Migrasi Bed'!$B$4:$E$521,4,0)</f>
        <v>SV.G016</v>
      </c>
      <c r="D1418" s="28">
        <f t="shared" si="390"/>
        <v>46195</v>
      </c>
      <c r="E1418" s="28">
        <f t="shared" si="391"/>
        <v>46179</v>
      </c>
      <c r="F1418" s="28">
        <f t="shared" si="392"/>
        <v>46186</v>
      </c>
      <c r="G1418" s="28">
        <f t="shared" si="393"/>
        <v>46192</v>
      </c>
      <c r="H1418" s="28">
        <f t="shared" si="394"/>
        <v>46180</v>
      </c>
      <c r="I1418" s="28">
        <f t="shared" si="395"/>
        <v>46187</v>
      </c>
      <c r="J1418" s="28">
        <v>46197</v>
      </c>
      <c r="K1418" s="1">
        <f t="shared" si="396"/>
        <v>25</v>
      </c>
      <c r="L1418" s="1">
        <v>15.3</v>
      </c>
      <c r="M1418" s="1">
        <v>13.5</v>
      </c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VLOOKUP(B1419,'[5]Migrasi Bed'!$B$4:$E$521,4,0)</f>
        <v>SV.G017</v>
      </c>
      <c r="D1419" s="28">
        <f t="shared" si="390"/>
        <v>46195</v>
      </c>
      <c r="E1419" s="28">
        <f t="shared" si="391"/>
        <v>46179</v>
      </c>
      <c r="F1419" s="28">
        <f t="shared" si="392"/>
        <v>46186</v>
      </c>
      <c r="G1419" s="28">
        <f t="shared" si="393"/>
        <v>46192</v>
      </c>
      <c r="H1419" s="28">
        <f t="shared" si="394"/>
        <v>46180</v>
      </c>
      <c r="I1419" s="28">
        <f t="shared" si="395"/>
        <v>46187</v>
      </c>
      <c r="J1419" s="28">
        <v>46197</v>
      </c>
      <c r="K1419" s="1">
        <f t="shared" si="396"/>
        <v>25</v>
      </c>
      <c r="L1419" s="1">
        <v>13.4</v>
      </c>
      <c r="M1419" s="1">
        <v>11.2</v>
      </c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VLOOKUP(B1420,'[5]Migrasi Bed'!$B$4:$E$521,4,0)</f>
        <v>SV.G018</v>
      </c>
      <c r="D1420" s="28">
        <f t="shared" si="390"/>
        <v>46195</v>
      </c>
      <c r="E1420" s="28">
        <f t="shared" si="391"/>
        <v>46179</v>
      </c>
      <c r="F1420" s="28">
        <f t="shared" si="392"/>
        <v>46186</v>
      </c>
      <c r="G1420" s="28">
        <f t="shared" si="393"/>
        <v>46192</v>
      </c>
      <c r="H1420" s="28">
        <f t="shared" si="394"/>
        <v>46180</v>
      </c>
      <c r="I1420" s="28">
        <f t="shared" si="395"/>
        <v>46187</v>
      </c>
      <c r="J1420" s="28">
        <v>46197</v>
      </c>
      <c r="K1420" s="1">
        <f t="shared" si="396"/>
        <v>25</v>
      </c>
      <c r="L1420" s="1">
        <v>14.7</v>
      </c>
      <c r="M1420" s="1">
        <v>12.6</v>
      </c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VLOOKUP(B1421,'[5]Migrasi Bed'!$B$4:$E$521,4,0)</f>
        <v>SV.G019</v>
      </c>
      <c r="D1421" s="28">
        <f t="shared" si="390"/>
        <v>46195</v>
      </c>
      <c r="E1421" s="28">
        <f t="shared" si="391"/>
        <v>46179</v>
      </c>
      <c r="F1421" s="28">
        <f t="shared" si="392"/>
        <v>46186</v>
      </c>
      <c r="G1421" s="28">
        <f t="shared" si="393"/>
        <v>46192</v>
      </c>
      <c r="H1421" s="28">
        <f t="shared" si="394"/>
        <v>46180</v>
      </c>
      <c r="I1421" s="28">
        <f t="shared" si="395"/>
        <v>46187</v>
      </c>
      <c r="J1421" s="28">
        <v>46198</v>
      </c>
      <c r="K1421" s="1">
        <f t="shared" si="396"/>
        <v>26</v>
      </c>
      <c r="L1421" s="1">
        <v>14.7</v>
      </c>
      <c r="M1421" s="1">
        <v>12.8</v>
      </c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VLOOKUP(B1422,'[5]Migrasi Bed'!$B$4:$E$521,4,0)</f>
        <v>SV.G020</v>
      </c>
      <c r="D1422" s="28">
        <f t="shared" si="390"/>
        <v>46195</v>
      </c>
      <c r="E1422" s="28">
        <f t="shared" si="391"/>
        <v>46179</v>
      </c>
      <c r="F1422" s="28">
        <f t="shared" si="392"/>
        <v>46186</v>
      </c>
      <c r="G1422" s="28">
        <f t="shared" si="393"/>
        <v>46192</v>
      </c>
      <c r="H1422" s="28">
        <f t="shared" si="394"/>
        <v>46180</v>
      </c>
      <c r="I1422" s="28">
        <f t="shared" si="395"/>
        <v>46187</v>
      </c>
      <c r="J1422" s="28">
        <v>46198</v>
      </c>
      <c r="K1422" s="1">
        <f t="shared" si="396"/>
        <v>26</v>
      </c>
      <c r="L1422" s="1">
        <v>14.2</v>
      </c>
      <c r="M1422" s="1">
        <v>12.1</v>
      </c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VLOOKUP(B1423,'[5]Migrasi Bed'!$B$4:$E$521,4,0)</f>
        <v>SV.H018</v>
      </c>
      <c r="D1423" s="28">
        <f t="shared" si="390"/>
        <v>46195</v>
      </c>
      <c r="E1423" s="28">
        <f t="shared" si="391"/>
        <v>46179</v>
      </c>
      <c r="F1423" s="28">
        <f t="shared" si="392"/>
        <v>46186</v>
      </c>
      <c r="G1423" s="28">
        <f t="shared" si="393"/>
        <v>46192</v>
      </c>
      <c r="H1423" s="28">
        <f t="shared" si="394"/>
        <v>46180</v>
      </c>
      <c r="I1423" s="28">
        <f t="shared" si="395"/>
        <v>46187</v>
      </c>
      <c r="J1423" s="28">
        <v>46198</v>
      </c>
      <c r="K1423" s="1">
        <f t="shared" si="396"/>
        <v>26</v>
      </c>
      <c r="L1423" s="1">
        <v>14.3</v>
      </c>
      <c r="M1423" s="1">
        <v>12.5</v>
      </c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VLOOKUP(B1424,'[5]Migrasi Bed'!$B$4:$E$521,4,0)</f>
        <v>SV.H019</v>
      </c>
      <c r="D1424" s="28">
        <f t="shared" si="390"/>
        <v>46195</v>
      </c>
      <c r="E1424" s="28">
        <f t="shared" si="391"/>
        <v>46179</v>
      </c>
      <c r="F1424" s="28">
        <f t="shared" si="392"/>
        <v>46186</v>
      </c>
      <c r="G1424" s="28">
        <f t="shared" si="393"/>
        <v>46192</v>
      </c>
      <c r="H1424" s="28">
        <f t="shared" si="394"/>
        <v>46180</v>
      </c>
      <c r="I1424" s="28">
        <f t="shared" si="395"/>
        <v>46187</v>
      </c>
      <c r="J1424" s="28">
        <v>46198</v>
      </c>
      <c r="K1424" s="1">
        <f t="shared" si="396"/>
        <v>26</v>
      </c>
      <c r="L1424" s="1">
        <v>15.1</v>
      </c>
      <c r="M1424" s="1">
        <v>13</v>
      </c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VLOOKUP(B1425,'[5]Migrasi Bed'!$B$4:$E$521,4,0)</f>
        <v>SV.H020</v>
      </c>
      <c r="D1425" s="28">
        <f t="shared" si="390"/>
        <v>46195</v>
      </c>
      <c r="E1425" s="28">
        <f t="shared" si="391"/>
        <v>46179</v>
      </c>
      <c r="F1425" s="28">
        <f t="shared" si="392"/>
        <v>46186</v>
      </c>
      <c r="G1425" s="28">
        <f t="shared" si="393"/>
        <v>46192</v>
      </c>
      <c r="H1425" s="28">
        <f t="shared" si="394"/>
        <v>46180</v>
      </c>
      <c r="I1425" s="28">
        <f t="shared" si="395"/>
        <v>46187</v>
      </c>
      <c r="J1425" s="28">
        <v>46198</v>
      </c>
      <c r="K1425" s="1">
        <f t="shared" si="396"/>
        <v>26</v>
      </c>
      <c r="L1425" s="1">
        <v>14.6</v>
      </c>
      <c r="M1425" s="1">
        <v>12.7</v>
      </c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VLOOKUP(B1426,'[6]Migrasi Bed'!$B$4:$E$521,4,0)</f>
        <v>SV.H011</v>
      </c>
      <c r="D1426" s="28">
        <f t="shared" si="390"/>
        <v>46196</v>
      </c>
      <c r="E1426" s="28">
        <f t="shared" si="391"/>
        <v>46180</v>
      </c>
      <c r="F1426" s="28">
        <f t="shared" si="392"/>
        <v>46187</v>
      </c>
      <c r="G1426" s="28">
        <f t="shared" si="393"/>
        <v>46193</v>
      </c>
      <c r="H1426" s="28">
        <f t="shared" si="394"/>
        <v>46181</v>
      </c>
      <c r="I1426" s="28">
        <f t="shared" si="395"/>
        <v>46188</v>
      </c>
      <c r="J1426" s="28">
        <v>46199</v>
      </c>
      <c r="K1426" s="1">
        <f t="shared" si="396"/>
        <v>26</v>
      </c>
      <c r="L1426" s="1">
        <v>14.3</v>
      </c>
      <c r="M1426" s="1">
        <v>12.1</v>
      </c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VLOOKUP(B1427,'[6]Migrasi Bed'!$B$4:$E$521,4,0)</f>
        <v>SV.H012</v>
      </c>
      <c r="D1427" s="28">
        <f t="shared" si="390"/>
        <v>46196</v>
      </c>
      <c r="E1427" s="28">
        <f t="shared" si="391"/>
        <v>46180</v>
      </c>
      <c r="F1427" s="28">
        <f t="shared" si="392"/>
        <v>46187</v>
      </c>
      <c r="G1427" s="28">
        <f t="shared" si="393"/>
        <v>46193</v>
      </c>
      <c r="H1427" s="28">
        <f t="shared" si="394"/>
        <v>46181</v>
      </c>
      <c r="I1427" s="28">
        <f t="shared" si="395"/>
        <v>46188</v>
      </c>
      <c r="J1427" s="28">
        <v>46199</v>
      </c>
      <c r="K1427" s="1">
        <f t="shared" si="396"/>
        <v>26</v>
      </c>
      <c r="L1427" s="1">
        <v>14.2</v>
      </c>
      <c r="M1427" s="1">
        <v>12.1</v>
      </c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VLOOKUP(B1428,'[6]Migrasi Bed'!$B$4:$E$521,4,0)</f>
        <v>SV.H013</v>
      </c>
      <c r="D1428" s="28">
        <f t="shared" si="390"/>
        <v>46196</v>
      </c>
      <c r="E1428" s="28">
        <f t="shared" si="391"/>
        <v>46180</v>
      </c>
      <c r="F1428" s="28">
        <f t="shared" si="392"/>
        <v>46187</v>
      </c>
      <c r="G1428" s="28">
        <f t="shared" si="393"/>
        <v>46193</v>
      </c>
      <c r="H1428" s="28">
        <f t="shared" si="394"/>
        <v>46181</v>
      </c>
      <c r="I1428" s="28">
        <f t="shared" si="395"/>
        <v>46188</v>
      </c>
      <c r="J1428" s="28">
        <v>46199</v>
      </c>
      <c r="K1428" s="1">
        <f t="shared" si="396"/>
        <v>26</v>
      </c>
      <c r="L1428" s="1">
        <v>13.5</v>
      </c>
      <c r="M1428" s="1">
        <v>11.7</v>
      </c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VLOOKUP(B1429,'[6]Migrasi Bed'!$B$4:$E$521,4,0)</f>
        <v>SV.H014</v>
      </c>
      <c r="D1429" s="28">
        <f t="shared" si="390"/>
        <v>46196</v>
      </c>
      <c r="E1429" s="28">
        <f t="shared" si="391"/>
        <v>46180</v>
      </c>
      <c r="F1429" s="28">
        <f t="shared" si="392"/>
        <v>46187</v>
      </c>
      <c r="G1429" s="28">
        <f t="shared" si="393"/>
        <v>46193</v>
      </c>
      <c r="H1429" s="28">
        <f t="shared" si="394"/>
        <v>46181</v>
      </c>
      <c r="I1429" s="28">
        <f t="shared" si="395"/>
        <v>46188</v>
      </c>
      <c r="J1429" s="28">
        <v>46199</v>
      </c>
      <c r="K1429" s="1">
        <f t="shared" si="396"/>
        <v>26</v>
      </c>
      <c r="L1429" s="1">
        <v>13.3</v>
      </c>
      <c r="M1429" s="1">
        <v>11.5</v>
      </c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VLOOKUP(B1430,'[6]Migrasi Bed'!$B$4:$E$521,4,0)</f>
        <v>SV.H015</v>
      </c>
      <c r="D1430" s="28">
        <f t="shared" si="390"/>
        <v>46196</v>
      </c>
      <c r="E1430" s="28">
        <f t="shared" si="391"/>
        <v>46180</v>
      </c>
      <c r="F1430" s="28">
        <f t="shared" si="392"/>
        <v>46187</v>
      </c>
      <c r="G1430" s="28">
        <f t="shared" si="393"/>
        <v>46193</v>
      </c>
      <c r="H1430" s="28">
        <f t="shared" si="394"/>
        <v>46181</v>
      </c>
      <c r="I1430" s="28">
        <f t="shared" si="395"/>
        <v>46188</v>
      </c>
      <c r="J1430" s="28">
        <v>46199</v>
      </c>
      <c r="K1430" s="1">
        <f t="shared" si="396"/>
        <v>26</v>
      </c>
      <c r="L1430" s="1">
        <v>13.6</v>
      </c>
      <c r="M1430" s="1">
        <v>11.7</v>
      </c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VLOOKUP(B1431,'[6]Migrasi Bed'!$B$4:$E$521,4,0)</f>
        <v>SV.H016</v>
      </c>
      <c r="D1431" s="28">
        <f t="shared" si="390"/>
        <v>46196</v>
      </c>
      <c r="E1431" s="28">
        <f t="shared" si="391"/>
        <v>46180</v>
      </c>
      <c r="F1431" s="28">
        <f t="shared" si="392"/>
        <v>46187</v>
      </c>
      <c r="G1431" s="28">
        <f t="shared" si="393"/>
        <v>46193</v>
      </c>
      <c r="H1431" s="28">
        <f t="shared" si="394"/>
        <v>46181</v>
      </c>
      <c r="I1431" s="28">
        <f t="shared" si="395"/>
        <v>46188</v>
      </c>
      <c r="J1431" s="28">
        <v>46198</v>
      </c>
      <c r="K1431" s="1">
        <f t="shared" si="396"/>
        <v>25</v>
      </c>
      <c r="L1431" s="1">
        <v>13.2</v>
      </c>
      <c r="M1431" s="1">
        <v>11.1</v>
      </c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VLOOKUP(B1432,'[6]Migrasi Bed'!$B$4:$E$521,4,0)</f>
        <v>SV.H017</v>
      </c>
      <c r="D1432" s="28">
        <f t="shared" si="390"/>
        <v>46196</v>
      </c>
      <c r="E1432" s="28">
        <f t="shared" si="391"/>
        <v>46180</v>
      </c>
      <c r="F1432" s="28">
        <f t="shared" si="392"/>
        <v>46187</v>
      </c>
      <c r="G1432" s="28">
        <f t="shared" si="393"/>
        <v>46193</v>
      </c>
      <c r="H1432" s="28">
        <f t="shared" si="394"/>
        <v>46181</v>
      </c>
      <c r="I1432" s="28">
        <f t="shared" si="395"/>
        <v>46188</v>
      </c>
      <c r="J1432" s="28">
        <v>46198</v>
      </c>
      <c r="K1432" s="1">
        <f t="shared" si="396"/>
        <v>25</v>
      </c>
      <c r="L1432" s="1">
        <v>14.4</v>
      </c>
      <c r="M1432" s="1">
        <v>12.6</v>
      </c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VLOOKUP(B1433,'[6]Migrasi Bed'!$B$4:$E$521,4,0)</f>
        <v>SV.H004</v>
      </c>
      <c r="D1433" s="28">
        <f t="shared" si="390"/>
        <v>46197</v>
      </c>
      <c r="E1433" s="28">
        <f t="shared" si="391"/>
        <v>46181</v>
      </c>
      <c r="F1433" s="28">
        <f t="shared" si="392"/>
        <v>46188</v>
      </c>
      <c r="G1433" s="28">
        <f t="shared" si="393"/>
        <v>46194</v>
      </c>
      <c r="H1433" s="28">
        <f t="shared" si="394"/>
        <v>46182</v>
      </c>
      <c r="I1433" s="28">
        <f t="shared" si="395"/>
        <v>46189</v>
      </c>
      <c r="J1433" s="28">
        <v>46200</v>
      </c>
      <c r="K1433" s="1">
        <f t="shared" si="396"/>
        <v>26</v>
      </c>
      <c r="L1433" s="1">
        <v>15.3</v>
      </c>
      <c r="M1433" s="1">
        <v>13.4</v>
      </c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VLOOKUP(B1434,'[6]Migrasi Bed'!$B$4:$E$521,4,0)</f>
        <v>SV.H005</v>
      </c>
      <c r="D1434" s="28">
        <f t="shared" si="390"/>
        <v>46197</v>
      </c>
      <c r="E1434" s="28">
        <f t="shared" si="391"/>
        <v>46181</v>
      </c>
      <c r="F1434" s="28">
        <f t="shared" si="392"/>
        <v>46188</v>
      </c>
      <c r="G1434" s="28">
        <f t="shared" si="393"/>
        <v>46194</v>
      </c>
      <c r="H1434" s="28">
        <f t="shared" si="394"/>
        <v>46182</v>
      </c>
      <c r="I1434" s="28">
        <f t="shared" si="395"/>
        <v>46189</v>
      </c>
      <c r="J1434" s="28">
        <v>46200</v>
      </c>
      <c r="K1434" s="1">
        <f t="shared" si="396"/>
        <v>26</v>
      </c>
      <c r="L1434" s="1">
        <v>14.9</v>
      </c>
      <c r="M1434" s="1">
        <v>12.8</v>
      </c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VLOOKUP(B1435,'[6]Migrasi Bed'!$B$4:$E$521,4,0)</f>
        <v>SV.H006</v>
      </c>
      <c r="D1435" s="28">
        <f t="shared" si="390"/>
        <v>46197</v>
      </c>
      <c r="E1435" s="28">
        <f t="shared" si="391"/>
        <v>46181</v>
      </c>
      <c r="F1435" s="28">
        <f t="shared" si="392"/>
        <v>46188</v>
      </c>
      <c r="G1435" s="28">
        <f t="shared" si="393"/>
        <v>46194</v>
      </c>
      <c r="H1435" s="28">
        <f t="shared" si="394"/>
        <v>46182</v>
      </c>
      <c r="I1435" s="28">
        <f t="shared" si="395"/>
        <v>46189</v>
      </c>
      <c r="J1435" s="28">
        <v>46200</v>
      </c>
      <c r="K1435" s="1">
        <f t="shared" si="396"/>
        <v>26</v>
      </c>
      <c r="L1435" s="1">
        <v>14.5</v>
      </c>
      <c r="M1435" s="1">
        <v>12.2</v>
      </c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VLOOKUP(B1436,'[6]Migrasi Bed'!$B$4:$E$521,4,0)</f>
        <v>SV.H007</v>
      </c>
      <c r="D1436" s="28">
        <f t="shared" si="390"/>
        <v>46197</v>
      </c>
      <c r="E1436" s="28">
        <f t="shared" si="391"/>
        <v>46181</v>
      </c>
      <c r="F1436" s="28">
        <f t="shared" si="392"/>
        <v>46188</v>
      </c>
      <c r="G1436" s="28">
        <f t="shared" si="393"/>
        <v>46194</v>
      </c>
      <c r="H1436" s="28">
        <f t="shared" si="394"/>
        <v>46182</v>
      </c>
      <c r="I1436" s="28">
        <f t="shared" si="395"/>
        <v>46189</v>
      </c>
      <c r="J1436" s="28">
        <v>46200</v>
      </c>
      <c r="K1436" s="1">
        <f t="shared" si="396"/>
        <v>26</v>
      </c>
      <c r="L1436" s="1">
        <v>13.3</v>
      </c>
      <c r="M1436" s="1">
        <v>11.1</v>
      </c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VLOOKUP(B1437,'[6]Migrasi Bed'!$B$4:$E$521,4,0)</f>
        <v>SV.H008</v>
      </c>
      <c r="D1437" s="28">
        <f t="shared" si="390"/>
        <v>46197</v>
      </c>
      <c r="E1437" s="28">
        <f t="shared" si="391"/>
        <v>46181</v>
      </c>
      <c r="F1437" s="28">
        <f t="shared" si="392"/>
        <v>46188</v>
      </c>
      <c r="G1437" s="28">
        <f t="shared" si="393"/>
        <v>46194</v>
      </c>
      <c r="H1437" s="28">
        <f t="shared" si="394"/>
        <v>46182</v>
      </c>
      <c r="I1437" s="28">
        <f t="shared" si="395"/>
        <v>46189</v>
      </c>
      <c r="J1437" s="28">
        <v>46200</v>
      </c>
      <c r="K1437" s="1">
        <f t="shared" si="396"/>
        <v>26</v>
      </c>
      <c r="L1437" s="1">
        <v>16.100000000000001</v>
      </c>
      <c r="M1437" s="1">
        <v>14</v>
      </c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VLOOKUP(B1438,'[6]Migrasi Bed'!$B$4:$E$521,4,0)</f>
        <v>SV.H009</v>
      </c>
      <c r="D1438" s="28">
        <f t="shared" si="390"/>
        <v>46197</v>
      </c>
      <c r="E1438" s="28">
        <f t="shared" si="391"/>
        <v>46181</v>
      </c>
      <c r="F1438" s="28">
        <f t="shared" si="392"/>
        <v>46188</v>
      </c>
      <c r="G1438" s="28">
        <f t="shared" si="393"/>
        <v>46194</v>
      </c>
      <c r="H1438" s="28">
        <f t="shared" si="394"/>
        <v>46182</v>
      </c>
      <c r="I1438" s="28">
        <f t="shared" si="395"/>
        <v>46189</v>
      </c>
      <c r="J1438" s="28">
        <v>46199</v>
      </c>
      <c r="K1438" s="1">
        <f t="shared" si="396"/>
        <v>25</v>
      </c>
      <c r="L1438" s="1">
        <v>13.6</v>
      </c>
      <c r="M1438" s="1">
        <v>12.4</v>
      </c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VLOOKUP(B1439,'[6]Migrasi Bed'!$B$4:$E$521,4,0)</f>
        <v>SV.H010</v>
      </c>
      <c r="D1439" s="28">
        <f t="shared" si="390"/>
        <v>46197</v>
      </c>
      <c r="E1439" s="28">
        <f t="shared" si="391"/>
        <v>46181</v>
      </c>
      <c r="F1439" s="28">
        <f t="shared" si="392"/>
        <v>46188</v>
      </c>
      <c r="G1439" s="28">
        <f t="shared" si="393"/>
        <v>46194</v>
      </c>
      <c r="H1439" s="28">
        <f t="shared" si="394"/>
        <v>46182</v>
      </c>
      <c r="I1439" s="28">
        <f t="shared" si="395"/>
        <v>46189</v>
      </c>
      <c r="J1439" s="28">
        <v>46199</v>
      </c>
      <c r="K1439" s="1">
        <f t="shared" si="396"/>
        <v>25</v>
      </c>
      <c r="L1439" s="1">
        <v>14.5</v>
      </c>
      <c r="M1439" s="1">
        <v>11.7</v>
      </c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VLOOKUP(B1440,'[6]Migrasi Bed'!$B$4:$E$521,4,0)</f>
        <v>SV.A024</v>
      </c>
      <c r="D1440" s="28">
        <f t="shared" si="390"/>
        <v>46198</v>
      </c>
      <c r="E1440" s="28">
        <f t="shared" si="391"/>
        <v>46182</v>
      </c>
      <c r="F1440" s="28">
        <f t="shared" si="392"/>
        <v>46189</v>
      </c>
      <c r="G1440" s="28">
        <f t="shared" si="393"/>
        <v>46195</v>
      </c>
      <c r="H1440" s="28">
        <f t="shared" si="394"/>
        <v>46183</v>
      </c>
      <c r="I1440" s="28">
        <f t="shared" si="395"/>
        <v>46190</v>
      </c>
      <c r="J1440" s="28">
        <v>46201</v>
      </c>
      <c r="K1440" s="1">
        <f t="shared" si="396"/>
        <v>26</v>
      </c>
      <c r="L1440" s="1">
        <v>16.600000000000001</v>
      </c>
      <c r="M1440" s="1">
        <v>14.7</v>
      </c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VLOOKUP(B1441,'[6]Migrasi Bed'!$B$4:$E$521,4,0)</f>
        <v>SV.A025</v>
      </c>
      <c r="D1441" s="28">
        <f t="shared" si="390"/>
        <v>46198</v>
      </c>
      <c r="E1441" s="28">
        <f t="shared" si="391"/>
        <v>46182</v>
      </c>
      <c r="F1441" s="28">
        <f t="shared" si="392"/>
        <v>46189</v>
      </c>
      <c r="G1441" s="28">
        <f t="shared" si="393"/>
        <v>46195</v>
      </c>
      <c r="H1441" s="28">
        <f t="shared" si="394"/>
        <v>46183</v>
      </c>
      <c r="I1441" s="28">
        <f t="shared" si="395"/>
        <v>46190</v>
      </c>
      <c r="J1441" s="28">
        <v>46201</v>
      </c>
      <c r="K1441" s="1">
        <f t="shared" si="396"/>
        <v>26</v>
      </c>
      <c r="L1441" s="1">
        <v>16.399999999999999</v>
      </c>
      <c r="M1441" s="1">
        <v>14.5</v>
      </c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VLOOKUP(B1442,'[6]Migrasi Bed'!$B$4:$E$521,4,0)</f>
        <v>SV.A026</v>
      </c>
      <c r="D1442" s="28">
        <f t="shared" ref="D1442:D1505" si="397">A1442+23</f>
        <v>46198</v>
      </c>
      <c r="E1442" s="28">
        <f t="shared" ref="E1442:E1505" si="398">A1442+7</f>
        <v>46182</v>
      </c>
      <c r="F1442" s="28">
        <f t="shared" ref="F1442:F1505" si="399">A1442+14</f>
        <v>46189</v>
      </c>
      <c r="G1442" s="28">
        <f t="shared" ref="G1442:G1505" si="400">A1442+20</f>
        <v>46195</v>
      </c>
      <c r="H1442" s="28">
        <f t="shared" ref="H1442:H1505" si="401">A1442+8</f>
        <v>46183</v>
      </c>
      <c r="I1442" s="28">
        <f t="shared" ref="I1442:I1505" si="402">A1442+15</f>
        <v>46190</v>
      </c>
      <c r="J1442" s="28">
        <v>46201</v>
      </c>
      <c r="K1442" s="1">
        <f t="shared" ref="K1442:K1453" si="403">J1442-A1442</f>
        <v>26</v>
      </c>
      <c r="L1442" s="1">
        <v>16.2</v>
      </c>
      <c r="M1442" s="1">
        <v>14.5</v>
      </c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VLOOKUP(B1443,'[6]Migrasi Bed'!$B$4:$E$521,4,0)</f>
        <v>SV.A027</v>
      </c>
      <c r="D1443" s="28">
        <f t="shared" si="397"/>
        <v>46198</v>
      </c>
      <c r="E1443" s="28">
        <f t="shared" si="398"/>
        <v>46182</v>
      </c>
      <c r="F1443" s="28">
        <f t="shared" si="399"/>
        <v>46189</v>
      </c>
      <c r="G1443" s="28">
        <f t="shared" si="400"/>
        <v>46195</v>
      </c>
      <c r="H1443" s="28">
        <f t="shared" si="401"/>
        <v>46183</v>
      </c>
      <c r="I1443" s="28">
        <f t="shared" si="402"/>
        <v>46190</v>
      </c>
      <c r="J1443" s="28">
        <v>46201</v>
      </c>
      <c r="K1443" s="1">
        <f t="shared" si="403"/>
        <v>26</v>
      </c>
      <c r="L1443" s="1">
        <v>15.6</v>
      </c>
      <c r="M1443" s="1">
        <v>13.7</v>
      </c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VLOOKUP(B1444,'[6]Migrasi Bed'!$B$4:$E$521,4,0)</f>
        <v>SV.A028</v>
      </c>
      <c r="D1444" s="28">
        <f t="shared" si="397"/>
        <v>46198</v>
      </c>
      <c r="E1444" s="28">
        <f t="shared" si="398"/>
        <v>46182</v>
      </c>
      <c r="F1444" s="28">
        <f t="shared" si="399"/>
        <v>46189</v>
      </c>
      <c r="G1444" s="28">
        <f t="shared" si="400"/>
        <v>46195</v>
      </c>
      <c r="H1444" s="28">
        <f t="shared" si="401"/>
        <v>46183</v>
      </c>
      <c r="I1444" s="28">
        <f t="shared" si="402"/>
        <v>46190</v>
      </c>
      <c r="J1444" s="28">
        <v>46201</v>
      </c>
      <c r="K1444" s="1">
        <f t="shared" si="403"/>
        <v>26</v>
      </c>
      <c r="L1444" s="1">
        <v>15.7</v>
      </c>
      <c r="M1444" s="1">
        <v>13.9</v>
      </c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VLOOKUP(B1445,'[6]Migrasi Bed'!$B$4:$E$521,4,0)</f>
        <v>SV.A029</v>
      </c>
      <c r="D1445" s="28">
        <f t="shared" si="397"/>
        <v>46198</v>
      </c>
      <c r="E1445" s="28">
        <f t="shared" si="398"/>
        <v>46182</v>
      </c>
      <c r="F1445" s="28">
        <f t="shared" si="399"/>
        <v>46189</v>
      </c>
      <c r="G1445" s="28">
        <f t="shared" si="400"/>
        <v>46195</v>
      </c>
      <c r="H1445" s="28">
        <f t="shared" si="401"/>
        <v>46183</v>
      </c>
      <c r="I1445" s="28">
        <f t="shared" si="402"/>
        <v>46190</v>
      </c>
      <c r="J1445" s="28">
        <v>46201</v>
      </c>
      <c r="K1445" s="1">
        <f t="shared" si="403"/>
        <v>26</v>
      </c>
      <c r="L1445" s="1">
        <v>14.3</v>
      </c>
      <c r="M1445" s="1">
        <v>12</v>
      </c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VLOOKUP(B1446,'[6]Migrasi Bed'!$B$4:$E$521,4,0)</f>
        <v>SV.A030</v>
      </c>
      <c r="D1446" s="28">
        <f t="shared" si="397"/>
        <v>46198</v>
      </c>
      <c r="E1446" s="28">
        <f t="shared" si="398"/>
        <v>46182</v>
      </c>
      <c r="F1446" s="28">
        <f t="shared" si="399"/>
        <v>46189</v>
      </c>
      <c r="G1446" s="28">
        <f t="shared" si="400"/>
        <v>46195</v>
      </c>
      <c r="H1446" s="28">
        <f t="shared" si="401"/>
        <v>46183</v>
      </c>
      <c r="I1446" s="28">
        <f t="shared" si="402"/>
        <v>46190</v>
      </c>
      <c r="J1446" s="28">
        <v>46200</v>
      </c>
      <c r="K1446" s="1">
        <f t="shared" si="403"/>
        <v>25</v>
      </c>
      <c r="L1446" s="1">
        <v>14.6</v>
      </c>
      <c r="M1446" s="1">
        <v>12.5</v>
      </c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VLOOKUP(B1447,'[6]Migrasi Bed'!$B$4:$E$521,4,0)</f>
        <v>SV.H002</v>
      </c>
      <c r="D1447" s="28">
        <f t="shared" si="397"/>
        <v>46199</v>
      </c>
      <c r="E1447" s="28">
        <f t="shared" si="398"/>
        <v>46183</v>
      </c>
      <c r="F1447" s="28">
        <f t="shared" si="399"/>
        <v>46190</v>
      </c>
      <c r="G1447" s="28">
        <f t="shared" si="400"/>
        <v>46196</v>
      </c>
      <c r="H1447" s="28">
        <f t="shared" si="401"/>
        <v>46184</v>
      </c>
      <c r="I1447" s="28">
        <f t="shared" si="402"/>
        <v>46191</v>
      </c>
      <c r="J1447" s="28">
        <v>46200</v>
      </c>
      <c r="K1447" s="1">
        <f t="shared" si="403"/>
        <v>24</v>
      </c>
      <c r="L1447" s="1">
        <v>14.4</v>
      </c>
      <c r="M1447" s="1">
        <v>12.3</v>
      </c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VLOOKUP(B1448,'[8]Migrasi Bed'!$B$4:$E$521,4,0)</f>
        <v>SV.H003</v>
      </c>
      <c r="D1448" s="28">
        <f t="shared" si="397"/>
        <v>46199</v>
      </c>
      <c r="E1448" s="28">
        <f t="shared" si="398"/>
        <v>46183</v>
      </c>
      <c r="F1448" s="28">
        <f t="shared" si="399"/>
        <v>46190</v>
      </c>
      <c r="G1448" s="28">
        <f t="shared" si="400"/>
        <v>46196</v>
      </c>
      <c r="H1448" s="28">
        <f t="shared" si="401"/>
        <v>46184</v>
      </c>
      <c r="I1448" s="28">
        <f t="shared" si="402"/>
        <v>46191</v>
      </c>
      <c r="J1448" s="28">
        <v>46200</v>
      </c>
      <c r="K1448" s="1">
        <f t="shared" si="403"/>
        <v>24</v>
      </c>
      <c r="L1448" s="1">
        <v>14.2</v>
      </c>
      <c r="M1448" s="1">
        <v>12.4</v>
      </c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VLOOKUP(B1449,'[8]Migrasi Bed'!$B$4:$E$521,4,0)</f>
        <v>SV.B024</v>
      </c>
      <c r="D1449" s="28">
        <f t="shared" si="397"/>
        <v>46199</v>
      </c>
      <c r="E1449" s="28">
        <f t="shared" si="398"/>
        <v>46183</v>
      </c>
      <c r="F1449" s="28">
        <f t="shared" si="399"/>
        <v>46190</v>
      </c>
      <c r="G1449" s="28">
        <f t="shared" si="400"/>
        <v>46196</v>
      </c>
      <c r="H1449" s="28">
        <f t="shared" si="401"/>
        <v>46184</v>
      </c>
      <c r="I1449" s="28">
        <f t="shared" si="402"/>
        <v>46191</v>
      </c>
      <c r="J1449" s="28">
        <v>46202</v>
      </c>
      <c r="K1449" s="1">
        <f t="shared" si="403"/>
        <v>26</v>
      </c>
      <c r="L1449" s="1">
        <v>16.2</v>
      </c>
      <c r="M1449" s="1">
        <v>14.3</v>
      </c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VLOOKUP(B1450,'[8]Migrasi Bed'!$B$4:$E$521,4,0)</f>
        <v>SV.B025</v>
      </c>
      <c r="D1450" s="28">
        <f t="shared" si="397"/>
        <v>46199</v>
      </c>
      <c r="E1450" s="28">
        <f t="shared" si="398"/>
        <v>46183</v>
      </c>
      <c r="F1450" s="28">
        <f t="shared" si="399"/>
        <v>46190</v>
      </c>
      <c r="G1450" s="28">
        <f t="shared" si="400"/>
        <v>46196</v>
      </c>
      <c r="H1450" s="28">
        <f t="shared" si="401"/>
        <v>46184</v>
      </c>
      <c r="I1450" s="28">
        <f t="shared" si="402"/>
        <v>46191</v>
      </c>
      <c r="J1450" s="28">
        <v>46202</v>
      </c>
      <c r="K1450" s="1">
        <f t="shared" si="403"/>
        <v>26</v>
      </c>
      <c r="L1450" s="1">
        <v>14.4</v>
      </c>
      <c r="M1450" s="1">
        <v>12.7</v>
      </c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VLOOKUP(B1451,'[8]Migrasi Bed'!$B$4:$E$521,4,0)</f>
        <v>SV.B026</v>
      </c>
      <c r="D1451" s="28">
        <f t="shared" si="397"/>
        <v>46199</v>
      </c>
      <c r="E1451" s="28">
        <f t="shared" si="398"/>
        <v>46183</v>
      </c>
      <c r="F1451" s="28">
        <f t="shared" si="399"/>
        <v>46190</v>
      </c>
      <c r="G1451" s="28">
        <f t="shared" si="400"/>
        <v>46196</v>
      </c>
      <c r="H1451" s="28">
        <f t="shared" si="401"/>
        <v>46184</v>
      </c>
      <c r="I1451" s="28">
        <f t="shared" si="402"/>
        <v>46191</v>
      </c>
      <c r="J1451" s="28">
        <v>46202</v>
      </c>
      <c r="K1451" s="1">
        <f t="shared" si="403"/>
        <v>26</v>
      </c>
      <c r="L1451" s="1">
        <v>16.100000000000001</v>
      </c>
      <c r="M1451" s="1">
        <v>14</v>
      </c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261</v>
      </c>
      <c r="C1452" s="1" t="str">
        <f>VLOOKUP(B1452,'[8]Migrasi Bed'!$B$4:$E$521,4,0)</f>
        <v>SV.B028</v>
      </c>
      <c r="D1452" s="28">
        <f t="shared" si="397"/>
        <v>46199</v>
      </c>
      <c r="E1452" s="28">
        <f t="shared" si="398"/>
        <v>46183</v>
      </c>
      <c r="F1452" s="28">
        <f t="shared" si="399"/>
        <v>46190</v>
      </c>
      <c r="G1452" s="28">
        <f t="shared" si="400"/>
        <v>46196</v>
      </c>
      <c r="H1452" s="28">
        <f t="shared" si="401"/>
        <v>46184</v>
      </c>
      <c r="I1452" s="28">
        <f t="shared" si="402"/>
        <v>46191</v>
      </c>
      <c r="J1452" s="28">
        <v>46202</v>
      </c>
      <c r="K1452" s="1">
        <f t="shared" si="403"/>
        <v>26</v>
      </c>
      <c r="L1452" s="1">
        <v>13.4</v>
      </c>
      <c r="M1452" s="1">
        <v>11.3</v>
      </c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262</v>
      </c>
      <c r="C1453" s="1" t="str">
        <f>VLOOKUP(B1453,'[8]Migrasi Bed'!$B$4:$E$521,4,0)</f>
        <v>SV.B029</v>
      </c>
      <c r="D1453" s="28">
        <f t="shared" si="397"/>
        <v>46199</v>
      </c>
      <c r="E1453" s="28">
        <f t="shared" si="398"/>
        <v>46183</v>
      </c>
      <c r="F1453" s="28">
        <f t="shared" si="399"/>
        <v>46190</v>
      </c>
      <c r="G1453" s="28">
        <f t="shared" si="400"/>
        <v>46196</v>
      </c>
      <c r="H1453" s="28">
        <f t="shared" si="401"/>
        <v>46184</v>
      </c>
      <c r="I1453" s="28">
        <f t="shared" si="402"/>
        <v>46191</v>
      </c>
      <c r="J1453" s="28">
        <v>46202</v>
      </c>
      <c r="K1453" s="1">
        <f t="shared" si="403"/>
        <v>26</v>
      </c>
      <c r="L1453" s="1">
        <v>14.1</v>
      </c>
      <c r="M1453" s="1">
        <v>12</v>
      </c>
      <c r="N1453" s="1">
        <v>0</v>
      </c>
      <c r="O1453" s="1" t="s">
        <v>379</v>
      </c>
    </row>
    <row r="1454" spans="1:15" x14ac:dyDescent="0.25">
      <c r="A1454" s="28">
        <v>46176</v>
      </c>
      <c r="B1454" s="1" t="s">
        <v>263</v>
      </c>
      <c r="C1454" s="1" t="str">
        <f>VLOOKUP(B1454,'[8]Migrasi Bed'!$B$4:$E$521,4,0)</f>
        <v>SV.B030</v>
      </c>
      <c r="D1454" s="28">
        <f t="shared" si="397"/>
        <v>46199</v>
      </c>
      <c r="E1454" s="28">
        <f t="shared" si="398"/>
        <v>46183</v>
      </c>
      <c r="F1454" s="28">
        <f t="shared" si="399"/>
        <v>46190</v>
      </c>
      <c r="G1454" s="28">
        <f t="shared" si="400"/>
        <v>46196</v>
      </c>
      <c r="H1454" s="28">
        <f t="shared" si="401"/>
        <v>46184</v>
      </c>
      <c r="I1454" s="28">
        <f t="shared" si="402"/>
        <v>46191</v>
      </c>
      <c r="J1454" s="28">
        <v>46201</v>
      </c>
      <c r="K1454" s="1">
        <v>26</v>
      </c>
      <c r="L1454" s="1">
        <v>16.8</v>
      </c>
      <c r="M1454" s="1">
        <v>14.9</v>
      </c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220</v>
      </c>
      <c r="C1455" s="1" t="str">
        <f>VLOOKUP(B1455,'[8]Migrasi Bed'!$B$4:$E$521,4,0)</f>
        <v>SV.A017</v>
      </c>
      <c r="D1455" s="28">
        <f t="shared" si="397"/>
        <v>46201</v>
      </c>
      <c r="E1455" s="28">
        <f t="shared" si="398"/>
        <v>46185</v>
      </c>
      <c r="F1455" s="28">
        <f t="shared" si="399"/>
        <v>46192</v>
      </c>
      <c r="G1455" s="28">
        <f t="shared" si="400"/>
        <v>46198</v>
      </c>
      <c r="H1455" s="28">
        <f t="shared" si="401"/>
        <v>46186</v>
      </c>
      <c r="I1455" s="28">
        <f t="shared" si="402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221</v>
      </c>
      <c r="C1456" s="1" t="str">
        <f>VLOOKUP(B1456,'[8]Migrasi Bed'!$B$4:$E$521,4,0)</f>
        <v>SV.A018</v>
      </c>
      <c r="D1456" s="28">
        <f t="shared" si="397"/>
        <v>46201</v>
      </c>
      <c r="E1456" s="28">
        <f t="shared" si="398"/>
        <v>46185</v>
      </c>
      <c r="F1456" s="28">
        <f t="shared" si="399"/>
        <v>46192</v>
      </c>
      <c r="G1456" s="28">
        <f t="shared" si="400"/>
        <v>46198</v>
      </c>
      <c r="H1456" s="28">
        <f t="shared" si="401"/>
        <v>46186</v>
      </c>
      <c r="I1456" s="28">
        <f t="shared" si="402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222</v>
      </c>
      <c r="C1457" s="1" t="str">
        <f>VLOOKUP(B1457,'[8]Migrasi Bed'!$B$4:$E$521,4,0)</f>
        <v>SV.A019</v>
      </c>
      <c r="D1457" s="28">
        <f t="shared" si="397"/>
        <v>46201</v>
      </c>
      <c r="E1457" s="28">
        <f t="shared" si="398"/>
        <v>46185</v>
      </c>
      <c r="F1457" s="28">
        <f t="shared" si="399"/>
        <v>46192</v>
      </c>
      <c r="G1457" s="28">
        <f t="shared" si="400"/>
        <v>46198</v>
      </c>
      <c r="H1457" s="28">
        <f t="shared" si="401"/>
        <v>46186</v>
      </c>
      <c r="I1457" s="28">
        <f t="shared" si="402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223</v>
      </c>
      <c r="C1458" s="1" t="str">
        <f>VLOOKUP(B1458,'[8]Migrasi Bed'!$B$4:$E$521,4,0)</f>
        <v>SV.A020</v>
      </c>
      <c r="D1458" s="28">
        <f t="shared" si="397"/>
        <v>46201</v>
      </c>
      <c r="E1458" s="28">
        <f t="shared" si="398"/>
        <v>46185</v>
      </c>
      <c r="F1458" s="28">
        <f t="shared" si="399"/>
        <v>46192</v>
      </c>
      <c r="G1458" s="28">
        <f t="shared" si="400"/>
        <v>46198</v>
      </c>
      <c r="H1458" s="28">
        <f t="shared" si="401"/>
        <v>46186</v>
      </c>
      <c r="I1458" s="28">
        <f t="shared" si="402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224</v>
      </c>
      <c r="C1459" s="1" t="str">
        <f>VLOOKUP(B1459,'[8]Migrasi Bed'!$B$4:$E$521,4,0)</f>
        <v>SV.A021</v>
      </c>
      <c r="D1459" s="28">
        <f t="shared" si="397"/>
        <v>46201</v>
      </c>
      <c r="E1459" s="28">
        <f t="shared" si="398"/>
        <v>46185</v>
      </c>
      <c r="F1459" s="28">
        <f t="shared" si="399"/>
        <v>46192</v>
      </c>
      <c r="G1459" s="28">
        <f t="shared" si="400"/>
        <v>46198</v>
      </c>
      <c r="H1459" s="28">
        <f t="shared" si="401"/>
        <v>46186</v>
      </c>
      <c r="I1459" s="28">
        <f t="shared" si="402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225</v>
      </c>
      <c r="C1460" s="1" t="str">
        <f>VLOOKUP(B1460,'[8]Migrasi Bed'!$B$4:$E$521,4,0)</f>
        <v>SV.A022</v>
      </c>
      <c r="D1460" s="28">
        <f t="shared" si="397"/>
        <v>46201</v>
      </c>
      <c r="E1460" s="28">
        <f t="shared" si="398"/>
        <v>46185</v>
      </c>
      <c r="F1460" s="28">
        <f t="shared" si="399"/>
        <v>46192</v>
      </c>
      <c r="G1460" s="28">
        <f t="shared" si="400"/>
        <v>46198</v>
      </c>
      <c r="H1460" s="28">
        <f t="shared" si="401"/>
        <v>46186</v>
      </c>
      <c r="I1460" s="28">
        <f t="shared" si="402"/>
        <v>46193</v>
      </c>
      <c r="J1460" s="28">
        <v>46202</v>
      </c>
      <c r="K1460" s="1">
        <f t="shared" ref="K1460:K1461" si="404">J1460-A1460</f>
        <v>24</v>
      </c>
      <c r="L1460" s="1">
        <v>15.3</v>
      </c>
      <c r="M1460" s="1">
        <v>13.4</v>
      </c>
      <c r="N1460" s="1">
        <v>0</v>
      </c>
      <c r="O1460" s="1" t="s">
        <v>379</v>
      </c>
    </row>
    <row r="1461" spans="1:15" x14ac:dyDescent="0.25">
      <c r="A1461" s="28">
        <v>46178</v>
      </c>
      <c r="B1461" s="1" t="s">
        <v>226</v>
      </c>
      <c r="C1461" s="1" t="str">
        <f>VLOOKUP(B1461,'[8]Migrasi Bed'!$B$4:$E$521,4,0)</f>
        <v>SV.A023</v>
      </c>
      <c r="D1461" s="28">
        <f t="shared" si="397"/>
        <v>46201</v>
      </c>
      <c r="E1461" s="28">
        <f t="shared" si="398"/>
        <v>46185</v>
      </c>
      <c r="F1461" s="28">
        <f t="shared" si="399"/>
        <v>46192</v>
      </c>
      <c r="G1461" s="28">
        <f t="shared" si="400"/>
        <v>46198</v>
      </c>
      <c r="H1461" s="28">
        <f t="shared" si="401"/>
        <v>46186</v>
      </c>
      <c r="I1461" s="28">
        <f t="shared" si="402"/>
        <v>46193</v>
      </c>
      <c r="J1461" s="28">
        <v>46202</v>
      </c>
      <c r="K1461" s="1">
        <f t="shared" si="404"/>
        <v>24</v>
      </c>
      <c r="L1461" s="1">
        <v>15.1</v>
      </c>
      <c r="M1461" s="1">
        <v>13.5</v>
      </c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250</v>
      </c>
      <c r="C1462" s="1" t="str">
        <f>VLOOKUP(B1462,'[8]Migrasi Bed'!$B$4:$E$521,4,0)</f>
        <v>SV.B017</v>
      </c>
      <c r="D1462" s="28">
        <f t="shared" si="397"/>
        <v>46202</v>
      </c>
      <c r="E1462" s="28">
        <f t="shared" si="398"/>
        <v>46186</v>
      </c>
      <c r="F1462" s="28">
        <f t="shared" si="399"/>
        <v>46193</v>
      </c>
      <c r="G1462" s="28">
        <f t="shared" si="400"/>
        <v>46199</v>
      </c>
      <c r="H1462" s="28">
        <f t="shared" si="401"/>
        <v>46187</v>
      </c>
      <c r="I1462" s="28">
        <f t="shared" si="402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251</v>
      </c>
      <c r="C1463" s="1" t="str">
        <f>VLOOKUP(B1463,'[8]Migrasi Bed'!$B$4:$E$521,4,0)</f>
        <v>SV.B018</v>
      </c>
      <c r="D1463" s="28">
        <f t="shared" si="397"/>
        <v>46202</v>
      </c>
      <c r="E1463" s="28">
        <f t="shared" si="398"/>
        <v>46186</v>
      </c>
      <c r="F1463" s="28">
        <f t="shared" si="399"/>
        <v>46193</v>
      </c>
      <c r="G1463" s="28">
        <f t="shared" si="400"/>
        <v>46199</v>
      </c>
      <c r="H1463" s="28">
        <f t="shared" si="401"/>
        <v>46187</v>
      </c>
      <c r="I1463" s="28">
        <f t="shared" si="402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252</v>
      </c>
      <c r="C1464" s="1" t="str">
        <f>VLOOKUP(B1464,'[8]Migrasi Bed'!$B$4:$E$521,4,0)</f>
        <v>SV.B019</v>
      </c>
      <c r="D1464" s="28">
        <f t="shared" si="397"/>
        <v>46202</v>
      </c>
      <c r="E1464" s="28">
        <f t="shared" si="398"/>
        <v>46186</v>
      </c>
      <c r="F1464" s="28">
        <f t="shared" si="399"/>
        <v>46193</v>
      </c>
      <c r="G1464" s="28">
        <f t="shared" si="400"/>
        <v>46199</v>
      </c>
      <c r="H1464" s="28">
        <f t="shared" si="401"/>
        <v>46187</v>
      </c>
      <c r="I1464" s="28">
        <f t="shared" si="402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253</v>
      </c>
      <c r="C1465" s="1" t="str">
        <f>VLOOKUP(B1465,'[8]Migrasi Bed'!$B$4:$E$521,4,0)</f>
        <v>SV.B020</v>
      </c>
      <c r="D1465" s="28">
        <f t="shared" si="397"/>
        <v>46202</v>
      </c>
      <c r="E1465" s="28">
        <f t="shared" si="398"/>
        <v>46186</v>
      </c>
      <c r="F1465" s="28">
        <f t="shared" si="399"/>
        <v>46193</v>
      </c>
      <c r="G1465" s="28">
        <f t="shared" si="400"/>
        <v>46199</v>
      </c>
      <c r="H1465" s="28">
        <f t="shared" si="401"/>
        <v>46187</v>
      </c>
      <c r="I1465" s="28">
        <f t="shared" si="402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254</v>
      </c>
      <c r="C1466" s="1" t="str">
        <f>VLOOKUP(B1466,'[8]Migrasi Bed'!$B$4:$E$521,4,0)</f>
        <v>SV.B021</v>
      </c>
      <c r="D1466" s="28">
        <f t="shared" si="397"/>
        <v>46202</v>
      </c>
      <c r="E1466" s="28">
        <f t="shared" si="398"/>
        <v>46186</v>
      </c>
      <c r="F1466" s="28">
        <f t="shared" si="399"/>
        <v>46193</v>
      </c>
      <c r="G1466" s="28">
        <f t="shared" si="400"/>
        <v>46199</v>
      </c>
      <c r="H1466" s="28">
        <f t="shared" si="401"/>
        <v>46187</v>
      </c>
      <c r="I1466" s="28">
        <f t="shared" si="402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255</v>
      </c>
      <c r="C1467" s="1" t="str">
        <f>VLOOKUP(B1467,'[8]Migrasi Bed'!$B$4:$E$521,4,0)</f>
        <v>SV.B022</v>
      </c>
      <c r="D1467" s="28">
        <f t="shared" si="397"/>
        <v>46202</v>
      </c>
      <c r="E1467" s="28">
        <f t="shared" si="398"/>
        <v>46186</v>
      </c>
      <c r="F1467" s="28">
        <f t="shared" si="399"/>
        <v>46193</v>
      </c>
      <c r="G1467" s="28">
        <f t="shared" si="400"/>
        <v>46199</v>
      </c>
      <c r="H1467" s="28">
        <f t="shared" si="401"/>
        <v>46187</v>
      </c>
      <c r="I1467" s="28">
        <f t="shared" si="402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46179</v>
      </c>
      <c r="B1468" s="1" t="s">
        <v>256</v>
      </c>
      <c r="C1468" s="1" t="str">
        <f>VLOOKUP(B1468,'[8]Migrasi Bed'!$B$4:$E$521,4,0)</f>
        <v>SV.B023</v>
      </c>
      <c r="D1468" s="28">
        <f t="shared" si="397"/>
        <v>46202</v>
      </c>
      <c r="E1468" s="28">
        <f t="shared" si="398"/>
        <v>46186</v>
      </c>
      <c r="F1468" s="28">
        <f t="shared" si="399"/>
        <v>46193</v>
      </c>
      <c r="G1468" s="28">
        <f t="shared" si="400"/>
        <v>46199</v>
      </c>
      <c r="H1468" s="28">
        <f t="shared" si="401"/>
        <v>46187</v>
      </c>
      <c r="I1468" s="28">
        <f t="shared" si="402"/>
        <v>46194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213</v>
      </c>
      <c r="C1469" s="1" t="str">
        <f>VLOOKUP(B1469,'[8]Migrasi Bed'!$B$4:$E$521,4,0)</f>
        <v>SV.A010</v>
      </c>
      <c r="D1469" s="28">
        <f t="shared" si="397"/>
        <v>46204</v>
      </c>
      <c r="E1469" s="28">
        <f t="shared" si="398"/>
        <v>46188</v>
      </c>
      <c r="F1469" s="28">
        <f t="shared" si="399"/>
        <v>46195</v>
      </c>
      <c r="G1469" s="28">
        <f t="shared" si="400"/>
        <v>46201</v>
      </c>
      <c r="H1469" s="28">
        <f t="shared" si="401"/>
        <v>46189</v>
      </c>
      <c r="I1469" s="28">
        <f t="shared" si="402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214</v>
      </c>
      <c r="C1470" s="1" t="str">
        <f>VLOOKUP(B1470,'[8]Migrasi Bed'!$B$4:$E$521,4,0)</f>
        <v>SV.A011</v>
      </c>
      <c r="D1470" s="28">
        <f t="shared" si="397"/>
        <v>46204</v>
      </c>
      <c r="E1470" s="28">
        <f t="shared" si="398"/>
        <v>46188</v>
      </c>
      <c r="F1470" s="28">
        <f t="shared" si="399"/>
        <v>46195</v>
      </c>
      <c r="G1470" s="28">
        <f t="shared" si="400"/>
        <v>46201</v>
      </c>
      <c r="H1470" s="28">
        <f t="shared" si="401"/>
        <v>46189</v>
      </c>
      <c r="I1470" s="28">
        <f t="shared" si="402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215</v>
      </c>
      <c r="C1471" s="1" t="str">
        <f>VLOOKUP(B1471,'[8]Migrasi Bed'!$B$4:$E$521,4,0)</f>
        <v>SV.A012</v>
      </c>
      <c r="D1471" s="28">
        <f t="shared" si="397"/>
        <v>46204</v>
      </c>
      <c r="E1471" s="28">
        <f t="shared" si="398"/>
        <v>46188</v>
      </c>
      <c r="F1471" s="28">
        <f t="shared" si="399"/>
        <v>46195</v>
      </c>
      <c r="G1471" s="28">
        <f t="shared" si="400"/>
        <v>46201</v>
      </c>
      <c r="H1471" s="28">
        <f t="shared" si="401"/>
        <v>46189</v>
      </c>
      <c r="I1471" s="28">
        <f t="shared" si="402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216</v>
      </c>
      <c r="C1472" s="1" t="str">
        <f>VLOOKUP(B1472,'[8]Migrasi Bed'!$B$4:$E$521,4,0)</f>
        <v>SV.A013</v>
      </c>
      <c r="D1472" s="28">
        <f t="shared" si="397"/>
        <v>46204</v>
      </c>
      <c r="E1472" s="28">
        <f t="shared" si="398"/>
        <v>46188</v>
      </c>
      <c r="F1472" s="28">
        <f t="shared" si="399"/>
        <v>46195</v>
      </c>
      <c r="G1472" s="28">
        <f t="shared" si="400"/>
        <v>46201</v>
      </c>
      <c r="H1472" s="28">
        <f t="shared" si="401"/>
        <v>46189</v>
      </c>
      <c r="I1472" s="28">
        <f t="shared" si="402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217</v>
      </c>
      <c r="C1473" s="1" t="str">
        <f>VLOOKUP(B1473,'[8]Migrasi Bed'!$B$4:$E$521,4,0)</f>
        <v>SV.A014</v>
      </c>
      <c r="D1473" s="28">
        <f t="shared" si="397"/>
        <v>46204</v>
      </c>
      <c r="E1473" s="28">
        <f t="shared" si="398"/>
        <v>46188</v>
      </c>
      <c r="F1473" s="28">
        <f t="shared" si="399"/>
        <v>46195</v>
      </c>
      <c r="G1473" s="28">
        <f t="shared" si="400"/>
        <v>46201</v>
      </c>
      <c r="H1473" s="28">
        <f t="shared" si="401"/>
        <v>46189</v>
      </c>
      <c r="I1473" s="28">
        <f t="shared" si="402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218</v>
      </c>
      <c r="C1474" s="1" t="str">
        <f>VLOOKUP(B1474,'[8]Migrasi Bed'!$B$4:$E$521,4,0)</f>
        <v>SV.A015</v>
      </c>
      <c r="D1474" s="28">
        <f t="shared" si="397"/>
        <v>46204</v>
      </c>
      <c r="E1474" s="28">
        <f t="shared" si="398"/>
        <v>46188</v>
      </c>
      <c r="F1474" s="28">
        <f t="shared" si="399"/>
        <v>46195</v>
      </c>
      <c r="G1474" s="28">
        <f t="shared" si="400"/>
        <v>46201</v>
      </c>
      <c r="H1474" s="28">
        <f t="shared" si="401"/>
        <v>46189</v>
      </c>
      <c r="I1474" s="28">
        <f t="shared" si="402"/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46181</v>
      </c>
      <c r="B1475" s="1" t="s">
        <v>219</v>
      </c>
      <c r="C1475" s="1" t="str">
        <f>VLOOKUP(B1475,'[8]Migrasi Bed'!$B$4:$E$521,4,0)</f>
        <v>SV.A016</v>
      </c>
      <c r="D1475" s="28">
        <f t="shared" si="397"/>
        <v>46204</v>
      </c>
      <c r="E1475" s="28">
        <f t="shared" si="398"/>
        <v>46188</v>
      </c>
      <c r="F1475" s="28">
        <f t="shared" si="399"/>
        <v>46195</v>
      </c>
      <c r="G1475" s="28">
        <f t="shared" si="400"/>
        <v>46201</v>
      </c>
      <c r="H1475" s="28">
        <f t="shared" si="401"/>
        <v>46189</v>
      </c>
      <c r="I1475" s="28">
        <f t="shared" si="402"/>
        <v>46196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243</v>
      </c>
      <c r="C1476" s="1" t="str">
        <f>VLOOKUP(B1476,'[8]Migrasi Bed'!$B$4:$E$521,4,0)</f>
        <v>SV.B010</v>
      </c>
      <c r="D1476" s="28">
        <f t="shared" si="397"/>
        <v>46205</v>
      </c>
      <c r="E1476" s="28">
        <f t="shared" si="398"/>
        <v>46189</v>
      </c>
      <c r="F1476" s="28">
        <f t="shared" si="399"/>
        <v>46196</v>
      </c>
      <c r="G1476" s="28">
        <f t="shared" si="400"/>
        <v>46202</v>
      </c>
      <c r="H1476" s="28">
        <f t="shared" si="401"/>
        <v>46190</v>
      </c>
      <c r="I1476" s="28">
        <f t="shared" si="402"/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244</v>
      </c>
      <c r="C1477" s="1" t="str">
        <f>VLOOKUP(B1477,'[8]Migrasi Bed'!$B$4:$E$521,4,0)</f>
        <v>SV.B011</v>
      </c>
      <c r="D1477" s="28">
        <f t="shared" si="397"/>
        <v>46205</v>
      </c>
      <c r="E1477" s="28">
        <f t="shared" si="398"/>
        <v>46189</v>
      </c>
      <c r="F1477" s="28">
        <f t="shared" si="399"/>
        <v>46196</v>
      </c>
      <c r="G1477" s="28">
        <f t="shared" si="400"/>
        <v>46202</v>
      </c>
      <c r="H1477" s="28">
        <f t="shared" si="401"/>
        <v>46190</v>
      </c>
      <c r="I1477" s="28">
        <f t="shared" si="402"/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245</v>
      </c>
      <c r="C1478" s="1" t="str">
        <f>VLOOKUP(B1478,'[8]Migrasi Bed'!$B$4:$E$521,4,0)</f>
        <v>SV.B012</v>
      </c>
      <c r="D1478" s="28">
        <f t="shared" si="397"/>
        <v>46205</v>
      </c>
      <c r="E1478" s="28">
        <f t="shared" si="398"/>
        <v>46189</v>
      </c>
      <c r="F1478" s="28">
        <f t="shared" si="399"/>
        <v>46196</v>
      </c>
      <c r="G1478" s="28">
        <f t="shared" si="400"/>
        <v>46202</v>
      </c>
      <c r="H1478" s="28">
        <f t="shared" si="401"/>
        <v>46190</v>
      </c>
      <c r="I1478" s="28">
        <f t="shared" si="402"/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246</v>
      </c>
      <c r="C1479" s="1" t="str">
        <f>VLOOKUP(B1479,'[8]Migrasi Bed'!$B$4:$E$521,4,0)</f>
        <v>SV.B013</v>
      </c>
      <c r="D1479" s="28">
        <f t="shared" si="397"/>
        <v>46205</v>
      </c>
      <c r="E1479" s="28">
        <f t="shared" si="398"/>
        <v>46189</v>
      </c>
      <c r="F1479" s="28">
        <f t="shared" si="399"/>
        <v>46196</v>
      </c>
      <c r="G1479" s="28">
        <f t="shared" si="400"/>
        <v>46202</v>
      </c>
      <c r="H1479" s="28">
        <f t="shared" si="401"/>
        <v>46190</v>
      </c>
      <c r="I1479" s="28">
        <f t="shared" si="402"/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247</v>
      </c>
      <c r="C1480" s="1" t="str">
        <f>VLOOKUP(B1480,'[8]Migrasi Bed'!$B$4:$E$521,4,0)</f>
        <v>SV.B014</v>
      </c>
      <c r="D1480" s="28">
        <f t="shared" si="397"/>
        <v>46205</v>
      </c>
      <c r="E1480" s="28">
        <f t="shared" si="398"/>
        <v>46189</v>
      </c>
      <c r="F1480" s="28">
        <f t="shared" si="399"/>
        <v>46196</v>
      </c>
      <c r="G1480" s="28">
        <f t="shared" si="400"/>
        <v>46202</v>
      </c>
      <c r="H1480" s="28">
        <f t="shared" si="401"/>
        <v>46190</v>
      </c>
      <c r="I1480" s="28">
        <f t="shared" si="402"/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248</v>
      </c>
      <c r="C1481" s="1" t="str">
        <f>VLOOKUP(B1481,'[8]Migrasi Bed'!$B$4:$E$521,4,0)</f>
        <v>SV.B015</v>
      </c>
      <c r="D1481" s="28">
        <f t="shared" si="397"/>
        <v>46205</v>
      </c>
      <c r="E1481" s="28">
        <f t="shared" si="398"/>
        <v>46189</v>
      </c>
      <c r="F1481" s="28">
        <f t="shared" si="399"/>
        <v>46196</v>
      </c>
      <c r="G1481" s="28">
        <f t="shared" si="400"/>
        <v>46202</v>
      </c>
      <c r="H1481" s="28">
        <f t="shared" si="401"/>
        <v>46190</v>
      </c>
      <c r="I1481" s="28">
        <f t="shared" si="402"/>
        <v>46197</v>
      </c>
      <c r="J1481" s="28"/>
      <c r="K1481" s="1"/>
      <c r="L1481" s="1"/>
      <c r="M1481" s="1"/>
      <c r="N1481" s="1">
        <v>0</v>
      </c>
      <c r="O1481" s="1" t="s">
        <v>379</v>
      </c>
    </row>
    <row r="1482" spans="1:15" x14ac:dyDescent="0.25">
      <c r="A1482" s="28">
        <v>46182</v>
      </c>
      <c r="B1482" s="1" t="s">
        <v>249</v>
      </c>
      <c r="C1482" s="1" t="str">
        <f>VLOOKUP(B1482,'[8]Migrasi Bed'!$B$4:$E$521,4,0)</f>
        <v>SV.B016</v>
      </c>
      <c r="D1482" s="28">
        <f t="shared" si="397"/>
        <v>46205</v>
      </c>
      <c r="E1482" s="28">
        <f t="shared" si="398"/>
        <v>46189</v>
      </c>
      <c r="F1482" s="28">
        <f t="shared" si="399"/>
        <v>46196</v>
      </c>
      <c r="G1482" s="28">
        <f t="shared" si="400"/>
        <v>46202</v>
      </c>
      <c r="H1482" s="28">
        <f t="shared" si="401"/>
        <v>46190</v>
      </c>
      <c r="I1482" s="28">
        <f t="shared" si="402"/>
        <v>46197</v>
      </c>
      <c r="J1482" s="28"/>
      <c r="K1482" s="1"/>
      <c r="L1482" s="1"/>
      <c r="M1482" s="1"/>
      <c r="N1482" s="1">
        <v>0</v>
      </c>
      <c r="O1482" s="1" t="s">
        <v>379</v>
      </c>
    </row>
    <row r="1483" spans="1:15" x14ac:dyDescent="0.25">
      <c r="A1483" s="28">
        <v>46183</v>
      </c>
      <c r="B1483" s="1" t="s">
        <v>206</v>
      </c>
      <c r="C1483" s="1" t="str">
        <f>VLOOKUP(B1483,'[8]Migrasi Bed'!$B$4:$E$521,4,0)</f>
        <v>SV.A003</v>
      </c>
      <c r="D1483" s="28">
        <f t="shared" si="397"/>
        <v>46206</v>
      </c>
      <c r="E1483" s="28">
        <f t="shared" si="398"/>
        <v>46190</v>
      </c>
      <c r="F1483" s="28">
        <f t="shared" si="399"/>
        <v>46197</v>
      </c>
      <c r="G1483" s="28">
        <f t="shared" si="400"/>
        <v>46203</v>
      </c>
      <c r="H1483" s="28">
        <f t="shared" si="401"/>
        <v>46191</v>
      </c>
      <c r="I1483" s="28">
        <f t="shared" si="402"/>
        <v>46198</v>
      </c>
      <c r="J1483" s="28"/>
      <c r="K1483" s="1"/>
      <c r="L1483" s="1"/>
      <c r="M1483" s="1"/>
      <c r="N1483" s="1">
        <v>0</v>
      </c>
      <c r="O1483" s="1" t="s">
        <v>379</v>
      </c>
    </row>
    <row r="1484" spans="1:15" x14ac:dyDescent="0.25">
      <c r="A1484" s="28">
        <v>46183</v>
      </c>
      <c r="B1484" s="1" t="s">
        <v>207</v>
      </c>
      <c r="C1484" s="1" t="str">
        <f>VLOOKUP(B1484,'[8]Migrasi Bed'!$B$4:$E$521,4,0)</f>
        <v>SV.A004</v>
      </c>
      <c r="D1484" s="28">
        <f t="shared" si="397"/>
        <v>46206</v>
      </c>
      <c r="E1484" s="28">
        <f t="shared" si="398"/>
        <v>46190</v>
      </c>
      <c r="F1484" s="28">
        <f t="shared" si="399"/>
        <v>46197</v>
      </c>
      <c r="G1484" s="28">
        <f t="shared" si="400"/>
        <v>46203</v>
      </c>
      <c r="H1484" s="28">
        <f t="shared" si="401"/>
        <v>46191</v>
      </c>
      <c r="I1484" s="28">
        <f t="shared" si="402"/>
        <v>46198</v>
      </c>
      <c r="J1484" s="28"/>
      <c r="K1484" s="1"/>
      <c r="L1484" s="1"/>
      <c r="M1484" s="1"/>
      <c r="N1484" s="1">
        <v>0</v>
      </c>
      <c r="O1484" s="1" t="s">
        <v>379</v>
      </c>
    </row>
    <row r="1485" spans="1:15" x14ac:dyDescent="0.25">
      <c r="A1485" s="28">
        <v>46183</v>
      </c>
      <c r="B1485" s="1" t="s">
        <v>208</v>
      </c>
      <c r="C1485" s="1" t="str">
        <f>VLOOKUP(B1485,'[8]Migrasi Bed'!$B$4:$E$521,4,0)</f>
        <v>SV.A005</v>
      </c>
      <c r="D1485" s="28">
        <f t="shared" si="397"/>
        <v>46206</v>
      </c>
      <c r="E1485" s="28">
        <f t="shared" si="398"/>
        <v>46190</v>
      </c>
      <c r="F1485" s="28">
        <f t="shared" si="399"/>
        <v>46197</v>
      </c>
      <c r="G1485" s="28">
        <f t="shared" si="400"/>
        <v>46203</v>
      </c>
      <c r="H1485" s="28">
        <f t="shared" si="401"/>
        <v>46191</v>
      </c>
      <c r="I1485" s="28">
        <f t="shared" si="402"/>
        <v>46198</v>
      </c>
      <c r="J1485" s="28"/>
      <c r="K1485" s="1"/>
      <c r="L1485" s="1"/>
      <c r="M1485" s="1"/>
      <c r="N1485" s="1">
        <v>0</v>
      </c>
      <c r="O1485" s="1" t="s">
        <v>379</v>
      </c>
    </row>
    <row r="1486" spans="1:15" x14ac:dyDescent="0.25">
      <c r="A1486" s="28">
        <v>46183</v>
      </c>
      <c r="B1486" s="1" t="s">
        <v>209</v>
      </c>
      <c r="C1486" s="1" t="str">
        <f>VLOOKUP(B1486,'[8]Migrasi Bed'!$B$4:$E$521,4,0)</f>
        <v>SV.A006</v>
      </c>
      <c r="D1486" s="28">
        <f t="shared" si="397"/>
        <v>46206</v>
      </c>
      <c r="E1486" s="28">
        <f t="shared" si="398"/>
        <v>46190</v>
      </c>
      <c r="F1486" s="28">
        <f t="shared" si="399"/>
        <v>46197</v>
      </c>
      <c r="G1486" s="28">
        <f t="shared" si="400"/>
        <v>46203</v>
      </c>
      <c r="H1486" s="28">
        <f t="shared" si="401"/>
        <v>46191</v>
      </c>
      <c r="I1486" s="28">
        <f t="shared" si="402"/>
        <v>46198</v>
      </c>
      <c r="J1486" s="28"/>
      <c r="K1486" s="1"/>
      <c r="L1486" s="1"/>
      <c r="M1486" s="1"/>
      <c r="N1486" s="1">
        <v>0</v>
      </c>
      <c r="O1486" s="1" t="s">
        <v>379</v>
      </c>
    </row>
    <row r="1487" spans="1:15" x14ac:dyDescent="0.25">
      <c r="A1487" s="28">
        <v>46183</v>
      </c>
      <c r="B1487" s="1" t="s">
        <v>210</v>
      </c>
      <c r="C1487" s="1" t="str">
        <f>VLOOKUP(B1487,'[8]Migrasi Bed'!$B$4:$E$521,4,0)</f>
        <v>SV.A007</v>
      </c>
      <c r="D1487" s="28">
        <f t="shared" si="397"/>
        <v>46206</v>
      </c>
      <c r="E1487" s="28">
        <f t="shared" si="398"/>
        <v>46190</v>
      </c>
      <c r="F1487" s="28">
        <f t="shared" si="399"/>
        <v>46197</v>
      </c>
      <c r="G1487" s="28">
        <f t="shared" si="400"/>
        <v>46203</v>
      </c>
      <c r="H1487" s="28">
        <f t="shared" si="401"/>
        <v>46191</v>
      </c>
      <c r="I1487" s="28">
        <f t="shared" si="402"/>
        <v>46198</v>
      </c>
      <c r="J1487" s="28"/>
      <c r="K1487" s="1"/>
      <c r="L1487" s="1"/>
      <c r="M1487" s="1"/>
      <c r="N1487" s="1">
        <v>0</v>
      </c>
      <c r="O1487" s="1" t="s">
        <v>379</v>
      </c>
    </row>
    <row r="1488" spans="1:15" x14ac:dyDescent="0.25">
      <c r="A1488" s="28">
        <v>46183</v>
      </c>
      <c r="B1488" s="1" t="s">
        <v>211</v>
      </c>
      <c r="C1488" s="1" t="str">
        <f>VLOOKUP(B1488,'[8]Migrasi Bed'!$B$4:$E$521,4,0)</f>
        <v>SV.A008</v>
      </c>
      <c r="D1488" s="28">
        <f t="shared" si="397"/>
        <v>46206</v>
      </c>
      <c r="E1488" s="28">
        <f t="shared" si="398"/>
        <v>46190</v>
      </c>
      <c r="F1488" s="28">
        <f t="shared" si="399"/>
        <v>46197</v>
      </c>
      <c r="G1488" s="28">
        <f t="shared" si="400"/>
        <v>46203</v>
      </c>
      <c r="H1488" s="28">
        <f t="shared" si="401"/>
        <v>46191</v>
      </c>
      <c r="I1488" s="28">
        <f t="shared" si="402"/>
        <v>46198</v>
      </c>
      <c r="J1488" s="28"/>
      <c r="K1488" s="1"/>
      <c r="L1488" s="1"/>
      <c r="M1488" s="1"/>
      <c r="N1488" s="1">
        <v>0</v>
      </c>
      <c r="O1488" s="1" t="s">
        <v>379</v>
      </c>
    </row>
    <row r="1489" spans="1:15" x14ac:dyDescent="0.25">
      <c r="A1489" s="28">
        <v>46183</v>
      </c>
      <c r="B1489" s="1" t="s">
        <v>212</v>
      </c>
      <c r="C1489" s="1" t="str">
        <f>VLOOKUP(B1489,'[8]Migrasi Bed'!$B$4:$E$521,4,0)</f>
        <v>SV.A009</v>
      </c>
      <c r="D1489" s="28">
        <f t="shared" si="397"/>
        <v>46206</v>
      </c>
      <c r="E1489" s="28">
        <f t="shared" si="398"/>
        <v>46190</v>
      </c>
      <c r="F1489" s="28">
        <f t="shared" si="399"/>
        <v>46197</v>
      </c>
      <c r="G1489" s="28">
        <f t="shared" si="400"/>
        <v>46203</v>
      </c>
      <c r="H1489" s="28">
        <f t="shared" si="401"/>
        <v>46191</v>
      </c>
      <c r="I1489" s="28">
        <f t="shared" si="402"/>
        <v>46198</v>
      </c>
      <c r="J1489" s="28"/>
      <c r="K1489" s="1"/>
      <c r="L1489" s="1"/>
      <c r="M1489" s="1"/>
      <c r="N1489" s="1">
        <v>0</v>
      </c>
      <c r="O1489" s="1" t="s">
        <v>379</v>
      </c>
    </row>
    <row r="1490" spans="1:15" x14ac:dyDescent="0.25">
      <c r="A1490" s="28">
        <v>46184</v>
      </c>
      <c r="B1490" s="1" t="s">
        <v>236</v>
      </c>
      <c r="C1490" s="1" t="str">
        <f>VLOOKUP(B1490,'[8]Migrasi Bed'!$B$4:$E$521,4,0)</f>
        <v>SV.B003</v>
      </c>
      <c r="D1490" s="28">
        <f t="shared" si="397"/>
        <v>46207</v>
      </c>
      <c r="E1490" s="28">
        <f t="shared" si="398"/>
        <v>46191</v>
      </c>
      <c r="F1490" s="28">
        <f t="shared" si="399"/>
        <v>46198</v>
      </c>
      <c r="G1490" s="28">
        <f t="shared" si="400"/>
        <v>46204</v>
      </c>
      <c r="H1490" s="28">
        <f t="shared" si="401"/>
        <v>46192</v>
      </c>
      <c r="I1490" s="28">
        <f t="shared" si="402"/>
        <v>46199</v>
      </c>
      <c r="J1490" s="28"/>
      <c r="K1490" s="1"/>
      <c r="L1490" s="1"/>
      <c r="M1490" s="1"/>
      <c r="N1490" s="1">
        <v>0</v>
      </c>
      <c r="O1490" s="1" t="s">
        <v>379</v>
      </c>
    </row>
    <row r="1491" spans="1:15" x14ac:dyDescent="0.25">
      <c r="A1491" s="28">
        <v>46184</v>
      </c>
      <c r="B1491" s="1" t="s">
        <v>237</v>
      </c>
      <c r="C1491" s="1" t="str">
        <f>VLOOKUP(B1491,'[8]Migrasi Bed'!$B$4:$E$521,4,0)</f>
        <v>SV.B004</v>
      </c>
      <c r="D1491" s="28">
        <f t="shared" si="397"/>
        <v>46207</v>
      </c>
      <c r="E1491" s="28">
        <f t="shared" si="398"/>
        <v>46191</v>
      </c>
      <c r="F1491" s="28">
        <f t="shared" si="399"/>
        <v>46198</v>
      </c>
      <c r="G1491" s="28">
        <f t="shared" si="400"/>
        <v>46204</v>
      </c>
      <c r="H1491" s="28">
        <f t="shared" si="401"/>
        <v>46192</v>
      </c>
      <c r="I1491" s="28">
        <f t="shared" si="402"/>
        <v>46199</v>
      </c>
      <c r="J1491" s="28"/>
      <c r="K1491" s="1"/>
      <c r="L1491" s="1"/>
      <c r="M1491" s="1"/>
      <c r="N1491" s="1">
        <v>0</v>
      </c>
      <c r="O1491" s="1" t="s">
        <v>379</v>
      </c>
    </row>
    <row r="1492" spans="1:15" x14ac:dyDescent="0.25">
      <c r="A1492" s="28">
        <v>46184</v>
      </c>
      <c r="B1492" s="1" t="s">
        <v>238</v>
      </c>
      <c r="C1492" s="1" t="str">
        <f>VLOOKUP(B1492,'[8]Migrasi Bed'!$B$4:$E$521,4,0)</f>
        <v>SV.B005</v>
      </c>
      <c r="D1492" s="28">
        <f t="shared" si="397"/>
        <v>46207</v>
      </c>
      <c r="E1492" s="28">
        <f t="shared" si="398"/>
        <v>46191</v>
      </c>
      <c r="F1492" s="28">
        <f t="shared" si="399"/>
        <v>46198</v>
      </c>
      <c r="G1492" s="28">
        <f t="shared" si="400"/>
        <v>46204</v>
      </c>
      <c r="H1492" s="28">
        <f t="shared" si="401"/>
        <v>46192</v>
      </c>
      <c r="I1492" s="28">
        <f t="shared" si="402"/>
        <v>46199</v>
      </c>
      <c r="J1492" s="28"/>
      <c r="K1492" s="1"/>
      <c r="L1492" s="1"/>
      <c r="M1492" s="1"/>
      <c r="N1492" s="1">
        <v>0</v>
      </c>
      <c r="O1492" s="1" t="s">
        <v>379</v>
      </c>
    </row>
    <row r="1493" spans="1:15" x14ac:dyDescent="0.25">
      <c r="A1493" s="28">
        <v>46184</v>
      </c>
      <c r="B1493" s="1" t="s">
        <v>239</v>
      </c>
      <c r="C1493" s="1" t="str">
        <f>VLOOKUP(B1493,'[8]Migrasi Bed'!$B$4:$E$521,4,0)</f>
        <v>SV.B006</v>
      </c>
      <c r="D1493" s="28">
        <f t="shared" si="397"/>
        <v>46207</v>
      </c>
      <c r="E1493" s="28">
        <f t="shared" si="398"/>
        <v>46191</v>
      </c>
      <c r="F1493" s="28">
        <f t="shared" si="399"/>
        <v>46198</v>
      </c>
      <c r="G1493" s="28">
        <f t="shared" si="400"/>
        <v>46204</v>
      </c>
      <c r="H1493" s="28">
        <f t="shared" si="401"/>
        <v>46192</v>
      </c>
      <c r="I1493" s="28">
        <f t="shared" si="402"/>
        <v>46199</v>
      </c>
      <c r="J1493" s="28"/>
      <c r="K1493" s="1"/>
      <c r="L1493" s="1"/>
      <c r="M1493" s="1"/>
      <c r="N1493" s="1">
        <v>0</v>
      </c>
      <c r="O1493" s="1" t="s">
        <v>379</v>
      </c>
    </row>
    <row r="1494" spans="1:15" x14ac:dyDescent="0.25">
      <c r="A1494" s="28">
        <v>46184</v>
      </c>
      <c r="B1494" s="1" t="s">
        <v>240</v>
      </c>
      <c r="C1494" s="1" t="str">
        <f>VLOOKUP(B1494,'[8]Migrasi Bed'!$B$4:$E$521,4,0)</f>
        <v>SV.B007</v>
      </c>
      <c r="D1494" s="28">
        <f t="shared" si="397"/>
        <v>46207</v>
      </c>
      <c r="E1494" s="28">
        <f t="shared" si="398"/>
        <v>46191</v>
      </c>
      <c r="F1494" s="28">
        <f t="shared" si="399"/>
        <v>46198</v>
      </c>
      <c r="G1494" s="28">
        <f t="shared" si="400"/>
        <v>46204</v>
      </c>
      <c r="H1494" s="28">
        <f t="shared" si="401"/>
        <v>46192</v>
      </c>
      <c r="I1494" s="28">
        <f t="shared" si="402"/>
        <v>46199</v>
      </c>
      <c r="J1494" s="28"/>
      <c r="K1494" s="1"/>
      <c r="L1494" s="1"/>
      <c r="M1494" s="1"/>
      <c r="N1494" s="1">
        <v>0</v>
      </c>
      <c r="O1494" s="1" t="s">
        <v>379</v>
      </c>
    </row>
    <row r="1495" spans="1:15" x14ac:dyDescent="0.25">
      <c r="A1495" s="28">
        <v>46184</v>
      </c>
      <c r="B1495" s="1" t="s">
        <v>241</v>
      </c>
      <c r="C1495" s="1" t="str">
        <f>VLOOKUP(B1495,'[8]Migrasi Bed'!$B$4:$E$521,4,0)</f>
        <v>SV.B008</v>
      </c>
      <c r="D1495" s="28">
        <f t="shared" si="397"/>
        <v>46207</v>
      </c>
      <c r="E1495" s="28">
        <f t="shared" si="398"/>
        <v>46191</v>
      </c>
      <c r="F1495" s="28">
        <f t="shared" si="399"/>
        <v>46198</v>
      </c>
      <c r="G1495" s="28">
        <f t="shared" si="400"/>
        <v>46204</v>
      </c>
      <c r="H1495" s="28">
        <f t="shared" si="401"/>
        <v>46192</v>
      </c>
      <c r="I1495" s="28">
        <f t="shared" si="402"/>
        <v>46199</v>
      </c>
      <c r="J1495" s="28"/>
      <c r="K1495" s="1"/>
      <c r="L1495" s="1"/>
      <c r="M1495" s="1"/>
      <c r="N1495" s="1">
        <v>0</v>
      </c>
      <c r="O1495" s="1" t="s">
        <v>379</v>
      </c>
    </row>
    <row r="1496" spans="1:15" x14ac:dyDescent="0.25">
      <c r="A1496" s="28">
        <v>46184</v>
      </c>
      <c r="B1496" s="1" t="s">
        <v>242</v>
      </c>
      <c r="C1496" s="1" t="str">
        <f>VLOOKUP(B1496,'[8]Migrasi Bed'!$B$4:$E$521,4,0)</f>
        <v>SV.B009</v>
      </c>
      <c r="D1496" s="28">
        <f t="shared" si="397"/>
        <v>46207</v>
      </c>
      <c r="E1496" s="28">
        <f t="shared" si="398"/>
        <v>46191</v>
      </c>
      <c r="F1496" s="28">
        <f t="shared" si="399"/>
        <v>46198</v>
      </c>
      <c r="G1496" s="28">
        <f t="shared" si="400"/>
        <v>46204</v>
      </c>
      <c r="H1496" s="28">
        <f t="shared" si="401"/>
        <v>46192</v>
      </c>
      <c r="I1496" s="28">
        <f t="shared" si="402"/>
        <v>46199</v>
      </c>
      <c r="J1496" s="28"/>
      <c r="K1496" s="1"/>
      <c r="L1496" s="1"/>
      <c r="M1496" s="1"/>
      <c r="N1496" s="1">
        <v>0</v>
      </c>
      <c r="O1496" s="1" t="s">
        <v>379</v>
      </c>
    </row>
    <row r="1497" spans="1:15" x14ac:dyDescent="0.25">
      <c r="A1497" s="71">
        <v>46185</v>
      </c>
      <c r="B1497" s="1" t="s">
        <v>204</v>
      </c>
      <c r="C1497" s="3" t="str">
        <f>VLOOKUP(B1497,'[7]Migrasi Bed'!$B$4:$E$521,4,0)</f>
        <v>SV.A001</v>
      </c>
      <c r="D1497" s="28">
        <f t="shared" si="397"/>
        <v>46208</v>
      </c>
      <c r="E1497" s="28">
        <f t="shared" si="398"/>
        <v>46192</v>
      </c>
      <c r="F1497" s="28">
        <f t="shared" si="399"/>
        <v>46199</v>
      </c>
      <c r="G1497" s="28">
        <f t="shared" si="400"/>
        <v>46205</v>
      </c>
      <c r="H1497" s="28">
        <f t="shared" si="401"/>
        <v>46193</v>
      </c>
      <c r="I1497" s="28">
        <f t="shared" si="402"/>
        <v>46200</v>
      </c>
      <c r="J1497" s="28"/>
      <c r="K1497" s="1"/>
      <c r="L1497" s="1"/>
      <c r="M1497" s="1"/>
      <c r="N1497" s="1">
        <v>0</v>
      </c>
      <c r="O1497" s="1" t="s">
        <v>379</v>
      </c>
    </row>
    <row r="1498" spans="1:15" x14ac:dyDescent="0.25">
      <c r="A1498" s="71">
        <v>46185</v>
      </c>
      <c r="B1498" s="1" t="s">
        <v>205</v>
      </c>
      <c r="C1498" s="3" t="str">
        <f>VLOOKUP(B1498,'[7]Migrasi Bed'!$B$4:$E$521,4,0)</f>
        <v>SV.A002</v>
      </c>
      <c r="D1498" s="28">
        <f t="shared" si="397"/>
        <v>46208</v>
      </c>
      <c r="E1498" s="28">
        <f t="shared" si="398"/>
        <v>46192</v>
      </c>
      <c r="F1498" s="28">
        <f t="shared" si="399"/>
        <v>46199</v>
      </c>
      <c r="G1498" s="28">
        <f t="shared" si="400"/>
        <v>46205</v>
      </c>
      <c r="H1498" s="28">
        <f t="shared" si="401"/>
        <v>46193</v>
      </c>
      <c r="I1498" s="28">
        <f t="shared" si="402"/>
        <v>46200</v>
      </c>
      <c r="J1498" s="28"/>
      <c r="K1498" s="1"/>
      <c r="L1498" s="1"/>
      <c r="M1498" s="1"/>
      <c r="N1498" s="1">
        <v>0</v>
      </c>
      <c r="O1498" s="1" t="s">
        <v>379</v>
      </c>
    </row>
    <row r="1499" spans="1:15" x14ac:dyDescent="0.25">
      <c r="A1499" s="71">
        <v>46185</v>
      </c>
      <c r="B1499" s="1" t="s">
        <v>234</v>
      </c>
      <c r="C1499" s="3" t="str">
        <f>VLOOKUP(B1499,'[7]Migrasi Bed'!$B$4:$E$521,4,0)</f>
        <v>SV.B001</v>
      </c>
      <c r="D1499" s="28">
        <f t="shared" si="397"/>
        <v>46208</v>
      </c>
      <c r="E1499" s="28">
        <f t="shared" si="398"/>
        <v>46192</v>
      </c>
      <c r="F1499" s="28">
        <f t="shared" si="399"/>
        <v>46199</v>
      </c>
      <c r="G1499" s="28">
        <f t="shared" si="400"/>
        <v>46205</v>
      </c>
      <c r="H1499" s="28">
        <f t="shared" si="401"/>
        <v>46193</v>
      </c>
      <c r="I1499" s="28">
        <f t="shared" si="402"/>
        <v>46200</v>
      </c>
      <c r="J1499" s="28"/>
      <c r="K1499" s="1"/>
      <c r="L1499" s="1"/>
      <c r="M1499" s="1"/>
      <c r="N1499" s="1">
        <v>0</v>
      </c>
      <c r="O1499" s="1" t="s">
        <v>379</v>
      </c>
    </row>
    <row r="1500" spans="1:15" x14ac:dyDescent="0.25">
      <c r="A1500" s="71">
        <v>46185</v>
      </c>
      <c r="B1500" s="1" t="s">
        <v>235</v>
      </c>
      <c r="C1500" s="3" t="str">
        <f>VLOOKUP(B1500,'[7]Migrasi Bed'!$B$4:$E$521,4,0)</f>
        <v>SV.B002</v>
      </c>
      <c r="D1500" s="28">
        <f t="shared" si="397"/>
        <v>46208</v>
      </c>
      <c r="E1500" s="28">
        <f t="shared" si="398"/>
        <v>46192</v>
      </c>
      <c r="F1500" s="28">
        <f t="shared" si="399"/>
        <v>46199</v>
      </c>
      <c r="G1500" s="28">
        <f t="shared" si="400"/>
        <v>46205</v>
      </c>
      <c r="H1500" s="28">
        <f t="shared" si="401"/>
        <v>46193</v>
      </c>
      <c r="I1500" s="28">
        <f t="shared" si="402"/>
        <v>46200</v>
      </c>
      <c r="J1500" s="28"/>
      <c r="K1500" s="1"/>
      <c r="L1500" s="1"/>
      <c r="M1500" s="1"/>
      <c r="N1500" s="1">
        <v>0</v>
      </c>
      <c r="O1500" s="1" t="s">
        <v>379</v>
      </c>
    </row>
    <row r="1501" spans="1:15" x14ac:dyDescent="0.25">
      <c r="A1501" s="71">
        <v>46185</v>
      </c>
      <c r="B1501" s="1" t="s">
        <v>391</v>
      </c>
      <c r="C1501" s="3" t="str">
        <f>VLOOKUP(B1501,'[7]Migrasi Bed'!$B$4:$E$521,4,0)</f>
        <v>SV.C003</v>
      </c>
      <c r="D1501" s="28">
        <f t="shared" si="397"/>
        <v>46208</v>
      </c>
      <c r="E1501" s="28">
        <f t="shared" si="398"/>
        <v>46192</v>
      </c>
      <c r="F1501" s="28">
        <f t="shared" si="399"/>
        <v>46199</v>
      </c>
      <c r="G1501" s="28">
        <f t="shared" si="400"/>
        <v>46205</v>
      </c>
      <c r="H1501" s="28">
        <f t="shared" si="401"/>
        <v>46193</v>
      </c>
      <c r="I1501" s="28">
        <f t="shared" si="402"/>
        <v>46200</v>
      </c>
      <c r="J1501" s="28"/>
      <c r="K1501" s="1"/>
      <c r="L1501" s="1"/>
      <c r="M1501" s="1"/>
      <c r="N1501" s="1">
        <v>0</v>
      </c>
      <c r="O1501" s="1" t="s">
        <v>379</v>
      </c>
    </row>
    <row r="1502" spans="1:15" x14ac:dyDescent="0.25">
      <c r="A1502" s="71">
        <v>46185</v>
      </c>
      <c r="B1502" s="1" t="s">
        <v>392</v>
      </c>
      <c r="C1502" s="3" t="str">
        <f>VLOOKUP(B1502,'[7]Migrasi Bed'!$B$4:$E$521,4,0)</f>
        <v>SV.C004</v>
      </c>
      <c r="D1502" s="28">
        <f t="shared" si="397"/>
        <v>46208</v>
      </c>
      <c r="E1502" s="28">
        <f t="shared" si="398"/>
        <v>46192</v>
      </c>
      <c r="F1502" s="28">
        <f t="shared" si="399"/>
        <v>46199</v>
      </c>
      <c r="G1502" s="28">
        <f t="shared" si="400"/>
        <v>46205</v>
      </c>
      <c r="H1502" s="28">
        <f t="shared" si="401"/>
        <v>46193</v>
      </c>
      <c r="I1502" s="28">
        <f t="shared" si="402"/>
        <v>46200</v>
      </c>
      <c r="J1502" s="28"/>
      <c r="K1502" s="1"/>
      <c r="L1502" s="1"/>
      <c r="M1502" s="1"/>
      <c r="N1502" s="1">
        <v>0</v>
      </c>
      <c r="O1502" s="1" t="s">
        <v>379</v>
      </c>
    </row>
    <row r="1503" spans="1:15" x14ac:dyDescent="0.25">
      <c r="A1503" s="71">
        <v>46185</v>
      </c>
      <c r="B1503" s="1" t="s">
        <v>266</v>
      </c>
      <c r="C1503" s="3" t="str">
        <f>VLOOKUP(B1503,'[7]Migrasi Bed'!$B$4:$E$521,4,0)</f>
        <v>SV.C006</v>
      </c>
      <c r="D1503" s="28">
        <f t="shared" si="397"/>
        <v>46208</v>
      </c>
      <c r="E1503" s="28">
        <f t="shared" si="398"/>
        <v>46192</v>
      </c>
      <c r="F1503" s="28">
        <f t="shared" si="399"/>
        <v>46199</v>
      </c>
      <c r="G1503" s="28">
        <f t="shared" si="400"/>
        <v>46205</v>
      </c>
      <c r="H1503" s="28">
        <f t="shared" si="401"/>
        <v>46193</v>
      </c>
      <c r="I1503" s="28">
        <f t="shared" si="402"/>
        <v>46200</v>
      </c>
      <c r="J1503" s="28"/>
      <c r="K1503" s="1"/>
      <c r="L1503" s="1"/>
      <c r="M1503" s="1"/>
      <c r="N1503" s="1">
        <v>0</v>
      </c>
      <c r="O1503" s="1" t="s">
        <v>379</v>
      </c>
    </row>
    <row r="1504" spans="1:15" x14ac:dyDescent="0.25">
      <c r="A1504" s="71">
        <v>46185</v>
      </c>
      <c r="B1504" s="1" t="s">
        <v>267</v>
      </c>
      <c r="C1504" s="3" t="str">
        <f>VLOOKUP(B1504,'[7]Migrasi Bed'!$B$4:$E$521,4,0)</f>
        <v>SV.C007</v>
      </c>
      <c r="D1504" s="28">
        <f t="shared" si="397"/>
        <v>46208</v>
      </c>
      <c r="E1504" s="28">
        <f t="shared" si="398"/>
        <v>46192</v>
      </c>
      <c r="F1504" s="28">
        <f t="shared" si="399"/>
        <v>46199</v>
      </c>
      <c r="G1504" s="28">
        <f t="shared" si="400"/>
        <v>46205</v>
      </c>
      <c r="H1504" s="28">
        <f t="shared" si="401"/>
        <v>46193</v>
      </c>
      <c r="I1504" s="28">
        <f t="shared" si="402"/>
        <v>46200</v>
      </c>
      <c r="J1504" s="28"/>
      <c r="K1504" s="1"/>
      <c r="L1504" s="1"/>
      <c r="M1504" s="1"/>
      <c r="N1504" s="1">
        <v>0</v>
      </c>
      <c r="O1504" s="1" t="s">
        <v>379</v>
      </c>
    </row>
    <row r="1505" spans="1:15" x14ac:dyDescent="0.25">
      <c r="A1505" s="71">
        <v>46186</v>
      </c>
      <c r="B1505" s="1" t="s">
        <v>268</v>
      </c>
      <c r="C1505" s="3" t="str">
        <f>VLOOKUP(B1505,'[7]Migrasi Bed'!$B$4:$E$521,4,0)</f>
        <v>ST.F001</v>
      </c>
      <c r="D1505" s="28">
        <f t="shared" si="397"/>
        <v>46209</v>
      </c>
      <c r="E1505" s="28">
        <f t="shared" si="398"/>
        <v>46193</v>
      </c>
      <c r="F1505" s="28">
        <f t="shared" si="399"/>
        <v>46200</v>
      </c>
      <c r="G1505" s="28">
        <f t="shared" si="400"/>
        <v>46206</v>
      </c>
      <c r="H1505" s="28">
        <f t="shared" si="401"/>
        <v>46194</v>
      </c>
      <c r="I1505" s="28">
        <f t="shared" si="402"/>
        <v>46201</v>
      </c>
      <c r="J1505" s="28"/>
      <c r="K1505" s="1"/>
      <c r="L1505" s="1"/>
      <c r="M1505" s="1"/>
      <c r="N1505" s="1">
        <v>0</v>
      </c>
      <c r="O1505" s="1" t="s">
        <v>379</v>
      </c>
    </row>
    <row r="1506" spans="1:15" x14ac:dyDescent="0.25">
      <c r="A1506" s="71">
        <v>46186</v>
      </c>
      <c r="B1506" s="1" t="s">
        <v>269</v>
      </c>
      <c r="C1506" s="3" t="str">
        <f>VLOOKUP(B1506,'[7]Migrasi Bed'!$B$4:$E$521,4,0)</f>
        <v>ST.F002</v>
      </c>
      <c r="D1506" s="28">
        <f t="shared" ref="D1506:D1569" si="405">A1506+23</f>
        <v>46209</v>
      </c>
      <c r="E1506" s="28">
        <f t="shared" ref="E1506:E1569" si="406">A1506+7</f>
        <v>46193</v>
      </c>
      <c r="F1506" s="28">
        <f t="shared" ref="F1506:F1569" si="407">A1506+14</f>
        <v>46200</v>
      </c>
      <c r="G1506" s="28">
        <f t="shared" ref="G1506:G1569" si="408">A1506+20</f>
        <v>46206</v>
      </c>
      <c r="H1506" s="28">
        <f t="shared" ref="H1506:H1569" si="409">A1506+8</f>
        <v>46194</v>
      </c>
      <c r="I1506" s="28">
        <f t="shared" ref="I1506:I1569" si="410">A1506+15</f>
        <v>46201</v>
      </c>
      <c r="J1506" s="28"/>
      <c r="K1506" s="1"/>
      <c r="L1506" s="1"/>
      <c r="M1506" s="1"/>
      <c r="N1506" s="1">
        <v>0</v>
      </c>
      <c r="O1506" s="1" t="s">
        <v>379</v>
      </c>
    </row>
    <row r="1507" spans="1:15" x14ac:dyDescent="0.25">
      <c r="A1507" s="71">
        <v>46186</v>
      </c>
      <c r="B1507" s="1" t="s">
        <v>270</v>
      </c>
      <c r="C1507" s="3" t="str">
        <f>VLOOKUP(B1507,'[7]Migrasi Bed'!$B$4:$E$521,4,0)</f>
        <v>ST.F003</v>
      </c>
      <c r="D1507" s="28">
        <f t="shared" si="405"/>
        <v>46209</v>
      </c>
      <c r="E1507" s="28">
        <f t="shared" si="406"/>
        <v>46193</v>
      </c>
      <c r="F1507" s="28">
        <f t="shared" si="407"/>
        <v>46200</v>
      </c>
      <c r="G1507" s="28">
        <f t="shared" si="408"/>
        <v>46206</v>
      </c>
      <c r="H1507" s="28">
        <f t="shared" si="409"/>
        <v>46194</v>
      </c>
      <c r="I1507" s="28">
        <f t="shared" si="410"/>
        <v>46201</v>
      </c>
      <c r="J1507" s="28"/>
      <c r="K1507" s="1"/>
      <c r="L1507" s="1"/>
      <c r="M1507" s="1"/>
      <c r="N1507" s="1">
        <v>0</v>
      </c>
      <c r="O1507" s="1" t="s">
        <v>379</v>
      </c>
    </row>
    <row r="1508" spans="1:15" x14ac:dyDescent="0.25">
      <c r="A1508" s="71">
        <v>46186</v>
      </c>
      <c r="B1508" s="1" t="s">
        <v>271</v>
      </c>
      <c r="C1508" s="3" t="str">
        <f>VLOOKUP(B1508,'[7]Migrasi Bed'!$B$4:$E$521,4,0)</f>
        <v>ST.F004</v>
      </c>
      <c r="D1508" s="28">
        <f t="shared" si="405"/>
        <v>46209</v>
      </c>
      <c r="E1508" s="28">
        <f t="shared" si="406"/>
        <v>46193</v>
      </c>
      <c r="F1508" s="28">
        <f t="shared" si="407"/>
        <v>46200</v>
      </c>
      <c r="G1508" s="28">
        <f t="shared" si="408"/>
        <v>46206</v>
      </c>
      <c r="H1508" s="28">
        <f t="shared" si="409"/>
        <v>46194</v>
      </c>
      <c r="I1508" s="28">
        <f t="shared" si="410"/>
        <v>46201</v>
      </c>
      <c r="J1508" s="28"/>
      <c r="K1508" s="1"/>
      <c r="L1508" s="1"/>
      <c r="M1508" s="1"/>
      <c r="N1508" s="1">
        <v>0</v>
      </c>
      <c r="O1508" s="1" t="s">
        <v>379</v>
      </c>
    </row>
    <row r="1509" spans="1:15" x14ac:dyDescent="0.25">
      <c r="A1509" s="71">
        <v>46186</v>
      </c>
      <c r="B1509" s="1" t="s">
        <v>272</v>
      </c>
      <c r="C1509" s="3" t="str">
        <f>VLOOKUP(B1509,'[7]Migrasi Bed'!$B$4:$E$521,4,0)</f>
        <v>ST.F005</v>
      </c>
      <c r="D1509" s="28">
        <f t="shared" si="405"/>
        <v>46209</v>
      </c>
      <c r="E1509" s="28">
        <f t="shared" si="406"/>
        <v>46193</v>
      </c>
      <c r="F1509" s="28">
        <f t="shared" si="407"/>
        <v>46200</v>
      </c>
      <c r="G1509" s="28">
        <f t="shared" si="408"/>
        <v>46206</v>
      </c>
      <c r="H1509" s="28">
        <f t="shared" si="409"/>
        <v>46194</v>
      </c>
      <c r="I1509" s="28">
        <f t="shared" si="410"/>
        <v>46201</v>
      </c>
      <c r="J1509" s="28"/>
      <c r="K1509" s="1"/>
      <c r="L1509" s="1"/>
      <c r="M1509" s="1"/>
      <c r="N1509" s="1">
        <v>0</v>
      </c>
      <c r="O1509" s="1" t="s">
        <v>379</v>
      </c>
    </row>
    <row r="1510" spans="1:15" x14ac:dyDescent="0.25">
      <c r="A1510" s="71">
        <v>46186</v>
      </c>
      <c r="B1510" s="1" t="s">
        <v>273</v>
      </c>
      <c r="C1510" s="3" t="str">
        <f>VLOOKUP(B1510,'[7]Migrasi Bed'!$B$4:$E$521,4,0)</f>
        <v>ST.F006</v>
      </c>
      <c r="D1510" s="28">
        <f t="shared" si="405"/>
        <v>46209</v>
      </c>
      <c r="E1510" s="28">
        <f t="shared" si="406"/>
        <v>46193</v>
      </c>
      <c r="F1510" s="28">
        <f t="shared" si="407"/>
        <v>46200</v>
      </c>
      <c r="G1510" s="28">
        <f t="shared" si="408"/>
        <v>46206</v>
      </c>
      <c r="H1510" s="28">
        <f t="shared" si="409"/>
        <v>46194</v>
      </c>
      <c r="I1510" s="28">
        <f t="shared" si="410"/>
        <v>46201</v>
      </c>
      <c r="J1510" s="28"/>
      <c r="K1510" s="1"/>
      <c r="L1510" s="1"/>
      <c r="M1510" s="1"/>
      <c r="N1510" s="1">
        <v>0</v>
      </c>
      <c r="O1510" s="1" t="s">
        <v>379</v>
      </c>
    </row>
    <row r="1511" spans="1:15" x14ac:dyDescent="0.25">
      <c r="A1511" s="71">
        <v>46186</v>
      </c>
      <c r="B1511" s="1" t="s">
        <v>274</v>
      </c>
      <c r="C1511" s="3" t="str">
        <f>VLOOKUP(B1511,'[7]Migrasi Bed'!$B$4:$E$521,4,0)</f>
        <v>ST.F007</v>
      </c>
      <c r="D1511" s="28">
        <f t="shared" si="405"/>
        <v>46209</v>
      </c>
      <c r="E1511" s="28">
        <f t="shared" si="406"/>
        <v>46193</v>
      </c>
      <c r="F1511" s="28">
        <f t="shared" si="407"/>
        <v>46200</v>
      </c>
      <c r="G1511" s="28">
        <f t="shared" si="408"/>
        <v>46206</v>
      </c>
      <c r="H1511" s="28">
        <f t="shared" si="409"/>
        <v>46194</v>
      </c>
      <c r="I1511" s="28">
        <f t="shared" si="410"/>
        <v>46201</v>
      </c>
      <c r="J1511" s="28"/>
      <c r="K1511" s="1"/>
      <c r="L1511" s="1"/>
      <c r="M1511" s="1"/>
      <c r="N1511" s="1">
        <v>0</v>
      </c>
      <c r="O1511" s="1" t="s">
        <v>379</v>
      </c>
    </row>
    <row r="1512" spans="1:15" x14ac:dyDescent="0.25">
      <c r="A1512" s="71">
        <v>46187</v>
      </c>
      <c r="B1512" s="1" t="s">
        <v>275</v>
      </c>
      <c r="C1512" s="3" t="str">
        <f>VLOOKUP(B1512,'[7]Migrasi Bed'!$B$4:$E$521,4,0)</f>
        <v>ST.F008</v>
      </c>
      <c r="D1512" s="28">
        <f t="shared" si="405"/>
        <v>46210</v>
      </c>
      <c r="E1512" s="28">
        <f t="shared" si="406"/>
        <v>46194</v>
      </c>
      <c r="F1512" s="28">
        <f t="shared" si="407"/>
        <v>46201</v>
      </c>
      <c r="G1512" s="28">
        <f t="shared" si="408"/>
        <v>46207</v>
      </c>
      <c r="H1512" s="28">
        <f t="shared" si="409"/>
        <v>46195</v>
      </c>
      <c r="I1512" s="28">
        <f t="shared" si="410"/>
        <v>46202</v>
      </c>
      <c r="J1512" s="28"/>
      <c r="K1512" s="1"/>
      <c r="L1512" s="1"/>
      <c r="M1512" s="1"/>
      <c r="N1512" s="1">
        <v>0</v>
      </c>
      <c r="O1512" s="1" t="s">
        <v>379</v>
      </c>
    </row>
    <row r="1513" spans="1:15" x14ac:dyDescent="0.25">
      <c r="A1513" s="71">
        <v>46187</v>
      </c>
      <c r="B1513" s="1" t="s">
        <v>276</v>
      </c>
      <c r="C1513" s="3" t="str">
        <f>VLOOKUP(B1513,'[7]Migrasi Bed'!$B$4:$E$521,4,0)</f>
        <v>ST.F009</v>
      </c>
      <c r="D1513" s="28">
        <f t="shared" si="405"/>
        <v>46210</v>
      </c>
      <c r="E1513" s="28">
        <f t="shared" si="406"/>
        <v>46194</v>
      </c>
      <c r="F1513" s="28">
        <f t="shared" si="407"/>
        <v>46201</v>
      </c>
      <c r="G1513" s="28">
        <f t="shared" si="408"/>
        <v>46207</v>
      </c>
      <c r="H1513" s="28">
        <f t="shared" si="409"/>
        <v>46195</v>
      </c>
      <c r="I1513" s="28">
        <f t="shared" si="410"/>
        <v>46202</v>
      </c>
      <c r="J1513" s="28"/>
      <c r="K1513" s="1"/>
      <c r="L1513" s="1"/>
      <c r="M1513" s="1"/>
      <c r="N1513" s="1">
        <v>0</v>
      </c>
      <c r="O1513" s="1" t="s">
        <v>379</v>
      </c>
    </row>
    <row r="1514" spans="1:15" x14ac:dyDescent="0.25">
      <c r="A1514" s="71">
        <v>46187</v>
      </c>
      <c r="B1514" s="1" t="s">
        <v>277</v>
      </c>
      <c r="C1514" s="3" t="str">
        <f>VLOOKUP(B1514,'[7]Migrasi Bed'!$B$4:$E$521,4,0)</f>
        <v>ST.F010</v>
      </c>
      <c r="D1514" s="28">
        <f t="shared" si="405"/>
        <v>46210</v>
      </c>
      <c r="E1514" s="28">
        <f t="shared" si="406"/>
        <v>46194</v>
      </c>
      <c r="F1514" s="28">
        <f t="shared" si="407"/>
        <v>46201</v>
      </c>
      <c r="G1514" s="28">
        <f t="shared" si="408"/>
        <v>46207</v>
      </c>
      <c r="H1514" s="28">
        <f t="shared" si="409"/>
        <v>46195</v>
      </c>
      <c r="I1514" s="28">
        <f t="shared" si="410"/>
        <v>46202</v>
      </c>
      <c r="J1514" s="28"/>
      <c r="K1514" s="1"/>
      <c r="L1514" s="1"/>
      <c r="M1514" s="1"/>
      <c r="N1514" s="1">
        <v>0</v>
      </c>
      <c r="O1514" s="1" t="s">
        <v>379</v>
      </c>
    </row>
    <row r="1515" spans="1:15" x14ac:dyDescent="0.25">
      <c r="A1515" s="71">
        <v>46187</v>
      </c>
      <c r="B1515" s="1" t="s">
        <v>278</v>
      </c>
      <c r="C1515" s="3" t="str">
        <f>VLOOKUP(B1515,'[7]Migrasi Bed'!$B$4:$E$521,4,0)</f>
        <v>ST.F011</v>
      </c>
      <c r="D1515" s="28">
        <f t="shared" si="405"/>
        <v>46210</v>
      </c>
      <c r="E1515" s="28">
        <f t="shared" si="406"/>
        <v>46194</v>
      </c>
      <c r="F1515" s="28">
        <f t="shared" si="407"/>
        <v>46201</v>
      </c>
      <c r="G1515" s="28">
        <f t="shared" si="408"/>
        <v>46207</v>
      </c>
      <c r="H1515" s="28">
        <f t="shared" si="409"/>
        <v>46195</v>
      </c>
      <c r="I1515" s="28">
        <f t="shared" si="410"/>
        <v>46202</v>
      </c>
      <c r="J1515" s="28"/>
      <c r="K1515" s="1"/>
      <c r="L1515" s="1"/>
      <c r="M1515" s="1"/>
      <c r="N1515" s="1">
        <v>0</v>
      </c>
      <c r="O1515" s="1" t="s">
        <v>379</v>
      </c>
    </row>
    <row r="1516" spans="1:15" x14ac:dyDescent="0.25">
      <c r="A1516" s="71">
        <v>46187</v>
      </c>
      <c r="B1516" s="1" t="s">
        <v>279</v>
      </c>
      <c r="C1516" s="3" t="str">
        <f>VLOOKUP(B1516,'[7]Migrasi Bed'!$B$4:$E$521,4,0)</f>
        <v>ST.F012</v>
      </c>
      <c r="D1516" s="28">
        <f t="shared" si="405"/>
        <v>46210</v>
      </c>
      <c r="E1516" s="28">
        <f t="shared" si="406"/>
        <v>46194</v>
      </c>
      <c r="F1516" s="28">
        <f t="shared" si="407"/>
        <v>46201</v>
      </c>
      <c r="G1516" s="28">
        <f t="shared" si="408"/>
        <v>46207</v>
      </c>
      <c r="H1516" s="28">
        <f t="shared" si="409"/>
        <v>46195</v>
      </c>
      <c r="I1516" s="28">
        <f t="shared" si="410"/>
        <v>46202</v>
      </c>
      <c r="J1516" s="28"/>
      <c r="K1516" s="1"/>
      <c r="L1516" s="1"/>
      <c r="M1516" s="1"/>
      <c r="N1516" s="1">
        <v>0</v>
      </c>
      <c r="O1516" s="1" t="s">
        <v>379</v>
      </c>
    </row>
    <row r="1517" spans="1:15" x14ac:dyDescent="0.25">
      <c r="A1517" s="71">
        <v>46187</v>
      </c>
      <c r="B1517" s="1" t="s">
        <v>280</v>
      </c>
      <c r="C1517" s="3" t="str">
        <f>VLOOKUP(B1517,'[7]Migrasi Bed'!$B$4:$E$521,4,0)</f>
        <v>ST.G001</v>
      </c>
      <c r="D1517" s="28">
        <f t="shared" si="405"/>
        <v>46210</v>
      </c>
      <c r="E1517" s="28">
        <f t="shared" si="406"/>
        <v>46194</v>
      </c>
      <c r="F1517" s="28">
        <f t="shared" si="407"/>
        <v>46201</v>
      </c>
      <c r="G1517" s="28">
        <f t="shared" si="408"/>
        <v>46207</v>
      </c>
      <c r="H1517" s="28">
        <f t="shared" si="409"/>
        <v>46195</v>
      </c>
      <c r="I1517" s="28">
        <f t="shared" si="410"/>
        <v>46202</v>
      </c>
      <c r="J1517" s="28"/>
      <c r="K1517" s="1"/>
      <c r="L1517" s="1"/>
      <c r="M1517" s="1"/>
      <c r="N1517" s="1">
        <v>0</v>
      </c>
      <c r="O1517" s="1" t="s">
        <v>379</v>
      </c>
    </row>
    <row r="1518" spans="1:15" x14ac:dyDescent="0.25">
      <c r="A1518" s="71">
        <v>46187</v>
      </c>
      <c r="B1518" s="1" t="s">
        <v>281</v>
      </c>
      <c r="C1518" s="3" t="str">
        <f>VLOOKUP(B1518,'[7]Migrasi Bed'!$B$4:$E$521,4,0)</f>
        <v>ST.G002</v>
      </c>
      <c r="D1518" s="28">
        <f t="shared" si="405"/>
        <v>46210</v>
      </c>
      <c r="E1518" s="28">
        <f t="shared" si="406"/>
        <v>46194</v>
      </c>
      <c r="F1518" s="28">
        <f t="shared" si="407"/>
        <v>46201</v>
      </c>
      <c r="G1518" s="28">
        <f t="shared" si="408"/>
        <v>46207</v>
      </c>
      <c r="H1518" s="28">
        <f t="shared" si="409"/>
        <v>46195</v>
      </c>
      <c r="I1518" s="28">
        <f t="shared" si="410"/>
        <v>46202</v>
      </c>
      <c r="J1518" s="28"/>
      <c r="K1518" s="1"/>
      <c r="L1518" s="1"/>
      <c r="M1518" s="1"/>
      <c r="N1518" s="1">
        <v>0</v>
      </c>
      <c r="O1518" s="1" t="s">
        <v>379</v>
      </c>
    </row>
    <row r="1519" spans="1:15" x14ac:dyDescent="0.25">
      <c r="A1519" s="71">
        <v>46188</v>
      </c>
      <c r="B1519" s="1" t="s">
        <v>282</v>
      </c>
      <c r="C1519" s="3" t="str">
        <f>VLOOKUP(B1519,'[7]Migrasi Bed'!$B$4:$E$521,4,0)</f>
        <v>ST.G003</v>
      </c>
      <c r="D1519" s="28">
        <f t="shared" si="405"/>
        <v>46211</v>
      </c>
      <c r="E1519" s="28">
        <f t="shared" si="406"/>
        <v>46195</v>
      </c>
      <c r="F1519" s="28">
        <f t="shared" si="407"/>
        <v>46202</v>
      </c>
      <c r="G1519" s="28">
        <f t="shared" si="408"/>
        <v>46208</v>
      </c>
      <c r="H1519" s="28">
        <f t="shared" si="409"/>
        <v>46196</v>
      </c>
      <c r="I1519" s="28">
        <f t="shared" si="410"/>
        <v>46203</v>
      </c>
      <c r="J1519" s="28"/>
      <c r="K1519" s="1"/>
      <c r="L1519" s="1"/>
      <c r="M1519" s="1"/>
      <c r="N1519" s="1">
        <v>0</v>
      </c>
      <c r="O1519" s="1" t="s">
        <v>379</v>
      </c>
    </row>
    <row r="1520" spans="1:15" x14ac:dyDescent="0.25">
      <c r="A1520" s="71">
        <v>46188</v>
      </c>
      <c r="B1520" s="1" t="s">
        <v>283</v>
      </c>
      <c r="C1520" s="3" t="str">
        <f>VLOOKUP(B1520,'[7]Migrasi Bed'!$B$4:$E$521,4,0)</f>
        <v>ST.G004</v>
      </c>
      <c r="D1520" s="28">
        <f t="shared" si="405"/>
        <v>46211</v>
      </c>
      <c r="E1520" s="28">
        <f t="shared" si="406"/>
        <v>46195</v>
      </c>
      <c r="F1520" s="28">
        <f t="shared" si="407"/>
        <v>46202</v>
      </c>
      <c r="G1520" s="28">
        <f t="shared" si="408"/>
        <v>46208</v>
      </c>
      <c r="H1520" s="28">
        <f t="shared" si="409"/>
        <v>46196</v>
      </c>
      <c r="I1520" s="28">
        <f t="shared" si="410"/>
        <v>46203</v>
      </c>
      <c r="J1520" s="28"/>
      <c r="K1520" s="1"/>
      <c r="L1520" s="1"/>
      <c r="M1520" s="1"/>
      <c r="N1520" s="1">
        <v>0</v>
      </c>
      <c r="O1520" s="1" t="s">
        <v>379</v>
      </c>
    </row>
    <row r="1521" spans="1:15" x14ac:dyDescent="0.25">
      <c r="A1521" s="71">
        <v>46188</v>
      </c>
      <c r="B1521" s="1" t="s">
        <v>284</v>
      </c>
      <c r="C1521" s="3" t="str">
        <f>VLOOKUP(B1521,'[7]Migrasi Bed'!$B$4:$E$521,4,0)</f>
        <v>ST.G005</v>
      </c>
      <c r="D1521" s="28">
        <f t="shared" si="405"/>
        <v>46211</v>
      </c>
      <c r="E1521" s="28">
        <f t="shared" si="406"/>
        <v>46195</v>
      </c>
      <c r="F1521" s="28">
        <f t="shared" si="407"/>
        <v>46202</v>
      </c>
      <c r="G1521" s="28">
        <f t="shared" si="408"/>
        <v>46208</v>
      </c>
      <c r="H1521" s="28">
        <f t="shared" si="409"/>
        <v>46196</v>
      </c>
      <c r="I1521" s="28">
        <f t="shared" si="410"/>
        <v>46203</v>
      </c>
      <c r="J1521" s="28"/>
      <c r="K1521" s="1"/>
      <c r="L1521" s="1"/>
      <c r="M1521" s="1"/>
      <c r="N1521" s="1">
        <v>0</v>
      </c>
      <c r="O1521" s="1" t="s">
        <v>379</v>
      </c>
    </row>
    <row r="1522" spans="1:15" x14ac:dyDescent="0.25">
      <c r="A1522" s="71">
        <v>46188</v>
      </c>
      <c r="B1522" s="1" t="s">
        <v>285</v>
      </c>
      <c r="C1522" s="3" t="str">
        <f>VLOOKUP(B1522,'[7]Migrasi Bed'!$B$4:$E$521,4,0)</f>
        <v>ST.G006</v>
      </c>
      <c r="D1522" s="28">
        <f t="shared" si="405"/>
        <v>46211</v>
      </c>
      <c r="E1522" s="28">
        <f t="shared" si="406"/>
        <v>46195</v>
      </c>
      <c r="F1522" s="28">
        <f t="shared" si="407"/>
        <v>46202</v>
      </c>
      <c r="G1522" s="28">
        <f t="shared" si="408"/>
        <v>46208</v>
      </c>
      <c r="H1522" s="28">
        <f t="shared" si="409"/>
        <v>46196</v>
      </c>
      <c r="I1522" s="28">
        <f t="shared" si="410"/>
        <v>46203</v>
      </c>
      <c r="J1522" s="28"/>
      <c r="K1522" s="1"/>
      <c r="L1522" s="1"/>
      <c r="M1522" s="1"/>
      <c r="N1522" s="1">
        <v>0</v>
      </c>
      <c r="O1522" s="1" t="s">
        <v>379</v>
      </c>
    </row>
    <row r="1523" spans="1:15" x14ac:dyDescent="0.25">
      <c r="A1523" s="71">
        <v>46188</v>
      </c>
      <c r="B1523" s="1" t="s">
        <v>286</v>
      </c>
      <c r="C1523" s="3" t="str">
        <f>VLOOKUP(B1523,'[7]Migrasi Bed'!$B$4:$E$521,4,0)</f>
        <v>ST.G007</v>
      </c>
      <c r="D1523" s="28">
        <f t="shared" si="405"/>
        <v>46211</v>
      </c>
      <c r="E1523" s="28">
        <f t="shared" si="406"/>
        <v>46195</v>
      </c>
      <c r="F1523" s="28">
        <f t="shared" si="407"/>
        <v>46202</v>
      </c>
      <c r="G1523" s="28">
        <f t="shared" si="408"/>
        <v>46208</v>
      </c>
      <c r="H1523" s="28">
        <f t="shared" si="409"/>
        <v>46196</v>
      </c>
      <c r="I1523" s="28">
        <f t="shared" si="410"/>
        <v>46203</v>
      </c>
      <c r="J1523" s="28"/>
      <c r="K1523" s="1"/>
      <c r="L1523" s="1"/>
      <c r="M1523" s="1"/>
      <c r="N1523" s="1">
        <v>0</v>
      </c>
      <c r="O1523" s="1" t="s">
        <v>379</v>
      </c>
    </row>
    <row r="1524" spans="1:15" x14ac:dyDescent="0.25">
      <c r="A1524" s="71">
        <v>46188</v>
      </c>
      <c r="B1524" s="1" t="s">
        <v>287</v>
      </c>
      <c r="C1524" s="3" t="str">
        <f>VLOOKUP(B1524,'[7]Migrasi Bed'!$B$4:$E$521,4,0)</f>
        <v>ST.G008</v>
      </c>
      <c r="D1524" s="28">
        <f t="shared" si="405"/>
        <v>46211</v>
      </c>
      <c r="E1524" s="28">
        <f t="shared" si="406"/>
        <v>46195</v>
      </c>
      <c r="F1524" s="28">
        <f t="shared" si="407"/>
        <v>46202</v>
      </c>
      <c r="G1524" s="28">
        <f t="shared" si="408"/>
        <v>46208</v>
      </c>
      <c r="H1524" s="28">
        <f t="shared" si="409"/>
        <v>46196</v>
      </c>
      <c r="I1524" s="28">
        <f t="shared" si="410"/>
        <v>46203</v>
      </c>
      <c r="J1524" s="28"/>
      <c r="K1524" s="1"/>
      <c r="L1524" s="1"/>
      <c r="M1524" s="1"/>
      <c r="N1524" s="1">
        <v>0</v>
      </c>
      <c r="O1524" s="1" t="s">
        <v>379</v>
      </c>
    </row>
    <row r="1525" spans="1:15" x14ac:dyDescent="0.25">
      <c r="A1525" s="71">
        <v>46188</v>
      </c>
      <c r="B1525" s="1" t="s">
        <v>288</v>
      </c>
      <c r="C1525" s="3" t="str">
        <f>VLOOKUP(B1525,'[7]Migrasi Bed'!$B$4:$E$521,4,0)</f>
        <v>ST.G009</v>
      </c>
      <c r="D1525" s="28">
        <f t="shared" si="405"/>
        <v>46211</v>
      </c>
      <c r="E1525" s="28">
        <f t="shared" si="406"/>
        <v>46195</v>
      </c>
      <c r="F1525" s="28">
        <f t="shared" si="407"/>
        <v>46202</v>
      </c>
      <c r="G1525" s="28">
        <f t="shared" si="408"/>
        <v>46208</v>
      </c>
      <c r="H1525" s="28">
        <f t="shared" si="409"/>
        <v>46196</v>
      </c>
      <c r="I1525" s="28">
        <f t="shared" si="410"/>
        <v>46203</v>
      </c>
      <c r="J1525" s="28"/>
      <c r="K1525" s="1"/>
      <c r="L1525" s="1"/>
      <c r="M1525" s="1"/>
      <c r="N1525" s="1">
        <v>0</v>
      </c>
      <c r="O1525" s="1" t="s">
        <v>379</v>
      </c>
    </row>
    <row r="1526" spans="1:15" x14ac:dyDescent="0.25">
      <c r="A1526" s="71">
        <v>46190</v>
      </c>
      <c r="B1526" s="1" t="s">
        <v>289</v>
      </c>
      <c r="C1526" s="3" t="str">
        <f>VLOOKUP(B1526,'[7]Migrasi Bed'!$B$4:$E$521,4,0)</f>
        <v>ST.G010</v>
      </c>
      <c r="D1526" s="28">
        <f t="shared" si="405"/>
        <v>46213</v>
      </c>
      <c r="E1526" s="28">
        <f t="shared" si="406"/>
        <v>46197</v>
      </c>
      <c r="F1526" s="28">
        <f t="shared" si="407"/>
        <v>46204</v>
      </c>
      <c r="G1526" s="28">
        <f t="shared" si="408"/>
        <v>46210</v>
      </c>
      <c r="H1526" s="28">
        <f t="shared" si="409"/>
        <v>46198</v>
      </c>
      <c r="I1526" s="28">
        <f t="shared" si="410"/>
        <v>46205</v>
      </c>
      <c r="J1526" s="28"/>
      <c r="K1526" s="1"/>
      <c r="L1526" s="1"/>
      <c r="M1526" s="1"/>
      <c r="N1526" s="1">
        <v>0</v>
      </c>
      <c r="O1526" s="1" t="s">
        <v>379</v>
      </c>
    </row>
    <row r="1527" spans="1:15" x14ac:dyDescent="0.25">
      <c r="A1527" s="71">
        <v>46190</v>
      </c>
      <c r="B1527" s="1" t="s">
        <v>290</v>
      </c>
      <c r="C1527" s="3" t="str">
        <f>VLOOKUP(B1527,'[7]Migrasi Bed'!$B$4:$E$521,4,0)</f>
        <v>ST.G011</v>
      </c>
      <c r="D1527" s="28">
        <f t="shared" si="405"/>
        <v>46213</v>
      </c>
      <c r="E1527" s="28">
        <f t="shared" si="406"/>
        <v>46197</v>
      </c>
      <c r="F1527" s="28">
        <f t="shared" si="407"/>
        <v>46204</v>
      </c>
      <c r="G1527" s="28">
        <f t="shared" si="408"/>
        <v>46210</v>
      </c>
      <c r="H1527" s="28">
        <f t="shared" si="409"/>
        <v>46198</v>
      </c>
      <c r="I1527" s="28">
        <f t="shared" si="410"/>
        <v>46205</v>
      </c>
      <c r="J1527" s="28"/>
      <c r="K1527" s="1"/>
      <c r="L1527" s="1"/>
      <c r="M1527" s="1"/>
      <c r="N1527" s="1">
        <v>0</v>
      </c>
      <c r="O1527" s="1" t="s">
        <v>379</v>
      </c>
    </row>
    <row r="1528" spans="1:15" x14ac:dyDescent="0.25">
      <c r="A1528" s="71">
        <v>46190</v>
      </c>
      <c r="B1528" s="1" t="s">
        <v>291</v>
      </c>
      <c r="C1528" s="3" t="str">
        <f>VLOOKUP(B1528,'[7]Migrasi Bed'!$B$4:$E$521,4,0)</f>
        <v>ST.G012</v>
      </c>
      <c r="D1528" s="28">
        <f t="shared" si="405"/>
        <v>46213</v>
      </c>
      <c r="E1528" s="28">
        <f t="shared" si="406"/>
        <v>46197</v>
      </c>
      <c r="F1528" s="28">
        <f t="shared" si="407"/>
        <v>46204</v>
      </c>
      <c r="G1528" s="28">
        <f t="shared" si="408"/>
        <v>46210</v>
      </c>
      <c r="H1528" s="28">
        <f t="shared" si="409"/>
        <v>46198</v>
      </c>
      <c r="I1528" s="28">
        <f t="shared" si="410"/>
        <v>46205</v>
      </c>
      <c r="J1528" s="28"/>
      <c r="K1528" s="1"/>
      <c r="L1528" s="1"/>
      <c r="M1528" s="1"/>
      <c r="N1528" s="1">
        <v>0</v>
      </c>
      <c r="O1528" s="1" t="s">
        <v>379</v>
      </c>
    </row>
    <row r="1529" spans="1:15" x14ac:dyDescent="0.25">
      <c r="A1529" s="71">
        <v>46190</v>
      </c>
      <c r="B1529" s="1" t="s">
        <v>292</v>
      </c>
      <c r="C1529" s="3" t="str">
        <f>VLOOKUP(B1529,'[7]Migrasi Bed'!$B$4:$E$521,4,0)</f>
        <v>ST.H001</v>
      </c>
      <c r="D1529" s="28">
        <f t="shared" si="405"/>
        <v>46213</v>
      </c>
      <c r="E1529" s="28">
        <f t="shared" si="406"/>
        <v>46197</v>
      </c>
      <c r="F1529" s="28">
        <f t="shared" si="407"/>
        <v>46204</v>
      </c>
      <c r="G1529" s="28">
        <f t="shared" si="408"/>
        <v>46210</v>
      </c>
      <c r="H1529" s="28">
        <f t="shared" si="409"/>
        <v>46198</v>
      </c>
      <c r="I1529" s="28">
        <f t="shared" si="410"/>
        <v>46205</v>
      </c>
      <c r="J1529" s="28"/>
      <c r="K1529" s="1"/>
      <c r="L1529" s="1"/>
      <c r="M1529" s="1"/>
      <c r="N1529" s="1">
        <v>0</v>
      </c>
      <c r="O1529" s="1" t="s">
        <v>379</v>
      </c>
    </row>
    <row r="1530" spans="1:15" x14ac:dyDescent="0.25">
      <c r="A1530" s="71">
        <v>46190</v>
      </c>
      <c r="B1530" s="1" t="s">
        <v>293</v>
      </c>
      <c r="C1530" s="3" t="str">
        <f>VLOOKUP(B1530,'[7]Migrasi Bed'!$B$4:$E$521,4,0)</f>
        <v>ST.H002</v>
      </c>
      <c r="D1530" s="28">
        <f t="shared" si="405"/>
        <v>46213</v>
      </c>
      <c r="E1530" s="28">
        <f t="shared" si="406"/>
        <v>46197</v>
      </c>
      <c r="F1530" s="28">
        <f t="shared" si="407"/>
        <v>46204</v>
      </c>
      <c r="G1530" s="28">
        <f t="shared" si="408"/>
        <v>46210</v>
      </c>
      <c r="H1530" s="28">
        <f t="shared" si="409"/>
        <v>46198</v>
      </c>
      <c r="I1530" s="28">
        <f t="shared" si="410"/>
        <v>46205</v>
      </c>
      <c r="J1530" s="28"/>
      <c r="K1530" s="1"/>
      <c r="L1530" s="1"/>
      <c r="M1530" s="1"/>
      <c r="N1530" s="1">
        <v>0</v>
      </c>
      <c r="O1530" s="1" t="s">
        <v>379</v>
      </c>
    </row>
    <row r="1531" spans="1:15" x14ac:dyDescent="0.25">
      <c r="A1531" s="71">
        <v>46190</v>
      </c>
      <c r="B1531" s="1" t="s">
        <v>294</v>
      </c>
      <c r="C1531" s="3" t="str">
        <f>VLOOKUP(B1531,'[7]Migrasi Bed'!$B$4:$E$521,4,0)</f>
        <v>ST.H003</v>
      </c>
      <c r="D1531" s="28">
        <f t="shared" si="405"/>
        <v>46213</v>
      </c>
      <c r="E1531" s="28">
        <f t="shared" si="406"/>
        <v>46197</v>
      </c>
      <c r="F1531" s="28">
        <f t="shared" si="407"/>
        <v>46204</v>
      </c>
      <c r="G1531" s="28">
        <f t="shared" si="408"/>
        <v>46210</v>
      </c>
      <c r="H1531" s="28">
        <f t="shared" si="409"/>
        <v>46198</v>
      </c>
      <c r="I1531" s="28">
        <f t="shared" si="410"/>
        <v>46205</v>
      </c>
      <c r="J1531" s="28"/>
      <c r="K1531" s="1"/>
      <c r="L1531" s="1"/>
      <c r="M1531" s="1"/>
      <c r="N1531" s="1">
        <v>0</v>
      </c>
      <c r="O1531" s="1" t="s">
        <v>379</v>
      </c>
    </row>
    <row r="1532" spans="1:15" x14ac:dyDescent="0.25">
      <c r="A1532" s="71">
        <v>46190</v>
      </c>
      <c r="B1532" s="1" t="s">
        <v>295</v>
      </c>
      <c r="C1532" s="3" t="str">
        <f>VLOOKUP(B1532,'[7]Migrasi Bed'!$B$4:$E$521,4,0)</f>
        <v>ST.H004</v>
      </c>
      <c r="D1532" s="28">
        <f t="shared" si="405"/>
        <v>46213</v>
      </c>
      <c r="E1532" s="28">
        <f t="shared" si="406"/>
        <v>46197</v>
      </c>
      <c r="F1532" s="28">
        <f t="shared" si="407"/>
        <v>46204</v>
      </c>
      <c r="G1532" s="28">
        <f t="shared" si="408"/>
        <v>46210</v>
      </c>
      <c r="H1532" s="28">
        <f t="shared" si="409"/>
        <v>46198</v>
      </c>
      <c r="I1532" s="28">
        <f t="shared" si="410"/>
        <v>46205</v>
      </c>
      <c r="J1532" s="28"/>
      <c r="K1532" s="1"/>
      <c r="L1532" s="1"/>
      <c r="M1532" s="1"/>
      <c r="N1532" s="1">
        <v>0</v>
      </c>
      <c r="O1532" s="1" t="s">
        <v>379</v>
      </c>
    </row>
    <row r="1533" spans="1:15" x14ac:dyDescent="0.25">
      <c r="A1533" s="71">
        <v>46191</v>
      </c>
      <c r="B1533" s="1" t="s">
        <v>296</v>
      </c>
      <c r="C1533" s="3" t="str">
        <f>VLOOKUP(B1533,'[7]Migrasi Bed'!$B$4:$E$521,4,0)</f>
        <v>ST.H005</v>
      </c>
      <c r="D1533" s="28">
        <f t="shared" si="405"/>
        <v>46214</v>
      </c>
      <c r="E1533" s="28">
        <f t="shared" si="406"/>
        <v>46198</v>
      </c>
      <c r="F1533" s="28">
        <f t="shared" si="407"/>
        <v>46205</v>
      </c>
      <c r="G1533" s="28">
        <f t="shared" si="408"/>
        <v>46211</v>
      </c>
      <c r="H1533" s="28">
        <f t="shared" si="409"/>
        <v>46199</v>
      </c>
      <c r="I1533" s="28">
        <f t="shared" si="410"/>
        <v>46206</v>
      </c>
      <c r="J1533" s="28"/>
      <c r="K1533" s="1"/>
      <c r="L1533" s="1"/>
      <c r="M1533" s="1"/>
      <c r="N1533" s="1">
        <v>0</v>
      </c>
      <c r="O1533" s="1" t="s">
        <v>379</v>
      </c>
    </row>
    <row r="1534" spans="1:15" x14ac:dyDescent="0.25">
      <c r="A1534" s="71">
        <v>46191</v>
      </c>
      <c r="B1534" s="1" t="s">
        <v>297</v>
      </c>
      <c r="C1534" s="3" t="str">
        <f>VLOOKUP(B1534,'[7]Migrasi Bed'!$B$4:$E$521,4,0)</f>
        <v>ST.H006</v>
      </c>
      <c r="D1534" s="28">
        <f t="shared" si="405"/>
        <v>46214</v>
      </c>
      <c r="E1534" s="28">
        <f t="shared" si="406"/>
        <v>46198</v>
      </c>
      <c r="F1534" s="28">
        <f t="shared" si="407"/>
        <v>46205</v>
      </c>
      <c r="G1534" s="28">
        <f t="shared" si="408"/>
        <v>46211</v>
      </c>
      <c r="H1534" s="28">
        <f t="shared" si="409"/>
        <v>46199</v>
      </c>
      <c r="I1534" s="28">
        <f t="shared" si="410"/>
        <v>46206</v>
      </c>
      <c r="J1534" s="28"/>
      <c r="K1534" s="1"/>
      <c r="L1534" s="1"/>
      <c r="M1534" s="1"/>
      <c r="N1534" s="1">
        <v>0</v>
      </c>
      <c r="O1534" s="1" t="s">
        <v>379</v>
      </c>
    </row>
    <row r="1535" spans="1:15" x14ac:dyDescent="0.25">
      <c r="A1535" s="71">
        <v>46191</v>
      </c>
      <c r="B1535" s="1" t="s">
        <v>298</v>
      </c>
      <c r="C1535" s="3" t="str">
        <f>VLOOKUP(B1535,'[7]Migrasi Bed'!$B$4:$E$521,4,0)</f>
        <v>ST.H007</v>
      </c>
      <c r="D1535" s="28">
        <f t="shared" si="405"/>
        <v>46214</v>
      </c>
      <c r="E1535" s="28">
        <f t="shared" si="406"/>
        <v>46198</v>
      </c>
      <c r="F1535" s="28">
        <f t="shared" si="407"/>
        <v>46205</v>
      </c>
      <c r="G1535" s="28">
        <f t="shared" si="408"/>
        <v>46211</v>
      </c>
      <c r="H1535" s="28">
        <f t="shared" si="409"/>
        <v>46199</v>
      </c>
      <c r="I1535" s="28">
        <f t="shared" si="410"/>
        <v>46206</v>
      </c>
      <c r="J1535" s="28"/>
      <c r="K1535" s="1"/>
      <c r="L1535" s="1"/>
      <c r="M1535" s="1"/>
      <c r="N1535" s="1">
        <v>0</v>
      </c>
      <c r="O1535" s="1" t="s">
        <v>379</v>
      </c>
    </row>
    <row r="1536" spans="1:15" x14ac:dyDescent="0.25">
      <c r="A1536" s="71">
        <v>46191</v>
      </c>
      <c r="B1536" s="1" t="s">
        <v>299</v>
      </c>
      <c r="C1536" s="3" t="str">
        <f>VLOOKUP(B1536,'[7]Migrasi Bed'!$B$4:$E$521,4,0)</f>
        <v>ST.H008</v>
      </c>
      <c r="D1536" s="28">
        <f t="shared" si="405"/>
        <v>46214</v>
      </c>
      <c r="E1536" s="28">
        <f t="shared" si="406"/>
        <v>46198</v>
      </c>
      <c r="F1536" s="28">
        <f t="shared" si="407"/>
        <v>46205</v>
      </c>
      <c r="G1536" s="28">
        <f t="shared" si="408"/>
        <v>46211</v>
      </c>
      <c r="H1536" s="28">
        <f t="shared" si="409"/>
        <v>46199</v>
      </c>
      <c r="I1536" s="28">
        <f t="shared" si="410"/>
        <v>46206</v>
      </c>
      <c r="J1536" s="28"/>
      <c r="K1536" s="1"/>
      <c r="L1536" s="1"/>
      <c r="M1536" s="1"/>
      <c r="N1536" s="1">
        <v>0</v>
      </c>
      <c r="O1536" s="1" t="s">
        <v>379</v>
      </c>
    </row>
    <row r="1537" spans="1:15" x14ac:dyDescent="0.25">
      <c r="A1537" s="71">
        <v>46191</v>
      </c>
      <c r="B1537" s="1" t="s">
        <v>300</v>
      </c>
      <c r="C1537" s="3" t="str">
        <f>VLOOKUP(B1537,'[7]Migrasi Bed'!$B$4:$E$521,4,0)</f>
        <v>ST.H009</v>
      </c>
      <c r="D1537" s="28">
        <f t="shared" si="405"/>
        <v>46214</v>
      </c>
      <c r="E1537" s="28">
        <f t="shared" si="406"/>
        <v>46198</v>
      </c>
      <c r="F1537" s="28">
        <f t="shared" si="407"/>
        <v>46205</v>
      </c>
      <c r="G1537" s="28">
        <f t="shared" si="408"/>
        <v>46211</v>
      </c>
      <c r="H1537" s="28">
        <f t="shared" si="409"/>
        <v>46199</v>
      </c>
      <c r="I1537" s="28">
        <f t="shared" si="410"/>
        <v>46206</v>
      </c>
      <c r="J1537" s="28"/>
      <c r="K1537" s="1"/>
      <c r="L1537" s="1"/>
      <c r="M1537" s="1"/>
      <c r="N1537" s="1">
        <v>0</v>
      </c>
      <c r="O1537" s="1" t="s">
        <v>379</v>
      </c>
    </row>
    <row r="1538" spans="1:15" x14ac:dyDescent="0.25">
      <c r="A1538" s="71">
        <v>46191</v>
      </c>
      <c r="B1538" s="1" t="s">
        <v>301</v>
      </c>
      <c r="C1538" s="3" t="str">
        <f>VLOOKUP(B1538,'[7]Migrasi Bed'!$B$4:$E$521,4,0)</f>
        <v>ST.H010</v>
      </c>
      <c r="D1538" s="28">
        <f t="shared" si="405"/>
        <v>46214</v>
      </c>
      <c r="E1538" s="28">
        <f t="shared" si="406"/>
        <v>46198</v>
      </c>
      <c r="F1538" s="28">
        <f t="shared" si="407"/>
        <v>46205</v>
      </c>
      <c r="G1538" s="28">
        <f t="shared" si="408"/>
        <v>46211</v>
      </c>
      <c r="H1538" s="28">
        <f t="shared" si="409"/>
        <v>46199</v>
      </c>
      <c r="I1538" s="28">
        <f t="shared" si="410"/>
        <v>46206</v>
      </c>
      <c r="J1538" s="28"/>
      <c r="K1538" s="1"/>
      <c r="L1538" s="1"/>
      <c r="M1538" s="1"/>
      <c r="N1538" s="1">
        <v>0</v>
      </c>
      <c r="O1538" s="1" t="s">
        <v>379</v>
      </c>
    </row>
    <row r="1539" spans="1:15" x14ac:dyDescent="0.25">
      <c r="A1539" s="71">
        <v>46191</v>
      </c>
      <c r="B1539" s="1" t="s">
        <v>302</v>
      </c>
      <c r="C1539" s="3" t="str">
        <f>VLOOKUP(B1539,'[7]Migrasi Bed'!$B$4:$E$521,4,0)</f>
        <v>ST.H011</v>
      </c>
      <c r="D1539" s="28">
        <f t="shared" si="405"/>
        <v>46214</v>
      </c>
      <c r="E1539" s="28">
        <f t="shared" si="406"/>
        <v>46198</v>
      </c>
      <c r="F1539" s="28">
        <f t="shared" si="407"/>
        <v>46205</v>
      </c>
      <c r="G1539" s="28">
        <f t="shared" si="408"/>
        <v>46211</v>
      </c>
      <c r="H1539" s="28">
        <f t="shared" si="409"/>
        <v>46199</v>
      </c>
      <c r="I1539" s="28">
        <f t="shared" si="410"/>
        <v>46206</v>
      </c>
      <c r="J1539" s="28"/>
      <c r="K1539" s="1"/>
      <c r="L1539" s="1"/>
      <c r="M1539" s="1"/>
      <c r="N1539" s="1">
        <v>0</v>
      </c>
      <c r="O1539" s="1" t="s">
        <v>379</v>
      </c>
    </row>
    <row r="1540" spans="1:15" x14ac:dyDescent="0.25">
      <c r="A1540" s="71">
        <v>46192</v>
      </c>
      <c r="B1540" s="1" t="s">
        <v>339</v>
      </c>
      <c r="C1540" s="3" t="str">
        <f>VLOOKUP(B1540,'[7]Migrasi Bed'!$B$4:$E$521,4,0)</f>
        <v>ST.B017</v>
      </c>
      <c r="D1540" s="28">
        <f t="shared" si="405"/>
        <v>46215</v>
      </c>
      <c r="E1540" s="28">
        <f t="shared" si="406"/>
        <v>46199</v>
      </c>
      <c r="F1540" s="28">
        <f t="shared" si="407"/>
        <v>46206</v>
      </c>
      <c r="G1540" s="28">
        <f t="shared" si="408"/>
        <v>46212</v>
      </c>
      <c r="H1540" s="28">
        <f t="shared" si="409"/>
        <v>46200</v>
      </c>
      <c r="I1540" s="28">
        <f t="shared" si="410"/>
        <v>46207</v>
      </c>
      <c r="J1540" s="28"/>
      <c r="K1540" s="1"/>
      <c r="L1540" s="1"/>
      <c r="M1540" s="1"/>
      <c r="N1540" s="1">
        <v>0</v>
      </c>
      <c r="O1540" s="1" t="s">
        <v>379</v>
      </c>
    </row>
    <row r="1541" spans="1:15" x14ac:dyDescent="0.25">
      <c r="A1541" s="71">
        <v>46192</v>
      </c>
      <c r="B1541" s="1" t="s">
        <v>340</v>
      </c>
      <c r="C1541" s="3" t="str">
        <f>VLOOKUP(B1541,'[7]Migrasi Bed'!$B$4:$E$521,4,0)</f>
        <v>ST.B018</v>
      </c>
      <c r="D1541" s="28">
        <f t="shared" si="405"/>
        <v>46215</v>
      </c>
      <c r="E1541" s="28">
        <f t="shared" si="406"/>
        <v>46199</v>
      </c>
      <c r="F1541" s="28">
        <f t="shared" si="407"/>
        <v>46206</v>
      </c>
      <c r="G1541" s="28">
        <f t="shared" si="408"/>
        <v>46212</v>
      </c>
      <c r="H1541" s="28">
        <f t="shared" si="409"/>
        <v>46200</v>
      </c>
      <c r="I1541" s="28">
        <f t="shared" si="410"/>
        <v>46207</v>
      </c>
      <c r="J1541" s="28"/>
      <c r="K1541" s="1"/>
      <c r="L1541" s="1"/>
      <c r="M1541" s="1"/>
      <c r="N1541" s="1">
        <v>0</v>
      </c>
      <c r="O1541" s="1" t="s">
        <v>379</v>
      </c>
    </row>
    <row r="1542" spans="1:15" x14ac:dyDescent="0.25">
      <c r="A1542" s="71">
        <v>46192</v>
      </c>
      <c r="B1542" s="1" t="s">
        <v>341</v>
      </c>
      <c r="C1542" s="3" t="str">
        <f>VLOOKUP(B1542,'[7]Migrasi Bed'!$B$4:$E$521,4,0)</f>
        <v>ST.B019</v>
      </c>
      <c r="D1542" s="28">
        <f t="shared" si="405"/>
        <v>46215</v>
      </c>
      <c r="E1542" s="28">
        <f t="shared" si="406"/>
        <v>46199</v>
      </c>
      <c r="F1542" s="28">
        <f t="shared" si="407"/>
        <v>46206</v>
      </c>
      <c r="G1542" s="28">
        <f t="shared" si="408"/>
        <v>46212</v>
      </c>
      <c r="H1542" s="28">
        <f t="shared" si="409"/>
        <v>46200</v>
      </c>
      <c r="I1542" s="28">
        <f t="shared" si="410"/>
        <v>46207</v>
      </c>
      <c r="J1542" s="28"/>
      <c r="K1542" s="1"/>
      <c r="L1542" s="1"/>
      <c r="M1542" s="1"/>
      <c r="N1542" s="1">
        <v>0</v>
      </c>
      <c r="O1542" s="1" t="s">
        <v>379</v>
      </c>
    </row>
    <row r="1543" spans="1:15" x14ac:dyDescent="0.25">
      <c r="A1543" s="71">
        <v>46192</v>
      </c>
      <c r="B1543" s="1" t="s">
        <v>342</v>
      </c>
      <c r="C1543" s="3" t="str">
        <f>VLOOKUP(B1543,'[7]Migrasi Bed'!$B$4:$E$521,4,0)</f>
        <v>ST.B020</v>
      </c>
      <c r="D1543" s="28">
        <f t="shared" si="405"/>
        <v>46215</v>
      </c>
      <c r="E1543" s="28">
        <f t="shared" si="406"/>
        <v>46199</v>
      </c>
      <c r="F1543" s="28">
        <f t="shared" si="407"/>
        <v>46206</v>
      </c>
      <c r="G1543" s="28">
        <f t="shared" si="408"/>
        <v>46212</v>
      </c>
      <c r="H1543" s="28">
        <f t="shared" si="409"/>
        <v>46200</v>
      </c>
      <c r="I1543" s="28">
        <f t="shared" si="410"/>
        <v>46207</v>
      </c>
      <c r="J1543" s="28"/>
      <c r="K1543" s="1"/>
      <c r="L1543" s="1"/>
      <c r="M1543" s="1"/>
      <c r="N1543" s="1">
        <v>0</v>
      </c>
      <c r="O1543" s="1" t="s">
        <v>379</v>
      </c>
    </row>
    <row r="1544" spans="1:15" x14ac:dyDescent="0.25">
      <c r="A1544" s="71">
        <v>46192</v>
      </c>
      <c r="B1544" s="1" t="s">
        <v>343</v>
      </c>
      <c r="C1544" s="3" t="str">
        <f>VLOOKUP(B1544,'[7]Migrasi Bed'!$B$4:$E$521,4,0)</f>
        <v>ST.B021</v>
      </c>
      <c r="D1544" s="28">
        <f t="shared" si="405"/>
        <v>46215</v>
      </c>
      <c r="E1544" s="28">
        <f t="shared" si="406"/>
        <v>46199</v>
      </c>
      <c r="F1544" s="28">
        <f t="shared" si="407"/>
        <v>46206</v>
      </c>
      <c r="G1544" s="28">
        <f t="shared" si="408"/>
        <v>46212</v>
      </c>
      <c r="H1544" s="28">
        <f t="shared" si="409"/>
        <v>46200</v>
      </c>
      <c r="I1544" s="28">
        <f t="shared" si="410"/>
        <v>46207</v>
      </c>
      <c r="J1544" s="28"/>
      <c r="K1544" s="1"/>
      <c r="L1544" s="1"/>
      <c r="M1544" s="1"/>
      <c r="N1544" s="1">
        <v>0</v>
      </c>
      <c r="O1544" s="1" t="s">
        <v>379</v>
      </c>
    </row>
    <row r="1545" spans="1:15" x14ac:dyDescent="0.25">
      <c r="A1545" s="71">
        <v>46192</v>
      </c>
      <c r="B1545" s="1" t="s">
        <v>344</v>
      </c>
      <c r="C1545" s="3" t="str">
        <f>VLOOKUP(B1545,'[7]Migrasi Bed'!$B$4:$E$521,4,0)</f>
        <v>ST.B022</v>
      </c>
      <c r="D1545" s="28">
        <f t="shared" si="405"/>
        <v>46215</v>
      </c>
      <c r="E1545" s="28">
        <f t="shared" si="406"/>
        <v>46199</v>
      </c>
      <c r="F1545" s="28">
        <f t="shared" si="407"/>
        <v>46206</v>
      </c>
      <c r="G1545" s="28">
        <f t="shared" si="408"/>
        <v>46212</v>
      </c>
      <c r="H1545" s="28">
        <f t="shared" si="409"/>
        <v>46200</v>
      </c>
      <c r="I1545" s="28">
        <f t="shared" si="410"/>
        <v>46207</v>
      </c>
      <c r="J1545" s="28"/>
      <c r="K1545" s="1"/>
      <c r="L1545" s="1"/>
      <c r="M1545" s="1"/>
      <c r="N1545" s="1">
        <v>0</v>
      </c>
      <c r="O1545" s="1" t="s">
        <v>379</v>
      </c>
    </row>
    <row r="1546" spans="1:15" x14ac:dyDescent="0.25">
      <c r="A1546" s="71">
        <v>46192</v>
      </c>
      <c r="B1546" s="1" t="s">
        <v>345</v>
      </c>
      <c r="C1546" s="3" t="str">
        <f>VLOOKUP(B1546,'[7]Migrasi Bed'!$B$4:$E$521,4,0)</f>
        <v>ST.B023</v>
      </c>
      <c r="D1546" s="28">
        <f t="shared" si="405"/>
        <v>46215</v>
      </c>
      <c r="E1546" s="28">
        <f t="shared" si="406"/>
        <v>46199</v>
      </c>
      <c r="F1546" s="28">
        <f t="shared" si="407"/>
        <v>46206</v>
      </c>
      <c r="G1546" s="28">
        <f t="shared" si="408"/>
        <v>46212</v>
      </c>
      <c r="H1546" s="28">
        <f t="shared" si="409"/>
        <v>46200</v>
      </c>
      <c r="I1546" s="28">
        <f t="shared" si="410"/>
        <v>46207</v>
      </c>
      <c r="J1546" s="28"/>
      <c r="K1546" s="1"/>
      <c r="L1546" s="1"/>
      <c r="M1546" s="1"/>
      <c r="N1546" s="1">
        <v>0</v>
      </c>
      <c r="O1546" s="1" t="s">
        <v>379</v>
      </c>
    </row>
    <row r="1547" spans="1:15" x14ac:dyDescent="0.25">
      <c r="A1547" s="71">
        <v>46193</v>
      </c>
      <c r="B1547" s="1" t="s">
        <v>332</v>
      </c>
      <c r="C1547" s="3" t="str">
        <f>VLOOKUP(B1547,'[7]Migrasi Bed'!$B$4:$E$521,4,0)</f>
        <v>ST.B010</v>
      </c>
      <c r="D1547" s="28">
        <f t="shared" si="405"/>
        <v>46216</v>
      </c>
      <c r="E1547" s="28">
        <f t="shared" si="406"/>
        <v>46200</v>
      </c>
      <c r="F1547" s="28">
        <f t="shared" si="407"/>
        <v>46207</v>
      </c>
      <c r="G1547" s="28">
        <f t="shared" si="408"/>
        <v>46213</v>
      </c>
      <c r="H1547" s="28">
        <f t="shared" si="409"/>
        <v>46201</v>
      </c>
      <c r="I1547" s="28">
        <f t="shared" si="410"/>
        <v>46208</v>
      </c>
      <c r="J1547" s="28"/>
      <c r="K1547" s="1"/>
      <c r="L1547" s="1"/>
      <c r="M1547" s="1"/>
      <c r="N1547" s="1">
        <v>0</v>
      </c>
      <c r="O1547" s="1" t="s">
        <v>379</v>
      </c>
    </row>
    <row r="1548" spans="1:15" x14ac:dyDescent="0.25">
      <c r="A1548" s="71">
        <v>46193</v>
      </c>
      <c r="B1548" s="1" t="s">
        <v>333</v>
      </c>
      <c r="C1548" s="3" t="str">
        <f>VLOOKUP(B1548,'[7]Migrasi Bed'!$B$4:$E$521,4,0)</f>
        <v>ST.B011</v>
      </c>
      <c r="D1548" s="28">
        <f t="shared" si="405"/>
        <v>46216</v>
      </c>
      <c r="E1548" s="28">
        <f t="shared" si="406"/>
        <v>46200</v>
      </c>
      <c r="F1548" s="28">
        <f t="shared" si="407"/>
        <v>46207</v>
      </c>
      <c r="G1548" s="28">
        <f t="shared" si="408"/>
        <v>46213</v>
      </c>
      <c r="H1548" s="28">
        <f t="shared" si="409"/>
        <v>46201</v>
      </c>
      <c r="I1548" s="28">
        <f t="shared" si="410"/>
        <v>46208</v>
      </c>
      <c r="J1548" s="28"/>
      <c r="K1548" s="1"/>
      <c r="L1548" s="1"/>
      <c r="M1548" s="1"/>
      <c r="N1548" s="1">
        <v>0</v>
      </c>
      <c r="O1548" s="1" t="s">
        <v>379</v>
      </c>
    </row>
    <row r="1549" spans="1:15" x14ac:dyDescent="0.25">
      <c r="A1549" s="71">
        <v>46193</v>
      </c>
      <c r="B1549" s="1" t="s">
        <v>334</v>
      </c>
      <c r="C1549" s="3" t="str">
        <f>VLOOKUP(B1549,'[7]Migrasi Bed'!$B$4:$E$521,4,0)</f>
        <v>ST.B012</v>
      </c>
      <c r="D1549" s="28">
        <f t="shared" si="405"/>
        <v>46216</v>
      </c>
      <c r="E1549" s="28">
        <f t="shared" si="406"/>
        <v>46200</v>
      </c>
      <c r="F1549" s="28">
        <f t="shared" si="407"/>
        <v>46207</v>
      </c>
      <c r="G1549" s="28">
        <f t="shared" si="408"/>
        <v>46213</v>
      </c>
      <c r="H1549" s="28">
        <f t="shared" si="409"/>
        <v>46201</v>
      </c>
      <c r="I1549" s="28">
        <f t="shared" si="410"/>
        <v>46208</v>
      </c>
      <c r="J1549" s="28"/>
      <c r="K1549" s="1"/>
      <c r="L1549" s="1"/>
      <c r="M1549" s="1"/>
      <c r="N1549" s="1">
        <v>0</v>
      </c>
      <c r="O1549" s="1" t="s">
        <v>379</v>
      </c>
    </row>
    <row r="1550" spans="1:15" x14ac:dyDescent="0.25">
      <c r="A1550" s="71">
        <v>46193</v>
      </c>
      <c r="B1550" s="1" t="s">
        <v>335</v>
      </c>
      <c r="C1550" s="3" t="str">
        <f>VLOOKUP(B1550,'[7]Migrasi Bed'!$B$4:$E$521,4,0)</f>
        <v>ST.B013</v>
      </c>
      <c r="D1550" s="28">
        <f t="shared" si="405"/>
        <v>46216</v>
      </c>
      <c r="E1550" s="28">
        <f t="shared" si="406"/>
        <v>46200</v>
      </c>
      <c r="F1550" s="28">
        <f t="shared" si="407"/>
        <v>46207</v>
      </c>
      <c r="G1550" s="28">
        <f t="shared" si="408"/>
        <v>46213</v>
      </c>
      <c r="H1550" s="28">
        <f t="shared" si="409"/>
        <v>46201</v>
      </c>
      <c r="I1550" s="28">
        <f t="shared" si="410"/>
        <v>46208</v>
      </c>
      <c r="J1550" s="28"/>
      <c r="K1550" s="1"/>
      <c r="L1550" s="1"/>
      <c r="M1550" s="1"/>
      <c r="N1550" s="1">
        <v>0</v>
      </c>
      <c r="O1550" s="1" t="s">
        <v>379</v>
      </c>
    </row>
    <row r="1551" spans="1:15" x14ac:dyDescent="0.25">
      <c r="A1551" s="71">
        <v>46193</v>
      </c>
      <c r="B1551" s="1" t="s">
        <v>336</v>
      </c>
      <c r="C1551" s="3" t="str">
        <f>VLOOKUP(B1551,'[7]Migrasi Bed'!$B$4:$E$521,4,0)</f>
        <v>ST.B014</v>
      </c>
      <c r="D1551" s="28">
        <f t="shared" si="405"/>
        <v>46216</v>
      </c>
      <c r="E1551" s="28">
        <f t="shared" si="406"/>
        <v>46200</v>
      </c>
      <c r="F1551" s="28">
        <f t="shared" si="407"/>
        <v>46207</v>
      </c>
      <c r="G1551" s="28">
        <f t="shared" si="408"/>
        <v>46213</v>
      </c>
      <c r="H1551" s="28">
        <f t="shared" si="409"/>
        <v>46201</v>
      </c>
      <c r="I1551" s="28">
        <f t="shared" si="410"/>
        <v>46208</v>
      </c>
      <c r="J1551" s="28"/>
      <c r="K1551" s="1"/>
      <c r="L1551" s="1"/>
      <c r="M1551" s="1"/>
      <c r="N1551" s="1">
        <v>0</v>
      </c>
      <c r="O1551" s="1" t="s">
        <v>379</v>
      </c>
    </row>
    <row r="1552" spans="1:15" x14ac:dyDescent="0.25">
      <c r="A1552" s="71">
        <v>46193</v>
      </c>
      <c r="B1552" s="1" t="s">
        <v>337</v>
      </c>
      <c r="C1552" s="3" t="str">
        <f>VLOOKUP(B1552,'[7]Migrasi Bed'!$B$4:$E$521,4,0)</f>
        <v>ST.B015</v>
      </c>
      <c r="D1552" s="28">
        <f t="shared" si="405"/>
        <v>46216</v>
      </c>
      <c r="E1552" s="28">
        <f t="shared" si="406"/>
        <v>46200</v>
      </c>
      <c r="F1552" s="28">
        <f t="shared" si="407"/>
        <v>46207</v>
      </c>
      <c r="G1552" s="28">
        <f t="shared" si="408"/>
        <v>46213</v>
      </c>
      <c r="H1552" s="28">
        <f t="shared" si="409"/>
        <v>46201</v>
      </c>
      <c r="I1552" s="28">
        <f t="shared" si="410"/>
        <v>46208</v>
      </c>
      <c r="J1552" s="28"/>
      <c r="K1552" s="1"/>
      <c r="L1552" s="1"/>
      <c r="M1552" s="1"/>
      <c r="N1552" s="1">
        <v>0</v>
      </c>
      <c r="O1552" s="1" t="s">
        <v>379</v>
      </c>
    </row>
    <row r="1553" spans="1:15" x14ac:dyDescent="0.25">
      <c r="A1553" s="71">
        <v>46193</v>
      </c>
      <c r="B1553" s="1" t="s">
        <v>338</v>
      </c>
      <c r="C1553" s="3" t="str">
        <f>VLOOKUP(B1553,'[7]Migrasi Bed'!$B$4:$E$521,4,0)</f>
        <v>ST.B016</v>
      </c>
      <c r="D1553" s="28">
        <f t="shared" si="405"/>
        <v>46216</v>
      </c>
      <c r="E1553" s="28">
        <f t="shared" si="406"/>
        <v>46200</v>
      </c>
      <c r="F1553" s="28">
        <f t="shared" si="407"/>
        <v>46207</v>
      </c>
      <c r="G1553" s="28">
        <f t="shared" si="408"/>
        <v>46213</v>
      </c>
      <c r="H1553" s="28">
        <f t="shared" si="409"/>
        <v>46201</v>
      </c>
      <c r="I1553" s="28">
        <f t="shared" si="410"/>
        <v>46208</v>
      </c>
      <c r="J1553" s="28"/>
      <c r="K1553" s="1"/>
      <c r="L1553" s="1"/>
      <c r="M1553" s="1"/>
      <c r="N1553" s="1">
        <v>0</v>
      </c>
      <c r="O1553" s="1" t="s">
        <v>379</v>
      </c>
    </row>
    <row r="1554" spans="1:15" x14ac:dyDescent="0.25">
      <c r="A1554" s="71">
        <v>46194</v>
      </c>
      <c r="B1554" s="1" t="s">
        <v>325</v>
      </c>
      <c r="C1554" s="3" t="str">
        <f>VLOOKUP(B1554,'[7]Migrasi Bed'!$B$4:$E$521,4,0)</f>
        <v>ST.B003</v>
      </c>
      <c r="D1554" s="28">
        <f t="shared" si="405"/>
        <v>46217</v>
      </c>
      <c r="E1554" s="28">
        <f t="shared" si="406"/>
        <v>46201</v>
      </c>
      <c r="F1554" s="28">
        <f t="shared" si="407"/>
        <v>46208</v>
      </c>
      <c r="G1554" s="28">
        <f t="shared" si="408"/>
        <v>46214</v>
      </c>
      <c r="H1554" s="28">
        <f t="shared" si="409"/>
        <v>46202</v>
      </c>
      <c r="I1554" s="28">
        <f t="shared" si="410"/>
        <v>46209</v>
      </c>
      <c r="J1554" s="28"/>
      <c r="K1554" s="1"/>
      <c r="L1554" s="1"/>
      <c r="M1554" s="1"/>
      <c r="N1554" s="1">
        <v>0</v>
      </c>
      <c r="O1554" s="1" t="s">
        <v>379</v>
      </c>
    </row>
    <row r="1555" spans="1:15" x14ac:dyDescent="0.25">
      <c r="A1555" s="71">
        <v>46194</v>
      </c>
      <c r="B1555" s="1" t="s">
        <v>326</v>
      </c>
      <c r="C1555" s="3" t="str">
        <f>VLOOKUP(B1555,'[7]Migrasi Bed'!$B$4:$E$521,4,0)</f>
        <v>ST.B004</v>
      </c>
      <c r="D1555" s="28">
        <f t="shared" si="405"/>
        <v>46217</v>
      </c>
      <c r="E1555" s="28">
        <f t="shared" si="406"/>
        <v>46201</v>
      </c>
      <c r="F1555" s="28">
        <f t="shared" si="407"/>
        <v>46208</v>
      </c>
      <c r="G1555" s="28">
        <f t="shared" si="408"/>
        <v>46214</v>
      </c>
      <c r="H1555" s="28">
        <f t="shared" si="409"/>
        <v>46202</v>
      </c>
      <c r="I1555" s="28">
        <f t="shared" si="410"/>
        <v>46209</v>
      </c>
      <c r="J1555" s="28"/>
      <c r="K1555" s="1"/>
      <c r="L1555" s="1"/>
      <c r="M1555" s="1"/>
      <c r="N1555" s="1">
        <v>0</v>
      </c>
      <c r="O1555" s="1" t="s">
        <v>379</v>
      </c>
    </row>
    <row r="1556" spans="1:15" x14ac:dyDescent="0.25">
      <c r="A1556" s="71">
        <v>46194</v>
      </c>
      <c r="B1556" s="1" t="s">
        <v>327</v>
      </c>
      <c r="C1556" s="3" t="str">
        <f>VLOOKUP(B1556,'[7]Migrasi Bed'!$B$4:$E$521,4,0)</f>
        <v>ST.B005</v>
      </c>
      <c r="D1556" s="28">
        <f t="shared" si="405"/>
        <v>46217</v>
      </c>
      <c r="E1556" s="28">
        <f t="shared" si="406"/>
        <v>46201</v>
      </c>
      <c r="F1556" s="28">
        <f t="shared" si="407"/>
        <v>46208</v>
      </c>
      <c r="G1556" s="28">
        <f t="shared" si="408"/>
        <v>46214</v>
      </c>
      <c r="H1556" s="28">
        <f t="shared" si="409"/>
        <v>46202</v>
      </c>
      <c r="I1556" s="28">
        <f t="shared" si="410"/>
        <v>46209</v>
      </c>
      <c r="J1556" s="28"/>
      <c r="K1556" s="1"/>
      <c r="L1556" s="1"/>
      <c r="M1556" s="1"/>
      <c r="N1556" s="1">
        <v>0</v>
      </c>
      <c r="O1556" s="1" t="s">
        <v>379</v>
      </c>
    </row>
    <row r="1557" spans="1:15" x14ac:dyDescent="0.25">
      <c r="A1557" s="71">
        <v>46194</v>
      </c>
      <c r="B1557" s="1" t="s">
        <v>328</v>
      </c>
      <c r="C1557" s="3" t="str">
        <f>VLOOKUP(B1557,'[7]Migrasi Bed'!$B$4:$E$521,4,0)</f>
        <v>ST.B006</v>
      </c>
      <c r="D1557" s="28">
        <f t="shared" si="405"/>
        <v>46217</v>
      </c>
      <c r="E1557" s="28">
        <f t="shared" si="406"/>
        <v>46201</v>
      </c>
      <c r="F1557" s="28">
        <f t="shared" si="407"/>
        <v>46208</v>
      </c>
      <c r="G1557" s="28">
        <f t="shared" si="408"/>
        <v>46214</v>
      </c>
      <c r="H1557" s="28">
        <f t="shared" si="409"/>
        <v>46202</v>
      </c>
      <c r="I1557" s="28">
        <f t="shared" si="410"/>
        <v>46209</v>
      </c>
      <c r="J1557" s="28"/>
      <c r="K1557" s="1"/>
      <c r="L1557" s="1"/>
      <c r="M1557" s="1"/>
      <c r="N1557" s="1">
        <v>0</v>
      </c>
      <c r="O1557" s="1" t="s">
        <v>379</v>
      </c>
    </row>
    <row r="1558" spans="1:15" x14ac:dyDescent="0.25">
      <c r="A1558" s="71">
        <v>46194</v>
      </c>
      <c r="B1558" s="1" t="s">
        <v>329</v>
      </c>
      <c r="C1558" s="3" t="str">
        <f>VLOOKUP(B1558,'[7]Migrasi Bed'!$B$4:$E$521,4,0)</f>
        <v>ST.B007</v>
      </c>
      <c r="D1558" s="28">
        <f t="shared" si="405"/>
        <v>46217</v>
      </c>
      <c r="E1558" s="28">
        <f t="shared" si="406"/>
        <v>46201</v>
      </c>
      <c r="F1558" s="28">
        <f t="shared" si="407"/>
        <v>46208</v>
      </c>
      <c r="G1558" s="28">
        <f t="shared" si="408"/>
        <v>46214</v>
      </c>
      <c r="H1558" s="28">
        <f t="shared" si="409"/>
        <v>46202</v>
      </c>
      <c r="I1558" s="28">
        <f t="shared" si="410"/>
        <v>46209</v>
      </c>
      <c r="J1558" s="28"/>
      <c r="K1558" s="1"/>
      <c r="L1558" s="1"/>
      <c r="M1558" s="1"/>
      <c r="N1558" s="1">
        <v>0</v>
      </c>
      <c r="O1558" s="1" t="s">
        <v>379</v>
      </c>
    </row>
    <row r="1559" spans="1:15" x14ac:dyDescent="0.25">
      <c r="A1559" s="71">
        <v>46194</v>
      </c>
      <c r="B1559" s="1" t="s">
        <v>330</v>
      </c>
      <c r="C1559" s="3" t="str">
        <f>VLOOKUP(B1559,'[7]Migrasi Bed'!$B$4:$E$521,4,0)</f>
        <v>ST.B008</v>
      </c>
      <c r="D1559" s="28">
        <f t="shared" si="405"/>
        <v>46217</v>
      </c>
      <c r="E1559" s="28">
        <f t="shared" si="406"/>
        <v>46201</v>
      </c>
      <c r="F1559" s="28">
        <f t="shared" si="407"/>
        <v>46208</v>
      </c>
      <c r="G1559" s="28">
        <f t="shared" si="408"/>
        <v>46214</v>
      </c>
      <c r="H1559" s="28">
        <f t="shared" si="409"/>
        <v>46202</v>
      </c>
      <c r="I1559" s="28">
        <f t="shared" si="410"/>
        <v>46209</v>
      </c>
      <c r="J1559" s="28"/>
      <c r="K1559" s="1"/>
      <c r="L1559" s="1"/>
      <c r="M1559" s="1"/>
      <c r="N1559" s="1">
        <v>0</v>
      </c>
      <c r="O1559" s="1" t="s">
        <v>379</v>
      </c>
    </row>
    <row r="1560" spans="1:15" x14ac:dyDescent="0.25">
      <c r="A1560" s="71">
        <v>46194</v>
      </c>
      <c r="B1560" s="1" t="s">
        <v>331</v>
      </c>
      <c r="C1560" s="3" t="str">
        <f>VLOOKUP(B1560,'[7]Migrasi Bed'!$B$4:$E$521,4,0)</f>
        <v>ST.B009</v>
      </c>
      <c r="D1560" s="28">
        <f t="shared" si="405"/>
        <v>46217</v>
      </c>
      <c r="E1560" s="28">
        <f t="shared" si="406"/>
        <v>46201</v>
      </c>
      <c r="F1560" s="28">
        <f t="shared" si="407"/>
        <v>46208</v>
      </c>
      <c r="G1560" s="28">
        <f t="shared" si="408"/>
        <v>46214</v>
      </c>
      <c r="H1560" s="28">
        <f t="shared" si="409"/>
        <v>46202</v>
      </c>
      <c r="I1560" s="28">
        <f t="shared" si="410"/>
        <v>46209</v>
      </c>
      <c r="J1560" s="28"/>
      <c r="K1560" s="1"/>
      <c r="L1560" s="1"/>
      <c r="M1560" s="1"/>
      <c r="N1560" s="1">
        <v>0</v>
      </c>
      <c r="O1560" s="1" t="s">
        <v>379</v>
      </c>
    </row>
    <row r="1561" spans="1:15" x14ac:dyDescent="0.25">
      <c r="A1561" s="71">
        <v>46195</v>
      </c>
      <c r="B1561" s="1" t="s">
        <v>324</v>
      </c>
      <c r="C1561" s="3" t="str">
        <f>VLOOKUP(B1561,'[7]Migrasi Bed'!$B$4:$E$521,4,0)</f>
        <v>ST.B002</v>
      </c>
      <c r="D1561" s="28">
        <f t="shared" si="405"/>
        <v>46218</v>
      </c>
      <c r="E1561" s="28">
        <f t="shared" si="406"/>
        <v>46202</v>
      </c>
      <c r="F1561" s="28">
        <f t="shared" si="407"/>
        <v>46209</v>
      </c>
      <c r="G1561" s="28">
        <f t="shared" si="408"/>
        <v>46215</v>
      </c>
      <c r="H1561" s="28">
        <f t="shared" si="409"/>
        <v>46203</v>
      </c>
      <c r="I1561" s="28">
        <f t="shared" si="410"/>
        <v>46210</v>
      </c>
      <c r="J1561" s="28"/>
      <c r="K1561" s="1"/>
      <c r="L1561" s="1"/>
      <c r="M1561" s="1"/>
      <c r="N1561" s="1">
        <v>0</v>
      </c>
      <c r="O1561" s="1" t="s">
        <v>379</v>
      </c>
    </row>
    <row r="1562" spans="1:15" x14ac:dyDescent="0.25">
      <c r="A1562" s="71">
        <v>46195</v>
      </c>
      <c r="B1562" s="1" t="s">
        <v>303</v>
      </c>
      <c r="C1562" s="3" t="str">
        <f>VLOOKUP(B1562,'[7]Migrasi Bed'!$B$4:$E$521,4,0)</f>
        <v>ST.A001</v>
      </c>
      <c r="D1562" s="28">
        <f t="shared" si="405"/>
        <v>46218</v>
      </c>
      <c r="E1562" s="28">
        <f t="shared" si="406"/>
        <v>46202</v>
      </c>
      <c r="F1562" s="28">
        <f t="shared" si="407"/>
        <v>46209</v>
      </c>
      <c r="G1562" s="28">
        <f t="shared" si="408"/>
        <v>46215</v>
      </c>
      <c r="H1562" s="28">
        <f t="shared" si="409"/>
        <v>46203</v>
      </c>
      <c r="I1562" s="28">
        <f t="shared" si="410"/>
        <v>46210</v>
      </c>
      <c r="J1562" s="28"/>
      <c r="K1562" s="1"/>
      <c r="L1562" s="1"/>
      <c r="M1562" s="1"/>
      <c r="N1562" s="1">
        <v>0</v>
      </c>
      <c r="O1562" s="1" t="s">
        <v>379</v>
      </c>
    </row>
    <row r="1563" spans="1:15" x14ac:dyDescent="0.25">
      <c r="A1563" s="71">
        <v>46195</v>
      </c>
      <c r="B1563" s="1" t="s">
        <v>304</v>
      </c>
      <c r="C1563" s="3" t="str">
        <f>VLOOKUP(B1563,'[7]Migrasi Bed'!$B$4:$E$521,4,0)</f>
        <v>ST.A002</v>
      </c>
      <c r="D1563" s="28">
        <f t="shared" si="405"/>
        <v>46218</v>
      </c>
      <c r="E1563" s="28">
        <f t="shared" si="406"/>
        <v>46202</v>
      </c>
      <c r="F1563" s="28">
        <f t="shared" si="407"/>
        <v>46209</v>
      </c>
      <c r="G1563" s="28">
        <f t="shared" si="408"/>
        <v>46215</v>
      </c>
      <c r="H1563" s="28">
        <f t="shared" si="409"/>
        <v>46203</v>
      </c>
      <c r="I1563" s="28">
        <f t="shared" si="410"/>
        <v>46210</v>
      </c>
      <c r="J1563" s="28"/>
      <c r="K1563" s="1"/>
      <c r="L1563" s="1"/>
      <c r="M1563" s="1"/>
      <c r="N1563" s="1">
        <v>0</v>
      </c>
      <c r="O1563" s="1" t="s">
        <v>379</v>
      </c>
    </row>
    <row r="1564" spans="1:15" x14ac:dyDescent="0.25">
      <c r="A1564" s="71">
        <v>46195</v>
      </c>
      <c r="B1564" s="1" t="s">
        <v>305</v>
      </c>
      <c r="C1564" s="3" t="str">
        <f>VLOOKUP(B1564,'[7]Migrasi Bed'!$B$4:$E$521,4,0)</f>
        <v>ST.A003</v>
      </c>
      <c r="D1564" s="28">
        <f t="shared" si="405"/>
        <v>46218</v>
      </c>
      <c r="E1564" s="28">
        <f t="shared" si="406"/>
        <v>46202</v>
      </c>
      <c r="F1564" s="28">
        <f t="shared" si="407"/>
        <v>46209</v>
      </c>
      <c r="G1564" s="28">
        <f t="shared" si="408"/>
        <v>46215</v>
      </c>
      <c r="H1564" s="28">
        <f t="shared" si="409"/>
        <v>46203</v>
      </c>
      <c r="I1564" s="28">
        <f t="shared" si="410"/>
        <v>46210</v>
      </c>
      <c r="J1564" s="28"/>
      <c r="K1564" s="1"/>
      <c r="L1564" s="1"/>
      <c r="M1564" s="1"/>
      <c r="N1564" s="1">
        <v>0</v>
      </c>
      <c r="O1564" s="1" t="s">
        <v>379</v>
      </c>
    </row>
    <row r="1565" spans="1:15" x14ac:dyDescent="0.25">
      <c r="A1565" s="71">
        <v>46195</v>
      </c>
      <c r="B1565" s="1" t="s">
        <v>306</v>
      </c>
      <c r="C1565" s="3" t="str">
        <f>VLOOKUP(B1565,'[7]Migrasi Bed'!$B$4:$E$521,4,0)</f>
        <v>ST.A004</v>
      </c>
      <c r="D1565" s="28">
        <f t="shared" si="405"/>
        <v>46218</v>
      </c>
      <c r="E1565" s="28">
        <f t="shared" si="406"/>
        <v>46202</v>
      </c>
      <c r="F1565" s="28">
        <f t="shared" si="407"/>
        <v>46209</v>
      </c>
      <c r="G1565" s="28">
        <f t="shared" si="408"/>
        <v>46215</v>
      </c>
      <c r="H1565" s="28">
        <f t="shared" si="409"/>
        <v>46203</v>
      </c>
      <c r="I1565" s="28">
        <f t="shared" si="410"/>
        <v>46210</v>
      </c>
      <c r="J1565" s="28"/>
      <c r="K1565" s="1"/>
      <c r="L1565" s="1"/>
      <c r="M1565" s="1"/>
      <c r="N1565" s="1">
        <v>0</v>
      </c>
      <c r="O1565" s="1" t="s">
        <v>379</v>
      </c>
    </row>
    <row r="1566" spans="1:15" x14ac:dyDescent="0.25">
      <c r="A1566" s="71">
        <v>46195</v>
      </c>
      <c r="B1566" s="1" t="s">
        <v>307</v>
      </c>
      <c r="C1566" s="3" t="str">
        <f>VLOOKUP(B1566,'[7]Migrasi Bed'!$B$4:$E$521,4,0)</f>
        <v>ST.A005</v>
      </c>
      <c r="D1566" s="28">
        <f t="shared" si="405"/>
        <v>46218</v>
      </c>
      <c r="E1566" s="28">
        <f t="shared" si="406"/>
        <v>46202</v>
      </c>
      <c r="F1566" s="28">
        <f t="shared" si="407"/>
        <v>46209</v>
      </c>
      <c r="G1566" s="28">
        <f t="shared" si="408"/>
        <v>46215</v>
      </c>
      <c r="H1566" s="28">
        <f t="shared" si="409"/>
        <v>46203</v>
      </c>
      <c r="I1566" s="28">
        <f t="shared" si="410"/>
        <v>46210</v>
      </c>
      <c r="J1566" s="28"/>
      <c r="K1566" s="1"/>
      <c r="L1566" s="1"/>
      <c r="M1566" s="1"/>
      <c r="N1566" s="1">
        <v>0</v>
      </c>
      <c r="O1566" s="1" t="s">
        <v>379</v>
      </c>
    </row>
    <row r="1567" spans="1:15" x14ac:dyDescent="0.25">
      <c r="A1567" s="71">
        <v>46195</v>
      </c>
      <c r="B1567" s="1" t="s">
        <v>308</v>
      </c>
      <c r="C1567" s="3" t="str">
        <f>VLOOKUP(B1567,'[7]Migrasi Bed'!$B$4:$E$521,4,0)</f>
        <v>ST.A006</v>
      </c>
      <c r="D1567" s="28">
        <f t="shared" si="405"/>
        <v>46218</v>
      </c>
      <c r="E1567" s="28">
        <f t="shared" si="406"/>
        <v>46202</v>
      </c>
      <c r="F1567" s="28">
        <f t="shared" si="407"/>
        <v>46209</v>
      </c>
      <c r="G1567" s="28">
        <f t="shared" si="408"/>
        <v>46215</v>
      </c>
      <c r="H1567" s="28">
        <f t="shared" si="409"/>
        <v>46203</v>
      </c>
      <c r="I1567" s="28">
        <f t="shared" si="410"/>
        <v>46210</v>
      </c>
      <c r="J1567" s="28"/>
      <c r="K1567" s="1"/>
      <c r="L1567" s="1"/>
      <c r="M1567" s="1"/>
      <c r="N1567" s="1">
        <v>0</v>
      </c>
      <c r="O1567" s="1" t="s">
        <v>379</v>
      </c>
    </row>
    <row r="1568" spans="1:15" x14ac:dyDescent="0.25">
      <c r="A1568" s="71">
        <v>46196</v>
      </c>
      <c r="B1568" s="1" t="s">
        <v>309</v>
      </c>
      <c r="C1568" s="3" t="str">
        <f>VLOOKUP(B1568,'[7]Migrasi Bed'!$B$4:$E$521,4,0)</f>
        <v>ST.A007</v>
      </c>
      <c r="D1568" s="28">
        <f t="shared" si="405"/>
        <v>46219</v>
      </c>
      <c r="E1568" s="28">
        <f t="shared" si="406"/>
        <v>46203</v>
      </c>
      <c r="F1568" s="28">
        <f t="shared" si="407"/>
        <v>46210</v>
      </c>
      <c r="G1568" s="28">
        <f t="shared" si="408"/>
        <v>46216</v>
      </c>
      <c r="H1568" s="28">
        <f t="shared" si="409"/>
        <v>46204</v>
      </c>
      <c r="I1568" s="28">
        <f t="shared" si="410"/>
        <v>46211</v>
      </c>
      <c r="J1568" s="28"/>
      <c r="K1568" s="1"/>
      <c r="L1568" s="1"/>
      <c r="M1568" s="1"/>
      <c r="N1568" s="1">
        <v>0</v>
      </c>
      <c r="O1568" s="1" t="s">
        <v>379</v>
      </c>
    </row>
    <row r="1569" spans="1:15" x14ac:dyDescent="0.25">
      <c r="A1569" s="71">
        <v>46196</v>
      </c>
      <c r="B1569" s="1" t="s">
        <v>310</v>
      </c>
      <c r="C1569" s="3" t="str">
        <f>VLOOKUP(B1569,'[7]Migrasi Bed'!$B$4:$E$521,4,0)</f>
        <v>ST.A008</v>
      </c>
      <c r="D1569" s="28">
        <f t="shared" si="405"/>
        <v>46219</v>
      </c>
      <c r="E1569" s="28">
        <f t="shared" si="406"/>
        <v>46203</v>
      </c>
      <c r="F1569" s="28">
        <f t="shared" si="407"/>
        <v>46210</v>
      </c>
      <c r="G1569" s="28">
        <f t="shared" si="408"/>
        <v>46216</v>
      </c>
      <c r="H1569" s="28">
        <f t="shared" si="409"/>
        <v>46204</v>
      </c>
      <c r="I1569" s="28">
        <f t="shared" si="410"/>
        <v>46211</v>
      </c>
      <c r="J1569" s="28"/>
      <c r="K1569" s="1"/>
      <c r="L1569" s="1"/>
      <c r="M1569" s="1"/>
      <c r="N1569" s="1">
        <v>0</v>
      </c>
      <c r="O1569" s="1" t="s">
        <v>379</v>
      </c>
    </row>
    <row r="1570" spans="1:15" x14ac:dyDescent="0.25">
      <c r="A1570" s="71">
        <v>46196</v>
      </c>
      <c r="B1570" s="1" t="s">
        <v>311</v>
      </c>
      <c r="C1570" s="3" t="str">
        <f>VLOOKUP(B1570,'[7]Migrasi Bed'!$B$4:$E$521,4,0)</f>
        <v>ST.A009</v>
      </c>
      <c r="D1570" s="28">
        <f t="shared" ref="D1570:D1617" si="411">A1570+23</f>
        <v>46219</v>
      </c>
      <c r="E1570" s="28">
        <f t="shared" ref="E1570:E1617" si="412">A1570+7</f>
        <v>46203</v>
      </c>
      <c r="F1570" s="28">
        <f t="shared" ref="F1570:F1617" si="413">A1570+14</f>
        <v>46210</v>
      </c>
      <c r="G1570" s="28">
        <f t="shared" ref="G1570:G1617" si="414">A1570+20</f>
        <v>46216</v>
      </c>
      <c r="H1570" s="28">
        <f t="shared" ref="H1570:H1617" si="415">A1570+8</f>
        <v>46204</v>
      </c>
      <c r="I1570" s="28">
        <f t="shared" ref="I1570:I1617" si="416">A1570+15</f>
        <v>46211</v>
      </c>
      <c r="J1570" s="28"/>
      <c r="K1570" s="1"/>
      <c r="L1570" s="1"/>
      <c r="M1570" s="1"/>
      <c r="N1570" s="1">
        <v>0</v>
      </c>
      <c r="O1570" s="1" t="s">
        <v>379</v>
      </c>
    </row>
    <row r="1571" spans="1:15" x14ac:dyDescent="0.25">
      <c r="A1571" s="71">
        <v>46196</v>
      </c>
      <c r="B1571" s="1" t="s">
        <v>312</v>
      </c>
      <c r="C1571" s="3" t="str">
        <f>VLOOKUP(B1571,'[7]Migrasi Bed'!$B$4:$E$521,4,0)</f>
        <v>ST.A010</v>
      </c>
      <c r="D1571" s="28">
        <f t="shared" si="411"/>
        <v>46219</v>
      </c>
      <c r="E1571" s="28">
        <f t="shared" si="412"/>
        <v>46203</v>
      </c>
      <c r="F1571" s="28">
        <f t="shared" si="413"/>
        <v>46210</v>
      </c>
      <c r="G1571" s="28">
        <f t="shared" si="414"/>
        <v>46216</v>
      </c>
      <c r="H1571" s="28">
        <f t="shared" si="415"/>
        <v>46204</v>
      </c>
      <c r="I1571" s="28">
        <f t="shared" si="416"/>
        <v>46211</v>
      </c>
      <c r="J1571" s="28"/>
      <c r="K1571" s="1"/>
      <c r="L1571" s="1"/>
      <c r="M1571" s="1"/>
      <c r="N1571" s="1">
        <v>0</v>
      </c>
      <c r="O1571" s="1" t="s">
        <v>379</v>
      </c>
    </row>
    <row r="1572" spans="1:15" x14ac:dyDescent="0.25">
      <c r="A1572" s="71">
        <v>46196</v>
      </c>
      <c r="B1572" s="1" t="s">
        <v>313</v>
      </c>
      <c r="C1572" s="3" t="str">
        <f>VLOOKUP(B1572,'[7]Migrasi Bed'!$B$4:$E$521,4,0)</f>
        <v>ST.A011</v>
      </c>
      <c r="D1572" s="28">
        <f t="shared" si="411"/>
        <v>46219</v>
      </c>
      <c r="E1572" s="28">
        <f t="shared" si="412"/>
        <v>46203</v>
      </c>
      <c r="F1572" s="28">
        <f t="shared" si="413"/>
        <v>46210</v>
      </c>
      <c r="G1572" s="28">
        <f t="shared" si="414"/>
        <v>46216</v>
      </c>
      <c r="H1572" s="28">
        <f t="shared" si="415"/>
        <v>46204</v>
      </c>
      <c r="I1572" s="28">
        <f t="shared" si="416"/>
        <v>46211</v>
      </c>
      <c r="J1572" s="28"/>
      <c r="K1572" s="1"/>
      <c r="L1572" s="1"/>
      <c r="M1572" s="1"/>
      <c r="N1572" s="1">
        <v>0</v>
      </c>
      <c r="O1572" s="1" t="s">
        <v>379</v>
      </c>
    </row>
    <row r="1573" spans="1:15" x14ac:dyDescent="0.25">
      <c r="A1573" s="71">
        <v>46196</v>
      </c>
      <c r="B1573" s="1" t="s">
        <v>314</v>
      </c>
      <c r="C1573" s="3" t="str">
        <f>VLOOKUP(B1573,'[7]Migrasi Bed'!$B$4:$E$521,4,0)</f>
        <v>ST.A012</v>
      </c>
      <c r="D1573" s="28">
        <f t="shared" si="411"/>
        <v>46219</v>
      </c>
      <c r="E1573" s="28">
        <f t="shared" si="412"/>
        <v>46203</v>
      </c>
      <c r="F1573" s="28">
        <f t="shared" si="413"/>
        <v>46210</v>
      </c>
      <c r="G1573" s="28">
        <f t="shared" si="414"/>
        <v>46216</v>
      </c>
      <c r="H1573" s="28">
        <f t="shared" si="415"/>
        <v>46204</v>
      </c>
      <c r="I1573" s="28">
        <f t="shared" si="416"/>
        <v>46211</v>
      </c>
      <c r="J1573" s="28"/>
      <c r="K1573" s="1"/>
      <c r="L1573" s="1"/>
      <c r="M1573" s="1"/>
      <c r="N1573" s="1">
        <v>0</v>
      </c>
      <c r="O1573" s="1" t="s">
        <v>379</v>
      </c>
    </row>
    <row r="1574" spans="1:15" x14ac:dyDescent="0.25">
      <c r="A1574" s="71">
        <v>46196</v>
      </c>
      <c r="B1574" s="1" t="s">
        <v>315</v>
      </c>
      <c r="C1574" s="3" t="str">
        <f>VLOOKUP(B1574,'[7]Migrasi Bed'!$B$4:$E$521,4,0)</f>
        <v>ST.A013</v>
      </c>
      <c r="D1574" s="28">
        <f t="shared" si="411"/>
        <v>46219</v>
      </c>
      <c r="E1574" s="28">
        <f t="shared" si="412"/>
        <v>46203</v>
      </c>
      <c r="F1574" s="28">
        <f t="shared" si="413"/>
        <v>46210</v>
      </c>
      <c r="G1574" s="28">
        <f t="shared" si="414"/>
        <v>46216</v>
      </c>
      <c r="H1574" s="28">
        <f t="shared" si="415"/>
        <v>46204</v>
      </c>
      <c r="I1574" s="28">
        <f t="shared" si="416"/>
        <v>46211</v>
      </c>
      <c r="J1574" s="28"/>
      <c r="K1574" s="1"/>
      <c r="L1574" s="1"/>
      <c r="M1574" s="1"/>
      <c r="N1574" s="1">
        <v>0</v>
      </c>
      <c r="O1574" s="1" t="s">
        <v>379</v>
      </c>
    </row>
    <row r="1575" spans="1:15" x14ac:dyDescent="0.25">
      <c r="A1575" s="71">
        <v>46197</v>
      </c>
      <c r="B1575" s="1" t="s">
        <v>316</v>
      </c>
      <c r="C1575" s="3" t="str">
        <f>VLOOKUP(B1575,'[7]Migrasi Bed'!$B$4:$E$521,4,0)</f>
        <v>ST.A014</v>
      </c>
      <c r="D1575" s="28">
        <f t="shared" si="411"/>
        <v>46220</v>
      </c>
      <c r="E1575" s="28">
        <f t="shared" si="412"/>
        <v>46204</v>
      </c>
      <c r="F1575" s="28">
        <f t="shared" si="413"/>
        <v>46211</v>
      </c>
      <c r="G1575" s="28">
        <f t="shared" si="414"/>
        <v>46217</v>
      </c>
      <c r="H1575" s="28">
        <f t="shared" si="415"/>
        <v>46205</v>
      </c>
      <c r="I1575" s="28">
        <f t="shared" si="416"/>
        <v>46212</v>
      </c>
      <c r="J1575" s="28"/>
      <c r="K1575" s="1"/>
      <c r="L1575" s="1"/>
      <c r="M1575" s="1"/>
      <c r="N1575" s="1">
        <v>0</v>
      </c>
      <c r="O1575" s="1" t="s">
        <v>379</v>
      </c>
    </row>
    <row r="1576" spans="1:15" x14ac:dyDescent="0.25">
      <c r="A1576" s="71">
        <v>46197</v>
      </c>
      <c r="B1576" s="1" t="s">
        <v>317</v>
      </c>
      <c r="C1576" s="3" t="str">
        <f>VLOOKUP(B1576,'[7]Migrasi Bed'!$B$4:$E$521,4,0)</f>
        <v>ST.A015</v>
      </c>
      <c r="D1576" s="28">
        <f t="shared" si="411"/>
        <v>46220</v>
      </c>
      <c r="E1576" s="28">
        <f t="shared" si="412"/>
        <v>46204</v>
      </c>
      <c r="F1576" s="28">
        <f t="shared" si="413"/>
        <v>46211</v>
      </c>
      <c r="G1576" s="28">
        <f t="shared" si="414"/>
        <v>46217</v>
      </c>
      <c r="H1576" s="28">
        <f t="shared" si="415"/>
        <v>46205</v>
      </c>
      <c r="I1576" s="28">
        <f t="shared" si="416"/>
        <v>46212</v>
      </c>
      <c r="J1576" s="28"/>
      <c r="K1576" s="1"/>
      <c r="L1576" s="1"/>
      <c r="M1576" s="1"/>
      <c r="N1576" s="1">
        <v>0</v>
      </c>
      <c r="O1576" s="1" t="s">
        <v>379</v>
      </c>
    </row>
    <row r="1577" spans="1:15" x14ac:dyDescent="0.25">
      <c r="A1577" s="71">
        <v>46197</v>
      </c>
      <c r="B1577" s="1" t="s">
        <v>318</v>
      </c>
      <c r="C1577" s="3" t="str">
        <f>VLOOKUP(B1577,'[7]Migrasi Bed'!$B$4:$E$521,4,0)</f>
        <v>ST.A016</v>
      </c>
      <c r="D1577" s="28">
        <f t="shared" si="411"/>
        <v>46220</v>
      </c>
      <c r="E1577" s="28">
        <f t="shared" si="412"/>
        <v>46204</v>
      </c>
      <c r="F1577" s="28">
        <f t="shared" si="413"/>
        <v>46211</v>
      </c>
      <c r="G1577" s="28">
        <f t="shared" si="414"/>
        <v>46217</v>
      </c>
      <c r="H1577" s="28">
        <f t="shared" si="415"/>
        <v>46205</v>
      </c>
      <c r="I1577" s="28">
        <f t="shared" si="416"/>
        <v>46212</v>
      </c>
      <c r="J1577" s="28"/>
      <c r="K1577" s="1"/>
      <c r="L1577" s="1"/>
      <c r="M1577" s="1"/>
      <c r="N1577" s="1">
        <v>0</v>
      </c>
      <c r="O1577" s="1" t="s">
        <v>379</v>
      </c>
    </row>
    <row r="1578" spans="1:15" x14ac:dyDescent="0.25">
      <c r="A1578" s="71">
        <v>46197</v>
      </c>
      <c r="B1578" s="1" t="s">
        <v>319</v>
      </c>
      <c r="C1578" s="3" t="str">
        <f>VLOOKUP(B1578,'[7]Migrasi Bed'!$B$4:$E$521,4,0)</f>
        <v>ST.A017</v>
      </c>
      <c r="D1578" s="28">
        <f t="shared" si="411"/>
        <v>46220</v>
      </c>
      <c r="E1578" s="28">
        <f t="shared" si="412"/>
        <v>46204</v>
      </c>
      <c r="F1578" s="28">
        <f t="shared" si="413"/>
        <v>46211</v>
      </c>
      <c r="G1578" s="28">
        <f t="shared" si="414"/>
        <v>46217</v>
      </c>
      <c r="H1578" s="28">
        <f t="shared" si="415"/>
        <v>46205</v>
      </c>
      <c r="I1578" s="28">
        <f t="shared" si="416"/>
        <v>46212</v>
      </c>
      <c r="J1578" s="28"/>
      <c r="K1578" s="1"/>
      <c r="L1578" s="1"/>
      <c r="M1578" s="1"/>
      <c r="N1578" s="1">
        <v>0</v>
      </c>
      <c r="O1578" s="1" t="s">
        <v>379</v>
      </c>
    </row>
    <row r="1579" spans="1:15" x14ac:dyDescent="0.25">
      <c r="A1579" s="71">
        <v>46197</v>
      </c>
      <c r="B1579" s="1" t="s">
        <v>320</v>
      </c>
      <c r="C1579" s="3" t="str">
        <f>VLOOKUP(B1579,'[7]Migrasi Bed'!$B$4:$E$521,4,0)</f>
        <v>ST.A018</v>
      </c>
      <c r="D1579" s="28">
        <f t="shared" si="411"/>
        <v>46220</v>
      </c>
      <c r="E1579" s="28">
        <f t="shared" si="412"/>
        <v>46204</v>
      </c>
      <c r="F1579" s="28">
        <f t="shared" si="413"/>
        <v>46211</v>
      </c>
      <c r="G1579" s="28">
        <f t="shared" si="414"/>
        <v>46217</v>
      </c>
      <c r="H1579" s="28">
        <f t="shared" si="415"/>
        <v>46205</v>
      </c>
      <c r="I1579" s="28">
        <f t="shared" si="416"/>
        <v>46212</v>
      </c>
      <c r="J1579" s="28"/>
      <c r="K1579" s="1"/>
      <c r="L1579" s="1"/>
      <c r="M1579" s="1"/>
      <c r="N1579" s="1">
        <v>0</v>
      </c>
      <c r="O1579" s="1" t="s">
        <v>379</v>
      </c>
    </row>
    <row r="1580" spans="1:15" x14ac:dyDescent="0.25">
      <c r="A1580" s="71">
        <v>46197</v>
      </c>
      <c r="B1580" s="1" t="s">
        <v>321</v>
      </c>
      <c r="C1580" s="3" t="str">
        <f>VLOOKUP(B1580,'[7]Migrasi Bed'!$B$4:$E$521,4,0)</f>
        <v>ST.A019</v>
      </c>
      <c r="D1580" s="28">
        <f t="shared" si="411"/>
        <v>46220</v>
      </c>
      <c r="E1580" s="28">
        <f t="shared" si="412"/>
        <v>46204</v>
      </c>
      <c r="F1580" s="28">
        <f t="shared" si="413"/>
        <v>46211</v>
      </c>
      <c r="G1580" s="28">
        <f t="shared" si="414"/>
        <v>46217</v>
      </c>
      <c r="H1580" s="28">
        <f t="shared" si="415"/>
        <v>46205</v>
      </c>
      <c r="I1580" s="28">
        <f t="shared" si="416"/>
        <v>46212</v>
      </c>
      <c r="J1580" s="28"/>
      <c r="K1580" s="1"/>
      <c r="L1580" s="1"/>
      <c r="M1580" s="1"/>
      <c r="N1580" s="1">
        <v>0</v>
      </c>
      <c r="O1580" s="1" t="s">
        <v>379</v>
      </c>
    </row>
    <row r="1581" spans="1:15" x14ac:dyDescent="0.25">
      <c r="A1581" s="71">
        <v>46197</v>
      </c>
      <c r="B1581" s="1" t="s">
        <v>322</v>
      </c>
      <c r="C1581" s="3" t="str">
        <f>VLOOKUP(B1581,'[7]Migrasi Bed'!$B$4:$E$521,4,0)</f>
        <v>ST.A020</v>
      </c>
      <c r="D1581" s="28">
        <f t="shared" si="411"/>
        <v>46220</v>
      </c>
      <c r="E1581" s="28">
        <f t="shared" si="412"/>
        <v>46204</v>
      </c>
      <c r="F1581" s="28">
        <f t="shared" si="413"/>
        <v>46211</v>
      </c>
      <c r="G1581" s="28">
        <f t="shared" si="414"/>
        <v>46217</v>
      </c>
      <c r="H1581" s="28">
        <f t="shared" si="415"/>
        <v>46205</v>
      </c>
      <c r="I1581" s="28">
        <f t="shared" si="416"/>
        <v>46212</v>
      </c>
      <c r="J1581" s="28"/>
      <c r="K1581" s="1"/>
      <c r="L1581" s="1"/>
      <c r="M1581" s="1"/>
      <c r="N1581" s="1">
        <v>0</v>
      </c>
      <c r="O1581" s="1" t="s">
        <v>379</v>
      </c>
    </row>
    <row r="1582" spans="1:15" x14ac:dyDescent="0.25">
      <c r="A1582" s="71">
        <v>46197</v>
      </c>
      <c r="B1582" s="1" t="s">
        <v>323</v>
      </c>
      <c r="C1582" s="3" t="str">
        <f>VLOOKUP(B1582,'[7]Migrasi Bed'!$B$4:$E$521,4,0)</f>
        <v>ST.A021</v>
      </c>
      <c r="D1582" s="28">
        <f t="shared" si="411"/>
        <v>46220</v>
      </c>
      <c r="E1582" s="28">
        <f t="shared" si="412"/>
        <v>46204</v>
      </c>
      <c r="F1582" s="28">
        <f t="shared" si="413"/>
        <v>46211</v>
      </c>
      <c r="G1582" s="28">
        <f t="shared" si="414"/>
        <v>46217</v>
      </c>
      <c r="H1582" s="28">
        <f t="shared" si="415"/>
        <v>46205</v>
      </c>
      <c r="I1582" s="28">
        <f t="shared" si="416"/>
        <v>46212</v>
      </c>
      <c r="J1582" s="28"/>
      <c r="K1582" s="1"/>
      <c r="L1582" s="1"/>
      <c r="M1582" s="1"/>
      <c r="N1582" s="1">
        <v>0</v>
      </c>
      <c r="O1582" s="1" t="s">
        <v>379</v>
      </c>
    </row>
    <row r="1583" spans="1:15" x14ac:dyDescent="0.25">
      <c r="A1583" s="71">
        <v>46198</v>
      </c>
      <c r="B1583" s="1" t="s">
        <v>153</v>
      </c>
      <c r="C1583" s="3" t="str">
        <f>VLOOKUP(B1583,'[7]Migrasi Bed'!$B$4:$E$521,4,0)</f>
        <v>SV.F001</v>
      </c>
      <c r="D1583" s="28">
        <f t="shared" si="411"/>
        <v>46221</v>
      </c>
      <c r="E1583" s="28">
        <f t="shared" si="412"/>
        <v>46205</v>
      </c>
      <c r="F1583" s="28">
        <f t="shared" si="413"/>
        <v>46212</v>
      </c>
      <c r="G1583" s="28">
        <f t="shared" si="414"/>
        <v>46218</v>
      </c>
      <c r="H1583" s="28">
        <f t="shared" si="415"/>
        <v>46206</v>
      </c>
      <c r="I1583" s="28">
        <f t="shared" si="416"/>
        <v>46213</v>
      </c>
      <c r="J1583" s="28"/>
      <c r="K1583" s="1"/>
      <c r="L1583" s="1"/>
      <c r="M1583" s="1"/>
      <c r="N1583" s="1">
        <v>0</v>
      </c>
      <c r="O1583" s="1" t="s">
        <v>379</v>
      </c>
    </row>
    <row r="1584" spans="1:15" x14ac:dyDescent="0.25">
      <c r="A1584" s="71">
        <v>46198</v>
      </c>
      <c r="B1584" s="1" t="s">
        <v>154</v>
      </c>
      <c r="C1584" s="3" t="str">
        <f>VLOOKUP(B1584,'[7]Migrasi Bed'!$B$4:$E$521,4,0)</f>
        <v>SV.F002</v>
      </c>
      <c r="D1584" s="28">
        <f t="shared" si="411"/>
        <v>46221</v>
      </c>
      <c r="E1584" s="28">
        <f t="shared" si="412"/>
        <v>46205</v>
      </c>
      <c r="F1584" s="28">
        <f t="shared" si="413"/>
        <v>46212</v>
      </c>
      <c r="G1584" s="28">
        <f t="shared" si="414"/>
        <v>46218</v>
      </c>
      <c r="H1584" s="28">
        <f t="shared" si="415"/>
        <v>46206</v>
      </c>
      <c r="I1584" s="28">
        <f t="shared" si="416"/>
        <v>46213</v>
      </c>
      <c r="J1584" s="28"/>
      <c r="K1584" s="1"/>
      <c r="L1584" s="1"/>
      <c r="M1584" s="1"/>
      <c r="N1584" s="1">
        <v>0</v>
      </c>
      <c r="O1584" s="1" t="s">
        <v>379</v>
      </c>
    </row>
    <row r="1585" spans="1:15" x14ac:dyDescent="0.25">
      <c r="A1585" s="71">
        <v>46198</v>
      </c>
      <c r="B1585" s="1" t="s">
        <v>155</v>
      </c>
      <c r="C1585" s="3" t="str">
        <f>VLOOKUP(B1585,'[7]Migrasi Bed'!$B$4:$E$521,4,0)</f>
        <v>SV.F003</v>
      </c>
      <c r="D1585" s="28">
        <f t="shared" si="411"/>
        <v>46221</v>
      </c>
      <c r="E1585" s="28">
        <f t="shared" si="412"/>
        <v>46205</v>
      </c>
      <c r="F1585" s="28">
        <f t="shared" si="413"/>
        <v>46212</v>
      </c>
      <c r="G1585" s="28">
        <f t="shared" si="414"/>
        <v>46218</v>
      </c>
      <c r="H1585" s="28">
        <f t="shared" si="415"/>
        <v>46206</v>
      </c>
      <c r="I1585" s="28">
        <f t="shared" si="416"/>
        <v>46213</v>
      </c>
      <c r="J1585" s="28"/>
      <c r="K1585" s="1"/>
      <c r="L1585" s="1"/>
      <c r="M1585" s="1"/>
      <c r="N1585" s="1">
        <v>0</v>
      </c>
      <c r="O1585" s="1" t="s">
        <v>379</v>
      </c>
    </row>
    <row r="1586" spans="1:15" x14ac:dyDescent="0.25">
      <c r="A1586" s="71">
        <v>46198</v>
      </c>
      <c r="B1586" s="1" t="s">
        <v>156</v>
      </c>
      <c r="C1586" s="3" t="str">
        <f>VLOOKUP(B1586,'[7]Migrasi Bed'!$B$4:$E$521,4,0)</f>
        <v>SV.F004</v>
      </c>
      <c r="D1586" s="28">
        <f t="shared" si="411"/>
        <v>46221</v>
      </c>
      <c r="E1586" s="28">
        <f t="shared" si="412"/>
        <v>46205</v>
      </c>
      <c r="F1586" s="28">
        <f t="shared" si="413"/>
        <v>46212</v>
      </c>
      <c r="G1586" s="28">
        <f t="shared" si="414"/>
        <v>46218</v>
      </c>
      <c r="H1586" s="28">
        <f t="shared" si="415"/>
        <v>46206</v>
      </c>
      <c r="I1586" s="28">
        <f t="shared" si="416"/>
        <v>46213</v>
      </c>
      <c r="J1586" s="28"/>
      <c r="K1586" s="1"/>
      <c r="L1586" s="1"/>
      <c r="M1586" s="1"/>
      <c r="N1586" s="1">
        <v>0</v>
      </c>
      <c r="O1586" s="1" t="s">
        <v>379</v>
      </c>
    </row>
    <row r="1587" spans="1:15" x14ac:dyDescent="0.25">
      <c r="A1587" s="71">
        <v>46198</v>
      </c>
      <c r="B1587" s="1" t="s">
        <v>157</v>
      </c>
      <c r="C1587" s="3" t="str">
        <f>VLOOKUP(B1587,'[7]Migrasi Bed'!$B$4:$E$521,4,0)</f>
        <v>SV.F005</v>
      </c>
      <c r="D1587" s="28">
        <f t="shared" si="411"/>
        <v>46221</v>
      </c>
      <c r="E1587" s="28">
        <f t="shared" si="412"/>
        <v>46205</v>
      </c>
      <c r="F1587" s="28">
        <f t="shared" si="413"/>
        <v>46212</v>
      </c>
      <c r="G1587" s="28">
        <f t="shared" si="414"/>
        <v>46218</v>
      </c>
      <c r="H1587" s="28">
        <f t="shared" si="415"/>
        <v>46206</v>
      </c>
      <c r="I1587" s="28">
        <f t="shared" si="416"/>
        <v>46213</v>
      </c>
      <c r="J1587" s="28"/>
      <c r="K1587" s="1"/>
      <c r="L1587" s="1"/>
      <c r="M1587" s="1"/>
      <c r="N1587" s="1">
        <v>0</v>
      </c>
      <c r="O1587" s="1" t="s">
        <v>379</v>
      </c>
    </row>
    <row r="1588" spans="1:15" x14ac:dyDescent="0.25">
      <c r="A1588" s="71">
        <v>46198</v>
      </c>
      <c r="B1588" s="1" t="s">
        <v>158</v>
      </c>
      <c r="C1588" s="3" t="str">
        <f>VLOOKUP(B1588,'[7]Migrasi Bed'!$B$4:$E$521,4,0)</f>
        <v>SV.F006</v>
      </c>
      <c r="D1588" s="28">
        <f t="shared" si="411"/>
        <v>46221</v>
      </c>
      <c r="E1588" s="28">
        <f t="shared" si="412"/>
        <v>46205</v>
      </c>
      <c r="F1588" s="28">
        <f t="shared" si="413"/>
        <v>46212</v>
      </c>
      <c r="G1588" s="28">
        <f t="shared" si="414"/>
        <v>46218</v>
      </c>
      <c r="H1588" s="28">
        <f t="shared" si="415"/>
        <v>46206</v>
      </c>
      <c r="I1588" s="28">
        <f t="shared" si="416"/>
        <v>46213</v>
      </c>
      <c r="J1588" s="28"/>
      <c r="K1588" s="1"/>
      <c r="L1588" s="1"/>
      <c r="M1588" s="1"/>
      <c r="N1588" s="1">
        <v>0</v>
      </c>
      <c r="O1588" s="1" t="s">
        <v>379</v>
      </c>
    </row>
    <row r="1589" spans="1:15" x14ac:dyDescent="0.25">
      <c r="A1589" s="71">
        <v>46198</v>
      </c>
      <c r="B1589" s="1" t="s">
        <v>159</v>
      </c>
      <c r="C1589" s="3" t="str">
        <f>VLOOKUP(B1589,'[7]Migrasi Bed'!$B$4:$E$521,4,0)</f>
        <v>SV.F007</v>
      </c>
      <c r="D1589" s="28">
        <f t="shared" si="411"/>
        <v>46221</v>
      </c>
      <c r="E1589" s="28">
        <f t="shared" si="412"/>
        <v>46205</v>
      </c>
      <c r="F1589" s="28">
        <f t="shared" si="413"/>
        <v>46212</v>
      </c>
      <c r="G1589" s="28">
        <f t="shared" si="414"/>
        <v>46218</v>
      </c>
      <c r="H1589" s="28">
        <f t="shared" si="415"/>
        <v>46206</v>
      </c>
      <c r="I1589" s="28">
        <f t="shared" si="416"/>
        <v>46213</v>
      </c>
      <c r="J1589" s="28"/>
      <c r="K1589" s="1"/>
      <c r="L1589" s="1"/>
      <c r="M1589" s="1"/>
      <c r="N1589" s="1">
        <v>0</v>
      </c>
      <c r="O1589" s="1" t="s">
        <v>379</v>
      </c>
    </row>
    <row r="1590" spans="1:15" x14ac:dyDescent="0.25">
      <c r="A1590" s="71">
        <v>46199</v>
      </c>
      <c r="B1590" s="1" t="s">
        <v>173</v>
      </c>
      <c r="C1590" s="3" t="str">
        <f>VLOOKUP(B1590,'[7]Migrasi Bed'!$B$4:$E$521,4,0)</f>
        <v>SV.G001</v>
      </c>
      <c r="D1590" s="28">
        <f t="shared" si="411"/>
        <v>46222</v>
      </c>
      <c r="E1590" s="28">
        <f t="shared" si="412"/>
        <v>46206</v>
      </c>
      <c r="F1590" s="28">
        <f t="shared" si="413"/>
        <v>46213</v>
      </c>
      <c r="G1590" s="28">
        <f t="shared" si="414"/>
        <v>46219</v>
      </c>
      <c r="H1590" s="28">
        <f t="shared" si="415"/>
        <v>46207</v>
      </c>
      <c r="I1590" s="28">
        <f t="shared" si="416"/>
        <v>46214</v>
      </c>
      <c r="J1590" s="28"/>
      <c r="K1590" s="1"/>
      <c r="L1590" s="1"/>
      <c r="M1590" s="1"/>
      <c r="N1590" s="1">
        <v>0</v>
      </c>
      <c r="O1590" s="1" t="s">
        <v>379</v>
      </c>
    </row>
    <row r="1591" spans="1:15" x14ac:dyDescent="0.25">
      <c r="A1591" s="71">
        <v>46199</v>
      </c>
      <c r="B1591" s="1" t="s">
        <v>174</v>
      </c>
      <c r="C1591" s="3" t="str">
        <f>VLOOKUP(B1591,'[7]Migrasi Bed'!$B$4:$E$521,4,0)</f>
        <v>SV.G002</v>
      </c>
      <c r="D1591" s="28">
        <f t="shared" si="411"/>
        <v>46222</v>
      </c>
      <c r="E1591" s="28">
        <f t="shared" si="412"/>
        <v>46206</v>
      </c>
      <c r="F1591" s="28">
        <f t="shared" si="413"/>
        <v>46213</v>
      </c>
      <c r="G1591" s="28">
        <f t="shared" si="414"/>
        <v>46219</v>
      </c>
      <c r="H1591" s="28">
        <f t="shared" si="415"/>
        <v>46207</v>
      </c>
      <c r="I1591" s="28">
        <f t="shared" si="416"/>
        <v>46214</v>
      </c>
      <c r="J1591" s="28"/>
      <c r="K1591" s="1"/>
      <c r="L1591" s="1"/>
      <c r="M1591" s="1"/>
      <c r="N1591" s="1">
        <v>0</v>
      </c>
      <c r="O1591" s="1" t="s">
        <v>379</v>
      </c>
    </row>
    <row r="1592" spans="1:15" x14ac:dyDescent="0.25">
      <c r="A1592" s="71">
        <v>46199</v>
      </c>
      <c r="B1592" s="1" t="s">
        <v>175</v>
      </c>
      <c r="C1592" s="3" t="str">
        <f>VLOOKUP(B1592,'[7]Migrasi Bed'!$B$4:$E$521,4,0)</f>
        <v>SV.G003</v>
      </c>
      <c r="D1592" s="28">
        <f t="shared" si="411"/>
        <v>46222</v>
      </c>
      <c r="E1592" s="28">
        <f t="shared" si="412"/>
        <v>46206</v>
      </c>
      <c r="F1592" s="28">
        <f t="shared" si="413"/>
        <v>46213</v>
      </c>
      <c r="G1592" s="28">
        <f t="shared" si="414"/>
        <v>46219</v>
      </c>
      <c r="H1592" s="28">
        <f t="shared" si="415"/>
        <v>46207</v>
      </c>
      <c r="I1592" s="28">
        <f t="shared" si="416"/>
        <v>46214</v>
      </c>
      <c r="J1592" s="28"/>
      <c r="K1592" s="1"/>
      <c r="L1592" s="1"/>
      <c r="M1592" s="1"/>
      <c r="N1592" s="1">
        <v>0</v>
      </c>
      <c r="O1592" s="1" t="s">
        <v>379</v>
      </c>
    </row>
    <row r="1593" spans="1:15" x14ac:dyDescent="0.25">
      <c r="A1593" s="71">
        <v>46199</v>
      </c>
      <c r="B1593" s="1" t="s">
        <v>176</v>
      </c>
      <c r="C1593" s="3" t="str">
        <f>VLOOKUP(B1593,'[7]Migrasi Bed'!$B$4:$E$521,4,0)</f>
        <v>SV.G004</v>
      </c>
      <c r="D1593" s="28">
        <f t="shared" si="411"/>
        <v>46222</v>
      </c>
      <c r="E1593" s="28">
        <f t="shared" si="412"/>
        <v>46206</v>
      </c>
      <c r="F1593" s="28">
        <f t="shared" si="413"/>
        <v>46213</v>
      </c>
      <c r="G1593" s="28">
        <f t="shared" si="414"/>
        <v>46219</v>
      </c>
      <c r="H1593" s="28">
        <f t="shared" si="415"/>
        <v>46207</v>
      </c>
      <c r="I1593" s="28">
        <f t="shared" si="416"/>
        <v>46214</v>
      </c>
      <c r="J1593" s="28"/>
      <c r="K1593" s="1"/>
      <c r="L1593" s="1"/>
      <c r="M1593" s="1"/>
      <c r="N1593" s="1">
        <v>0</v>
      </c>
      <c r="O1593" s="1" t="s">
        <v>379</v>
      </c>
    </row>
    <row r="1594" spans="1:15" x14ac:dyDescent="0.25">
      <c r="A1594" s="71">
        <v>46199</v>
      </c>
      <c r="B1594" s="1" t="s">
        <v>177</v>
      </c>
      <c r="C1594" s="3" t="str">
        <f>VLOOKUP(B1594,'[7]Migrasi Bed'!$B$4:$E$521,4,0)</f>
        <v>SV.G005</v>
      </c>
      <c r="D1594" s="28">
        <f t="shared" si="411"/>
        <v>46222</v>
      </c>
      <c r="E1594" s="28">
        <f t="shared" si="412"/>
        <v>46206</v>
      </c>
      <c r="F1594" s="28">
        <f t="shared" si="413"/>
        <v>46213</v>
      </c>
      <c r="G1594" s="28">
        <f t="shared" si="414"/>
        <v>46219</v>
      </c>
      <c r="H1594" s="28">
        <f t="shared" si="415"/>
        <v>46207</v>
      </c>
      <c r="I1594" s="28">
        <f t="shared" si="416"/>
        <v>46214</v>
      </c>
      <c r="J1594" s="28"/>
      <c r="K1594" s="1"/>
      <c r="L1594" s="1"/>
      <c r="M1594" s="1"/>
      <c r="N1594" s="1">
        <v>0</v>
      </c>
      <c r="O1594" s="1" t="s">
        <v>379</v>
      </c>
    </row>
    <row r="1595" spans="1:15" x14ac:dyDescent="0.25">
      <c r="A1595" s="71">
        <v>46199</v>
      </c>
      <c r="B1595" s="1" t="s">
        <v>178</v>
      </c>
      <c r="C1595" s="3" t="str">
        <f>VLOOKUP(B1595,'[7]Migrasi Bed'!$B$4:$E$521,4,0)</f>
        <v>SV.G006</v>
      </c>
      <c r="D1595" s="28">
        <f t="shared" si="411"/>
        <v>46222</v>
      </c>
      <c r="E1595" s="28">
        <f t="shared" si="412"/>
        <v>46206</v>
      </c>
      <c r="F1595" s="28">
        <f t="shared" si="413"/>
        <v>46213</v>
      </c>
      <c r="G1595" s="28">
        <f t="shared" si="414"/>
        <v>46219</v>
      </c>
      <c r="H1595" s="28">
        <f t="shared" si="415"/>
        <v>46207</v>
      </c>
      <c r="I1595" s="28">
        <f t="shared" si="416"/>
        <v>46214</v>
      </c>
      <c r="J1595" s="28"/>
      <c r="K1595" s="1"/>
      <c r="L1595" s="1"/>
      <c r="M1595" s="1"/>
      <c r="N1595" s="1">
        <v>0</v>
      </c>
      <c r="O1595" s="1" t="s">
        <v>379</v>
      </c>
    </row>
    <row r="1596" spans="1:15" x14ac:dyDescent="0.25">
      <c r="A1596" s="71">
        <v>46199</v>
      </c>
      <c r="B1596" s="1" t="s">
        <v>179</v>
      </c>
      <c r="C1596" s="3" t="str">
        <f>VLOOKUP(B1596,'[7]Migrasi Bed'!$B$4:$E$521,4,0)</f>
        <v>SV.G007</v>
      </c>
      <c r="D1596" s="28">
        <f t="shared" si="411"/>
        <v>46222</v>
      </c>
      <c r="E1596" s="28">
        <f t="shared" si="412"/>
        <v>46206</v>
      </c>
      <c r="F1596" s="28">
        <f t="shared" si="413"/>
        <v>46213</v>
      </c>
      <c r="G1596" s="28">
        <f t="shared" si="414"/>
        <v>46219</v>
      </c>
      <c r="H1596" s="28">
        <f t="shared" si="415"/>
        <v>46207</v>
      </c>
      <c r="I1596" s="28">
        <f t="shared" si="416"/>
        <v>46214</v>
      </c>
      <c r="J1596" s="28"/>
      <c r="K1596" s="1"/>
      <c r="L1596" s="1"/>
      <c r="M1596" s="1"/>
      <c r="N1596" s="1">
        <v>0</v>
      </c>
      <c r="O1596" s="1" t="s">
        <v>379</v>
      </c>
    </row>
    <row r="1597" spans="1:15" x14ac:dyDescent="0.25">
      <c r="A1597" s="71">
        <v>46200</v>
      </c>
      <c r="B1597" s="1" t="s">
        <v>160</v>
      </c>
      <c r="C1597" s="3" t="str">
        <f>VLOOKUP(B1597,'[7]Migrasi Bed'!$B$4:$E$521,4,0)</f>
        <v>SV.F008</v>
      </c>
      <c r="D1597" s="28">
        <f t="shared" si="411"/>
        <v>46223</v>
      </c>
      <c r="E1597" s="28">
        <f t="shared" si="412"/>
        <v>46207</v>
      </c>
      <c r="F1597" s="28">
        <f t="shared" si="413"/>
        <v>46214</v>
      </c>
      <c r="G1597" s="28">
        <f t="shared" si="414"/>
        <v>46220</v>
      </c>
      <c r="H1597" s="28">
        <f t="shared" si="415"/>
        <v>46208</v>
      </c>
      <c r="I1597" s="28">
        <f t="shared" si="416"/>
        <v>46215</v>
      </c>
      <c r="J1597" s="28"/>
      <c r="K1597" s="1"/>
      <c r="L1597" s="1"/>
      <c r="M1597" s="1"/>
      <c r="N1597" s="1">
        <v>0</v>
      </c>
      <c r="O1597" s="1" t="s">
        <v>379</v>
      </c>
    </row>
    <row r="1598" spans="1:15" x14ac:dyDescent="0.25">
      <c r="A1598" s="71">
        <v>46200</v>
      </c>
      <c r="B1598" s="1" t="s">
        <v>161</v>
      </c>
      <c r="C1598" s="3" t="str">
        <f>VLOOKUP(B1598,'[7]Migrasi Bed'!$B$4:$E$521,4,0)</f>
        <v>SV.F009</v>
      </c>
      <c r="D1598" s="28">
        <f t="shared" si="411"/>
        <v>46223</v>
      </c>
      <c r="E1598" s="28">
        <f t="shared" si="412"/>
        <v>46207</v>
      </c>
      <c r="F1598" s="28">
        <f t="shared" si="413"/>
        <v>46214</v>
      </c>
      <c r="G1598" s="28">
        <f t="shared" si="414"/>
        <v>46220</v>
      </c>
      <c r="H1598" s="28">
        <f t="shared" si="415"/>
        <v>46208</v>
      </c>
      <c r="I1598" s="28">
        <f t="shared" si="416"/>
        <v>46215</v>
      </c>
      <c r="J1598" s="28"/>
      <c r="K1598" s="1"/>
      <c r="L1598" s="1"/>
      <c r="M1598" s="1"/>
      <c r="N1598" s="1">
        <v>0</v>
      </c>
      <c r="O1598" s="1" t="s">
        <v>379</v>
      </c>
    </row>
    <row r="1599" spans="1:15" x14ac:dyDescent="0.25">
      <c r="A1599" s="71">
        <v>46200</v>
      </c>
      <c r="B1599" s="1" t="s">
        <v>162</v>
      </c>
      <c r="C1599" s="3" t="str">
        <f>VLOOKUP(B1599,'[7]Migrasi Bed'!$B$4:$E$521,4,0)</f>
        <v>SV.F010</v>
      </c>
      <c r="D1599" s="28">
        <f t="shared" si="411"/>
        <v>46223</v>
      </c>
      <c r="E1599" s="28">
        <f t="shared" si="412"/>
        <v>46207</v>
      </c>
      <c r="F1599" s="28">
        <f t="shared" si="413"/>
        <v>46214</v>
      </c>
      <c r="G1599" s="28">
        <f t="shared" si="414"/>
        <v>46220</v>
      </c>
      <c r="H1599" s="28">
        <f t="shared" si="415"/>
        <v>46208</v>
      </c>
      <c r="I1599" s="28">
        <f t="shared" si="416"/>
        <v>46215</v>
      </c>
      <c r="J1599" s="28"/>
      <c r="K1599" s="1"/>
      <c r="L1599" s="1"/>
      <c r="M1599" s="1"/>
      <c r="N1599" s="1">
        <v>0</v>
      </c>
      <c r="O1599" s="1" t="s">
        <v>379</v>
      </c>
    </row>
    <row r="1600" spans="1:15" x14ac:dyDescent="0.25">
      <c r="A1600" s="71">
        <v>46200</v>
      </c>
      <c r="B1600" s="1" t="s">
        <v>163</v>
      </c>
      <c r="C1600" s="3" t="str">
        <f>VLOOKUP(B1600,'[7]Migrasi Bed'!$B$4:$E$521,4,0)</f>
        <v>SV.F011</v>
      </c>
      <c r="D1600" s="28">
        <f t="shared" si="411"/>
        <v>46223</v>
      </c>
      <c r="E1600" s="28">
        <f t="shared" si="412"/>
        <v>46207</v>
      </c>
      <c r="F1600" s="28">
        <f t="shared" si="413"/>
        <v>46214</v>
      </c>
      <c r="G1600" s="28">
        <f t="shared" si="414"/>
        <v>46220</v>
      </c>
      <c r="H1600" s="28">
        <f t="shared" si="415"/>
        <v>46208</v>
      </c>
      <c r="I1600" s="28">
        <f t="shared" si="416"/>
        <v>46215</v>
      </c>
      <c r="J1600" s="28"/>
      <c r="K1600" s="1"/>
      <c r="L1600" s="1"/>
      <c r="M1600" s="1"/>
      <c r="N1600" s="1">
        <v>0</v>
      </c>
      <c r="O1600" s="1" t="s">
        <v>379</v>
      </c>
    </row>
    <row r="1601" spans="1:15" x14ac:dyDescent="0.25">
      <c r="A1601" s="71">
        <v>46200</v>
      </c>
      <c r="B1601" s="1" t="s">
        <v>164</v>
      </c>
      <c r="C1601" s="3" t="str">
        <f>VLOOKUP(B1601,'[7]Migrasi Bed'!$B$4:$E$521,4,0)</f>
        <v>SV.F012</v>
      </c>
      <c r="D1601" s="28">
        <f t="shared" si="411"/>
        <v>46223</v>
      </c>
      <c r="E1601" s="28">
        <f t="shared" si="412"/>
        <v>46207</v>
      </c>
      <c r="F1601" s="28">
        <f t="shared" si="413"/>
        <v>46214</v>
      </c>
      <c r="G1601" s="28">
        <f t="shared" si="414"/>
        <v>46220</v>
      </c>
      <c r="H1601" s="28">
        <f t="shared" si="415"/>
        <v>46208</v>
      </c>
      <c r="I1601" s="28">
        <f t="shared" si="416"/>
        <v>46215</v>
      </c>
      <c r="J1601" s="28"/>
      <c r="K1601" s="1"/>
      <c r="L1601" s="1"/>
      <c r="M1601" s="1"/>
      <c r="N1601" s="1">
        <v>0</v>
      </c>
      <c r="O1601" s="1" t="s">
        <v>379</v>
      </c>
    </row>
    <row r="1602" spans="1:15" x14ac:dyDescent="0.25">
      <c r="A1602" s="71">
        <v>46200</v>
      </c>
      <c r="B1602" s="1" t="s">
        <v>165</v>
      </c>
      <c r="C1602" s="3" t="str">
        <f>VLOOKUP(B1602,'[7]Migrasi Bed'!$B$4:$E$521,4,0)</f>
        <v>SV.F013</v>
      </c>
      <c r="D1602" s="28">
        <f t="shared" si="411"/>
        <v>46223</v>
      </c>
      <c r="E1602" s="28">
        <f t="shared" si="412"/>
        <v>46207</v>
      </c>
      <c r="F1602" s="28">
        <f t="shared" si="413"/>
        <v>46214</v>
      </c>
      <c r="G1602" s="28">
        <f t="shared" si="414"/>
        <v>46220</v>
      </c>
      <c r="H1602" s="28">
        <f t="shared" si="415"/>
        <v>46208</v>
      </c>
      <c r="I1602" s="28">
        <f t="shared" si="416"/>
        <v>46215</v>
      </c>
      <c r="J1602" s="28"/>
      <c r="K1602" s="1"/>
      <c r="L1602" s="1"/>
      <c r="M1602" s="1"/>
      <c r="N1602" s="1">
        <v>0</v>
      </c>
      <c r="O1602" s="1" t="s">
        <v>379</v>
      </c>
    </row>
    <row r="1603" spans="1:15" x14ac:dyDescent="0.25">
      <c r="A1603" s="71">
        <v>46200</v>
      </c>
      <c r="B1603" s="1" t="s">
        <v>166</v>
      </c>
      <c r="C1603" s="3" t="str">
        <f>VLOOKUP(B1603,'[7]Migrasi Bed'!$B$4:$E$521,4,0)</f>
        <v>SV.F014</v>
      </c>
      <c r="D1603" s="28">
        <f t="shared" si="411"/>
        <v>46223</v>
      </c>
      <c r="E1603" s="28">
        <f t="shared" si="412"/>
        <v>46207</v>
      </c>
      <c r="F1603" s="28">
        <f t="shared" si="413"/>
        <v>46214</v>
      </c>
      <c r="G1603" s="28">
        <f t="shared" si="414"/>
        <v>46220</v>
      </c>
      <c r="H1603" s="28">
        <f t="shared" si="415"/>
        <v>46208</v>
      </c>
      <c r="I1603" s="28">
        <f t="shared" si="416"/>
        <v>46215</v>
      </c>
      <c r="J1603" s="28"/>
      <c r="K1603" s="1"/>
      <c r="L1603" s="1"/>
      <c r="M1603" s="1"/>
      <c r="N1603" s="1">
        <v>0</v>
      </c>
      <c r="O1603" s="1" t="s">
        <v>379</v>
      </c>
    </row>
    <row r="1604" spans="1:15" x14ac:dyDescent="0.25">
      <c r="A1604" s="71">
        <v>46201</v>
      </c>
      <c r="B1604" s="1" t="s">
        <v>180</v>
      </c>
      <c r="C1604" s="3" t="str">
        <f>VLOOKUP(B1604,'[7]Migrasi Bed'!$B$4:$E$521,4,0)</f>
        <v>SV.G008</v>
      </c>
      <c r="D1604" s="28">
        <f t="shared" si="411"/>
        <v>46224</v>
      </c>
      <c r="E1604" s="28">
        <f t="shared" si="412"/>
        <v>46208</v>
      </c>
      <c r="F1604" s="28">
        <f t="shared" si="413"/>
        <v>46215</v>
      </c>
      <c r="G1604" s="28">
        <f t="shared" si="414"/>
        <v>46221</v>
      </c>
      <c r="H1604" s="28">
        <f t="shared" si="415"/>
        <v>46209</v>
      </c>
      <c r="I1604" s="28">
        <f t="shared" si="416"/>
        <v>46216</v>
      </c>
      <c r="J1604" s="28"/>
      <c r="K1604" s="1"/>
      <c r="L1604" s="1"/>
      <c r="M1604" s="1"/>
      <c r="N1604" s="1">
        <v>0</v>
      </c>
      <c r="O1604" s="1" t="s">
        <v>379</v>
      </c>
    </row>
    <row r="1605" spans="1:15" x14ac:dyDescent="0.25">
      <c r="A1605" s="71">
        <v>46201</v>
      </c>
      <c r="B1605" s="1" t="s">
        <v>181</v>
      </c>
      <c r="C1605" s="3" t="str">
        <f>VLOOKUP(B1605,'[7]Migrasi Bed'!$B$4:$E$521,4,0)</f>
        <v>SV.G009</v>
      </c>
      <c r="D1605" s="28">
        <f t="shared" si="411"/>
        <v>46224</v>
      </c>
      <c r="E1605" s="28">
        <f t="shared" si="412"/>
        <v>46208</v>
      </c>
      <c r="F1605" s="28">
        <f t="shared" si="413"/>
        <v>46215</v>
      </c>
      <c r="G1605" s="28">
        <f t="shared" si="414"/>
        <v>46221</v>
      </c>
      <c r="H1605" s="28">
        <f t="shared" si="415"/>
        <v>46209</v>
      </c>
      <c r="I1605" s="28">
        <f t="shared" si="416"/>
        <v>46216</v>
      </c>
      <c r="J1605" s="28"/>
      <c r="K1605" s="1"/>
      <c r="L1605" s="1"/>
      <c r="M1605" s="1"/>
      <c r="N1605" s="1">
        <v>0</v>
      </c>
      <c r="O1605" s="1" t="s">
        <v>379</v>
      </c>
    </row>
    <row r="1606" spans="1:15" x14ac:dyDescent="0.25">
      <c r="A1606" s="71">
        <v>46201</v>
      </c>
      <c r="B1606" s="1" t="s">
        <v>182</v>
      </c>
      <c r="C1606" s="3" t="str">
        <f>VLOOKUP(B1606,'[7]Migrasi Bed'!$B$4:$E$521,4,0)</f>
        <v>SV.G010</v>
      </c>
      <c r="D1606" s="28">
        <f t="shared" si="411"/>
        <v>46224</v>
      </c>
      <c r="E1606" s="28">
        <f t="shared" si="412"/>
        <v>46208</v>
      </c>
      <c r="F1606" s="28">
        <f t="shared" si="413"/>
        <v>46215</v>
      </c>
      <c r="G1606" s="28">
        <f t="shared" si="414"/>
        <v>46221</v>
      </c>
      <c r="H1606" s="28">
        <f t="shared" si="415"/>
        <v>46209</v>
      </c>
      <c r="I1606" s="28">
        <f t="shared" si="416"/>
        <v>46216</v>
      </c>
      <c r="J1606" s="28"/>
      <c r="K1606" s="1"/>
      <c r="L1606" s="1"/>
      <c r="M1606" s="1"/>
      <c r="N1606" s="1">
        <v>0</v>
      </c>
      <c r="O1606" s="1" t="s">
        <v>379</v>
      </c>
    </row>
    <row r="1607" spans="1:15" x14ac:dyDescent="0.25">
      <c r="A1607" s="71">
        <v>46201</v>
      </c>
      <c r="B1607" s="1" t="s">
        <v>183</v>
      </c>
      <c r="C1607" s="3" t="str">
        <f>VLOOKUP(B1607,'[7]Migrasi Bed'!$B$4:$E$521,4,0)</f>
        <v>SV.G011</v>
      </c>
      <c r="D1607" s="28">
        <f t="shared" si="411"/>
        <v>46224</v>
      </c>
      <c r="E1607" s="28">
        <f t="shared" si="412"/>
        <v>46208</v>
      </c>
      <c r="F1607" s="28">
        <f t="shared" si="413"/>
        <v>46215</v>
      </c>
      <c r="G1607" s="28">
        <f t="shared" si="414"/>
        <v>46221</v>
      </c>
      <c r="H1607" s="28">
        <f t="shared" si="415"/>
        <v>46209</v>
      </c>
      <c r="I1607" s="28">
        <f t="shared" si="416"/>
        <v>46216</v>
      </c>
      <c r="J1607" s="28"/>
      <c r="K1607" s="1"/>
      <c r="L1607" s="1"/>
      <c r="M1607" s="1"/>
      <c r="N1607" s="1">
        <v>0</v>
      </c>
      <c r="O1607" s="1" t="s">
        <v>379</v>
      </c>
    </row>
    <row r="1608" spans="1:15" x14ac:dyDescent="0.25">
      <c r="A1608" s="71">
        <v>46201</v>
      </c>
      <c r="B1608" s="1" t="s">
        <v>184</v>
      </c>
      <c r="C1608" s="3" t="str">
        <f>VLOOKUP(B1608,'[7]Migrasi Bed'!$B$4:$E$521,4,0)</f>
        <v>SV.G012</v>
      </c>
      <c r="D1608" s="28">
        <f t="shared" si="411"/>
        <v>46224</v>
      </c>
      <c r="E1608" s="28">
        <f t="shared" si="412"/>
        <v>46208</v>
      </c>
      <c r="F1608" s="28">
        <f t="shared" si="413"/>
        <v>46215</v>
      </c>
      <c r="G1608" s="28">
        <f t="shared" si="414"/>
        <v>46221</v>
      </c>
      <c r="H1608" s="28">
        <f t="shared" si="415"/>
        <v>46209</v>
      </c>
      <c r="I1608" s="28">
        <f t="shared" si="416"/>
        <v>46216</v>
      </c>
      <c r="J1608" s="28"/>
      <c r="K1608" s="1"/>
      <c r="L1608" s="1"/>
      <c r="M1608" s="1"/>
      <c r="N1608" s="1">
        <v>0</v>
      </c>
      <c r="O1608" s="1" t="s">
        <v>379</v>
      </c>
    </row>
    <row r="1609" spans="1:15" x14ac:dyDescent="0.25">
      <c r="A1609" s="71">
        <v>46201</v>
      </c>
      <c r="B1609" s="1" t="s">
        <v>185</v>
      </c>
      <c r="C1609" s="3" t="str">
        <f>VLOOKUP(B1609,'[7]Migrasi Bed'!$B$4:$E$521,4,0)</f>
        <v>SV.G013</v>
      </c>
      <c r="D1609" s="28">
        <f t="shared" si="411"/>
        <v>46224</v>
      </c>
      <c r="E1609" s="28">
        <f t="shared" si="412"/>
        <v>46208</v>
      </c>
      <c r="F1609" s="28">
        <f t="shared" si="413"/>
        <v>46215</v>
      </c>
      <c r="G1609" s="28">
        <f t="shared" si="414"/>
        <v>46221</v>
      </c>
      <c r="H1609" s="28">
        <f t="shared" si="415"/>
        <v>46209</v>
      </c>
      <c r="I1609" s="28">
        <f t="shared" si="416"/>
        <v>46216</v>
      </c>
      <c r="J1609" s="28"/>
      <c r="K1609" s="1"/>
      <c r="L1609" s="1"/>
      <c r="M1609" s="1"/>
      <c r="N1609" s="1">
        <v>0</v>
      </c>
      <c r="O1609" s="1" t="s">
        <v>379</v>
      </c>
    </row>
    <row r="1610" spans="1:15" x14ac:dyDescent="0.25">
      <c r="A1610" s="71">
        <v>46201</v>
      </c>
      <c r="B1610" s="1" t="s">
        <v>186</v>
      </c>
      <c r="C1610" s="3" t="str">
        <f>VLOOKUP(B1610,'[7]Migrasi Bed'!$B$4:$E$521,4,0)</f>
        <v>SV.G014</v>
      </c>
      <c r="D1610" s="28">
        <f t="shared" si="411"/>
        <v>46224</v>
      </c>
      <c r="E1610" s="28">
        <f t="shared" si="412"/>
        <v>46208</v>
      </c>
      <c r="F1610" s="28">
        <f t="shared" si="413"/>
        <v>46215</v>
      </c>
      <c r="G1610" s="28">
        <f t="shared" si="414"/>
        <v>46221</v>
      </c>
      <c r="H1610" s="28">
        <f t="shared" si="415"/>
        <v>46209</v>
      </c>
      <c r="I1610" s="28">
        <f t="shared" si="416"/>
        <v>46216</v>
      </c>
      <c r="J1610" s="28"/>
      <c r="K1610" s="1"/>
      <c r="L1610" s="1"/>
      <c r="M1610" s="1"/>
      <c r="N1610" s="1">
        <v>0</v>
      </c>
      <c r="O1610" s="1" t="s">
        <v>379</v>
      </c>
    </row>
    <row r="1611" spans="1:15" x14ac:dyDescent="0.25">
      <c r="A1611" s="71">
        <v>46202</v>
      </c>
      <c r="B1611" s="1" t="s">
        <v>167</v>
      </c>
      <c r="C1611" s="3" t="str">
        <f>VLOOKUP(B1611,'[7]Migrasi Bed'!$B$4:$E$521,4,0)</f>
        <v>SV.F015</v>
      </c>
      <c r="D1611" s="28">
        <f t="shared" si="411"/>
        <v>46225</v>
      </c>
      <c r="E1611" s="28">
        <f t="shared" si="412"/>
        <v>46209</v>
      </c>
      <c r="F1611" s="28">
        <f t="shared" si="413"/>
        <v>46216</v>
      </c>
      <c r="G1611" s="28">
        <f t="shared" si="414"/>
        <v>46222</v>
      </c>
      <c r="H1611" s="28">
        <f t="shared" si="415"/>
        <v>46210</v>
      </c>
      <c r="I1611" s="28">
        <f t="shared" si="416"/>
        <v>46217</v>
      </c>
      <c r="J1611" s="28"/>
      <c r="K1611" s="1"/>
      <c r="L1611" s="1"/>
      <c r="M1611" s="1"/>
      <c r="N1611" s="1">
        <v>0</v>
      </c>
      <c r="O1611" s="1" t="s">
        <v>379</v>
      </c>
    </row>
    <row r="1612" spans="1:15" x14ac:dyDescent="0.25">
      <c r="A1612" s="71">
        <v>46202</v>
      </c>
      <c r="B1612" s="1" t="s">
        <v>168</v>
      </c>
      <c r="C1612" s="3" t="str">
        <f>VLOOKUP(B1612,'[7]Migrasi Bed'!$B$4:$E$521,4,0)</f>
        <v>SV.F016</v>
      </c>
      <c r="D1612" s="28">
        <f t="shared" si="411"/>
        <v>46225</v>
      </c>
      <c r="E1612" s="28">
        <f t="shared" si="412"/>
        <v>46209</v>
      </c>
      <c r="F1612" s="28">
        <f t="shared" si="413"/>
        <v>46216</v>
      </c>
      <c r="G1612" s="28">
        <f t="shared" si="414"/>
        <v>46222</v>
      </c>
      <c r="H1612" s="28">
        <f t="shared" si="415"/>
        <v>46210</v>
      </c>
      <c r="I1612" s="28">
        <f t="shared" si="416"/>
        <v>46217</v>
      </c>
      <c r="J1612" s="28"/>
      <c r="K1612" s="1"/>
      <c r="L1612" s="1"/>
      <c r="M1612" s="1"/>
      <c r="N1612" s="1">
        <v>0</v>
      </c>
      <c r="O1612" s="1" t="s">
        <v>379</v>
      </c>
    </row>
    <row r="1613" spans="1:15" x14ac:dyDescent="0.25">
      <c r="A1613" s="71">
        <v>46202</v>
      </c>
      <c r="B1613" s="1" t="s">
        <v>169</v>
      </c>
      <c r="C1613" s="3" t="str">
        <f>VLOOKUP(B1613,'[7]Migrasi Bed'!$B$4:$E$521,4,0)</f>
        <v>SV.F017</v>
      </c>
      <c r="D1613" s="28">
        <f t="shared" si="411"/>
        <v>46225</v>
      </c>
      <c r="E1613" s="28">
        <f t="shared" si="412"/>
        <v>46209</v>
      </c>
      <c r="F1613" s="28">
        <f t="shared" si="413"/>
        <v>46216</v>
      </c>
      <c r="G1613" s="28">
        <f t="shared" si="414"/>
        <v>46222</v>
      </c>
      <c r="H1613" s="28">
        <f t="shared" si="415"/>
        <v>46210</v>
      </c>
      <c r="I1613" s="28">
        <f t="shared" si="416"/>
        <v>46217</v>
      </c>
      <c r="J1613" s="28"/>
      <c r="K1613" s="1"/>
      <c r="L1613" s="1"/>
      <c r="M1613" s="1"/>
      <c r="N1613" s="1">
        <v>0</v>
      </c>
      <c r="O1613" s="1" t="s">
        <v>379</v>
      </c>
    </row>
    <row r="1614" spans="1:15" x14ac:dyDescent="0.25">
      <c r="A1614" s="71">
        <v>46202</v>
      </c>
      <c r="B1614" s="1" t="s">
        <v>170</v>
      </c>
      <c r="C1614" s="3" t="str">
        <f>VLOOKUP(B1614,'[7]Migrasi Bed'!$B$4:$E$521,4,0)</f>
        <v>SV.F018</v>
      </c>
      <c r="D1614" s="28">
        <f t="shared" si="411"/>
        <v>46225</v>
      </c>
      <c r="E1614" s="28">
        <f t="shared" si="412"/>
        <v>46209</v>
      </c>
      <c r="F1614" s="28">
        <f t="shared" si="413"/>
        <v>46216</v>
      </c>
      <c r="G1614" s="28">
        <f t="shared" si="414"/>
        <v>46222</v>
      </c>
      <c r="H1614" s="28">
        <f t="shared" si="415"/>
        <v>46210</v>
      </c>
      <c r="I1614" s="28">
        <f t="shared" si="416"/>
        <v>46217</v>
      </c>
      <c r="J1614" s="28"/>
      <c r="K1614" s="1"/>
      <c r="L1614" s="1"/>
      <c r="M1614" s="1"/>
      <c r="N1614" s="1">
        <v>0</v>
      </c>
      <c r="O1614" s="1" t="s">
        <v>379</v>
      </c>
    </row>
    <row r="1615" spans="1:15" x14ac:dyDescent="0.25">
      <c r="A1615" s="71">
        <v>46202</v>
      </c>
      <c r="B1615" s="1" t="s">
        <v>171</v>
      </c>
      <c r="C1615" s="3" t="str">
        <f>VLOOKUP(B1615,'[7]Migrasi Bed'!$B$4:$E$521,4,0)</f>
        <v>SV.F019</v>
      </c>
      <c r="D1615" s="28">
        <f t="shared" si="411"/>
        <v>46225</v>
      </c>
      <c r="E1615" s="28">
        <f t="shared" si="412"/>
        <v>46209</v>
      </c>
      <c r="F1615" s="28">
        <f t="shared" si="413"/>
        <v>46216</v>
      </c>
      <c r="G1615" s="28">
        <f t="shared" si="414"/>
        <v>46222</v>
      </c>
      <c r="H1615" s="28">
        <f t="shared" si="415"/>
        <v>46210</v>
      </c>
      <c r="I1615" s="28">
        <f t="shared" si="416"/>
        <v>46217</v>
      </c>
      <c r="J1615" s="28"/>
      <c r="K1615" s="1"/>
      <c r="L1615" s="1"/>
      <c r="M1615" s="1"/>
      <c r="N1615" s="1">
        <v>0</v>
      </c>
      <c r="O1615" s="1" t="s">
        <v>379</v>
      </c>
    </row>
    <row r="1616" spans="1:15" x14ac:dyDescent="0.25">
      <c r="A1616" s="71">
        <v>46202</v>
      </c>
      <c r="B1616" s="1" t="s">
        <v>172</v>
      </c>
      <c r="C1616" s="3" t="str">
        <f>VLOOKUP(B1616,'[7]Migrasi Bed'!$B$4:$E$521,4,0)</f>
        <v>SV.F020</v>
      </c>
      <c r="D1616" s="28">
        <f t="shared" si="411"/>
        <v>46225</v>
      </c>
      <c r="E1616" s="28">
        <f t="shared" si="412"/>
        <v>46209</v>
      </c>
      <c r="F1616" s="28">
        <f t="shared" si="413"/>
        <v>46216</v>
      </c>
      <c r="G1616" s="28">
        <f t="shared" si="414"/>
        <v>46222</v>
      </c>
      <c r="H1616" s="28">
        <f t="shared" si="415"/>
        <v>46210</v>
      </c>
      <c r="I1616" s="28">
        <f t="shared" si="416"/>
        <v>46217</v>
      </c>
      <c r="J1616" s="28"/>
      <c r="K1616" s="1"/>
      <c r="L1616" s="1"/>
      <c r="M1616" s="1"/>
      <c r="N1616" s="1">
        <v>0</v>
      </c>
      <c r="O1616" s="1" t="s">
        <v>379</v>
      </c>
    </row>
    <row r="1617" spans="1:15" x14ac:dyDescent="0.25">
      <c r="A1617" s="71">
        <v>46202</v>
      </c>
      <c r="B1617" s="1" t="s">
        <v>187</v>
      </c>
      <c r="C1617" s="3" t="str">
        <f>VLOOKUP(B1617,'[7]Migrasi Bed'!$B$4:$E$521,4,0)</f>
        <v>SV.G015</v>
      </c>
      <c r="D1617" s="28">
        <f t="shared" si="411"/>
        <v>46225</v>
      </c>
      <c r="E1617" s="28">
        <f t="shared" si="412"/>
        <v>46209</v>
      </c>
      <c r="F1617" s="28">
        <f t="shared" si="413"/>
        <v>46216</v>
      </c>
      <c r="G1617" s="28">
        <f t="shared" si="414"/>
        <v>46222</v>
      </c>
      <c r="H1617" s="28">
        <f t="shared" si="415"/>
        <v>46210</v>
      </c>
      <c r="I1617" s="28">
        <f t="shared" si="416"/>
        <v>46217</v>
      </c>
      <c r="J1617" s="28"/>
      <c r="K1617" s="1"/>
      <c r="L1617" s="1"/>
      <c r="M1617" s="1"/>
      <c r="N1617" s="1">
        <v>0</v>
      </c>
      <c r="O1617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618:C1048576 A802:A1154 J1091:J1154 J1042:J1063 J1618:J1048576">
    <cfRule type="expression" dxfId="300" priority="415">
      <formula>$L716&gt;0</formula>
    </cfRule>
  </conditionalFormatting>
  <conditionalFormatting sqref="A579:B710 J610:J713">
    <cfRule type="expression" dxfId="299" priority="513">
      <formula>$L579&gt;0</formula>
    </cfRule>
  </conditionalFormatting>
  <conditionalFormatting sqref="A711:B715 J712:J715 J1042:J1051">
    <cfRule type="expression" dxfId="298" priority="517">
      <formula>$N715&gt;0</formula>
    </cfRule>
  </conditionalFormatting>
  <conditionalFormatting sqref="A716:B801">
    <cfRule type="expression" dxfId="297" priority="474">
      <formula>$L716&gt;0</formula>
    </cfRule>
  </conditionalFormatting>
  <conditionalFormatting sqref="A1035:I1040 J1034:J1041 A885:J1033 D1618:I1048576 C1064:J1154 A1042:J1063">
    <cfRule type="expression" dxfId="296" priority="414">
      <formula>$K885&gt;0</formula>
    </cfRule>
  </conditionalFormatting>
  <conditionalFormatting sqref="A1:C169 D349:I369 D370:J370 D373:K373 A373:C376 D374:I376 K374:K376 A381:K414 A416:I422 A463:I463 D483:I483 A483:C578">
    <cfRule type="expression" dxfId="295" priority="577">
      <formula>$L1&gt;0</formula>
    </cfRule>
  </conditionalFormatting>
  <conditionalFormatting sqref="A189:C370">
    <cfRule type="expression" dxfId="294" priority="565">
      <formula>$L189&gt;0</formula>
    </cfRule>
  </conditionalFormatting>
  <conditionalFormatting sqref="A415:I415 A423:I429 B430:I430 A430:A434 A431:K434 A435:I437 A438:K462 A464:K482">
    <cfRule type="expression" dxfId="293" priority="9400">
      <formula>#REF!&gt;0</formula>
    </cfRule>
  </conditionalFormatting>
  <conditionalFormatting sqref="A814:J884">
    <cfRule type="expression" dxfId="292" priority="465">
      <formula>$K814&gt;0</formula>
    </cfRule>
  </conditionalFormatting>
  <conditionalFormatting sqref="A371:K372 K372:K376 A377:K380">
    <cfRule type="expression" dxfId="291" priority="9398">
      <formula>#REF!&gt;0</formula>
    </cfRule>
  </conditionalFormatting>
  <conditionalFormatting sqref="B1123:B1154">
    <cfRule type="expression" dxfId="290" priority="413">
      <formula>$L1123&gt;0</formula>
    </cfRule>
  </conditionalFormatting>
  <conditionalFormatting sqref="B802:I802">
    <cfRule type="expression" dxfId="289" priority="477">
      <formula>$K802&gt;0</formula>
    </cfRule>
  </conditionalFormatting>
  <conditionalFormatting sqref="C579:I813 A803:B813">
    <cfRule type="expression" dxfId="288" priority="476">
      <formula>$K579&gt;0</formula>
    </cfRule>
  </conditionalFormatting>
  <conditionalFormatting sqref="A1063:A1118 B1064:B1118 A1119:B1119 B1120:B1122 A1120:A1154">
    <cfRule type="expression" dxfId="287" priority="416">
      <formula>$K1063&gt;0</formula>
    </cfRule>
  </conditionalFormatting>
  <conditionalFormatting sqref="D1:I169 A170:J188 D189:I348 D363:I578">
    <cfRule type="expression" dxfId="286" priority="580">
      <formula>$K1&gt;0</formula>
    </cfRule>
  </conditionalFormatting>
  <conditionalFormatting sqref="D484:K609">
    <cfRule type="expression" dxfId="285" priority="539">
      <formula>$L484&gt;0</formula>
    </cfRule>
  </conditionalFormatting>
  <conditionalFormatting sqref="J1:J247">
    <cfRule type="expression" dxfId="284" priority="569">
      <formula>$L1&gt;0</formula>
    </cfRule>
  </conditionalFormatting>
  <conditionalFormatting sqref="J248:J249">
    <cfRule type="expression" dxfId="283" priority="9363">
      <formula>$L247&gt;0</formula>
    </cfRule>
  </conditionalFormatting>
  <conditionalFormatting sqref="J250:J380">
    <cfRule type="expression" dxfId="282" priority="564">
      <formula>$L250&gt;0</formula>
    </cfRule>
  </conditionalFormatting>
  <conditionalFormatting sqref="J450:J578">
    <cfRule type="expression" dxfId="281" priority="540">
      <formula>$L450&gt;0</formula>
    </cfRule>
  </conditionalFormatting>
  <conditionalFormatting sqref="J723:J959">
    <cfRule type="expression" dxfId="280" priority="425">
      <formula>$N727&gt;0</formula>
    </cfRule>
  </conditionalFormatting>
  <conditionalFormatting sqref="J885:J1020">
    <cfRule type="expression" dxfId="279" priority="407">
      <formula>$K885&gt;0</formula>
    </cfRule>
  </conditionalFormatting>
  <conditionalFormatting sqref="J960">
    <cfRule type="expression" dxfId="278" priority="435">
      <formula>$N972&gt;0</formula>
    </cfRule>
  </conditionalFormatting>
  <conditionalFormatting sqref="J961:J1020">
    <cfRule type="expression" dxfId="277" priority="408">
      <formula>$N965&gt;0</formula>
    </cfRule>
  </conditionalFormatting>
  <conditionalFormatting sqref="J415:K450">
    <cfRule type="expression" dxfId="276" priority="557">
      <formula>$L415&gt;0</formula>
    </cfRule>
  </conditionalFormatting>
  <conditionalFormatting sqref="J456:K457">
    <cfRule type="expression" dxfId="275" priority="556">
      <formula>$L456&gt;0</formula>
    </cfRule>
  </conditionalFormatting>
  <conditionalFormatting sqref="J463:K463">
    <cfRule type="expression" dxfId="274" priority="545">
      <formula>#REF!&gt;0</formula>
    </cfRule>
  </conditionalFormatting>
  <conditionalFormatting sqref="J483:K489">
    <cfRule type="expression" dxfId="273" priority="544">
      <formula>#REF!&gt;0</formula>
    </cfRule>
  </conditionalFormatting>
  <conditionalFormatting sqref="J501:K501 J501:J504">
    <cfRule type="expression" dxfId="272" priority="543">
      <formula>#REF!&gt;0</formula>
    </cfRule>
  </conditionalFormatting>
  <conditionalFormatting sqref="K450:K456">
    <cfRule type="expression" dxfId="271" priority="559">
      <formula>$L450&gt;0</formula>
    </cfRule>
  </conditionalFormatting>
  <conditionalFormatting sqref="K458:K489">
    <cfRule type="expression" dxfId="270" priority="549">
      <formula>$L458&gt;0</formula>
    </cfRule>
  </conditionalFormatting>
  <conditionalFormatting sqref="K501">
    <cfRule type="expression" dxfId="269" priority="542">
      <formula>$L501&gt;0</formula>
    </cfRule>
  </conditionalFormatting>
  <conditionalFormatting sqref="K609:K628">
    <cfRule type="expression" dxfId="268" priority="528">
      <formula>$L609&gt;0</formula>
    </cfRule>
  </conditionalFormatting>
  <conditionalFormatting sqref="K636:K642">
    <cfRule type="expression" dxfId="267" priority="529">
      <formula>$L636&gt;0</formula>
    </cfRule>
  </conditionalFormatting>
  <conditionalFormatting sqref="J1021:J1027">
    <cfRule type="expression" dxfId="266" priority="404">
      <formula>$K1021&gt;0</formula>
    </cfRule>
  </conditionalFormatting>
  <conditionalFormatting sqref="J1021:J1027">
    <cfRule type="expression" dxfId="265" priority="405">
      <formula>$N1025&gt;0</formula>
    </cfRule>
  </conditionalFormatting>
  <conditionalFormatting sqref="J1063">
    <cfRule type="expression" dxfId="264" priority="400">
      <formula>$K1063&gt;0</formula>
    </cfRule>
  </conditionalFormatting>
  <conditionalFormatting sqref="J1063">
    <cfRule type="expression" dxfId="263" priority="401">
      <formula>$N1067&gt;0</formula>
    </cfRule>
  </conditionalFormatting>
  <conditionalFormatting sqref="A1041:I1041">
    <cfRule type="expression" dxfId="262" priority="9403">
      <formula>$K1034&gt;0</formula>
    </cfRule>
  </conditionalFormatting>
  <conditionalFormatting sqref="A1034:I1034">
    <cfRule type="expression" dxfId="261" priority="9404">
      <formula>#REF!&gt;0</formula>
    </cfRule>
  </conditionalFormatting>
  <conditionalFormatting sqref="J1028:J1041">
    <cfRule type="expression" dxfId="260" priority="9411">
      <formula>$L1035&gt;0</formula>
    </cfRule>
  </conditionalFormatting>
  <conditionalFormatting sqref="J1028:J1041">
    <cfRule type="expression" dxfId="259" priority="9415">
      <formula>$N1039&gt;0</formula>
    </cfRule>
  </conditionalFormatting>
  <conditionalFormatting sqref="J1064:J1065">
    <cfRule type="expression" dxfId="258" priority="398">
      <formula>$L1071&gt;0</formula>
    </cfRule>
  </conditionalFormatting>
  <conditionalFormatting sqref="J1064:J1065">
    <cfRule type="expression" dxfId="257" priority="399">
      <formula>$N1075&gt;0</formula>
    </cfRule>
  </conditionalFormatting>
  <conditionalFormatting sqref="J1082:J1086">
    <cfRule type="expression" dxfId="256" priority="396">
      <formula>$L1089&gt;0</formula>
    </cfRule>
  </conditionalFormatting>
  <conditionalFormatting sqref="J1082:J1086">
    <cfRule type="expression" dxfId="255" priority="397">
      <formula>$N1093&gt;0</formula>
    </cfRule>
  </conditionalFormatting>
  <conditionalFormatting sqref="J1070:J1078">
    <cfRule type="expression" dxfId="254" priority="394">
      <formula>$L1077&gt;0</formula>
    </cfRule>
  </conditionalFormatting>
  <conditionalFormatting sqref="J1070:J1078">
    <cfRule type="expression" dxfId="253" priority="395">
      <formula>$N1081&gt;0</formula>
    </cfRule>
  </conditionalFormatting>
  <conditionalFormatting sqref="J1079:J1086">
    <cfRule type="expression" dxfId="252" priority="392">
      <formula>$L1086&gt;0</formula>
    </cfRule>
  </conditionalFormatting>
  <conditionalFormatting sqref="J1079:J1086">
    <cfRule type="expression" dxfId="251" priority="393">
      <formula>$N1090&gt;0</formula>
    </cfRule>
  </conditionalFormatting>
  <conditionalFormatting sqref="J1066:J1069">
    <cfRule type="expression" dxfId="250" priority="390">
      <formula>$L1073&gt;0</formula>
    </cfRule>
  </conditionalFormatting>
  <conditionalFormatting sqref="J1066:J1069">
    <cfRule type="expression" dxfId="249" priority="391">
      <formula>$N1077&gt;0</formula>
    </cfRule>
  </conditionalFormatting>
  <conditionalFormatting sqref="J1087:J1090">
    <cfRule type="expression" dxfId="248" priority="388">
      <formula>$L1094&gt;0</formula>
    </cfRule>
  </conditionalFormatting>
  <conditionalFormatting sqref="J1087:J1090">
    <cfRule type="expression" dxfId="247" priority="389">
      <formula>$N1098&gt;0</formula>
    </cfRule>
  </conditionalFormatting>
  <conditionalFormatting sqref="J1052:J1062">
    <cfRule type="expression" dxfId="246" priority="387">
      <formula>$N1056&gt;0</formula>
    </cfRule>
  </conditionalFormatting>
  <conditionalFormatting sqref="J1091:J1111">
    <cfRule type="expression" dxfId="245" priority="386">
      <formula>$N1095&gt;0</formula>
    </cfRule>
  </conditionalFormatting>
  <conditionalFormatting sqref="J1112:J1154">
    <cfRule type="expression" dxfId="244" priority="384">
      <formula>$N1116&gt;0</formula>
    </cfRule>
  </conditionalFormatting>
  <conditionalFormatting sqref="A1155:A1198">
    <cfRule type="expression" dxfId="243" priority="350">
      <formula>$L1155&gt;0</formula>
    </cfRule>
  </conditionalFormatting>
  <conditionalFormatting sqref="A1155:A1259">
    <cfRule type="expression" dxfId="242" priority="344">
      <formula>$K1155&gt;0</formula>
    </cfRule>
  </conditionalFormatting>
  <conditionalFormatting sqref="A1199:B1259">
    <cfRule type="expression" dxfId="241" priority="342">
      <formula>$L1199&gt;0</formula>
    </cfRule>
  </conditionalFormatting>
  <conditionalFormatting sqref="B1155:B1198">
    <cfRule type="expression" dxfId="240" priority="349">
      <formula>$L1155&gt;0</formula>
    </cfRule>
  </conditionalFormatting>
  <conditionalFormatting sqref="C1155:C1259">
    <cfRule type="expression" dxfId="239" priority="345">
      <formula>$K1155&gt;0</formula>
    </cfRule>
  </conditionalFormatting>
  <conditionalFormatting sqref="D1155:I1259">
    <cfRule type="expression" dxfId="238" priority="351">
      <formula>$K1155&gt;0</formula>
    </cfRule>
  </conditionalFormatting>
  <conditionalFormatting sqref="D1155:I1198">
    <cfRule type="expression" dxfId="237" priority="348">
      <formula>$K1155&gt;0</formula>
    </cfRule>
  </conditionalFormatting>
  <conditionalFormatting sqref="D1199:J1259">
    <cfRule type="expression" dxfId="236" priority="341">
      <formula>$K1199&gt;0</formula>
    </cfRule>
  </conditionalFormatting>
  <conditionalFormatting sqref="J1155:J1259">
    <cfRule type="expression" dxfId="235" priority="343">
      <formula>$L1155&gt;0</formula>
    </cfRule>
  </conditionalFormatting>
  <conditionalFormatting sqref="J1155:J1198">
    <cfRule type="expression" dxfId="234" priority="346">
      <formula>$K1155&gt;0</formula>
    </cfRule>
  </conditionalFormatting>
  <conditionalFormatting sqref="J1155:J1259">
    <cfRule type="expression" dxfId="233" priority="347">
      <formula>$N1159&gt;0</formula>
    </cfRule>
  </conditionalFormatting>
  <conditionalFormatting sqref="A1260:A1377">
    <cfRule type="expression" dxfId="232" priority="332">
      <formula>$K1260&gt;0</formula>
    </cfRule>
  </conditionalFormatting>
  <conditionalFormatting sqref="J1290:J1377">
    <cfRule type="expression" dxfId="231" priority="337">
      <formula>$N1294&gt;0</formula>
    </cfRule>
  </conditionalFormatting>
  <conditionalFormatting sqref="A1260:B1377">
    <cfRule type="expression" dxfId="230" priority="330">
      <formula>$L1260&gt;0</formula>
    </cfRule>
  </conditionalFormatting>
  <conditionalFormatting sqref="C1260:C1377">
    <cfRule type="expression" dxfId="229" priority="333">
      <formula>$K1260&gt;0</formula>
    </cfRule>
  </conditionalFormatting>
  <conditionalFormatting sqref="D1260:I1377">
    <cfRule type="expression" dxfId="228" priority="335">
      <formula>$K1260&gt;0</formula>
    </cfRule>
  </conditionalFormatting>
  <conditionalFormatting sqref="D1260:J1377">
    <cfRule type="expression" dxfId="227" priority="329">
      <formula>$K1260&gt;0</formula>
    </cfRule>
  </conditionalFormatting>
  <conditionalFormatting sqref="J1260:J1377">
    <cfRule type="expression" dxfId="226" priority="331">
      <formula>$L1260&gt;0</formula>
    </cfRule>
  </conditionalFormatting>
  <conditionalFormatting sqref="J1260:J1289">
    <cfRule type="expression" dxfId="225" priority="334">
      <formula>$N1264&gt;0</formula>
    </cfRule>
  </conditionalFormatting>
  <conditionalFormatting sqref="J1286">
    <cfRule type="expression" dxfId="224" priority="339">
      <formula>#REF!&gt;0</formula>
    </cfRule>
  </conditionalFormatting>
  <conditionalFormatting sqref="J1287:J1289">
    <cfRule type="expression" dxfId="223" priority="338">
      <formula>$N1290&gt;0</formula>
    </cfRule>
  </conditionalFormatting>
  <conditionalFormatting sqref="A1378:A1392">
    <cfRule type="expression" dxfId="222" priority="315">
      <formula>$K1378&gt;0</formula>
    </cfRule>
  </conditionalFormatting>
  <conditionalFormatting sqref="A1378:B1392">
    <cfRule type="expression" dxfId="221" priority="314">
      <formula>$L1378&gt;0</formula>
    </cfRule>
  </conditionalFormatting>
  <conditionalFormatting sqref="C1378:C1392">
    <cfRule type="expression" dxfId="220" priority="316">
      <formula>$K1378&gt;0</formula>
    </cfRule>
  </conditionalFormatting>
  <conditionalFormatting sqref="D1378:J1392">
    <cfRule type="expression" dxfId="219" priority="313">
      <formula>$K1378&gt;0</formula>
    </cfRule>
  </conditionalFormatting>
  <conditionalFormatting sqref="J1378:J1392">
    <cfRule type="expression" dxfId="218" priority="310">
      <formula>$L1378&gt;0</formula>
    </cfRule>
  </conditionalFormatting>
  <conditionalFormatting sqref="J1378:J1392">
    <cfRule type="expression" dxfId="217" priority="311">
      <formula>$N1382&gt;0</formula>
    </cfRule>
  </conditionalFormatting>
  <conditionalFormatting sqref="A1393:A1407">
    <cfRule type="expression" dxfId="216" priority="288">
      <formula>$K1393&gt;0</formula>
    </cfRule>
  </conditionalFormatting>
  <conditionalFormatting sqref="A1393:B1407">
    <cfRule type="expression" dxfId="215" priority="287">
      <formula>$L1393&gt;0</formula>
    </cfRule>
  </conditionalFormatting>
  <conditionalFormatting sqref="C1393:C1407">
    <cfRule type="expression" dxfId="214" priority="289">
      <formula>$K1393&gt;0</formula>
    </cfRule>
  </conditionalFormatting>
  <conditionalFormatting sqref="D1393:J1403 D1404:I1407">
    <cfRule type="expression" dxfId="213" priority="286">
      <formula>$K1393&gt;0</formula>
    </cfRule>
  </conditionalFormatting>
  <conditionalFormatting sqref="J1393:J1403">
    <cfRule type="expression" dxfId="212" priority="283">
      <formula>$L1393&gt;0</formula>
    </cfRule>
  </conditionalFormatting>
  <conditionalFormatting sqref="J1393:J1403">
    <cfRule type="expression" dxfId="211" priority="284">
      <formula>$N1397&gt;0</formula>
    </cfRule>
  </conditionalFormatting>
  <conditionalFormatting sqref="J1404:J1406">
    <cfRule type="expression" dxfId="210" priority="265">
      <formula>$K1404&gt;0</formula>
    </cfRule>
  </conditionalFormatting>
  <conditionalFormatting sqref="J1404:J1406">
    <cfRule type="expression" dxfId="209" priority="263">
      <formula>$L1404&gt;0</formula>
    </cfRule>
  </conditionalFormatting>
  <conditionalFormatting sqref="J1404:J1406">
    <cfRule type="expression" dxfId="208" priority="264">
      <formula>$N1408&gt;0</formula>
    </cfRule>
  </conditionalFormatting>
  <conditionalFormatting sqref="J1407">
    <cfRule type="expression" dxfId="207" priority="262">
      <formula>$K1407&gt;0</formula>
    </cfRule>
  </conditionalFormatting>
  <conditionalFormatting sqref="J1407">
    <cfRule type="expression" dxfId="206" priority="260">
      <formula>$L1407&gt;0</formula>
    </cfRule>
  </conditionalFormatting>
  <conditionalFormatting sqref="J1407">
    <cfRule type="expression" dxfId="205" priority="261">
      <formula>$N1411&gt;0</formula>
    </cfRule>
  </conditionalFormatting>
  <conditionalFormatting sqref="A1408:A1425">
    <cfRule type="expression" dxfId="204" priority="240">
      <formula>$K1408&gt;0</formula>
    </cfRule>
  </conditionalFormatting>
  <conditionalFormatting sqref="A1408:B1425">
    <cfRule type="expression" dxfId="203" priority="239">
      <formula>$L1408&gt;0</formula>
    </cfRule>
  </conditionalFormatting>
  <conditionalFormatting sqref="C1408:C1425">
    <cfRule type="expression" dxfId="202" priority="241">
      <formula>$K1408&gt;0</formula>
    </cfRule>
  </conditionalFormatting>
  <conditionalFormatting sqref="D1408:I1414 D1415:J1421 D1422:I1425">
    <cfRule type="expression" dxfId="201" priority="238">
      <formula>$K1408&gt;0</formula>
    </cfRule>
  </conditionalFormatting>
  <conditionalFormatting sqref="J1415:J1421">
    <cfRule type="expression" dxfId="200" priority="236">
      <formula>$L1415&gt;0</formula>
    </cfRule>
  </conditionalFormatting>
  <conditionalFormatting sqref="J1415:J1416">
    <cfRule type="expression" dxfId="199" priority="243">
      <formula>$N1418&gt;0</formula>
    </cfRule>
  </conditionalFormatting>
  <conditionalFormatting sqref="J1417:J1421">
    <cfRule type="expression" dxfId="198" priority="237">
      <formula>$N1421&gt;0</formula>
    </cfRule>
  </conditionalFormatting>
  <conditionalFormatting sqref="J1408">
    <cfRule type="expression" dxfId="197" priority="218">
      <formula>$K1408&gt;0</formula>
    </cfRule>
  </conditionalFormatting>
  <conditionalFormatting sqref="J1408">
    <cfRule type="expression" dxfId="196" priority="216">
      <formula>$L1408&gt;0</formula>
    </cfRule>
  </conditionalFormatting>
  <conditionalFormatting sqref="J1408">
    <cfRule type="expression" dxfId="195" priority="217">
      <formula>$N1412&gt;0</formula>
    </cfRule>
  </conditionalFormatting>
  <conditionalFormatting sqref="J1414:J1421">
    <cfRule type="expression" dxfId="194" priority="199">
      <formula>$K1414&gt;0</formula>
    </cfRule>
  </conditionalFormatting>
  <conditionalFormatting sqref="J1414:J1421">
    <cfRule type="expression" dxfId="193" priority="197">
      <formula>$L1414&gt;0</formula>
    </cfRule>
  </conditionalFormatting>
  <conditionalFormatting sqref="J1414:J1421">
    <cfRule type="expression" dxfId="192" priority="198">
      <formula>$N1418&gt;0</formula>
    </cfRule>
  </conditionalFormatting>
  <conditionalFormatting sqref="J1409:J1413">
    <cfRule type="expression" dxfId="191" priority="196">
      <formula>$K1409&gt;0</formula>
    </cfRule>
  </conditionalFormatting>
  <conditionalFormatting sqref="J1409:J1413">
    <cfRule type="expression" dxfId="190" priority="194">
      <formula>$L1409&gt;0</formula>
    </cfRule>
  </conditionalFormatting>
  <conditionalFormatting sqref="J1409:J1413">
    <cfRule type="expression" dxfId="189" priority="195">
      <formula>$N1413&gt;0</formula>
    </cfRule>
  </conditionalFormatting>
  <conditionalFormatting sqref="J1422">
    <cfRule type="expression" dxfId="188" priority="193">
      <formula>$K1422&gt;0</formula>
    </cfRule>
  </conditionalFormatting>
  <conditionalFormatting sqref="J1422">
    <cfRule type="expression" dxfId="187" priority="191">
      <formula>$L1422&gt;0</formula>
    </cfRule>
  </conditionalFormatting>
  <conditionalFormatting sqref="J1422">
    <cfRule type="expression" dxfId="186" priority="192">
      <formula>$N1426&gt;0</formula>
    </cfRule>
  </conditionalFormatting>
  <conditionalFormatting sqref="J1422">
    <cfRule type="expression" dxfId="185" priority="190">
      <formula>$K1422&gt;0</formula>
    </cfRule>
  </conditionalFormatting>
  <conditionalFormatting sqref="J1422">
    <cfRule type="expression" dxfId="184" priority="188">
      <formula>$L1422&gt;0</formula>
    </cfRule>
  </conditionalFormatting>
  <conditionalFormatting sqref="J1422">
    <cfRule type="expression" dxfId="183" priority="189">
      <formula>$N1426&gt;0</formula>
    </cfRule>
  </conditionalFormatting>
  <conditionalFormatting sqref="J1423:J1425">
    <cfRule type="expression" dxfId="182" priority="181">
      <formula>$K1423&gt;0</formula>
    </cfRule>
  </conditionalFormatting>
  <conditionalFormatting sqref="J1423:J1425">
    <cfRule type="expression" dxfId="181" priority="179">
      <formula>$L1423&gt;0</formula>
    </cfRule>
  </conditionalFormatting>
  <conditionalFormatting sqref="J1423:J1425">
    <cfRule type="expression" dxfId="180" priority="180">
      <formula>$N1427&gt;0</formula>
    </cfRule>
  </conditionalFormatting>
  <conditionalFormatting sqref="J1423:J1425">
    <cfRule type="expression" dxfId="179" priority="178">
      <formula>$K1423&gt;0</formula>
    </cfRule>
  </conditionalFormatting>
  <conditionalFormatting sqref="J1423:J1425">
    <cfRule type="expression" dxfId="178" priority="176">
      <formula>$L1423&gt;0</formula>
    </cfRule>
  </conditionalFormatting>
  <conditionalFormatting sqref="J1423:J1425">
    <cfRule type="expression" dxfId="177" priority="177">
      <formula>$N1427&gt;0</formula>
    </cfRule>
  </conditionalFormatting>
  <conditionalFormatting sqref="A1426:A1447">
    <cfRule type="expression" dxfId="176" priority="173">
      <formula>$K1426&gt;0</formula>
    </cfRule>
  </conditionalFormatting>
  <conditionalFormatting sqref="A1426:B1447">
    <cfRule type="expression" dxfId="174" priority="172">
      <formula>$L1426&gt;0</formula>
    </cfRule>
  </conditionalFormatting>
  <conditionalFormatting sqref="C1426:C1447">
    <cfRule type="expression" dxfId="173" priority="174">
      <formula>$K1426&gt;0</formula>
    </cfRule>
  </conditionalFormatting>
  <conditionalFormatting sqref="D1435:J1436 D1426:I1434 D1437:I1447">
    <cfRule type="expression" dxfId="172" priority="171">
      <formula>$K1426&gt;0</formula>
    </cfRule>
  </conditionalFormatting>
  <conditionalFormatting sqref="J1435:J1436">
    <cfRule type="expression" dxfId="171" priority="169">
      <formula>$L1435&gt;0</formula>
    </cfRule>
  </conditionalFormatting>
  <conditionalFormatting sqref="J1435:J1436">
    <cfRule type="expression" dxfId="170" priority="170">
      <formula>$N1439&gt;0</formula>
    </cfRule>
  </conditionalFormatting>
  <conditionalFormatting sqref="J1431:J1432">
    <cfRule type="expression" dxfId="136" priority="135">
      <formula>$K1431&gt;0</formula>
    </cfRule>
  </conditionalFormatting>
  <conditionalFormatting sqref="J1431:J1432">
    <cfRule type="expression" dxfId="135" priority="133">
      <formula>$L1431&gt;0</formula>
    </cfRule>
  </conditionalFormatting>
  <conditionalFormatting sqref="J1431:J1432">
    <cfRule type="expression" dxfId="134" priority="134">
      <formula>$N1435&gt;0</formula>
    </cfRule>
  </conditionalFormatting>
  <conditionalFormatting sqref="J1431:J1432">
    <cfRule type="expression" dxfId="133" priority="132">
      <formula>$K1431&gt;0</formula>
    </cfRule>
  </conditionalFormatting>
  <conditionalFormatting sqref="J1431:J1432">
    <cfRule type="expression" dxfId="132" priority="130">
      <formula>$L1431&gt;0</formula>
    </cfRule>
  </conditionalFormatting>
  <conditionalFormatting sqref="J1431:J1432">
    <cfRule type="expression" dxfId="131" priority="131">
      <formula>$N1435&gt;0</formula>
    </cfRule>
  </conditionalFormatting>
  <conditionalFormatting sqref="J1427:J1430">
    <cfRule type="expression" dxfId="130" priority="126">
      <formula>$L1427&gt;0</formula>
    </cfRule>
  </conditionalFormatting>
  <conditionalFormatting sqref="J1426:J1430">
    <cfRule type="expression" dxfId="129" priority="125">
      <formula>$K1426&gt;0</formula>
    </cfRule>
  </conditionalFormatting>
  <conditionalFormatting sqref="J1426:J1430">
    <cfRule type="expression" dxfId="128" priority="127">
      <formula>$N1430&gt;0</formula>
    </cfRule>
  </conditionalFormatting>
  <conditionalFormatting sqref="J1426:J1430">
    <cfRule type="expression" dxfId="127" priority="128">
      <formula>$L1426&gt;0</formula>
    </cfRule>
  </conditionalFormatting>
  <conditionalFormatting sqref="J1426:J1430">
    <cfRule type="expression" dxfId="126" priority="129">
      <formula>$K1427&gt;0</formula>
    </cfRule>
  </conditionalFormatting>
  <conditionalFormatting sqref="J1438:J1445">
    <cfRule type="expression" dxfId="125" priority="123">
      <formula>$L1438&gt;0</formula>
    </cfRule>
  </conditionalFormatting>
  <conditionalFormatting sqref="J1438:J1445">
    <cfRule type="expression" dxfId="124" priority="122">
      <formula>$K1438&gt;0</formula>
    </cfRule>
  </conditionalFormatting>
  <conditionalFormatting sqref="J1438:J1445">
    <cfRule type="expression" dxfId="123" priority="124">
      <formula>$N1442&gt;0</formula>
    </cfRule>
  </conditionalFormatting>
  <conditionalFormatting sqref="J1438">
    <cfRule type="expression" dxfId="122" priority="120">
      <formula>$L1438&gt;0</formula>
    </cfRule>
  </conditionalFormatting>
  <conditionalFormatting sqref="J1438">
    <cfRule type="expression" dxfId="121" priority="121">
      <formula>$K1439&gt;0</formula>
    </cfRule>
  </conditionalFormatting>
  <conditionalFormatting sqref="J1439:J1445">
    <cfRule type="expression" dxfId="120" priority="118">
      <formula>$L1439&gt;0</formula>
    </cfRule>
  </conditionalFormatting>
  <conditionalFormatting sqref="J1439:J1445">
    <cfRule type="expression" dxfId="119" priority="119">
      <formula>$K1440&gt;0</formula>
    </cfRule>
  </conditionalFormatting>
  <conditionalFormatting sqref="J1433">
    <cfRule type="expression" dxfId="118" priority="116">
      <formula>$L1433&gt;0</formula>
    </cfRule>
  </conditionalFormatting>
  <conditionalFormatting sqref="J1433">
    <cfRule type="expression" dxfId="117" priority="115">
      <formula>$K1433&gt;0</formula>
    </cfRule>
  </conditionalFormatting>
  <conditionalFormatting sqref="J1433">
    <cfRule type="expression" dxfId="116" priority="117">
      <formula>$N1437&gt;0</formula>
    </cfRule>
  </conditionalFormatting>
  <conditionalFormatting sqref="J1433">
    <cfRule type="expression" dxfId="115" priority="113">
      <formula>$L1433&gt;0</formula>
    </cfRule>
  </conditionalFormatting>
  <conditionalFormatting sqref="J1433">
    <cfRule type="expression" dxfId="114" priority="114">
      <formula>$K1434&gt;0</formula>
    </cfRule>
  </conditionalFormatting>
  <conditionalFormatting sqref="J1434:J1436">
    <cfRule type="expression" dxfId="113" priority="111">
      <formula>$L1434&gt;0</formula>
    </cfRule>
  </conditionalFormatting>
  <conditionalFormatting sqref="J1434:J1436">
    <cfRule type="expression" dxfId="112" priority="110">
      <formula>$K1434&gt;0</formula>
    </cfRule>
  </conditionalFormatting>
  <conditionalFormatting sqref="J1434:J1436">
    <cfRule type="expression" dxfId="111" priority="112">
      <formula>$N1438&gt;0</formula>
    </cfRule>
  </conditionalFormatting>
  <conditionalFormatting sqref="J1434:J1436">
    <cfRule type="expression" dxfId="110" priority="108">
      <formula>$L1434&gt;0</formula>
    </cfRule>
  </conditionalFormatting>
  <conditionalFormatting sqref="J1434:J1436">
    <cfRule type="expression" dxfId="109" priority="109">
      <formula>$K1435&gt;0</formula>
    </cfRule>
  </conditionalFormatting>
  <conditionalFormatting sqref="J1437">
    <cfRule type="expression" dxfId="108" priority="107">
      <formula>$K1437&gt;0</formula>
    </cfRule>
  </conditionalFormatting>
  <conditionalFormatting sqref="J1437">
    <cfRule type="expression" dxfId="107" priority="105">
      <formula>$L1437&gt;0</formula>
    </cfRule>
  </conditionalFormatting>
  <conditionalFormatting sqref="J1437">
    <cfRule type="expression" dxfId="106" priority="106">
      <formula>$N1441&gt;0</formula>
    </cfRule>
  </conditionalFormatting>
  <conditionalFormatting sqref="J1437">
    <cfRule type="expression" dxfId="105" priority="103">
      <formula>$L1437&gt;0</formula>
    </cfRule>
  </conditionalFormatting>
  <conditionalFormatting sqref="J1437">
    <cfRule type="expression" dxfId="104" priority="102">
      <formula>$K1437&gt;0</formula>
    </cfRule>
  </conditionalFormatting>
  <conditionalFormatting sqref="J1437">
    <cfRule type="expression" dxfId="103" priority="104">
      <formula>$N1441&gt;0</formula>
    </cfRule>
  </conditionalFormatting>
  <conditionalFormatting sqref="J1437">
    <cfRule type="expression" dxfId="102" priority="100">
      <formula>$L1437&gt;0</formula>
    </cfRule>
  </conditionalFormatting>
  <conditionalFormatting sqref="J1437">
    <cfRule type="expression" dxfId="101" priority="101">
      <formula>$K1438&gt;0</formula>
    </cfRule>
  </conditionalFormatting>
  <conditionalFormatting sqref="J1447">
    <cfRule type="expression" dxfId="100" priority="99">
      <formula>$K1447&gt;0</formula>
    </cfRule>
  </conditionalFormatting>
  <conditionalFormatting sqref="J1447">
    <cfRule type="expression" dxfId="99" priority="97">
      <formula>$L1447&gt;0</formula>
    </cfRule>
  </conditionalFormatting>
  <conditionalFormatting sqref="J1447">
    <cfRule type="expression" dxfId="98" priority="98">
      <formula>$N1451&gt;0</formula>
    </cfRule>
  </conditionalFormatting>
  <conditionalFormatting sqref="J1447">
    <cfRule type="expression" dxfId="97" priority="95">
      <formula>$L1447&gt;0</formula>
    </cfRule>
  </conditionalFormatting>
  <conditionalFormatting sqref="J1447">
    <cfRule type="expression" dxfId="96" priority="94">
      <formula>$K1447&gt;0</formula>
    </cfRule>
  </conditionalFormatting>
  <conditionalFormatting sqref="J1447">
    <cfRule type="expression" dxfId="95" priority="96">
      <formula>$N1451&gt;0</formula>
    </cfRule>
  </conditionalFormatting>
  <conditionalFormatting sqref="J1447">
    <cfRule type="expression" dxfId="94" priority="92">
      <formula>$L1447&gt;0</formula>
    </cfRule>
  </conditionalFormatting>
  <conditionalFormatting sqref="J1447">
    <cfRule type="expression" dxfId="93" priority="93">
      <formula>$K1448&gt;0</formula>
    </cfRule>
  </conditionalFormatting>
  <conditionalFormatting sqref="J1446">
    <cfRule type="expression" dxfId="84" priority="83">
      <formula>$K1446&gt;0</formula>
    </cfRule>
  </conditionalFormatting>
  <conditionalFormatting sqref="J1446">
    <cfRule type="expression" dxfId="83" priority="81">
      <formula>$L1446&gt;0</formula>
    </cfRule>
  </conditionalFormatting>
  <conditionalFormatting sqref="J1446">
    <cfRule type="expression" dxfId="82" priority="82">
      <formula>$N1450&gt;0</formula>
    </cfRule>
  </conditionalFormatting>
  <conditionalFormatting sqref="J1446">
    <cfRule type="expression" dxfId="81" priority="79">
      <formula>$L1446&gt;0</formula>
    </cfRule>
  </conditionalFormatting>
  <conditionalFormatting sqref="J1446">
    <cfRule type="expression" dxfId="80" priority="78">
      <formula>$K1446&gt;0</formula>
    </cfRule>
  </conditionalFormatting>
  <conditionalFormatting sqref="J1446">
    <cfRule type="expression" dxfId="79" priority="80">
      <formula>$N1450&gt;0</formula>
    </cfRule>
  </conditionalFormatting>
  <conditionalFormatting sqref="J1446">
    <cfRule type="expression" dxfId="78" priority="76">
      <formula>$L1446&gt;0</formula>
    </cfRule>
  </conditionalFormatting>
  <conditionalFormatting sqref="J1446">
    <cfRule type="expression" dxfId="77" priority="77">
      <formula>$K1447&gt;0</formula>
    </cfRule>
  </conditionalFormatting>
  <conditionalFormatting sqref="A1448:A1451 A1453:A1496 A1612:A1617 C1611:J1617">
    <cfRule type="expression" dxfId="65" priority="63">
      <formula>$K1448&gt;0</formula>
    </cfRule>
  </conditionalFormatting>
  <conditionalFormatting sqref="A1470:J1496 A1520:A1525 C1519:J1525 C1527:J1553 D1568:J1568 C1569:J1604 A1527:A1617">
    <cfRule type="expression" dxfId="64" priority="65">
      <formula>$K1470&gt;0</formula>
    </cfRule>
  </conditionalFormatting>
  <conditionalFormatting sqref="J1453:J1459 J1462:J1496">
    <cfRule type="expression" dxfId="63" priority="66">
      <formula>$N1457&gt;0</formula>
    </cfRule>
  </conditionalFormatting>
  <conditionalFormatting sqref="A1448:B1451 A1453:A1496 B1453:B1489">
    <cfRule type="expression" dxfId="62" priority="62">
      <formula>$L1448&gt;0</formula>
    </cfRule>
  </conditionalFormatting>
  <conditionalFormatting sqref="C1448:C1451 C1453:C1496">
    <cfRule type="expression" dxfId="61" priority="64">
      <formula>$K1448&gt;0</formula>
    </cfRule>
  </conditionalFormatting>
  <conditionalFormatting sqref="D1448:I1448 D1449:J1451 D1453:J1459 D1462:J1496 D1460:I1461">
    <cfRule type="expression" dxfId="60" priority="61">
      <formula>$K1448&gt;0</formula>
    </cfRule>
  </conditionalFormatting>
  <conditionalFormatting sqref="J1449:J1451 J1453:J1459 J1462:J1496">
    <cfRule type="expression" dxfId="59" priority="60">
      <formula>$L1449&gt;0</formula>
    </cfRule>
  </conditionalFormatting>
  <conditionalFormatting sqref="A1498 C1498:J1498 A1499:J1525">
    <cfRule type="expression" dxfId="58" priority="59">
      <formula>$K1498&gt;0</formula>
    </cfRule>
  </conditionalFormatting>
  <conditionalFormatting sqref="J1497:J1525">
    <cfRule type="expression" dxfId="57" priority="58">
      <formula>$L1497&gt;0</formula>
    </cfRule>
  </conditionalFormatting>
  <conditionalFormatting sqref="A1497:J1497 B1498 A1498:A1525 C1498:J1525">
    <cfRule type="expression" dxfId="56" priority="56">
      <formula>$K1497&gt;0</formula>
    </cfRule>
  </conditionalFormatting>
  <conditionalFormatting sqref="A1497:A1525">
    <cfRule type="expression" dxfId="55" priority="55">
      <formula>$L1497&gt;0</formula>
    </cfRule>
  </conditionalFormatting>
  <conditionalFormatting sqref="C1497:C1525">
    <cfRule type="expression" dxfId="54" priority="57">
      <formula>$K1497&gt;0</formula>
    </cfRule>
  </conditionalFormatting>
  <conditionalFormatting sqref="D1497:J1525">
    <cfRule type="expression" dxfId="53" priority="54">
      <formula>$K1497&gt;0</formula>
    </cfRule>
  </conditionalFormatting>
  <conditionalFormatting sqref="J1497:J1525">
    <cfRule type="expression" dxfId="52" priority="53">
      <formula>$N1501&gt;0</formula>
    </cfRule>
  </conditionalFormatting>
  <conditionalFormatting sqref="C1526:J1553 A1526:A1617">
    <cfRule type="expression" dxfId="51" priority="52">
      <formula>$K1526&gt;0</formula>
    </cfRule>
  </conditionalFormatting>
  <conditionalFormatting sqref="A1526:J1526 B1527:B1528 C1527:J1553 A1527:A1617">
    <cfRule type="expression" dxfId="50" priority="51">
      <formula>$K1526&gt;0</formula>
    </cfRule>
  </conditionalFormatting>
  <conditionalFormatting sqref="J1526:J1553">
    <cfRule type="expression" dxfId="49" priority="50">
      <formula>$L1526&gt;0</formula>
    </cfRule>
  </conditionalFormatting>
  <conditionalFormatting sqref="C1526:J1553 A1526:A1617">
    <cfRule type="expression" dxfId="48" priority="48">
      <formula>$K1526&gt;0</formula>
    </cfRule>
  </conditionalFormatting>
  <conditionalFormatting sqref="A1526:A1617">
    <cfRule type="expression" dxfId="47" priority="47">
      <formula>$L1526&gt;0</formula>
    </cfRule>
  </conditionalFormatting>
  <conditionalFormatting sqref="C1526:C1553">
    <cfRule type="expression" dxfId="46" priority="49">
      <formula>$K1526&gt;0</formula>
    </cfRule>
  </conditionalFormatting>
  <conditionalFormatting sqref="D1526:J1553">
    <cfRule type="expression" dxfId="45" priority="46">
      <formula>$K1526&gt;0</formula>
    </cfRule>
  </conditionalFormatting>
  <conditionalFormatting sqref="J1526:J1553">
    <cfRule type="expression" dxfId="44" priority="45">
      <formula>$N1530&gt;0</formula>
    </cfRule>
  </conditionalFormatting>
  <conditionalFormatting sqref="B1529:B1546">
    <cfRule type="expression" dxfId="43" priority="44">
      <formula>$K1529&gt;0</formula>
    </cfRule>
  </conditionalFormatting>
  <conditionalFormatting sqref="B1547:B1617">
    <cfRule type="expression" dxfId="42" priority="43">
      <formula>$K1547&gt;0</formula>
    </cfRule>
  </conditionalFormatting>
  <conditionalFormatting sqref="C1554:J1560">
    <cfRule type="expression" dxfId="41" priority="42">
      <formula>$K1554&gt;0</formula>
    </cfRule>
  </conditionalFormatting>
  <conditionalFormatting sqref="C1554:J1560">
    <cfRule type="expression" dxfId="40" priority="41">
      <formula>$K1554&gt;0</formula>
    </cfRule>
  </conditionalFormatting>
  <conditionalFormatting sqref="C1554:J1560">
    <cfRule type="expression" dxfId="39" priority="40">
      <formula>$K1554&gt;0</formula>
    </cfRule>
  </conditionalFormatting>
  <conditionalFormatting sqref="J1554:J1560">
    <cfRule type="expression" dxfId="38" priority="39">
      <formula>$L1554&gt;0</formula>
    </cfRule>
  </conditionalFormatting>
  <conditionalFormatting sqref="C1554:J1560">
    <cfRule type="expression" dxfId="37" priority="37">
      <formula>$K1554&gt;0</formula>
    </cfRule>
  </conditionalFormatting>
  <conditionalFormatting sqref="C1554:C1560">
    <cfRule type="expression" dxfId="36" priority="38">
      <formula>$K1554&gt;0</formula>
    </cfRule>
  </conditionalFormatting>
  <conditionalFormatting sqref="D1554:J1560">
    <cfRule type="expression" dxfId="35" priority="36">
      <formula>$K1554&gt;0</formula>
    </cfRule>
  </conditionalFormatting>
  <conditionalFormatting sqref="J1554:J1560">
    <cfRule type="expression" dxfId="34" priority="35">
      <formula>$N1558&gt;0</formula>
    </cfRule>
  </conditionalFormatting>
  <conditionalFormatting sqref="C1561:J1604">
    <cfRule type="expression" dxfId="33" priority="34">
      <formula>$K1561&gt;0</formula>
    </cfRule>
  </conditionalFormatting>
  <conditionalFormatting sqref="C1561:J1604">
    <cfRule type="expression" dxfId="32" priority="33">
      <formula>$K1561&gt;0</formula>
    </cfRule>
  </conditionalFormatting>
  <conditionalFormatting sqref="C1561:J1604">
    <cfRule type="expression" dxfId="31" priority="32">
      <formula>$K1561&gt;0</formula>
    </cfRule>
  </conditionalFormatting>
  <conditionalFormatting sqref="J1561:J1604">
    <cfRule type="expression" dxfId="30" priority="31">
      <formula>$L1561&gt;0</formula>
    </cfRule>
  </conditionalFormatting>
  <conditionalFormatting sqref="C1561:J1604">
    <cfRule type="expression" dxfId="29" priority="29">
      <formula>$K1561&gt;0</formula>
    </cfRule>
  </conditionalFormatting>
  <conditionalFormatting sqref="C1561:C1604">
    <cfRule type="expression" dxfId="28" priority="30">
      <formula>$K1561&gt;0</formula>
    </cfRule>
  </conditionalFormatting>
  <conditionalFormatting sqref="D1561:J1604">
    <cfRule type="expression" dxfId="27" priority="28">
      <formula>$K1561&gt;0</formula>
    </cfRule>
  </conditionalFormatting>
  <conditionalFormatting sqref="J1561:J1604">
    <cfRule type="expression" dxfId="26" priority="27">
      <formula>$N1565&gt;0</formula>
    </cfRule>
  </conditionalFormatting>
  <conditionalFormatting sqref="J1448">
    <cfRule type="expression" dxfId="25" priority="26">
      <formula>$K1448&gt;0</formula>
    </cfRule>
  </conditionalFormatting>
  <conditionalFormatting sqref="J1448">
    <cfRule type="expression" dxfId="24" priority="24">
      <formula>$L1448&gt;0</formula>
    </cfRule>
  </conditionalFormatting>
  <conditionalFormatting sqref="J1448:J1451">
    <cfRule type="expression" dxfId="23" priority="25">
      <formula>$N1453&gt;0</formula>
    </cfRule>
  </conditionalFormatting>
  <conditionalFormatting sqref="J1448">
    <cfRule type="expression" dxfId="22" priority="22">
      <formula>$L1448&gt;0</formula>
    </cfRule>
  </conditionalFormatting>
  <conditionalFormatting sqref="J1448">
    <cfRule type="expression" dxfId="21" priority="21">
      <formula>$K1448&gt;0</formula>
    </cfRule>
  </conditionalFormatting>
  <conditionalFormatting sqref="J1448">
    <cfRule type="expression" dxfId="20" priority="23">
      <formula>$N1453&gt;0</formula>
    </cfRule>
  </conditionalFormatting>
  <conditionalFormatting sqref="J1448">
    <cfRule type="expression" dxfId="19" priority="19">
      <formula>$L1448&gt;0</formula>
    </cfRule>
  </conditionalFormatting>
  <conditionalFormatting sqref="J1448">
    <cfRule type="expression" dxfId="18" priority="20">
      <formula>$K1449&gt;0</formula>
    </cfRule>
  </conditionalFormatting>
  <conditionalFormatting sqref="C1605:J1617">
    <cfRule type="expression" dxfId="17" priority="18">
      <formula>$K1605&gt;0</formula>
    </cfRule>
  </conditionalFormatting>
  <conditionalFormatting sqref="C1605:J1617">
    <cfRule type="expression" dxfId="16" priority="17">
      <formula>$K1605&gt;0</formula>
    </cfRule>
  </conditionalFormatting>
  <conditionalFormatting sqref="C1605:J1617">
    <cfRule type="expression" dxfId="15" priority="16">
      <formula>$K1605&gt;0</formula>
    </cfRule>
  </conditionalFormatting>
  <conditionalFormatting sqref="C1605:J1617">
    <cfRule type="expression" dxfId="14" priority="15">
      <formula>$K1605&gt;0</formula>
    </cfRule>
  </conditionalFormatting>
  <conditionalFormatting sqref="J1605:J1617">
    <cfRule type="expression" dxfId="13" priority="14">
      <formula>$L1605&gt;0</formula>
    </cfRule>
  </conditionalFormatting>
  <conditionalFormatting sqref="C1605:J1617">
    <cfRule type="expression" dxfId="12" priority="12">
      <formula>$K1605&gt;0</formula>
    </cfRule>
  </conditionalFormatting>
  <conditionalFormatting sqref="C1605:C1617">
    <cfRule type="expression" dxfId="11" priority="13">
      <formula>$K1605&gt;0</formula>
    </cfRule>
  </conditionalFormatting>
  <conditionalFormatting sqref="D1605:J1617">
    <cfRule type="expression" dxfId="10" priority="11">
      <formula>$K1605&gt;0</formula>
    </cfRule>
  </conditionalFormatting>
  <conditionalFormatting sqref="J1605:J1617">
    <cfRule type="expression" dxfId="9" priority="10">
      <formula>$N1609&gt;0</formula>
    </cfRule>
  </conditionalFormatting>
  <conditionalFormatting sqref="A1452">
    <cfRule type="expression" dxfId="8" priority="8">
      <formula>$K1452&gt;0</formula>
    </cfRule>
  </conditionalFormatting>
  <conditionalFormatting sqref="A1452:B1452">
    <cfRule type="expression" dxfId="7" priority="7">
      <formula>$L1452&gt;0</formula>
    </cfRule>
  </conditionalFormatting>
  <conditionalFormatting sqref="C1452">
    <cfRule type="expression" dxfId="6" priority="9">
      <formula>$K1452&gt;0</formula>
    </cfRule>
  </conditionalFormatting>
  <conditionalFormatting sqref="D1452:J1452">
    <cfRule type="expression" dxfId="5" priority="6">
      <formula>$K1452&gt;0</formula>
    </cfRule>
  </conditionalFormatting>
  <conditionalFormatting sqref="J1452">
    <cfRule type="expression" dxfId="4" priority="5">
      <formula>$L1452&gt;0</formula>
    </cfRule>
  </conditionalFormatting>
  <conditionalFormatting sqref="J1452">
    <cfRule type="expression" dxfId="3" priority="4">
      <formula>$N1457&gt;0</formula>
    </cfRule>
  </conditionalFormatting>
  <conditionalFormatting sqref="J1460:J1461">
    <cfRule type="expression" dxfId="2" priority="3">
      <formula>$N1464&gt;0</formula>
    </cfRule>
  </conditionalFormatting>
  <conditionalFormatting sqref="J1460:J1461">
    <cfRule type="expression" dxfId="1" priority="2">
      <formula>$K1460&gt;0</formula>
    </cfRule>
  </conditionalFormatting>
  <conditionalFormatting sqref="J1460:J1461">
    <cfRule type="expression" dxfId="0" priority="1">
      <formula>$L1460&gt;0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9" t="s">
        <v>631</v>
      </c>
      <c r="C2" s="79"/>
      <c r="D2" s="79"/>
      <c r="E2" s="79"/>
      <c r="F2" s="30">
        <f ca="1">TODAY()</f>
        <v>46202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80" t="s">
        <v>1234</v>
      </c>
      <c r="J3" s="80"/>
      <c r="K3" s="80"/>
      <c r="L3" s="80"/>
      <c r="N3" s="80" t="s">
        <v>1234</v>
      </c>
      <c r="O3" s="80"/>
      <c r="P3" s="80"/>
      <c r="Q3" s="80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319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319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338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338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338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338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338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335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335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335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335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335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300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300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300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300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300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300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300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300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227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227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227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227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214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214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214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399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399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399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399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399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399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399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396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396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396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396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396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396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396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213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213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212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212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211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211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210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210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209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209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207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207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206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206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206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205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205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205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204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204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203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203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202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194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193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193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192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191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190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188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188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187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186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185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184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184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182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181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202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202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201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201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201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199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199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199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176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176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174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174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171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171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170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170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170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170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170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170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170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170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170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354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354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354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354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354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354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354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354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346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346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346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346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346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346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346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346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346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346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346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361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361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361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361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361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361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361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358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358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358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358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358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358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358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354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354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354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354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354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367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367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367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367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367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367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367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367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367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367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367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367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367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367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367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367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367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330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330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298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298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298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298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298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298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298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298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298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298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331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331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331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331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331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331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331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331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331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331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78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78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78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77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77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77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77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77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77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77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57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57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57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57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57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57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57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56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56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56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56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56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56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56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55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55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55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55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55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55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55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264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264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264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281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281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281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281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297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297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297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297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297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315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315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315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315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352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352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352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379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251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251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166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166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404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404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404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404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404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402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402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402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402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402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402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402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406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406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410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410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410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410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319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59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59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59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59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58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58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58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58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58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58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67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72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72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72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67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67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67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64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64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64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76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76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76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139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139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141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141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141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141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144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144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144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46202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46202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46202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46202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46202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46202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46202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46202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46202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137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137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67" priority="2">
      <formula>LEN(TRIM(D6))=0</formula>
    </cfRule>
  </conditionalFormatting>
  <conditionalFormatting sqref="E292:E293">
    <cfRule type="containsBlanks" dxfId="66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2026-06-29T15:21:42Z</dcterms:modified>
</cp:coreProperties>
</file>