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F0E3152B-8665-4A09-AAC8-CF440654047A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externalReferences>
    <externalReference r:id="rId7"/>
    <externalReference r:id="rId8"/>
  </externalReference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49" i="3" l="1"/>
  <c r="H849" i="3"/>
  <c r="G849" i="3"/>
  <c r="F849" i="3"/>
  <c r="E849" i="3"/>
  <c r="D849" i="3"/>
  <c r="C849" i="3"/>
  <c r="I848" i="3"/>
  <c r="H848" i="3"/>
  <c r="G848" i="3"/>
  <c r="F848" i="3"/>
  <c r="E848" i="3"/>
  <c r="D848" i="3"/>
  <c r="C848" i="3"/>
  <c r="I847" i="3"/>
  <c r="H847" i="3"/>
  <c r="G847" i="3"/>
  <c r="F847" i="3"/>
  <c r="E847" i="3"/>
  <c r="D847" i="3"/>
  <c r="C847" i="3"/>
  <c r="I846" i="3"/>
  <c r="H846" i="3"/>
  <c r="G846" i="3"/>
  <c r="F846" i="3"/>
  <c r="E846" i="3"/>
  <c r="D846" i="3"/>
  <c r="C846" i="3"/>
  <c r="I845" i="3"/>
  <c r="H845" i="3"/>
  <c r="G845" i="3"/>
  <c r="F845" i="3"/>
  <c r="E845" i="3"/>
  <c r="D845" i="3"/>
  <c r="C845" i="3"/>
  <c r="I844" i="3"/>
  <c r="H844" i="3"/>
  <c r="G844" i="3"/>
  <c r="F844" i="3"/>
  <c r="E844" i="3"/>
  <c r="D844" i="3"/>
  <c r="C844" i="3"/>
  <c r="I843" i="3"/>
  <c r="H843" i="3"/>
  <c r="G843" i="3"/>
  <c r="F843" i="3"/>
  <c r="E843" i="3"/>
  <c r="D843" i="3"/>
  <c r="C843" i="3"/>
  <c r="I842" i="3"/>
  <c r="H842" i="3"/>
  <c r="G842" i="3"/>
  <c r="F842" i="3"/>
  <c r="E842" i="3"/>
  <c r="D842" i="3"/>
  <c r="C842" i="3"/>
  <c r="I841" i="3"/>
  <c r="H841" i="3"/>
  <c r="G841" i="3"/>
  <c r="F841" i="3"/>
  <c r="E841" i="3"/>
  <c r="D841" i="3"/>
  <c r="C841" i="3"/>
  <c r="I840" i="3"/>
  <c r="H840" i="3"/>
  <c r="G840" i="3"/>
  <c r="F840" i="3"/>
  <c r="E840" i="3"/>
  <c r="D840" i="3"/>
  <c r="C840" i="3"/>
  <c r="I839" i="3"/>
  <c r="H839" i="3"/>
  <c r="G839" i="3"/>
  <c r="F839" i="3"/>
  <c r="E839" i="3"/>
  <c r="D839" i="3"/>
  <c r="C839" i="3"/>
  <c r="I838" i="3"/>
  <c r="H838" i="3"/>
  <c r="G838" i="3"/>
  <c r="F838" i="3"/>
  <c r="E838" i="3"/>
  <c r="D838" i="3"/>
  <c r="C838" i="3"/>
  <c r="I837" i="3"/>
  <c r="H837" i="3"/>
  <c r="G837" i="3"/>
  <c r="F837" i="3"/>
  <c r="E837" i="3"/>
  <c r="D837" i="3"/>
  <c r="C837" i="3"/>
  <c r="I836" i="3"/>
  <c r="H836" i="3"/>
  <c r="G836" i="3"/>
  <c r="F836" i="3"/>
  <c r="E836" i="3"/>
  <c r="D836" i="3"/>
  <c r="C836" i="3"/>
  <c r="I835" i="3"/>
  <c r="H835" i="3"/>
  <c r="G835" i="3"/>
  <c r="F835" i="3"/>
  <c r="E835" i="3"/>
  <c r="D835" i="3"/>
  <c r="C835" i="3"/>
  <c r="I834" i="3"/>
  <c r="H834" i="3"/>
  <c r="G834" i="3"/>
  <c r="F834" i="3"/>
  <c r="E834" i="3"/>
  <c r="D834" i="3"/>
  <c r="C834" i="3"/>
  <c r="I833" i="3"/>
  <c r="H833" i="3"/>
  <c r="G833" i="3"/>
  <c r="F833" i="3"/>
  <c r="E833" i="3"/>
  <c r="D833" i="3"/>
  <c r="C833" i="3"/>
  <c r="I832" i="3"/>
  <c r="H832" i="3"/>
  <c r="G832" i="3"/>
  <c r="F832" i="3"/>
  <c r="E832" i="3"/>
  <c r="D832" i="3"/>
  <c r="C832" i="3"/>
  <c r="I831" i="3"/>
  <c r="H831" i="3"/>
  <c r="G831" i="3"/>
  <c r="F831" i="3"/>
  <c r="E831" i="3"/>
  <c r="D831" i="3"/>
  <c r="C831" i="3"/>
  <c r="I830" i="3"/>
  <c r="H830" i="3"/>
  <c r="G830" i="3"/>
  <c r="F830" i="3"/>
  <c r="E830" i="3"/>
  <c r="D830" i="3"/>
  <c r="C830" i="3"/>
  <c r="I829" i="3"/>
  <c r="H829" i="3"/>
  <c r="G829" i="3"/>
  <c r="F829" i="3"/>
  <c r="E829" i="3"/>
  <c r="D829" i="3"/>
  <c r="C829" i="3"/>
  <c r="I828" i="3"/>
  <c r="H828" i="3"/>
  <c r="G828" i="3"/>
  <c r="F828" i="3"/>
  <c r="E828" i="3"/>
  <c r="D828" i="3"/>
  <c r="C828" i="3"/>
  <c r="I827" i="3"/>
  <c r="H827" i="3"/>
  <c r="G827" i="3"/>
  <c r="F827" i="3"/>
  <c r="E827" i="3"/>
  <c r="D827" i="3"/>
  <c r="C827" i="3"/>
  <c r="I826" i="3"/>
  <c r="H826" i="3"/>
  <c r="G826" i="3"/>
  <c r="F826" i="3"/>
  <c r="E826" i="3"/>
  <c r="D826" i="3"/>
  <c r="C826" i="3"/>
  <c r="I825" i="3"/>
  <c r="H825" i="3"/>
  <c r="G825" i="3"/>
  <c r="F825" i="3"/>
  <c r="E825" i="3"/>
  <c r="D825" i="3"/>
  <c r="C825" i="3"/>
  <c r="I824" i="3"/>
  <c r="H824" i="3"/>
  <c r="G824" i="3"/>
  <c r="F824" i="3"/>
  <c r="E824" i="3"/>
  <c r="D824" i="3"/>
  <c r="C824" i="3"/>
  <c r="I823" i="3"/>
  <c r="H823" i="3"/>
  <c r="G823" i="3"/>
  <c r="F823" i="3"/>
  <c r="E823" i="3"/>
  <c r="D823" i="3"/>
  <c r="C823" i="3"/>
  <c r="I822" i="3"/>
  <c r="H822" i="3"/>
  <c r="G822" i="3"/>
  <c r="F822" i="3"/>
  <c r="E822" i="3"/>
  <c r="D822" i="3"/>
  <c r="C822" i="3"/>
  <c r="I821" i="3"/>
  <c r="H821" i="3"/>
  <c r="G821" i="3"/>
  <c r="F821" i="3"/>
  <c r="E821" i="3"/>
  <c r="D821" i="3"/>
  <c r="C821" i="3"/>
  <c r="I820" i="3"/>
  <c r="H820" i="3"/>
  <c r="G820" i="3"/>
  <c r="F820" i="3"/>
  <c r="E820" i="3"/>
  <c r="D820" i="3"/>
  <c r="C820" i="3"/>
  <c r="I819" i="3"/>
  <c r="H819" i="3"/>
  <c r="G819" i="3"/>
  <c r="F819" i="3"/>
  <c r="E819" i="3"/>
  <c r="D819" i="3"/>
  <c r="C819" i="3"/>
  <c r="I818" i="3"/>
  <c r="H818" i="3"/>
  <c r="G818" i="3"/>
  <c r="F818" i="3"/>
  <c r="E818" i="3"/>
  <c r="D818" i="3"/>
  <c r="C818" i="3"/>
  <c r="I817" i="3"/>
  <c r="H817" i="3"/>
  <c r="G817" i="3"/>
  <c r="F817" i="3"/>
  <c r="E817" i="3"/>
  <c r="D817" i="3"/>
  <c r="C817" i="3"/>
  <c r="I816" i="3"/>
  <c r="H816" i="3"/>
  <c r="G816" i="3"/>
  <c r="F816" i="3"/>
  <c r="E816" i="3"/>
  <c r="D816" i="3"/>
  <c r="C816" i="3"/>
  <c r="I815" i="3"/>
  <c r="H815" i="3"/>
  <c r="G815" i="3"/>
  <c r="F815" i="3"/>
  <c r="E815" i="3"/>
  <c r="D815" i="3"/>
  <c r="C815" i="3"/>
  <c r="I814" i="3"/>
  <c r="H814" i="3"/>
  <c r="G814" i="3"/>
  <c r="F814" i="3"/>
  <c r="E814" i="3"/>
  <c r="D814" i="3"/>
  <c r="C814" i="3"/>
  <c r="I813" i="3"/>
  <c r="H813" i="3"/>
  <c r="G813" i="3"/>
  <c r="F813" i="3"/>
  <c r="E813" i="3"/>
  <c r="D813" i="3"/>
  <c r="C813" i="3"/>
  <c r="I812" i="3"/>
  <c r="H812" i="3"/>
  <c r="G812" i="3"/>
  <c r="F812" i="3"/>
  <c r="E812" i="3"/>
  <c r="D812" i="3"/>
  <c r="C812" i="3"/>
  <c r="I811" i="3"/>
  <c r="H811" i="3"/>
  <c r="G811" i="3"/>
  <c r="F811" i="3"/>
  <c r="E811" i="3"/>
  <c r="D811" i="3"/>
  <c r="C811" i="3"/>
  <c r="I810" i="3"/>
  <c r="H810" i="3"/>
  <c r="G810" i="3"/>
  <c r="F810" i="3"/>
  <c r="E810" i="3"/>
  <c r="D810" i="3"/>
  <c r="C810" i="3"/>
  <c r="I809" i="3"/>
  <c r="H809" i="3"/>
  <c r="G809" i="3"/>
  <c r="F809" i="3"/>
  <c r="E809" i="3"/>
  <c r="D809" i="3"/>
  <c r="C809" i="3"/>
  <c r="I808" i="3"/>
  <c r="H808" i="3"/>
  <c r="G808" i="3"/>
  <c r="F808" i="3"/>
  <c r="E808" i="3"/>
  <c r="D808" i="3"/>
  <c r="C808" i="3"/>
  <c r="I807" i="3"/>
  <c r="H807" i="3"/>
  <c r="G807" i="3"/>
  <c r="F807" i="3"/>
  <c r="E807" i="3"/>
  <c r="D807" i="3"/>
  <c r="C807" i="3"/>
  <c r="I806" i="3"/>
  <c r="H806" i="3"/>
  <c r="G806" i="3"/>
  <c r="F806" i="3"/>
  <c r="E806" i="3"/>
  <c r="D806" i="3"/>
  <c r="C806" i="3"/>
  <c r="I805" i="3"/>
  <c r="H805" i="3"/>
  <c r="G805" i="3"/>
  <c r="F805" i="3"/>
  <c r="E805" i="3"/>
  <c r="D805" i="3"/>
  <c r="C805" i="3"/>
  <c r="I804" i="3"/>
  <c r="H804" i="3"/>
  <c r="G804" i="3"/>
  <c r="F804" i="3"/>
  <c r="E804" i="3"/>
  <c r="D804" i="3"/>
  <c r="C804" i="3"/>
  <c r="I803" i="3"/>
  <c r="H803" i="3"/>
  <c r="G803" i="3"/>
  <c r="F803" i="3"/>
  <c r="E803" i="3"/>
  <c r="D803" i="3"/>
  <c r="C803" i="3"/>
  <c r="I802" i="3"/>
  <c r="H802" i="3"/>
  <c r="G802" i="3"/>
  <c r="F802" i="3"/>
  <c r="E802" i="3"/>
  <c r="D802" i="3"/>
  <c r="C802" i="3"/>
  <c r="I801" i="3"/>
  <c r="H801" i="3"/>
  <c r="G801" i="3"/>
  <c r="F801" i="3"/>
  <c r="E801" i="3"/>
  <c r="D801" i="3"/>
  <c r="C801" i="3"/>
  <c r="I800" i="3"/>
  <c r="H800" i="3"/>
  <c r="G800" i="3"/>
  <c r="F800" i="3"/>
  <c r="E800" i="3"/>
  <c r="D800" i="3"/>
  <c r="C800" i="3"/>
  <c r="I799" i="3"/>
  <c r="H799" i="3"/>
  <c r="G799" i="3"/>
  <c r="F799" i="3"/>
  <c r="E799" i="3"/>
  <c r="D799" i="3"/>
  <c r="C799" i="3"/>
  <c r="I798" i="3"/>
  <c r="H798" i="3"/>
  <c r="G798" i="3"/>
  <c r="F798" i="3"/>
  <c r="E798" i="3"/>
  <c r="D798" i="3"/>
  <c r="C798" i="3"/>
  <c r="I797" i="3"/>
  <c r="H797" i="3"/>
  <c r="G797" i="3"/>
  <c r="F797" i="3"/>
  <c r="E797" i="3"/>
  <c r="D797" i="3"/>
  <c r="C797" i="3"/>
  <c r="I796" i="3"/>
  <c r="H796" i="3"/>
  <c r="G796" i="3"/>
  <c r="F796" i="3"/>
  <c r="E796" i="3"/>
  <c r="D796" i="3"/>
  <c r="C796" i="3"/>
  <c r="I795" i="3"/>
  <c r="H795" i="3"/>
  <c r="G795" i="3"/>
  <c r="F795" i="3"/>
  <c r="E795" i="3"/>
  <c r="D795" i="3"/>
  <c r="C795" i="3"/>
  <c r="I794" i="3"/>
  <c r="H794" i="3"/>
  <c r="G794" i="3"/>
  <c r="F794" i="3"/>
  <c r="E794" i="3"/>
  <c r="D794" i="3"/>
  <c r="C794" i="3"/>
  <c r="I793" i="3"/>
  <c r="H793" i="3"/>
  <c r="G793" i="3"/>
  <c r="F793" i="3"/>
  <c r="E793" i="3"/>
  <c r="D793" i="3"/>
  <c r="C793" i="3"/>
  <c r="I792" i="3"/>
  <c r="H792" i="3"/>
  <c r="G792" i="3"/>
  <c r="F792" i="3"/>
  <c r="E792" i="3"/>
  <c r="D792" i="3"/>
  <c r="C792" i="3"/>
  <c r="I791" i="3"/>
  <c r="H791" i="3"/>
  <c r="G791" i="3"/>
  <c r="F791" i="3"/>
  <c r="E791" i="3"/>
  <c r="D791" i="3"/>
  <c r="C791" i="3"/>
  <c r="I790" i="3"/>
  <c r="H790" i="3"/>
  <c r="G790" i="3"/>
  <c r="F790" i="3"/>
  <c r="E790" i="3"/>
  <c r="D790" i="3"/>
  <c r="C790" i="3"/>
  <c r="I789" i="3"/>
  <c r="H789" i="3"/>
  <c r="G789" i="3"/>
  <c r="F789" i="3"/>
  <c r="E789" i="3"/>
  <c r="D789" i="3"/>
  <c r="C789" i="3"/>
  <c r="I788" i="3"/>
  <c r="H788" i="3"/>
  <c r="G788" i="3"/>
  <c r="F788" i="3"/>
  <c r="E788" i="3"/>
  <c r="D788" i="3"/>
  <c r="C788" i="3"/>
  <c r="I787" i="3"/>
  <c r="H787" i="3"/>
  <c r="G787" i="3"/>
  <c r="F787" i="3"/>
  <c r="E787" i="3"/>
  <c r="D787" i="3"/>
  <c r="C787" i="3"/>
  <c r="I786" i="3"/>
  <c r="H786" i="3"/>
  <c r="G786" i="3"/>
  <c r="F786" i="3"/>
  <c r="E786" i="3"/>
  <c r="D786" i="3"/>
  <c r="C786" i="3"/>
  <c r="I785" i="3"/>
  <c r="H785" i="3"/>
  <c r="G785" i="3"/>
  <c r="F785" i="3"/>
  <c r="E785" i="3"/>
  <c r="D785" i="3"/>
  <c r="C785" i="3"/>
  <c r="I784" i="3"/>
  <c r="H784" i="3"/>
  <c r="G784" i="3"/>
  <c r="F784" i="3"/>
  <c r="E784" i="3"/>
  <c r="D784" i="3"/>
  <c r="C784" i="3"/>
  <c r="I783" i="3"/>
  <c r="H783" i="3"/>
  <c r="G783" i="3"/>
  <c r="F783" i="3"/>
  <c r="E783" i="3"/>
  <c r="D783" i="3"/>
  <c r="C783" i="3"/>
  <c r="I782" i="3"/>
  <c r="H782" i="3"/>
  <c r="G782" i="3"/>
  <c r="F782" i="3"/>
  <c r="E782" i="3"/>
  <c r="D782" i="3"/>
  <c r="C782" i="3"/>
  <c r="I781" i="3"/>
  <c r="H781" i="3"/>
  <c r="G781" i="3"/>
  <c r="F781" i="3"/>
  <c r="E781" i="3"/>
  <c r="D781" i="3"/>
  <c r="C781" i="3"/>
  <c r="I780" i="3"/>
  <c r="H780" i="3"/>
  <c r="G780" i="3"/>
  <c r="F780" i="3"/>
  <c r="E780" i="3"/>
  <c r="D780" i="3"/>
  <c r="C780" i="3"/>
  <c r="I779" i="3"/>
  <c r="H779" i="3"/>
  <c r="G779" i="3"/>
  <c r="F779" i="3"/>
  <c r="E779" i="3"/>
  <c r="D779" i="3"/>
  <c r="C779" i="3"/>
  <c r="I778" i="3"/>
  <c r="H778" i="3"/>
  <c r="G778" i="3"/>
  <c r="F778" i="3"/>
  <c r="E778" i="3"/>
  <c r="D778" i="3"/>
  <c r="C778" i="3"/>
  <c r="I777" i="3"/>
  <c r="H777" i="3"/>
  <c r="G777" i="3"/>
  <c r="F777" i="3"/>
  <c r="E777" i="3"/>
  <c r="D777" i="3"/>
  <c r="C777" i="3"/>
  <c r="I776" i="3"/>
  <c r="H776" i="3"/>
  <c r="G776" i="3"/>
  <c r="F776" i="3"/>
  <c r="E776" i="3"/>
  <c r="D776" i="3"/>
  <c r="C776" i="3"/>
  <c r="I775" i="3"/>
  <c r="H775" i="3"/>
  <c r="G775" i="3"/>
  <c r="F775" i="3"/>
  <c r="E775" i="3"/>
  <c r="D775" i="3"/>
  <c r="C775" i="3"/>
  <c r="I774" i="3"/>
  <c r="H774" i="3"/>
  <c r="G774" i="3"/>
  <c r="F774" i="3"/>
  <c r="E774" i="3"/>
  <c r="D774" i="3"/>
  <c r="C774" i="3"/>
  <c r="I773" i="3"/>
  <c r="H773" i="3"/>
  <c r="G773" i="3"/>
  <c r="F773" i="3"/>
  <c r="E773" i="3"/>
  <c r="D773" i="3"/>
  <c r="C773" i="3"/>
  <c r="I772" i="3"/>
  <c r="H772" i="3"/>
  <c r="G772" i="3"/>
  <c r="F772" i="3"/>
  <c r="E772" i="3"/>
  <c r="D772" i="3"/>
  <c r="C772" i="3"/>
  <c r="I771" i="3"/>
  <c r="H771" i="3"/>
  <c r="G771" i="3"/>
  <c r="F771" i="3"/>
  <c r="E771" i="3"/>
  <c r="D771" i="3"/>
  <c r="C771" i="3"/>
  <c r="I770" i="3"/>
  <c r="H770" i="3"/>
  <c r="G770" i="3"/>
  <c r="F770" i="3"/>
  <c r="E770" i="3"/>
  <c r="D770" i="3"/>
  <c r="C770" i="3"/>
  <c r="I769" i="3"/>
  <c r="H769" i="3"/>
  <c r="G769" i="3"/>
  <c r="F769" i="3"/>
  <c r="E769" i="3"/>
  <c r="D769" i="3"/>
  <c r="C769" i="3"/>
  <c r="I768" i="3"/>
  <c r="H768" i="3"/>
  <c r="G768" i="3"/>
  <c r="F768" i="3"/>
  <c r="E768" i="3"/>
  <c r="D768" i="3"/>
  <c r="C768" i="3"/>
  <c r="I767" i="3"/>
  <c r="H767" i="3"/>
  <c r="G767" i="3"/>
  <c r="F767" i="3"/>
  <c r="E767" i="3"/>
  <c r="D767" i="3"/>
  <c r="C767" i="3"/>
  <c r="I766" i="3"/>
  <c r="H766" i="3"/>
  <c r="G766" i="3"/>
  <c r="F766" i="3"/>
  <c r="E766" i="3"/>
  <c r="D766" i="3"/>
  <c r="C766" i="3"/>
  <c r="I765" i="3"/>
  <c r="H765" i="3"/>
  <c r="G765" i="3"/>
  <c r="F765" i="3"/>
  <c r="E765" i="3"/>
  <c r="D765" i="3"/>
  <c r="C765" i="3"/>
  <c r="I764" i="3"/>
  <c r="H764" i="3"/>
  <c r="G764" i="3"/>
  <c r="F764" i="3"/>
  <c r="E764" i="3"/>
  <c r="D764" i="3"/>
  <c r="C764" i="3"/>
  <c r="I763" i="3"/>
  <c r="H763" i="3"/>
  <c r="G763" i="3"/>
  <c r="F763" i="3"/>
  <c r="E763" i="3"/>
  <c r="D763" i="3"/>
  <c r="C763" i="3"/>
  <c r="I762" i="3"/>
  <c r="H762" i="3"/>
  <c r="G762" i="3"/>
  <c r="F762" i="3"/>
  <c r="E762" i="3"/>
  <c r="D762" i="3"/>
  <c r="C762" i="3"/>
  <c r="I761" i="3"/>
  <c r="H761" i="3"/>
  <c r="G761" i="3"/>
  <c r="F761" i="3"/>
  <c r="E761" i="3"/>
  <c r="D761" i="3"/>
  <c r="C761" i="3"/>
  <c r="I760" i="3"/>
  <c r="H760" i="3"/>
  <c r="G760" i="3"/>
  <c r="F760" i="3"/>
  <c r="E760" i="3"/>
  <c r="D760" i="3"/>
  <c r="C760" i="3"/>
  <c r="I759" i="3"/>
  <c r="H759" i="3"/>
  <c r="G759" i="3"/>
  <c r="F759" i="3"/>
  <c r="E759" i="3"/>
  <c r="D759" i="3"/>
  <c r="C759" i="3"/>
  <c r="I758" i="3"/>
  <c r="H758" i="3"/>
  <c r="G758" i="3"/>
  <c r="F758" i="3"/>
  <c r="E758" i="3"/>
  <c r="D758" i="3"/>
  <c r="C758" i="3"/>
  <c r="I757" i="3"/>
  <c r="H757" i="3"/>
  <c r="G757" i="3"/>
  <c r="F757" i="3"/>
  <c r="E757" i="3"/>
  <c r="D757" i="3"/>
  <c r="C757" i="3"/>
  <c r="I756" i="3"/>
  <c r="H756" i="3"/>
  <c r="G756" i="3"/>
  <c r="F756" i="3"/>
  <c r="E756" i="3"/>
  <c r="D756" i="3"/>
  <c r="C756" i="3"/>
  <c r="I755" i="3"/>
  <c r="H755" i="3"/>
  <c r="G755" i="3"/>
  <c r="F755" i="3"/>
  <c r="E755" i="3"/>
  <c r="D755" i="3"/>
  <c r="C755" i="3"/>
  <c r="I754" i="3"/>
  <c r="H754" i="3"/>
  <c r="G754" i="3"/>
  <c r="F754" i="3"/>
  <c r="E754" i="3"/>
  <c r="D754" i="3"/>
  <c r="C754" i="3"/>
  <c r="I753" i="3"/>
  <c r="H753" i="3"/>
  <c r="G753" i="3"/>
  <c r="F753" i="3"/>
  <c r="E753" i="3"/>
  <c r="D753" i="3"/>
  <c r="C753" i="3"/>
  <c r="I752" i="3"/>
  <c r="H752" i="3"/>
  <c r="G752" i="3"/>
  <c r="F752" i="3"/>
  <c r="E752" i="3"/>
  <c r="D752" i="3"/>
  <c r="C752" i="3"/>
  <c r="I751" i="3"/>
  <c r="H751" i="3"/>
  <c r="G751" i="3"/>
  <c r="F751" i="3"/>
  <c r="E751" i="3"/>
  <c r="D751" i="3"/>
  <c r="C751" i="3"/>
  <c r="I750" i="3"/>
  <c r="H750" i="3"/>
  <c r="G750" i="3"/>
  <c r="F750" i="3"/>
  <c r="E750" i="3"/>
  <c r="D750" i="3"/>
  <c r="C750" i="3"/>
  <c r="I749" i="3"/>
  <c r="H749" i="3"/>
  <c r="G749" i="3"/>
  <c r="F749" i="3"/>
  <c r="E749" i="3"/>
  <c r="D749" i="3"/>
  <c r="C749" i="3"/>
  <c r="I748" i="3"/>
  <c r="H748" i="3"/>
  <c r="G748" i="3"/>
  <c r="F748" i="3"/>
  <c r="E748" i="3"/>
  <c r="D748" i="3"/>
  <c r="C748" i="3"/>
  <c r="I747" i="3"/>
  <c r="H747" i="3"/>
  <c r="G747" i="3"/>
  <c r="F747" i="3"/>
  <c r="E747" i="3"/>
  <c r="D747" i="3"/>
  <c r="C747" i="3"/>
  <c r="I746" i="3"/>
  <c r="H746" i="3"/>
  <c r="G746" i="3"/>
  <c r="F746" i="3"/>
  <c r="E746" i="3"/>
  <c r="D746" i="3"/>
  <c r="C746" i="3"/>
  <c r="I745" i="3"/>
  <c r="H745" i="3"/>
  <c r="G745" i="3"/>
  <c r="F745" i="3"/>
  <c r="E745" i="3"/>
  <c r="D745" i="3"/>
  <c r="C745" i="3"/>
  <c r="I744" i="3"/>
  <c r="H744" i="3"/>
  <c r="G744" i="3"/>
  <c r="F744" i="3"/>
  <c r="E744" i="3"/>
  <c r="D744" i="3"/>
  <c r="C744" i="3"/>
  <c r="I743" i="3"/>
  <c r="H743" i="3"/>
  <c r="G743" i="3"/>
  <c r="F743" i="3"/>
  <c r="E743" i="3"/>
  <c r="D743" i="3"/>
  <c r="C743" i="3"/>
  <c r="I742" i="3"/>
  <c r="H742" i="3"/>
  <c r="G742" i="3"/>
  <c r="F742" i="3"/>
  <c r="E742" i="3"/>
  <c r="D742" i="3"/>
  <c r="C742" i="3"/>
  <c r="I741" i="3"/>
  <c r="H741" i="3"/>
  <c r="G741" i="3"/>
  <c r="F741" i="3"/>
  <c r="E741" i="3"/>
  <c r="D741" i="3"/>
  <c r="C741" i="3"/>
  <c r="I740" i="3"/>
  <c r="H740" i="3"/>
  <c r="G740" i="3"/>
  <c r="F740" i="3"/>
  <c r="E740" i="3"/>
  <c r="D740" i="3"/>
  <c r="C740" i="3"/>
  <c r="I739" i="3"/>
  <c r="H739" i="3"/>
  <c r="G739" i="3"/>
  <c r="F739" i="3"/>
  <c r="E739" i="3"/>
  <c r="D739" i="3"/>
  <c r="C739" i="3"/>
  <c r="I738" i="3"/>
  <c r="H738" i="3"/>
  <c r="G738" i="3"/>
  <c r="F738" i="3"/>
  <c r="E738" i="3"/>
  <c r="D738" i="3"/>
  <c r="C738" i="3"/>
  <c r="I737" i="3"/>
  <c r="H737" i="3"/>
  <c r="G737" i="3"/>
  <c r="F737" i="3"/>
  <c r="E737" i="3"/>
  <c r="D737" i="3"/>
  <c r="C737" i="3"/>
  <c r="I736" i="3"/>
  <c r="H736" i="3"/>
  <c r="G736" i="3"/>
  <c r="F736" i="3"/>
  <c r="E736" i="3"/>
  <c r="D736" i="3"/>
  <c r="C736" i="3"/>
  <c r="I735" i="3"/>
  <c r="H735" i="3"/>
  <c r="G735" i="3"/>
  <c r="F735" i="3"/>
  <c r="E735" i="3"/>
  <c r="D735" i="3"/>
  <c r="C735" i="3"/>
  <c r="I734" i="3"/>
  <c r="H734" i="3"/>
  <c r="G734" i="3"/>
  <c r="F734" i="3"/>
  <c r="E734" i="3"/>
  <c r="D734" i="3"/>
  <c r="C734" i="3"/>
  <c r="I733" i="3"/>
  <c r="H733" i="3"/>
  <c r="G733" i="3"/>
  <c r="F733" i="3"/>
  <c r="E733" i="3"/>
  <c r="D733" i="3"/>
  <c r="C733" i="3"/>
  <c r="I732" i="3"/>
  <c r="H732" i="3"/>
  <c r="G732" i="3"/>
  <c r="F732" i="3"/>
  <c r="E732" i="3"/>
  <c r="D732" i="3"/>
  <c r="C732" i="3"/>
  <c r="I731" i="3"/>
  <c r="H731" i="3"/>
  <c r="G731" i="3"/>
  <c r="F731" i="3"/>
  <c r="E731" i="3"/>
  <c r="D731" i="3"/>
  <c r="C731" i="3"/>
  <c r="I730" i="3"/>
  <c r="H730" i="3"/>
  <c r="G730" i="3"/>
  <c r="F730" i="3"/>
  <c r="E730" i="3"/>
  <c r="D730" i="3"/>
  <c r="C730" i="3"/>
  <c r="I729" i="3"/>
  <c r="H729" i="3"/>
  <c r="G729" i="3"/>
  <c r="F729" i="3"/>
  <c r="E729" i="3"/>
  <c r="D729" i="3"/>
  <c r="C729" i="3"/>
  <c r="I728" i="3"/>
  <c r="H728" i="3"/>
  <c r="G728" i="3"/>
  <c r="F728" i="3"/>
  <c r="E728" i="3"/>
  <c r="D728" i="3"/>
  <c r="C728" i="3"/>
  <c r="I727" i="3"/>
  <c r="H727" i="3"/>
  <c r="G727" i="3"/>
  <c r="F727" i="3"/>
  <c r="E727" i="3"/>
  <c r="D727" i="3"/>
  <c r="C727" i="3"/>
  <c r="I726" i="3"/>
  <c r="H726" i="3"/>
  <c r="G726" i="3"/>
  <c r="F726" i="3"/>
  <c r="E726" i="3"/>
  <c r="D726" i="3"/>
  <c r="C726" i="3"/>
  <c r="I725" i="3"/>
  <c r="H725" i="3"/>
  <c r="G725" i="3"/>
  <c r="F725" i="3"/>
  <c r="E725" i="3"/>
  <c r="D725" i="3"/>
  <c r="C725" i="3"/>
  <c r="I724" i="3"/>
  <c r="H724" i="3"/>
  <c r="G724" i="3"/>
  <c r="F724" i="3"/>
  <c r="E724" i="3"/>
  <c r="D724" i="3"/>
  <c r="C724" i="3"/>
  <c r="I723" i="3"/>
  <c r="H723" i="3"/>
  <c r="G723" i="3"/>
  <c r="F723" i="3"/>
  <c r="E723" i="3"/>
  <c r="D723" i="3"/>
  <c r="C723" i="3"/>
  <c r="I722" i="3"/>
  <c r="H722" i="3"/>
  <c r="G722" i="3"/>
  <c r="F722" i="3"/>
  <c r="E722" i="3"/>
  <c r="D722" i="3"/>
  <c r="C722" i="3"/>
  <c r="I721" i="3"/>
  <c r="H721" i="3"/>
  <c r="G721" i="3"/>
  <c r="F721" i="3"/>
  <c r="E721" i="3"/>
  <c r="D721" i="3"/>
  <c r="C721" i="3"/>
  <c r="I720" i="3"/>
  <c r="H720" i="3"/>
  <c r="G720" i="3"/>
  <c r="F720" i="3"/>
  <c r="E720" i="3"/>
  <c r="D720" i="3"/>
  <c r="C720" i="3"/>
  <c r="I719" i="3"/>
  <c r="H719" i="3"/>
  <c r="G719" i="3"/>
  <c r="F719" i="3"/>
  <c r="E719" i="3"/>
  <c r="D719" i="3"/>
  <c r="C719" i="3"/>
  <c r="I718" i="3"/>
  <c r="H718" i="3"/>
  <c r="G718" i="3"/>
  <c r="F718" i="3"/>
  <c r="E718" i="3"/>
  <c r="D718" i="3"/>
  <c r="C718" i="3"/>
  <c r="I717" i="3"/>
  <c r="H717" i="3"/>
  <c r="G717" i="3"/>
  <c r="F717" i="3"/>
  <c r="E717" i="3"/>
  <c r="D717" i="3"/>
  <c r="C717" i="3"/>
  <c r="I716" i="3"/>
  <c r="H716" i="3"/>
  <c r="G716" i="3"/>
  <c r="F716" i="3"/>
  <c r="E716" i="3"/>
  <c r="D716" i="3"/>
  <c r="C716" i="3"/>
  <c r="I715" i="3"/>
  <c r="H715" i="3"/>
  <c r="G715" i="3"/>
  <c r="F715" i="3"/>
  <c r="E715" i="3"/>
  <c r="D715" i="3"/>
  <c r="C715" i="3"/>
  <c r="I714" i="3"/>
  <c r="H714" i="3"/>
  <c r="G714" i="3"/>
  <c r="F714" i="3"/>
  <c r="E714" i="3"/>
  <c r="D714" i="3"/>
  <c r="C714" i="3"/>
  <c r="I713" i="3"/>
  <c r="H713" i="3"/>
  <c r="G713" i="3"/>
  <c r="F713" i="3"/>
  <c r="E713" i="3"/>
  <c r="D713" i="3"/>
  <c r="C713" i="3"/>
  <c r="I712" i="3"/>
  <c r="H712" i="3"/>
  <c r="G712" i="3"/>
  <c r="F712" i="3"/>
  <c r="E712" i="3"/>
  <c r="D712" i="3"/>
  <c r="C712" i="3"/>
  <c r="I711" i="3"/>
  <c r="H711" i="3"/>
  <c r="G711" i="3"/>
  <c r="F711" i="3"/>
  <c r="E711" i="3"/>
  <c r="D711" i="3"/>
  <c r="C711" i="3"/>
  <c r="I710" i="3"/>
  <c r="H710" i="3"/>
  <c r="G710" i="3"/>
  <c r="F710" i="3"/>
  <c r="E710" i="3"/>
  <c r="D710" i="3"/>
  <c r="C710" i="3"/>
  <c r="I709" i="3"/>
  <c r="H709" i="3"/>
  <c r="G709" i="3"/>
  <c r="F709" i="3"/>
  <c r="E709" i="3"/>
  <c r="D709" i="3"/>
  <c r="C709" i="3"/>
  <c r="I708" i="3"/>
  <c r="H708" i="3"/>
  <c r="G708" i="3"/>
  <c r="F708" i="3"/>
  <c r="E708" i="3"/>
  <c r="D708" i="3"/>
  <c r="C708" i="3"/>
  <c r="I707" i="3"/>
  <c r="H707" i="3"/>
  <c r="G707" i="3"/>
  <c r="F707" i="3"/>
  <c r="E707" i="3"/>
  <c r="D707" i="3"/>
  <c r="C707" i="3"/>
  <c r="I706" i="3"/>
  <c r="H706" i="3"/>
  <c r="G706" i="3"/>
  <c r="F706" i="3"/>
  <c r="E706" i="3"/>
  <c r="D706" i="3"/>
  <c r="C706" i="3"/>
  <c r="I705" i="3"/>
  <c r="H705" i="3"/>
  <c r="G705" i="3"/>
  <c r="F705" i="3"/>
  <c r="E705" i="3"/>
  <c r="D705" i="3"/>
  <c r="C705" i="3"/>
  <c r="I704" i="3"/>
  <c r="H704" i="3"/>
  <c r="G704" i="3"/>
  <c r="F704" i="3"/>
  <c r="E704" i="3"/>
  <c r="D704" i="3"/>
  <c r="C704" i="3"/>
  <c r="I703" i="3"/>
  <c r="H703" i="3"/>
  <c r="G703" i="3"/>
  <c r="F703" i="3"/>
  <c r="E703" i="3"/>
  <c r="D703" i="3"/>
  <c r="C703" i="3"/>
  <c r="I702" i="3"/>
  <c r="H702" i="3"/>
  <c r="G702" i="3"/>
  <c r="F702" i="3"/>
  <c r="E702" i="3"/>
  <c r="D702" i="3"/>
  <c r="C702" i="3"/>
  <c r="I701" i="3"/>
  <c r="H701" i="3"/>
  <c r="G701" i="3"/>
  <c r="F701" i="3"/>
  <c r="E701" i="3"/>
  <c r="D701" i="3"/>
  <c r="C701" i="3"/>
  <c r="I700" i="3"/>
  <c r="H700" i="3"/>
  <c r="G700" i="3"/>
  <c r="F700" i="3"/>
  <c r="E700" i="3"/>
  <c r="D700" i="3"/>
  <c r="C700" i="3"/>
  <c r="I699" i="3"/>
  <c r="H699" i="3"/>
  <c r="G699" i="3"/>
  <c r="F699" i="3"/>
  <c r="E699" i="3"/>
  <c r="D699" i="3"/>
  <c r="C699" i="3"/>
  <c r="I698" i="3"/>
  <c r="H698" i="3"/>
  <c r="G698" i="3"/>
  <c r="F698" i="3"/>
  <c r="E698" i="3"/>
  <c r="D698" i="3"/>
  <c r="C698" i="3"/>
  <c r="I697" i="3"/>
  <c r="H697" i="3"/>
  <c r="G697" i="3"/>
  <c r="F697" i="3"/>
  <c r="E697" i="3"/>
  <c r="D697" i="3"/>
  <c r="C697" i="3"/>
  <c r="I696" i="3"/>
  <c r="H696" i="3"/>
  <c r="G696" i="3"/>
  <c r="F696" i="3"/>
  <c r="E696" i="3"/>
  <c r="D696" i="3"/>
  <c r="C696" i="3"/>
  <c r="I695" i="3"/>
  <c r="H695" i="3"/>
  <c r="G695" i="3"/>
  <c r="F695" i="3"/>
  <c r="E695" i="3"/>
  <c r="D695" i="3"/>
  <c r="C695" i="3"/>
  <c r="I694" i="3"/>
  <c r="H694" i="3"/>
  <c r="G694" i="3"/>
  <c r="F694" i="3"/>
  <c r="E694" i="3"/>
  <c r="D694" i="3"/>
  <c r="C694" i="3"/>
  <c r="I693" i="3"/>
  <c r="H693" i="3"/>
  <c r="G693" i="3"/>
  <c r="F693" i="3"/>
  <c r="E693" i="3"/>
  <c r="D693" i="3"/>
  <c r="C693" i="3"/>
  <c r="I692" i="3"/>
  <c r="H692" i="3"/>
  <c r="G692" i="3"/>
  <c r="F692" i="3"/>
  <c r="E692" i="3"/>
  <c r="D692" i="3"/>
  <c r="C692" i="3"/>
  <c r="I691" i="3"/>
  <c r="H691" i="3"/>
  <c r="G691" i="3"/>
  <c r="F691" i="3"/>
  <c r="E691" i="3"/>
  <c r="D691" i="3"/>
  <c r="C691" i="3"/>
  <c r="I690" i="3"/>
  <c r="H690" i="3"/>
  <c r="G690" i="3"/>
  <c r="F690" i="3"/>
  <c r="E690" i="3"/>
  <c r="D690" i="3"/>
  <c r="C690" i="3"/>
  <c r="I689" i="3"/>
  <c r="H689" i="3"/>
  <c r="G689" i="3"/>
  <c r="F689" i="3"/>
  <c r="E689" i="3"/>
  <c r="D689" i="3"/>
  <c r="C689" i="3"/>
  <c r="I688" i="3"/>
  <c r="H688" i="3"/>
  <c r="G688" i="3"/>
  <c r="F688" i="3"/>
  <c r="E688" i="3"/>
  <c r="D688" i="3"/>
  <c r="C688" i="3"/>
  <c r="I687" i="3"/>
  <c r="H687" i="3"/>
  <c r="G687" i="3"/>
  <c r="F687" i="3"/>
  <c r="E687" i="3"/>
  <c r="D687" i="3"/>
  <c r="C687" i="3"/>
  <c r="I686" i="3"/>
  <c r="H686" i="3"/>
  <c r="G686" i="3"/>
  <c r="F686" i="3"/>
  <c r="E686" i="3"/>
  <c r="D686" i="3"/>
  <c r="C686" i="3"/>
  <c r="I685" i="3"/>
  <c r="H685" i="3"/>
  <c r="G685" i="3"/>
  <c r="F685" i="3"/>
  <c r="E685" i="3"/>
  <c r="D685" i="3"/>
  <c r="C685" i="3"/>
  <c r="I684" i="3"/>
  <c r="H684" i="3"/>
  <c r="G684" i="3"/>
  <c r="F684" i="3"/>
  <c r="E684" i="3"/>
  <c r="D684" i="3"/>
  <c r="C684" i="3"/>
  <c r="I683" i="3"/>
  <c r="H683" i="3"/>
  <c r="G683" i="3"/>
  <c r="F683" i="3"/>
  <c r="E683" i="3"/>
  <c r="D683" i="3"/>
  <c r="C683" i="3"/>
  <c r="I682" i="3"/>
  <c r="H682" i="3"/>
  <c r="G682" i="3"/>
  <c r="F682" i="3"/>
  <c r="E682" i="3"/>
  <c r="D682" i="3"/>
  <c r="C682" i="3"/>
  <c r="I681" i="3"/>
  <c r="H681" i="3"/>
  <c r="G681" i="3"/>
  <c r="F681" i="3"/>
  <c r="E681" i="3"/>
  <c r="D681" i="3"/>
  <c r="C681" i="3"/>
  <c r="I680" i="3"/>
  <c r="H680" i="3"/>
  <c r="G680" i="3"/>
  <c r="F680" i="3"/>
  <c r="E680" i="3"/>
  <c r="D680" i="3"/>
  <c r="C680" i="3"/>
  <c r="I679" i="3"/>
  <c r="H679" i="3"/>
  <c r="G679" i="3"/>
  <c r="F679" i="3"/>
  <c r="E679" i="3"/>
  <c r="D679" i="3"/>
  <c r="C679" i="3"/>
  <c r="I678" i="3"/>
  <c r="H678" i="3"/>
  <c r="G678" i="3"/>
  <c r="F678" i="3"/>
  <c r="E678" i="3"/>
  <c r="D678" i="3"/>
  <c r="C678" i="3"/>
  <c r="I677" i="3"/>
  <c r="H677" i="3"/>
  <c r="G677" i="3"/>
  <c r="F677" i="3"/>
  <c r="E677" i="3"/>
  <c r="D677" i="3"/>
  <c r="C677" i="3"/>
  <c r="I676" i="3"/>
  <c r="H676" i="3"/>
  <c r="G676" i="3"/>
  <c r="F676" i="3"/>
  <c r="E676" i="3"/>
  <c r="D676" i="3"/>
  <c r="C676" i="3"/>
  <c r="I675" i="3"/>
  <c r="H675" i="3"/>
  <c r="G675" i="3"/>
  <c r="F675" i="3"/>
  <c r="E675" i="3"/>
  <c r="D675" i="3"/>
  <c r="C675" i="3"/>
  <c r="I674" i="3"/>
  <c r="H674" i="3"/>
  <c r="G674" i="3"/>
  <c r="F674" i="3"/>
  <c r="E674" i="3"/>
  <c r="D674" i="3"/>
  <c r="C674" i="3"/>
  <c r="I673" i="3"/>
  <c r="H673" i="3"/>
  <c r="G673" i="3"/>
  <c r="F673" i="3"/>
  <c r="E673" i="3"/>
  <c r="D673" i="3"/>
  <c r="C673" i="3"/>
  <c r="I672" i="3"/>
  <c r="H672" i="3"/>
  <c r="G672" i="3"/>
  <c r="F672" i="3"/>
  <c r="E672" i="3"/>
  <c r="D672" i="3"/>
  <c r="C672" i="3"/>
  <c r="I671" i="3"/>
  <c r="H671" i="3"/>
  <c r="G671" i="3"/>
  <c r="F671" i="3"/>
  <c r="E671" i="3"/>
  <c r="D671" i="3"/>
  <c r="C671" i="3"/>
  <c r="I670" i="3"/>
  <c r="H670" i="3"/>
  <c r="G670" i="3"/>
  <c r="F670" i="3"/>
  <c r="E670" i="3"/>
  <c r="D670" i="3"/>
  <c r="C670" i="3"/>
  <c r="I669" i="3"/>
  <c r="H669" i="3"/>
  <c r="G669" i="3"/>
  <c r="F669" i="3"/>
  <c r="E669" i="3"/>
  <c r="D669" i="3"/>
  <c r="C669" i="3"/>
  <c r="I668" i="3"/>
  <c r="H668" i="3"/>
  <c r="G668" i="3"/>
  <c r="F668" i="3"/>
  <c r="E668" i="3"/>
  <c r="D668" i="3"/>
  <c r="C668" i="3"/>
  <c r="I667" i="3"/>
  <c r="H667" i="3"/>
  <c r="G667" i="3"/>
  <c r="F667" i="3"/>
  <c r="E667" i="3"/>
  <c r="D667" i="3"/>
  <c r="C667" i="3"/>
  <c r="I666" i="3"/>
  <c r="H666" i="3"/>
  <c r="G666" i="3"/>
  <c r="F666" i="3"/>
  <c r="E666" i="3"/>
  <c r="D666" i="3"/>
  <c r="C666" i="3"/>
  <c r="I665" i="3"/>
  <c r="H665" i="3"/>
  <c r="G665" i="3"/>
  <c r="F665" i="3"/>
  <c r="E665" i="3"/>
  <c r="D665" i="3"/>
  <c r="C665" i="3"/>
  <c r="I664" i="3"/>
  <c r="H664" i="3"/>
  <c r="G664" i="3"/>
  <c r="F664" i="3"/>
  <c r="E664" i="3"/>
  <c r="D664" i="3"/>
  <c r="C664" i="3"/>
  <c r="I663" i="3"/>
  <c r="H663" i="3"/>
  <c r="G663" i="3"/>
  <c r="F663" i="3"/>
  <c r="E663" i="3"/>
  <c r="D663" i="3"/>
  <c r="C663" i="3"/>
  <c r="I662" i="3"/>
  <c r="H662" i="3"/>
  <c r="G662" i="3"/>
  <c r="F662" i="3"/>
  <c r="E662" i="3"/>
  <c r="D662" i="3"/>
  <c r="C662" i="3"/>
  <c r="I661" i="3"/>
  <c r="H661" i="3"/>
  <c r="G661" i="3"/>
  <c r="F661" i="3"/>
  <c r="E661" i="3"/>
  <c r="D661" i="3"/>
  <c r="C661" i="3"/>
  <c r="I660" i="3"/>
  <c r="H660" i="3"/>
  <c r="G660" i="3"/>
  <c r="F660" i="3"/>
  <c r="E660" i="3"/>
  <c r="D660" i="3"/>
  <c r="C660" i="3"/>
  <c r="I659" i="3"/>
  <c r="H659" i="3"/>
  <c r="G659" i="3"/>
  <c r="F659" i="3"/>
  <c r="E659" i="3"/>
  <c r="D659" i="3"/>
  <c r="C659" i="3"/>
  <c r="I658" i="3"/>
  <c r="H658" i="3"/>
  <c r="G658" i="3"/>
  <c r="F658" i="3"/>
  <c r="E658" i="3"/>
  <c r="D658" i="3"/>
  <c r="C658" i="3"/>
  <c r="I657" i="3"/>
  <c r="H657" i="3"/>
  <c r="G657" i="3"/>
  <c r="F657" i="3"/>
  <c r="E657" i="3"/>
  <c r="D657" i="3"/>
  <c r="C657" i="3"/>
  <c r="I656" i="3"/>
  <c r="H656" i="3"/>
  <c r="G656" i="3"/>
  <c r="F656" i="3"/>
  <c r="E656" i="3"/>
  <c r="D656" i="3"/>
  <c r="C656" i="3"/>
  <c r="I655" i="3"/>
  <c r="H655" i="3"/>
  <c r="G655" i="3"/>
  <c r="F655" i="3"/>
  <c r="E655" i="3"/>
  <c r="D655" i="3"/>
  <c r="C655" i="3"/>
  <c r="I654" i="3"/>
  <c r="H654" i="3"/>
  <c r="G654" i="3"/>
  <c r="F654" i="3"/>
  <c r="E654" i="3"/>
  <c r="D654" i="3"/>
  <c r="C654" i="3"/>
  <c r="I653" i="3"/>
  <c r="H653" i="3"/>
  <c r="G653" i="3"/>
  <c r="F653" i="3"/>
  <c r="E653" i="3"/>
  <c r="D653" i="3"/>
  <c r="C653" i="3"/>
  <c r="I652" i="3"/>
  <c r="H652" i="3"/>
  <c r="G652" i="3"/>
  <c r="F652" i="3"/>
  <c r="E652" i="3"/>
  <c r="D652" i="3"/>
  <c r="C652" i="3"/>
  <c r="I651" i="3"/>
  <c r="H651" i="3"/>
  <c r="G651" i="3"/>
  <c r="F651" i="3"/>
  <c r="E651" i="3"/>
  <c r="D651" i="3"/>
  <c r="C651" i="3"/>
  <c r="I650" i="3"/>
  <c r="H650" i="3"/>
  <c r="G650" i="3"/>
  <c r="F650" i="3"/>
  <c r="E650" i="3"/>
  <c r="D650" i="3"/>
  <c r="C650" i="3"/>
  <c r="I649" i="3"/>
  <c r="H649" i="3"/>
  <c r="G649" i="3"/>
  <c r="F649" i="3"/>
  <c r="E649" i="3"/>
  <c r="D649" i="3"/>
  <c r="C649" i="3"/>
  <c r="I648" i="3"/>
  <c r="H648" i="3"/>
  <c r="G648" i="3"/>
  <c r="F648" i="3"/>
  <c r="E648" i="3"/>
  <c r="D648" i="3"/>
  <c r="C648" i="3"/>
  <c r="I647" i="3"/>
  <c r="H647" i="3"/>
  <c r="G647" i="3"/>
  <c r="F647" i="3"/>
  <c r="E647" i="3"/>
  <c r="D647" i="3"/>
  <c r="C647" i="3"/>
  <c r="I646" i="3"/>
  <c r="H646" i="3"/>
  <c r="G646" i="3"/>
  <c r="F646" i="3"/>
  <c r="E646" i="3"/>
  <c r="D646" i="3"/>
  <c r="C646" i="3"/>
  <c r="I645" i="3"/>
  <c r="H645" i="3"/>
  <c r="G645" i="3"/>
  <c r="F645" i="3"/>
  <c r="E645" i="3"/>
  <c r="D645" i="3"/>
  <c r="C645" i="3"/>
  <c r="N644" i="3"/>
  <c r="K644" i="3"/>
  <c r="I644" i="3"/>
  <c r="H644" i="3"/>
  <c r="G644" i="3"/>
  <c r="F644" i="3"/>
  <c r="E644" i="3"/>
  <c r="D644" i="3"/>
  <c r="C644" i="3"/>
  <c r="N643" i="3"/>
  <c r="K643" i="3"/>
  <c r="I643" i="3"/>
  <c r="H643" i="3"/>
  <c r="G643" i="3"/>
  <c r="F643" i="3"/>
  <c r="E643" i="3"/>
  <c r="D643" i="3"/>
  <c r="C643" i="3"/>
  <c r="N642" i="3"/>
  <c r="K642" i="3"/>
  <c r="I642" i="3"/>
  <c r="H642" i="3"/>
  <c r="G642" i="3"/>
  <c r="F642" i="3"/>
  <c r="E642" i="3"/>
  <c r="D642" i="3"/>
  <c r="C642" i="3"/>
  <c r="N641" i="3"/>
  <c r="K641" i="3"/>
  <c r="I641" i="3"/>
  <c r="H641" i="3"/>
  <c r="G641" i="3"/>
  <c r="F641" i="3"/>
  <c r="E641" i="3"/>
  <c r="D641" i="3"/>
  <c r="C641" i="3"/>
  <c r="N640" i="3"/>
  <c r="K640" i="3"/>
  <c r="I640" i="3"/>
  <c r="H640" i="3"/>
  <c r="G640" i="3"/>
  <c r="F640" i="3"/>
  <c r="E640" i="3"/>
  <c r="D640" i="3"/>
  <c r="C640" i="3"/>
  <c r="N639" i="3"/>
  <c r="K639" i="3"/>
  <c r="I639" i="3"/>
  <c r="H639" i="3"/>
  <c r="G639" i="3"/>
  <c r="F639" i="3"/>
  <c r="E639" i="3"/>
  <c r="D639" i="3"/>
  <c r="C639" i="3"/>
  <c r="N638" i="3"/>
  <c r="K638" i="3"/>
  <c r="I638" i="3"/>
  <c r="H638" i="3"/>
  <c r="G638" i="3"/>
  <c r="F638" i="3"/>
  <c r="E638" i="3"/>
  <c r="D638" i="3"/>
  <c r="C638" i="3"/>
  <c r="N637" i="3"/>
  <c r="K637" i="3"/>
  <c r="I637" i="3"/>
  <c r="H637" i="3"/>
  <c r="G637" i="3"/>
  <c r="F637" i="3"/>
  <c r="E637" i="3"/>
  <c r="D637" i="3"/>
  <c r="C637" i="3"/>
  <c r="I636" i="3"/>
  <c r="H636" i="3"/>
  <c r="G636" i="3"/>
  <c r="F636" i="3"/>
  <c r="E636" i="3"/>
  <c r="D636" i="3"/>
  <c r="C636" i="3"/>
  <c r="I635" i="3"/>
  <c r="H635" i="3"/>
  <c r="G635" i="3"/>
  <c r="F635" i="3"/>
  <c r="E635" i="3"/>
  <c r="D635" i="3"/>
  <c r="C635" i="3"/>
  <c r="I634" i="3"/>
  <c r="H634" i="3"/>
  <c r="G634" i="3"/>
  <c r="F634" i="3"/>
  <c r="E634" i="3"/>
  <c r="D634" i="3"/>
  <c r="C634" i="3"/>
  <c r="I633" i="3"/>
  <c r="H633" i="3"/>
  <c r="G633" i="3"/>
  <c r="F633" i="3"/>
  <c r="E633" i="3"/>
  <c r="D633" i="3"/>
  <c r="C633" i="3"/>
  <c r="I632" i="3"/>
  <c r="H632" i="3"/>
  <c r="G632" i="3"/>
  <c r="F632" i="3"/>
  <c r="E632" i="3"/>
  <c r="D632" i="3"/>
  <c r="C632" i="3"/>
  <c r="I631" i="3"/>
  <c r="H631" i="3"/>
  <c r="G631" i="3"/>
  <c r="F631" i="3"/>
  <c r="E631" i="3"/>
  <c r="D631" i="3"/>
  <c r="C631" i="3"/>
  <c r="I630" i="3"/>
  <c r="H630" i="3"/>
  <c r="G630" i="3"/>
  <c r="F630" i="3"/>
  <c r="E630" i="3"/>
  <c r="D630" i="3"/>
  <c r="C630" i="3"/>
  <c r="I629" i="3"/>
  <c r="H629" i="3"/>
  <c r="G629" i="3"/>
  <c r="F629" i="3"/>
  <c r="E629" i="3"/>
  <c r="D629" i="3"/>
  <c r="C629" i="3"/>
  <c r="K628" i="3"/>
  <c r="I628" i="3"/>
  <c r="H628" i="3"/>
  <c r="G628" i="3"/>
  <c r="F628" i="3"/>
  <c r="E628" i="3"/>
  <c r="D628" i="3"/>
  <c r="C628" i="3"/>
  <c r="K627" i="3"/>
  <c r="I627" i="3"/>
  <c r="H627" i="3"/>
  <c r="G627" i="3"/>
  <c r="F627" i="3"/>
  <c r="E627" i="3"/>
  <c r="D627" i="3"/>
  <c r="C627" i="3"/>
  <c r="K626" i="3"/>
  <c r="I626" i="3"/>
  <c r="H626" i="3"/>
  <c r="G626" i="3"/>
  <c r="F626" i="3"/>
  <c r="E626" i="3"/>
  <c r="D626" i="3"/>
  <c r="C626" i="3"/>
  <c r="K625" i="3"/>
  <c r="I625" i="3"/>
  <c r="H625" i="3"/>
  <c r="G625" i="3"/>
  <c r="F625" i="3"/>
  <c r="E625" i="3"/>
  <c r="D625" i="3"/>
  <c r="C625" i="3"/>
  <c r="K624" i="3"/>
  <c r="I624" i="3"/>
  <c r="H624" i="3"/>
  <c r="G624" i="3"/>
  <c r="F624" i="3"/>
  <c r="E624" i="3"/>
  <c r="D624" i="3"/>
  <c r="C624" i="3"/>
  <c r="K623" i="3"/>
  <c r="I623" i="3"/>
  <c r="H623" i="3"/>
  <c r="G623" i="3"/>
  <c r="F623" i="3"/>
  <c r="E623" i="3"/>
  <c r="D623" i="3"/>
  <c r="C623" i="3"/>
  <c r="K622" i="3"/>
  <c r="I622" i="3"/>
  <c r="H622" i="3"/>
  <c r="G622" i="3"/>
  <c r="F622" i="3"/>
  <c r="E622" i="3"/>
  <c r="D622" i="3"/>
  <c r="C622" i="3"/>
  <c r="K621" i="3"/>
  <c r="I621" i="3"/>
  <c r="H621" i="3"/>
  <c r="G621" i="3"/>
  <c r="F621" i="3"/>
  <c r="E621" i="3"/>
  <c r="D621" i="3"/>
  <c r="C621" i="3"/>
  <c r="K620" i="3"/>
  <c r="I620" i="3"/>
  <c r="H620" i="3"/>
  <c r="G620" i="3"/>
  <c r="F620" i="3"/>
  <c r="E620" i="3"/>
  <c r="D620" i="3"/>
  <c r="C620" i="3"/>
  <c r="K619" i="3"/>
  <c r="I619" i="3"/>
  <c r="H619" i="3"/>
  <c r="G619" i="3"/>
  <c r="F619" i="3"/>
  <c r="E619" i="3"/>
  <c r="D619" i="3"/>
  <c r="C619" i="3"/>
  <c r="K618" i="3"/>
  <c r="I618" i="3"/>
  <c r="H618" i="3"/>
  <c r="G618" i="3"/>
  <c r="F618" i="3"/>
  <c r="E618" i="3"/>
  <c r="D618" i="3"/>
  <c r="C618" i="3"/>
  <c r="N617" i="3"/>
  <c r="K617" i="3"/>
  <c r="I617" i="3"/>
  <c r="H617" i="3"/>
  <c r="G617" i="3"/>
  <c r="F617" i="3"/>
  <c r="E617" i="3"/>
  <c r="D617" i="3"/>
  <c r="C617" i="3"/>
  <c r="N616" i="3"/>
  <c r="K616" i="3"/>
  <c r="I616" i="3"/>
  <c r="H616" i="3"/>
  <c r="G616" i="3"/>
  <c r="F616" i="3"/>
  <c r="E616" i="3"/>
  <c r="D616" i="3"/>
  <c r="C616" i="3"/>
  <c r="N615" i="3"/>
  <c r="K615" i="3"/>
  <c r="I615" i="3"/>
  <c r="H615" i="3"/>
  <c r="G615" i="3"/>
  <c r="F615" i="3"/>
  <c r="E615" i="3"/>
  <c r="D615" i="3"/>
  <c r="C615" i="3"/>
  <c r="N614" i="3"/>
  <c r="K614" i="3"/>
  <c r="I614" i="3"/>
  <c r="H614" i="3"/>
  <c r="G614" i="3"/>
  <c r="F614" i="3"/>
  <c r="E614" i="3"/>
  <c r="D614" i="3"/>
  <c r="C614" i="3"/>
  <c r="N613" i="3" l="1"/>
  <c r="K613" i="3"/>
  <c r="I613" i="3"/>
  <c r="H613" i="3"/>
  <c r="G613" i="3"/>
  <c r="F613" i="3"/>
  <c r="E613" i="3"/>
  <c r="D613" i="3"/>
  <c r="C613" i="3"/>
  <c r="N612" i="3"/>
  <c r="K612" i="3"/>
  <c r="I612" i="3"/>
  <c r="H612" i="3"/>
  <c r="G612" i="3"/>
  <c r="F612" i="3"/>
  <c r="E612" i="3"/>
  <c r="D612" i="3"/>
  <c r="C612" i="3"/>
  <c r="N611" i="3"/>
  <c r="K611" i="3"/>
  <c r="I611" i="3"/>
  <c r="H611" i="3"/>
  <c r="G611" i="3"/>
  <c r="F611" i="3"/>
  <c r="E611" i="3"/>
  <c r="D611" i="3"/>
  <c r="C611" i="3"/>
  <c r="N610" i="3"/>
  <c r="K610" i="3"/>
  <c r="I610" i="3"/>
  <c r="H610" i="3"/>
  <c r="G610" i="3"/>
  <c r="F610" i="3"/>
  <c r="E610" i="3"/>
  <c r="D610" i="3"/>
  <c r="C610" i="3"/>
  <c r="N609" i="3"/>
  <c r="K609" i="3"/>
  <c r="I609" i="3"/>
  <c r="H609" i="3"/>
  <c r="G609" i="3"/>
  <c r="F609" i="3"/>
  <c r="E609" i="3"/>
  <c r="D609" i="3"/>
  <c r="C609" i="3"/>
  <c r="N608" i="3"/>
  <c r="K608" i="3"/>
  <c r="I608" i="3"/>
  <c r="H608" i="3"/>
  <c r="G608" i="3"/>
  <c r="F608" i="3"/>
  <c r="E608" i="3"/>
  <c r="D608" i="3"/>
  <c r="C608" i="3"/>
  <c r="N607" i="3"/>
  <c r="K607" i="3"/>
  <c r="I607" i="3"/>
  <c r="H607" i="3"/>
  <c r="G607" i="3"/>
  <c r="F607" i="3"/>
  <c r="E607" i="3"/>
  <c r="D607" i="3"/>
  <c r="C607" i="3"/>
  <c r="N606" i="3"/>
  <c r="K606" i="3"/>
  <c r="I606" i="3"/>
  <c r="H606" i="3"/>
  <c r="G606" i="3"/>
  <c r="F606" i="3"/>
  <c r="E606" i="3"/>
  <c r="D606" i="3"/>
  <c r="C606" i="3"/>
  <c r="N605" i="3"/>
  <c r="K605" i="3"/>
  <c r="I605" i="3"/>
  <c r="H605" i="3"/>
  <c r="G605" i="3"/>
  <c r="F605" i="3"/>
  <c r="E605" i="3"/>
  <c r="D605" i="3"/>
  <c r="C605" i="3"/>
  <c r="N604" i="3"/>
  <c r="K604" i="3"/>
  <c r="I604" i="3"/>
  <c r="H604" i="3"/>
  <c r="G604" i="3"/>
  <c r="F604" i="3"/>
  <c r="E604" i="3"/>
  <c r="D604" i="3"/>
  <c r="C604" i="3"/>
  <c r="N603" i="3"/>
  <c r="K603" i="3"/>
  <c r="I603" i="3"/>
  <c r="H603" i="3"/>
  <c r="G603" i="3"/>
  <c r="F603" i="3"/>
  <c r="E603" i="3"/>
  <c r="D603" i="3"/>
  <c r="C603" i="3"/>
  <c r="N602" i="3"/>
  <c r="K602" i="3"/>
  <c r="I602" i="3"/>
  <c r="H602" i="3"/>
  <c r="G602" i="3"/>
  <c r="F602" i="3"/>
  <c r="E602" i="3"/>
  <c r="D602" i="3"/>
  <c r="C602" i="3"/>
  <c r="N601" i="3"/>
  <c r="K601" i="3"/>
  <c r="I601" i="3"/>
  <c r="H601" i="3"/>
  <c r="G601" i="3"/>
  <c r="F601" i="3"/>
  <c r="E601" i="3"/>
  <c r="D601" i="3"/>
  <c r="C601" i="3"/>
  <c r="N600" i="3"/>
  <c r="K600" i="3"/>
  <c r="I600" i="3"/>
  <c r="H600" i="3"/>
  <c r="G600" i="3"/>
  <c r="F600" i="3"/>
  <c r="E600" i="3"/>
  <c r="D600" i="3"/>
  <c r="C600" i="3"/>
  <c r="N599" i="3"/>
  <c r="K599" i="3"/>
  <c r="I599" i="3"/>
  <c r="H599" i="3"/>
  <c r="G599" i="3"/>
  <c r="F599" i="3"/>
  <c r="E599" i="3"/>
  <c r="D599" i="3"/>
  <c r="C599" i="3"/>
  <c r="N598" i="3"/>
  <c r="K598" i="3"/>
  <c r="I598" i="3"/>
  <c r="H598" i="3"/>
  <c r="G598" i="3"/>
  <c r="F598" i="3"/>
  <c r="E598" i="3"/>
  <c r="D598" i="3"/>
  <c r="C598" i="3"/>
  <c r="N597" i="3"/>
  <c r="K597" i="3"/>
  <c r="I597" i="3"/>
  <c r="H597" i="3"/>
  <c r="G597" i="3"/>
  <c r="F597" i="3"/>
  <c r="E597" i="3"/>
  <c r="D597" i="3"/>
  <c r="C597" i="3"/>
  <c r="N596" i="3"/>
  <c r="K596" i="3"/>
  <c r="I596" i="3"/>
  <c r="H596" i="3"/>
  <c r="G596" i="3"/>
  <c r="F596" i="3"/>
  <c r="E596" i="3"/>
  <c r="D596" i="3"/>
  <c r="C596" i="3"/>
  <c r="N595" i="3"/>
  <c r="K595" i="3"/>
  <c r="I595" i="3"/>
  <c r="H595" i="3"/>
  <c r="G595" i="3"/>
  <c r="F595" i="3"/>
  <c r="E595" i="3"/>
  <c r="D595" i="3"/>
  <c r="C595" i="3"/>
  <c r="N594" i="3"/>
  <c r="K594" i="3"/>
  <c r="I594" i="3"/>
  <c r="H594" i="3"/>
  <c r="G594" i="3"/>
  <c r="F594" i="3"/>
  <c r="E594" i="3"/>
  <c r="D594" i="3"/>
  <c r="C594" i="3"/>
  <c r="N593" i="3"/>
  <c r="K593" i="3"/>
  <c r="I593" i="3"/>
  <c r="H593" i="3"/>
  <c r="G593" i="3"/>
  <c r="F593" i="3"/>
  <c r="E593" i="3"/>
  <c r="D593" i="3"/>
  <c r="C593" i="3"/>
  <c r="N592" i="3"/>
  <c r="K592" i="3"/>
  <c r="I592" i="3"/>
  <c r="H592" i="3"/>
  <c r="G592" i="3"/>
  <c r="F592" i="3"/>
  <c r="E592" i="3"/>
  <c r="D592" i="3"/>
  <c r="C592" i="3"/>
  <c r="N591" i="3"/>
  <c r="K591" i="3"/>
  <c r="I591" i="3"/>
  <c r="H591" i="3"/>
  <c r="G591" i="3"/>
  <c r="F591" i="3"/>
  <c r="E591" i="3"/>
  <c r="D591" i="3"/>
  <c r="C591" i="3"/>
  <c r="N590" i="3"/>
  <c r="K590" i="3"/>
  <c r="I590" i="3"/>
  <c r="H590" i="3"/>
  <c r="G590" i="3"/>
  <c r="F590" i="3"/>
  <c r="E590" i="3"/>
  <c r="D590" i="3"/>
  <c r="C590" i="3"/>
  <c r="N589" i="3"/>
  <c r="K589" i="3"/>
  <c r="I589" i="3"/>
  <c r="H589" i="3"/>
  <c r="G589" i="3"/>
  <c r="F589" i="3"/>
  <c r="E589" i="3"/>
  <c r="D589" i="3"/>
  <c r="C589" i="3"/>
  <c r="N588" i="3"/>
  <c r="K588" i="3"/>
  <c r="I588" i="3"/>
  <c r="H588" i="3"/>
  <c r="G588" i="3"/>
  <c r="F588" i="3"/>
  <c r="E588" i="3"/>
  <c r="D588" i="3"/>
  <c r="C588" i="3"/>
  <c r="N587" i="3"/>
  <c r="K587" i="3"/>
  <c r="I587" i="3"/>
  <c r="H587" i="3"/>
  <c r="G587" i="3"/>
  <c r="F587" i="3"/>
  <c r="E587" i="3"/>
  <c r="D587" i="3"/>
  <c r="C587" i="3"/>
  <c r="N586" i="3"/>
  <c r="K586" i="3"/>
  <c r="I586" i="3"/>
  <c r="H586" i="3"/>
  <c r="G586" i="3"/>
  <c r="F586" i="3"/>
  <c r="E586" i="3"/>
  <c r="D586" i="3"/>
  <c r="C586" i="3"/>
  <c r="N585" i="3"/>
  <c r="K585" i="3"/>
  <c r="I585" i="3"/>
  <c r="H585" i="3"/>
  <c r="G585" i="3"/>
  <c r="F585" i="3"/>
  <c r="E585" i="3"/>
  <c r="D585" i="3"/>
  <c r="C585" i="3"/>
  <c r="N584" i="3"/>
  <c r="K584" i="3"/>
  <c r="I584" i="3"/>
  <c r="H584" i="3"/>
  <c r="G584" i="3"/>
  <c r="F584" i="3"/>
  <c r="E584" i="3"/>
  <c r="D584" i="3"/>
  <c r="C584" i="3"/>
  <c r="N583" i="3"/>
  <c r="K583" i="3"/>
  <c r="I583" i="3"/>
  <c r="H583" i="3"/>
  <c r="G583" i="3"/>
  <c r="F583" i="3"/>
  <c r="E583" i="3"/>
  <c r="D583" i="3"/>
  <c r="C583" i="3"/>
  <c r="N582" i="3"/>
  <c r="K582" i="3"/>
  <c r="I582" i="3"/>
  <c r="H582" i="3"/>
  <c r="G582" i="3"/>
  <c r="F582" i="3"/>
  <c r="E582" i="3"/>
  <c r="D582" i="3"/>
  <c r="C582" i="3"/>
  <c r="N581" i="3"/>
  <c r="K581" i="3"/>
  <c r="I581" i="3"/>
  <c r="H581" i="3"/>
  <c r="G581" i="3"/>
  <c r="F581" i="3"/>
  <c r="E581" i="3"/>
  <c r="D581" i="3"/>
  <c r="C581" i="3"/>
  <c r="N580" i="3"/>
  <c r="K580" i="3"/>
  <c r="I580" i="3"/>
  <c r="H580" i="3"/>
  <c r="G580" i="3"/>
  <c r="F580" i="3"/>
  <c r="E580" i="3"/>
  <c r="D580" i="3"/>
  <c r="C580" i="3"/>
  <c r="N579" i="3"/>
  <c r="K579" i="3"/>
  <c r="I579" i="3"/>
  <c r="H579" i="3"/>
  <c r="G579" i="3"/>
  <c r="F579" i="3"/>
  <c r="E579" i="3"/>
  <c r="D579" i="3"/>
  <c r="C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<sst xmlns="http://schemas.openxmlformats.org/spreadsheetml/2006/main" count="7221" uniqueCount="1153">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</sst>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43" fontId="0" fillId="0" borderId="1" xfId="0" applyNumberFormat="1" applyBorder="1"/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47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LY_REPORT_LF/Sawangan_Update_250226.xlsx" TargetMode="External"/><Relationship Id="rId2" Type="http://schemas.openxmlformats.org/officeDocument/2006/relationships/externalLinkPath" Target="file:///C:\LF\DAILY_REPORT_LF\Sawangan_Update_250226.xlsx" TargetMode="External"/><Relationship Id="rId1" Type="http://schemas.openxmlformats.org/officeDocument/2006/relationships/externalLinkPath" Target="/LF/DAILY_REPORT_LF/Sawangan_Update_2502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ILY_REPORT_LF/Sawangan_Update_280226.xlsx" TargetMode="External"/><Relationship Id="rId2" Type="http://schemas.openxmlformats.org/officeDocument/2006/relationships/externalLinkPath" Target="file:///C:\LF\DAILY_REPORT_LF\Sawangan_Update_280226.xlsx" TargetMode="External"/><Relationship Id="rId1" Type="http://schemas.openxmlformats.org/officeDocument/2006/relationships/externalLinkPath" Target="/LF/DAILY_REPORT_LF/Sawangan_Update_2802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In-Out_Warehouse Sawangan"/>
      <sheetName val="Basil"/>
      <sheetName val="Panen 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2">
        <f ca="1">TODAY()</f>
        <v>46081</v>
      </c>
      <c r="C1" s="92"/>
      <c r="D1" s="92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94</v>
      </c>
      <c r="R6" s="25">
        <f t="shared" ca="1" si="1"/>
        <v>94</v>
      </c>
      <c r="S6" s="25">
        <f t="shared" ca="1" si="1"/>
        <v>94</v>
      </c>
      <c r="T6" s="25">
        <f t="shared" ca="1" si="1"/>
        <v>94</v>
      </c>
      <c r="U6" s="25">
        <f t="shared" ca="1" si="1"/>
        <v>95</v>
      </c>
      <c r="V6" s="25">
        <f ca="1">IF(V7="","",$B$1-V7)</f>
        <v>95</v>
      </c>
      <c r="W6" s="25">
        <f ca="1">IF(W7="","",$B$1-W7)</f>
        <v>95</v>
      </c>
      <c r="X6" s="25">
        <f ca="1">IF(X7="","",$B$1-X7)</f>
        <v>95</v>
      </c>
      <c r="Y6" s="55"/>
    </row>
    <row r="7" spans="1:25" ht="38.25" customHeight="1" x14ac:dyDescent="0.25">
      <c r="B7" s="93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4"/>
      <c r="Y8" s="55"/>
    </row>
    <row r="9" spans="1:25" x14ac:dyDescent="0.25">
      <c r="B9" s="94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5"/>
      <c r="C10" s="31">
        <f t="shared" ref="C10:H10" ca="1" si="2">IF(C11="","",$B$1-C11)</f>
        <v>99</v>
      </c>
      <c r="D10" s="25">
        <f t="shared" ca="1" si="2"/>
        <v>99</v>
      </c>
      <c r="E10" s="25">
        <f t="shared" ca="1" si="2"/>
        <v>99</v>
      </c>
      <c r="F10" s="25">
        <f t="shared" ca="1" si="2"/>
        <v>99</v>
      </c>
      <c r="G10" s="25">
        <f t="shared" ca="1" si="2"/>
        <v>99</v>
      </c>
      <c r="H10" s="25">
        <f t="shared" ca="1" si="2"/>
        <v>99</v>
      </c>
      <c r="J10" s="25">
        <f t="shared" ref="J10:P10" ca="1" si="3">IF(J11="","",$B$1-J11)</f>
        <v>99</v>
      </c>
      <c r="K10" s="25">
        <f t="shared" ca="1" si="3"/>
        <v>97</v>
      </c>
      <c r="L10" s="25">
        <f t="shared" ca="1" si="3"/>
        <v>97</v>
      </c>
      <c r="M10" s="25">
        <f t="shared" ca="1" si="3"/>
        <v>97</v>
      </c>
      <c r="N10" s="25">
        <f t="shared" ca="1" si="3"/>
        <v>97</v>
      </c>
      <c r="O10" s="25">
        <f t="shared" ca="1" si="3"/>
        <v>97</v>
      </c>
      <c r="P10" s="25">
        <f t="shared" ca="1" si="3"/>
        <v>97</v>
      </c>
      <c r="R10" s="25">
        <f t="shared" ref="R10:W10" ca="1" si="4">IF(R11="","",$B$1-R11)</f>
        <v>97</v>
      </c>
      <c r="S10" s="25">
        <f t="shared" ca="1" si="4"/>
        <v>96</v>
      </c>
      <c r="T10" s="25">
        <f t="shared" ca="1" si="4"/>
        <v>96</v>
      </c>
      <c r="U10" s="25">
        <f t="shared" ca="1" si="4"/>
        <v>95</v>
      </c>
      <c r="V10" s="25">
        <f t="shared" ca="1" si="4"/>
        <v>95</v>
      </c>
      <c r="W10" s="25">
        <f t="shared" ca="1" si="4"/>
        <v>95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100</v>
      </c>
      <c r="D14" s="25">
        <f t="shared" ca="1" si="5"/>
        <v>100</v>
      </c>
      <c r="E14" s="25">
        <f t="shared" ca="1" si="5"/>
        <v>100</v>
      </c>
      <c r="F14" s="25">
        <f t="shared" ca="1" si="5"/>
        <v>100</v>
      </c>
      <c r="G14" s="25">
        <f t="shared" ca="1" si="5"/>
        <v>100</v>
      </c>
      <c r="H14" s="25">
        <f t="shared" ca="1" si="5"/>
        <v>100</v>
      </c>
      <c r="J14" s="25">
        <f t="shared" ref="J14:P14" ca="1" si="6">IF(J15="","",$B$1-J15)</f>
        <v>100</v>
      </c>
      <c r="K14" s="25">
        <f t="shared" ca="1" si="6"/>
        <v>98</v>
      </c>
      <c r="L14" s="25">
        <f t="shared" ca="1" si="6"/>
        <v>98</v>
      </c>
      <c r="M14" s="25">
        <f t="shared" ca="1" si="6"/>
        <v>98</v>
      </c>
      <c r="N14" s="25">
        <f t="shared" ca="1" si="6"/>
        <v>98</v>
      </c>
      <c r="O14" s="25">
        <f t="shared" ca="1" si="6"/>
        <v>98</v>
      </c>
      <c r="P14" s="25">
        <f t="shared" ca="1" si="6"/>
        <v>98</v>
      </c>
      <c r="R14" s="25">
        <f t="shared" ref="R14:W14" ca="1" si="7">IF(R15="","",$B$1-R15)</f>
        <v>98</v>
      </c>
      <c r="S14" s="25">
        <f t="shared" ca="1" si="7"/>
        <v>96</v>
      </c>
      <c r="T14" s="25">
        <f t="shared" ca="1" si="7"/>
        <v>96</v>
      </c>
      <c r="U14" s="25">
        <f t="shared" ca="1" si="7"/>
        <v>96</v>
      </c>
      <c r="V14" s="25">
        <f t="shared" ca="1" si="7"/>
        <v>96</v>
      </c>
      <c r="W14" s="25">
        <f t="shared" ca="1" si="7"/>
        <v>96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8">IF(C25="","",$B$1-C25)</f>
        <v>34</v>
      </c>
      <c r="D24" s="25">
        <f t="shared" ca="1" si="8"/>
        <v>34</v>
      </c>
      <c r="E24" s="25">
        <f t="shared" ca="1" si="8"/>
        <v>34</v>
      </c>
      <c r="F24" s="25">
        <f t="shared" ca="1" si="8"/>
        <v>34</v>
      </c>
      <c r="G24" s="25">
        <f t="shared" ca="1" si="8"/>
        <v>34</v>
      </c>
      <c r="H24" s="25">
        <f t="shared" ca="1" si="8"/>
        <v>34</v>
      </c>
      <c r="J24" s="25">
        <f ca="1">IF(J25="","",$B$1-J25)</f>
        <v>34</v>
      </c>
      <c r="K24" s="25">
        <f t="shared" ref="K24:AI24" ca="1" si="9">IF(K25="","",$B$1-K25)</f>
        <v>30</v>
      </c>
      <c r="L24" s="25">
        <f t="shared" ca="1" si="9"/>
        <v>30</v>
      </c>
      <c r="M24" s="25">
        <f t="shared" ca="1" si="9"/>
        <v>30</v>
      </c>
      <c r="N24" s="25">
        <f t="shared" ca="1" si="9"/>
        <v>30</v>
      </c>
      <c r="O24" s="25">
        <f t="shared" ca="1" si="9"/>
        <v>30</v>
      </c>
      <c r="P24" s="25">
        <f t="shared" ca="1" si="9"/>
        <v>30</v>
      </c>
      <c r="R24" s="25">
        <f t="shared" ca="1" si="9"/>
        <v>30</v>
      </c>
      <c r="S24" s="25" t="str">
        <f t="shared" si="9"/>
        <v/>
      </c>
      <c r="T24" s="25" t="str">
        <f t="shared" si="9"/>
        <v/>
      </c>
      <c r="U24" s="25" t="str">
        <f t="shared" si="9"/>
        <v/>
      </c>
      <c r="V24" s="25" t="str">
        <f t="shared" si="9"/>
        <v/>
      </c>
      <c r="W24" s="25" t="str">
        <f t="shared" si="9"/>
        <v/>
      </c>
      <c r="X24" s="25" t="str">
        <f t="shared" si="9"/>
        <v/>
      </c>
      <c r="Z24" s="25" t="str">
        <f t="shared" si="9"/>
        <v/>
      </c>
      <c r="AA24" s="25" t="str">
        <f t="shared" si="9"/>
        <v/>
      </c>
      <c r="AB24" s="25" t="str">
        <f t="shared" si="9"/>
        <v/>
      </c>
      <c r="AC24" s="25" t="str">
        <f t="shared" si="9"/>
        <v/>
      </c>
      <c r="AD24" s="25" t="str">
        <f t="shared" si="9"/>
        <v/>
      </c>
      <c r="AE24" s="25" t="str">
        <f t="shared" si="9"/>
        <v/>
      </c>
      <c r="AF24" s="25" t="str">
        <f t="shared" si="9"/>
        <v/>
      </c>
      <c r="AG24" s="25" t="str">
        <f t="shared" si="9"/>
        <v/>
      </c>
      <c r="AH24" s="25" t="str">
        <f t="shared" si="9"/>
        <v/>
      </c>
      <c r="AI24" s="25" t="str">
        <f t="shared" si="9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0">IF(C29="","",$B$1-C29)</f>
        <v/>
      </c>
      <c r="D28" s="25" t="str">
        <f t="shared" si="10"/>
        <v/>
      </c>
      <c r="E28" s="25" t="str">
        <f t="shared" si="10"/>
        <v/>
      </c>
      <c r="F28" s="25" t="str">
        <f t="shared" si="10"/>
        <v/>
      </c>
      <c r="G28" s="25" t="str">
        <f t="shared" si="10"/>
        <v/>
      </c>
      <c r="H28" s="25" t="str">
        <f t="shared" si="10"/>
        <v/>
      </c>
      <c r="J28" s="25" t="str">
        <f>IF(J29="","",$B$1-J29)</f>
        <v/>
      </c>
      <c r="K28" s="25">
        <f t="shared" ref="K28:P28" ca="1" si="11">IF(K29="","",$B$1-K29)</f>
        <v>35</v>
      </c>
      <c r="L28" s="25">
        <f t="shared" ca="1" si="11"/>
        <v>35</v>
      </c>
      <c r="M28" s="25">
        <f t="shared" ca="1" si="11"/>
        <v>35</v>
      </c>
      <c r="N28" s="25">
        <f t="shared" ca="1" si="11"/>
        <v>35</v>
      </c>
      <c r="O28" s="25">
        <f t="shared" ca="1" si="11"/>
        <v>35</v>
      </c>
      <c r="P28" s="25">
        <f t="shared" ca="1" si="11"/>
        <v>35</v>
      </c>
      <c r="R28" s="25">
        <f t="shared" ref="R28:X28" ca="1" si="12">IF(R29="","",$B$1-R29)</f>
        <v>35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2"/>
        <v/>
      </c>
      <c r="X28" s="25" t="str">
        <f t="shared" si="12"/>
        <v/>
      </c>
      <c r="Z28" s="25" t="str">
        <f t="shared" ref="Z28:AI28" si="13">IF(Z29="","",$B$1-Z29)</f>
        <v/>
      </c>
      <c r="AA28" s="25" t="str">
        <f t="shared" si="13"/>
        <v/>
      </c>
      <c r="AB28" s="25" t="str">
        <f t="shared" si="13"/>
        <v/>
      </c>
      <c r="AC28" s="25" t="str">
        <f t="shared" si="13"/>
        <v/>
      </c>
      <c r="AD28" s="25" t="str">
        <f t="shared" si="13"/>
        <v/>
      </c>
      <c r="AE28" s="25" t="str">
        <f t="shared" si="13"/>
        <v/>
      </c>
      <c r="AF28" s="25" t="str">
        <f t="shared" si="13"/>
        <v/>
      </c>
      <c r="AG28" s="25" t="str">
        <f t="shared" si="13"/>
        <v/>
      </c>
      <c r="AH28" s="25" t="str">
        <f t="shared" si="13"/>
        <v/>
      </c>
      <c r="AI28" s="25" t="str">
        <f t="shared" si="13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6" t="s">
        <v>184</v>
      </c>
      <c r="I30" s="97"/>
      <c r="J30" s="98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2">
        <v>45978</v>
      </c>
      <c r="C36" s="92"/>
      <c r="D36" s="92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109</v>
      </c>
      <c r="D41" s="25">
        <f t="shared" ca="1" si="14"/>
        <v>109</v>
      </c>
      <c r="E41" s="25">
        <f t="shared" ca="1" si="14"/>
        <v>109</v>
      </c>
      <c r="F41" s="25">
        <f t="shared" ca="1" si="14"/>
        <v>109</v>
      </c>
      <c r="G41" s="25">
        <f t="shared" ca="1" si="14"/>
        <v>108</v>
      </c>
      <c r="H41" s="25">
        <f t="shared" ca="1" si="14"/>
        <v>108</v>
      </c>
      <c r="J41" s="25">
        <f t="shared" ca="1" si="14"/>
        <v>108</v>
      </c>
      <c r="K41" s="25">
        <f t="shared" ca="1" si="14"/>
        <v>108</v>
      </c>
      <c r="L41" s="25">
        <f t="shared" ca="1" si="14"/>
        <v>108</v>
      </c>
      <c r="M41" s="25">
        <f t="shared" ca="1" si="14"/>
        <v>108</v>
      </c>
      <c r="N41" s="25">
        <f t="shared" ca="1" si="14"/>
        <v>108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111</v>
      </c>
      <c r="D45" s="25">
        <f ca="1">IF(D46="","",$B$1-D46)</f>
        <v>111</v>
      </c>
      <c r="E45" s="25">
        <f ca="1">IF(E46="","",$B$1-E46)</f>
        <v>110</v>
      </c>
      <c r="F45" s="25">
        <f ca="1">IF(F46="","",$B$1-F46)</f>
        <v>110</v>
      </c>
      <c r="H45" s="25">
        <f ca="1">IF(H46="","",$B$1-H46)</f>
        <v>110</v>
      </c>
      <c r="J45" s="25">
        <f t="shared" ref="J45:P45" ca="1" si="15">IF(J46="","",$B$1-J46)</f>
        <v>110</v>
      </c>
      <c r="K45" s="25">
        <f t="shared" ca="1" si="15"/>
        <v>110</v>
      </c>
      <c r="L45" s="25">
        <f t="shared" ca="1" si="15"/>
        <v>110</v>
      </c>
      <c r="M45" s="25">
        <f t="shared" ca="1" si="15"/>
        <v>110</v>
      </c>
      <c r="N45" s="25">
        <f t="shared" ca="1" si="15"/>
        <v>109</v>
      </c>
      <c r="O45" s="25">
        <f t="shared" ca="1" si="15"/>
        <v>109</v>
      </c>
      <c r="P45" s="25">
        <f t="shared" ca="1" si="15"/>
        <v>109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112</v>
      </c>
      <c r="D49" s="25">
        <f ca="1">IF(D50="","",$B$1-D50)</f>
        <v>112</v>
      </c>
      <c r="E49" s="25">
        <f ca="1">IF(E50="","",$B$1-E50)</f>
        <v>112</v>
      </c>
      <c r="F49" s="25">
        <f ca="1">IF(F50="","",$B$1-F50)</f>
        <v>112</v>
      </c>
      <c r="H49" s="25">
        <f ca="1">IF(H50="","",$B$1-H50)</f>
        <v>112</v>
      </c>
      <c r="J49" s="25">
        <f t="shared" ref="J49:P49" ca="1" si="16">IF(J50="","",$B$1-J50)</f>
        <v>112</v>
      </c>
      <c r="K49" s="25">
        <f t="shared" ca="1" si="16"/>
        <v>112</v>
      </c>
      <c r="L49" s="25">
        <f t="shared" ca="1" si="16"/>
        <v>111</v>
      </c>
      <c r="M49" s="25">
        <f t="shared" ca="1" si="16"/>
        <v>111</v>
      </c>
      <c r="N49" s="25">
        <f t="shared" ca="1" si="16"/>
        <v>111</v>
      </c>
      <c r="O49" s="25">
        <f t="shared" ca="1" si="16"/>
        <v>111</v>
      </c>
      <c r="P49" s="25">
        <f t="shared" ca="1" si="16"/>
        <v>111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6" t="s">
        <v>184</v>
      </c>
      <c r="G51" s="97"/>
      <c r="H51" s="98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104</v>
      </c>
      <c r="D58" s="25">
        <f t="shared" ca="1" si="17"/>
        <v>104</v>
      </c>
      <c r="E58" s="25">
        <f t="shared" ca="1" si="17"/>
        <v>104</v>
      </c>
      <c r="F58" s="25">
        <f t="shared" ca="1" si="17"/>
        <v>104</v>
      </c>
      <c r="G58" s="25">
        <f t="shared" ca="1" si="17"/>
        <v>104</v>
      </c>
      <c r="H58" s="25">
        <f t="shared" ca="1" si="17"/>
        <v>104</v>
      </c>
      <c r="J58" s="25">
        <f t="shared" ref="J58:P58" ca="1" si="18">IF(J59="","",$B$1-J59)</f>
        <v>104</v>
      </c>
      <c r="K58" s="25">
        <f t="shared" ca="1" si="18"/>
        <v>103</v>
      </c>
      <c r="L58" s="25">
        <f t="shared" ca="1" si="18"/>
        <v>103</v>
      </c>
      <c r="M58" s="25">
        <f t="shared" ca="1" si="18"/>
        <v>103</v>
      </c>
      <c r="N58" s="25">
        <f t="shared" ca="1" si="18"/>
        <v>103</v>
      </c>
      <c r="O58" s="25">
        <f t="shared" ca="1" si="18"/>
        <v>103</v>
      </c>
      <c r="P58" s="25">
        <f t="shared" ca="1" si="18"/>
        <v>103</v>
      </c>
      <c r="R58" s="25">
        <f t="shared" ref="R58:X58" ca="1" si="19">IF(R59="","",$B$1-R59)</f>
        <v>103</v>
      </c>
      <c r="S58" s="25">
        <f t="shared" ca="1" si="19"/>
        <v>102</v>
      </c>
      <c r="T58" s="25">
        <f t="shared" ca="1" si="19"/>
        <v>102</v>
      </c>
      <c r="U58" s="25">
        <f t="shared" ca="1" si="19"/>
        <v>102</v>
      </c>
      <c r="V58" s="25">
        <f t="shared" ca="1" si="19"/>
        <v>102</v>
      </c>
      <c r="W58" s="25">
        <f t="shared" ca="1" si="19"/>
        <v>102</v>
      </c>
      <c r="X58" s="25">
        <f t="shared" ca="1" si="19"/>
        <v>102</v>
      </c>
      <c r="Z58" s="25">
        <f ca="1">IF(Z59="","",$B$1-Z59)</f>
        <v>102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3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4"/>
      <c r="AC60" s="55"/>
    </row>
    <row r="61" spans="1:29" x14ac:dyDescent="0.25">
      <c r="B61" s="94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5"/>
      <c r="C62" s="25" t="str">
        <f t="shared" ref="C62:H62" si="20">IF(C63="","",$B$1-C63)</f>
        <v/>
      </c>
      <c r="D62" s="25">
        <f t="shared" ca="1" si="20"/>
        <v>105</v>
      </c>
      <c r="E62" s="25">
        <f t="shared" ca="1" si="20"/>
        <v>105</v>
      </c>
      <c r="F62" s="25">
        <f t="shared" ca="1" si="20"/>
        <v>105</v>
      </c>
      <c r="G62" s="25">
        <f t="shared" ca="1" si="20"/>
        <v>105</v>
      </c>
      <c r="H62" s="25">
        <f t="shared" ca="1" si="20"/>
        <v>105</v>
      </c>
      <c r="J62" s="25">
        <f t="shared" ref="J62:P62" ca="1" si="21">IF(J63="","",$B$1-J63)</f>
        <v>105</v>
      </c>
      <c r="K62" s="25">
        <f t="shared" ca="1" si="21"/>
        <v>105</v>
      </c>
      <c r="L62" s="25">
        <f t="shared" ca="1" si="21"/>
        <v>105</v>
      </c>
      <c r="M62" s="25">
        <f t="shared" ca="1" si="21"/>
        <v>106</v>
      </c>
      <c r="N62" s="25">
        <f t="shared" ca="1" si="21"/>
        <v>106</v>
      </c>
      <c r="O62" s="25">
        <f t="shared" ca="1" si="21"/>
        <v>106</v>
      </c>
      <c r="P62" s="25">
        <f t="shared" ca="1" si="21"/>
        <v>106</v>
      </c>
      <c r="R62" s="25">
        <f t="shared" ref="R62:X62" ca="1" si="22">IF(R63="","",$B$1-R63)</f>
        <v>106</v>
      </c>
      <c r="S62" s="25">
        <f t="shared" ca="1" si="22"/>
        <v>106</v>
      </c>
      <c r="T62" s="25">
        <f t="shared" ca="1" si="22"/>
        <v>106</v>
      </c>
      <c r="U62" s="25">
        <f t="shared" ca="1" si="22"/>
        <v>107</v>
      </c>
      <c r="V62" s="25">
        <f t="shared" ca="1" si="22"/>
        <v>107</v>
      </c>
      <c r="W62" s="25">
        <f t="shared" ca="1" si="22"/>
        <v>107</v>
      </c>
      <c r="X62" s="25">
        <f t="shared" ca="1" si="22"/>
        <v>107</v>
      </c>
      <c r="Z62" s="25">
        <f ca="1">IF(Z63="","",$B$1-Z63)</f>
        <v>107</v>
      </c>
      <c r="AA62" s="25">
        <f ca="1">IF(AA63="","",$B$1-AA63)</f>
        <v>107</v>
      </c>
      <c r="AB62" s="25">
        <f ca="1">IF(AB63="","",$B$1-AB63)</f>
        <v>107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90</v>
      </c>
      <c r="D71" s="25">
        <f t="shared" ca="1" si="23"/>
        <v>90</v>
      </c>
      <c r="E71" s="25">
        <f t="shared" ca="1" si="23"/>
        <v>90</v>
      </c>
      <c r="F71" s="25">
        <f t="shared" ca="1" si="23"/>
        <v>91</v>
      </c>
      <c r="G71" s="25">
        <f t="shared" ca="1" si="23"/>
        <v>91</v>
      </c>
      <c r="H71" s="25">
        <f t="shared" ca="1" si="23"/>
        <v>91</v>
      </c>
      <c r="J71" s="25">
        <f ca="1">IF(J72="","",$B$1-J72)</f>
        <v>91</v>
      </c>
      <c r="K71" s="25">
        <f t="shared" ref="K71:P71" ca="1" si="24">IF(K72="","",$B$1-K72)</f>
        <v>91</v>
      </c>
      <c r="L71" s="25">
        <f t="shared" ca="1" si="24"/>
        <v>91</v>
      </c>
      <c r="M71" s="25">
        <f t="shared" ca="1" si="24"/>
        <v>91</v>
      </c>
      <c r="N71" s="25">
        <f t="shared" ca="1" si="24"/>
        <v>92</v>
      </c>
      <c r="O71" s="25">
        <f t="shared" ca="1" si="24"/>
        <v>92</v>
      </c>
      <c r="P71" s="25">
        <f t="shared" ca="1" si="24"/>
        <v>92</v>
      </c>
      <c r="R71" s="25">
        <f t="shared" ref="R71:X71" ca="1" si="25">IF(R72="","",$B$1-R72)</f>
        <v>92</v>
      </c>
      <c r="S71" s="25">
        <f t="shared" ca="1" si="25"/>
        <v>92</v>
      </c>
      <c r="T71" s="25">
        <f t="shared" ca="1" si="25"/>
        <v>92</v>
      </c>
      <c r="U71" s="25">
        <f t="shared" ca="1" si="25"/>
        <v>92</v>
      </c>
      <c r="V71" s="25">
        <f t="shared" ca="1" si="25"/>
        <v>93</v>
      </c>
      <c r="W71" s="25">
        <f t="shared" ca="1" si="25"/>
        <v>93</v>
      </c>
      <c r="X71" s="25">
        <f t="shared" ca="1" si="25"/>
        <v>93</v>
      </c>
      <c r="Z71" s="25">
        <f ca="1">IF(Z72="","",$B$1-Z72)</f>
        <v>93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9" t="s">
        <v>196</v>
      </c>
    </row>
    <row r="73" spans="1:28" x14ac:dyDescent="0.25">
      <c r="B73" s="54"/>
      <c r="AB73" s="90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0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1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46" priority="129">
      <formula>LEN(TRIM(C72))=0</formula>
    </cfRule>
    <cfRule type="notContainsBlanks" dxfId="1245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44" priority="95">
      <formula>LEN(TRIM(C42))=0</formula>
    </cfRule>
    <cfRule type="notContainsBlanks" dxfId="1243" priority="98">
      <formula>LEN(TRIM(C42))&gt;0</formula>
    </cfRule>
    <cfRule type="notContainsBlanks" dxfId="1242" priority="96">
      <formula>LEN(TRIM(C42))&gt;0</formula>
    </cfRule>
    <cfRule type="containsBlanks" dxfId="1241" priority="97">
      <formula>LEN(TRIM(C42))=0</formula>
    </cfRule>
  </conditionalFormatting>
  <conditionalFormatting sqref="C46:F46">
    <cfRule type="notContainsBlanks" dxfId="1240" priority="110">
      <formula>LEN(TRIM(C46))&gt;0</formula>
    </cfRule>
    <cfRule type="containsBlanks" dxfId="1239" priority="109">
      <formula>LEN(TRIM(C46))=0</formula>
    </cfRule>
  </conditionalFormatting>
  <conditionalFormatting sqref="C50:F50">
    <cfRule type="notContainsBlanks" dxfId="1238" priority="250">
      <formula>LEN(TRIM(C50))&gt;0</formula>
    </cfRule>
    <cfRule type="containsBlanks" dxfId="1237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36" priority="197">
      <formula>LEN(TRIM(C7))&gt;0</formula>
    </cfRule>
    <cfRule type="containsBlanks" dxfId="1235" priority="196">
      <formula>LEN(TRIM(C7))=0</formula>
    </cfRule>
  </conditionalFormatting>
  <conditionalFormatting sqref="C11:H11">
    <cfRule type="containsBlanks" dxfId="1234" priority="242">
      <formula>LEN(TRIM(C11))=0</formula>
    </cfRule>
    <cfRule type="notContainsBlanks" dxfId="1233" priority="243">
      <formula>LEN(TRIM(C11))&gt;0</formula>
    </cfRule>
  </conditionalFormatting>
  <conditionalFormatting sqref="C15:H15">
    <cfRule type="notContainsBlanks" dxfId="1232" priority="62">
      <formula>LEN(TRIM(C15))&gt;0</formula>
    </cfRule>
    <cfRule type="containsBlanks" dxfId="1231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30" priority="3">
      <formula>LEN(TRIM(C25))=0</formula>
    </cfRule>
    <cfRule type="notContainsBlanks" dxfId="1229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28" priority="64">
      <formula>LEN(TRIM(C29))&gt;0</formula>
    </cfRule>
    <cfRule type="containsBlanks" dxfId="1227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26" priority="100">
      <formula>LEN(TRIM(C42))&gt;0</formula>
    </cfRule>
    <cfRule type="containsBlanks" dxfId="1225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24" priority="163">
      <formula>LEN(TRIM(C59))=0</formula>
    </cfRule>
    <cfRule type="notContainsBlanks" dxfId="1223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22" priority="80">
      <formula>LEN(TRIM(C63))&gt;0</formula>
    </cfRule>
    <cfRule type="containsBlanks" dxfId="1221" priority="79">
      <formula>LEN(TRIM(C63))=0</formula>
    </cfRule>
  </conditionalFormatting>
  <conditionalFormatting sqref="C72:H72">
    <cfRule type="notContainsBlanks" dxfId="1220" priority="16">
      <formula>LEN(TRIM(C72))&gt;0</formula>
    </cfRule>
    <cfRule type="containsBlanks" dxfId="1219" priority="15">
      <formula>LEN(TRIM(C72))=0</formula>
    </cfRule>
  </conditionalFormatting>
  <conditionalFormatting sqref="C76:H76">
    <cfRule type="containsBlanks" dxfId="1218" priority="194">
      <formula>LEN(TRIM(C76))=0</formula>
    </cfRule>
    <cfRule type="notContainsBlanks" dxfId="1217" priority="195">
      <formula>LEN(TRIM(C76))&gt;0</formula>
    </cfRule>
  </conditionalFormatting>
  <conditionalFormatting sqref="D63:H63">
    <cfRule type="notContainsBlanks" dxfId="1216" priority="78">
      <formula>LEN(TRIM(D63))&gt;0</formula>
    </cfRule>
    <cfRule type="containsBlanks" dxfId="1215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14" priority="228">
      <formula>LEN(TRIM(E46))=0</formula>
    </cfRule>
    <cfRule type="notContainsBlanks" dxfId="1213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12" priority="13">
      <formula>LEN(TRIM(F72))=0</formula>
    </cfRule>
    <cfRule type="notContainsBlanks" dxfId="1211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10" priority="183">
      <formula>LEN(TRIM(G42))&gt;0</formula>
    </cfRule>
    <cfRule type="containsBlanks" dxfId="1209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08" priority="108">
      <formula>LEN(TRIM(H46))&gt;0</formula>
    </cfRule>
    <cfRule type="containsBlanks" dxfId="1207" priority="107">
      <formula>LEN(TRIM(H46))=0</formula>
    </cfRule>
    <cfRule type="notContainsBlanks" dxfId="1206" priority="106">
      <formula>LEN(TRIM(H46))&gt;0</formula>
    </cfRule>
    <cfRule type="containsBlanks" dxfId="1205" priority="105">
      <formula>LEN(TRIM(H46))=0</formula>
    </cfRule>
  </conditionalFormatting>
  <conditionalFormatting sqref="H50">
    <cfRule type="notContainsBlanks" dxfId="1204" priority="114">
      <formula>LEN(TRIM(H50))&gt;0</formula>
    </cfRule>
    <cfRule type="containsBlanks" dxfId="1203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202" priority="220">
      <formula>LEN(TRIM(J72))=0</formula>
    </cfRule>
    <cfRule type="notContainsBlanks" dxfId="1201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200" priority="116">
      <formula>LEN(TRIM(J21))&gt;0</formula>
    </cfRule>
    <cfRule type="containsBlanks" dxfId="1199" priority="115">
      <formula>LEN(TRIM(J21))=0</formula>
    </cfRule>
  </conditionalFormatting>
  <conditionalFormatting sqref="J63:L63">
    <cfRule type="notContainsBlanks" dxfId="1198" priority="162">
      <formula>LEN(TRIM(J63))&gt;0</formula>
    </cfRule>
    <cfRule type="containsBlanks" dxfId="1197" priority="161">
      <formula>LEN(TRIM(J63))=0</formula>
    </cfRule>
  </conditionalFormatting>
  <conditionalFormatting sqref="J46:M46">
    <cfRule type="containsBlanks" dxfId="1196" priority="101">
      <formula>LEN(TRIM(J46))=0</formula>
    </cfRule>
    <cfRule type="notContainsBlanks" dxfId="1195" priority="102">
      <formula>LEN(TRIM(J46))&gt;0</formula>
    </cfRule>
  </conditionalFormatting>
  <conditionalFormatting sqref="J72:M72">
    <cfRule type="notContainsBlanks" dxfId="1194" priority="134">
      <formula>LEN(TRIM(J72))&gt;0</formula>
    </cfRule>
    <cfRule type="containsBlanks" dxfId="1193" priority="133">
      <formula>LEN(TRIM(J72))=0</formula>
    </cfRule>
  </conditionalFormatting>
  <conditionalFormatting sqref="J42:N42">
    <cfRule type="notContainsBlanks" dxfId="1192" priority="92">
      <formula>LEN(TRIM(J42))&gt;0</formula>
    </cfRule>
    <cfRule type="containsBlanks" dxfId="1191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90" priority="155">
      <formula>LEN(TRIM(J7))=0</formula>
    </cfRule>
    <cfRule type="notContainsBlanks" dxfId="1189" priority="156">
      <formula>LEN(TRIM(J7))&gt;0</formula>
    </cfRule>
  </conditionalFormatting>
  <conditionalFormatting sqref="J11:P11">
    <cfRule type="notContainsBlanks" dxfId="1188" priority="58">
      <formula>LEN(TRIM(J11))&gt;0</formula>
    </cfRule>
    <cfRule type="containsBlanks" dxfId="1187" priority="57">
      <formula>LEN(TRIM(J11))=0</formula>
    </cfRule>
  </conditionalFormatting>
  <conditionalFormatting sqref="J15:P15">
    <cfRule type="notContainsBlanks" dxfId="1186" priority="60">
      <formula>LEN(TRIM(J15))&gt;0</formula>
    </cfRule>
    <cfRule type="containsBlanks" dxfId="1185" priority="59">
      <formula>LEN(TRIM(J15))=0</formula>
    </cfRule>
  </conditionalFormatting>
  <conditionalFormatting sqref="J25:P25">
    <cfRule type="containsBlanks" dxfId="1184" priority="5">
      <formula>LEN(TRIM(J25))=0</formula>
    </cfRule>
    <cfRule type="notContainsBlanks" dxfId="1183" priority="6">
      <formula>LEN(TRIM(J25))&gt;0</formula>
    </cfRule>
  </conditionalFormatting>
  <conditionalFormatting sqref="J29:P29">
    <cfRule type="notContainsBlanks" dxfId="1182" priority="2">
      <formula>LEN(TRIM(J29))&gt;0</formula>
    </cfRule>
    <cfRule type="containsBlanks" dxfId="1181" priority="1">
      <formula>LEN(TRIM(J29))=0</formula>
    </cfRule>
  </conditionalFormatting>
  <conditionalFormatting sqref="J42:P42">
    <cfRule type="notContainsBlanks" dxfId="1180" priority="94">
      <formula>LEN(TRIM(J42))&gt;0</formula>
    </cfRule>
    <cfRule type="containsBlanks" dxfId="1179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78" priority="103">
      <formula>LEN(TRIM(J46))=0</formula>
    </cfRule>
    <cfRule type="notContainsBlanks" dxfId="1177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76" priority="112">
      <formula>LEN(TRIM(J50))&gt;0</formula>
    </cfRule>
    <cfRule type="containsBlanks" dxfId="1175" priority="111">
      <formula>LEN(TRIM(J50))=0</formula>
    </cfRule>
  </conditionalFormatting>
  <conditionalFormatting sqref="J59:P59">
    <cfRule type="containsBlanks" dxfId="1174" priority="75">
      <formula>LEN(TRIM(J59))=0</formula>
    </cfRule>
    <cfRule type="notContainsBlanks" dxfId="1173" priority="76">
      <formula>LEN(TRIM(J59))&gt;0</formula>
    </cfRule>
  </conditionalFormatting>
  <conditionalFormatting sqref="J63:P63">
    <cfRule type="containsBlanks" dxfId="1172" priority="83">
      <formula>LEN(TRIM(J63))=0</formula>
    </cfRule>
    <cfRule type="notContainsBlanks" dxfId="1171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70" priority="18">
      <formula>LEN(TRIM(J72))&gt;0</formula>
    </cfRule>
    <cfRule type="containsBlanks" dxfId="1169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68" priority="193">
      <formula>LEN(TRIM(J76))&gt;0</formula>
    </cfRule>
    <cfRule type="containsBlanks" dxfId="1167" priority="192">
      <formula>LEN(TRIM(J76))=0</formula>
    </cfRule>
  </conditionalFormatting>
  <conditionalFormatting sqref="K11:P11">
    <cfRule type="notContainsBlanks" dxfId="1166" priority="160">
      <formula>LEN(TRIM(K11))&gt;0</formula>
    </cfRule>
    <cfRule type="containsBlanks" dxfId="1165" priority="159">
      <formula>LEN(TRIM(K11))=0</formula>
    </cfRule>
  </conditionalFormatting>
  <conditionalFormatting sqref="K59:P59">
    <cfRule type="notContainsBlanks" dxfId="1164" priority="168">
      <formula>LEN(TRIM(K59))&gt;0</formula>
    </cfRule>
    <cfRule type="notContainsBlanks" dxfId="1163" priority="166">
      <formula>LEN(TRIM(K59))&gt;0</formula>
    </cfRule>
    <cfRule type="containsBlanks" dxfId="1162" priority="165">
      <formula>LEN(TRIM(K59))=0</formula>
    </cfRule>
    <cfRule type="containsBlanks" dxfId="1161" priority="167">
      <formula>LEN(TRIM(K59))=0</formula>
    </cfRule>
  </conditionalFormatting>
  <conditionalFormatting sqref="L76:P76">
    <cfRule type="notContainsBlanks" dxfId="1160" priority="206">
      <formula>LEN(TRIM(L76))&gt;0</formula>
    </cfRule>
    <cfRule type="containsBlanks" dxfId="1159" priority="205">
      <formula>LEN(TRIM(L76))=0</formula>
    </cfRule>
  </conditionalFormatting>
  <conditionalFormatting sqref="M50:P50">
    <cfRule type="containsBlanks" dxfId="1158" priority="232">
      <formula>LEN(TRIM(M50))=0</formula>
    </cfRule>
    <cfRule type="notContainsBlanks" dxfId="1157" priority="233">
      <formula>LEN(TRIM(M50))&gt;0</formula>
    </cfRule>
  </conditionalFormatting>
  <conditionalFormatting sqref="M63:P63">
    <cfRule type="notContainsBlanks" dxfId="1156" priority="82">
      <formula>LEN(TRIM(M63))&gt;0</formula>
    </cfRule>
    <cfRule type="containsBlanks" dxfId="1155" priority="81">
      <formula>LEN(TRIM(M63))=0</formula>
    </cfRule>
  </conditionalFormatting>
  <conditionalFormatting sqref="N46:P46">
    <cfRule type="notContainsBlanks" dxfId="1154" priority="227">
      <formula>LEN(TRIM(N46))&gt;0</formula>
    </cfRule>
    <cfRule type="containsBlanks" dxfId="1153" priority="184">
      <formula>LEN(TRIM(N46))=0</formula>
    </cfRule>
    <cfRule type="containsBlanks" dxfId="1152" priority="226">
      <formula>LEN(TRIM(N46))=0</formula>
    </cfRule>
    <cfRule type="notContainsBlanks" dxfId="1151" priority="185">
      <formula>LEN(TRIM(N46))&gt;0</formula>
    </cfRule>
  </conditionalFormatting>
  <conditionalFormatting sqref="O46:P46">
    <cfRule type="notContainsBlanks" dxfId="1150" priority="231">
      <formula>LEN(TRIM(O46))&gt;0</formula>
    </cfRule>
    <cfRule type="containsBlanks" dxfId="1149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48" priority="154">
      <formula>LEN(TRIM(P7))&gt;0</formula>
    </cfRule>
    <cfRule type="containsBlanks" dxfId="1147" priority="153">
      <formula>LEN(TRIM(P7))=0</formula>
    </cfRule>
    <cfRule type="notContainsBlanks" dxfId="1146" priority="152">
      <formula>LEN(TRIM(P7))&gt;0</formula>
    </cfRule>
    <cfRule type="containsBlanks" dxfId="1145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44" priority="54">
      <formula>LEN(TRIM(R11))&gt;0</formula>
    </cfRule>
  </conditionalFormatting>
  <conditionalFormatting sqref="R15">
    <cfRule type="containsBlanks" dxfId="1143" priority="55">
      <formula>LEN(TRIM(R15))=0</formula>
    </cfRule>
    <cfRule type="notContainsBlanks" dxfId="1142" priority="56">
      <formula>LEN(TRIM(R15))&gt;0</formula>
    </cfRule>
  </conditionalFormatting>
  <conditionalFormatting sqref="R59">
    <cfRule type="notContainsBlanks" dxfId="1141" priority="72">
      <formula>LEN(TRIM(R59))&gt;0</formula>
    </cfRule>
    <cfRule type="containsBlanks" dxfId="1140" priority="71">
      <formula>LEN(TRIM(R59))=0</formula>
    </cfRule>
    <cfRule type="notContainsBlanks" dxfId="1139" priority="70">
      <formula>LEN(TRIM(R59))&gt;0</formula>
    </cfRule>
    <cfRule type="containsBlanks" dxfId="1138" priority="69">
      <formula>LEN(TRIM(R59))=0</formula>
    </cfRule>
  </conditionalFormatting>
  <conditionalFormatting sqref="R72">
    <cfRule type="containsBlanks" dxfId="1137" priority="218">
      <formula>LEN(TRIM(R72))=0</formula>
    </cfRule>
    <cfRule type="notContainsBlanks" dxfId="1136" priority="219">
      <formula>LEN(TRIM(R72))&gt;0</formula>
    </cfRule>
  </conditionalFormatting>
  <conditionalFormatting sqref="R63:S63">
    <cfRule type="notContainsBlanks" dxfId="1135" priority="173">
      <formula>LEN(TRIM(R63))&gt;0</formula>
    </cfRule>
    <cfRule type="containsBlanks" dxfId="1134" priority="172">
      <formula>LEN(TRIM(R63))=0</formula>
    </cfRule>
  </conditionalFormatting>
  <conditionalFormatting sqref="R76:S76">
    <cfRule type="notContainsBlanks" dxfId="1133" priority="189">
      <formula>LEN(TRIM(R76))&gt;0</formula>
    </cfRule>
    <cfRule type="containsBlanks" dxfId="1132" priority="188">
      <formula>LEN(TRIM(R76))=0</formula>
    </cfRule>
  </conditionalFormatting>
  <conditionalFormatting sqref="R7:T7">
    <cfRule type="notContainsBlanks" dxfId="1131" priority="26">
      <formula>LEN(TRIM(R7))&gt;0</formula>
    </cfRule>
    <cfRule type="containsBlanks" dxfId="1130" priority="23">
      <formula>LEN(TRIM(R7))=0</formula>
    </cfRule>
    <cfRule type="containsBlanks" dxfId="1129" priority="25">
      <formula>LEN(TRIM(R7))=0</formula>
    </cfRule>
    <cfRule type="notContainsBlanks" dxfId="1128" priority="24">
      <formula>LEN(TRIM(R7))&gt;0</formula>
    </cfRule>
  </conditionalFormatting>
  <conditionalFormatting sqref="R11:T11">
    <cfRule type="notContainsBlanks" dxfId="1127" priority="48">
      <formula>LEN(TRIM(R11))&gt;0</formula>
    </cfRule>
    <cfRule type="containsBlanks" dxfId="1126" priority="47">
      <formula>LEN(TRIM(R11))=0</formula>
    </cfRule>
  </conditionalFormatting>
  <conditionalFormatting sqref="R63:T63">
    <cfRule type="containsBlanks" dxfId="1125" priority="180">
      <formula>LEN(TRIM(R63))=0</formula>
    </cfRule>
    <cfRule type="notContainsBlanks" dxfId="1124" priority="181">
      <formula>LEN(TRIM(R63))&gt;0</formula>
    </cfRule>
    <cfRule type="notContainsBlanks" dxfId="1123" priority="175">
      <formula>LEN(TRIM(R63))&gt;0</formula>
    </cfRule>
    <cfRule type="containsBlanks" dxfId="1122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21" priority="27">
      <formula>LEN(TRIM(R7))=0</formula>
    </cfRule>
    <cfRule type="notContainsBlanks" dxfId="1120" priority="28">
      <formula>LEN(TRIM(R7))&gt;0</formula>
    </cfRule>
  </conditionalFormatting>
  <conditionalFormatting sqref="R25:X25">
    <cfRule type="notContainsBlanks" dxfId="1119" priority="40">
      <formula>LEN(TRIM(R25))&gt;0</formula>
    </cfRule>
    <cfRule type="containsBlanks" dxfId="1118" priority="39">
      <formula>LEN(TRIM(R25))=0</formula>
    </cfRule>
  </conditionalFormatting>
  <conditionalFormatting sqref="R29:X29">
    <cfRule type="containsBlanks" dxfId="1117" priority="9">
      <formula>LEN(TRIM(R29))=0</formula>
    </cfRule>
    <cfRule type="notContainsBlanks" dxfId="1116" priority="10">
      <formula>LEN(TRIM(R29))&gt;0</formula>
    </cfRule>
  </conditionalFormatting>
  <conditionalFormatting sqref="R59:X59">
    <cfRule type="containsBlanks" dxfId="1115" priority="73">
      <formula>LEN(TRIM(R59))=0</formula>
    </cfRule>
    <cfRule type="notContainsBlanks" dxfId="1114" priority="74">
      <formula>LEN(TRIM(R59))&gt;0</formula>
    </cfRule>
  </conditionalFormatting>
  <conditionalFormatting sqref="R72:X72">
    <cfRule type="notContainsBlanks" dxfId="1113" priority="20">
      <formula>LEN(TRIM(R72))&gt;0</formula>
    </cfRule>
    <cfRule type="containsBlanks" dxfId="1112" priority="19">
      <formula>LEN(TRIM(R72))=0</formula>
    </cfRule>
  </conditionalFormatting>
  <conditionalFormatting sqref="R76:X76">
    <cfRule type="containsBlanks" dxfId="1111" priority="190">
      <formula>LEN(TRIM(R76))=0</formula>
    </cfRule>
    <cfRule type="notContainsBlanks" dxfId="1110" priority="191">
      <formula>LEN(TRIM(R76))&gt;0</formula>
    </cfRule>
  </conditionalFormatting>
  <conditionalFormatting sqref="S15:W15">
    <cfRule type="containsBlanks" dxfId="1109" priority="211">
      <formula>LEN(TRIM(S15))=0</formula>
    </cfRule>
    <cfRule type="notContainsBlanks" dxfId="1108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07" priority="171">
      <formula>LEN(TRIM(S59))&gt;0</formula>
    </cfRule>
    <cfRule type="containsBlanks" dxfId="1106" priority="170">
      <formula>LEN(TRIM(S59))=0</formula>
    </cfRule>
  </conditionalFormatting>
  <conditionalFormatting sqref="U11:X11 R11">
    <cfRule type="containsBlanks" dxfId="1105" priority="53">
      <formula>LEN(TRIM(R11))=0</formula>
    </cfRule>
  </conditionalFormatting>
  <conditionalFormatting sqref="U63:X63">
    <cfRule type="notContainsBlanks" dxfId="1104" priority="88">
      <formula>LEN(TRIM(U63))&gt;0</formula>
    </cfRule>
    <cfRule type="containsBlanks" dxfId="1103" priority="87">
      <formula>LEN(TRIM(U63))=0</formula>
    </cfRule>
    <cfRule type="notContainsBlanks" dxfId="1102" priority="86">
      <formula>LEN(TRIM(U63))&gt;0</formula>
    </cfRule>
    <cfRule type="notContainsBlanks" dxfId="1101" priority="90">
      <formula>LEN(TRIM(U63))&gt;0</formula>
    </cfRule>
    <cfRule type="containsBlanks" dxfId="1100" priority="85">
      <formula>LEN(TRIM(U63))=0</formula>
    </cfRule>
    <cfRule type="containsBlanks" dxfId="1099" priority="89">
      <formula>LEN(TRIM(U63))=0</formula>
    </cfRule>
  </conditionalFormatting>
  <conditionalFormatting sqref="V11:W11">
    <cfRule type="notContainsBlanks" dxfId="1098" priority="50">
      <formula>LEN(TRIM(V11))&gt;0</formula>
    </cfRule>
    <cfRule type="containsBlanks" dxfId="1097" priority="49">
      <formula>LEN(TRIM(V11))=0</formula>
    </cfRule>
  </conditionalFormatting>
  <conditionalFormatting sqref="W15:X15">
    <cfRule type="containsBlanks" dxfId="1096" priority="201">
      <formula>LEN(TRIM(W15))=0</formula>
    </cfRule>
    <cfRule type="notContainsBlanks" dxfId="1095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94" priority="214">
      <formula>LEN(TRIM(W33))&gt;0</formula>
    </cfRule>
    <cfRule type="containsBlanks" dxfId="1093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92" priority="288">
      <formula>LEN(TRIM(X21))=0</formula>
    </cfRule>
    <cfRule type="notContainsBlanks" dxfId="1091" priority="283">
      <formula>LEN(TRIM(X21))&gt;0</formula>
    </cfRule>
    <cfRule type="containsBlanks" dxfId="1090" priority="284">
      <formula>LEN(TRIM(X21))=0</formula>
    </cfRule>
    <cfRule type="notContainsBlanks" dxfId="1089" priority="285">
      <formula>LEN(TRIM(X21))&gt;0</formula>
    </cfRule>
    <cfRule type="containsBlanks" dxfId="1088" priority="286">
      <formula>LEN(TRIM(X21))=0</formula>
    </cfRule>
    <cfRule type="notContainsBlanks" dxfId="1087" priority="287">
      <formula>LEN(TRIM(X21))&gt;0</formula>
    </cfRule>
    <cfRule type="notContainsBlanks" dxfId="1086" priority="289">
      <formula>LEN(TRIM(X21))&gt;0</formula>
    </cfRule>
    <cfRule type="containsBlanks" dxfId="1085" priority="290">
      <formula>LEN(TRIM(X21))=0</formula>
    </cfRule>
    <cfRule type="notContainsBlanks" dxfId="1084" priority="291">
      <formula>LEN(TRIM(X21))&gt;0</formula>
    </cfRule>
    <cfRule type="containsBlanks" dxfId="1083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82" priority="66">
      <formula>LEN(TRIM(Z59))&gt;0</formula>
    </cfRule>
    <cfRule type="containsBlanks" dxfId="1081" priority="65">
      <formula>LEN(TRIM(Z59))=0</formula>
    </cfRule>
  </conditionalFormatting>
  <conditionalFormatting sqref="Z72">
    <cfRule type="containsBlanks" dxfId="1080" priority="135">
      <formula>LEN(TRIM(Z72))=0</formula>
    </cfRule>
    <cfRule type="notContainsBlanks" dxfId="1079" priority="136">
      <formula>LEN(TRIM(Z72))&gt;0</formula>
    </cfRule>
  </conditionalFormatting>
  <conditionalFormatting sqref="Z76">
    <cfRule type="containsBlanks" dxfId="1078" priority="216">
      <formula>LEN(TRIM(Z76))=0</formula>
    </cfRule>
    <cfRule type="notContainsBlanks" dxfId="1077" priority="217">
      <formula>LEN(TRIM(Z76))&gt;0</formula>
    </cfRule>
  </conditionalFormatting>
  <conditionalFormatting sqref="Z63:AA63">
    <cfRule type="containsBlanks" dxfId="1076" priority="176">
      <formula>LEN(TRIM(Z63))=0</formula>
    </cfRule>
    <cfRule type="notContainsBlanks" dxfId="1075" priority="177">
      <formula>LEN(TRIM(Z63))&gt;0</formula>
    </cfRule>
  </conditionalFormatting>
  <conditionalFormatting sqref="Z59:AB59">
    <cfRule type="containsBlanks" dxfId="1074" priority="67">
      <formula>LEN(TRIM(Z59))=0</formula>
    </cfRule>
    <cfRule type="notContainsBlanks" dxfId="1073" priority="68">
      <formula>LEN(TRIM(Z59))&gt;0</formula>
    </cfRule>
  </conditionalFormatting>
  <conditionalFormatting sqref="Z63:AB63">
    <cfRule type="containsBlanks" dxfId="1072" priority="186">
      <formula>LEN(TRIM(Z63))=0</formula>
    </cfRule>
    <cfRule type="notContainsBlanks" dxfId="1071" priority="187">
      <formula>LEN(TRIM(Z63))&gt;0</formula>
    </cfRule>
    <cfRule type="containsBlanks" dxfId="1070" priority="178">
      <formula>LEN(TRIM(Z63))=0</formula>
    </cfRule>
    <cfRule type="notContainsBlanks" dxfId="1069" priority="179">
      <formula>LEN(TRIM(Z63))&gt;0</formula>
    </cfRule>
  </conditionalFormatting>
  <conditionalFormatting sqref="Z25:AI25">
    <cfRule type="notContainsBlanks" dxfId="1068" priority="122">
      <formula>LEN(TRIM(Z25))&gt;0</formula>
    </cfRule>
    <cfRule type="containsBlanks" dxfId="1067" priority="121">
      <formula>LEN(TRIM(Z25))=0</formula>
    </cfRule>
  </conditionalFormatting>
  <conditionalFormatting sqref="Z29:AI29">
    <cfRule type="notContainsBlanks" dxfId="1066" priority="8">
      <formula>LEN(TRIM(Z29))&gt;0</formula>
    </cfRule>
    <cfRule type="containsBlanks" dxfId="1065" priority="7">
      <formula>LEN(TRIM(Z29))=0</formula>
    </cfRule>
  </conditionalFormatting>
  <conditionalFormatting sqref="AA59:AB59">
    <cfRule type="notContainsBlanks" dxfId="1064" priority="148">
      <formula>LEN(TRIM(AA59))&gt;0</formula>
    </cfRule>
    <cfRule type="containsBlanks" dxfId="1063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62" priority="274">
      <formula>LEN(TRIM(AF21))=0</formula>
    </cfRule>
    <cfRule type="notContainsBlanks" dxfId="1061" priority="275">
      <formula>LEN(TRIM(AF21))&gt;0</formula>
    </cfRule>
    <cfRule type="containsBlanks" dxfId="1060" priority="276">
      <formula>LEN(TRIM(AF21))=0</formula>
    </cfRule>
    <cfRule type="notContainsBlanks" dxfId="1059" priority="277">
      <formula>LEN(TRIM(AF21))&gt;0</formula>
    </cfRule>
    <cfRule type="containsBlanks" dxfId="1058" priority="278">
      <formula>LEN(TRIM(AF21))=0</formula>
    </cfRule>
    <cfRule type="notContainsBlanks" dxfId="1057" priority="279">
      <formula>LEN(TRIM(AF21))&gt;0</formula>
    </cfRule>
    <cfRule type="containsBlanks" dxfId="1056" priority="280">
      <formula>LEN(TRIM(AF21))=0</formula>
    </cfRule>
    <cfRule type="notContainsBlanks" dxfId="1055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54" priority="118">
      <formula>LEN(TRIM(AF21))&gt;0</formula>
    </cfRule>
    <cfRule type="containsBlanks" dxfId="1053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52" priority="292">
      <formula>LEN(TRIM(AG33))=0</formula>
    </cfRule>
    <cfRule type="notContainsBlanks" dxfId="1051" priority="293">
      <formula>LEN(TRIM(AG33))&gt;0</formula>
    </cfRule>
    <cfRule type="containsBlanks" dxfId="1050" priority="294">
      <formula>LEN(TRIM(AG33))=0</formula>
    </cfRule>
    <cfRule type="notContainsBlanks" dxfId="1049" priority="295">
      <formula>LEN(TRIM(AG33))&gt;0</formula>
    </cfRule>
    <cfRule type="containsBlanks" dxfId="1048" priority="296">
      <formula>LEN(TRIM(AG33))=0</formula>
    </cfRule>
    <cfRule type="notContainsBlanks" dxfId="1047" priority="297">
      <formula>LEN(TRIM(AG33))&gt;0</formula>
    </cfRule>
    <cfRule type="containsBlanks" dxfId="1046" priority="298">
      <formula>LEN(TRIM(AG33))=0</formula>
    </cfRule>
    <cfRule type="notContainsBlanks" dxfId="1045" priority="299">
      <formula>LEN(TRIM(AG33))&gt;0</formula>
    </cfRule>
    <cfRule type="containsBlanks" dxfId="1044" priority="300">
      <formula>LEN(TRIM(AG33))=0</formula>
    </cfRule>
    <cfRule type="notContainsBlanks" dxfId="1043" priority="301">
      <formula>LEN(TRIM(AG33))&gt;0</formula>
    </cfRule>
    <cfRule type="containsBlanks" dxfId="1042" priority="302">
      <formula>LEN(TRIM(AG33))=0</formula>
    </cfRule>
    <cfRule type="notContainsBlanks" dxfId="1041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1">
        <v>45695</v>
      </c>
      <c r="B1" s="101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2" t="s">
        <v>3</v>
      </c>
      <c r="C8" s="103"/>
      <c r="D8" s="103"/>
      <c r="E8" s="103"/>
      <c r="F8" s="103"/>
      <c r="G8" s="103"/>
      <c r="H8" s="103"/>
      <c r="I8" s="103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104" t="s">
        <v>4</v>
      </c>
      <c r="C9" s="105"/>
      <c r="D9" s="105"/>
      <c r="E9" s="105"/>
      <c r="F9" s="105"/>
      <c r="G9" s="105"/>
      <c r="H9" s="105"/>
      <c r="I9" s="105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6" t="s">
        <v>5</v>
      </c>
      <c r="C10" s="107"/>
      <c r="D10" s="107"/>
      <c r="E10" s="107"/>
      <c r="F10" s="107"/>
      <c r="G10" s="107"/>
      <c r="H10" s="107"/>
      <c r="I10" s="107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8" t="s">
        <v>6</v>
      </c>
      <c r="C11" s="109"/>
      <c r="D11" s="109"/>
      <c r="E11" s="109"/>
      <c r="F11" s="109"/>
      <c r="G11" s="109"/>
      <c r="H11" s="109"/>
      <c r="I11" s="109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9" t="s">
        <v>7</v>
      </c>
      <c r="C12" s="100"/>
      <c r="D12" s="100"/>
      <c r="E12" s="100"/>
      <c r="F12" s="100"/>
      <c r="G12" s="100"/>
      <c r="H12" s="100"/>
      <c r="I12" s="100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40" priority="911">
      <formula>LEN(TRIM(E14))=0</formula>
    </cfRule>
  </conditionalFormatting>
  <conditionalFormatting sqref="J114:J119 BT207:BV213 AW168:BA174 BZ168:CP174">
    <cfRule type="containsText" dxfId="1039" priority="906" operator="containsText" text="T">
      <formula>NOT(ISERROR(SEARCH("T",J114)))</formula>
    </cfRule>
  </conditionalFormatting>
  <conditionalFormatting sqref="J120:M126">
    <cfRule type="containsText" dxfId="1038" priority="447" operator="containsText" text="T">
      <formula>NOT(ISERROR(SEARCH("T",J120)))</formula>
    </cfRule>
  </conditionalFormatting>
  <conditionalFormatting sqref="J113:T113">
    <cfRule type="containsText" dxfId="1037" priority="898" operator="containsText" text="17">
      <formula>NOT(ISERROR(SEARCH("17",J113)))</formula>
    </cfRule>
    <cfRule type="containsText" dxfId="1036" priority="899" operator="containsText" text="T">
      <formula>NOT(ISERROR(SEARCH("T",J113)))</formula>
    </cfRule>
  </conditionalFormatting>
  <conditionalFormatting sqref="J67:X68 BT207:BV213">
    <cfRule type="containsText" dxfId="1035" priority="843" operator="containsText" text="17">
      <formula>NOT(ISERROR(SEARCH("17",J67)))</formula>
    </cfRule>
  </conditionalFormatting>
  <conditionalFormatting sqref="J97:X98">
    <cfRule type="containsText" dxfId="1034" priority="833" operator="containsText" text="17">
      <formula>NOT(ISERROR(SEARCH("17",J97)))</formula>
    </cfRule>
  </conditionalFormatting>
  <conditionalFormatting sqref="J67:Z68">
    <cfRule type="containsText" dxfId="1033" priority="837" operator="containsText" text="T">
      <formula>NOT(ISERROR(SEARCH("T",J67)))</formula>
    </cfRule>
  </conditionalFormatting>
  <conditionalFormatting sqref="J97:Z98">
    <cfRule type="containsText" dxfId="1032" priority="827" operator="containsText" text="T">
      <formula>NOT(ISERROR(SEARCH("T",J97)))</formula>
    </cfRule>
  </conditionalFormatting>
  <conditionalFormatting sqref="J127:Z130">
    <cfRule type="containsText" dxfId="1031" priority="807" operator="containsText" text="T">
      <formula>NOT(ISERROR(SEARCH("T",J127)))</formula>
    </cfRule>
  </conditionalFormatting>
  <conditionalFormatting sqref="J114:AD119 J113:R113">
    <cfRule type="containsText" dxfId="1030" priority="905" operator="containsText" text="17">
      <formula>NOT(ISERROR(SEARCH("17",J113)))</formula>
    </cfRule>
  </conditionalFormatting>
  <conditionalFormatting sqref="J48:AO49">
    <cfRule type="containsText" dxfId="1029" priority="580" operator="containsText" text="17">
      <formula>NOT(ISERROR(SEARCH("17",J48)))</formula>
    </cfRule>
  </conditionalFormatting>
  <conditionalFormatting sqref="J63:AP66">
    <cfRule type="containsText" dxfId="1028" priority="560" operator="containsText" text="17">
      <formula>NOT(ISERROR(SEARCH("17",J63)))</formula>
    </cfRule>
  </conditionalFormatting>
  <conditionalFormatting sqref="J48:AQ49">
    <cfRule type="containsText" dxfId="1027" priority="574" operator="containsText" text="T">
      <formula>NOT(ISERROR(SEARCH("T",J48)))</formula>
    </cfRule>
  </conditionalFormatting>
  <conditionalFormatting sqref="J59:AQ62">
    <cfRule type="containsText" dxfId="1026" priority="546" operator="containsText" text="17">
      <formula>NOT(ISERROR(SEARCH("17",J59)))</formula>
    </cfRule>
  </conditionalFormatting>
  <conditionalFormatting sqref="J86:AQ89">
    <cfRule type="containsText" dxfId="1025" priority="536" operator="containsText" text="17">
      <formula>NOT(ISERROR(SEARCH("17",J86)))</formula>
    </cfRule>
  </conditionalFormatting>
  <conditionalFormatting sqref="J50:AR53">
    <cfRule type="containsText" dxfId="1024" priority="564" operator="containsText" text="T">
      <formula>NOT(ISERROR(SEARCH("T",J50)))</formula>
    </cfRule>
  </conditionalFormatting>
  <conditionalFormatting sqref="J63:AR66">
    <cfRule type="containsText" dxfId="1023" priority="554" operator="containsText" text="T">
      <formula>NOT(ISERROR(SEARCH("T",J63)))</formula>
    </cfRule>
  </conditionalFormatting>
  <conditionalFormatting sqref="J83:AR85">
    <cfRule type="containsText" dxfId="1022" priority="526" operator="containsText" text="17">
      <formula>NOT(ISERROR(SEARCH("17",J83)))</formula>
    </cfRule>
  </conditionalFormatting>
  <conditionalFormatting sqref="J214:AR217">
    <cfRule type="containsText" dxfId="1021" priority="516" operator="containsText" text="17">
      <formula>NOT(ISERROR(SEARCH("17",J214)))</formula>
    </cfRule>
  </conditionalFormatting>
  <conditionalFormatting sqref="J59:AS62">
    <cfRule type="containsText" dxfId="1020" priority="540" operator="containsText" text="T">
      <formula>NOT(ISERROR(SEARCH("T",J59)))</formula>
    </cfRule>
  </conditionalFormatting>
  <conditionalFormatting sqref="J86:AS89">
    <cfRule type="containsText" dxfId="1019" priority="530" operator="containsText" text="T">
      <formula>NOT(ISERROR(SEARCH("T",J86)))</formula>
    </cfRule>
  </conditionalFormatting>
  <conditionalFormatting sqref="J218:AS224">
    <cfRule type="containsText" dxfId="1018" priority="506" operator="containsText" text="17">
      <formula>NOT(ISERROR(SEARCH("17",J218)))</formula>
    </cfRule>
  </conditionalFormatting>
  <conditionalFormatting sqref="J83:AT85">
    <cfRule type="containsText" dxfId="1017" priority="520" operator="containsText" text="T">
      <formula>NOT(ISERROR(SEARCH("T",J83)))</formula>
    </cfRule>
  </conditionalFormatting>
  <conditionalFormatting sqref="J214:AT217">
    <cfRule type="containsText" dxfId="1016" priority="510" operator="containsText" text="T">
      <formula>NOT(ISERROR(SEARCH("T",J214)))</formula>
    </cfRule>
  </conditionalFormatting>
  <conditionalFormatting sqref="J225:AT231">
    <cfRule type="containsText" dxfId="1015" priority="496" operator="containsText" text="17">
      <formula>NOT(ISERROR(SEARCH("17",J225)))</formula>
    </cfRule>
  </conditionalFormatting>
  <conditionalFormatting sqref="J218:AU224">
    <cfRule type="containsText" dxfId="1014" priority="500" operator="containsText" text="T">
      <formula>NOT(ISERROR(SEARCH("T",J218)))</formula>
    </cfRule>
  </conditionalFormatting>
  <conditionalFormatting sqref="J232:AU234">
    <cfRule type="containsText" dxfId="1013" priority="486" operator="containsText" text="17">
      <formula>NOT(ISERROR(SEARCH("17",J232)))</formula>
    </cfRule>
  </conditionalFormatting>
  <conditionalFormatting sqref="J225:AV231">
    <cfRule type="containsText" dxfId="1012" priority="490" operator="containsText" text="T">
      <formula>NOT(ISERROR(SEARCH("T",J225)))</formula>
    </cfRule>
  </conditionalFormatting>
  <conditionalFormatting sqref="J232:AW234">
    <cfRule type="containsText" dxfId="1011" priority="480" operator="containsText" text="T">
      <formula>NOT(ISERROR(SEARCH("T",J232)))</formula>
    </cfRule>
  </conditionalFormatting>
  <conditionalFormatting sqref="J33:CP33">
    <cfRule type="containsText" dxfId="1010" priority="1058" operator="containsText" text="T">
      <formula>NOT(ISERROR(SEARCH("T",J33)))</formula>
    </cfRule>
  </conditionalFormatting>
  <conditionalFormatting sqref="K77:K82">
    <cfRule type="containsText" dxfId="1009" priority="893" operator="containsText" text="T">
      <formula>NOT(ISERROR(SEARCH("T",K77)))</formula>
    </cfRule>
  </conditionalFormatting>
  <conditionalFormatting sqref="K76:U76">
    <cfRule type="containsText" dxfId="1008" priority="886" operator="containsText" text="T">
      <formula>NOT(ISERROR(SEARCH("T",K76)))</formula>
    </cfRule>
    <cfRule type="containsText" dxfId="1007" priority="885" operator="containsText" text="17">
      <formula>NOT(ISERROR(SEARCH("17",K76)))</formula>
    </cfRule>
  </conditionalFormatting>
  <conditionalFormatting sqref="K77:AE82 K76:S76">
    <cfRule type="containsText" dxfId="1006" priority="892" operator="containsText" text="17">
      <formula>NOT(ISERROR(SEARCH("17",K76)))</formula>
    </cfRule>
  </conditionalFormatting>
  <conditionalFormatting sqref="L107:L112">
    <cfRule type="containsText" dxfId="1005" priority="880" operator="containsText" text="T">
      <formula>NOT(ISERROR(SEARCH("T",L107)))</formula>
    </cfRule>
  </conditionalFormatting>
  <conditionalFormatting sqref="L106:V106">
    <cfRule type="containsText" dxfId="1004" priority="872" operator="containsText" text="17">
      <formula>NOT(ISERROR(SEARCH("17",L106)))</formula>
    </cfRule>
    <cfRule type="containsText" dxfId="1003" priority="873" operator="containsText" text="T">
      <formula>NOT(ISERROR(SEARCH("T",L106)))</formula>
    </cfRule>
  </conditionalFormatting>
  <conditionalFormatting sqref="L107:AF112 L106:T106">
    <cfRule type="containsText" dxfId="1002" priority="879" operator="containsText" text="17">
      <formula>NOT(ISERROR(SEARCH("17",L106)))</formula>
    </cfRule>
  </conditionalFormatting>
  <conditionalFormatting sqref="M120:AG126 AJ120:AJ126">
    <cfRule type="containsText" dxfId="1001" priority="444" operator="containsText" text="T">
      <formula>NOT(ISERROR(SEARCH("T",M120)))</formula>
    </cfRule>
  </conditionalFormatting>
  <conditionalFormatting sqref="M120:AG126">
    <cfRule type="containsText" dxfId="1000" priority="446" operator="containsText" text="17">
      <formula>NOT(ISERROR(SEARCH("17",M120)))</formula>
    </cfRule>
  </conditionalFormatting>
  <conditionalFormatting sqref="N70:N75">
    <cfRule type="containsText" dxfId="999" priority="867" operator="containsText" text="T">
      <formula>NOT(ISERROR(SEARCH("T",N70)))</formula>
    </cfRule>
  </conditionalFormatting>
  <conditionalFormatting sqref="N69:X69">
    <cfRule type="containsText" dxfId="998" priority="860" operator="containsText" text="T">
      <formula>NOT(ISERROR(SEARCH("T",N69)))</formula>
    </cfRule>
    <cfRule type="containsText" dxfId="997" priority="859" operator="containsText" text="17">
      <formula>NOT(ISERROR(SEARCH("17",N69)))</formula>
    </cfRule>
  </conditionalFormatting>
  <conditionalFormatting sqref="N70:AH75 N69:V69">
    <cfRule type="containsText" dxfId="996" priority="866" operator="containsText" text="17">
      <formula>NOT(ISERROR(SEARCH("17",N69)))</formula>
    </cfRule>
  </conditionalFormatting>
  <conditionalFormatting sqref="O100:O105">
    <cfRule type="containsText" dxfId="995" priority="854" operator="containsText" text="T">
      <formula>NOT(ISERROR(SEARCH("T",O100)))</formula>
    </cfRule>
  </conditionalFormatting>
  <conditionalFormatting sqref="O99:Y99">
    <cfRule type="containsText" dxfId="994" priority="846" operator="containsText" text="17">
      <formula>NOT(ISERROR(SEARCH("17",O99)))</formula>
    </cfRule>
    <cfRule type="containsText" dxfId="993" priority="847" operator="containsText" text="T">
      <formula>NOT(ISERROR(SEARCH("T",O99)))</formula>
    </cfRule>
  </conditionalFormatting>
  <conditionalFormatting sqref="O100:AI105 O99:W99">
    <cfRule type="containsText" dxfId="992" priority="853" operator="containsText" text="17">
      <formula>NOT(ISERROR(SEARCH("17",O99)))</formula>
    </cfRule>
  </conditionalFormatting>
  <conditionalFormatting sqref="P67:Z68">
    <cfRule type="containsText" dxfId="991" priority="836" operator="containsText" text="17">
      <formula>NOT(ISERROR(SEARCH("17",P67)))</formula>
    </cfRule>
  </conditionalFormatting>
  <conditionalFormatting sqref="P97:Z98">
    <cfRule type="containsText" dxfId="990" priority="826" operator="containsText" text="17">
      <formula>NOT(ISERROR(SEARCH("17",P97)))</formula>
    </cfRule>
  </conditionalFormatting>
  <conditionalFormatting sqref="P127:Z130">
    <cfRule type="containsText" dxfId="989" priority="806" operator="containsText" text="17">
      <formula>NOT(ISERROR(SEARCH("17",P127)))</formula>
    </cfRule>
  </conditionalFormatting>
  <conditionalFormatting sqref="Q132:Q137">
    <cfRule type="containsText" dxfId="988" priority="801" operator="containsText" text="T">
      <formula>NOT(ISERROR(SEARCH("T",Q132)))</formula>
    </cfRule>
  </conditionalFormatting>
  <conditionalFormatting sqref="Q131:AA131">
    <cfRule type="containsText" dxfId="987" priority="794" operator="containsText" text="T">
      <formula>NOT(ISERROR(SEARCH("T",Q131)))</formula>
    </cfRule>
    <cfRule type="containsText" dxfId="986" priority="793" operator="containsText" text="17">
      <formula>NOT(ISERROR(SEARCH("17",Q131)))</formula>
    </cfRule>
  </conditionalFormatting>
  <conditionalFormatting sqref="Q132:AK137 Q131:Y131">
    <cfRule type="containsText" dxfId="985" priority="800" operator="containsText" text="17">
      <formula>NOT(ISERROR(SEARCH("17",Q131)))</formula>
    </cfRule>
  </conditionalFormatting>
  <conditionalFormatting sqref="R139:R144">
    <cfRule type="containsText" dxfId="984" priority="788" operator="containsText" text="T">
      <formula>NOT(ISERROR(SEARCH("T",R139)))</formula>
    </cfRule>
  </conditionalFormatting>
  <conditionalFormatting sqref="R138:AB138">
    <cfRule type="containsText" dxfId="983" priority="780" operator="containsText" text="17">
      <formula>NOT(ISERROR(SEARCH("17",R138)))</formula>
    </cfRule>
    <cfRule type="containsText" dxfId="982" priority="781" operator="containsText" text="T">
      <formula>NOT(ISERROR(SEARCH("T",R138)))</formula>
    </cfRule>
  </conditionalFormatting>
  <conditionalFormatting sqref="R139:AL144 R138:Z138">
    <cfRule type="containsText" dxfId="981" priority="787" operator="containsText" text="17">
      <formula>NOT(ISERROR(SEARCH("17",R138)))</formula>
    </cfRule>
  </conditionalFormatting>
  <conditionalFormatting sqref="S146:S151">
    <cfRule type="containsText" dxfId="980" priority="775" operator="containsText" text="T">
      <formula>NOT(ISERROR(SEARCH("T",S146)))</formula>
    </cfRule>
  </conditionalFormatting>
  <conditionalFormatting sqref="S145:AC145">
    <cfRule type="containsText" dxfId="979" priority="768" operator="containsText" text="T">
      <formula>NOT(ISERROR(SEARCH("T",S145)))</formula>
    </cfRule>
    <cfRule type="containsText" dxfId="978" priority="767" operator="containsText" text="17">
      <formula>NOT(ISERROR(SEARCH("17",S145)))</formula>
    </cfRule>
  </conditionalFormatting>
  <conditionalFormatting sqref="S146:AM151 S145:AA145">
    <cfRule type="containsText" dxfId="977" priority="774" operator="containsText" text="17">
      <formula>NOT(ISERROR(SEARCH("17",S145)))</formula>
    </cfRule>
  </conditionalFormatting>
  <conditionalFormatting sqref="T153:T158">
    <cfRule type="containsText" dxfId="976" priority="762" operator="containsText" text="T">
      <formula>NOT(ISERROR(SEARCH("T",T153)))</formula>
    </cfRule>
  </conditionalFormatting>
  <conditionalFormatting sqref="T152:AD152">
    <cfRule type="containsText" dxfId="975" priority="754" operator="containsText" text="17">
      <formula>NOT(ISERROR(SEARCH("17",T152)))</formula>
    </cfRule>
    <cfRule type="containsText" dxfId="974" priority="755" operator="containsText" text="T">
      <formula>NOT(ISERROR(SEARCH("T",T152)))</formula>
    </cfRule>
  </conditionalFormatting>
  <conditionalFormatting sqref="T153:AN158 T152:AB152">
    <cfRule type="containsText" dxfId="973" priority="761" operator="containsText" text="17">
      <formula>NOT(ISERROR(SEARCH("17",T152)))</formula>
    </cfRule>
  </conditionalFormatting>
  <conditionalFormatting sqref="U160:U165">
    <cfRule type="containsText" dxfId="972" priority="749" operator="containsText" text="T">
      <formula>NOT(ISERROR(SEARCH("T",U160)))</formula>
    </cfRule>
  </conditionalFormatting>
  <conditionalFormatting sqref="U113:AA113">
    <cfRule type="containsText" dxfId="971" priority="907" operator="containsText" text="17">
      <formula>NOT(ISERROR(SEARCH("17",U113)))</formula>
    </cfRule>
    <cfRule type="containsText" dxfId="970" priority="908" operator="containsText" text="T">
      <formula>NOT(ISERROR(SEARCH("T",U113)))</formula>
    </cfRule>
  </conditionalFormatting>
  <conditionalFormatting sqref="U159:AE159">
    <cfRule type="containsText" dxfId="969" priority="742" operator="containsText" text="T">
      <formula>NOT(ISERROR(SEARCH("T",U159)))</formula>
    </cfRule>
    <cfRule type="containsText" dxfId="968" priority="741" operator="containsText" text="17">
      <formula>NOT(ISERROR(SEARCH("17",U159)))</formula>
    </cfRule>
  </conditionalFormatting>
  <conditionalFormatting sqref="U160:AO165 U159:AC159">
    <cfRule type="containsText" dxfId="967" priority="748" operator="containsText" text="17">
      <formula>NOT(ISERROR(SEARCH("17",U159)))</formula>
    </cfRule>
  </conditionalFormatting>
  <conditionalFormatting sqref="V113">
    <cfRule type="containsText" dxfId="966" priority="903" operator="containsText" text="17">
      <formula>NOT(ISERROR(SEARCH("17",V113)))</formula>
    </cfRule>
    <cfRule type="containsText" dxfId="965" priority="904" operator="containsText" text="T">
      <formula>NOT(ISERROR(SEARCH("T",V113)))</formula>
    </cfRule>
  </conditionalFormatting>
  <conditionalFormatting sqref="V208:V213">
    <cfRule type="containsText" dxfId="964" priority="736" operator="containsText" text="T">
      <formula>NOT(ISERROR(SEARCH("T",V208)))</formula>
    </cfRule>
  </conditionalFormatting>
  <conditionalFormatting sqref="V76:AB76">
    <cfRule type="containsText" dxfId="963" priority="894" operator="containsText" text="17">
      <formula>NOT(ISERROR(SEARCH("17",V76)))</formula>
    </cfRule>
    <cfRule type="containsText" dxfId="962" priority="895" operator="containsText" text="T">
      <formula>NOT(ISERROR(SEARCH("T",V76)))</formula>
    </cfRule>
  </conditionalFormatting>
  <conditionalFormatting sqref="V207:AF207">
    <cfRule type="containsText" dxfId="961" priority="728" operator="containsText" text="17">
      <formula>NOT(ISERROR(SEARCH("17",V207)))</formula>
    </cfRule>
    <cfRule type="containsText" dxfId="960" priority="729" operator="containsText" text="T">
      <formula>NOT(ISERROR(SEARCH("T",V207)))</formula>
    </cfRule>
  </conditionalFormatting>
  <conditionalFormatting sqref="V208:AP213 V207:AD207">
    <cfRule type="containsText" dxfId="959" priority="735" operator="containsText" text="17">
      <formula>NOT(ISERROR(SEARCH("17",V207)))</formula>
    </cfRule>
  </conditionalFormatting>
  <conditionalFormatting sqref="W76">
    <cfRule type="containsText" dxfId="958" priority="890" operator="containsText" text="17">
      <formula>NOT(ISERROR(SEARCH("17",W76)))</formula>
    </cfRule>
    <cfRule type="containsText" dxfId="957" priority="891" operator="containsText" text="T">
      <formula>NOT(ISERROR(SEARCH("T",W76)))</formula>
    </cfRule>
  </conditionalFormatting>
  <conditionalFormatting sqref="W201:W206">
    <cfRule type="containsText" dxfId="956" priority="723" operator="containsText" text="T">
      <formula>NOT(ISERROR(SEARCH("T",W201)))</formula>
    </cfRule>
  </conditionalFormatting>
  <conditionalFormatting sqref="W106:AC106">
    <cfRule type="containsText" dxfId="955" priority="882" operator="containsText" text="T">
      <formula>NOT(ISERROR(SEARCH("T",W106)))</formula>
    </cfRule>
    <cfRule type="containsText" dxfId="954" priority="881" operator="containsText" text="17">
      <formula>NOT(ISERROR(SEARCH("17",W106)))</formula>
    </cfRule>
  </conditionalFormatting>
  <conditionalFormatting sqref="W200:AG200">
    <cfRule type="containsText" dxfId="953" priority="716" operator="containsText" text="T">
      <formula>NOT(ISERROR(SEARCH("T",W200)))</formula>
    </cfRule>
    <cfRule type="containsText" dxfId="952" priority="715" operator="containsText" text="17">
      <formula>NOT(ISERROR(SEARCH("17",W200)))</formula>
    </cfRule>
  </conditionalFormatting>
  <conditionalFormatting sqref="W201:AQ206 W200:AE200">
    <cfRule type="containsText" dxfId="951" priority="722" operator="containsText" text="17">
      <formula>NOT(ISERROR(SEARCH("17",W200)))</formula>
    </cfRule>
  </conditionalFormatting>
  <conditionalFormatting sqref="X106">
    <cfRule type="containsText" dxfId="950" priority="878" operator="containsText" text="T">
      <formula>NOT(ISERROR(SEARCH("T",X106)))</formula>
    </cfRule>
    <cfRule type="containsText" dxfId="949" priority="877" operator="containsText" text="17">
      <formula>NOT(ISERROR(SEARCH("17",X106)))</formula>
    </cfRule>
  </conditionalFormatting>
  <conditionalFormatting sqref="X194:X199">
    <cfRule type="containsText" dxfId="948" priority="710" operator="containsText" text="T">
      <formula>NOT(ISERROR(SEARCH("T",X194)))</formula>
    </cfRule>
  </conditionalFormatting>
  <conditionalFormatting sqref="X192:AH193">
    <cfRule type="containsText" dxfId="947" priority="697" operator="containsText" text="17">
      <formula>NOT(ISERROR(SEARCH("17",X192)))</formula>
    </cfRule>
    <cfRule type="containsText" dxfId="946" priority="698" operator="containsText" text="T">
      <formula>NOT(ISERROR(SEARCH("T",X192)))</formula>
    </cfRule>
  </conditionalFormatting>
  <conditionalFormatting sqref="Y169:Y174">
    <cfRule type="containsText" dxfId="945" priority="692" operator="containsText" text="T">
      <formula>NOT(ISERROR(SEARCH("T",Y169)))</formula>
    </cfRule>
  </conditionalFormatting>
  <conditionalFormatting sqref="Y69:AE69">
    <cfRule type="containsText" dxfId="944" priority="869" operator="containsText" text="T">
      <formula>NOT(ISERROR(SEARCH("T",Y69)))</formula>
    </cfRule>
    <cfRule type="containsText" dxfId="943" priority="868" operator="containsText" text="17">
      <formula>NOT(ISERROR(SEARCH("17",Y69)))</formula>
    </cfRule>
  </conditionalFormatting>
  <conditionalFormatting sqref="Y168:AI168">
    <cfRule type="containsText" dxfId="942" priority="684" operator="containsText" text="17">
      <formula>NOT(ISERROR(SEARCH("17",Y168)))</formula>
    </cfRule>
    <cfRule type="containsText" dxfId="941" priority="685" operator="containsText" text="T">
      <formula>NOT(ISERROR(SEARCH("T",Y168)))</formula>
    </cfRule>
  </conditionalFormatting>
  <conditionalFormatting sqref="Y169:AS174 Y168:AG168">
    <cfRule type="containsText" dxfId="940" priority="691" operator="containsText" text="17">
      <formula>NOT(ISERROR(SEARCH("17",Y168)))</formula>
    </cfRule>
  </conditionalFormatting>
  <conditionalFormatting sqref="Z69">
    <cfRule type="containsText" dxfId="939" priority="864" operator="containsText" text="17">
      <formula>NOT(ISERROR(SEARCH("17",Z69)))</formula>
    </cfRule>
    <cfRule type="containsText" dxfId="938" priority="865" operator="containsText" text="T">
      <formula>NOT(ISERROR(SEARCH("T",Z69)))</formula>
    </cfRule>
  </conditionalFormatting>
  <conditionalFormatting sqref="Z176:Z181">
    <cfRule type="containsText" dxfId="937" priority="679" operator="containsText" text="T">
      <formula>NOT(ISERROR(SEARCH("T",Z176)))</formula>
    </cfRule>
  </conditionalFormatting>
  <conditionalFormatting sqref="Z99:AF99">
    <cfRule type="containsText" dxfId="936" priority="856" operator="containsText" text="T">
      <formula>NOT(ISERROR(SEARCH("T",Z99)))</formula>
    </cfRule>
    <cfRule type="containsText" dxfId="935" priority="855" operator="containsText" text="17">
      <formula>NOT(ISERROR(SEARCH("17",Z99)))</formula>
    </cfRule>
  </conditionalFormatting>
  <conditionalFormatting sqref="Z175:AJ175">
    <cfRule type="containsText" dxfId="934" priority="671" operator="containsText" text="17">
      <formula>NOT(ISERROR(SEARCH("17",Z175)))</formula>
    </cfRule>
    <cfRule type="containsText" dxfId="933" priority="672" operator="containsText" text="T">
      <formula>NOT(ISERROR(SEARCH("T",Z175)))</formula>
    </cfRule>
  </conditionalFormatting>
  <conditionalFormatting sqref="Z176:AT181 Z175:AH175">
    <cfRule type="containsText" dxfId="932" priority="678" operator="containsText" text="17">
      <formula>NOT(ISERROR(SEARCH("17",Z175)))</formula>
    </cfRule>
  </conditionalFormatting>
  <conditionalFormatting sqref="AA99">
    <cfRule type="containsText" dxfId="931" priority="851" operator="containsText" text="17">
      <formula>NOT(ISERROR(SEARCH("17",AA99)))</formula>
    </cfRule>
    <cfRule type="containsText" dxfId="930" priority="852" operator="containsText" text="T">
      <formula>NOT(ISERROR(SEARCH("T",AA99)))</formula>
    </cfRule>
  </conditionalFormatting>
  <conditionalFormatting sqref="AA113 AE113:AG113 J114:AD119 AG114:AG119">
    <cfRule type="containsText" dxfId="929" priority="900" operator="containsText" text="T">
      <formula>NOT(ISERROR(SEARCH("T",J113)))</formula>
    </cfRule>
  </conditionalFormatting>
  <conditionalFormatting sqref="AA183:AA190">
    <cfRule type="containsText" dxfId="928" priority="666" operator="containsText" text="T">
      <formula>NOT(ISERROR(SEARCH("T",AA183)))</formula>
    </cfRule>
  </conditionalFormatting>
  <conditionalFormatting sqref="AA113:AB113 AE113:AG113 AG114:AG119">
    <cfRule type="containsText" dxfId="927" priority="901" operator="containsText" text="17">
      <formula>NOT(ISERROR(SEARCH("17",AA113)))</formula>
    </cfRule>
  </conditionalFormatting>
  <conditionalFormatting sqref="AA67:AG68">
    <cfRule type="containsText" dxfId="926" priority="845" operator="containsText" text="T">
      <formula>NOT(ISERROR(SEARCH("T",AA67)))</formula>
    </cfRule>
    <cfRule type="containsText" dxfId="925" priority="844" operator="containsText" text="17">
      <formula>NOT(ISERROR(SEARCH("17",AA67)))</formula>
    </cfRule>
  </conditionalFormatting>
  <conditionalFormatting sqref="AA97:AG98">
    <cfRule type="containsText" dxfId="924" priority="835" operator="containsText" text="T">
      <formula>NOT(ISERROR(SEARCH("T",AA97)))</formula>
    </cfRule>
    <cfRule type="containsText" dxfId="923" priority="834" operator="containsText" text="17">
      <formula>NOT(ISERROR(SEARCH("17",AA97)))</formula>
    </cfRule>
  </conditionalFormatting>
  <conditionalFormatting sqref="AA127:AG130">
    <cfRule type="containsText" dxfId="922" priority="814" operator="containsText" text="17">
      <formula>NOT(ISERROR(SEARCH("17",AA127)))</formula>
    </cfRule>
    <cfRule type="containsText" dxfId="921" priority="815" operator="containsText" text="T">
      <formula>NOT(ISERROR(SEARCH("T",AA127)))</formula>
    </cfRule>
  </conditionalFormatting>
  <conditionalFormatting sqref="AA182:AK182">
    <cfRule type="containsText" dxfId="920" priority="659" operator="containsText" text="T">
      <formula>NOT(ISERROR(SEARCH("T",AA182)))</formula>
    </cfRule>
    <cfRule type="containsText" dxfId="919" priority="658" operator="containsText" text="17">
      <formula>NOT(ISERROR(SEARCH("17",AA182)))</formula>
    </cfRule>
  </conditionalFormatting>
  <conditionalFormatting sqref="AA183:AU190 AA182:AI182">
    <cfRule type="containsText" dxfId="918" priority="665" operator="containsText" text="17">
      <formula>NOT(ISERROR(SEARCH("17",AA182)))</formula>
    </cfRule>
  </conditionalFormatting>
  <conditionalFormatting sqref="AB67:AB68">
    <cfRule type="containsText" dxfId="917" priority="842" operator="containsText" text="T">
      <formula>NOT(ISERROR(SEARCH("T",AB67)))</formula>
    </cfRule>
    <cfRule type="containsText" dxfId="916" priority="841" operator="containsText" text="17">
      <formula>NOT(ISERROR(SEARCH("17",AB67)))</formula>
    </cfRule>
  </conditionalFormatting>
  <conditionalFormatting sqref="AB76 AF76:AH76 K77:AE82 AH77:AH82">
    <cfRule type="containsText" dxfId="915" priority="887" operator="containsText" text="T">
      <formula>NOT(ISERROR(SEARCH("T",K76)))</formula>
    </cfRule>
  </conditionalFormatting>
  <conditionalFormatting sqref="AB91:AB96">
    <cfRule type="containsText" dxfId="914" priority="653" operator="containsText" text="T">
      <formula>NOT(ISERROR(SEARCH("T",AB91)))</formula>
    </cfRule>
  </conditionalFormatting>
  <conditionalFormatting sqref="AB97:AB98">
    <cfRule type="containsText" dxfId="913" priority="831" operator="containsText" text="17">
      <formula>NOT(ISERROR(SEARCH("17",AB97)))</formula>
    </cfRule>
    <cfRule type="containsText" dxfId="912" priority="832" operator="containsText" text="T">
      <formula>NOT(ISERROR(SEARCH("T",AB97)))</formula>
    </cfRule>
  </conditionalFormatting>
  <conditionalFormatting sqref="AB113">
    <cfRule type="containsText" dxfId="911" priority="902" operator="containsText" text="T">
      <formula>NOT(ISERROR(SEARCH("T",AB113)))</formula>
    </cfRule>
  </conditionalFormatting>
  <conditionalFormatting sqref="AB127:AB130">
    <cfRule type="containsText" dxfId="910" priority="811" operator="containsText" text="17">
      <formula>NOT(ISERROR(SEARCH("17",AB127)))</formula>
    </cfRule>
    <cfRule type="containsText" dxfId="909" priority="812" operator="containsText" text="T">
      <formula>NOT(ISERROR(SEARCH("T",AB127)))</formula>
    </cfRule>
  </conditionalFormatting>
  <conditionalFormatting sqref="AB76:AC76 AF76:AH76 AH77:AH82">
    <cfRule type="containsText" dxfId="908" priority="888" operator="containsText" text="17">
      <formula>NOT(ISERROR(SEARCH("17",AB76)))</formula>
    </cfRule>
  </conditionalFormatting>
  <conditionalFormatting sqref="AB131:AH131">
    <cfRule type="containsText" dxfId="907" priority="802" operator="containsText" text="17">
      <formula>NOT(ISERROR(SEARCH("17",AB131)))</formula>
    </cfRule>
    <cfRule type="containsText" dxfId="906" priority="803" operator="containsText" text="T">
      <formula>NOT(ISERROR(SEARCH("T",AB131)))</formula>
    </cfRule>
  </conditionalFormatting>
  <conditionalFormatting sqref="AB90:AL90">
    <cfRule type="containsText" dxfId="905" priority="645" operator="containsText" text="17">
      <formula>NOT(ISERROR(SEARCH("17",AB90)))</formula>
    </cfRule>
    <cfRule type="containsText" dxfId="904" priority="646" operator="containsText" text="T">
      <formula>NOT(ISERROR(SEARCH("T",AB90)))</formula>
    </cfRule>
  </conditionalFormatting>
  <conditionalFormatting sqref="AB91:AV96 AB90:AJ90">
    <cfRule type="containsText" dxfId="903" priority="652" operator="containsText" text="17">
      <formula>NOT(ISERROR(SEARCH("17",AB90)))</formula>
    </cfRule>
  </conditionalFormatting>
  <conditionalFormatting sqref="AC15:AC20">
    <cfRule type="containsText" dxfId="902" priority="640" operator="containsText" text="T">
      <formula>NOT(ISERROR(SEARCH("T",AC15)))</formula>
    </cfRule>
  </conditionalFormatting>
  <conditionalFormatting sqref="AC76">
    <cfRule type="containsText" dxfId="901" priority="889" operator="containsText" text="T">
      <formula>NOT(ISERROR(SEARCH("T",AC76)))</formula>
    </cfRule>
  </conditionalFormatting>
  <conditionalFormatting sqref="AC106 L107:AF112 AI107:AI112">
    <cfRule type="containsText" dxfId="900" priority="874" operator="containsText" text="T">
      <formula>NOT(ISERROR(SEARCH("T",L106)))</formula>
    </cfRule>
  </conditionalFormatting>
  <conditionalFormatting sqref="AC131">
    <cfRule type="containsText" dxfId="899" priority="798" operator="containsText" text="17">
      <formula>NOT(ISERROR(SEARCH("17",AC131)))</formula>
    </cfRule>
    <cfRule type="containsText" dxfId="898" priority="799" operator="containsText" text="T">
      <formula>NOT(ISERROR(SEARCH("T",AC131)))</formula>
    </cfRule>
  </conditionalFormatting>
  <conditionalFormatting sqref="AC106:AD106 AI107:AI112">
    <cfRule type="containsText" dxfId="897" priority="875" operator="containsText" text="17">
      <formula>NOT(ISERROR(SEARCH("17",AC106)))</formula>
    </cfRule>
  </conditionalFormatting>
  <conditionalFormatting sqref="AC138:AI138">
    <cfRule type="containsText" dxfId="896" priority="790" operator="containsText" text="T">
      <formula>NOT(ISERROR(SEARCH("T",AC138)))</formula>
    </cfRule>
    <cfRule type="containsText" dxfId="895" priority="789" operator="containsText" text="17">
      <formula>NOT(ISERROR(SEARCH("17",AC138)))</formula>
    </cfRule>
  </conditionalFormatting>
  <conditionalFormatting sqref="AC14:AM14">
    <cfRule type="containsText" dxfId="894" priority="632" operator="containsText" text="17">
      <formula>NOT(ISERROR(SEARCH("17",AC14)))</formula>
    </cfRule>
    <cfRule type="containsText" dxfId="893" priority="633" operator="containsText" text="T">
      <formula>NOT(ISERROR(SEARCH("T",AC14)))</formula>
    </cfRule>
  </conditionalFormatting>
  <conditionalFormatting sqref="AC15:AW20 AC14:AK14">
    <cfRule type="containsText" dxfId="892" priority="639" operator="containsText" text="17">
      <formula>NOT(ISERROR(SEARCH("17",AC14)))</formula>
    </cfRule>
  </conditionalFormatting>
  <conditionalFormatting sqref="AD35:AD40">
    <cfRule type="containsText" dxfId="891" priority="627" operator="containsText" text="T">
      <formula>NOT(ISERROR(SEARCH("T",AD35)))</formula>
    </cfRule>
  </conditionalFormatting>
  <conditionalFormatting sqref="AD106">
    <cfRule type="containsText" dxfId="890" priority="876" operator="containsText" text="T">
      <formula>NOT(ISERROR(SEARCH("T",AD106)))</formula>
    </cfRule>
  </conditionalFormatting>
  <conditionalFormatting sqref="AD138">
    <cfRule type="containsText" dxfId="889" priority="786" operator="containsText" text="T">
      <formula>NOT(ISERROR(SEARCH("T",AD138)))</formula>
    </cfRule>
    <cfRule type="containsText" dxfId="888" priority="785" operator="containsText" text="17">
      <formula>NOT(ISERROR(SEARCH("17",AD138)))</formula>
    </cfRule>
  </conditionalFormatting>
  <conditionalFormatting sqref="AD145:AJ145">
    <cfRule type="containsText" dxfId="887" priority="776" operator="containsText" text="17">
      <formula>NOT(ISERROR(SEARCH("17",AD145)))</formula>
    </cfRule>
    <cfRule type="containsText" dxfId="886" priority="777" operator="containsText" text="T">
      <formula>NOT(ISERROR(SEARCH("T",AD145)))</formula>
    </cfRule>
  </conditionalFormatting>
  <conditionalFormatting sqref="AD34:AN34">
    <cfRule type="containsText" dxfId="885" priority="620" operator="containsText" text="T">
      <formula>NOT(ISERROR(SEARCH("T",AD34)))</formula>
    </cfRule>
    <cfRule type="containsText" dxfId="884" priority="619" operator="containsText" text="17">
      <formula>NOT(ISERROR(SEARCH("17",AD34)))</formula>
    </cfRule>
  </conditionalFormatting>
  <conditionalFormatting sqref="AD35:AX40 AD34:AL34">
    <cfRule type="containsText" dxfId="883" priority="626" operator="containsText" text="17">
      <formula>NOT(ISERROR(SEARCH("17",AD34)))</formula>
    </cfRule>
  </conditionalFormatting>
  <conditionalFormatting sqref="AE22:AE27">
    <cfRule type="containsText" dxfId="882" priority="614" operator="containsText" text="T">
      <formula>NOT(ISERROR(SEARCH("T",AE22)))</formula>
    </cfRule>
  </conditionalFormatting>
  <conditionalFormatting sqref="AE69 AI69:AK69 N70:AH75 AK70:AK75">
    <cfRule type="containsText" dxfId="881" priority="861" operator="containsText" text="T">
      <formula>NOT(ISERROR(SEARCH("T",N69)))</formula>
    </cfRule>
  </conditionalFormatting>
  <conditionalFormatting sqref="AE145">
    <cfRule type="containsText" dxfId="880" priority="772" operator="containsText" text="17">
      <formula>NOT(ISERROR(SEARCH("17",AE145)))</formula>
    </cfRule>
    <cfRule type="containsText" dxfId="879" priority="773" operator="containsText" text="T">
      <formula>NOT(ISERROR(SEARCH("T",AE145)))</formula>
    </cfRule>
  </conditionalFormatting>
  <conditionalFormatting sqref="AE69:AF69 AI69:AK69 AK70:AK75">
    <cfRule type="containsText" dxfId="878" priority="862" operator="containsText" text="17">
      <formula>NOT(ISERROR(SEARCH("17",AE69)))</formula>
    </cfRule>
  </conditionalFormatting>
  <conditionalFormatting sqref="AE152:AK152">
    <cfRule type="containsText" dxfId="877" priority="763" operator="containsText" text="17">
      <formula>NOT(ISERROR(SEARCH("17",AE152)))</formula>
    </cfRule>
    <cfRule type="containsText" dxfId="876" priority="764" operator="containsText" text="T">
      <formula>NOT(ISERROR(SEARCH("T",AE152)))</formula>
    </cfRule>
  </conditionalFormatting>
  <conditionalFormatting sqref="AE21:AO21">
    <cfRule type="containsText" dxfId="875" priority="606" operator="containsText" text="17">
      <formula>NOT(ISERROR(SEARCH("17",AE21)))</formula>
    </cfRule>
    <cfRule type="containsText" dxfId="874" priority="607" operator="containsText" text="T">
      <formula>NOT(ISERROR(SEARCH("T",AE21)))</formula>
    </cfRule>
  </conditionalFormatting>
  <conditionalFormatting sqref="AE22:AY27 AE21:AM21">
    <cfRule type="containsText" dxfId="873" priority="613" operator="containsText" text="17">
      <formula>NOT(ISERROR(SEARCH("17",AE21)))</formula>
    </cfRule>
  </conditionalFormatting>
  <conditionalFormatting sqref="AF42:AF47">
    <cfRule type="containsText" dxfId="872" priority="601" operator="containsText" text="T">
      <formula>NOT(ISERROR(SEARCH("T",AF42)))</formula>
    </cfRule>
  </conditionalFormatting>
  <conditionalFormatting sqref="AF69">
    <cfRule type="containsText" dxfId="871" priority="863" operator="containsText" text="T">
      <formula>NOT(ISERROR(SEARCH("T",AF69)))</formula>
    </cfRule>
  </conditionalFormatting>
  <conditionalFormatting sqref="AF99 AJ99:AL99 O100:AI105 AL100:AL105">
    <cfRule type="containsText" dxfId="870" priority="848" operator="containsText" text="T">
      <formula>NOT(ISERROR(SEARCH("T",O99)))</formula>
    </cfRule>
  </conditionalFormatting>
  <conditionalFormatting sqref="AF152">
    <cfRule type="containsText" dxfId="869" priority="759" operator="containsText" text="17">
      <formula>NOT(ISERROR(SEARCH("17",AF152)))</formula>
    </cfRule>
    <cfRule type="containsText" dxfId="868" priority="760" operator="containsText" text="T">
      <formula>NOT(ISERROR(SEARCH("T",AF152)))</formula>
    </cfRule>
  </conditionalFormatting>
  <conditionalFormatting sqref="AF99:AG99 AJ99:AL99 AL100:AL105">
    <cfRule type="containsText" dxfId="867" priority="849" operator="containsText" text="17">
      <formula>NOT(ISERROR(SEARCH("17",AF99)))</formula>
    </cfRule>
  </conditionalFormatting>
  <conditionalFormatting sqref="AF159:AL159">
    <cfRule type="containsText" dxfId="866" priority="750" operator="containsText" text="17">
      <formula>NOT(ISERROR(SEARCH("17",AF159)))</formula>
    </cfRule>
    <cfRule type="containsText" dxfId="865" priority="751" operator="containsText" text="T">
      <formula>NOT(ISERROR(SEARCH("T",AF159)))</formula>
    </cfRule>
  </conditionalFormatting>
  <conditionalFormatting sqref="AF41:AP41">
    <cfRule type="containsText" dxfId="864" priority="593" operator="containsText" text="17">
      <formula>NOT(ISERROR(SEARCH("17",AF41)))</formula>
    </cfRule>
    <cfRule type="containsText" dxfId="863" priority="594" operator="containsText" text="T">
      <formula>NOT(ISERROR(SEARCH("T",AF41)))</formula>
    </cfRule>
  </conditionalFormatting>
  <conditionalFormatting sqref="AF42:AZ47 AF41:AN41">
    <cfRule type="containsText" dxfId="862" priority="600" operator="containsText" text="17">
      <formula>NOT(ISERROR(SEARCH("17",AF41)))</formula>
    </cfRule>
  </conditionalFormatting>
  <conditionalFormatting sqref="AG67:AG68">
    <cfRule type="containsText" dxfId="861" priority="838" operator="containsText" text="T">
      <formula>NOT(ISERROR(SEARCH("T",AG67)))</formula>
    </cfRule>
  </conditionalFormatting>
  <conditionalFormatting sqref="AG97:AG98">
    <cfRule type="containsText" dxfId="860" priority="828" operator="containsText" text="T">
      <formula>NOT(ISERROR(SEARCH("T",AG97)))</formula>
    </cfRule>
  </conditionalFormatting>
  <conditionalFormatting sqref="AG99">
    <cfRule type="containsText" dxfId="859" priority="850" operator="containsText" text="T">
      <formula>NOT(ISERROR(SEARCH("T",AG99)))</formula>
    </cfRule>
  </conditionalFormatting>
  <conditionalFormatting sqref="AG114:AG119">
    <cfRule type="containsText" dxfId="858" priority="910" operator="containsText" text="T">
      <formula>NOT(ISERROR(SEARCH("T",AG114)))</formula>
    </cfRule>
  </conditionalFormatting>
  <conditionalFormatting sqref="AG127:AG130 AK127:AM130">
    <cfRule type="containsText" dxfId="857" priority="808" operator="containsText" text="T">
      <formula>NOT(ISERROR(SEARCH("T",AG127)))</formula>
    </cfRule>
  </conditionalFormatting>
  <conditionalFormatting sqref="AG159">
    <cfRule type="containsText" dxfId="856" priority="746" operator="containsText" text="17">
      <formula>NOT(ISERROR(SEARCH("17",AG159)))</formula>
    </cfRule>
    <cfRule type="containsText" dxfId="855" priority="747" operator="containsText" text="T">
      <formula>NOT(ISERROR(SEARCH("T",AG159)))</formula>
    </cfRule>
  </conditionalFormatting>
  <conditionalFormatting sqref="AG67:AH68">
    <cfRule type="containsText" dxfId="854" priority="839" operator="containsText" text="17">
      <formula>NOT(ISERROR(SEARCH("17",AG67)))</formula>
    </cfRule>
  </conditionalFormatting>
  <conditionalFormatting sqref="AG97:AH98">
    <cfRule type="containsText" dxfId="853" priority="829" operator="containsText" text="17">
      <formula>NOT(ISERROR(SEARCH("17",AG97)))</formula>
    </cfRule>
  </conditionalFormatting>
  <conditionalFormatting sqref="AG127:AH130 AK127:AM130">
    <cfRule type="containsText" dxfId="852" priority="809" operator="containsText" text="17">
      <formula>NOT(ISERROR(SEARCH("17",AG127)))</formula>
    </cfRule>
  </conditionalFormatting>
  <conditionalFormatting sqref="AG207:AM207">
    <cfRule type="containsText" dxfId="851" priority="738" operator="containsText" text="T">
      <formula>NOT(ISERROR(SEARCH("T",AG207)))</formula>
    </cfRule>
    <cfRule type="containsText" dxfId="850" priority="737" operator="containsText" text="17">
      <formula>NOT(ISERROR(SEARCH("17",AG207)))</formula>
    </cfRule>
  </conditionalFormatting>
  <conditionalFormatting sqref="AG28:AO32">
    <cfRule type="containsText" dxfId="849" priority="590" operator="containsText" text="17">
      <formula>NOT(ISERROR(SEARCH("17",AG28)))</formula>
    </cfRule>
  </conditionalFormatting>
  <conditionalFormatting sqref="AG28:AQ32">
    <cfRule type="containsText" dxfId="848" priority="584" operator="containsText" text="T">
      <formula>NOT(ISERROR(SEARCH("T",AG28)))</formula>
    </cfRule>
    <cfRule type="containsText" dxfId="847" priority="583" operator="containsText" text="17">
      <formula>NOT(ISERROR(SEARCH("17",AG28)))</formula>
    </cfRule>
  </conditionalFormatting>
  <conditionalFormatting sqref="AG48:AQ49">
    <cfRule type="containsText" dxfId="846" priority="573" operator="containsText" text="17">
      <formula>NOT(ISERROR(SEARCH("17",AG48)))</formula>
    </cfRule>
  </conditionalFormatting>
  <conditionalFormatting sqref="AG106:AY106">
    <cfRule type="containsText" dxfId="845" priority="411" operator="containsText" text="17">
      <formula>NOT(ISERROR(SEARCH("17",AG106)))</formula>
    </cfRule>
  </conditionalFormatting>
  <conditionalFormatting sqref="AG106:BA106">
    <cfRule type="containsText" dxfId="844" priority="405" operator="containsText" text="T">
      <formula>NOT(ISERROR(SEARCH("T",AG106)))</formula>
    </cfRule>
  </conditionalFormatting>
  <conditionalFormatting sqref="AH67:AH68">
    <cfRule type="containsText" dxfId="843" priority="840" operator="containsText" text="T">
      <formula>NOT(ISERROR(SEARCH("T",AH67)))</formula>
    </cfRule>
  </conditionalFormatting>
  <conditionalFormatting sqref="AH77:AH82">
    <cfRule type="containsText" dxfId="842" priority="897" operator="containsText" text="T">
      <formula>NOT(ISERROR(SEARCH("T",AH77)))</formula>
    </cfRule>
  </conditionalFormatting>
  <conditionalFormatting sqref="AH97:AH98">
    <cfRule type="containsText" dxfId="841" priority="830" operator="containsText" text="T">
      <formula>NOT(ISERROR(SEARCH("T",AH97)))</formula>
    </cfRule>
  </conditionalFormatting>
  <conditionalFormatting sqref="AH127:AH130">
    <cfRule type="containsText" dxfId="840" priority="810" operator="containsText" text="T">
      <formula>NOT(ISERROR(SEARCH("T",AH127)))</formula>
    </cfRule>
  </conditionalFormatting>
  <conditionalFormatting sqref="AH131 AL131:AN131 Q132:AK137 AN132:AN137">
    <cfRule type="containsText" dxfId="839" priority="795" operator="containsText" text="T">
      <formula>NOT(ISERROR(SEARCH("T",Q131)))</formula>
    </cfRule>
  </conditionalFormatting>
  <conditionalFormatting sqref="AH207">
    <cfRule type="containsText" dxfId="838" priority="733" operator="containsText" text="17">
      <formula>NOT(ISERROR(SEARCH("17",AH207)))</formula>
    </cfRule>
    <cfRule type="containsText" dxfId="837" priority="734" operator="containsText" text="T">
      <formula>NOT(ISERROR(SEARCH("T",AH207)))</formula>
    </cfRule>
  </conditionalFormatting>
  <conditionalFormatting sqref="AH131:AI131 AL131:AN131 AN132:AN137">
    <cfRule type="containsText" dxfId="836" priority="796" operator="containsText" text="17">
      <formula>NOT(ISERROR(SEARCH("17",AH131)))</formula>
    </cfRule>
  </conditionalFormatting>
  <conditionalFormatting sqref="AH200:AN200">
    <cfRule type="containsText" dxfId="835" priority="724" operator="containsText" text="17">
      <formula>NOT(ISERROR(SEARCH("17",AH200)))</formula>
    </cfRule>
    <cfRule type="containsText" dxfId="834" priority="725" operator="containsText" text="T">
      <formula>NOT(ISERROR(SEARCH("T",AH200)))</formula>
    </cfRule>
  </conditionalFormatting>
  <conditionalFormatting sqref="AH50:AP53">
    <cfRule type="containsText" dxfId="833" priority="570" operator="containsText" text="17">
      <formula>NOT(ISERROR(SEARCH("17",AH50)))</formula>
    </cfRule>
  </conditionalFormatting>
  <conditionalFormatting sqref="AH50:AR53">
    <cfRule type="containsText" dxfId="832" priority="563" operator="containsText" text="17">
      <formula>NOT(ISERROR(SEARCH("17",AH50)))</formula>
    </cfRule>
  </conditionalFormatting>
  <conditionalFormatting sqref="AH63:AR66">
    <cfRule type="containsText" dxfId="831" priority="553" operator="containsText" text="17">
      <formula>NOT(ISERROR(SEARCH("17",AH63)))</formula>
    </cfRule>
  </conditionalFormatting>
  <conditionalFormatting sqref="AH113:AU116">
    <cfRule type="containsText" dxfId="830" priority="476" operator="containsText" text="17">
      <formula>NOT(ISERROR(SEARCH("17",AH113)))</formula>
    </cfRule>
  </conditionalFormatting>
  <conditionalFormatting sqref="AH117:AV119">
    <cfRule type="containsText" dxfId="829" priority="466" operator="containsText" text="17">
      <formula>NOT(ISERROR(SEARCH("17",AH117)))</formula>
    </cfRule>
  </conditionalFormatting>
  <conditionalFormatting sqref="AH113:AW116">
    <cfRule type="containsText" dxfId="828" priority="470" operator="containsText" text="T">
      <formula>NOT(ISERROR(SEARCH("T",AH113)))</formula>
    </cfRule>
  </conditionalFormatting>
  <conditionalFormatting sqref="AH117:AX119">
    <cfRule type="containsText" dxfId="827" priority="460" operator="containsText" text="T">
      <formula>NOT(ISERROR(SEARCH("T",AH117)))</formula>
    </cfRule>
  </conditionalFormatting>
  <conditionalFormatting sqref="AI131">
    <cfRule type="containsText" dxfId="826" priority="797" operator="containsText" text="T">
      <formula>NOT(ISERROR(SEARCH("T",AI131)))</formula>
    </cfRule>
  </conditionalFormatting>
  <conditionalFormatting sqref="AI138 AM138:AO138 R139:AL144 AO139:AO144">
    <cfRule type="containsText" dxfId="825" priority="782" operator="containsText" text="T">
      <formula>NOT(ISERROR(SEARCH("T",R138)))</formula>
    </cfRule>
  </conditionalFormatting>
  <conditionalFormatting sqref="AI200">
    <cfRule type="containsText" dxfId="824" priority="721" operator="containsText" text="T">
      <formula>NOT(ISERROR(SEARCH("T",AI200)))</formula>
    </cfRule>
    <cfRule type="containsText" dxfId="823" priority="720" operator="containsText" text="17">
      <formula>NOT(ISERROR(SEARCH("17",AI200)))</formula>
    </cfRule>
  </conditionalFormatting>
  <conditionalFormatting sqref="AI138:AJ138 AM138:AO138 AO139:AO144">
    <cfRule type="containsText" dxfId="822" priority="783" operator="containsText" text="17">
      <formula>NOT(ISERROR(SEARCH("17",AI138)))</formula>
    </cfRule>
  </conditionalFormatting>
  <conditionalFormatting sqref="AI107:AO112">
    <cfRule type="containsText" dxfId="821" priority="884" operator="containsText" text="T">
      <formula>NOT(ISERROR(SEARCH("T",AI107)))</formula>
    </cfRule>
  </conditionalFormatting>
  <conditionalFormatting sqref="AI192:AO192">
    <cfRule type="containsText" dxfId="820" priority="701" operator="containsText" text="T">
      <formula>NOT(ISERROR(SEARCH("T",AI192)))</formula>
    </cfRule>
  </conditionalFormatting>
  <conditionalFormatting sqref="AI193:AO193">
    <cfRule type="containsText" dxfId="819" priority="712" operator="containsText" text="T">
      <formula>NOT(ISERROR(SEARCH("T",AI193)))</formula>
    </cfRule>
    <cfRule type="containsText" dxfId="818" priority="711" operator="containsText" text="17">
      <formula>NOT(ISERROR(SEARCH("17",AI193)))</formula>
    </cfRule>
  </conditionalFormatting>
  <conditionalFormatting sqref="AI192:AP192 AS192:AU192">
    <cfRule type="containsText" dxfId="817" priority="699" operator="containsText" text="17">
      <formula>NOT(ISERROR(SEARCH("17",AI192)))</formula>
    </cfRule>
  </conditionalFormatting>
  <conditionalFormatting sqref="AI59:AS62">
    <cfRule type="containsText" dxfId="816" priority="539" operator="containsText" text="17">
      <formula>NOT(ISERROR(SEARCH("17",AI59)))</formula>
    </cfRule>
  </conditionalFormatting>
  <conditionalFormatting sqref="AI86:AS89">
    <cfRule type="containsText" dxfId="815" priority="529" operator="containsText" text="17">
      <formula>NOT(ISERROR(SEARCH("17",AI86)))</formula>
    </cfRule>
  </conditionalFormatting>
  <conditionalFormatting sqref="AI79:AV82">
    <cfRule type="containsText" dxfId="814" priority="456" operator="containsText" text="17">
      <formula>NOT(ISERROR(SEARCH("17",AI79)))</formula>
    </cfRule>
  </conditionalFormatting>
  <conditionalFormatting sqref="AI76:AX78">
    <cfRule type="containsText" dxfId="813" priority="431" operator="containsText" text="17">
      <formula>NOT(ISERROR(SEARCH("17",AI76)))</formula>
    </cfRule>
  </conditionalFormatting>
  <conditionalFormatting sqref="AI79:AX82">
    <cfRule type="containsText" dxfId="812" priority="450" operator="containsText" text="T">
      <formula>NOT(ISERROR(SEARCH("T",AI79)))</formula>
    </cfRule>
  </conditionalFormatting>
  <conditionalFormatting sqref="AI76:AZ78">
    <cfRule type="containsText" dxfId="811" priority="425" operator="containsText" text="T">
      <formula>NOT(ISERROR(SEARCH("T",AI76)))</formula>
    </cfRule>
  </conditionalFormatting>
  <conditionalFormatting sqref="AJ120:AJ126">
    <cfRule type="containsText" dxfId="810" priority="445" operator="containsText" text="17">
      <formula>NOT(ISERROR(SEARCH("17",AJ120)))</formula>
    </cfRule>
    <cfRule type="containsText" dxfId="809" priority="448" operator="containsText" text="T">
      <formula>NOT(ISERROR(SEARCH("T",AJ120)))</formula>
    </cfRule>
  </conditionalFormatting>
  <conditionalFormatting sqref="AJ138">
    <cfRule type="containsText" dxfId="808" priority="784" operator="containsText" text="T">
      <formula>NOT(ISERROR(SEARCH("T",AJ138)))</formula>
    </cfRule>
  </conditionalFormatting>
  <conditionalFormatting sqref="AJ145 AN145:AP145 S146:AM151 AP146:AP151">
    <cfRule type="containsText" dxfId="807" priority="769" operator="containsText" text="T">
      <formula>NOT(ISERROR(SEARCH("T",S145)))</formula>
    </cfRule>
  </conditionalFormatting>
  <conditionalFormatting sqref="AJ192:AJ193">
    <cfRule type="containsText" dxfId="806" priority="707" operator="containsText" text="17">
      <formula>NOT(ISERROR(SEARCH("17",AJ192)))</formula>
    </cfRule>
    <cfRule type="containsText" dxfId="805" priority="708" operator="containsText" text="T">
      <formula>NOT(ISERROR(SEARCH("T",AJ192)))</formula>
    </cfRule>
  </conditionalFormatting>
  <conditionalFormatting sqref="AJ145:AK145 AN145:AP145 AP146:AP151">
    <cfRule type="containsText" dxfId="804" priority="770" operator="containsText" text="17">
      <formula>NOT(ISERROR(SEARCH("17",AJ145)))</formula>
    </cfRule>
  </conditionalFormatting>
  <conditionalFormatting sqref="AJ168:AP168">
    <cfRule type="containsText" dxfId="803" priority="693" operator="containsText" text="17">
      <formula>NOT(ISERROR(SEARCH("17",AJ168)))</formula>
    </cfRule>
    <cfRule type="containsText" dxfId="802" priority="694" operator="containsText" text="T">
      <formula>NOT(ISERROR(SEARCH("T",AJ168)))</formula>
    </cfRule>
  </conditionalFormatting>
  <conditionalFormatting sqref="AJ83:AT85">
    <cfRule type="containsText" dxfId="801" priority="519" operator="containsText" text="17">
      <formula>NOT(ISERROR(SEARCH("17",AJ83)))</formula>
    </cfRule>
  </conditionalFormatting>
  <conditionalFormatting sqref="AJ214:AT217">
    <cfRule type="containsText" dxfId="800" priority="509" operator="containsText" text="17">
      <formula>NOT(ISERROR(SEARCH("17",AJ214)))</formula>
    </cfRule>
  </conditionalFormatting>
  <conditionalFormatting sqref="AK70:AK75">
    <cfRule type="containsText" dxfId="799" priority="871" operator="containsText" text="T">
      <formula>NOT(ISERROR(SEARCH("T",AK70)))</formula>
    </cfRule>
  </conditionalFormatting>
  <conditionalFormatting sqref="AK129:AK130 P127:X130">
    <cfRule type="containsText" dxfId="798" priority="813" operator="containsText" text="17">
      <formula>NOT(ISERROR(SEARCH("17",P127)))</formula>
    </cfRule>
  </conditionalFormatting>
  <conditionalFormatting sqref="AK145">
    <cfRule type="containsText" dxfId="797" priority="771" operator="containsText" text="T">
      <formula>NOT(ISERROR(SEARCH("T",AK145)))</formula>
    </cfRule>
  </conditionalFormatting>
  <conditionalFormatting sqref="AK152 AO152:AQ152 T153:AN158 AQ153:AQ158">
    <cfRule type="containsText" dxfId="796" priority="756" operator="containsText" text="T">
      <formula>NOT(ISERROR(SEARCH("T",T152)))</formula>
    </cfRule>
  </conditionalFormatting>
  <conditionalFormatting sqref="AK168">
    <cfRule type="containsText" dxfId="795" priority="689" operator="containsText" text="17">
      <formula>NOT(ISERROR(SEARCH("17",AK168)))</formula>
    </cfRule>
    <cfRule type="containsText" dxfId="794" priority="690" operator="containsText" text="T">
      <formula>NOT(ISERROR(SEARCH("T",AK168)))</formula>
    </cfRule>
  </conditionalFormatting>
  <conditionalFormatting sqref="AK152:AL152 AO152:AQ152 AQ153:AQ158">
    <cfRule type="containsText" dxfId="793" priority="757" operator="containsText" text="17">
      <formula>NOT(ISERROR(SEARCH("17",AK152)))</formula>
    </cfRule>
  </conditionalFormatting>
  <conditionalFormatting sqref="AK175:AQ175">
    <cfRule type="containsText" dxfId="792" priority="681" operator="containsText" text="T">
      <formula>NOT(ISERROR(SEARCH("T",AK175)))</formula>
    </cfRule>
    <cfRule type="containsText" dxfId="791" priority="680" operator="containsText" text="17">
      <formula>NOT(ISERROR(SEARCH("17",AK175)))</formula>
    </cfRule>
  </conditionalFormatting>
  <conditionalFormatting sqref="AK218:AU224">
    <cfRule type="containsText" dxfId="790" priority="499" operator="containsText" text="17">
      <formula>NOT(ISERROR(SEARCH("17",AK218)))</formula>
    </cfRule>
  </conditionalFormatting>
  <conditionalFormatting sqref="AK120:AY120">
    <cfRule type="containsText" dxfId="789" priority="391" operator="containsText" text="17">
      <formula>NOT(ISERROR(SEARCH("17",AK120)))</formula>
    </cfRule>
  </conditionalFormatting>
  <conditionalFormatting sqref="AK122:AY122">
    <cfRule type="containsText" dxfId="788" priority="381" operator="containsText" text="17">
      <formula>NOT(ISERROR(SEARCH("17",AK122)))</formula>
    </cfRule>
  </conditionalFormatting>
  <conditionalFormatting sqref="AK124:AY126">
    <cfRule type="containsText" dxfId="787" priority="401" operator="containsText" text="17">
      <formula>NOT(ISERROR(SEARCH("17",AK124)))</formula>
    </cfRule>
  </conditionalFormatting>
  <conditionalFormatting sqref="AK121:AZ121">
    <cfRule type="containsText" dxfId="786" priority="361" operator="containsText" text="17">
      <formula>NOT(ISERROR(SEARCH("17",AK121)))</formula>
    </cfRule>
  </conditionalFormatting>
  <conditionalFormatting sqref="AK123:AZ123">
    <cfRule type="containsText" dxfId="785" priority="351" operator="containsText" text="17">
      <formula>NOT(ISERROR(SEARCH("17",AK123)))</formula>
    </cfRule>
  </conditionalFormatting>
  <conditionalFormatting sqref="AK67:BA68">
    <cfRule type="containsText" dxfId="784" priority="311" operator="containsText" text="17">
      <formula>NOT(ISERROR(SEARCH("17",AK67)))</formula>
    </cfRule>
  </conditionalFormatting>
  <conditionalFormatting sqref="AK120:BA120">
    <cfRule type="containsText" dxfId="783" priority="385" operator="containsText" text="T">
      <formula>NOT(ISERROR(SEARCH("T",AK120)))</formula>
    </cfRule>
  </conditionalFormatting>
  <conditionalFormatting sqref="AK122:BA122">
    <cfRule type="containsText" dxfId="782" priority="375" operator="containsText" text="T">
      <formula>NOT(ISERROR(SEARCH("T",AK122)))</formula>
    </cfRule>
  </conditionalFormatting>
  <conditionalFormatting sqref="AK124:BA126">
    <cfRule type="containsText" dxfId="781" priority="395" operator="containsText" text="T">
      <formula>NOT(ISERROR(SEARCH("T",AK124)))</formula>
    </cfRule>
  </conditionalFormatting>
  <conditionalFormatting sqref="AK97:BB98">
    <cfRule type="containsText" dxfId="780" priority="301" operator="containsText" text="17">
      <formula>NOT(ISERROR(SEARCH("17",AK97)))</formula>
    </cfRule>
  </conditionalFormatting>
  <conditionalFormatting sqref="AK121:BB121">
    <cfRule type="containsText" dxfId="779" priority="355" operator="containsText" text="T">
      <formula>NOT(ISERROR(SEARCH("T",AK121)))</formula>
    </cfRule>
  </conditionalFormatting>
  <conditionalFormatting sqref="AK123:BB123">
    <cfRule type="containsText" dxfId="778" priority="345" operator="containsText" text="T">
      <formula>NOT(ISERROR(SEARCH("T",AK123)))</formula>
    </cfRule>
  </conditionalFormatting>
  <conditionalFormatting sqref="AK67:BC68">
    <cfRule type="containsText" dxfId="777" priority="305" operator="containsText" text="T">
      <formula>NOT(ISERROR(SEARCH("T",AK67)))</formula>
    </cfRule>
  </conditionalFormatting>
  <conditionalFormatting sqref="AK97:BD98">
    <cfRule type="containsText" dxfId="776" priority="295" operator="containsText" text="T">
      <formula>NOT(ISERROR(SEARCH("T",AK97)))</formula>
    </cfRule>
  </conditionalFormatting>
  <conditionalFormatting sqref="AL100:AL105">
    <cfRule type="containsText" dxfId="775" priority="858" operator="containsText" text="T">
      <formula>NOT(ISERROR(SEARCH("T",AL100)))</formula>
    </cfRule>
  </conditionalFormatting>
  <conditionalFormatting sqref="AL152">
    <cfRule type="containsText" dxfId="774" priority="758" operator="containsText" text="T">
      <formula>NOT(ISERROR(SEARCH("T",AL152)))</formula>
    </cfRule>
  </conditionalFormatting>
  <conditionalFormatting sqref="AL159 AP159:AR159 U160:AO165 AR160:AR165">
    <cfRule type="containsText" dxfId="773" priority="743" operator="containsText" text="T">
      <formula>NOT(ISERROR(SEARCH("T",U159)))</formula>
    </cfRule>
  </conditionalFormatting>
  <conditionalFormatting sqref="AL175">
    <cfRule type="containsText" dxfId="772" priority="677" operator="containsText" text="T">
      <formula>NOT(ISERROR(SEARCH("T",AL175)))</formula>
    </cfRule>
    <cfRule type="containsText" dxfId="771" priority="676" operator="containsText" text="17">
      <formula>NOT(ISERROR(SEARCH("17",AL175)))</formula>
    </cfRule>
  </conditionalFormatting>
  <conditionalFormatting sqref="AL159:AM159 AP159:AR159 AR160:AR165">
    <cfRule type="containsText" dxfId="770" priority="744" operator="containsText" text="17">
      <formula>NOT(ISERROR(SEARCH("17",AL159)))</formula>
    </cfRule>
  </conditionalFormatting>
  <conditionalFormatting sqref="AL182:AR182">
    <cfRule type="containsText" dxfId="769" priority="668" operator="containsText" text="T">
      <formula>NOT(ISERROR(SEARCH("T",AL182)))</formula>
    </cfRule>
    <cfRule type="containsText" dxfId="768" priority="667" operator="containsText" text="17">
      <formula>NOT(ISERROR(SEARCH("17",AL182)))</formula>
    </cfRule>
  </conditionalFormatting>
  <conditionalFormatting sqref="AL225:AV231">
    <cfRule type="containsText" dxfId="767" priority="489" operator="containsText" text="17">
      <formula>NOT(ISERROR(SEARCH("17",AL225)))</formula>
    </cfRule>
  </conditionalFormatting>
  <conditionalFormatting sqref="AL72:AY75">
    <cfRule type="containsText" dxfId="766" priority="421" operator="containsText" text="17">
      <formula>NOT(ISERROR(SEARCH("17",AL72)))</formula>
    </cfRule>
  </conditionalFormatting>
  <conditionalFormatting sqref="AL69:AZ71">
    <cfRule type="containsText" dxfId="765" priority="341" operator="containsText" text="17">
      <formula>NOT(ISERROR(SEARCH("17",AL69)))</formula>
    </cfRule>
  </conditionalFormatting>
  <conditionalFormatting sqref="AL72:BA75">
    <cfRule type="containsText" dxfId="764" priority="415" operator="containsText" text="T">
      <formula>NOT(ISERROR(SEARCH("T",AL72)))</formula>
    </cfRule>
  </conditionalFormatting>
  <conditionalFormatting sqref="AL69:BB71">
    <cfRule type="containsText" dxfId="763" priority="335" operator="containsText" text="T">
      <formula>NOT(ISERROR(SEARCH("T",AL69)))</formula>
    </cfRule>
  </conditionalFormatting>
  <conditionalFormatting sqref="AM159">
    <cfRule type="containsText" dxfId="762" priority="745" operator="containsText" text="T">
      <formula>NOT(ISERROR(SEARCH("T",AM159)))</formula>
    </cfRule>
  </conditionalFormatting>
  <conditionalFormatting sqref="AM182">
    <cfRule type="containsText" dxfId="761" priority="663" operator="containsText" text="17">
      <formula>NOT(ISERROR(SEARCH("17",AM182)))</formula>
    </cfRule>
    <cfRule type="containsText" dxfId="760" priority="664" operator="containsText" text="T">
      <formula>NOT(ISERROR(SEARCH("T",AM182)))</formula>
    </cfRule>
  </conditionalFormatting>
  <conditionalFormatting sqref="AM207 AQ207:AS207 V208:AP213 AS208:AS213">
    <cfRule type="containsText" dxfId="759" priority="730" operator="containsText" text="T">
      <formula>NOT(ISERROR(SEARCH("T",V207)))</formula>
    </cfRule>
  </conditionalFormatting>
  <conditionalFormatting sqref="AM207:AN207 AQ207:AS207 AS208:AS213">
    <cfRule type="containsText" dxfId="758" priority="731" operator="containsText" text="17">
      <formula>NOT(ISERROR(SEARCH("17",AM207)))</formula>
    </cfRule>
  </conditionalFormatting>
  <conditionalFormatting sqref="AM90:AS90">
    <cfRule type="containsText" dxfId="757" priority="655" operator="containsText" text="T">
      <formula>NOT(ISERROR(SEARCH("T",AM90)))</formula>
    </cfRule>
    <cfRule type="containsText" dxfId="756" priority="654" operator="containsText" text="17">
      <formula>NOT(ISERROR(SEARCH("17",AM90)))</formula>
    </cfRule>
  </conditionalFormatting>
  <conditionalFormatting sqref="AM113:AW116">
    <cfRule type="containsText" dxfId="755" priority="469" operator="containsText" text="17">
      <formula>NOT(ISERROR(SEARCH("17",AM113)))</formula>
    </cfRule>
  </conditionalFormatting>
  <conditionalFormatting sqref="AM232:AW234">
    <cfRule type="containsText" dxfId="754" priority="479" operator="containsText" text="17">
      <formula>NOT(ISERROR(SEARCH("17",AM232)))</formula>
    </cfRule>
  </conditionalFormatting>
  <conditionalFormatting sqref="AM103:AZ104">
    <cfRule type="containsText" dxfId="753" priority="371" operator="containsText" text="17">
      <formula>NOT(ISERROR(SEARCH("17",AM103)))</formula>
    </cfRule>
  </conditionalFormatting>
  <conditionalFormatting sqref="AM99:BA102">
    <cfRule type="containsText" dxfId="752" priority="331" operator="containsText" text="17">
      <formula>NOT(ISERROR(SEARCH("17",AM99)))</formula>
    </cfRule>
  </conditionalFormatting>
  <conditionalFormatting sqref="AM105:BA105">
    <cfRule type="containsText" dxfId="751" priority="321" operator="containsText" text="17">
      <formula>NOT(ISERROR(SEARCH("17",AM105)))</formula>
    </cfRule>
  </conditionalFormatting>
  <conditionalFormatting sqref="AM103:BB104">
    <cfRule type="containsText" dxfId="750" priority="365" operator="containsText" text="T">
      <formula>NOT(ISERROR(SEARCH("T",AM103)))</formula>
    </cfRule>
  </conditionalFormatting>
  <conditionalFormatting sqref="AM99:BC102">
    <cfRule type="containsText" dxfId="749" priority="325" operator="containsText" text="T">
      <formula>NOT(ISERROR(SEARCH("T",AM99)))</formula>
    </cfRule>
  </conditionalFormatting>
  <conditionalFormatting sqref="AM105:BC105">
    <cfRule type="containsText" dxfId="748" priority="315" operator="containsText" text="T">
      <formula>NOT(ISERROR(SEARCH("T",AM105)))</formula>
    </cfRule>
  </conditionalFormatting>
  <conditionalFormatting sqref="AN90">
    <cfRule type="containsText" dxfId="747" priority="651" operator="containsText" text="T">
      <formula>NOT(ISERROR(SEARCH("T",AN90)))</formula>
    </cfRule>
    <cfRule type="containsText" dxfId="746" priority="650" operator="containsText" text="17">
      <formula>NOT(ISERROR(SEARCH("17",AN90)))</formula>
    </cfRule>
  </conditionalFormatting>
  <conditionalFormatting sqref="AN132:AN137">
    <cfRule type="containsText" dxfId="745" priority="805" operator="containsText" text="T">
      <formula>NOT(ISERROR(SEARCH("T",AN132)))</formula>
    </cfRule>
  </conditionalFormatting>
  <conditionalFormatting sqref="AN200 AR200:AT200 W201:AQ206 AT201:AT206">
    <cfRule type="containsText" dxfId="744" priority="717" operator="containsText" text="T">
      <formula>NOT(ISERROR(SEARCH("T",W200)))</formula>
    </cfRule>
  </conditionalFormatting>
  <conditionalFormatting sqref="AN207">
    <cfRule type="containsText" dxfId="743" priority="732" operator="containsText" text="T">
      <formula>NOT(ISERROR(SEARCH("T",AN207)))</formula>
    </cfRule>
  </conditionalFormatting>
  <conditionalFormatting sqref="AN200:AO200 AR200:AT200 AT201:AT206">
    <cfRule type="containsText" dxfId="742" priority="718" operator="containsText" text="17">
      <formula>NOT(ISERROR(SEARCH("17",AN200)))</formula>
    </cfRule>
  </conditionalFormatting>
  <conditionalFormatting sqref="AN14:AT14">
    <cfRule type="containsText" dxfId="741" priority="641" operator="containsText" text="17">
      <formula>NOT(ISERROR(SEARCH("17",AN14)))</formula>
    </cfRule>
    <cfRule type="containsText" dxfId="740" priority="642" operator="containsText" text="T">
      <formula>NOT(ISERROR(SEARCH("T",AN14)))</formula>
    </cfRule>
  </conditionalFormatting>
  <conditionalFormatting sqref="AN79:AX82">
    <cfRule type="containsText" dxfId="739" priority="449" operator="containsText" text="17">
      <formula>NOT(ISERROR(SEARCH("17",AN79)))</formula>
    </cfRule>
  </conditionalFormatting>
  <conditionalFormatting sqref="AN117:AX119">
    <cfRule type="containsText" dxfId="738" priority="459" operator="containsText" text="17">
      <formula>NOT(ISERROR(SEARCH("17",AN117)))</formula>
    </cfRule>
  </conditionalFormatting>
  <conditionalFormatting sqref="AO14">
    <cfRule type="containsText" dxfId="737" priority="637" operator="containsText" text="17">
      <formula>NOT(ISERROR(SEARCH("17",AO14)))</formula>
    </cfRule>
    <cfRule type="containsText" dxfId="736" priority="638" operator="containsText" text="T">
      <formula>NOT(ISERROR(SEARCH("T",AO14)))</formula>
    </cfRule>
  </conditionalFormatting>
  <conditionalFormatting sqref="AO139:AO144">
    <cfRule type="containsText" dxfId="735" priority="792" operator="containsText" text="T">
      <formula>NOT(ISERROR(SEARCH("T",AO139)))</formula>
    </cfRule>
  </conditionalFormatting>
  <conditionalFormatting sqref="AO192:AO193 AS192:AU193 X194:AR199 AU194:AU199">
    <cfRule type="containsText" dxfId="734" priority="704" operator="containsText" text="T">
      <formula>NOT(ISERROR(SEARCH("T",X192)))</formula>
    </cfRule>
  </conditionalFormatting>
  <conditionalFormatting sqref="AO200">
    <cfRule type="containsText" dxfId="733" priority="719" operator="containsText" text="T">
      <formula>NOT(ISERROR(SEARCH("T",AO200)))</formula>
    </cfRule>
  </conditionalFormatting>
  <conditionalFormatting sqref="AO193:AP193 AS193:AU193 AU194:AU199">
    <cfRule type="containsText" dxfId="732" priority="705" operator="containsText" text="17">
      <formula>NOT(ISERROR(SEARCH("17",AO193)))</formula>
    </cfRule>
  </conditionalFormatting>
  <conditionalFormatting sqref="AO34:AU34">
    <cfRule type="containsText" dxfId="731" priority="629" operator="containsText" text="T">
      <formula>NOT(ISERROR(SEARCH("T",AO34)))</formula>
    </cfRule>
    <cfRule type="containsText" dxfId="730" priority="628" operator="containsText" text="17">
      <formula>NOT(ISERROR(SEARCH("17",AO34)))</formula>
    </cfRule>
  </conditionalFormatting>
  <conditionalFormatting sqref="AO131:BB137">
    <cfRule type="containsText" dxfId="729" priority="291" operator="containsText" text="17">
      <formula>NOT(ISERROR(SEARCH("17",AO131)))</formula>
    </cfRule>
  </conditionalFormatting>
  <conditionalFormatting sqref="AO131:BD137">
    <cfRule type="containsText" dxfId="728" priority="285" operator="containsText" text="T">
      <formula>NOT(ISERROR(SEARCH("T",AO131)))</formula>
    </cfRule>
  </conditionalFormatting>
  <conditionalFormatting sqref="AP34">
    <cfRule type="containsText" dxfId="727" priority="625" operator="containsText" text="T">
      <formula>NOT(ISERROR(SEARCH("T",AP34)))</formula>
    </cfRule>
    <cfRule type="containsText" dxfId="726" priority="624" operator="containsText" text="17">
      <formula>NOT(ISERROR(SEARCH("17",AP34)))</formula>
    </cfRule>
  </conditionalFormatting>
  <conditionalFormatting sqref="AP146:AP151">
    <cfRule type="containsText" dxfId="725" priority="779" operator="containsText" text="T">
      <formula>NOT(ISERROR(SEARCH("T",AP146)))</formula>
    </cfRule>
  </conditionalFormatting>
  <conditionalFormatting sqref="AP168 AT168:AV168 Y169:AS174 AV169:AV174">
    <cfRule type="containsText" dxfId="724" priority="686" operator="containsText" text="T">
      <formula>NOT(ISERROR(SEARCH("T",Y168)))</formula>
    </cfRule>
  </conditionalFormatting>
  <conditionalFormatting sqref="AP192:AP193">
    <cfRule type="containsText" dxfId="723" priority="706" operator="containsText" text="T">
      <formula>NOT(ISERROR(SEARCH("T",AP192)))</formula>
    </cfRule>
  </conditionalFormatting>
  <conditionalFormatting sqref="AP168:AQ168 AT168:AV168 AV169:AV174">
    <cfRule type="containsText" dxfId="722" priority="687" operator="containsText" text="17">
      <formula>NOT(ISERROR(SEARCH("17",AP168)))</formula>
    </cfRule>
  </conditionalFormatting>
  <conditionalFormatting sqref="AP21:AV21">
    <cfRule type="containsText" dxfId="721" priority="616" operator="containsText" text="T">
      <formula>NOT(ISERROR(SEARCH("T",AP21)))</formula>
    </cfRule>
    <cfRule type="containsText" dxfId="720" priority="615" operator="containsText" text="17">
      <formula>NOT(ISERROR(SEARCH("17",AP21)))</formula>
    </cfRule>
  </conditionalFormatting>
  <conditionalFormatting sqref="AP107:AX112">
    <cfRule type="containsText" dxfId="719" priority="441" operator="containsText" text="17">
      <formula>NOT(ISERROR(SEARCH("17",AP107)))</formula>
    </cfRule>
  </conditionalFormatting>
  <conditionalFormatting sqref="AP76:AZ78">
    <cfRule type="containsText" dxfId="718" priority="424" operator="containsText" text="17">
      <formula>NOT(ISERROR(SEARCH("17",AP76)))</formula>
    </cfRule>
  </conditionalFormatting>
  <conditionalFormatting sqref="AP107:AZ112">
    <cfRule type="containsText" dxfId="717" priority="434" operator="containsText" text="17">
      <formula>NOT(ISERROR(SEARCH("17",AP107)))</formula>
    </cfRule>
    <cfRule type="containsText" dxfId="716" priority="435" operator="containsText" text="T">
      <formula>NOT(ISERROR(SEARCH("T",AP107)))</formula>
    </cfRule>
  </conditionalFormatting>
  <conditionalFormatting sqref="AP138:BC144">
    <cfRule type="containsText" dxfId="715" priority="281" operator="containsText" text="17">
      <formula>NOT(ISERROR(SEARCH("17",AP138)))</formula>
    </cfRule>
  </conditionalFormatting>
  <conditionalFormatting sqref="AP138:BE144">
    <cfRule type="containsText" dxfId="714" priority="275" operator="containsText" text="T">
      <formula>NOT(ISERROR(SEARCH("T",AP138)))</formula>
    </cfRule>
  </conditionalFormatting>
  <conditionalFormatting sqref="AQ21">
    <cfRule type="containsText" dxfId="713" priority="611" operator="containsText" text="17">
      <formula>NOT(ISERROR(SEARCH("17",AQ21)))</formula>
    </cfRule>
    <cfRule type="containsText" dxfId="712" priority="612" operator="containsText" text="T">
      <formula>NOT(ISERROR(SEARCH("T",AQ21)))</formula>
    </cfRule>
  </conditionalFormatting>
  <conditionalFormatting sqref="AQ153:AQ158">
    <cfRule type="containsText" dxfId="711" priority="766" operator="containsText" text="T">
      <formula>NOT(ISERROR(SEARCH("T",AQ153)))</formula>
    </cfRule>
  </conditionalFormatting>
  <conditionalFormatting sqref="AQ168">
    <cfRule type="containsText" dxfId="710" priority="688" operator="containsText" text="T">
      <formula>NOT(ISERROR(SEARCH("T",AQ168)))</formula>
    </cfRule>
  </conditionalFormatting>
  <conditionalFormatting sqref="AQ175 AU175:AW175 Z176:AT181 AW176:AW181">
    <cfRule type="containsText" dxfId="709" priority="673" operator="containsText" text="T">
      <formula>NOT(ISERROR(SEARCH("T",Z175)))</formula>
    </cfRule>
  </conditionalFormatting>
  <conditionalFormatting sqref="AQ175:AR175 AU175:AW175 AW176:AW181">
    <cfRule type="containsText" dxfId="708" priority="674" operator="containsText" text="17">
      <formula>NOT(ISERROR(SEARCH("17",AQ175)))</formula>
    </cfRule>
  </conditionalFormatting>
  <conditionalFormatting sqref="AQ41:AW41">
    <cfRule type="containsText" dxfId="707" priority="602" operator="containsText" text="17">
      <formula>NOT(ISERROR(SEARCH("17",AQ41)))</formula>
    </cfRule>
    <cfRule type="containsText" dxfId="706" priority="603" operator="containsText" text="T">
      <formula>NOT(ISERROR(SEARCH("T",AQ41)))</formula>
    </cfRule>
  </conditionalFormatting>
  <conditionalFormatting sqref="AQ72:BA75">
    <cfRule type="containsText" dxfId="705" priority="414" operator="containsText" text="17">
      <formula>NOT(ISERROR(SEARCH("17",AQ72)))</formula>
    </cfRule>
  </conditionalFormatting>
  <conditionalFormatting sqref="AQ106:BA106">
    <cfRule type="containsText" dxfId="704" priority="404" operator="containsText" text="17">
      <formula>NOT(ISERROR(SEARCH("17",AQ106)))</formula>
    </cfRule>
  </conditionalFormatting>
  <conditionalFormatting sqref="AQ120:BA120">
    <cfRule type="containsText" dxfId="703" priority="384" operator="containsText" text="17">
      <formula>NOT(ISERROR(SEARCH("17",AQ120)))</formula>
    </cfRule>
  </conditionalFormatting>
  <conditionalFormatting sqref="AQ122:BA122">
    <cfRule type="containsText" dxfId="702" priority="374" operator="containsText" text="17">
      <formula>NOT(ISERROR(SEARCH("17",AQ122)))</formula>
    </cfRule>
  </conditionalFormatting>
  <conditionalFormatting sqref="AQ124:BA126">
    <cfRule type="containsText" dxfId="701" priority="394" operator="containsText" text="17">
      <formula>NOT(ISERROR(SEARCH("17",AQ124)))</formula>
    </cfRule>
  </conditionalFormatting>
  <conditionalFormatting sqref="AQ145:BD151">
    <cfRule type="containsText" dxfId="700" priority="271" operator="containsText" text="17">
      <formula>NOT(ISERROR(SEARCH("17",AQ145)))</formula>
    </cfRule>
  </conditionalFormatting>
  <conditionalFormatting sqref="AQ145:BF151">
    <cfRule type="containsText" dxfId="699" priority="265" operator="containsText" text="T">
      <formula>NOT(ISERROR(SEARCH("T",AQ145)))</formula>
    </cfRule>
  </conditionalFormatting>
  <conditionalFormatting sqref="AR41">
    <cfRule type="containsText" dxfId="698" priority="598" operator="containsText" text="17">
      <formula>NOT(ISERROR(SEARCH("17",AR41)))</formula>
    </cfRule>
    <cfRule type="containsText" dxfId="697" priority="599" operator="containsText" text="T">
      <formula>NOT(ISERROR(SEARCH("T",AR41)))</formula>
    </cfRule>
  </conditionalFormatting>
  <conditionalFormatting sqref="AR160:AR165">
    <cfRule type="containsText" dxfId="696" priority="753" operator="containsText" text="T">
      <formula>NOT(ISERROR(SEARCH("T",AR160)))</formula>
    </cfRule>
  </conditionalFormatting>
  <conditionalFormatting sqref="AR175">
    <cfRule type="containsText" dxfId="695" priority="675" operator="containsText" text="T">
      <formula>NOT(ISERROR(SEARCH("T",AR175)))</formula>
    </cfRule>
  </conditionalFormatting>
  <conditionalFormatting sqref="AR182 AV182:AX182 AA183:AU190 AX183:AX190">
    <cfRule type="containsText" dxfId="694" priority="660" operator="containsText" text="T">
      <formula>NOT(ISERROR(SEARCH("T",AA182)))</formula>
    </cfRule>
  </conditionalFormatting>
  <conditionalFormatting sqref="AR182:AS182 AV182:AX182 AX183:AX190">
    <cfRule type="containsText" dxfId="693" priority="661" operator="containsText" text="17">
      <formula>NOT(ISERROR(SEARCH("17",AR182)))</formula>
    </cfRule>
  </conditionalFormatting>
  <conditionalFormatting sqref="AR28:AX32">
    <cfRule type="containsText" dxfId="692" priority="591" operator="containsText" text="17">
      <formula>NOT(ISERROR(SEARCH("17",AR28)))</formula>
    </cfRule>
    <cfRule type="containsText" dxfId="691" priority="592" operator="containsText" text="T">
      <formula>NOT(ISERROR(SEARCH("T",AR28)))</formula>
    </cfRule>
  </conditionalFormatting>
  <conditionalFormatting sqref="AR48:AX49">
    <cfRule type="containsText" dxfId="690" priority="581" operator="containsText" text="17">
      <formula>NOT(ISERROR(SEARCH("17",AR48)))</formula>
    </cfRule>
    <cfRule type="containsText" dxfId="689" priority="582" operator="containsText" text="T">
      <formula>NOT(ISERROR(SEARCH("T",AR48)))</formula>
    </cfRule>
  </conditionalFormatting>
  <conditionalFormatting sqref="AR69:BB71">
    <cfRule type="containsText" dxfId="688" priority="334" operator="containsText" text="17">
      <formula>NOT(ISERROR(SEARCH("17",AR69)))</formula>
    </cfRule>
  </conditionalFormatting>
  <conditionalFormatting sqref="AR103:BB104">
    <cfRule type="containsText" dxfId="687" priority="364" operator="containsText" text="17">
      <formula>NOT(ISERROR(SEARCH("17",AR103)))</formula>
    </cfRule>
  </conditionalFormatting>
  <conditionalFormatting sqref="AR121:BB121">
    <cfRule type="containsText" dxfId="686" priority="354" operator="containsText" text="17">
      <formula>NOT(ISERROR(SEARCH("17",AR121)))</formula>
    </cfRule>
  </conditionalFormatting>
  <conditionalFormatting sqref="AR123:BB123">
    <cfRule type="containsText" dxfId="685" priority="344" operator="containsText" text="17">
      <formula>NOT(ISERROR(SEARCH("17",AR123)))</formula>
    </cfRule>
  </conditionalFormatting>
  <conditionalFormatting sqref="AR152:BE158">
    <cfRule type="containsText" dxfId="684" priority="261" operator="containsText" text="17">
      <formula>NOT(ISERROR(SEARCH("17",AR152)))</formula>
    </cfRule>
  </conditionalFormatting>
  <conditionalFormatting sqref="AR152:BG158">
    <cfRule type="containsText" dxfId="683" priority="255" operator="containsText" text="T">
      <formula>NOT(ISERROR(SEARCH("T",AR152)))</formula>
    </cfRule>
  </conditionalFormatting>
  <conditionalFormatting sqref="AS28:AS32">
    <cfRule type="containsText" dxfId="682" priority="589" operator="containsText" text="T">
      <formula>NOT(ISERROR(SEARCH("T",AS28)))</formula>
    </cfRule>
    <cfRule type="containsText" dxfId="681" priority="588" operator="containsText" text="17">
      <formula>NOT(ISERROR(SEARCH("17",AS28)))</formula>
    </cfRule>
  </conditionalFormatting>
  <conditionalFormatting sqref="AS48:AS49">
    <cfRule type="containsText" dxfId="680" priority="578" operator="containsText" text="17">
      <formula>NOT(ISERROR(SEARCH("17",AS48)))</formula>
    </cfRule>
    <cfRule type="containsText" dxfId="679" priority="579" operator="containsText" text="T">
      <formula>NOT(ISERROR(SEARCH("T",AS48)))</formula>
    </cfRule>
  </conditionalFormatting>
  <conditionalFormatting sqref="AS90 AW90:AY90 AB91:AV96 AY91:AY96">
    <cfRule type="containsText" dxfId="678" priority="647" operator="containsText" text="T">
      <formula>NOT(ISERROR(SEARCH("T",AB90)))</formula>
    </cfRule>
  </conditionalFormatting>
  <conditionalFormatting sqref="AS182">
    <cfRule type="containsText" dxfId="677" priority="662" operator="containsText" text="T">
      <formula>NOT(ISERROR(SEARCH("T",AS182)))</formula>
    </cfRule>
  </conditionalFormatting>
  <conditionalFormatting sqref="AS192:AS193 X194:AR199 X192:AF193">
    <cfRule type="containsText" dxfId="676" priority="709" operator="containsText" text="17">
      <formula>NOT(ISERROR(SEARCH("17",X192)))</formula>
    </cfRule>
  </conditionalFormatting>
  <conditionalFormatting sqref="AS208:AS213">
    <cfRule type="containsText" dxfId="675" priority="740" operator="containsText" text="T">
      <formula>NOT(ISERROR(SEARCH("T",AS208)))</formula>
    </cfRule>
  </conditionalFormatting>
  <conditionalFormatting sqref="AS90:AT90 AW90:AY90 AY91:AY96">
    <cfRule type="containsText" dxfId="674" priority="648" operator="containsText" text="17">
      <formula>NOT(ISERROR(SEARCH("17",AS90)))</formula>
    </cfRule>
  </conditionalFormatting>
  <conditionalFormatting sqref="AS50:AY53">
    <cfRule type="containsText" dxfId="673" priority="572" operator="containsText" text="T">
      <formula>NOT(ISERROR(SEARCH("T",AS50)))</formula>
    </cfRule>
    <cfRule type="containsText" dxfId="672" priority="571" operator="containsText" text="17">
      <formula>NOT(ISERROR(SEARCH("17",AS50)))</formula>
    </cfRule>
  </conditionalFormatting>
  <conditionalFormatting sqref="AS63:AY66">
    <cfRule type="containsText" dxfId="671" priority="562" operator="containsText" text="T">
      <formula>NOT(ISERROR(SEARCH("T",AS63)))</formula>
    </cfRule>
    <cfRule type="containsText" dxfId="670" priority="561" operator="containsText" text="17">
      <formula>NOT(ISERROR(SEARCH("17",AS63)))</formula>
    </cfRule>
  </conditionalFormatting>
  <conditionalFormatting sqref="AS67:BC68">
    <cfRule type="containsText" dxfId="669" priority="304" operator="containsText" text="17">
      <formula>NOT(ISERROR(SEARCH("17",AS67)))</formula>
    </cfRule>
  </conditionalFormatting>
  <conditionalFormatting sqref="AS99:BC102">
    <cfRule type="containsText" dxfId="668" priority="324" operator="containsText" text="17">
      <formula>NOT(ISERROR(SEARCH("17",AS99)))</formula>
    </cfRule>
  </conditionalFormatting>
  <conditionalFormatting sqref="AS105:BC105">
    <cfRule type="containsText" dxfId="667" priority="314" operator="containsText" text="17">
      <formula>NOT(ISERROR(SEARCH("17",AS105)))</formula>
    </cfRule>
  </conditionalFormatting>
  <conditionalFormatting sqref="AS159:BF165">
    <cfRule type="containsText" dxfId="666" priority="251" operator="containsText" text="17">
      <formula>NOT(ISERROR(SEARCH("17",AS159)))</formula>
    </cfRule>
  </conditionalFormatting>
  <conditionalFormatting sqref="AS159:BH165">
    <cfRule type="containsText" dxfId="665" priority="245" operator="containsText" text="T">
      <formula>NOT(ISERROR(SEARCH("T",AS159)))</formula>
    </cfRule>
  </conditionalFormatting>
  <conditionalFormatting sqref="AT14 AX14:AZ14 AC15:AW20 AZ15:AZ20">
    <cfRule type="containsText" dxfId="664" priority="634" operator="containsText" text="T">
      <formula>NOT(ISERROR(SEARCH("T",AC14)))</formula>
    </cfRule>
  </conditionalFormatting>
  <conditionalFormatting sqref="AT50:AT53">
    <cfRule type="containsText" dxfId="663" priority="568" operator="containsText" text="17">
      <formula>NOT(ISERROR(SEARCH("17",AT50)))</formula>
    </cfRule>
    <cfRule type="containsText" dxfId="662" priority="569" operator="containsText" text="T">
      <formula>NOT(ISERROR(SEARCH("T",AT50)))</formula>
    </cfRule>
  </conditionalFormatting>
  <conditionalFormatting sqref="AT63:AT66">
    <cfRule type="containsText" dxfId="661" priority="558" operator="containsText" text="17">
      <formula>NOT(ISERROR(SEARCH("17",AT63)))</formula>
    </cfRule>
    <cfRule type="containsText" dxfId="660" priority="559" operator="containsText" text="T">
      <formula>NOT(ISERROR(SEARCH("T",AT63)))</formula>
    </cfRule>
  </conditionalFormatting>
  <conditionalFormatting sqref="AT90">
    <cfRule type="containsText" dxfId="659" priority="649" operator="containsText" text="T">
      <formula>NOT(ISERROR(SEARCH("T",AT90)))</formula>
    </cfRule>
  </conditionalFormatting>
  <conditionalFormatting sqref="AT201:AT206">
    <cfRule type="containsText" dxfId="658" priority="727" operator="containsText" text="T">
      <formula>NOT(ISERROR(SEARCH("T",AT201)))</formula>
    </cfRule>
  </conditionalFormatting>
  <conditionalFormatting sqref="AT14:AU14 AX14:AZ14 AZ15:AZ20">
    <cfRule type="containsText" dxfId="657" priority="635" operator="containsText" text="17">
      <formula>NOT(ISERROR(SEARCH("17",AT14)))</formula>
    </cfRule>
  </conditionalFormatting>
  <conditionalFormatting sqref="AT59:AZ62">
    <cfRule type="containsText" dxfId="656" priority="548" operator="containsText" text="T">
      <formula>NOT(ISERROR(SEARCH("T",AT59)))</formula>
    </cfRule>
    <cfRule type="containsText" dxfId="655" priority="547" operator="containsText" text="17">
      <formula>NOT(ISERROR(SEARCH("17",AT59)))</formula>
    </cfRule>
  </conditionalFormatting>
  <conditionalFormatting sqref="AT86:AZ89">
    <cfRule type="containsText" dxfId="654" priority="538" operator="containsText" text="T">
      <formula>NOT(ISERROR(SEARCH("T",AT86)))</formula>
    </cfRule>
    <cfRule type="containsText" dxfId="653" priority="537" operator="containsText" text="17">
      <formula>NOT(ISERROR(SEARCH("17",AT86)))</formula>
    </cfRule>
  </conditionalFormatting>
  <conditionalFormatting sqref="AT97:BD98">
    <cfRule type="containsText" dxfId="652" priority="294" operator="containsText" text="17">
      <formula>NOT(ISERROR(SEARCH("17",AT97)))</formula>
    </cfRule>
  </conditionalFormatting>
  <conditionalFormatting sqref="AT131:BD137">
    <cfRule type="containsText" dxfId="651" priority="284" operator="containsText" text="17">
      <formula>NOT(ISERROR(SEARCH("17",AT131)))</formula>
    </cfRule>
  </conditionalFormatting>
  <conditionalFormatting sqref="AU14">
    <cfRule type="containsText" dxfId="650" priority="636" operator="containsText" text="T">
      <formula>NOT(ISERROR(SEARCH("T",AU14)))</formula>
    </cfRule>
  </conditionalFormatting>
  <conditionalFormatting sqref="AU34 AY34:BA34 AD35:AX40 BA35:BA40">
    <cfRule type="containsText" dxfId="649" priority="621" operator="containsText" text="T">
      <formula>NOT(ISERROR(SEARCH("T",AD34)))</formula>
    </cfRule>
  </conditionalFormatting>
  <conditionalFormatting sqref="AU59:AU62">
    <cfRule type="containsText" dxfId="648" priority="544" operator="containsText" text="17">
      <formula>NOT(ISERROR(SEARCH("17",AU59)))</formula>
    </cfRule>
    <cfRule type="containsText" dxfId="647" priority="545" operator="containsText" text="T">
      <formula>NOT(ISERROR(SEARCH("T",AU59)))</formula>
    </cfRule>
  </conditionalFormatting>
  <conditionalFormatting sqref="AU86:AU89">
    <cfRule type="containsText" dxfId="646" priority="535" operator="containsText" text="T">
      <formula>NOT(ISERROR(SEARCH("T",AU86)))</formula>
    </cfRule>
    <cfRule type="containsText" dxfId="645" priority="534" operator="containsText" text="17">
      <formula>NOT(ISERROR(SEARCH("17",AU86)))</formula>
    </cfRule>
  </conditionalFormatting>
  <conditionalFormatting sqref="AU194:AU199">
    <cfRule type="containsText" dxfId="644" priority="714" operator="containsText" text="T">
      <formula>NOT(ISERROR(SEARCH("T",AU194)))</formula>
    </cfRule>
  </conditionalFormatting>
  <conditionalFormatting sqref="AU34:AV34 AY34:BA34 BA35:BA40">
    <cfRule type="containsText" dxfId="643" priority="622" operator="containsText" text="17">
      <formula>NOT(ISERROR(SEARCH("17",AU34)))</formula>
    </cfRule>
  </conditionalFormatting>
  <conditionalFormatting sqref="AU83:BA85">
    <cfRule type="containsText" dxfId="642" priority="528" operator="containsText" text="T">
      <formula>NOT(ISERROR(SEARCH("T",AU83)))</formula>
    </cfRule>
    <cfRule type="containsText" dxfId="641" priority="527" operator="containsText" text="17">
      <formula>NOT(ISERROR(SEARCH("17",AU83)))</formula>
    </cfRule>
  </conditionalFormatting>
  <conditionalFormatting sqref="AU214:BA217">
    <cfRule type="containsText" dxfId="640" priority="518" operator="containsText" text="T">
      <formula>NOT(ISERROR(SEARCH("T",AU214)))</formula>
    </cfRule>
    <cfRule type="containsText" dxfId="639" priority="517" operator="containsText" text="17">
      <formula>NOT(ISERROR(SEARCH("17",AU214)))</formula>
    </cfRule>
  </conditionalFormatting>
  <conditionalFormatting sqref="AU138:BE144">
    <cfRule type="containsText" dxfId="638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37" priority="8533" operator="containsText" text="17">
      <formula>NOT(ISERROR(SEARCH("17",J14)))</formula>
    </cfRule>
  </conditionalFormatting>
  <conditionalFormatting sqref="AV21 AZ21:BB21 AE22:AY27">
    <cfRule type="containsText" dxfId="636" priority="608" operator="containsText" text="T">
      <formula>NOT(ISERROR(SEARCH("T",AE21)))</formula>
    </cfRule>
  </conditionalFormatting>
  <conditionalFormatting sqref="AV34">
    <cfRule type="containsText" dxfId="635" priority="623" operator="containsText" text="T">
      <formula>NOT(ISERROR(SEARCH("T",AV34)))</formula>
    </cfRule>
  </conditionalFormatting>
  <conditionalFormatting sqref="AV83:AV85">
    <cfRule type="containsText" dxfId="634" priority="524" operator="containsText" text="17">
      <formula>NOT(ISERROR(SEARCH("17",AV83)))</formula>
    </cfRule>
    <cfRule type="containsText" dxfId="633" priority="525" operator="containsText" text="T">
      <formula>NOT(ISERROR(SEARCH("T",AV83)))</formula>
    </cfRule>
  </conditionalFormatting>
  <conditionalFormatting sqref="AV169:AV174">
    <cfRule type="containsText" dxfId="632" priority="696" operator="containsText" text="T">
      <formula>NOT(ISERROR(SEARCH("T",AV169)))</formula>
    </cfRule>
  </conditionalFormatting>
  <conditionalFormatting sqref="AV214:AV217">
    <cfRule type="containsText" dxfId="631" priority="514" operator="containsText" text="17">
      <formula>NOT(ISERROR(SEARCH("17",AV214)))</formula>
    </cfRule>
    <cfRule type="containsText" dxfId="630" priority="515" operator="containsText" text="T">
      <formula>NOT(ISERROR(SEARCH("T",AV214)))</formula>
    </cfRule>
  </conditionalFormatting>
  <conditionalFormatting sqref="AV21:AW21 AZ21:BB21 BB22:BF27">
    <cfRule type="containsText" dxfId="629" priority="609" operator="containsText" text="17">
      <formula>NOT(ISERROR(SEARCH("17",AV21)))</formula>
    </cfRule>
  </conditionalFormatting>
  <conditionalFormatting sqref="AV218:BB224">
    <cfRule type="containsText" dxfId="628" priority="507" operator="containsText" text="17">
      <formula>NOT(ISERROR(SEARCH("17",AV218)))</formula>
    </cfRule>
    <cfRule type="containsText" dxfId="627" priority="508" operator="containsText" text="T">
      <formula>NOT(ISERROR(SEARCH("T",AV218)))</formula>
    </cfRule>
  </conditionalFormatting>
  <conditionalFormatting sqref="AV145:BF151">
    <cfRule type="containsText" dxfId="626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25" priority="7303" operator="containsText" text="T">
      <formula>NOT(ISERROR(SEARCH("T",J14)))</formula>
    </cfRule>
  </conditionalFormatting>
  <conditionalFormatting sqref="AW21">
    <cfRule type="containsText" dxfId="624" priority="610" operator="containsText" text="T">
      <formula>NOT(ISERROR(SEARCH("T",AW21)))</formula>
    </cfRule>
  </conditionalFormatting>
  <conditionalFormatting sqref="AW41 BA41:BC41 AF42:AZ47 BC42:BC47">
    <cfRule type="containsText" dxfId="623" priority="595" operator="containsText" text="T">
      <formula>NOT(ISERROR(SEARCH("T",AF41)))</formula>
    </cfRule>
  </conditionalFormatting>
  <conditionalFormatting sqref="AW176:AW181">
    <cfRule type="containsText" dxfId="622" priority="683" operator="containsText" text="T">
      <formula>NOT(ISERROR(SEARCH("T",AW176)))</formula>
    </cfRule>
  </conditionalFormatting>
  <conditionalFormatting sqref="AW218:AW224">
    <cfRule type="containsText" dxfId="621" priority="505" operator="containsText" text="T">
      <formula>NOT(ISERROR(SEARCH("T",AW218)))</formula>
    </cfRule>
    <cfRule type="containsText" dxfId="620" priority="504" operator="containsText" text="17">
      <formula>NOT(ISERROR(SEARCH("17",AW218)))</formula>
    </cfRule>
  </conditionalFormatting>
  <conditionalFormatting sqref="AW41:AX41 BA41:BC41 BC42:BC47">
    <cfRule type="containsText" dxfId="619" priority="596" operator="containsText" text="17">
      <formula>NOT(ISERROR(SEARCH("17",AW41)))</formula>
    </cfRule>
  </conditionalFormatting>
  <conditionalFormatting sqref="AW225:BC231">
    <cfRule type="containsText" dxfId="618" priority="498" operator="containsText" text="T">
      <formula>NOT(ISERROR(SEARCH("T",AW225)))</formula>
    </cfRule>
    <cfRule type="containsText" dxfId="617" priority="497" operator="containsText" text="17">
      <formula>NOT(ISERROR(SEARCH("17",AW225)))</formula>
    </cfRule>
  </conditionalFormatting>
  <conditionalFormatting sqref="AW152:BG158">
    <cfRule type="containsText" dxfId="616" priority="254" operator="containsText" text="17">
      <formula>NOT(ISERROR(SEARCH("17",AW152)))</formula>
    </cfRule>
  </conditionalFormatting>
  <conditionalFormatting sqref="AW168:CP174">
    <cfRule type="containsText" dxfId="615" priority="205" operator="containsText" text="17">
      <formula>NOT(ISERROR(SEARCH("17",AW168)))</formula>
    </cfRule>
  </conditionalFormatting>
  <conditionalFormatting sqref="AX28:AX32 BB28:BD32">
    <cfRule type="containsText" dxfId="614" priority="585" operator="containsText" text="T">
      <formula>NOT(ISERROR(SEARCH("T",AX28)))</formula>
    </cfRule>
  </conditionalFormatting>
  <conditionalFormatting sqref="AX41">
    <cfRule type="containsText" dxfId="613" priority="597" operator="containsText" text="T">
      <formula>NOT(ISERROR(SEARCH("T",AX41)))</formula>
    </cfRule>
  </conditionalFormatting>
  <conditionalFormatting sqref="AX48:AX49 BB48:BD49">
    <cfRule type="containsText" dxfId="612" priority="575" operator="containsText" text="T">
      <formula>NOT(ISERROR(SEARCH("T",AX48)))</formula>
    </cfRule>
  </conditionalFormatting>
  <conditionalFormatting sqref="AX180:AX181 AY182:AY185 BM191 BU200:BU202 BV203:BV205">
    <cfRule type="containsText" dxfId="611" priority="7319" operator="containsText" text="T">
      <formula>NOT(ISERROR(SEARCH("T",AX180)))</formula>
    </cfRule>
    <cfRule type="containsText" dxfId="610" priority="7321" operator="containsText" text="T">
      <formula>NOT(ISERROR(SEARCH("T",AX180)))</formula>
    </cfRule>
    <cfRule type="containsText" dxfId="609" priority="7320" operator="containsText" text="17">
      <formula>NOT(ISERROR(SEARCH("17",AX180)))</formula>
    </cfRule>
  </conditionalFormatting>
  <conditionalFormatting sqref="AX183:AX190">
    <cfRule type="containsText" dxfId="608" priority="670" operator="containsText" text="T">
      <formula>NOT(ISERROR(SEARCH("T",AX183)))</formula>
    </cfRule>
  </conditionalFormatting>
  <conditionalFormatting sqref="AX192">
    <cfRule type="containsText" dxfId="607" priority="6267" operator="containsText" text="T">
      <formula>NOT(ISERROR(SEARCH("T",AX192)))</formula>
    </cfRule>
    <cfRule type="containsText" dxfId="606" priority="6266" operator="containsText" text="17">
      <formula>NOT(ISERROR(SEARCH("17",AX192)))</formula>
    </cfRule>
    <cfRule type="containsText" dxfId="605" priority="2370" operator="containsText" text="T">
      <formula>NOT(ISERROR(SEARCH("T",AX192)))</formula>
    </cfRule>
    <cfRule type="containsText" dxfId="604" priority="2369" operator="containsText" text="17">
      <formula>NOT(ISERROR(SEARCH("17",AX192)))</formula>
    </cfRule>
  </conditionalFormatting>
  <conditionalFormatting sqref="AX196:AX198">
    <cfRule type="containsText" dxfId="603" priority="7295" operator="containsText" text="T">
      <formula>NOT(ISERROR(SEARCH("T",AX196)))</formula>
    </cfRule>
    <cfRule type="containsText" dxfId="602" priority="7294" operator="containsText" text="17">
      <formula>NOT(ISERROR(SEARCH("17",AX196)))</formula>
    </cfRule>
  </conditionalFormatting>
  <conditionalFormatting sqref="AX225:AX231">
    <cfRule type="containsText" dxfId="601" priority="494" operator="containsText" text="17">
      <formula>NOT(ISERROR(SEARCH("17",AX225)))</formula>
    </cfRule>
    <cfRule type="containsText" dxfId="600" priority="495" operator="containsText" text="T">
      <formula>NOT(ISERROR(SEARCH("T",AX225)))</formula>
    </cfRule>
  </conditionalFormatting>
  <conditionalFormatting sqref="AX28:AY32 BB28:BD32">
    <cfRule type="containsText" dxfId="599" priority="586" operator="containsText" text="17">
      <formula>NOT(ISERROR(SEARCH("17",AX28)))</formula>
    </cfRule>
  </conditionalFormatting>
  <conditionalFormatting sqref="AX48:AY49 BB48:BD49">
    <cfRule type="containsText" dxfId="598" priority="576" operator="containsText" text="17">
      <formula>NOT(ISERROR(SEARCH("17",AX48)))</formula>
    </cfRule>
  </conditionalFormatting>
  <conditionalFormatting sqref="AX170:BA170">
    <cfRule type="containsText" dxfId="597" priority="8728" operator="containsText" text="17">
      <formula>NOT(ISERROR(SEARCH("17",AX170)))</formula>
    </cfRule>
    <cfRule type="containsText" dxfId="596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95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94" priority="5061" operator="containsText" text="T">
      <formula>NOT(ISERROR(SEARCH("T",AX199)))</formula>
    </cfRule>
  </conditionalFormatting>
  <conditionalFormatting sqref="AX33:BC33">
    <cfRule type="containsText" dxfId="593" priority="8832" operator="containsText" text="T">
      <formula>NOT(ISERROR(SEARCH("T",AX33)))</formula>
    </cfRule>
  </conditionalFormatting>
  <conditionalFormatting sqref="AX113:BD116">
    <cfRule type="containsText" dxfId="592" priority="478" operator="containsText" text="T">
      <formula>NOT(ISERROR(SEARCH("T",AX113)))</formula>
    </cfRule>
    <cfRule type="containsText" dxfId="591" priority="477" operator="containsText" text="17">
      <formula>NOT(ISERROR(SEARCH("17",AX113)))</formula>
    </cfRule>
  </conditionalFormatting>
  <conditionalFormatting sqref="AX232:BD234">
    <cfRule type="containsText" dxfId="590" priority="487" operator="containsText" text="17">
      <formula>NOT(ISERROR(SEARCH("17",AX232)))</formula>
    </cfRule>
    <cfRule type="containsText" dxfId="589" priority="488" operator="containsText" text="T">
      <formula>NOT(ISERROR(SEARCH("T",AX232)))</formula>
    </cfRule>
  </conditionalFormatting>
  <conditionalFormatting sqref="AX199:BE199 AX206:BD206 AX213">
    <cfRule type="containsText" dxfId="588" priority="5068" operator="containsText" text="17">
      <formula>NOT(ISERROR(SEARCH("17",AX199)))</formula>
    </cfRule>
    <cfRule type="containsText" dxfId="587" priority="5069" operator="containsText" text="T">
      <formula>NOT(ISERROR(SEARCH("T",AX199)))</formula>
    </cfRule>
  </conditionalFormatting>
  <conditionalFormatting sqref="AX159:BH165">
    <cfRule type="containsText" dxfId="586" priority="244" operator="containsText" text="17">
      <formula>NOT(ISERROR(SEARCH("17",AX159)))</formula>
    </cfRule>
  </conditionalFormatting>
  <conditionalFormatting sqref="AX175:CP181">
    <cfRule type="containsText" dxfId="585" priority="172" operator="containsText" text="T">
      <formula>NOT(ISERROR(SEARCH("T",AX175)))</formula>
    </cfRule>
  </conditionalFormatting>
  <conditionalFormatting sqref="AY28:AY32">
    <cfRule type="containsText" dxfId="584" priority="587" operator="containsText" text="T">
      <formula>NOT(ISERROR(SEARCH("T",AY28)))</formula>
    </cfRule>
  </conditionalFormatting>
  <conditionalFormatting sqref="AY33">
    <cfRule type="containsText" dxfId="583" priority="8206" operator="containsText" text="17">
      <formula>NOT(ISERROR(SEARCH("17",AY33)))</formula>
    </cfRule>
    <cfRule type="containsText" dxfId="582" priority="8207" operator="containsText" text="T">
      <formula>NOT(ISERROR(SEARCH("T",AY33)))</formula>
    </cfRule>
  </conditionalFormatting>
  <conditionalFormatting sqref="AY48:AY49">
    <cfRule type="containsText" dxfId="581" priority="577" operator="containsText" text="T">
      <formula>NOT(ISERROR(SEARCH("T",AY48)))</formula>
    </cfRule>
  </conditionalFormatting>
  <conditionalFormatting sqref="AY50:AY53 BC50:BE53">
    <cfRule type="containsText" dxfId="580" priority="565" operator="containsText" text="T">
      <formula>NOT(ISERROR(SEARCH("T",AY50)))</formula>
    </cfRule>
  </conditionalFormatting>
  <conditionalFormatting sqref="AY63:AY66 BC63:BI66">
    <cfRule type="containsText" dxfId="579" priority="555" operator="containsText" text="T">
      <formula>NOT(ISERROR(SEARCH("T",AY63)))</formula>
    </cfRule>
  </conditionalFormatting>
  <conditionalFormatting sqref="AY91:AY96">
    <cfRule type="containsText" dxfId="578" priority="657" operator="containsText" text="T">
      <formula>NOT(ISERROR(SEARCH("T",AY91)))</formula>
    </cfRule>
  </conditionalFormatting>
  <conditionalFormatting sqref="AY113:AY116">
    <cfRule type="containsText" dxfId="577" priority="474" operator="containsText" text="17">
      <formula>NOT(ISERROR(SEARCH("17",AY113)))</formula>
    </cfRule>
    <cfRule type="containsText" dxfId="576" priority="475" operator="containsText" text="T">
      <formula>NOT(ISERROR(SEARCH("T",AY113)))</formula>
    </cfRule>
  </conditionalFormatting>
  <conditionalFormatting sqref="AY182:AY185 BM191 BU200:BU202 BV203:BV205 AX180:AX181">
    <cfRule type="containsText" dxfId="575" priority="7318" operator="containsText" text="17">
      <formula>NOT(ISERROR(SEARCH("17",AX180)))</formula>
    </cfRule>
  </conditionalFormatting>
  <conditionalFormatting sqref="AY189">
    <cfRule type="containsText" dxfId="574" priority="4911" operator="containsText" text="T">
      <formula>NOT(ISERROR(SEARCH("T",AY189)))</formula>
    </cfRule>
    <cfRule type="containsText" dxfId="573" priority="4910" operator="containsText" text="17">
      <formula>NOT(ISERROR(SEARCH("17",AY189)))</formula>
    </cfRule>
    <cfRule type="containsText" dxfId="572" priority="4892" operator="containsText" text="17">
      <formula>NOT(ISERROR(SEARCH("17",AY189)))</formula>
    </cfRule>
    <cfRule type="containsText" dxfId="571" priority="4893" operator="containsText" text="T">
      <formula>NOT(ISERROR(SEARCH("T",AY189)))</formula>
    </cfRule>
  </conditionalFormatting>
  <conditionalFormatting sqref="AY190 AX191:BH191 BK191 BO191:BS191">
    <cfRule type="containsText" dxfId="570" priority="8514" operator="containsText" text="T">
      <formula>NOT(ISERROR(SEARCH("T",AX190)))</formula>
    </cfRule>
  </conditionalFormatting>
  <conditionalFormatting sqref="AY199 AX206">
    <cfRule type="containsText" dxfId="569" priority="2143" operator="containsText" text="17">
      <formula>NOT(ISERROR(SEARCH("17",AX199)))</formula>
    </cfRule>
    <cfRule type="containsText" dxfId="568" priority="2144" operator="containsText" text="T">
      <formula>NOT(ISERROR(SEARCH("T",AX199)))</formula>
    </cfRule>
  </conditionalFormatting>
  <conditionalFormatting sqref="AY232:AY234">
    <cfRule type="containsText" dxfId="567" priority="484" operator="containsText" text="17">
      <formula>NOT(ISERROR(SEARCH("17",AY232)))</formula>
    </cfRule>
    <cfRule type="containsText" dxfId="566" priority="485" operator="containsText" text="T">
      <formula>NOT(ISERROR(SEARCH("T",AY232)))</formula>
    </cfRule>
  </conditionalFormatting>
  <conditionalFormatting sqref="AY50:AZ53 BC50:BE53">
    <cfRule type="containsText" dxfId="565" priority="566" operator="containsText" text="17">
      <formula>NOT(ISERROR(SEARCH("17",AY50)))</formula>
    </cfRule>
  </conditionalFormatting>
  <conditionalFormatting sqref="AY63:AZ66 BC63:BE66">
    <cfRule type="containsText" dxfId="564" priority="556" operator="containsText" text="17">
      <formula>NOT(ISERROR(SEARCH("17",AY63)))</formula>
    </cfRule>
  </conditionalFormatting>
  <conditionalFormatting sqref="AY79:BE82">
    <cfRule type="containsText" dxfId="563" priority="458" operator="containsText" text="T">
      <formula>NOT(ISERROR(SEARCH("T",AY79)))</formula>
    </cfRule>
    <cfRule type="containsText" dxfId="562" priority="457" operator="containsText" text="17">
      <formula>NOT(ISERROR(SEARCH("17",AY79)))</formula>
    </cfRule>
  </conditionalFormatting>
  <conditionalFormatting sqref="AY117:BE119">
    <cfRule type="containsText" dxfId="561" priority="468" operator="containsText" text="T">
      <formula>NOT(ISERROR(SEARCH("T",AY117)))</formula>
    </cfRule>
    <cfRule type="containsText" dxfId="560" priority="467" operator="containsText" text="17">
      <formula>NOT(ISERROR(SEARCH("17",AY117)))</formula>
    </cfRule>
  </conditionalFormatting>
  <conditionalFormatting sqref="AY207:BI213">
    <cfRule type="containsText" dxfId="559" priority="234" operator="containsText" text="17">
      <formula>NOT(ISERROR(SEARCH("17",AY207)))</formula>
    </cfRule>
  </conditionalFormatting>
  <conditionalFormatting sqref="AY207:BP213">
    <cfRule type="containsText" dxfId="558" priority="243" operator="containsText" text="T">
      <formula>NOT(ISERROR(SEARCH("T",AY207)))</formula>
    </cfRule>
  </conditionalFormatting>
  <conditionalFormatting sqref="AY193:BV213 AX195:BV195 BH214:BL215">
    <cfRule type="containsText" dxfId="557" priority="914" operator="containsText" text="T">
      <formula>NOT(ISERROR(SEARCH("T",AX193)))</formula>
    </cfRule>
  </conditionalFormatting>
  <conditionalFormatting sqref="AZ15:AZ20">
    <cfRule type="containsText" dxfId="556" priority="644" operator="containsText" text="T">
      <formula>NOT(ISERROR(SEARCH("T",AZ15)))</formula>
    </cfRule>
  </conditionalFormatting>
  <conditionalFormatting sqref="AZ50:AZ53">
    <cfRule type="containsText" dxfId="555" priority="567" operator="containsText" text="T">
      <formula>NOT(ISERROR(SEARCH("T",AZ50)))</formula>
    </cfRule>
  </conditionalFormatting>
  <conditionalFormatting sqref="AZ63:AZ66">
    <cfRule type="containsText" dxfId="554" priority="557" operator="containsText" text="T">
      <formula>NOT(ISERROR(SEARCH("T",AZ63)))</formula>
    </cfRule>
  </conditionalFormatting>
  <conditionalFormatting sqref="AZ79:AZ82">
    <cfRule type="containsText" dxfId="553" priority="455" operator="containsText" text="T">
      <formula>NOT(ISERROR(SEARCH("T",AZ79)))</formula>
    </cfRule>
    <cfRule type="containsText" dxfId="552" priority="454" operator="containsText" text="17">
      <formula>NOT(ISERROR(SEARCH("17",AZ79)))</formula>
    </cfRule>
  </conditionalFormatting>
  <conditionalFormatting sqref="AZ86:AZ89 BD86:BF89">
    <cfRule type="containsText" dxfId="551" priority="531" operator="containsText" text="T">
      <formula>NOT(ISERROR(SEARCH("T",AZ86)))</formula>
    </cfRule>
  </conditionalFormatting>
  <conditionalFormatting sqref="AZ117:AZ119">
    <cfRule type="containsText" dxfId="550" priority="465" operator="containsText" text="T">
      <formula>NOT(ISERROR(SEARCH("T",AZ117)))</formula>
    </cfRule>
    <cfRule type="containsText" dxfId="549" priority="464" operator="containsText" text="17">
      <formula>NOT(ISERROR(SEARCH("17",AZ117)))</formula>
    </cfRule>
  </conditionalFormatting>
  <conditionalFormatting sqref="AZ59:BA62 BD59:BF62">
    <cfRule type="containsText" dxfId="548" priority="542" operator="containsText" text="17">
      <formula>NOT(ISERROR(SEARCH("17",AZ59)))</formula>
    </cfRule>
  </conditionalFormatting>
  <conditionalFormatting sqref="AZ86:BA89 BD86:BF89">
    <cfRule type="containsText" dxfId="547" priority="532" operator="containsText" text="17">
      <formula>NOT(ISERROR(SEARCH("17",AZ86)))</formula>
    </cfRule>
  </conditionalFormatting>
  <conditionalFormatting sqref="AZ93:BB93">
    <cfRule type="containsText" dxfId="546" priority="4057" operator="containsText" text="T">
      <formula>NOT(ISERROR(SEARCH("T",AZ93)))</formula>
    </cfRule>
    <cfRule type="containsText" dxfId="545" priority="4056" operator="containsText" text="17">
      <formula>NOT(ISERROR(SEARCH("17",AZ93)))</formula>
    </cfRule>
  </conditionalFormatting>
  <conditionalFormatting sqref="AZ175:BB178">
    <cfRule type="containsText" dxfId="544" priority="933" operator="containsText" text="T">
      <formula>NOT(ISERROR(SEARCH("T",AZ175)))</formula>
    </cfRule>
  </conditionalFormatting>
  <conditionalFormatting sqref="AZ180:BB181 AZ182:BC183">
    <cfRule type="containsText" dxfId="543" priority="927" operator="containsText" text="T">
      <formula>NOT(ISERROR(SEARCH("T",AZ180)))</formula>
    </cfRule>
  </conditionalFormatting>
  <conditionalFormatting sqref="AZ185:BC188 AZ189:BW190">
    <cfRule type="containsText" dxfId="542" priority="921" operator="containsText" text="T">
      <formula>NOT(ISERROR(SEARCH("T",AZ185)))</formula>
    </cfRule>
  </conditionalFormatting>
  <conditionalFormatting sqref="AZ200:BJ206">
    <cfRule type="containsText" dxfId="541" priority="223" operator="containsText" text="17">
      <formula>NOT(ISERROR(SEARCH("17",AZ200)))</formula>
    </cfRule>
  </conditionalFormatting>
  <conditionalFormatting sqref="AZ200:BW206">
    <cfRule type="containsText" dxfId="540" priority="232" operator="containsText" text="T">
      <formula>NOT(ISERROR(SEARCH("T",AZ200)))</formula>
    </cfRule>
  </conditionalFormatting>
  <conditionalFormatting sqref="BA22:BA27">
    <cfRule type="containsText" dxfId="539" priority="550" operator="containsText" text="17">
      <formula>NOT(ISERROR(SEARCH("17",BA22)))</formula>
    </cfRule>
    <cfRule type="containsText" dxfId="538" priority="549" operator="containsText" text="T">
      <formula>NOT(ISERROR(SEARCH("T",BA22)))</formula>
    </cfRule>
  </conditionalFormatting>
  <conditionalFormatting sqref="BA35:BA40">
    <cfRule type="containsText" dxfId="537" priority="631" operator="containsText" text="T">
      <formula>NOT(ISERROR(SEARCH("T",BA35)))</formula>
    </cfRule>
  </conditionalFormatting>
  <conditionalFormatting sqref="BA59:BA62">
    <cfRule type="containsText" dxfId="536" priority="543" operator="containsText" text="T">
      <formula>NOT(ISERROR(SEARCH("T",BA59)))</formula>
    </cfRule>
  </conditionalFormatting>
  <conditionalFormatting sqref="BA83:BA85 BE83:BG85">
    <cfRule type="containsText" dxfId="535" priority="521" operator="containsText" text="T">
      <formula>NOT(ISERROR(SEARCH("T",BA83)))</formula>
    </cfRule>
  </conditionalFormatting>
  <conditionalFormatting sqref="BA86:BA89">
    <cfRule type="containsText" dxfId="534" priority="533" operator="containsText" text="T">
      <formula>NOT(ISERROR(SEARCH("T",BA86)))</formula>
    </cfRule>
  </conditionalFormatting>
  <conditionalFormatting sqref="BA199 AZ206">
    <cfRule type="containsText" dxfId="533" priority="5057" operator="containsText" text="T">
      <formula>NOT(ISERROR(SEARCH("T",AZ199)))</formula>
    </cfRule>
    <cfRule type="containsText" dxfId="532" priority="5056" operator="containsText" text="17">
      <formula>NOT(ISERROR(SEARCH("17",AZ199)))</formula>
    </cfRule>
  </conditionalFormatting>
  <conditionalFormatting sqref="BA214:BA217 BE214:BG217">
    <cfRule type="containsText" dxfId="531" priority="511" operator="containsText" text="T">
      <formula>NOT(ISERROR(SEARCH("T",BA214)))</formula>
    </cfRule>
  </conditionalFormatting>
  <conditionalFormatting sqref="BA22:BB27">
    <cfRule type="containsText" dxfId="530" priority="552" operator="containsText" text="T">
      <formula>NOT(ISERROR(SEARCH("T",BA22)))</formula>
    </cfRule>
  </conditionalFormatting>
  <conditionalFormatting sqref="BA83:BB85 BE83:BG85">
    <cfRule type="containsText" dxfId="529" priority="522" operator="containsText" text="17">
      <formula>NOT(ISERROR(SEARCH("17",BA83)))</formula>
    </cfRule>
  </conditionalFormatting>
  <conditionalFormatting sqref="BA214:BB217 BE214:BG217">
    <cfRule type="containsText" dxfId="528" priority="512" operator="containsText" text="17">
      <formula>NOT(ISERROR(SEARCH("17",BA214)))</formula>
    </cfRule>
  </conditionalFormatting>
  <conditionalFormatting sqref="BA76:BG78">
    <cfRule type="containsText" dxfId="527" priority="433" operator="containsText" text="T">
      <formula>NOT(ISERROR(SEARCH("T",BA76)))</formula>
    </cfRule>
    <cfRule type="containsText" dxfId="526" priority="432" operator="containsText" text="17">
      <formula>NOT(ISERROR(SEARCH("17",BA76)))</formula>
    </cfRule>
  </conditionalFormatting>
  <conditionalFormatting sqref="BA107:BG112">
    <cfRule type="containsText" dxfId="525" priority="443" operator="containsText" text="T">
      <formula>NOT(ISERROR(SEARCH("T",BA107)))</formula>
    </cfRule>
    <cfRule type="containsText" dxfId="524" priority="442" operator="containsText" text="17">
      <formula>NOT(ISERROR(SEARCH("17",BA107)))</formula>
    </cfRule>
  </conditionalFormatting>
  <conditionalFormatting sqref="BA192:BK199">
    <cfRule type="containsText" dxfId="523" priority="206" operator="containsText" text="17">
      <formula>NOT(ISERROR(SEARCH("17",BA192)))</formula>
    </cfRule>
  </conditionalFormatting>
  <conditionalFormatting sqref="BA192:BR199">
    <cfRule type="containsText" dxfId="522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21" priority="915" operator="containsText" text="17">
      <formula>NOT(ISERROR(SEARCH("17",AX192)))</formula>
    </cfRule>
  </conditionalFormatting>
  <conditionalFormatting sqref="BA192:BX199">
    <cfRule type="containsText" dxfId="520" priority="222" operator="containsText" text="T">
      <formula>NOT(ISERROR(SEARCH("T",BA192)))</formula>
    </cfRule>
  </conditionalFormatting>
  <conditionalFormatting sqref="BB22:BB27">
    <cfRule type="containsText" dxfId="519" priority="618" operator="containsText" text="T">
      <formula>NOT(ISERROR(SEARCH("T",BB22)))</formula>
    </cfRule>
  </conditionalFormatting>
  <conditionalFormatting sqref="BB76:BB78">
    <cfRule type="containsText" dxfId="518" priority="429" operator="containsText" text="17">
      <formula>NOT(ISERROR(SEARCH("17",BB76)))</formula>
    </cfRule>
    <cfRule type="containsText" dxfId="517" priority="430" operator="containsText" text="T">
      <formula>NOT(ISERROR(SEARCH("T",BB76)))</formula>
    </cfRule>
  </conditionalFormatting>
  <conditionalFormatting sqref="BB83:BB85">
    <cfRule type="containsText" dxfId="516" priority="523" operator="containsText" text="T">
      <formula>NOT(ISERROR(SEARCH("T",BB83)))</formula>
    </cfRule>
  </conditionalFormatting>
  <conditionalFormatting sqref="BB107:BB112">
    <cfRule type="containsText" dxfId="515" priority="440" operator="containsText" text="T">
      <formula>NOT(ISERROR(SEARCH("T",BB107)))</formula>
    </cfRule>
    <cfRule type="containsText" dxfId="514" priority="439" operator="containsText" text="17">
      <formula>NOT(ISERROR(SEARCH("17",BB107)))</formula>
    </cfRule>
  </conditionalFormatting>
  <conditionalFormatting sqref="BB199 BD199:BI199 BA206 BC206:BH206">
    <cfRule type="containsText" dxfId="513" priority="5071" operator="containsText" text="T">
      <formula>NOT(ISERROR(SEARCH("T",BA199)))</formula>
    </cfRule>
    <cfRule type="containsText" dxfId="512" priority="5070" operator="containsText" text="17">
      <formula>NOT(ISERROR(SEARCH("17",BA199)))</formula>
    </cfRule>
  </conditionalFormatting>
  <conditionalFormatting sqref="BB214:BB217">
    <cfRule type="containsText" dxfId="511" priority="513" operator="containsText" text="T">
      <formula>NOT(ISERROR(SEARCH("T",BB214)))</formula>
    </cfRule>
  </conditionalFormatting>
  <conditionalFormatting sqref="BB218:BB224 BF218:BH224">
    <cfRule type="containsText" dxfId="510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09" priority="8546" operator="containsText" text="T">
      <formula>NOT(ISERROR(SEARCH("T",AX35)))</formula>
    </cfRule>
  </conditionalFormatting>
  <conditionalFormatting sqref="BB218:BC224 BF218:BH224">
    <cfRule type="containsText" dxfId="508" priority="502" operator="containsText" text="17">
      <formula>NOT(ISERROR(SEARCH("17",BB218)))</formula>
    </cfRule>
  </conditionalFormatting>
  <conditionalFormatting sqref="BB72:BH75">
    <cfRule type="containsText" dxfId="507" priority="423" operator="containsText" text="T">
      <formula>NOT(ISERROR(SEARCH("T",BB72)))</formula>
    </cfRule>
    <cfRule type="containsText" dxfId="506" priority="422" operator="containsText" text="17">
      <formula>NOT(ISERROR(SEARCH("17",BB72)))</formula>
    </cfRule>
  </conditionalFormatting>
  <conditionalFormatting sqref="BB106:BH106">
    <cfRule type="containsText" dxfId="505" priority="412" operator="containsText" text="17">
      <formula>NOT(ISERROR(SEARCH("17",BB106)))</formula>
    </cfRule>
    <cfRule type="containsText" dxfId="504" priority="413" operator="containsText" text="T">
      <formula>NOT(ISERROR(SEARCH("T",BB106)))</formula>
    </cfRule>
  </conditionalFormatting>
  <conditionalFormatting sqref="BB120:BH120">
    <cfRule type="containsText" dxfId="503" priority="393" operator="containsText" text="T">
      <formula>NOT(ISERROR(SEARCH("T",BB120)))</formula>
    </cfRule>
    <cfRule type="containsText" dxfId="502" priority="392" operator="containsText" text="17">
      <formula>NOT(ISERROR(SEARCH("17",BB120)))</formula>
    </cfRule>
  </conditionalFormatting>
  <conditionalFormatting sqref="BB122:BH122">
    <cfRule type="containsText" dxfId="501" priority="383" operator="containsText" text="T">
      <formula>NOT(ISERROR(SEARCH("T",BB122)))</formula>
    </cfRule>
    <cfRule type="containsText" dxfId="500" priority="382" operator="containsText" text="17">
      <formula>NOT(ISERROR(SEARCH("17",BB122)))</formula>
    </cfRule>
  </conditionalFormatting>
  <conditionalFormatting sqref="BB124:BH126">
    <cfRule type="containsText" dxfId="499" priority="402" operator="containsText" text="17">
      <formula>NOT(ISERROR(SEARCH("17",BB124)))</formula>
    </cfRule>
    <cfRule type="containsText" dxfId="498" priority="403" operator="containsText" text="T">
      <formula>NOT(ISERROR(SEARCH("T",BB124)))</formula>
    </cfRule>
  </conditionalFormatting>
  <conditionalFormatting sqref="BB168:BL174">
    <cfRule type="containsText" dxfId="497" priority="182" operator="containsText" text="17">
      <formula>NOT(ISERROR(SEARCH("17",BB168)))</formula>
    </cfRule>
  </conditionalFormatting>
  <conditionalFormatting sqref="BB194:BN194 BB196:BN198">
    <cfRule type="containsText" dxfId="496" priority="916" operator="containsText" text="17">
      <formula>NOT(ISERROR(SEARCH("17",BB194)))</formula>
    </cfRule>
  </conditionalFormatting>
  <conditionalFormatting sqref="BB168:BY174">
    <cfRule type="containsText" dxfId="495" priority="194" operator="containsText" text="17">
      <formula>NOT(ISERROR(SEARCH("17",BB168)))</formula>
    </cfRule>
    <cfRule type="containsText" dxfId="494" priority="196" operator="containsText" text="T">
      <formula>NOT(ISERROR(SEARCH("T",BB168)))</formula>
    </cfRule>
    <cfRule type="containsText" dxfId="493" priority="191" operator="containsText" text="T">
      <formula>NOT(ISERROR(SEARCH("T",BB168)))</formula>
    </cfRule>
  </conditionalFormatting>
  <conditionalFormatting sqref="BC34">
    <cfRule type="containsText" dxfId="492" priority="8060" operator="containsText" text="17">
      <formula>NOT(ISERROR(SEARCH("17",BC34)))</formula>
    </cfRule>
    <cfRule type="containsText" dxfId="491" priority="8061" operator="containsText" text="T">
      <formula>NOT(ISERROR(SEARCH("T",BC34)))</formula>
    </cfRule>
    <cfRule type="containsText" dxfId="490" priority="8062" operator="containsText" text="17">
      <formula>NOT(ISERROR(SEARCH("17",BC34)))</formula>
    </cfRule>
    <cfRule type="containsText" dxfId="489" priority="8063" operator="containsText" text="T">
      <formula>NOT(ISERROR(SEARCH("T",BC34)))</formula>
    </cfRule>
  </conditionalFormatting>
  <conditionalFormatting sqref="BC42:BC47">
    <cfRule type="containsText" dxfId="488" priority="605" operator="containsText" text="T">
      <formula>NOT(ISERROR(SEARCH("T",BC42)))</formula>
    </cfRule>
  </conditionalFormatting>
  <conditionalFormatting sqref="BC72:BC75">
    <cfRule type="containsText" dxfId="487" priority="420" operator="containsText" text="T">
      <formula>NOT(ISERROR(SEARCH("T",BC72)))</formula>
    </cfRule>
    <cfRule type="containsText" dxfId="486" priority="419" operator="containsText" text="17">
      <formula>NOT(ISERROR(SEARCH("17",BC72)))</formula>
    </cfRule>
  </conditionalFormatting>
  <conditionalFormatting sqref="BC106">
    <cfRule type="containsText" dxfId="485" priority="410" operator="containsText" text="T">
      <formula>NOT(ISERROR(SEARCH("T",BC106)))</formula>
    </cfRule>
    <cfRule type="containsText" dxfId="484" priority="409" operator="containsText" text="17">
      <formula>NOT(ISERROR(SEARCH("17",BC106)))</formula>
    </cfRule>
  </conditionalFormatting>
  <conditionalFormatting sqref="BC120">
    <cfRule type="containsText" dxfId="483" priority="390" operator="containsText" text="T">
      <formula>NOT(ISERROR(SEARCH("T",BC120)))</formula>
    </cfRule>
    <cfRule type="containsText" dxfId="482" priority="389" operator="containsText" text="17">
      <formula>NOT(ISERROR(SEARCH("17",BC120)))</formula>
    </cfRule>
  </conditionalFormatting>
  <conditionalFormatting sqref="BC122">
    <cfRule type="containsText" dxfId="481" priority="380" operator="containsText" text="T">
      <formula>NOT(ISERROR(SEARCH("T",BC122)))</formula>
    </cfRule>
    <cfRule type="containsText" dxfId="480" priority="379" operator="containsText" text="17">
      <formula>NOT(ISERROR(SEARCH("17",BC122)))</formula>
    </cfRule>
  </conditionalFormatting>
  <conditionalFormatting sqref="BC124:BC126">
    <cfRule type="containsText" dxfId="479" priority="399" operator="containsText" text="17">
      <formula>NOT(ISERROR(SEARCH("17",BC124)))</formula>
    </cfRule>
    <cfRule type="containsText" dxfId="478" priority="400" operator="containsText" text="T">
      <formula>NOT(ISERROR(SEARCH("T",BC124)))</formula>
    </cfRule>
  </conditionalFormatting>
  <conditionalFormatting sqref="BC182:BC183">
    <cfRule type="containsText" dxfId="477" priority="928" operator="containsText" text="17">
      <formula>NOT(ISERROR(SEARCH("17",BC182)))</formula>
    </cfRule>
  </conditionalFormatting>
  <conditionalFormatting sqref="BC186:BC188 BC189:BV190">
    <cfRule type="containsText" dxfId="476" priority="922" operator="containsText" text="17">
      <formula>NOT(ISERROR(SEARCH("17",BC186)))</formula>
    </cfRule>
  </conditionalFormatting>
  <conditionalFormatting sqref="BC199 BB206 BS127">
    <cfRule type="containsText" dxfId="475" priority="2145" operator="containsText" text="17">
      <formula>NOT(ISERROR(SEARCH("17",BB127)))</formula>
    </cfRule>
  </conditionalFormatting>
  <conditionalFormatting sqref="BC218:BC224">
    <cfRule type="containsText" dxfId="474" priority="503" operator="containsText" text="T">
      <formula>NOT(ISERROR(SEARCH("T",BC218)))</formula>
    </cfRule>
  </conditionalFormatting>
  <conditionalFormatting sqref="BC225:BC231 BG225:BI231">
    <cfRule type="containsText" dxfId="473" priority="491" operator="containsText" text="T">
      <formula>NOT(ISERROR(SEARCH("T",BC225)))</formula>
    </cfRule>
  </conditionalFormatting>
  <conditionalFormatting sqref="BC16:BD20">
    <cfRule type="containsText" dxfId="472" priority="8379" operator="containsText" text="17">
      <formula>NOT(ISERROR(SEARCH("17",BC16)))</formula>
    </cfRule>
  </conditionalFormatting>
  <conditionalFormatting sqref="BC225:BD231 BG225:BI231">
    <cfRule type="containsText" dxfId="471" priority="492" operator="containsText" text="17">
      <formula>NOT(ISERROR(SEARCH("17",BC225)))</formula>
    </cfRule>
  </conditionalFormatting>
  <conditionalFormatting sqref="BC69:BI71">
    <cfRule type="containsText" dxfId="470" priority="343" operator="containsText" text="T">
      <formula>NOT(ISERROR(SEARCH("T",BC69)))</formula>
    </cfRule>
    <cfRule type="containsText" dxfId="469" priority="342" operator="containsText" text="17">
      <formula>NOT(ISERROR(SEARCH("17",BC69)))</formula>
    </cfRule>
  </conditionalFormatting>
  <conditionalFormatting sqref="BC103:BI104">
    <cfRule type="containsText" dxfId="468" priority="372" operator="containsText" text="17">
      <formula>NOT(ISERROR(SEARCH("17",BC103)))</formula>
    </cfRule>
    <cfRule type="containsText" dxfId="467" priority="373" operator="containsText" text="T">
      <formula>NOT(ISERROR(SEARCH("T",BC103)))</formula>
    </cfRule>
  </conditionalFormatting>
  <conditionalFormatting sqref="BC121:BI121">
    <cfRule type="containsText" dxfId="466" priority="362" operator="containsText" text="17">
      <formula>NOT(ISERROR(SEARCH("17",BC121)))</formula>
    </cfRule>
    <cfRule type="containsText" dxfId="465" priority="363" operator="containsText" text="T">
      <formula>NOT(ISERROR(SEARCH("T",BC121)))</formula>
    </cfRule>
  </conditionalFormatting>
  <conditionalFormatting sqref="BC123:BI123">
    <cfRule type="containsText" dxfId="464" priority="352" operator="containsText" text="17">
      <formula>NOT(ISERROR(SEARCH("17",BC123)))</formula>
    </cfRule>
    <cfRule type="containsText" dxfId="463" priority="353" operator="containsText" text="T">
      <formula>NOT(ISERROR(SEARCH("T",BC123)))</formula>
    </cfRule>
  </conditionalFormatting>
  <conditionalFormatting sqref="BC175:BM181">
    <cfRule type="containsText" dxfId="462" priority="158" operator="containsText" text="17">
      <formula>NOT(ISERROR(SEARCH("17",BC175)))</formula>
    </cfRule>
  </conditionalFormatting>
  <conditionalFormatting sqref="BC199:BR199 BB206:BQ206 BS127">
    <cfRule type="containsText" dxfId="461" priority="5050" operator="containsText" text="17">
      <formula>NOT(ISERROR(SEARCH("17",BB127)))</formula>
    </cfRule>
  </conditionalFormatting>
  <conditionalFormatting sqref="BC175:BZ181">
    <cfRule type="containsText" dxfId="460" priority="167" operator="containsText" text="T">
      <formula>NOT(ISERROR(SEARCH("T",BC175)))</formula>
    </cfRule>
    <cfRule type="containsText" dxfId="459" priority="170" operator="containsText" text="17">
      <formula>NOT(ISERROR(SEARCH("17",BC175)))</formula>
    </cfRule>
  </conditionalFormatting>
  <conditionalFormatting sqref="BC175:CP181">
    <cfRule type="containsText" dxfId="458" priority="181" operator="containsText" text="17">
      <formula>NOT(ISERROR(SEARCH("17",BC175)))</formula>
    </cfRule>
  </conditionalFormatting>
  <conditionalFormatting sqref="BD69:BD71">
    <cfRule type="containsText" dxfId="457" priority="339" operator="containsText" text="17">
      <formula>NOT(ISERROR(SEARCH("17",BD69)))</formula>
    </cfRule>
    <cfRule type="containsText" dxfId="456" priority="340" operator="containsText" text="T">
      <formula>NOT(ISERROR(SEARCH("T",BD69)))</formula>
    </cfRule>
  </conditionalFormatting>
  <conditionalFormatting sqref="BD103:BD104">
    <cfRule type="containsText" dxfId="455" priority="370" operator="containsText" text="T">
      <formula>NOT(ISERROR(SEARCH("T",BD103)))</formula>
    </cfRule>
    <cfRule type="containsText" dxfId="454" priority="369" operator="containsText" text="17">
      <formula>NOT(ISERROR(SEARCH("17",BD103)))</formula>
    </cfRule>
  </conditionalFormatting>
  <conditionalFormatting sqref="BD113:BD116 BH113:BJ116">
    <cfRule type="containsText" dxfId="453" priority="471" operator="containsText" text="T">
      <formula>NOT(ISERROR(SEARCH("T",BD113)))</formula>
    </cfRule>
  </conditionalFormatting>
  <conditionalFormatting sqref="BD121">
    <cfRule type="containsText" dxfId="452" priority="360" operator="containsText" text="T">
      <formula>NOT(ISERROR(SEARCH("T",BD121)))</formula>
    </cfRule>
    <cfRule type="containsText" dxfId="451" priority="359" operator="containsText" text="17">
      <formula>NOT(ISERROR(SEARCH("17",BD121)))</formula>
    </cfRule>
  </conditionalFormatting>
  <conditionalFormatting sqref="BD123">
    <cfRule type="containsText" dxfId="450" priority="349" operator="containsText" text="17">
      <formula>NOT(ISERROR(SEARCH("17",BD123)))</formula>
    </cfRule>
    <cfRule type="containsText" dxfId="449" priority="350" operator="containsText" text="T">
      <formula>NOT(ISERROR(SEARCH("T",BD123)))</formula>
    </cfRule>
  </conditionalFormatting>
  <conditionalFormatting sqref="BD225:BD231">
    <cfRule type="containsText" dxfId="448" priority="493" operator="containsText" text="T">
      <formula>NOT(ISERROR(SEARCH("T",BD225)))</formula>
    </cfRule>
  </conditionalFormatting>
  <conditionalFormatting sqref="BD232:BD234 BH232:BJ234">
    <cfRule type="containsText" dxfId="447" priority="481" operator="containsText" text="T">
      <formula>NOT(ISERROR(SEARCH("T",BD232)))</formula>
    </cfRule>
  </conditionalFormatting>
  <conditionalFormatting sqref="BD35:BE39">
    <cfRule type="containsText" dxfId="446" priority="1049" operator="containsText" text="T">
      <formula>NOT(ISERROR(SEARCH("T",BD35)))</formula>
    </cfRule>
  </conditionalFormatting>
  <conditionalFormatting sqref="BD113:BE116 BH113:BJ116">
    <cfRule type="containsText" dxfId="445" priority="472" operator="containsText" text="17">
      <formula>NOT(ISERROR(SEARCH("17",BD113)))</formula>
    </cfRule>
  </conditionalFormatting>
  <conditionalFormatting sqref="BD232:BE234 BH232:BN234">
    <cfRule type="containsText" dxfId="444" priority="482" operator="containsText" text="17">
      <formula>NOT(ISERROR(SEARCH("17",BD232)))</formula>
    </cfRule>
  </conditionalFormatting>
  <conditionalFormatting sqref="BD41:BG45">
    <cfRule type="containsText" dxfId="443" priority="1042" operator="containsText" text="T">
      <formula>NOT(ISERROR(SEARCH("T",BD41)))</formula>
    </cfRule>
  </conditionalFormatting>
  <conditionalFormatting sqref="BD47:BG47 BE48:BH48">
    <cfRule type="containsText" dxfId="442" priority="1037" operator="containsText" text="T">
      <formula>NOT(ISERROR(SEARCH("T",BD47)))</formula>
    </cfRule>
  </conditionalFormatting>
  <conditionalFormatting sqref="BD67:BJ68">
    <cfRule type="containsText" dxfId="441" priority="313" operator="containsText" text="T">
      <formula>NOT(ISERROR(SEARCH("T",BD67)))</formula>
    </cfRule>
    <cfRule type="containsText" dxfId="440" priority="312" operator="containsText" text="17">
      <formula>NOT(ISERROR(SEARCH("17",BD67)))</formula>
    </cfRule>
  </conditionalFormatting>
  <conditionalFormatting sqref="BD99:BJ102">
    <cfRule type="containsText" dxfId="439" priority="333" operator="containsText" text="T">
      <formula>NOT(ISERROR(SEARCH("T",BD99)))</formula>
    </cfRule>
    <cfRule type="containsText" dxfId="438" priority="332" operator="containsText" text="17">
      <formula>NOT(ISERROR(SEARCH("17",BD99)))</formula>
    </cfRule>
  </conditionalFormatting>
  <conditionalFormatting sqref="BD105:BJ105">
    <cfRule type="containsText" dxfId="437" priority="323" operator="containsText" text="T">
      <formula>NOT(ISERROR(SEARCH("T",BD105)))</formula>
    </cfRule>
    <cfRule type="containsText" dxfId="436" priority="322" operator="containsText" text="17">
      <formula>NOT(ISERROR(SEARCH("17",BD105)))</formula>
    </cfRule>
  </conditionalFormatting>
  <conditionalFormatting sqref="BD54:BN59 AZ59:AZ62 BD60:BI62">
    <cfRule type="containsText" dxfId="435" priority="541" operator="containsText" text="T">
      <formula>NOT(ISERROR(SEARCH("T",AZ54)))</formula>
    </cfRule>
  </conditionalFormatting>
  <conditionalFormatting sqref="BD182:BN188">
    <cfRule type="containsText" dxfId="434" priority="134" operator="containsText" text="17">
      <formula>NOT(ISERROR(SEARCH("17",BD182)))</formula>
    </cfRule>
  </conditionalFormatting>
  <conditionalFormatting sqref="BD182:CA188">
    <cfRule type="containsText" dxfId="433" priority="143" operator="containsText" text="T">
      <formula>NOT(ISERROR(SEARCH("T",BD182)))</formula>
    </cfRule>
    <cfRule type="containsText" dxfId="432" priority="146" operator="containsText" text="17">
      <formula>NOT(ISERROR(SEARCH("17",BD182)))</formula>
    </cfRule>
  </conditionalFormatting>
  <conditionalFormatting sqref="BD182:CP188">
    <cfRule type="containsText" dxfId="431" priority="148" operator="containsText" text="T">
      <formula>NOT(ISERROR(SEARCH("T",BD182)))</formula>
    </cfRule>
    <cfRule type="containsText" dxfId="430" priority="157" operator="containsText" text="17">
      <formula>NOT(ISERROR(SEARCH("17",BD182)))</formula>
    </cfRule>
  </conditionalFormatting>
  <conditionalFormatting sqref="BE15:BE20">
    <cfRule type="containsText" dxfId="429" priority="130" operator="containsText" text="T">
      <formula>NOT(ISERROR(SEARCH("T",BE15)))</formula>
    </cfRule>
  </conditionalFormatting>
  <conditionalFormatting sqref="BE67:BE68">
    <cfRule type="containsText" dxfId="428" priority="309" operator="containsText" text="17">
      <formula>NOT(ISERROR(SEARCH("17",BE67)))</formula>
    </cfRule>
    <cfRule type="containsText" dxfId="427" priority="310" operator="containsText" text="T">
      <formula>NOT(ISERROR(SEARCH("T",BE67)))</formula>
    </cfRule>
  </conditionalFormatting>
  <conditionalFormatting sqref="BE79:BE82 BI79:BK82">
    <cfRule type="containsText" dxfId="426" priority="451" operator="containsText" text="T">
      <formula>NOT(ISERROR(SEARCH("T",BE79)))</formula>
    </cfRule>
  </conditionalFormatting>
  <conditionalFormatting sqref="BE99:BE102">
    <cfRule type="containsText" dxfId="425" priority="330" operator="containsText" text="T">
      <formula>NOT(ISERROR(SEARCH("T",BE99)))</formula>
    </cfRule>
    <cfRule type="containsText" dxfId="424" priority="329" operator="containsText" text="17">
      <formula>NOT(ISERROR(SEARCH("17",BE99)))</formula>
    </cfRule>
  </conditionalFormatting>
  <conditionalFormatting sqref="BE105">
    <cfRule type="containsText" dxfId="423" priority="320" operator="containsText" text="T">
      <formula>NOT(ISERROR(SEARCH("T",BE105)))</formula>
    </cfRule>
    <cfRule type="containsText" dxfId="422" priority="319" operator="containsText" text="17">
      <formula>NOT(ISERROR(SEARCH("17",BE105)))</formula>
    </cfRule>
  </conditionalFormatting>
  <conditionalFormatting sqref="BE113:BE116">
    <cfRule type="containsText" dxfId="421" priority="473" operator="containsText" text="T">
      <formula>NOT(ISERROR(SEARCH("T",BE113)))</formula>
    </cfRule>
  </conditionalFormatting>
  <conditionalFormatting sqref="BE117:BE119 BI117:BK119">
    <cfRule type="containsText" dxfId="420" priority="461" operator="containsText" text="T">
      <formula>NOT(ISERROR(SEARCH("T",BE117)))</formula>
    </cfRule>
  </conditionalFormatting>
  <conditionalFormatting sqref="BE232:BE234">
    <cfRule type="containsText" dxfId="419" priority="483" operator="containsText" text="T">
      <formula>NOT(ISERROR(SEARCH("T",BE232)))</formula>
    </cfRule>
  </conditionalFormatting>
  <conditionalFormatting sqref="BE23:BF27">
    <cfRule type="containsText" dxfId="418" priority="1062" operator="containsText" text="17">
      <formula>NOT(ISERROR(SEARCH("17",BE23)))</formula>
    </cfRule>
  </conditionalFormatting>
  <conditionalFormatting sqref="BE79:BF82 BI79:BK82">
    <cfRule type="containsText" dxfId="417" priority="452" operator="containsText" text="17">
      <formula>NOT(ISERROR(SEARCH("17",BE79)))</formula>
    </cfRule>
  </conditionalFormatting>
  <conditionalFormatting sqref="BE117:BF119 BI117:BP119">
    <cfRule type="containsText" dxfId="416" priority="462" operator="containsText" text="17">
      <formula>NOT(ISERROR(SEARCH("17",BE117)))</formula>
    </cfRule>
  </conditionalFormatting>
  <conditionalFormatting sqref="BE199:BF199 BD206:BE206">
    <cfRule type="containsText" dxfId="415" priority="2142" operator="containsText" text="T">
      <formula>NOT(ISERROR(SEARCH("T",BD199)))</formula>
    </cfRule>
    <cfRule type="containsText" dxfId="414" priority="2141" operator="containsText" text="17">
      <formula>NOT(ISERROR(SEARCH("17",BD199)))</formula>
    </cfRule>
  </conditionalFormatting>
  <conditionalFormatting sqref="BE97:BK98">
    <cfRule type="containsText" dxfId="413" priority="302" operator="containsText" text="17">
      <formula>NOT(ISERROR(SEARCH("17",BE97)))</formula>
    </cfRule>
    <cfRule type="containsText" dxfId="412" priority="303" operator="containsText" text="T">
      <formula>NOT(ISERROR(SEARCH("T",BE97)))</formula>
    </cfRule>
  </conditionalFormatting>
  <conditionalFormatting sqref="BE131:BK137">
    <cfRule type="containsText" dxfId="411" priority="293" operator="containsText" text="T">
      <formula>NOT(ISERROR(SEARCH("T",BE131)))</formula>
    </cfRule>
    <cfRule type="containsText" dxfId="410" priority="292" operator="containsText" text="17">
      <formula>NOT(ISERROR(SEARCH("17",BE131)))</formula>
    </cfRule>
  </conditionalFormatting>
  <conditionalFormatting sqref="BE14:BO14">
    <cfRule type="containsText" dxfId="409" priority="122" operator="containsText" text="17">
      <formula>NOT(ISERROR(SEARCH("17",BE14)))</formula>
    </cfRule>
    <cfRule type="containsText" dxfId="408" priority="123" operator="containsText" text="T">
      <formula>NOT(ISERROR(SEARCH("T",BE14)))</formula>
    </cfRule>
  </conditionalFormatting>
  <conditionalFormatting sqref="BE15:BY20 BE14:BM14">
    <cfRule type="containsText" dxfId="407" priority="129" operator="containsText" text="17">
      <formula>NOT(ISERROR(SEARCH("17",BE14)))</formula>
    </cfRule>
  </conditionalFormatting>
  <conditionalFormatting sqref="BF35:BF40">
    <cfRule type="containsText" dxfId="406" priority="118" operator="containsText" text="T">
      <formula>NOT(ISERROR(SEARCH("T",BF35)))</formula>
    </cfRule>
  </conditionalFormatting>
  <conditionalFormatting sqref="BF79:BF82">
    <cfRule type="containsText" dxfId="405" priority="453" operator="containsText" text="T">
      <formula>NOT(ISERROR(SEARCH("T",BF79)))</formula>
    </cfRule>
  </conditionalFormatting>
  <conditionalFormatting sqref="BF93:BF96 AZ94:BB96 BG94:BI96 BS97 BM231:BN234">
    <cfRule type="containsText" dxfId="404" priority="8576" operator="containsText" text="T">
      <formula>NOT(ISERROR(SEARCH("T",AZ93)))</formula>
    </cfRule>
  </conditionalFormatting>
  <conditionalFormatting sqref="BF93:BF96 AZ94:BB96 BS97 BG94:BI96 BM231:BN234">
    <cfRule type="containsText" dxfId="403" priority="8575" operator="containsText" text="17">
      <formula>NOT(ISERROR(SEARCH("17",AZ93)))</formula>
    </cfRule>
  </conditionalFormatting>
  <conditionalFormatting sqref="BF97:BF98">
    <cfRule type="containsText" dxfId="402" priority="300" operator="containsText" text="T">
      <formula>NOT(ISERROR(SEARCH("T",BF97)))</formula>
    </cfRule>
    <cfRule type="containsText" dxfId="401" priority="299" operator="containsText" text="17">
      <formula>NOT(ISERROR(SEARCH("17",BF97)))</formula>
    </cfRule>
  </conditionalFormatting>
  <conditionalFormatting sqref="BF117:BF119">
    <cfRule type="containsText" dxfId="400" priority="463" operator="containsText" text="T">
      <formula>NOT(ISERROR(SEARCH("T",BF117)))</formula>
    </cfRule>
  </conditionalFormatting>
  <conditionalFormatting sqref="BF131:BF137">
    <cfRule type="containsText" dxfId="399" priority="289" operator="containsText" text="17">
      <formula>NOT(ISERROR(SEARCH("17",BF131)))</formula>
    </cfRule>
    <cfRule type="containsText" dxfId="398" priority="290" operator="containsText" text="T">
      <formula>NOT(ISERROR(SEARCH("T",BF131)))</formula>
    </cfRule>
  </conditionalFormatting>
  <conditionalFormatting sqref="BF138:BL144">
    <cfRule type="containsText" dxfId="397" priority="283" operator="containsText" text="T">
      <formula>NOT(ISERROR(SEARCH("T",BF138)))</formula>
    </cfRule>
    <cfRule type="containsText" dxfId="396" priority="282" operator="containsText" text="17">
      <formula>NOT(ISERROR(SEARCH("17",BF138)))</formula>
    </cfRule>
  </conditionalFormatting>
  <conditionalFormatting sqref="BF34:BP34">
    <cfRule type="containsText" dxfId="395" priority="110" operator="containsText" text="17">
      <formula>NOT(ISERROR(SEARCH("17",BF34)))</formula>
    </cfRule>
    <cfRule type="containsText" dxfId="394" priority="111" operator="containsText" text="T">
      <formula>NOT(ISERROR(SEARCH("T",BF34)))</formula>
    </cfRule>
  </conditionalFormatting>
  <conditionalFormatting sqref="BF35:BZ40 BF34:BN34">
    <cfRule type="containsText" dxfId="393" priority="117" operator="containsText" text="17">
      <formula>NOT(ISERROR(SEARCH("17",BF34)))</formula>
    </cfRule>
  </conditionalFormatting>
  <conditionalFormatting sqref="BF50:CA52 BF53:BN53">
    <cfRule type="containsText" dxfId="392" priority="1032" operator="containsText" text="T">
      <formula>NOT(ISERROR(SEARCH("T",BF50)))</formula>
    </cfRule>
  </conditionalFormatting>
  <conditionalFormatting sqref="BG22:BG27">
    <cfRule type="containsText" dxfId="391" priority="106" operator="containsText" text="T">
      <formula>NOT(ISERROR(SEARCH("T",BG22)))</formula>
    </cfRule>
  </conditionalFormatting>
  <conditionalFormatting sqref="BG41:BG45">
    <cfRule type="containsText" dxfId="390" priority="1043" operator="containsText" text="17">
      <formula>NOT(ISERROR(SEARCH("17",BG41)))</formula>
    </cfRule>
  </conditionalFormatting>
  <conditionalFormatting sqref="BG47">
    <cfRule type="containsText" dxfId="389" priority="1041" operator="containsText" text="17">
      <formula>NOT(ISERROR(SEARCH("17",BG47)))</formula>
    </cfRule>
  </conditionalFormatting>
  <conditionalFormatting sqref="BG76:BG78 BK76:BM78">
    <cfRule type="containsText" dxfId="388" priority="426" operator="containsText" text="T">
      <formula>NOT(ISERROR(SEARCH("T",BG76)))</formula>
    </cfRule>
  </conditionalFormatting>
  <conditionalFormatting sqref="BG86 BG93:BI93">
    <cfRule type="containsText" dxfId="387" priority="4101" operator="containsText" text="T">
      <formula>NOT(ISERROR(SEARCH("T",BG86)))</formula>
    </cfRule>
    <cfRule type="containsText" dxfId="386" priority="4100" operator="containsText" text="17">
      <formula>NOT(ISERROR(SEARCH("17",BG86)))</formula>
    </cfRule>
  </conditionalFormatting>
  <conditionalFormatting sqref="BG107:BG112 BK107:BM112">
    <cfRule type="containsText" dxfId="385" priority="436" operator="containsText" text="T">
      <formula>NOT(ISERROR(SEARCH("T",BG107)))</formula>
    </cfRule>
  </conditionalFormatting>
  <conditionalFormatting sqref="BG138:BG144">
    <cfRule type="containsText" dxfId="384" priority="279" operator="containsText" text="17">
      <formula>NOT(ISERROR(SEARCH("17",BG138)))</formula>
    </cfRule>
    <cfRule type="containsText" dxfId="383" priority="280" operator="containsText" text="T">
      <formula>NOT(ISERROR(SEARCH("T",BG138)))</formula>
    </cfRule>
  </conditionalFormatting>
  <conditionalFormatting sqref="BG30:BH32 BG33:BZ33">
    <cfRule type="containsText" dxfId="382" priority="1056" operator="containsText" text="17">
      <formula>NOT(ISERROR(SEARCH("17",BG30)))</formula>
    </cfRule>
  </conditionalFormatting>
  <conditionalFormatting sqref="BG48:BH48">
    <cfRule type="containsText" dxfId="381" priority="1038" operator="containsText" text="17">
      <formula>NOT(ISERROR(SEARCH("17",BG48)))</formula>
    </cfRule>
  </conditionalFormatting>
  <conditionalFormatting sqref="BG76:BH78 BK76:BM78">
    <cfRule type="containsText" dxfId="380" priority="427" operator="containsText" text="17">
      <formula>NOT(ISERROR(SEARCH("17",BG76)))</formula>
    </cfRule>
  </conditionalFormatting>
  <conditionalFormatting sqref="BG107:BH112 BK107:BM112">
    <cfRule type="containsText" dxfId="379" priority="437" operator="containsText" text="17">
      <formula>NOT(ISERROR(SEARCH("17",BG107)))</formula>
    </cfRule>
  </conditionalFormatting>
  <conditionalFormatting sqref="BG145:BM151">
    <cfRule type="containsText" dxfId="378" priority="272" operator="containsText" text="17">
      <formula>NOT(ISERROR(SEARCH("17",BG145)))</formula>
    </cfRule>
    <cfRule type="containsText" dxfId="377" priority="273" operator="containsText" text="T">
      <formula>NOT(ISERROR(SEARCH("T",BG145)))</formula>
    </cfRule>
  </conditionalFormatting>
  <conditionalFormatting sqref="BG21:BQ21">
    <cfRule type="containsText" dxfId="376" priority="98" operator="containsText" text="17">
      <formula>NOT(ISERROR(SEARCH("17",BG21)))</formula>
    </cfRule>
    <cfRule type="containsText" dxfId="375" priority="99" operator="containsText" text="T">
      <formula>NOT(ISERROR(SEARCH("T",BG21)))</formula>
    </cfRule>
  </conditionalFormatting>
  <conditionalFormatting sqref="BG50:BQ52">
    <cfRule type="containsText" dxfId="374" priority="1036" operator="containsText" text="17">
      <formula>NOT(ISERROR(SEARCH("17",BG50)))</formula>
    </cfRule>
  </conditionalFormatting>
  <conditionalFormatting sqref="BG51:BS52 BG53:BN59 BG60:BI66">
    <cfRule type="containsText" dxfId="373" priority="1033" operator="containsText" text="17">
      <formula>NOT(ISERROR(SEARCH("17",BG51)))</formula>
    </cfRule>
  </conditionalFormatting>
  <conditionalFormatting sqref="BG22:CA27 BG21:BO21">
    <cfRule type="containsText" dxfId="372" priority="105" operator="containsText" text="17">
      <formula>NOT(ISERROR(SEARCH("17",BG21)))</formula>
    </cfRule>
  </conditionalFormatting>
  <conditionalFormatting sqref="BH42:BH47">
    <cfRule type="containsText" dxfId="371" priority="94" operator="containsText" text="T">
      <formula>NOT(ISERROR(SEARCH("T",BH42)))</formula>
    </cfRule>
  </conditionalFormatting>
  <conditionalFormatting sqref="BH72:BH75 BL72:BN75">
    <cfRule type="containsText" dxfId="370" priority="416" operator="containsText" text="T">
      <formula>NOT(ISERROR(SEARCH("T",BH72)))</formula>
    </cfRule>
  </conditionalFormatting>
  <conditionalFormatting sqref="BH76:BH78">
    <cfRule type="containsText" dxfId="369" priority="428" operator="containsText" text="T">
      <formula>NOT(ISERROR(SEARCH("T",BH76)))</formula>
    </cfRule>
  </conditionalFormatting>
  <conditionalFormatting sqref="BH106 BL106:BN106">
    <cfRule type="containsText" dxfId="368" priority="406" operator="containsText" text="T">
      <formula>NOT(ISERROR(SEARCH("T",BH106)))</formula>
    </cfRule>
  </conditionalFormatting>
  <conditionalFormatting sqref="BH107:BH112">
    <cfRule type="containsText" dxfId="367" priority="438" operator="containsText" text="T">
      <formula>NOT(ISERROR(SEARCH("T",BH107)))</formula>
    </cfRule>
  </conditionalFormatting>
  <conditionalFormatting sqref="BH120 BL120:BN120">
    <cfRule type="containsText" dxfId="366" priority="386" operator="containsText" text="T">
      <formula>NOT(ISERROR(SEARCH("T",BH120)))</formula>
    </cfRule>
  </conditionalFormatting>
  <conditionalFormatting sqref="BH122 BL122:BO122">
    <cfRule type="containsText" dxfId="365" priority="376" operator="containsText" text="T">
      <formula>NOT(ISERROR(SEARCH("T",BH122)))</formula>
    </cfRule>
  </conditionalFormatting>
  <conditionalFormatting sqref="BH124:BH126 BL124:BN126">
    <cfRule type="containsText" dxfId="364" priority="396" operator="containsText" text="T">
      <formula>NOT(ISERROR(SEARCH("T",BH124)))</formula>
    </cfRule>
  </conditionalFormatting>
  <conditionalFormatting sqref="BH145:BH151">
    <cfRule type="containsText" dxfId="363" priority="269" operator="containsText" text="17">
      <formula>NOT(ISERROR(SEARCH("17",BH145)))</formula>
    </cfRule>
    <cfRule type="containsText" dxfId="362" priority="270" operator="containsText" text="T">
      <formula>NOT(ISERROR(SEARCH("T",BH145)))</formula>
    </cfRule>
  </conditionalFormatting>
  <conditionalFormatting sqref="BH72:BI75 BL72:BN75">
    <cfRule type="containsText" dxfId="361" priority="417" operator="containsText" text="17">
      <formula>NOT(ISERROR(SEARCH("17",BH72)))</formula>
    </cfRule>
  </conditionalFormatting>
  <conditionalFormatting sqref="BH106:BI106 BL106:CJ106">
    <cfRule type="containsText" dxfId="360" priority="407" operator="containsText" text="17">
      <formula>NOT(ISERROR(SEARCH("17",BH106)))</formula>
    </cfRule>
  </conditionalFormatting>
  <conditionalFormatting sqref="BH120:BI120 BL120:BO120">
    <cfRule type="containsText" dxfId="359" priority="387" operator="containsText" text="17">
      <formula>NOT(ISERROR(SEARCH("17",BH120)))</formula>
    </cfRule>
  </conditionalFormatting>
  <conditionalFormatting sqref="BH122:BI122 BL122:BO122">
    <cfRule type="containsText" dxfId="358" priority="377" operator="containsText" text="17">
      <formula>NOT(ISERROR(SEARCH("17",BH122)))</formula>
    </cfRule>
  </conditionalFormatting>
  <conditionalFormatting sqref="BH124:BI126 BL124:BO126">
    <cfRule type="containsText" dxfId="357" priority="397" operator="containsText" text="17">
      <formula>NOT(ISERROR(SEARCH("17",BH124)))</formula>
    </cfRule>
  </conditionalFormatting>
  <conditionalFormatting sqref="BH214:BI216">
    <cfRule type="containsText" dxfId="356" priority="5856" operator="containsText" text="17">
      <formula>NOT(ISERROR(SEARCH("17",BH214)))</formula>
    </cfRule>
    <cfRule type="containsText" dxfId="355" priority="5857" operator="containsText" text="T">
      <formula>NOT(ISERROR(SEARCH("T",BH214)))</formula>
    </cfRule>
  </conditionalFormatting>
  <conditionalFormatting sqref="BH84:BK89">
    <cfRule type="containsText" dxfId="354" priority="1009" operator="containsText" text="17">
      <formula>NOT(ISERROR(SEARCH("17",BH84)))</formula>
    </cfRule>
  </conditionalFormatting>
  <conditionalFormatting sqref="BH152:BN158">
    <cfRule type="containsText" dxfId="353" priority="262" operator="containsText" text="17">
      <formula>NOT(ISERROR(SEARCH("17",BH152)))</formula>
    </cfRule>
    <cfRule type="containsText" dxfId="352" priority="263" operator="containsText" text="T">
      <formula>NOT(ISERROR(SEARCH("T",BH152)))</formula>
    </cfRule>
  </conditionalFormatting>
  <conditionalFormatting sqref="BH41:BR41">
    <cfRule type="containsText" dxfId="351" priority="87" operator="containsText" text="T">
      <formula>NOT(ISERROR(SEARCH("T",BH41)))</formula>
    </cfRule>
    <cfRule type="containsText" dxfId="350" priority="86" operator="containsText" text="17">
      <formula>NOT(ISERROR(SEARCH("17",BH41)))</formula>
    </cfRule>
  </conditionalFormatting>
  <conditionalFormatting sqref="BH42:CB47 BH41:BP41">
    <cfRule type="containsText" dxfId="349" priority="93" operator="containsText" text="17">
      <formula>NOT(ISERROR(SEARCH("17",BH41)))</formula>
    </cfRule>
  </conditionalFormatting>
  <conditionalFormatting sqref="BI28:BI32">
    <cfRule type="containsText" dxfId="348" priority="79" operator="containsText" text="T">
      <formula>NOT(ISERROR(SEARCH("T",BI28)))</formula>
    </cfRule>
  </conditionalFormatting>
  <conditionalFormatting sqref="BI48:BI49">
    <cfRule type="containsText" dxfId="347" priority="74" operator="containsText" text="T">
      <formula>NOT(ISERROR(SEARCH("T",BI48)))</formula>
    </cfRule>
  </conditionalFormatting>
  <conditionalFormatting sqref="BI69:BI71 BM69:BO71">
    <cfRule type="containsText" dxfId="346" priority="336" operator="containsText" text="T">
      <formula>NOT(ISERROR(SEARCH("T",BI69)))</formula>
    </cfRule>
  </conditionalFormatting>
  <conditionalFormatting sqref="BI72:BI75">
    <cfRule type="containsText" dxfId="345" priority="418" operator="containsText" text="T">
      <formula>NOT(ISERROR(SEARCH("T",BI72)))</formula>
    </cfRule>
  </conditionalFormatting>
  <conditionalFormatting sqref="BI103:BI104 BM103:BO104">
    <cfRule type="containsText" dxfId="344" priority="366" operator="containsText" text="T">
      <formula>NOT(ISERROR(SEARCH("T",BI103)))</formula>
    </cfRule>
  </conditionalFormatting>
  <conditionalFormatting sqref="BI106">
    <cfRule type="containsText" dxfId="343" priority="408" operator="containsText" text="T">
      <formula>NOT(ISERROR(SEARCH("T",BI106)))</formula>
    </cfRule>
  </conditionalFormatting>
  <conditionalFormatting sqref="BI120">
    <cfRule type="containsText" dxfId="342" priority="388" operator="containsText" text="T">
      <formula>NOT(ISERROR(SEARCH("T",BI120)))</formula>
    </cfRule>
  </conditionalFormatting>
  <conditionalFormatting sqref="BI121 BM121:BO121">
    <cfRule type="containsText" dxfId="341" priority="356" operator="containsText" text="T">
      <formula>NOT(ISERROR(SEARCH("T",BI121)))</formula>
    </cfRule>
  </conditionalFormatting>
  <conditionalFormatting sqref="BI122">
    <cfRule type="containsText" dxfId="340" priority="378" operator="containsText" text="T">
      <formula>NOT(ISERROR(SEARCH("T",BI122)))</formula>
    </cfRule>
  </conditionalFormatting>
  <conditionalFormatting sqref="BI123 BM123:BO123">
    <cfRule type="containsText" dxfId="339" priority="346" operator="containsText" text="T">
      <formula>NOT(ISERROR(SEARCH("T",BI123)))</formula>
    </cfRule>
  </conditionalFormatting>
  <conditionalFormatting sqref="BI124:BI126">
    <cfRule type="containsText" dxfId="338" priority="398" operator="containsText" text="T">
      <formula>NOT(ISERROR(SEARCH("T",BI124)))</formula>
    </cfRule>
  </conditionalFormatting>
  <conditionalFormatting sqref="BI152:BI158">
    <cfRule type="containsText" dxfId="337" priority="259" operator="containsText" text="17">
      <formula>NOT(ISERROR(SEARCH("17",BI152)))</formula>
    </cfRule>
    <cfRule type="containsText" dxfId="336" priority="260" operator="containsText" text="T">
      <formula>NOT(ISERROR(SEARCH("T",BI152)))</formula>
    </cfRule>
  </conditionalFormatting>
  <conditionalFormatting sqref="BI69:BJ71 BM69:BO71">
    <cfRule type="containsText" dxfId="335" priority="337" operator="containsText" text="17">
      <formula>NOT(ISERROR(SEARCH("17",BI69)))</formula>
    </cfRule>
  </conditionalFormatting>
  <conditionalFormatting sqref="BI103:BJ104 BM103:BO104">
    <cfRule type="containsText" dxfId="334" priority="367" operator="containsText" text="17">
      <formula>NOT(ISERROR(SEARCH("17",BI103)))</formula>
    </cfRule>
  </conditionalFormatting>
  <conditionalFormatting sqref="BI121:BJ121 BM121:BO121">
    <cfRule type="containsText" dxfId="333" priority="357" operator="containsText" text="17">
      <formula>NOT(ISERROR(SEARCH("17",BI121)))</formula>
    </cfRule>
  </conditionalFormatting>
  <conditionalFormatting sqref="BI123:BJ123 BM123:BO123">
    <cfRule type="containsText" dxfId="332" priority="347" operator="containsText" text="17">
      <formula>NOT(ISERROR(SEARCH("17",BI123)))</formula>
    </cfRule>
  </conditionalFormatting>
  <conditionalFormatting sqref="BI214:BJ216">
    <cfRule type="containsText" dxfId="331" priority="5863" operator="containsText" text="T">
      <formula>NOT(ISERROR(SEARCH("T",BI214)))</formula>
    </cfRule>
    <cfRule type="containsText" dxfId="330" priority="5862" operator="containsText" text="17">
      <formula>NOT(ISERROR(SEARCH("17",BI214)))</formula>
    </cfRule>
  </conditionalFormatting>
  <conditionalFormatting sqref="BI218:BL220 BL221:BM223 BM224:BM227 BM228:BN230">
    <cfRule type="containsText" dxfId="329" priority="5627" operator="containsText" text="T">
      <formula>NOT(ISERROR(SEARCH("T",BI218)))</formula>
    </cfRule>
  </conditionalFormatting>
  <conditionalFormatting sqref="BI159:BO165">
    <cfRule type="containsText" dxfId="328" priority="253" operator="containsText" text="T">
      <formula>NOT(ISERROR(SEARCH("T",BI159)))</formula>
    </cfRule>
    <cfRule type="containsText" dxfId="327" priority="252" operator="containsText" text="17">
      <formula>NOT(ISERROR(SEARCH("17",BI159)))</formula>
    </cfRule>
  </conditionalFormatting>
  <conditionalFormatting sqref="BI28:CC32 CF28:CF32">
    <cfRule type="containsText" dxfId="326" priority="76" operator="containsText" text="T">
      <formula>NOT(ISERROR(SEARCH("T",BI28)))</formula>
    </cfRule>
  </conditionalFormatting>
  <conditionalFormatting sqref="BI28:CC32">
    <cfRule type="containsText" dxfId="325" priority="78" operator="containsText" text="17">
      <formula>NOT(ISERROR(SEARCH("17",BI28)))</formula>
    </cfRule>
  </conditionalFormatting>
  <conditionalFormatting sqref="BI48:CC49 CF48:CF49">
    <cfRule type="containsText" dxfId="324" priority="71" operator="containsText" text="T">
      <formula>NOT(ISERROR(SEARCH("T",BI48)))</formula>
    </cfRule>
  </conditionalFormatting>
  <conditionalFormatting sqref="BI48:CC49">
    <cfRule type="containsText" dxfId="323" priority="73" operator="containsText" text="17">
      <formula>NOT(ISERROR(SEARCH("17",BI48)))</formula>
    </cfRule>
  </conditionalFormatting>
  <conditionalFormatting sqref="BJ60:BJ68">
    <cfRule type="containsText" dxfId="322" priority="69" operator="containsText" text="T">
      <formula>NOT(ISERROR(SEARCH("T",BJ60)))</formula>
    </cfRule>
  </conditionalFormatting>
  <conditionalFormatting sqref="BJ69:BJ71">
    <cfRule type="containsText" dxfId="321" priority="338" operator="containsText" text="T">
      <formula>NOT(ISERROR(SEARCH("T",BJ69)))</formula>
    </cfRule>
  </conditionalFormatting>
  <conditionalFormatting sqref="BJ99:BJ102 BN99:BP102">
    <cfRule type="containsText" dxfId="320" priority="326" operator="containsText" text="T">
      <formula>NOT(ISERROR(SEARCH("T",BJ99)))</formula>
    </cfRule>
  </conditionalFormatting>
  <conditionalFormatting sqref="BJ103:BJ104">
    <cfRule type="containsText" dxfId="319" priority="368" operator="containsText" text="T">
      <formula>NOT(ISERROR(SEARCH("T",BJ103)))</formula>
    </cfRule>
  </conditionalFormatting>
  <conditionalFormatting sqref="BJ105 BN105:BP105">
    <cfRule type="containsText" dxfId="318" priority="316" operator="containsText" text="T">
      <formula>NOT(ISERROR(SEARCH("T",BJ105)))</formula>
    </cfRule>
  </conditionalFormatting>
  <conditionalFormatting sqref="BJ121">
    <cfRule type="containsText" dxfId="317" priority="358" operator="containsText" text="T">
      <formula>NOT(ISERROR(SEARCH("T",BJ121)))</formula>
    </cfRule>
  </conditionalFormatting>
  <conditionalFormatting sqref="BJ123">
    <cfRule type="containsText" dxfId="316" priority="348" operator="containsText" text="T">
      <formula>NOT(ISERROR(SEARCH("T",BJ123)))</formula>
    </cfRule>
  </conditionalFormatting>
  <conditionalFormatting sqref="BJ159:BJ165">
    <cfRule type="containsText" dxfId="315" priority="249" operator="containsText" text="17">
      <formula>NOT(ISERROR(SEARCH("17",BJ159)))</formula>
    </cfRule>
    <cfRule type="containsText" dxfId="314" priority="250" operator="containsText" text="T">
      <formula>NOT(ISERROR(SEARCH("T",BJ159)))</formula>
    </cfRule>
  </conditionalFormatting>
  <conditionalFormatting sqref="BJ199 BI206">
    <cfRule type="containsText" dxfId="313" priority="5048" operator="containsText" text="17">
      <formula>NOT(ISERROR(SEARCH("17",BI199)))</formula>
    </cfRule>
    <cfRule type="containsText" dxfId="312" priority="5049" operator="containsText" text="T">
      <formula>NOT(ISERROR(SEARCH("T",BI199)))</formula>
    </cfRule>
  </conditionalFormatting>
  <conditionalFormatting sqref="BJ99:BK102 BN99:BP102">
    <cfRule type="containsText" dxfId="311" priority="327" operator="containsText" text="17">
      <formula>NOT(ISERROR(SEARCH("17",BJ99)))</formula>
    </cfRule>
  </conditionalFormatting>
  <conditionalFormatting sqref="BJ105:BK105 BN105:CJ105">
    <cfRule type="containsText" dxfId="310" priority="317" operator="containsText" text="17">
      <formula>NOT(ISERROR(SEARCH("17",BJ105)))</formula>
    </cfRule>
  </conditionalFormatting>
  <conditionalFormatting sqref="BJ228:BN231 BK232:BN234">
    <cfRule type="containsText" dxfId="309" priority="5687" operator="containsText" text="T">
      <formula>NOT(ISERROR(SEARCH("T",BJ228)))</formula>
    </cfRule>
    <cfRule type="containsText" dxfId="308" priority="5690" operator="containsText" text="17">
      <formula>NOT(ISERROR(SEARCH("17",BJ228)))</formula>
    </cfRule>
    <cfRule type="containsText" dxfId="307" priority="5691" operator="containsText" text="T">
      <formula>NOT(ISERROR(SEARCH("T",BJ228)))</formula>
    </cfRule>
  </conditionalFormatting>
  <conditionalFormatting sqref="BJ228:BN231">
    <cfRule type="containsText" dxfId="306" priority="5686" operator="containsText" text="17">
      <formula>NOT(ISERROR(SEARCH("17",BJ228)))</formula>
    </cfRule>
  </conditionalFormatting>
  <conditionalFormatting sqref="BJ207:BP213">
    <cfRule type="containsText" dxfId="305" priority="242" operator="containsText" text="17">
      <formula>NOT(ISERROR(SEARCH("17",BJ207)))</formula>
    </cfRule>
  </conditionalFormatting>
  <conditionalFormatting sqref="BJ60:CD66 CG60:CG66">
    <cfRule type="containsText" dxfId="304" priority="66" operator="containsText" text="T">
      <formula>NOT(ISERROR(SEARCH("T",BJ60)))</formula>
    </cfRule>
  </conditionalFormatting>
  <conditionalFormatting sqref="BJ60:CD66">
    <cfRule type="containsText" dxfId="303" priority="68" operator="containsText" text="17">
      <formula>NOT(ISERROR(SEARCH("17",BJ60)))</formula>
    </cfRule>
  </conditionalFormatting>
  <conditionalFormatting sqref="BK67:BK68">
    <cfRule type="containsText" dxfId="302" priority="308" operator="containsText" text="T">
      <formula>NOT(ISERROR(SEARCH("T",BK67)))</formula>
    </cfRule>
  </conditionalFormatting>
  <conditionalFormatting sqref="BK85:BK89">
    <cfRule type="containsText" dxfId="301" priority="1010" operator="containsText" text="17">
      <formula>NOT(ISERROR(SEARCH("17",BK85)))</formula>
    </cfRule>
  </conditionalFormatting>
  <conditionalFormatting sqref="BK90:BK98">
    <cfRule type="containsText" dxfId="300" priority="64" operator="containsText" text="T">
      <formula>NOT(ISERROR(SEARCH("T",BK90)))</formula>
    </cfRule>
  </conditionalFormatting>
  <conditionalFormatting sqref="BK99:BK102">
    <cfRule type="containsText" dxfId="299" priority="328" operator="containsText" text="T">
      <formula>NOT(ISERROR(SEARCH("T",BK99)))</formula>
    </cfRule>
  </conditionalFormatting>
  <conditionalFormatting sqref="BK105">
    <cfRule type="containsText" dxfId="298" priority="318" operator="containsText" text="T">
      <formula>NOT(ISERROR(SEARCH("T",BK105)))</formula>
    </cfRule>
  </conditionalFormatting>
  <conditionalFormatting sqref="BK131:BK137 BO131:BQ137">
    <cfRule type="containsText" dxfId="297" priority="286" operator="containsText" text="T">
      <formula>NOT(ISERROR(SEARCH("T",BK131)))</formula>
    </cfRule>
  </conditionalFormatting>
  <conditionalFormatting sqref="BK199 BJ206">
    <cfRule type="containsText" dxfId="296" priority="5064" operator="containsText" text="17">
      <formula>NOT(ISERROR(SEARCH("17",BJ199)))</formula>
    </cfRule>
    <cfRule type="containsText" dxfId="295" priority="5065" operator="containsText" text="T">
      <formula>NOT(ISERROR(SEARCH("T",BJ199)))</formula>
    </cfRule>
  </conditionalFormatting>
  <conditionalFormatting sqref="BK207:BK213">
    <cfRule type="containsText" dxfId="294" priority="239" operator="containsText" text="17">
      <formula>NOT(ISERROR(SEARCH("17",BK207)))</formula>
    </cfRule>
    <cfRule type="containsText" dxfId="293" priority="240" operator="containsText" text="T">
      <formula>NOT(ISERROR(SEARCH("T",BK207)))</formula>
    </cfRule>
  </conditionalFormatting>
  <conditionalFormatting sqref="BK217:BK223 BL224:BL230">
    <cfRule type="containsText" dxfId="292" priority="5614" operator="containsText" text="17">
      <formula>NOT(ISERROR(SEARCH("17",BK217)))</formula>
    </cfRule>
    <cfRule type="containsText" dxfId="291" priority="5615" operator="containsText" text="T">
      <formula>NOT(ISERROR(SEARCH("T",BK217)))</formula>
    </cfRule>
  </conditionalFormatting>
  <conditionalFormatting sqref="BK131:BL137 BO131:BQ137">
    <cfRule type="containsText" dxfId="290" priority="287" operator="containsText" text="17">
      <formula>NOT(ISERROR(SEARCH("17",BK131)))</formula>
    </cfRule>
  </conditionalFormatting>
  <conditionalFormatting sqref="BK217:BL217">
    <cfRule type="containsText" dxfId="289" priority="5313" operator="containsText" text="T">
      <formula>NOT(ISERROR(SEARCH("T",BK217)))</formula>
    </cfRule>
    <cfRule type="containsText" dxfId="288" priority="5312" operator="containsText" text="17">
      <formula>NOT(ISERROR(SEARCH("17",BK217)))</formula>
    </cfRule>
  </conditionalFormatting>
  <conditionalFormatting sqref="BK218:BL220 BK221:BM223">
    <cfRule type="containsText" dxfId="287" priority="5620" operator="containsText" text="17">
      <formula>NOT(ISERROR(SEARCH("17",BK218)))</formula>
    </cfRule>
    <cfRule type="containsText" dxfId="286" priority="5621" operator="containsText" text="T">
      <formula>NOT(ISERROR(SEARCH("T",BK218)))</formula>
    </cfRule>
  </conditionalFormatting>
  <conditionalFormatting sqref="BK200:BQ206">
    <cfRule type="containsText" dxfId="285" priority="229" operator="containsText" text="17">
      <formula>NOT(ISERROR(SEARCH("17",BK200)))</formula>
    </cfRule>
    <cfRule type="containsText" dxfId="284" priority="230" operator="containsText" text="T">
      <formula>NOT(ISERROR(SEARCH("T",BK200)))</formula>
    </cfRule>
  </conditionalFormatting>
  <conditionalFormatting sqref="BK90:CE96 CH90:CH96">
    <cfRule type="containsText" dxfId="283" priority="61" operator="containsText" text="T">
      <formula>NOT(ISERROR(SEARCH("T",BK90)))</formula>
    </cfRule>
  </conditionalFormatting>
  <conditionalFormatting sqref="BK90:CE96">
    <cfRule type="containsText" dxfId="282" priority="63" operator="containsText" text="17">
      <formula>NOT(ISERROR(SEARCH("17",BK90)))</formula>
    </cfRule>
  </conditionalFormatting>
  <conditionalFormatting sqref="BL79">
    <cfRule type="containsText" dxfId="281" priority="3869" operator="containsText" text="T">
      <formula>NOT(ISERROR(SEARCH("T",BL79)))</formula>
    </cfRule>
    <cfRule type="containsText" dxfId="280" priority="3868" operator="containsText" text="17">
      <formula>NOT(ISERROR(SEARCH("17",BL79)))</formula>
    </cfRule>
  </conditionalFormatting>
  <conditionalFormatting sqref="BL83:BL89">
    <cfRule type="containsText" dxfId="279" priority="59" operator="containsText" text="T">
      <formula>NOT(ISERROR(SEARCH("T",BL83)))</formula>
    </cfRule>
  </conditionalFormatting>
  <conditionalFormatting sqref="BL97:BL98">
    <cfRule type="containsText" dxfId="278" priority="298" operator="containsText" text="T">
      <formula>NOT(ISERROR(SEARCH("T",BL97)))</formula>
    </cfRule>
  </conditionalFormatting>
  <conditionalFormatting sqref="BL131:BL137">
    <cfRule type="containsText" dxfId="277" priority="288" operator="containsText" text="T">
      <formula>NOT(ISERROR(SEARCH("T",BL131)))</formula>
    </cfRule>
  </conditionalFormatting>
  <conditionalFormatting sqref="BL138:BL144 BP138:BR144">
    <cfRule type="containsText" dxfId="276" priority="276" operator="containsText" text="T">
      <formula>NOT(ISERROR(SEARCH("T",BL138)))</formula>
    </cfRule>
  </conditionalFormatting>
  <conditionalFormatting sqref="BL200:BL206">
    <cfRule type="containsText" dxfId="275" priority="227" operator="containsText" text="17">
      <formula>NOT(ISERROR(SEARCH("17",BL200)))</formula>
    </cfRule>
    <cfRule type="containsText" dxfId="274" priority="228" operator="containsText" text="T">
      <formula>NOT(ISERROR(SEARCH("T",BL200)))</formula>
    </cfRule>
  </conditionalFormatting>
  <conditionalFormatting sqref="BL217">
    <cfRule type="containsText" dxfId="273" priority="5315" operator="containsText" text="T">
      <formula>NOT(ISERROR(SEARCH("T",BL217)))</formula>
    </cfRule>
    <cfRule type="containsText" dxfId="272" priority="5314" operator="containsText" text="17">
      <formula>NOT(ISERROR(SEARCH("17",BL217)))</formula>
    </cfRule>
  </conditionalFormatting>
  <conditionalFormatting sqref="BL218:BL220 BL221:BM223 BM224:BM227 BM228:BN230">
    <cfRule type="containsText" dxfId="271" priority="5626" operator="containsText" text="17">
      <formula>NOT(ISERROR(SEARCH("17",BL218)))</formula>
    </cfRule>
  </conditionalFormatting>
  <conditionalFormatting sqref="BL138:BM144 BP138:BR144">
    <cfRule type="containsText" dxfId="270" priority="277" operator="containsText" text="17">
      <formula>NOT(ISERROR(SEARCH("17",BL138)))</formula>
    </cfRule>
  </conditionalFormatting>
  <conditionalFormatting sqref="BL199:BM199 BK206:BL206">
    <cfRule type="containsText" dxfId="269" priority="2139" operator="containsText" text="17">
      <formula>NOT(ISERROR(SEARCH("17",BK199)))</formula>
    </cfRule>
    <cfRule type="containsText" dxfId="268" priority="2140" operator="containsText" text="T">
      <formula>NOT(ISERROR(SEARCH("T",BK199)))</formula>
    </cfRule>
  </conditionalFormatting>
  <conditionalFormatting sqref="BL224:BM227 BL228:BN230">
    <cfRule type="containsText" dxfId="267" priority="5619" operator="containsText" text="T">
      <formula>NOT(ISERROR(SEARCH("T",BL224)))</formula>
    </cfRule>
    <cfRule type="containsText" dxfId="266" priority="5618" operator="containsText" text="17">
      <formula>NOT(ISERROR(SEARCH("17",BL224)))</formula>
    </cfRule>
  </conditionalFormatting>
  <conditionalFormatting sqref="BL192:BR199">
    <cfRule type="containsText" dxfId="265" priority="212" operator="containsText" text="17">
      <formula>NOT(ISERROR(SEARCH("17",BL192)))</formula>
    </cfRule>
  </conditionalFormatting>
  <conditionalFormatting sqref="BL83:CF89 CI83:CI89">
    <cfRule type="containsText" dxfId="264" priority="56" operator="containsText" text="T">
      <formula>NOT(ISERROR(SEARCH("T",BL83)))</formula>
    </cfRule>
  </conditionalFormatting>
  <conditionalFormatting sqref="BL83:CF89">
    <cfRule type="containsText" dxfId="263" priority="58" operator="containsText" text="17">
      <formula>NOT(ISERROR(SEARCH("17",BL83)))</formula>
    </cfRule>
  </conditionalFormatting>
  <conditionalFormatting sqref="BM138:BM144">
    <cfRule type="containsText" dxfId="262" priority="278" operator="containsText" text="T">
      <formula>NOT(ISERROR(SEARCH("T",BM138)))</formula>
    </cfRule>
  </conditionalFormatting>
  <conditionalFormatting sqref="BM145:BM151 BQ145:BS151">
    <cfRule type="containsText" dxfId="261" priority="266" operator="containsText" text="T">
      <formula>NOT(ISERROR(SEARCH("T",BM145)))</formula>
    </cfRule>
  </conditionalFormatting>
  <conditionalFormatting sqref="BM192:BM199">
    <cfRule type="containsText" dxfId="260" priority="211" operator="containsText" text="T">
      <formula>NOT(ISERROR(SEARCH("T",BM192)))</formula>
    </cfRule>
    <cfRule type="containsText" dxfId="259" priority="210" operator="containsText" text="17">
      <formula>NOT(ISERROR(SEARCH("17",BM192)))</formula>
    </cfRule>
  </conditionalFormatting>
  <conditionalFormatting sqref="BM214:BM220">
    <cfRule type="containsText" dxfId="258" priority="54" operator="containsText" text="T">
      <formula>NOT(ISERROR(SEARCH("T",BM214)))</formula>
    </cfRule>
  </conditionalFormatting>
  <conditionalFormatting sqref="BM145:BN151 BQ145:BS151">
    <cfRule type="containsText" dxfId="257" priority="267" operator="containsText" text="17">
      <formula>NOT(ISERROR(SEARCH("17",BM145)))</formula>
    </cfRule>
  </conditionalFormatting>
  <conditionalFormatting sqref="BM168:BS174">
    <cfRule type="containsText" dxfId="256" priority="188" operator="containsText" text="17">
      <formula>NOT(ISERROR(SEARCH("17",BM168)))</formula>
    </cfRule>
    <cfRule type="containsText" dxfId="255" priority="189" operator="containsText" text="T">
      <formula>NOT(ISERROR(SEARCH("T",BM168)))</formula>
    </cfRule>
  </conditionalFormatting>
  <conditionalFormatting sqref="BM214:CG220 CJ214:CJ220">
    <cfRule type="containsText" dxfId="254" priority="51" operator="containsText" text="T">
      <formula>NOT(ISERROR(SEARCH("T",BM214)))</formula>
    </cfRule>
  </conditionalFormatting>
  <conditionalFormatting sqref="BM214:CG220">
    <cfRule type="containsText" dxfId="253" priority="53" operator="containsText" text="17">
      <formula>NOT(ISERROR(SEARCH("17",BM214)))</formula>
    </cfRule>
  </conditionalFormatting>
  <conditionalFormatting sqref="BM79:CJ82 CJ83:CJ84">
    <cfRule type="containsText" dxfId="252" priority="1015" operator="containsText" text="17">
      <formula>NOT(ISERROR(SEARCH("17",BM79)))</formula>
    </cfRule>
  </conditionalFormatting>
  <conditionalFormatting sqref="BN145:BN151">
    <cfRule type="containsText" dxfId="251" priority="268" operator="containsText" text="T">
      <formula>NOT(ISERROR(SEARCH("T",BN145)))</formula>
    </cfRule>
  </conditionalFormatting>
  <conditionalFormatting sqref="BN152:BN158 BR152:BT158">
    <cfRule type="containsText" dxfId="250" priority="256" operator="containsText" text="T">
      <formula>NOT(ISERROR(SEARCH("T",BN152)))</formula>
    </cfRule>
  </conditionalFormatting>
  <conditionalFormatting sqref="BN168:BN174">
    <cfRule type="containsText" dxfId="249" priority="187" operator="containsText" text="T">
      <formula>NOT(ISERROR(SEARCH("T",BN168)))</formula>
    </cfRule>
    <cfRule type="containsText" dxfId="248" priority="186" operator="containsText" text="17">
      <formula>NOT(ISERROR(SEARCH("17",BN168)))</formula>
    </cfRule>
  </conditionalFormatting>
  <conditionalFormatting sqref="BN221:BN227">
    <cfRule type="containsText" dxfId="247" priority="49" operator="containsText" text="T">
      <formula>NOT(ISERROR(SEARCH("T",BN221)))</formula>
    </cfRule>
  </conditionalFormatting>
  <conditionalFormatting sqref="BN152:BO158 BR152:BT158">
    <cfRule type="containsText" dxfId="246" priority="257" operator="containsText" text="17">
      <formula>NOT(ISERROR(SEARCH("17",BN152)))</formula>
    </cfRule>
  </conditionalFormatting>
  <conditionalFormatting sqref="BN67:BP68 BJ67:BK68">
    <cfRule type="containsText" dxfId="245" priority="307" operator="containsText" text="17">
      <formula>NOT(ISERROR(SEARCH("17",BJ67)))</formula>
    </cfRule>
  </conditionalFormatting>
  <conditionalFormatting sqref="BN67:BP68">
    <cfRule type="containsText" dxfId="244" priority="306" operator="containsText" text="T">
      <formula>NOT(ISERROR(SEARCH("T",BN67)))</formula>
    </cfRule>
  </conditionalFormatting>
  <conditionalFormatting sqref="BN175:BT181">
    <cfRule type="containsText" dxfId="243" priority="165" operator="containsText" text="T">
      <formula>NOT(ISERROR(SEARCH("T",BN175)))</formula>
    </cfRule>
    <cfRule type="containsText" dxfId="242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41" priority="918" operator="containsText" text="T">
      <formula>NOT(ISERROR(SEARCH("T",BM192)))</formula>
    </cfRule>
  </conditionalFormatting>
  <conditionalFormatting sqref="BN221:CH227 CK221:CK227">
    <cfRule type="containsText" dxfId="240" priority="46" operator="containsText" text="T">
      <formula>NOT(ISERROR(SEARCH("T",BN221)))</formula>
    </cfRule>
  </conditionalFormatting>
  <conditionalFormatting sqref="BN221:CH227">
    <cfRule type="containsText" dxfId="239" priority="48" operator="containsText" text="17">
      <formula>NOT(ISERROR(SEARCH("17",BN221)))</formula>
    </cfRule>
  </conditionalFormatting>
  <conditionalFormatting sqref="BN107:CJ109">
    <cfRule type="containsText" dxfId="238" priority="993" operator="containsText" text="17">
      <formula>NOT(ISERROR(SEARCH("17",BN107)))</formula>
    </cfRule>
  </conditionalFormatting>
  <conditionalFormatting sqref="BN111:CJ112 BM113:BP115">
    <cfRule type="containsText" dxfId="237" priority="987" operator="containsText" text="17">
      <formula>NOT(ISERROR(SEARCH("17",BM111)))</formula>
    </cfRule>
  </conditionalFormatting>
  <conditionalFormatting sqref="BO152:BO158">
    <cfRule type="containsText" dxfId="236" priority="258" operator="containsText" text="T">
      <formula>NOT(ISERROR(SEARCH("T",BO152)))</formula>
    </cfRule>
  </conditionalFormatting>
  <conditionalFormatting sqref="BO159:BO165 BS159:BU165">
    <cfRule type="containsText" dxfId="235" priority="246" operator="containsText" text="T">
      <formula>NOT(ISERROR(SEARCH("T",BO159)))</formula>
    </cfRule>
  </conditionalFormatting>
  <conditionalFormatting sqref="BO175:BO181">
    <cfRule type="containsText" dxfId="234" priority="163" operator="containsText" text="T">
      <formula>NOT(ISERROR(SEARCH("T",BO175)))</formula>
    </cfRule>
    <cfRule type="containsText" dxfId="233" priority="162" operator="containsText" text="17">
      <formula>NOT(ISERROR(SEARCH("17",BO175)))</formula>
    </cfRule>
  </conditionalFormatting>
  <conditionalFormatting sqref="BO228:BO234">
    <cfRule type="containsText" dxfId="232" priority="44" operator="containsText" text="T">
      <formula>NOT(ISERROR(SEARCH("T",BO228)))</formula>
    </cfRule>
  </conditionalFormatting>
  <conditionalFormatting sqref="BO118:BP119">
    <cfRule type="containsText" dxfId="231" priority="982" operator="containsText" text="17">
      <formula>NOT(ISERROR(SEARCH("17",BO118)))</formula>
    </cfRule>
  </conditionalFormatting>
  <conditionalFormatting sqref="BO159:BP165 BS159:BU165">
    <cfRule type="containsText" dxfId="230" priority="247" operator="containsText" text="17">
      <formula>NOT(ISERROR(SEARCH("17",BO159)))</formula>
    </cfRule>
  </conditionalFormatting>
  <conditionalFormatting sqref="BO182:BU188">
    <cfRule type="containsText" dxfId="229" priority="140" operator="containsText" text="17">
      <formula>NOT(ISERROR(SEARCH("17",BO182)))</formula>
    </cfRule>
    <cfRule type="containsText" dxfId="228" priority="141" operator="containsText" text="T">
      <formula>NOT(ISERROR(SEARCH("T",BO182)))</formula>
    </cfRule>
  </conditionalFormatting>
  <conditionalFormatting sqref="BO228:CI234 CL228:CL234">
    <cfRule type="containsText" dxfId="227" priority="41" operator="containsText" text="T">
      <formula>NOT(ISERROR(SEARCH("T",BO228)))</formula>
    </cfRule>
  </conditionalFormatting>
  <conditionalFormatting sqref="BO228:CI234">
    <cfRule type="containsText" dxfId="226" priority="43" operator="containsText" text="17">
      <formula>NOT(ISERROR(SEARCH("17",BO228)))</formula>
    </cfRule>
  </conditionalFormatting>
  <conditionalFormatting sqref="BO73:CK75 BN76:CK77 CK78">
    <cfRule type="containsText" dxfId="225" priority="1021" operator="containsText" text="17">
      <formula>NOT(ISERROR(SEARCH("17",BN73)))</formula>
    </cfRule>
  </conditionalFormatting>
  <conditionalFormatting sqref="BO97:CP98 BK97:BL98">
    <cfRule type="containsText" dxfId="224" priority="297" operator="containsText" text="17">
      <formula>NOT(ISERROR(SEARCH("17",BK97)))</formula>
    </cfRule>
  </conditionalFormatting>
  <conditionalFormatting sqref="BO97:CP98">
    <cfRule type="containsText" dxfId="223" priority="296" operator="containsText" text="T">
      <formula>NOT(ISERROR(SEARCH("T",BO97)))</formula>
    </cfRule>
  </conditionalFormatting>
  <conditionalFormatting sqref="BP159:BP165">
    <cfRule type="containsText" dxfId="222" priority="248" operator="containsText" text="T">
      <formula>NOT(ISERROR(SEARCH("T",BP159)))</formula>
    </cfRule>
  </conditionalFormatting>
  <conditionalFormatting sqref="BP182:BP188">
    <cfRule type="containsText" dxfId="221" priority="139" operator="containsText" text="T">
      <formula>NOT(ISERROR(SEARCH("T",BP182)))</formula>
    </cfRule>
    <cfRule type="containsText" dxfId="220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19" priority="920" operator="containsText" text="T">
      <formula>NOT(ISERROR(SEARCH("T",BM192)))</formula>
    </cfRule>
  </conditionalFormatting>
  <conditionalFormatting sqref="BP200:BP213">
    <cfRule type="containsText" dxfId="218" priority="233" operator="containsText" text="T">
      <formula>NOT(ISERROR(SEARCH("T",BP200)))</formula>
    </cfRule>
  </conditionalFormatting>
  <conditionalFormatting sqref="BP207:BQ213">
    <cfRule type="containsText" dxfId="217" priority="237" operator="containsText" text="17">
      <formula>NOT(ISERROR(SEARCH("17",BP207)))</formula>
    </cfRule>
  </conditionalFormatting>
  <conditionalFormatting sqref="BP194:BT194 BM195:BS195 BO196:BT198">
    <cfRule type="containsText" dxfId="216" priority="919" operator="containsText" text="17">
      <formula>NOT(ISERROR(SEARCH("17",BM194)))</formula>
    </cfRule>
  </conditionalFormatting>
  <conditionalFormatting sqref="BP14:BV14">
    <cfRule type="containsText" dxfId="215" priority="131" operator="containsText" text="17">
      <formula>NOT(ISERROR(SEARCH("17",BP14)))</formula>
    </cfRule>
    <cfRule type="containsText" dxfId="214" priority="132" operator="containsText" text="T">
      <formula>NOT(ISERROR(SEARCH("T",BP14)))</formula>
    </cfRule>
  </conditionalFormatting>
  <conditionalFormatting sqref="BP189:BV190">
    <cfRule type="containsText" dxfId="213" priority="924" operator="containsText" text="T">
      <formula>NOT(ISERROR(SEARCH("T",BP189)))</formula>
    </cfRule>
  </conditionalFormatting>
  <conditionalFormatting sqref="BP120:BZ126">
    <cfRule type="containsText" dxfId="212" priority="21" operator="containsText" text="17">
      <formula>NOT(ISERROR(SEARCH("17",BP120)))</formula>
    </cfRule>
  </conditionalFormatting>
  <conditionalFormatting sqref="BP80:CB82">
    <cfRule type="containsText" dxfId="211" priority="1016" operator="containsText" text="17">
      <formula>NOT(ISERROR(SEARCH("17",BP80)))</formula>
    </cfRule>
  </conditionalFormatting>
  <conditionalFormatting sqref="BP106:CB109">
    <cfRule type="containsText" dxfId="210" priority="994" operator="containsText" text="17">
      <formula>NOT(ISERROR(SEARCH("17",BP106)))</formula>
    </cfRule>
  </conditionalFormatting>
  <conditionalFormatting sqref="BP112:CB112">
    <cfRule type="containsText" dxfId="209" priority="988" operator="containsText" text="17">
      <formula>NOT(ISERROR(SEARCH("17",BP112)))</formula>
    </cfRule>
  </conditionalFormatting>
  <conditionalFormatting sqref="BP120:CM126">
    <cfRule type="containsText" dxfId="208" priority="30" operator="containsText" text="T">
      <formula>NOT(ISERROR(SEARCH("T",BP120)))</formula>
    </cfRule>
    <cfRule type="containsText" dxfId="207" priority="32" operator="containsText" text="17">
      <formula>NOT(ISERROR(SEARCH("17",BP120)))</formula>
    </cfRule>
  </conditionalFormatting>
  <conditionalFormatting sqref="BP120:CP126">
    <cfRule type="containsText" dxfId="206" priority="40" operator="containsText" text="17">
      <formula>NOT(ISERROR(SEARCH("17",BP120)))</formula>
    </cfRule>
    <cfRule type="containsText" dxfId="205" priority="33" operator="containsText" text="T">
      <formula>NOT(ISERROR(SEARCH("T",BP120)))</formula>
    </cfRule>
  </conditionalFormatting>
  <conditionalFormatting sqref="BQ14">
    <cfRule type="containsText" dxfId="204" priority="127" operator="containsText" text="17">
      <formula>NOT(ISERROR(SEARCH("17",BQ14)))</formula>
    </cfRule>
    <cfRule type="containsText" dxfId="203" priority="128" operator="containsText" text="T">
      <formula>NOT(ISERROR(SEARCH("T",BQ14)))</formula>
    </cfRule>
  </conditionalFormatting>
  <conditionalFormatting sqref="BQ192:BQ206">
    <cfRule type="containsText" dxfId="202" priority="216" operator="containsText" text="T">
      <formula>NOT(ISERROR(SEARCH("T",BQ192)))</formula>
    </cfRule>
  </conditionalFormatting>
  <conditionalFormatting sqref="BQ207:BQ213">
    <cfRule type="containsText" dxfId="201" priority="238" operator="containsText" text="T">
      <formula>NOT(ISERROR(SEARCH("T",BQ207)))</formula>
    </cfRule>
  </conditionalFormatting>
  <conditionalFormatting sqref="BQ200:BR206">
    <cfRule type="containsText" dxfId="200" priority="225" operator="containsText" text="17">
      <formula>NOT(ISERROR(SEARCH("17",BQ200)))</formula>
    </cfRule>
  </conditionalFormatting>
  <conditionalFormatting sqref="BQ34:BW34">
    <cfRule type="containsText" dxfId="199" priority="120" operator="containsText" text="T">
      <formula>NOT(ISERROR(SEARCH("T",BQ34)))</formula>
    </cfRule>
    <cfRule type="containsText" dxfId="198" priority="119" operator="containsText" text="17">
      <formula>NOT(ISERROR(SEARCH("17",BQ34)))</formula>
    </cfRule>
  </conditionalFormatting>
  <conditionalFormatting sqref="BQ113:CA119">
    <cfRule type="containsText" dxfId="197" priority="1" operator="containsText" text="17">
      <formula>NOT(ISERROR(SEARCH("17",BQ113)))</formula>
    </cfRule>
  </conditionalFormatting>
  <conditionalFormatting sqref="BQ100:CB102 BP103:CB103">
    <cfRule type="containsText" dxfId="196" priority="999" operator="containsText" text="17">
      <formula>NOT(ISERROR(SEARCH("17",BP100)))</formula>
    </cfRule>
  </conditionalFormatting>
  <conditionalFormatting sqref="BQ113:CN119">
    <cfRule type="containsText" dxfId="195" priority="12" operator="containsText" text="17">
      <formula>NOT(ISERROR(SEARCH("17",BQ113)))</formula>
    </cfRule>
    <cfRule type="containsText" dxfId="194" priority="10" operator="containsText" text="T">
      <formula>NOT(ISERROR(SEARCH("T",BQ113)))</formula>
    </cfRule>
  </conditionalFormatting>
  <conditionalFormatting sqref="BQ113:CP119">
    <cfRule type="containsText" dxfId="193" priority="13" operator="containsText" text="T">
      <formula>NOT(ISERROR(SEARCH("T",BQ113)))</formula>
    </cfRule>
    <cfRule type="containsText" dxfId="192" priority="20" operator="containsText" text="17">
      <formula>NOT(ISERROR(SEARCH("17",BQ113)))</formula>
    </cfRule>
  </conditionalFormatting>
  <conditionalFormatting sqref="BR34">
    <cfRule type="containsText" dxfId="191" priority="115" operator="containsText" text="17">
      <formula>NOT(ISERROR(SEARCH("17",BR34)))</formula>
    </cfRule>
    <cfRule type="containsText" dxfId="190" priority="116" operator="containsText" text="T">
      <formula>NOT(ISERROR(SEARCH("T",BR34)))</formula>
    </cfRule>
  </conditionalFormatting>
  <conditionalFormatting sqref="BR192:BR199">
    <cfRule type="containsText" dxfId="189" priority="207" operator="containsText" text="T">
      <formula>NOT(ISERROR(SEARCH("T",BR192)))</formula>
    </cfRule>
  </conditionalFormatting>
  <conditionalFormatting sqref="BR200:BR206">
    <cfRule type="containsText" dxfId="188" priority="226" operator="containsText" text="T">
      <formula>NOT(ISERROR(SEARCH("T",BR200)))</formula>
    </cfRule>
  </conditionalFormatting>
  <conditionalFormatting sqref="BR50:BS50 BU50:BY50">
    <cfRule type="containsText" dxfId="187" priority="1034" operator="containsText" text="17">
      <formula>NOT(ISERROR(SEARCH("17",BR50)))</formula>
    </cfRule>
    <cfRule type="containsText" dxfId="186" priority="1035" operator="containsText" text="T">
      <formula>NOT(ISERROR(SEARCH("T",BR50)))</formula>
    </cfRule>
  </conditionalFormatting>
  <conditionalFormatting sqref="BR192:BS199">
    <cfRule type="containsText" dxfId="185" priority="208" operator="containsText" text="17">
      <formula>NOT(ISERROR(SEARCH("17",BR192)))</formula>
    </cfRule>
  </conditionalFormatting>
  <conditionalFormatting sqref="BR21:BX21">
    <cfRule type="containsText" dxfId="184" priority="108" operator="containsText" text="T">
      <formula>NOT(ISERROR(SEARCH("T",BR21)))</formula>
    </cfRule>
    <cfRule type="containsText" dxfId="183" priority="107" operator="containsText" text="17">
      <formula>NOT(ISERROR(SEARCH("17",BR21)))</formula>
    </cfRule>
  </conditionalFormatting>
  <conditionalFormatting sqref="BR68:CD71 BQ74:CC77">
    <cfRule type="containsText" dxfId="182" priority="1022" operator="containsText" text="17">
      <formula>NOT(ISERROR(SEARCH("17",BQ68)))</formula>
    </cfRule>
  </conditionalFormatting>
  <conditionalFormatting sqref="BS21">
    <cfRule type="containsText" dxfId="181" priority="104" operator="containsText" text="T">
      <formula>NOT(ISERROR(SEARCH("T",BS21)))</formula>
    </cfRule>
    <cfRule type="containsText" dxfId="180" priority="103" operator="containsText" text="17">
      <formula>NOT(ISERROR(SEARCH("17",BS21)))</formula>
    </cfRule>
  </conditionalFormatting>
  <conditionalFormatting sqref="BS127 BC199 BB206">
    <cfRule type="containsText" dxfId="179" priority="2146" operator="containsText" text="T">
      <formula>NOT(ISERROR(SEARCH("T",BB127)))</formula>
    </cfRule>
  </conditionalFormatting>
  <conditionalFormatting sqref="BS127 BC199:BR199 BB206:BQ206">
    <cfRule type="containsText" dxfId="178" priority="5051" operator="containsText" text="T">
      <formula>NOT(ISERROR(SEARCH("T",BB127)))</formula>
    </cfRule>
  </conditionalFormatting>
  <conditionalFormatting sqref="BS168:BS181">
    <cfRule type="containsText" dxfId="177" priority="168" operator="containsText" text="T">
      <formula>NOT(ISERROR(SEARCH("T",BS168)))</formula>
    </cfRule>
  </conditionalFormatting>
  <conditionalFormatting sqref="BS192:BS199">
    <cfRule type="containsText" dxfId="176" priority="209" operator="containsText" text="T">
      <formula>NOT(ISERROR(SEARCH("T",BS192)))</formula>
    </cfRule>
  </conditionalFormatting>
  <conditionalFormatting sqref="BS168:BT174">
    <cfRule type="containsText" dxfId="175" priority="184" operator="containsText" text="17">
      <formula>NOT(ISERROR(SEARCH("17",BS168)))</formula>
    </cfRule>
  </conditionalFormatting>
  <conditionalFormatting sqref="BS199:BT199 BR206:BS206">
    <cfRule type="containsText" dxfId="174" priority="2150" operator="containsText" text="T">
      <formula>NOT(ISERROR(SEARCH("T",BR199)))</formula>
    </cfRule>
    <cfRule type="containsText" dxfId="173" priority="2149" operator="containsText" text="17">
      <formula>NOT(ISERROR(SEARCH("17",BR199)))</formula>
    </cfRule>
  </conditionalFormatting>
  <conditionalFormatting sqref="BS41:BY41">
    <cfRule type="containsText" dxfId="172" priority="96" operator="containsText" text="T">
      <formula>NOT(ISERROR(SEARCH("T",BS41)))</formula>
    </cfRule>
    <cfRule type="containsText" dxfId="171" priority="95" operator="containsText" text="17">
      <formula>NOT(ISERROR(SEARCH("17",BS41)))</formula>
    </cfRule>
  </conditionalFormatting>
  <conditionalFormatting sqref="BT41">
    <cfRule type="containsText" dxfId="170" priority="92" operator="containsText" text="T">
      <formula>NOT(ISERROR(SEARCH("T",BT41)))</formula>
    </cfRule>
    <cfRule type="containsText" dxfId="169" priority="91" operator="containsText" text="17">
      <formula>NOT(ISERROR(SEARCH("17",BT41)))</formula>
    </cfRule>
  </conditionalFormatting>
  <conditionalFormatting sqref="BT50:BT52 BZ50:BZ52 BU51:BY52">
    <cfRule type="containsText" dxfId="168" priority="8559" operator="containsText" text="17">
      <formula>NOT(ISERROR(SEARCH("17",BT50)))</formula>
    </cfRule>
    <cfRule type="containsText" dxfId="167" priority="8560" operator="containsText" text="T">
      <formula>NOT(ISERROR(SEARCH("T",BT50)))</formula>
    </cfRule>
  </conditionalFormatting>
  <conditionalFormatting sqref="BT145:BT148">
    <cfRule type="containsText" dxfId="166" priority="1589" operator="containsText" text="17">
      <formula>NOT(ISERROR(SEARCH("17",BT145)))</formula>
    </cfRule>
    <cfRule type="containsText" dxfId="165" priority="8534" operator="containsText" text="T">
      <formula>NOT(ISERROR(SEARCH("T",BT145)))</formula>
    </cfRule>
    <cfRule type="containsText" dxfId="164" priority="1590" operator="containsText" text="T">
      <formula>NOT(ISERROR(SEARCH("T",BT145)))</formula>
    </cfRule>
  </conditionalFormatting>
  <conditionalFormatting sqref="BT168:BT174">
    <cfRule type="containsText" dxfId="163" priority="185" operator="containsText" text="T">
      <formula>NOT(ISERROR(SEARCH("T",BT168)))</formula>
    </cfRule>
  </conditionalFormatting>
  <conditionalFormatting sqref="BT175:BT188">
    <cfRule type="containsText" dxfId="162" priority="144" operator="containsText" text="T">
      <formula>NOT(ISERROR(SEARCH("T",BT175)))</formula>
    </cfRule>
  </conditionalFormatting>
  <conditionalFormatting sqref="BT175:BU181">
    <cfRule type="containsText" dxfId="161" priority="160" operator="containsText" text="17">
      <formula>NOT(ISERROR(SEARCH("17",BT175)))</formula>
    </cfRule>
  </conditionalFormatting>
  <conditionalFormatting sqref="BT139:CQ144">
    <cfRule type="containsText" dxfId="160" priority="968" operator="containsText" text="T">
      <formula>NOT(ISERROR(SEARCH("T",BT139)))</formula>
    </cfRule>
    <cfRule type="containsText" dxfId="159" priority="965" operator="containsText" text="17">
      <formula>NOT(ISERROR(SEARCH("17",BT139)))</formula>
    </cfRule>
  </conditionalFormatting>
  <conditionalFormatting sqref="BU175:BU181">
    <cfRule type="containsText" dxfId="158" priority="161" operator="containsText" text="T">
      <formula>NOT(ISERROR(SEARCH("T",BU175)))</formula>
    </cfRule>
  </conditionalFormatting>
  <conditionalFormatting sqref="BU182:BU188">
    <cfRule type="containsText" dxfId="157" priority="135" operator="containsText" text="T">
      <formula>NOT(ISERROR(SEARCH("T",BU182)))</formula>
    </cfRule>
  </conditionalFormatting>
  <conditionalFormatting sqref="BU200:BU202 AX210:AX211">
    <cfRule type="containsText" dxfId="156" priority="8520" operator="containsText" text="T">
      <formula>NOT(ISERROR(SEARCH("T",AX200)))</formula>
    </cfRule>
  </conditionalFormatting>
  <conditionalFormatting sqref="BU200:BU202 AY190 AX191:BH191 BK191 BO191:BS191">
    <cfRule type="containsText" dxfId="155" priority="8513" operator="containsText" text="17">
      <formula>NOT(ISERROR(SEARCH("17",AX190)))</formula>
    </cfRule>
  </conditionalFormatting>
  <conditionalFormatting sqref="BU182:BV188">
    <cfRule type="containsText" dxfId="154" priority="136" operator="containsText" text="17">
      <formula>NOT(ISERROR(SEARCH("17",BU182)))</formula>
    </cfRule>
  </conditionalFormatting>
  <conditionalFormatting sqref="BU200:BW206">
    <cfRule type="containsText" dxfId="153" priority="231" operator="containsText" text="17">
      <formula>NOT(ISERROR(SEARCH("17",BU200)))</formula>
    </cfRule>
  </conditionalFormatting>
  <conditionalFormatting sqref="BU153:CQ158">
    <cfRule type="containsText" dxfId="152" priority="952" operator="containsText" text="17">
      <formula>NOT(ISERROR(SEARCH("17",BU153)))</formula>
    </cfRule>
    <cfRule type="containsText" dxfId="151" priority="955" operator="containsText" text="T">
      <formula>NOT(ISERROR(SEARCH("T",BU153)))</formula>
    </cfRule>
  </conditionalFormatting>
  <conditionalFormatting sqref="BU146:CR151 BV160:CQ165">
    <cfRule type="containsText" dxfId="150" priority="8367" operator="containsText" text="17">
      <formula>NOT(ISERROR(SEARCH("17",BU146)))</formula>
    </cfRule>
  </conditionalFormatting>
  <conditionalFormatting sqref="BU146:CR151">
    <cfRule type="containsText" dxfId="149" priority="964" operator="containsText" text="T">
      <formula>NOT(ISERROR(SEARCH("T",BU146)))</formula>
    </cfRule>
  </conditionalFormatting>
  <conditionalFormatting sqref="BV14 BZ14:CB14 BE15:BY20 CB15:CB20">
    <cfRule type="containsText" dxfId="148" priority="124" operator="containsText" text="T">
      <formula>NOT(ISERROR(SEARCH("T",BE14)))</formula>
    </cfRule>
  </conditionalFormatting>
  <conditionalFormatting sqref="BV182:BV188">
    <cfRule type="containsText" dxfId="147" priority="137" operator="containsText" text="T">
      <formula>NOT(ISERROR(SEARCH("T",BV182)))</formula>
    </cfRule>
  </conditionalFormatting>
  <conditionalFormatting sqref="BV192:BV199">
    <cfRule type="containsText" dxfId="146" priority="221" operator="containsText" text="17">
      <formula>NOT(ISERROR(SEARCH("17",BV192)))</formula>
    </cfRule>
    <cfRule type="containsText" dxfId="145" priority="217" operator="containsText" text="17">
      <formula>NOT(ISERROR(SEARCH("17",BV192)))</formula>
    </cfRule>
    <cfRule type="containsText" dxfId="144" priority="220" operator="containsText" text="T">
      <formula>NOT(ISERROR(SEARCH("T",BV192)))</formula>
    </cfRule>
    <cfRule type="containsText" dxfId="143" priority="219" operator="containsText" text="17">
      <formula>NOT(ISERROR(SEARCH("17",BV192)))</formula>
    </cfRule>
    <cfRule type="containsText" dxfId="142" priority="218" operator="containsText" text="T">
      <formula>NOT(ISERROR(SEARCH("T",BV192)))</formula>
    </cfRule>
  </conditionalFormatting>
  <conditionalFormatting sqref="BV199 BU206">
    <cfRule type="containsText" dxfId="141" priority="2148" operator="containsText" text="T">
      <formula>NOT(ISERROR(SEARCH("T",BU199)))</formula>
    </cfRule>
    <cfRule type="containsText" dxfId="140" priority="2147" operator="containsText" text="17">
      <formula>NOT(ISERROR(SEARCH("17",BU199)))</formula>
    </cfRule>
  </conditionalFormatting>
  <conditionalFormatting sqref="BV14:BW14 BZ14:CB14 CB15:CB20">
    <cfRule type="containsText" dxfId="139" priority="125" operator="containsText" text="17">
      <formula>NOT(ISERROR(SEARCH("17",BV14)))</formula>
    </cfRule>
  </conditionalFormatting>
  <conditionalFormatting sqref="BV192:BX199">
    <cfRule type="containsText" dxfId="138" priority="214" operator="containsText" text="17">
      <formula>NOT(ISERROR(SEARCH("17",BV192)))</formula>
    </cfRule>
    <cfRule type="containsText" dxfId="137" priority="215" operator="containsText" text="T">
      <formula>NOT(ISERROR(SEARCH("T",BV192)))</formula>
    </cfRule>
  </conditionalFormatting>
  <conditionalFormatting sqref="BV133:CH137">
    <cfRule type="containsText" dxfId="136" priority="971" operator="containsText" text="17">
      <formula>NOT(ISERROR(SEARCH("17",BV133)))</formula>
    </cfRule>
  </conditionalFormatting>
  <conditionalFormatting sqref="BV160:CQ165">
    <cfRule type="containsText" dxfId="135" priority="951" operator="containsText" text="T">
      <formula>NOT(ISERROR(SEARCH("T",BV160)))</formula>
    </cfRule>
  </conditionalFormatting>
  <conditionalFormatting sqref="BW14">
    <cfRule type="containsText" dxfId="134" priority="126" operator="containsText" text="T">
      <formula>NOT(ISERROR(SEARCH("T",BW14)))</formula>
    </cfRule>
  </conditionalFormatting>
  <conditionalFormatting sqref="BW34 CA34:CC34 BF35:BZ40 CC35:CC40">
    <cfRule type="containsText" dxfId="133" priority="112" operator="containsText" text="T">
      <formula>NOT(ISERROR(SEARCH("T",BF34)))</formula>
    </cfRule>
  </conditionalFormatting>
  <conditionalFormatting sqref="BW168:BW174">
    <cfRule type="containsText" dxfId="132" priority="204" operator="containsText" text="T">
      <formula>NOT(ISERROR(SEARCH("T",BW168)))</formula>
    </cfRule>
    <cfRule type="containsText" dxfId="131" priority="203" operator="containsText" text="17">
      <formula>NOT(ISERROR(SEARCH("17",BW168)))</formula>
    </cfRule>
    <cfRule type="containsText" dxfId="130" priority="199" operator="containsText" text="17">
      <formula>NOT(ISERROR(SEARCH("17",BW168)))</formula>
    </cfRule>
    <cfRule type="containsText" dxfId="129" priority="200" operator="containsText" text="T">
      <formula>NOT(ISERROR(SEARCH("T",BW168)))</formula>
    </cfRule>
    <cfRule type="containsText" dxfId="128" priority="201" operator="containsText" text="17">
      <formula>NOT(ISERROR(SEARCH("17",BW168)))</formula>
    </cfRule>
    <cfRule type="containsText" dxfId="127" priority="202" operator="containsText" text="T">
      <formula>NOT(ISERROR(SEARCH("T",BW168)))</formula>
    </cfRule>
  </conditionalFormatting>
  <conditionalFormatting sqref="BW34:BX34 CA34:CC34 CC35:CC40">
    <cfRule type="containsText" dxfId="126" priority="113" operator="containsText" text="17">
      <formula>NOT(ISERROR(SEARCH("17",BW34)))</formula>
    </cfRule>
  </conditionalFormatting>
  <conditionalFormatting sqref="BW168:BY174">
    <cfRule type="containsText" dxfId="125" priority="190" operator="containsText" text="17">
      <formula>NOT(ISERROR(SEARCH("17",BW168)))</formula>
    </cfRule>
  </conditionalFormatting>
  <conditionalFormatting sqref="BW160:CG165">
    <cfRule type="containsText" dxfId="124" priority="949" operator="containsText" text="17">
      <formula>NOT(ISERROR(SEARCH("17",BW160)))</formula>
    </cfRule>
  </conditionalFormatting>
  <conditionalFormatting sqref="BW140:CI144">
    <cfRule type="containsText" dxfId="123" priority="966" operator="containsText" text="17">
      <formula>NOT(ISERROR(SEARCH("17",BW140)))</formula>
    </cfRule>
  </conditionalFormatting>
  <conditionalFormatting sqref="BW154:CI158">
    <cfRule type="containsText" dxfId="122" priority="953" operator="containsText" text="17">
      <formula>NOT(ISERROR(SEARCH("17",BW154)))</formula>
    </cfRule>
  </conditionalFormatting>
  <conditionalFormatting sqref="BW161:CI165">
    <cfRule type="containsText" dxfId="121" priority="946" operator="containsText" text="17">
      <formula>NOT(ISERROR(SEARCH("17",BW161)))</formula>
    </cfRule>
  </conditionalFormatting>
  <conditionalFormatting sqref="BX21 CB21:CD21 BG22:CA27 CD22:CD27">
    <cfRule type="containsText" dxfId="120" priority="100" operator="containsText" text="T">
      <formula>NOT(ISERROR(SEARCH("T",BG21)))</formula>
    </cfRule>
  </conditionalFormatting>
  <conditionalFormatting sqref="BX34">
    <cfRule type="containsText" dxfId="119" priority="114" operator="containsText" text="T">
      <formula>NOT(ISERROR(SEARCH("T",BX34)))</formula>
    </cfRule>
  </conditionalFormatting>
  <conditionalFormatting sqref="BX175:BX181">
    <cfRule type="containsText" dxfId="118" priority="178" operator="containsText" text="T">
      <formula>NOT(ISERROR(SEARCH("T",BX175)))</formula>
    </cfRule>
    <cfRule type="containsText" dxfId="117" priority="176" operator="containsText" text="T">
      <formula>NOT(ISERROR(SEARCH("T",BX175)))</formula>
    </cfRule>
    <cfRule type="containsText" dxfId="116" priority="177" operator="containsText" text="17">
      <formula>NOT(ISERROR(SEARCH("17",BX175)))</formula>
    </cfRule>
    <cfRule type="containsText" dxfId="115" priority="175" operator="containsText" text="17">
      <formula>NOT(ISERROR(SEARCH("17",BX175)))</formula>
    </cfRule>
    <cfRule type="containsText" dxfId="114" priority="180" operator="containsText" text="T">
      <formula>NOT(ISERROR(SEARCH("T",BX175)))</formula>
    </cfRule>
    <cfRule type="containsText" dxfId="113" priority="179" operator="containsText" text="17">
      <formula>NOT(ISERROR(SEARCH("17",BX175)))</formula>
    </cfRule>
  </conditionalFormatting>
  <conditionalFormatting sqref="BX21:BY21 CB21:CD21 CD22:CD27">
    <cfRule type="containsText" dxfId="112" priority="101" operator="containsText" text="17">
      <formula>NOT(ISERROR(SEARCH("17",BX21)))</formula>
    </cfRule>
  </conditionalFormatting>
  <conditionalFormatting sqref="BX175:BZ181">
    <cfRule type="containsText" dxfId="111" priority="166" operator="containsText" text="17">
      <formula>NOT(ISERROR(SEARCH("17",BX175)))</formula>
    </cfRule>
  </conditionalFormatting>
  <conditionalFormatting sqref="BX146:CH151">
    <cfRule type="containsText" dxfId="110" priority="962" operator="containsText" text="17">
      <formula>NOT(ISERROR(SEARCH("17",BX146)))</formula>
    </cfRule>
  </conditionalFormatting>
  <conditionalFormatting sqref="BX147:CJ151">
    <cfRule type="containsText" dxfId="109" priority="959" operator="containsText" text="17">
      <formula>NOT(ISERROR(SEARCH("17",BX147)))</formula>
    </cfRule>
  </conditionalFormatting>
  <conditionalFormatting sqref="BY21">
    <cfRule type="containsText" dxfId="108" priority="102" operator="containsText" text="T">
      <formula>NOT(ISERROR(SEARCH("T",BY21)))</formula>
    </cfRule>
  </conditionalFormatting>
  <conditionalFormatting sqref="BY41 CC41:CE41 BH42:CB47 CE42:CE47">
    <cfRule type="containsText" dxfId="107" priority="88" operator="containsText" text="T">
      <formula>NOT(ISERROR(SEARCH("T",BH41)))</formula>
    </cfRule>
  </conditionalFormatting>
  <conditionalFormatting sqref="BY182:BY188">
    <cfRule type="containsText" dxfId="106" priority="156" operator="containsText" text="T">
      <formula>NOT(ISERROR(SEARCH("T",BY182)))</formula>
    </cfRule>
    <cfRule type="containsText" dxfId="105" priority="155" operator="containsText" text="17">
      <formula>NOT(ISERROR(SEARCH("17",BY182)))</formula>
    </cfRule>
    <cfRule type="containsText" dxfId="104" priority="154" operator="containsText" text="T">
      <formula>NOT(ISERROR(SEARCH("T",BY182)))</formula>
    </cfRule>
    <cfRule type="containsText" dxfId="103" priority="153" operator="containsText" text="17">
      <formula>NOT(ISERROR(SEARCH("17",BY182)))</formula>
    </cfRule>
    <cfRule type="containsText" dxfId="102" priority="152" operator="containsText" text="T">
      <formula>NOT(ISERROR(SEARCH("T",BY182)))</formula>
    </cfRule>
    <cfRule type="containsText" dxfId="101" priority="151" operator="containsText" text="17">
      <formula>NOT(ISERROR(SEARCH("17",BY182)))</formula>
    </cfRule>
  </conditionalFormatting>
  <conditionalFormatting sqref="BY41:BZ41 CC41:CE41 CE42:CE47">
    <cfRule type="containsText" dxfId="100" priority="89" operator="containsText" text="17">
      <formula>NOT(ISERROR(SEARCH("17",BY41)))</formula>
    </cfRule>
  </conditionalFormatting>
  <conditionalFormatting sqref="BY182:CA188">
    <cfRule type="containsText" dxfId="99" priority="142" operator="containsText" text="17">
      <formula>NOT(ISERROR(SEARCH("17",BY182)))</formula>
    </cfRule>
  </conditionalFormatting>
  <conditionalFormatting sqref="BZ41">
    <cfRule type="containsText" dxfId="98" priority="90" operator="containsText" text="T">
      <formula>NOT(ISERROR(SEARCH("T",BZ41)))</formula>
    </cfRule>
  </conditionalFormatting>
  <conditionalFormatting sqref="CA79:CB79 CC79:CI82">
    <cfRule type="containsText" dxfId="97" priority="1018" operator="containsText" text="T">
      <formula>NOT(ISERROR(SEARCH("T",CA79)))</formula>
    </cfRule>
  </conditionalFormatting>
  <conditionalFormatting sqref="CA79:CB79">
    <cfRule type="containsText" dxfId="96" priority="1017" operator="containsText" text="17">
      <formula>NOT(ISERROR(SEARCH("17",CA79)))</formula>
    </cfRule>
  </conditionalFormatting>
  <conditionalFormatting sqref="CA99:CB99 CC99:CI103">
    <cfRule type="containsText" dxfId="95" priority="1001" operator="containsText" text="T">
      <formula>NOT(ISERROR(SEARCH("T",CA99)))</formula>
    </cfRule>
    <cfRule type="containsText" dxfId="94" priority="1000" operator="containsText" text="17">
      <formula>NOT(ISERROR(SEARCH("17",CA99)))</formula>
    </cfRule>
  </conditionalFormatting>
  <conditionalFormatting sqref="CA111:CB111 CC111:CI112">
    <cfRule type="containsText" dxfId="93" priority="990" operator="containsText" text="T">
      <formula>NOT(ISERROR(SEARCH("T",CA111)))</formula>
    </cfRule>
  </conditionalFormatting>
  <conditionalFormatting sqref="CA111:CB111">
    <cfRule type="containsText" dxfId="92" priority="989" operator="containsText" text="17">
      <formula>NOT(ISERROR(SEARCH("17",CA111)))</formula>
    </cfRule>
  </conditionalFormatting>
  <conditionalFormatting sqref="CA120:CG126">
    <cfRule type="containsText" dxfId="91" priority="27" operator="containsText" text="17">
      <formula>NOT(ISERROR(SEARCH("17",CA120)))</formula>
    </cfRule>
    <cfRule type="containsText" dxfId="90" priority="28" operator="containsText" text="T">
      <formula>NOT(ISERROR(SEARCH("T",CA120)))</formula>
    </cfRule>
  </conditionalFormatting>
  <conditionalFormatting sqref="CB15:CB20">
    <cfRule type="containsText" dxfId="89" priority="133" operator="containsText" text="T">
      <formula>NOT(ISERROR(SEARCH("T",CB15)))</formula>
    </cfRule>
  </conditionalFormatting>
  <conditionalFormatting sqref="CB120:CB126">
    <cfRule type="containsText" dxfId="88" priority="25" operator="containsText" text="17">
      <formula>NOT(ISERROR(SEARCH("17",CB120)))</formula>
    </cfRule>
    <cfRule type="containsText" dxfId="87" priority="26" operator="containsText" text="T">
      <formula>NOT(ISERROR(SEARCH("T",CB120)))</formula>
    </cfRule>
  </conditionalFormatting>
  <conditionalFormatting sqref="CB113:CH119">
    <cfRule type="containsText" dxfId="86" priority="8" operator="containsText" text="T">
      <formula>NOT(ISERROR(SEARCH("T",CB113)))</formula>
    </cfRule>
    <cfRule type="containsText" dxfId="85" priority="7" operator="containsText" text="17">
      <formula>NOT(ISERROR(SEARCH("17",CB113)))</formula>
    </cfRule>
  </conditionalFormatting>
  <conditionalFormatting sqref="CC35:CC40">
    <cfRule type="containsText" dxfId="84" priority="121" operator="containsText" text="T">
      <formula>NOT(ISERROR(SEARCH("T",CC35)))</formula>
    </cfRule>
  </conditionalFormatting>
  <conditionalFormatting sqref="CC113:CC119">
    <cfRule type="containsText" dxfId="83" priority="5" operator="containsText" text="17">
      <formula>NOT(ISERROR(SEARCH("17",CC113)))</formula>
    </cfRule>
    <cfRule type="containsText" dxfId="82" priority="6" operator="containsText" text="T">
      <formula>NOT(ISERROR(SEARCH("T",CC113)))</formula>
    </cfRule>
  </conditionalFormatting>
  <conditionalFormatting sqref="CC67:CD67 CE67:CK71 CB73:CC73 CD73:CJ77">
    <cfRule type="containsText" dxfId="81" priority="1024" operator="containsText" text="T">
      <formula>NOT(ISERROR(SEARCH("T",CB67)))</formula>
    </cfRule>
  </conditionalFormatting>
  <conditionalFormatting sqref="CC67:CD67 CE67:CK71 CB73:CC73">
    <cfRule type="containsText" dxfId="80" priority="1023" operator="containsText" text="17">
      <formula>NOT(ISERROR(SEARCH("17",CB67)))</formula>
    </cfRule>
  </conditionalFormatting>
  <conditionalFormatting sqref="CC105:CI109 BQ105:CP105">
    <cfRule type="containsText" dxfId="79" priority="996" operator="containsText" text="T">
      <formula>NOT(ISERROR(SEARCH("T",BQ105)))</formula>
    </cfRule>
  </conditionalFormatting>
  <conditionalFormatting sqref="CD22:CD27">
    <cfRule type="containsText" dxfId="78" priority="109" operator="containsText" text="T">
      <formula>NOT(ISERROR(SEARCH("T",CD22)))</formula>
    </cfRule>
  </conditionalFormatting>
  <conditionalFormatting sqref="CE42:CE47">
    <cfRule type="containsText" dxfId="77" priority="97" operator="containsText" text="T">
      <formula>NOT(ISERROR(SEARCH("T",CE42)))</formula>
    </cfRule>
  </conditionalFormatting>
  <conditionalFormatting sqref="CF28:CF32">
    <cfRule type="containsText" dxfId="76" priority="77" operator="containsText" text="17">
      <formula>NOT(ISERROR(SEARCH("17",CF28)))</formula>
    </cfRule>
  </conditionalFormatting>
  <conditionalFormatting sqref="CF48:CF49">
    <cfRule type="containsText" dxfId="75" priority="72" operator="containsText" text="17">
      <formula>NOT(ISERROR(SEARCH("17",CF48)))</formula>
    </cfRule>
  </conditionalFormatting>
  <conditionalFormatting sqref="CF28:CP32">
    <cfRule type="containsText" dxfId="74" priority="80" operator="containsText" text="T">
      <formula>NOT(ISERROR(SEARCH("T",CF28)))</formula>
    </cfRule>
  </conditionalFormatting>
  <conditionalFormatting sqref="CF41:CP49">
    <cfRule type="containsText" dxfId="73" priority="75" operator="containsText" text="T">
      <formula>NOT(ISERROR(SEARCH("T",CF41)))</formula>
    </cfRule>
  </conditionalFormatting>
  <conditionalFormatting sqref="CG60:CG66">
    <cfRule type="containsText" dxfId="72" priority="67" operator="containsText" text="17">
      <formula>NOT(ISERROR(SEARCH("17",CG60)))</formula>
    </cfRule>
  </conditionalFormatting>
  <conditionalFormatting sqref="CG113:CG126">
    <cfRule type="containsText" dxfId="71" priority="11" operator="containsText" text="T">
      <formula>NOT(ISERROR(SEARCH("T",CG113)))</formula>
    </cfRule>
  </conditionalFormatting>
  <conditionalFormatting sqref="CG120:CH126">
    <cfRule type="containsText" dxfId="70" priority="23" operator="containsText" text="17">
      <formula>NOT(ISERROR(SEARCH("17",CG120)))</formula>
    </cfRule>
  </conditionalFormatting>
  <conditionalFormatting sqref="CG132:CH132 CI132:CO137">
    <cfRule type="containsText" dxfId="69" priority="972" operator="containsText" text="17">
      <formula>NOT(ISERROR(SEARCH("17",CG132)))</formula>
    </cfRule>
    <cfRule type="containsText" dxfId="68" priority="973" operator="containsText" text="T">
      <formula>NOT(ISERROR(SEARCH("T",CG132)))</formula>
    </cfRule>
  </conditionalFormatting>
  <conditionalFormatting sqref="CG60:CP66">
    <cfRule type="containsText" dxfId="67" priority="70" operator="containsText" text="T">
      <formula>NOT(ISERROR(SEARCH("T",CG60)))</formula>
    </cfRule>
  </conditionalFormatting>
  <conditionalFormatting sqref="CH90:CH96">
    <cfRule type="containsText" dxfId="66" priority="62" operator="containsText" text="17">
      <formula>NOT(ISERROR(SEARCH("17",CH90)))</formula>
    </cfRule>
  </conditionalFormatting>
  <conditionalFormatting sqref="CH113:CH119">
    <cfRule type="containsText" dxfId="65" priority="2" operator="containsText" text="T">
      <formula>NOT(ISERROR(SEARCH("T",CH113)))</formula>
    </cfRule>
  </conditionalFormatting>
  <conditionalFormatting sqref="CH120:CH126">
    <cfRule type="containsText" dxfId="64" priority="24" operator="containsText" text="T">
      <formula>NOT(ISERROR(SEARCH("T",CH120)))</formula>
    </cfRule>
  </conditionalFormatting>
  <conditionalFormatting sqref="CH113:CI119">
    <cfRule type="containsText" dxfId="63" priority="3" operator="containsText" text="17">
      <formula>NOT(ISERROR(SEARCH("17",CH113)))</formula>
    </cfRule>
  </conditionalFormatting>
  <conditionalFormatting sqref="CH139:CI139">
    <cfRule type="containsText" dxfId="62" priority="967" operator="containsText" text="17">
      <formula>NOT(ISERROR(SEARCH("17",CH139)))</formula>
    </cfRule>
  </conditionalFormatting>
  <conditionalFormatting sqref="CH153:CI153">
    <cfRule type="containsText" dxfId="61" priority="954" operator="containsText" text="17">
      <formula>NOT(ISERROR(SEARCH("17",CH153)))</formula>
    </cfRule>
  </conditionalFormatting>
  <conditionalFormatting sqref="CH160:CI160 CJ160:CP165">
    <cfRule type="containsText" dxfId="60" priority="947" operator="containsText" text="17">
      <formula>NOT(ISERROR(SEARCH("17",CH160)))</formula>
    </cfRule>
  </conditionalFormatting>
  <conditionalFormatting sqref="CH160:CI160 CK160:CO165">
    <cfRule type="containsText" dxfId="59" priority="948" operator="containsText" text="T">
      <formula>NOT(ISERROR(SEARCH("T",CH160)))</formula>
    </cfRule>
  </conditionalFormatting>
  <conditionalFormatting sqref="CH90:CP96">
    <cfRule type="containsText" dxfId="58" priority="65" operator="containsText" text="T">
      <formula>NOT(ISERROR(SEARCH("T",CH90)))</formula>
    </cfRule>
  </conditionalFormatting>
  <conditionalFormatting sqref="CI83:CI89">
    <cfRule type="containsText" dxfId="57" priority="57" operator="containsText" text="17">
      <formula>NOT(ISERROR(SEARCH("17",CI83)))</formula>
    </cfRule>
    <cfRule type="containsText" dxfId="56" priority="60" operator="containsText" text="T">
      <formula>NOT(ISERROR(SEARCH("T",CI83)))</formula>
    </cfRule>
  </conditionalFormatting>
  <conditionalFormatting sqref="CI113:CI119">
    <cfRule type="containsText" dxfId="55" priority="4" operator="containsText" text="T">
      <formula>NOT(ISERROR(SEARCH("T",CI113)))</formula>
    </cfRule>
  </conditionalFormatting>
  <conditionalFormatting sqref="CI146:CJ146 CK146:CQ151">
    <cfRule type="containsText" dxfId="54" priority="960" operator="containsText" text="17">
      <formula>NOT(ISERROR(SEARCH("17",CI146)))</formula>
    </cfRule>
  </conditionalFormatting>
  <conditionalFormatting sqref="CI146:CJ146 CL146:CP151">
    <cfRule type="containsText" dxfId="53" priority="961" operator="containsText" text="T">
      <formula>NOT(ISERROR(SEARCH("T",CI146)))</formula>
    </cfRule>
  </conditionalFormatting>
  <conditionalFormatting sqref="CJ214:CJ220">
    <cfRule type="containsText" dxfId="52" priority="52" operator="containsText" text="17">
      <formula>NOT(ISERROR(SEARCH("17",CJ214)))</formula>
    </cfRule>
  </conditionalFormatting>
  <conditionalFormatting sqref="CJ214:XFD220">
    <cfRule type="containsText" dxfId="51" priority="55" operator="containsText" text="T">
      <formula>NOT(ISERROR(SEARCH("T",CJ214)))</formula>
    </cfRule>
  </conditionalFormatting>
  <conditionalFormatting sqref="CK120:CK126">
    <cfRule type="containsText" dxfId="50" priority="37" operator="containsText" text="T">
      <formula>NOT(ISERROR(SEARCH("T",CK120)))</formula>
    </cfRule>
    <cfRule type="containsText" dxfId="49" priority="35" operator="containsText" text="T">
      <formula>NOT(ISERROR(SEARCH("T",CK120)))</formula>
    </cfRule>
    <cfRule type="containsText" dxfId="48" priority="34" operator="containsText" text="17">
      <formula>NOT(ISERROR(SEARCH("17",CK120)))</formula>
    </cfRule>
    <cfRule type="containsText" dxfId="47" priority="39" operator="containsText" text="T">
      <formula>NOT(ISERROR(SEARCH("T",CK120)))</formula>
    </cfRule>
    <cfRule type="containsText" dxfId="46" priority="36" operator="containsText" text="17">
      <formula>NOT(ISERROR(SEARCH("17",CK120)))</formula>
    </cfRule>
    <cfRule type="containsText" dxfId="45" priority="38" operator="containsText" text="17">
      <formula>NOT(ISERROR(SEARCH("17",CK120)))</formula>
    </cfRule>
  </conditionalFormatting>
  <conditionalFormatting sqref="CK221:CK227">
    <cfRule type="containsText" dxfId="44" priority="47" operator="containsText" text="17">
      <formula>NOT(ISERROR(SEARCH("17",CK221)))</formula>
    </cfRule>
  </conditionalFormatting>
  <conditionalFormatting sqref="CK120:CM126">
    <cfRule type="containsText" dxfId="43" priority="29" operator="containsText" text="17">
      <formula>NOT(ISERROR(SEARCH("17",CK120)))</formula>
    </cfRule>
  </conditionalFormatting>
  <conditionalFormatting sqref="CK221:CP227">
    <cfRule type="containsText" dxfId="42" priority="50" operator="containsText" text="T">
      <formula>NOT(ISERROR(SEARCH("T",CK221)))</formula>
    </cfRule>
  </conditionalFormatting>
  <conditionalFormatting sqref="CL113:CL119">
    <cfRule type="containsText" dxfId="41" priority="15" operator="containsText" text="T">
      <formula>NOT(ISERROR(SEARCH("T",CL113)))</formula>
    </cfRule>
    <cfRule type="containsText" dxfId="40" priority="18" operator="containsText" text="17">
      <formula>NOT(ISERROR(SEARCH("17",CL113)))</formula>
    </cfRule>
    <cfRule type="containsText" dxfId="39" priority="19" operator="containsText" text="T">
      <formula>NOT(ISERROR(SEARCH("T",CL113)))</formula>
    </cfRule>
    <cfRule type="containsText" dxfId="38" priority="14" operator="containsText" text="17">
      <formula>NOT(ISERROR(SEARCH("17",CL113)))</formula>
    </cfRule>
    <cfRule type="containsText" dxfId="37" priority="16" operator="containsText" text="17">
      <formula>NOT(ISERROR(SEARCH("17",CL113)))</formula>
    </cfRule>
    <cfRule type="containsText" dxfId="36" priority="17" operator="containsText" text="T">
      <formula>NOT(ISERROR(SEARCH("T",CL113)))</formula>
    </cfRule>
  </conditionalFormatting>
  <conditionalFormatting sqref="CL228:CL234">
    <cfRule type="containsText" dxfId="35" priority="42" operator="containsText" text="17">
      <formula>NOT(ISERROR(SEARCH("17",CL228)))</formula>
    </cfRule>
  </conditionalFormatting>
  <conditionalFormatting sqref="CL113:CN119">
    <cfRule type="containsText" dxfId="34" priority="9" operator="containsText" text="17">
      <formula>NOT(ISERROR(SEARCH("17",CL113)))</formula>
    </cfRule>
  </conditionalFormatting>
  <conditionalFormatting sqref="CL228:CP234">
    <cfRule type="containsText" dxfId="33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849"/>
  <sheetViews>
    <sheetView tabSelected="1" workbookViewId="0">
      <pane xSplit="2" ySplit="1" topLeftCell="C829" activePane="bottomRight" state="frozen"/>
      <selection pane="topRight" activeCell="C1" sqref="C1"/>
      <selection pane="bottomLeft" activeCell="A2" sqref="A2"/>
      <selection pane="bottomRight" activeCell="A614" sqref="A614:O849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 t="shared" ref="K208:K209" si="41"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 t="shared" si="41"/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 t="shared" ref="K210:K211" si="42"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 t="shared" si="42"/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3">J212-A212</f>
        <v>25</v>
      </c>
      <c r="L212" s="25">
        <v>15.16</v>
      </c>
      <c r="M212" s="25">
        <v>13.56</v>
      </c>
      <c r="N212" s="25">
        <f t="shared" ref="N212:N218" si="44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3"/>
        <v>25</v>
      </c>
      <c r="L213" s="25">
        <v>14.18</v>
      </c>
      <c r="M213" s="25">
        <v>12.21</v>
      </c>
      <c r="N213" s="25">
        <f t="shared" si="44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3"/>
        <v>25</v>
      </c>
      <c r="L214" s="25">
        <v>16.5</v>
      </c>
      <c r="M214" s="25">
        <v>14.19</v>
      </c>
      <c r="N214" s="25">
        <f t="shared" si="44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3"/>
        <v>25</v>
      </c>
      <c r="L215" s="25">
        <v>15.8</v>
      </c>
      <c r="M215" s="25">
        <v>14.92</v>
      </c>
      <c r="N215" s="25">
        <f t="shared" si="44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3"/>
        <v>25</v>
      </c>
      <c r="L216" s="25">
        <v>16.68</v>
      </c>
      <c r="M216" s="25">
        <v>15.51</v>
      </c>
      <c r="N216" s="25">
        <f t="shared" si="44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3"/>
        <v>25</v>
      </c>
      <c r="L217" s="25">
        <v>14.62</v>
      </c>
      <c r="M217" s="25">
        <v>13.04</v>
      </c>
      <c r="N217" s="25">
        <f t="shared" si="44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3"/>
        <v>26</v>
      </c>
      <c r="L218" s="25">
        <v>16.28</v>
      </c>
      <c r="M218" s="25">
        <v>8.23</v>
      </c>
      <c r="N218" s="25">
        <f t="shared" si="44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2" si="45">J219-A219</f>
        <v>25</v>
      </c>
      <c r="L219" s="25">
        <v>14.43</v>
      </c>
      <c r="M219" s="25">
        <v>12.77</v>
      </c>
      <c r="N219" s="25">
        <f t="shared" ref="N219:N230" si="46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5"/>
        <v>25</v>
      </c>
      <c r="L220" s="25">
        <v>16.77</v>
      </c>
      <c r="M220" s="25">
        <v>14.85</v>
      </c>
      <c r="N220" s="25">
        <f t="shared" si="46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5"/>
        <v>25</v>
      </c>
      <c r="L221" s="25">
        <v>15.11</v>
      </c>
      <c r="M221" s="25">
        <v>13.79</v>
      </c>
      <c r="N221" s="25">
        <f t="shared" si="46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5"/>
        <v>24</v>
      </c>
      <c r="L222" s="25">
        <v>16.170000000000002</v>
      </c>
      <c r="M222" s="25">
        <v>8.19</v>
      </c>
      <c r="N222" s="25">
        <f t="shared" si="46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ref="K223:K224" si="47">J223-A223</f>
        <v>24</v>
      </c>
      <c r="L223" s="25">
        <v>15.22</v>
      </c>
      <c r="M223" s="25">
        <v>7.81</v>
      </c>
      <c r="N223" s="25">
        <f t="shared" si="46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7"/>
        <v>24</v>
      </c>
      <c r="L224" s="25">
        <v>15.1</v>
      </c>
      <c r="M224" s="25">
        <v>7.56</v>
      </c>
      <c r="N224" s="25">
        <f t="shared" si="46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ref="K225" si="48">J225-A225</f>
        <v>24</v>
      </c>
      <c r="L225" s="25">
        <v>16.41</v>
      </c>
      <c r="M225" s="25">
        <v>14.18</v>
      </c>
      <c r="N225" s="25">
        <f t="shared" si="46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9">J226-A226</f>
        <v>24</v>
      </c>
      <c r="L226" s="25">
        <v>15.28</v>
      </c>
      <c r="M226" s="25">
        <v>13.98</v>
      </c>
      <c r="N226" s="25">
        <f t="shared" si="46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9"/>
        <v>24</v>
      </c>
      <c r="L227" s="25">
        <v>17.36</v>
      </c>
      <c r="M227" s="25">
        <v>15.86</v>
      </c>
      <c r="N227" s="25">
        <f t="shared" si="46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9"/>
        <v>24</v>
      </c>
      <c r="L228" s="25">
        <v>15.13</v>
      </c>
      <c r="M228" s="25">
        <v>13.74</v>
      </c>
      <c r="N228" s="25">
        <f t="shared" si="46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9"/>
        <v>24</v>
      </c>
      <c r="L229" s="25">
        <v>17.079999999999998</v>
      </c>
      <c r="M229" s="25">
        <v>14.91</v>
      </c>
      <c r="N229" s="25">
        <f t="shared" si="46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9"/>
        <v>24</v>
      </c>
      <c r="L230" s="25">
        <v>16.850000000000001</v>
      </c>
      <c r="M230" s="25">
        <v>14.58</v>
      </c>
      <c r="N230" s="25">
        <f t="shared" si="46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9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9"/>
        <v>24</v>
      </c>
      <c r="L232" s="25">
        <v>14.39</v>
      </c>
      <c r="M232" s="25">
        <v>7.2</v>
      </c>
      <c r="N232" s="25">
        <f t="shared" ref="N232:N235" si="50"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9"/>
        <v>24</v>
      </c>
      <c r="L233" s="25">
        <v>13.56</v>
      </c>
      <c r="M233" s="25">
        <v>6.92</v>
      </c>
      <c r="N233" s="25">
        <f t="shared" si="50"/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9"/>
        <v>24</v>
      </c>
      <c r="L234" s="25">
        <v>14.16</v>
      </c>
      <c r="M234" s="25">
        <v>7.03</v>
      </c>
      <c r="N234" s="25">
        <f t="shared" si="50"/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9"/>
        <v>24</v>
      </c>
      <c r="L235" s="25">
        <v>11.73</v>
      </c>
      <c r="M235" s="25">
        <v>5.56</v>
      </c>
      <c r="N235" s="25">
        <f t="shared" si="50"/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51">A236+23</f>
        <v>46018</v>
      </c>
      <c r="E236" s="77">
        <f t="shared" ref="E236:E251" si="52">A236+7</f>
        <v>46002</v>
      </c>
      <c r="F236" s="77">
        <f t="shared" ref="F236:F251" si="53">A236+14</f>
        <v>46009</v>
      </c>
      <c r="G236" s="77">
        <f t="shared" ref="G236:G251" si="54">A236+20</f>
        <v>46015</v>
      </c>
      <c r="H236" s="77">
        <f t="shared" ref="H236:H251" si="55">A236+8</f>
        <v>46003</v>
      </c>
      <c r="I236" s="77">
        <f t="shared" ref="I236:I251" si="56">A236+15</f>
        <v>46010</v>
      </c>
      <c r="J236" s="77">
        <v>46020</v>
      </c>
      <c r="K236" s="78">
        <f t="shared" ref="K236:K247" si="57">J236-A236</f>
        <v>25</v>
      </c>
      <c r="L236" s="25">
        <v>11.39</v>
      </c>
      <c r="M236" s="25">
        <v>5.25</v>
      </c>
      <c r="N236" s="25">
        <f t="shared" ref="N236:N249" si="58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51"/>
        <v>46018</v>
      </c>
      <c r="E237" s="77">
        <f t="shared" si="52"/>
        <v>46002</v>
      </c>
      <c r="F237" s="77">
        <f t="shared" si="53"/>
        <v>46009</v>
      </c>
      <c r="G237" s="77">
        <f t="shared" si="54"/>
        <v>46015</v>
      </c>
      <c r="H237" s="77">
        <f t="shared" si="55"/>
        <v>46003</v>
      </c>
      <c r="I237" s="77">
        <f t="shared" si="56"/>
        <v>46010</v>
      </c>
      <c r="J237" s="77">
        <v>46020</v>
      </c>
      <c r="K237" s="78">
        <f t="shared" si="57"/>
        <v>25</v>
      </c>
      <c r="L237" s="25">
        <v>10.67</v>
      </c>
      <c r="M237" s="25">
        <v>4.1399999999999997</v>
      </c>
      <c r="N237" s="25">
        <f t="shared" si="58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51"/>
        <v>46018</v>
      </c>
      <c r="E238" s="77">
        <f t="shared" si="52"/>
        <v>46002</v>
      </c>
      <c r="F238" s="77">
        <f t="shared" si="53"/>
        <v>46009</v>
      </c>
      <c r="G238" s="77">
        <f t="shared" si="54"/>
        <v>46015</v>
      </c>
      <c r="H238" s="77">
        <f t="shared" si="55"/>
        <v>46003</v>
      </c>
      <c r="I238" s="77">
        <f t="shared" si="56"/>
        <v>46010</v>
      </c>
      <c r="J238" s="77">
        <v>46020</v>
      </c>
      <c r="K238" s="78">
        <f t="shared" si="57"/>
        <v>25</v>
      </c>
      <c r="L238" s="25">
        <v>10.210000000000001</v>
      </c>
      <c r="M238" s="25">
        <v>3.81</v>
      </c>
      <c r="N238" s="25">
        <f t="shared" si="58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51"/>
        <v>46019</v>
      </c>
      <c r="E239" s="77">
        <f t="shared" si="52"/>
        <v>46003</v>
      </c>
      <c r="F239" s="77">
        <f t="shared" si="53"/>
        <v>46010</v>
      </c>
      <c r="G239" s="77">
        <f t="shared" si="54"/>
        <v>46016</v>
      </c>
      <c r="H239" s="77">
        <f t="shared" si="55"/>
        <v>46004</v>
      </c>
      <c r="I239" s="77">
        <f t="shared" si="56"/>
        <v>46011</v>
      </c>
      <c r="J239" s="77">
        <v>46020</v>
      </c>
      <c r="K239" s="78">
        <f t="shared" si="57"/>
        <v>24</v>
      </c>
      <c r="L239" s="25">
        <v>11.12</v>
      </c>
      <c r="M239" s="25">
        <v>5.15</v>
      </c>
      <c r="N239" s="25">
        <f t="shared" si="58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51"/>
        <v>46019</v>
      </c>
      <c r="E240" s="77">
        <f t="shared" si="52"/>
        <v>46003</v>
      </c>
      <c r="F240" s="77">
        <f t="shared" si="53"/>
        <v>46010</v>
      </c>
      <c r="G240" s="77">
        <f t="shared" si="54"/>
        <v>46016</v>
      </c>
      <c r="H240" s="77">
        <f t="shared" si="55"/>
        <v>46004</v>
      </c>
      <c r="I240" s="77">
        <f t="shared" si="56"/>
        <v>46011</v>
      </c>
      <c r="J240" s="77">
        <v>46020</v>
      </c>
      <c r="K240" s="78">
        <f t="shared" si="57"/>
        <v>24</v>
      </c>
      <c r="L240" s="25">
        <v>10.06</v>
      </c>
      <c r="M240" s="25">
        <v>3.38</v>
      </c>
      <c r="N240" s="25">
        <f t="shared" si="58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51"/>
        <v>46019</v>
      </c>
      <c r="E241" s="77">
        <f t="shared" si="52"/>
        <v>46003</v>
      </c>
      <c r="F241" s="77">
        <f t="shared" si="53"/>
        <v>46010</v>
      </c>
      <c r="G241" s="77">
        <f t="shared" si="54"/>
        <v>46016</v>
      </c>
      <c r="H241" s="77">
        <f t="shared" si="55"/>
        <v>46004</v>
      </c>
      <c r="I241" s="77">
        <f t="shared" si="56"/>
        <v>46011</v>
      </c>
      <c r="J241" s="77">
        <v>46019</v>
      </c>
      <c r="K241" s="78">
        <f t="shared" si="57"/>
        <v>23</v>
      </c>
      <c r="L241" s="25">
        <v>14.46</v>
      </c>
      <c r="M241" s="25">
        <v>12.66</v>
      </c>
      <c r="N241" s="25">
        <f t="shared" si="58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51"/>
        <v>46019</v>
      </c>
      <c r="E242" s="77">
        <f t="shared" si="52"/>
        <v>46003</v>
      </c>
      <c r="F242" s="77">
        <f t="shared" si="53"/>
        <v>46010</v>
      </c>
      <c r="G242" s="77">
        <f t="shared" si="54"/>
        <v>46016</v>
      </c>
      <c r="H242" s="77">
        <f t="shared" si="55"/>
        <v>46004</v>
      </c>
      <c r="I242" s="77">
        <f t="shared" si="56"/>
        <v>46011</v>
      </c>
      <c r="J242" s="77">
        <v>46019</v>
      </c>
      <c r="K242" s="78">
        <f t="shared" si="57"/>
        <v>23</v>
      </c>
      <c r="L242" s="25">
        <v>15.28</v>
      </c>
      <c r="M242" s="25">
        <v>13.36</v>
      </c>
      <c r="N242" s="25">
        <f t="shared" si="58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51"/>
        <v>46019</v>
      </c>
      <c r="E243" s="77">
        <f t="shared" si="52"/>
        <v>46003</v>
      </c>
      <c r="F243" s="77">
        <f t="shared" si="53"/>
        <v>46010</v>
      </c>
      <c r="G243" s="77">
        <f t="shared" si="54"/>
        <v>46016</v>
      </c>
      <c r="H243" s="77">
        <f t="shared" si="55"/>
        <v>46004</v>
      </c>
      <c r="I243" s="77">
        <f t="shared" si="56"/>
        <v>46011</v>
      </c>
      <c r="J243" s="77">
        <v>46019</v>
      </c>
      <c r="K243" s="78">
        <f t="shared" si="57"/>
        <v>23</v>
      </c>
      <c r="L243" s="25">
        <v>15.41</v>
      </c>
      <c r="M243" s="25">
        <v>13.51</v>
      </c>
      <c r="N243" s="25">
        <f t="shared" si="58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51"/>
        <v>46019</v>
      </c>
      <c r="E244" s="77">
        <f t="shared" si="52"/>
        <v>46003</v>
      </c>
      <c r="F244" s="77">
        <f t="shared" si="53"/>
        <v>46010</v>
      </c>
      <c r="G244" s="77">
        <f t="shared" si="54"/>
        <v>46016</v>
      </c>
      <c r="H244" s="77">
        <f t="shared" si="55"/>
        <v>46004</v>
      </c>
      <c r="I244" s="77">
        <f t="shared" si="56"/>
        <v>46011</v>
      </c>
      <c r="J244" s="77">
        <v>46019</v>
      </c>
      <c r="K244" s="78">
        <f t="shared" si="57"/>
        <v>23</v>
      </c>
      <c r="L244" s="25">
        <v>15.19</v>
      </c>
      <c r="M244" s="25">
        <v>13.29</v>
      </c>
      <c r="N244" s="25">
        <f t="shared" si="58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51"/>
        <v>46019</v>
      </c>
      <c r="E245" s="77">
        <f t="shared" si="52"/>
        <v>46003</v>
      </c>
      <c r="F245" s="77">
        <f t="shared" si="53"/>
        <v>46010</v>
      </c>
      <c r="G245" s="77">
        <f t="shared" si="54"/>
        <v>46016</v>
      </c>
      <c r="H245" s="77">
        <f t="shared" si="55"/>
        <v>46004</v>
      </c>
      <c r="I245" s="77">
        <f t="shared" si="56"/>
        <v>46011</v>
      </c>
      <c r="J245" s="77">
        <v>46019</v>
      </c>
      <c r="K245" s="78">
        <f t="shared" si="57"/>
        <v>23</v>
      </c>
      <c r="L245" s="25">
        <v>14.25</v>
      </c>
      <c r="M245" s="25">
        <v>12.54</v>
      </c>
      <c r="N245" s="25">
        <f t="shared" si="58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51"/>
        <v>46018</v>
      </c>
      <c r="E246" s="77">
        <f t="shared" si="52"/>
        <v>46002</v>
      </c>
      <c r="F246" s="77">
        <f t="shared" si="53"/>
        <v>46009</v>
      </c>
      <c r="G246" s="77">
        <f t="shared" si="54"/>
        <v>46015</v>
      </c>
      <c r="H246" s="77">
        <f t="shared" si="55"/>
        <v>46003</v>
      </c>
      <c r="I246" s="77">
        <f t="shared" si="56"/>
        <v>46010</v>
      </c>
      <c r="J246" s="77">
        <v>46020</v>
      </c>
      <c r="K246" s="78">
        <f t="shared" si="57"/>
        <v>25</v>
      </c>
      <c r="L246" s="25">
        <v>12.43</v>
      </c>
      <c r="M246" s="25">
        <v>10.59</v>
      </c>
      <c r="N246" s="25">
        <f t="shared" si="58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51"/>
        <v>46018</v>
      </c>
      <c r="E247" s="77">
        <f t="shared" si="52"/>
        <v>46002</v>
      </c>
      <c r="F247" s="77">
        <f t="shared" si="53"/>
        <v>46009</v>
      </c>
      <c r="G247" s="77">
        <f t="shared" si="54"/>
        <v>46015</v>
      </c>
      <c r="H247" s="77">
        <f t="shared" si="55"/>
        <v>46003</v>
      </c>
      <c r="I247" s="77">
        <f t="shared" si="56"/>
        <v>46010</v>
      </c>
      <c r="J247" s="77">
        <v>46020</v>
      </c>
      <c r="K247" s="78">
        <f t="shared" si="57"/>
        <v>25</v>
      </c>
      <c r="L247" s="25">
        <v>14.85</v>
      </c>
      <c r="M247" s="25">
        <v>12.71</v>
      </c>
      <c r="N247" s="25">
        <f t="shared" si="58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51"/>
        <v>46020</v>
      </c>
      <c r="E248" s="77">
        <f t="shared" si="52"/>
        <v>46004</v>
      </c>
      <c r="F248" s="77">
        <f t="shared" si="53"/>
        <v>46011</v>
      </c>
      <c r="G248" s="77">
        <f t="shared" si="54"/>
        <v>46017</v>
      </c>
      <c r="H248" s="77">
        <f t="shared" si="55"/>
        <v>46005</v>
      </c>
      <c r="I248" s="77">
        <f t="shared" si="56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8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51"/>
        <v>46020</v>
      </c>
      <c r="E249" s="77">
        <f t="shared" si="52"/>
        <v>46004</v>
      </c>
      <c r="F249" s="77">
        <f t="shared" si="53"/>
        <v>46011</v>
      </c>
      <c r="G249" s="77">
        <f t="shared" si="54"/>
        <v>46017</v>
      </c>
      <c r="H249" s="77">
        <f t="shared" si="55"/>
        <v>46005</v>
      </c>
      <c r="I249" s="77">
        <f t="shared" si="56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8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51"/>
        <v>46020</v>
      </c>
      <c r="E250" s="77">
        <f t="shared" si="52"/>
        <v>46004</v>
      </c>
      <c r="F250" s="77">
        <f t="shared" si="53"/>
        <v>46011</v>
      </c>
      <c r="G250" s="77">
        <f t="shared" si="54"/>
        <v>46017</v>
      </c>
      <c r="H250" s="77">
        <f t="shared" si="55"/>
        <v>46005</v>
      </c>
      <c r="I250" s="77">
        <f t="shared" si="56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51"/>
        <v>46020</v>
      </c>
      <c r="E251" s="77">
        <f t="shared" si="52"/>
        <v>46004</v>
      </c>
      <c r="F251" s="77">
        <f t="shared" si="53"/>
        <v>46011</v>
      </c>
      <c r="G251" s="77">
        <f t="shared" si="54"/>
        <v>46017</v>
      </c>
      <c r="H251" s="77">
        <f t="shared" si="55"/>
        <v>46005</v>
      </c>
      <c r="I251" s="77">
        <f t="shared" si="56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9">J252-A252</f>
        <v>22</v>
      </c>
      <c r="L252" s="25">
        <v>13.06</v>
      </c>
      <c r="M252" s="25">
        <v>11.31</v>
      </c>
      <c r="N252" s="25">
        <f t="shared" ref="N252:N315" si="60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9"/>
        <v>22</v>
      </c>
      <c r="L253" s="25">
        <v>14.18</v>
      </c>
      <c r="M253" s="25">
        <v>12.48</v>
      </c>
      <c r="N253" s="25">
        <f t="shared" si="60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9"/>
        <v>22</v>
      </c>
      <c r="L254" s="25">
        <v>13.18</v>
      </c>
      <c r="M254" s="25">
        <v>11.73</v>
      </c>
      <c r="N254" s="25">
        <f t="shared" si="60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9"/>
        <v>23</v>
      </c>
      <c r="L255" s="25">
        <v>14.11</v>
      </c>
      <c r="M255" s="25">
        <v>7.59</v>
      </c>
      <c r="N255" s="25">
        <f t="shared" si="60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9"/>
        <v>23</v>
      </c>
      <c r="L256" s="25">
        <v>14.67</v>
      </c>
      <c r="M256" s="25">
        <v>12.51</v>
      </c>
      <c r="N256" s="25">
        <f t="shared" si="60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9"/>
        <v>23</v>
      </c>
      <c r="L257" s="25">
        <v>12.38</v>
      </c>
      <c r="M257" s="25">
        <v>10.74</v>
      </c>
      <c r="N257" s="25">
        <f t="shared" si="60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9"/>
        <v>23</v>
      </c>
      <c r="L258" s="25">
        <v>14.47</v>
      </c>
      <c r="M258" s="25">
        <v>12.58</v>
      </c>
      <c r="N258" s="25">
        <f t="shared" si="60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61">A259+23</f>
        <v>46021</v>
      </c>
      <c r="E259" s="77">
        <f t="shared" ref="E259:E322" si="62">A259+7</f>
        <v>46005</v>
      </c>
      <c r="F259" s="77">
        <f t="shared" ref="F259:F322" si="63">A259+14</f>
        <v>46012</v>
      </c>
      <c r="G259" s="77">
        <f t="shared" ref="G259:G322" si="64">A259+20</f>
        <v>46018</v>
      </c>
      <c r="H259" s="77">
        <f t="shared" ref="H259:H322" si="65">A259+8</f>
        <v>46006</v>
      </c>
      <c r="I259" s="77">
        <f t="shared" ref="I259:I322" si="66">A259+15</f>
        <v>46013</v>
      </c>
      <c r="J259" s="77">
        <v>46021</v>
      </c>
      <c r="K259" s="78">
        <f t="shared" si="59"/>
        <v>23</v>
      </c>
      <c r="L259" s="25">
        <v>13.56</v>
      </c>
      <c r="M259" s="25">
        <v>11.86</v>
      </c>
      <c r="N259" s="25">
        <f t="shared" si="60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61"/>
        <v>46021</v>
      </c>
      <c r="E260" s="77">
        <f t="shared" si="62"/>
        <v>46005</v>
      </c>
      <c r="F260" s="77">
        <f t="shared" si="63"/>
        <v>46012</v>
      </c>
      <c r="G260" s="77">
        <f t="shared" si="64"/>
        <v>46018</v>
      </c>
      <c r="H260" s="77">
        <f t="shared" si="65"/>
        <v>46006</v>
      </c>
      <c r="I260" s="77">
        <f t="shared" si="66"/>
        <v>46013</v>
      </c>
      <c r="J260" s="77">
        <v>46021</v>
      </c>
      <c r="K260" s="78">
        <f t="shared" si="59"/>
        <v>23</v>
      </c>
      <c r="L260" s="25">
        <v>14.19</v>
      </c>
      <c r="M260" s="25">
        <v>12.1</v>
      </c>
      <c r="N260" s="25">
        <f t="shared" si="60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61"/>
        <v>46021</v>
      </c>
      <c r="E261" s="77">
        <f t="shared" si="62"/>
        <v>46005</v>
      </c>
      <c r="F261" s="77">
        <f t="shared" si="63"/>
        <v>46012</v>
      </c>
      <c r="G261" s="77">
        <f t="shared" si="64"/>
        <v>46018</v>
      </c>
      <c r="H261" s="77">
        <f t="shared" si="65"/>
        <v>46006</v>
      </c>
      <c r="I261" s="77">
        <f t="shared" si="66"/>
        <v>46013</v>
      </c>
      <c r="J261" s="77">
        <v>46023</v>
      </c>
      <c r="K261" s="78">
        <f t="shared" si="59"/>
        <v>25</v>
      </c>
      <c r="L261" s="25">
        <v>13.37</v>
      </c>
      <c r="M261" s="25">
        <v>11.24</v>
      </c>
      <c r="N261" s="25">
        <f t="shared" si="60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61"/>
        <v>46021</v>
      </c>
      <c r="E262" s="77">
        <f t="shared" si="62"/>
        <v>46005</v>
      </c>
      <c r="F262" s="77">
        <f t="shared" si="63"/>
        <v>46012</v>
      </c>
      <c r="G262" s="77">
        <f t="shared" si="64"/>
        <v>46018</v>
      </c>
      <c r="H262" s="77">
        <f t="shared" si="65"/>
        <v>46006</v>
      </c>
      <c r="I262" s="77">
        <f t="shared" si="66"/>
        <v>46013</v>
      </c>
      <c r="J262" s="77">
        <v>46023</v>
      </c>
      <c r="K262" s="78">
        <f t="shared" si="59"/>
        <v>25</v>
      </c>
      <c r="L262" s="25">
        <v>12.68</v>
      </c>
      <c r="M262" s="25">
        <v>10.37</v>
      </c>
      <c r="N262" s="25">
        <f t="shared" si="60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61"/>
        <v>46021</v>
      </c>
      <c r="E263" s="77">
        <f t="shared" si="62"/>
        <v>46005</v>
      </c>
      <c r="F263" s="77">
        <f t="shared" si="63"/>
        <v>46012</v>
      </c>
      <c r="G263" s="77">
        <f t="shared" si="64"/>
        <v>46018</v>
      </c>
      <c r="H263" s="77">
        <f t="shared" si="65"/>
        <v>46006</v>
      </c>
      <c r="I263" s="77">
        <f t="shared" si="66"/>
        <v>46013</v>
      </c>
      <c r="J263" s="77">
        <v>46024</v>
      </c>
      <c r="K263" s="78">
        <f t="shared" si="59"/>
        <v>26</v>
      </c>
      <c r="L263" s="25">
        <v>8.5399999999999991</v>
      </c>
      <c r="M263" s="25">
        <v>7.42</v>
      </c>
      <c r="N263" s="25">
        <f t="shared" si="60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61"/>
        <v>46022</v>
      </c>
      <c r="E264" s="77">
        <f t="shared" si="62"/>
        <v>46006</v>
      </c>
      <c r="F264" s="77">
        <f t="shared" si="63"/>
        <v>46013</v>
      </c>
      <c r="G264" s="77">
        <f t="shared" si="64"/>
        <v>46019</v>
      </c>
      <c r="H264" s="77">
        <f t="shared" si="65"/>
        <v>46007</v>
      </c>
      <c r="I264" s="77">
        <f t="shared" si="66"/>
        <v>46014</v>
      </c>
      <c r="J264" s="77">
        <v>46024</v>
      </c>
      <c r="K264" s="78">
        <f t="shared" si="59"/>
        <v>25</v>
      </c>
      <c r="L264" s="25">
        <v>6.81</v>
      </c>
      <c r="M264" s="25">
        <v>6.7</v>
      </c>
      <c r="N264" s="25">
        <f t="shared" si="60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61"/>
        <v>46022</v>
      </c>
      <c r="E265" s="77">
        <f t="shared" si="62"/>
        <v>46006</v>
      </c>
      <c r="F265" s="77">
        <f t="shared" si="63"/>
        <v>46013</v>
      </c>
      <c r="G265" s="77">
        <f t="shared" si="64"/>
        <v>46019</v>
      </c>
      <c r="H265" s="77">
        <f t="shared" si="65"/>
        <v>46007</v>
      </c>
      <c r="I265" s="77">
        <f t="shared" si="66"/>
        <v>46014</v>
      </c>
      <c r="J265" s="77">
        <v>46024</v>
      </c>
      <c r="K265" s="78">
        <f t="shared" si="59"/>
        <v>25</v>
      </c>
      <c r="L265" s="25">
        <v>8.26</v>
      </c>
      <c r="M265" s="25">
        <v>7.23</v>
      </c>
      <c r="N265" s="25">
        <f t="shared" si="60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61"/>
        <v>46022</v>
      </c>
      <c r="E266" s="77">
        <f t="shared" si="62"/>
        <v>46006</v>
      </c>
      <c r="F266" s="77">
        <f t="shared" si="63"/>
        <v>46013</v>
      </c>
      <c r="G266" s="77">
        <f t="shared" si="64"/>
        <v>46019</v>
      </c>
      <c r="H266" s="77">
        <f t="shared" si="65"/>
        <v>46007</v>
      </c>
      <c r="I266" s="77">
        <f t="shared" si="66"/>
        <v>46014</v>
      </c>
      <c r="J266" s="77">
        <v>46024</v>
      </c>
      <c r="K266" s="78">
        <f t="shared" si="59"/>
        <v>25</v>
      </c>
      <c r="L266" s="25">
        <v>7.63</v>
      </c>
      <c r="M266" s="25">
        <v>7.12</v>
      </c>
      <c r="N266" s="25">
        <f t="shared" si="60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61"/>
        <v>46022</v>
      </c>
      <c r="E267" s="77">
        <f t="shared" si="62"/>
        <v>46006</v>
      </c>
      <c r="F267" s="77">
        <f t="shared" si="63"/>
        <v>46013</v>
      </c>
      <c r="G267" s="77">
        <f t="shared" si="64"/>
        <v>46019</v>
      </c>
      <c r="H267" s="77">
        <f t="shared" si="65"/>
        <v>46007</v>
      </c>
      <c r="I267" s="77">
        <f t="shared" si="66"/>
        <v>46014</v>
      </c>
      <c r="J267" s="77">
        <v>46025</v>
      </c>
      <c r="K267" s="78">
        <f t="shared" si="59"/>
        <v>26</v>
      </c>
      <c r="L267" s="25">
        <v>7.26</v>
      </c>
      <c r="M267" s="25">
        <v>5.54</v>
      </c>
      <c r="N267" s="25">
        <f t="shared" si="60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61"/>
        <v>46022</v>
      </c>
      <c r="E268" s="77">
        <f t="shared" si="62"/>
        <v>46006</v>
      </c>
      <c r="F268" s="77">
        <f t="shared" si="63"/>
        <v>46013</v>
      </c>
      <c r="G268" s="77">
        <f t="shared" si="64"/>
        <v>46019</v>
      </c>
      <c r="H268" s="77">
        <f t="shared" si="65"/>
        <v>46007</v>
      </c>
      <c r="I268" s="77">
        <f t="shared" si="66"/>
        <v>46014</v>
      </c>
      <c r="J268" s="77">
        <v>46025</v>
      </c>
      <c r="K268" s="78">
        <f t="shared" si="59"/>
        <v>26</v>
      </c>
      <c r="L268" s="25">
        <v>6.93</v>
      </c>
      <c r="M268" s="25">
        <v>5.21</v>
      </c>
      <c r="N268" s="25">
        <f t="shared" si="60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61"/>
        <v>46022</v>
      </c>
      <c r="E269" s="77">
        <f t="shared" si="62"/>
        <v>46006</v>
      </c>
      <c r="F269" s="77">
        <f t="shared" si="63"/>
        <v>46013</v>
      </c>
      <c r="G269" s="77">
        <f t="shared" si="64"/>
        <v>46019</v>
      </c>
      <c r="H269" s="77">
        <f t="shared" si="65"/>
        <v>46007</v>
      </c>
      <c r="I269" s="77">
        <f t="shared" si="66"/>
        <v>46014</v>
      </c>
      <c r="J269" s="77">
        <v>46025</v>
      </c>
      <c r="K269" s="78">
        <f t="shared" si="59"/>
        <v>26</v>
      </c>
      <c r="L269" s="25">
        <v>12.09</v>
      </c>
      <c r="M269" s="25">
        <v>12.09</v>
      </c>
      <c r="N269" s="25">
        <f t="shared" si="60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61"/>
        <v>46022</v>
      </c>
      <c r="E270" s="77">
        <f t="shared" si="62"/>
        <v>46006</v>
      </c>
      <c r="F270" s="77">
        <f t="shared" si="63"/>
        <v>46013</v>
      </c>
      <c r="G270" s="77">
        <f t="shared" si="64"/>
        <v>46019</v>
      </c>
      <c r="H270" s="77">
        <f t="shared" si="65"/>
        <v>46007</v>
      </c>
      <c r="I270" s="77">
        <f t="shared" si="66"/>
        <v>46014</v>
      </c>
      <c r="J270" s="77">
        <v>46026</v>
      </c>
      <c r="K270" s="78">
        <f t="shared" si="59"/>
        <v>27</v>
      </c>
      <c r="L270" s="25">
        <v>12.51</v>
      </c>
      <c r="M270" s="25">
        <v>10.26</v>
      </c>
      <c r="N270" s="25">
        <f t="shared" si="60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61"/>
        <v>46023</v>
      </c>
      <c r="E271" s="77">
        <f t="shared" si="62"/>
        <v>46007</v>
      </c>
      <c r="F271" s="77">
        <f t="shared" si="63"/>
        <v>46014</v>
      </c>
      <c r="G271" s="77">
        <f t="shared" si="64"/>
        <v>46020</v>
      </c>
      <c r="H271" s="77">
        <f t="shared" si="65"/>
        <v>46008</v>
      </c>
      <c r="I271" s="77">
        <f t="shared" si="66"/>
        <v>46015</v>
      </c>
      <c r="J271" s="77">
        <v>46027</v>
      </c>
      <c r="K271" s="78">
        <f t="shared" si="59"/>
        <v>27</v>
      </c>
      <c r="L271" s="25">
        <v>7.3</v>
      </c>
      <c r="M271" s="25">
        <v>7</v>
      </c>
      <c r="N271" s="25">
        <f t="shared" si="60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61"/>
        <v>46023</v>
      </c>
      <c r="E272" s="77">
        <f t="shared" si="62"/>
        <v>46007</v>
      </c>
      <c r="F272" s="77">
        <f t="shared" si="63"/>
        <v>46014</v>
      </c>
      <c r="G272" s="77">
        <f t="shared" si="64"/>
        <v>46020</v>
      </c>
      <c r="H272" s="77">
        <f t="shared" si="65"/>
        <v>46008</v>
      </c>
      <c r="I272" s="77">
        <f t="shared" si="66"/>
        <v>46015</v>
      </c>
      <c r="J272" s="77">
        <v>46027</v>
      </c>
      <c r="K272" s="78">
        <f t="shared" si="59"/>
        <v>27</v>
      </c>
      <c r="L272" s="25">
        <v>9.17</v>
      </c>
      <c r="M272" s="25">
        <v>8.92</v>
      </c>
      <c r="N272" s="25">
        <f t="shared" si="60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61"/>
        <v>46023</v>
      </c>
      <c r="E273" s="77">
        <f t="shared" si="62"/>
        <v>46007</v>
      </c>
      <c r="F273" s="77">
        <f t="shared" si="63"/>
        <v>46014</v>
      </c>
      <c r="G273" s="77">
        <f t="shared" si="64"/>
        <v>46020</v>
      </c>
      <c r="H273" s="77">
        <f t="shared" si="65"/>
        <v>46008</v>
      </c>
      <c r="I273" s="77">
        <f t="shared" si="66"/>
        <v>46015</v>
      </c>
      <c r="J273" s="77">
        <v>46029</v>
      </c>
      <c r="K273" s="78">
        <f t="shared" si="59"/>
        <v>29</v>
      </c>
      <c r="L273" s="84">
        <v>12.67</v>
      </c>
      <c r="M273" s="82">
        <v>6.58</v>
      </c>
      <c r="N273" s="25">
        <f t="shared" si="60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61"/>
        <v>46023</v>
      </c>
      <c r="E274" s="77">
        <f t="shared" si="62"/>
        <v>46007</v>
      </c>
      <c r="F274" s="77">
        <f t="shared" si="63"/>
        <v>46014</v>
      </c>
      <c r="G274" s="77">
        <f t="shared" si="64"/>
        <v>46020</v>
      </c>
      <c r="H274" s="77">
        <f t="shared" si="65"/>
        <v>46008</v>
      </c>
      <c r="I274" s="77">
        <f t="shared" si="66"/>
        <v>46015</v>
      </c>
      <c r="J274" s="77">
        <v>46029</v>
      </c>
      <c r="K274" s="78">
        <f t="shared" si="59"/>
        <v>29</v>
      </c>
      <c r="L274" s="84">
        <v>13.73</v>
      </c>
      <c r="M274" s="82">
        <v>7.52</v>
      </c>
      <c r="N274" s="25">
        <f t="shared" si="60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61"/>
        <v>46023</v>
      </c>
      <c r="E275" s="77">
        <f t="shared" si="62"/>
        <v>46007</v>
      </c>
      <c r="F275" s="77">
        <f t="shared" si="63"/>
        <v>46014</v>
      </c>
      <c r="G275" s="77">
        <f t="shared" si="64"/>
        <v>46020</v>
      </c>
      <c r="H275" s="77">
        <f t="shared" si="65"/>
        <v>46008</v>
      </c>
      <c r="I275" s="77">
        <f t="shared" si="66"/>
        <v>46015</v>
      </c>
      <c r="J275" s="77">
        <v>46029</v>
      </c>
      <c r="K275" s="78">
        <f t="shared" si="59"/>
        <v>29</v>
      </c>
      <c r="L275" s="84">
        <v>14.11</v>
      </c>
      <c r="M275" s="82">
        <v>7.8</v>
      </c>
      <c r="N275" s="25">
        <f t="shared" si="60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61"/>
        <v>46023</v>
      </c>
      <c r="E276" s="77">
        <f t="shared" si="62"/>
        <v>46007</v>
      </c>
      <c r="F276" s="77">
        <f t="shared" si="63"/>
        <v>46014</v>
      </c>
      <c r="G276" s="77">
        <f t="shared" si="64"/>
        <v>46020</v>
      </c>
      <c r="H276" s="77">
        <f t="shared" si="65"/>
        <v>46008</v>
      </c>
      <c r="I276" s="77">
        <f t="shared" si="66"/>
        <v>46015</v>
      </c>
      <c r="J276" s="77">
        <v>46029</v>
      </c>
      <c r="K276" s="78">
        <f t="shared" si="59"/>
        <v>29</v>
      </c>
      <c r="L276" s="84">
        <v>13.82</v>
      </c>
      <c r="M276" s="82">
        <v>12.54</v>
      </c>
      <c r="N276" s="25">
        <f t="shared" si="60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61"/>
        <v>46023</v>
      </c>
      <c r="E277" s="77">
        <f t="shared" si="62"/>
        <v>46007</v>
      </c>
      <c r="F277" s="77">
        <f t="shared" si="63"/>
        <v>46014</v>
      </c>
      <c r="G277" s="77">
        <f t="shared" si="64"/>
        <v>46020</v>
      </c>
      <c r="H277" s="77">
        <f t="shared" si="65"/>
        <v>46008</v>
      </c>
      <c r="I277" s="77">
        <f t="shared" si="66"/>
        <v>46015</v>
      </c>
      <c r="J277" s="77">
        <v>46029</v>
      </c>
      <c r="K277" s="78">
        <f t="shared" si="59"/>
        <v>29</v>
      </c>
      <c r="L277" s="84">
        <v>14.75</v>
      </c>
      <c r="M277" s="82">
        <v>13.21</v>
      </c>
      <c r="N277" s="25">
        <f t="shared" si="60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61"/>
        <v>46024</v>
      </c>
      <c r="E278" s="77">
        <f t="shared" si="62"/>
        <v>46008</v>
      </c>
      <c r="F278" s="77">
        <f t="shared" si="63"/>
        <v>46015</v>
      </c>
      <c r="G278" s="77">
        <f t="shared" si="64"/>
        <v>46021</v>
      </c>
      <c r="H278" s="77">
        <f t="shared" si="65"/>
        <v>46009</v>
      </c>
      <c r="I278" s="77">
        <f t="shared" si="66"/>
        <v>46016</v>
      </c>
      <c r="J278" s="77">
        <v>46029</v>
      </c>
      <c r="K278" s="78">
        <f t="shared" si="59"/>
        <v>28</v>
      </c>
      <c r="L278" s="84">
        <v>14.06</v>
      </c>
      <c r="M278" s="82">
        <v>12.88</v>
      </c>
      <c r="N278" s="25">
        <f t="shared" si="60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61"/>
        <v>46024</v>
      </c>
      <c r="E279" s="77">
        <f t="shared" si="62"/>
        <v>46008</v>
      </c>
      <c r="F279" s="77">
        <f t="shared" si="63"/>
        <v>46015</v>
      </c>
      <c r="G279" s="77">
        <f t="shared" si="64"/>
        <v>46021</v>
      </c>
      <c r="H279" s="77">
        <f t="shared" si="65"/>
        <v>46009</v>
      </c>
      <c r="I279" s="77">
        <f t="shared" si="66"/>
        <v>46016</v>
      </c>
      <c r="J279" s="77">
        <v>46029</v>
      </c>
      <c r="K279" s="78">
        <f t="shared" si="59"/>
        <v>28</v>
      </c>
      <c r="L279" s="84">
        <v>12.3</v>
      </c>
      <c r="M279" s="82">
        <v>11.1</v>
      </c>
      <c r="N279" s="25">
        <f t="shared" si="60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61"/>
        <v>46024</v>
      </c>
      <c r="E280" s="77">
        <f t="shared" si="62"/>
        <v>46008</v>
      </c>
      <c r="F280" s="77">
        <f t="shared" si="63"/>
        <v>46015</v>
      </c>
      <c r="G280" s="77">
        <f t="shared" si="64"/>
        <v>46021</v>
      </c>
      <c r="H280" s="77">
        <f t="shared" si="65"/>
        <v>46009</v>
      </c>
      <c r="I280" s="77">
        <f t="shared" si="66"/>
        <v>46016</v>
      </c>
      <c r="J280" s="77">
        <v>46029</v>
      </c>
      <c r="K280" s="78">
        <f t="shared" si="59"/>
        <v>28</v>
      </c>
      <c r="L280" s="84">
        <v>11.18</v>
      </c>
      <c r="M280" s="82">
        <v>9.2799999999999994</v>
      </c>
      <c r="N280" s="25">
        <f t="shared" si="60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61"/>
        <v>46024</v>
      </c>
      <c r="E281" s="77">
        <f t="shared" si="62"/>
        <v>46008</v>
      </c>
      <c r="F281" s="77">
        <f t="shared" si="63"/>
        <v>46015</v>
      </c>
      <c r="G281" s="77">
        <f t="shared" si="64"/>
        <v>46021</v>
      </c>
      <c r="H281" s="77">
        <f t="shared" si="65"/>
        <v>46009</v>
      </c>
      <c r="I281" s="77">
        <f t="shared" si="66"/>
        <v>46016</v>
      </c>
      <c r="J281" s="77">
        <v>46030</v>
      </c>
      <c r="K281" s="78">
        <f t="shared" si="59"/>
        <v>29</v>
      </c>
      <c r="L281" s="84">
        <v>11.36</v>
      </c>
      <c r="M281" s="82">
        <v>5.21</v>
      </c>
      <c r="N281" s="25">
        <f t="shared" si="60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61"/>
        <v>46024</v>
      </c>
      <c r="E282" s="77">
        <f t="shared" si="62"/>
        <v>46008</v>
      </c>
      <c r="F282" s="77">
        <f t="shared" si="63"/>
        <v>46015</v>
      </c>
      <c r="G282" s="77">
        <f t="shared" si="64"/>
        <v>46021</v>
      </c>
      <c r="H282" s="77">
        <f t="shared" si="65"/>
        <v>46009</v>
      </c>
      <c r="I282" s="77">
        <f t="shared" si="66"/>
        <v>46016</v>
      </c>
      <c r="J282" s="77">
        <v>46030</v>
      </c>
      <c r="K282" s="78">
        <f t="shared" si="59"/>
        <v>29</v>
      </c>
      <c r="L282" s="84">
        <v>10.85</v>
      </c>
      <c r="M282" s="82">
        <v>4.57</v>
      </c>
      <c r="N282" s="25">
        <f t="shared" si="60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61"/>
        <v>46024</v>
      </c>
      <c r="E283" s="77">
        <f t="shared" si="62"/>
        <v>46008</v>
      </c>
      <c r="F283" s="77">
        <f t="shared" si="63"/>
        <v>46015</v>
      </c>
      <c r="G283" s="77">
        <f t="shared" si="64"/>
        <v>46021</v>
      </c>
      <c r="H283" s="77">
        <f t="shared" si="65"/>
        <v>46009</v>
      </c>
      <c r="I283" s="77">
        <f t="shared" si="66"/>
        <v>46016</v>
      </c>
      <c r="J283" s="77">
        <v>46030</v>
      </c>
      <c r="K283" s="78">
        <f t="shared" si="59"/>
        <v>29</v>
      </c>
      <c r="L283" s="84">
        <v>9.7899999999999991</v>
      </c>
      <c r="M283" s="82">
        <v>4.1500000000000004</v>
      </c>
      <c r="N283" s="25">
        <f t="shared" si="60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61"/>
        <v>46024</v>
      </c>
      <c r="E284" s="77">
        <f t="shared" si="62"/>
        <v>46008</v>
      </c>
      <c r="F284" s="77">
        <f t="shared" si="63"/>
        <v>46015</v>
      </c>
      <c r="G284" s="77">
        <f t="shared" si="64"/>
        <v>46021</v>
      </c>
      <c r="H284" s="77">
        <f t="shared" si="65"/>
        <v>46009</v>
      </c>
      <c r="I284" s="77">
        <f t="shared" si="66"/>
        <v>46016</v>
      </c>
      <c r="J284" s="77">
        <v>46030</v>
      </c>
      <c r="K284" s="78">
        <f t="shared" si="59"/>
        <v>29</v>
      </c>
      <c r="L284" s="84">
        <v>11.68</v>
      </c>
      <c r="M284" s="82">
        <v>5.73</v>
      </c>
      <c r="N284" s="25">
        <f t="shared" si="60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61"/>
        <v>46025</v>
      </c>
      <c r="E285" s="77">
        <f t="shared" si="62"/>
        <v>46009</v>
      </c>
      <c r="F285" s="77">
        <f t="shared" si="63"/>
        <v>46016</v>
      </c>
      <c r="G285" s="77">
        <f t="shared" si="64"/>
        <v>46022</v>
      </c>
      <c r="H285" s="77">
        <f t="shared" si="65"/>
        <v>46010</v>
      </c>
      <c r="I285" s="77">
        <f t="shared" si="66"/>
        <v>46017</v>
      </c>
      <c r="J285" s="77">
        <v>46030</v>
      </c>
      <c r="K285" s="78">
        <f t="shared" si="59"/>
        <v>28</v>
      </c>
      <c r="L285" s="84">
        <v>10.11</v>
      </c>
      <c r="M285" s="82">
        <v>8.59</v>
      </c>
      <c r="N285" s="25">
        <f t="shared" si="60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61"/>
        <v>46025</v>
      </c>
      <c r="E286" s="77">
        <f t="shared" si="62"/>
        <v>46009</v>
      </c>
      <c r="F286" s="77">
        <f t="shared" si="63"/>
        <v>46016</v>
      </c>
      <c r="G286" s="77">
        <f t="shared" si="64"/>
        <v>46022</v>
      </c>
      <c r="H286" s="77">
        <f t="shared" si="65"/>
        <v>46010</v>
      </c>
      <c r="I286" s="77">
        <f t="shared" si="66"/>
        <v>46017</v>
      </c>
      <c r="J286" s="77">
        <v>46030</v>
      </c>
      <c r="K286" s="78">
        <f t="shared" si="59"/>
        <v>28</v>
      </c>
      <c r="L286" s="84">
        <v>11.57</v>
      </c>
      <c r="M286" s="82">
        <v>9.1199999999999992</v>
      </c>
      <c r="N286" s="25">
        <f t="shared" si="60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61"/>
        <v>46025</v>
      </c>
      <c r="E287" s="77">
        <f t="shared" si="62"/>
        <v>46009</v>
      </c>
      <c r="F287" s="77">
        <f t="shared" si="63"/>
        <v>46016</v>
      </c>
      <c r="G287" s="77">
        <f t="shared" si="64"/>
        <v>46022</v>
      </c>
      <c r="H287" s="77">
        <f t="shared" si="65"/>
        <v>46010</v>
      </c>
      <c r="I287" s="77">
        <f t="shared" si="66"/>
        <v>46017</v>
      </c>
      <c r="J287" s="77">
        <v>46030</v>
      </c>
      <c r="K287" s="78">
        <f t="shared" si="59"/>
        <v>28</v>
      </c>
      <c r="L287" s="84">
        <v>10.98</v>
      </c>
      <c r="M287" s="82">
        <v>9.31</v>
      </c>
      <c r="N287" s="25">
        <f t="shared" si="60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61"/>
        <v>46025</v>
      </c>
      <c r="E288" s="77">
        <f t="shared" si="62"/>
        <v>46009</v>
      </c>
      <c r="F288" s="77">
        <f t="shared" si="63"/>
        <v>46016</v>
      </c>
      <c r="G288" s="77">
        <f t="shared" si="64"/>
        <v>46022</v>
      </c>
      <c r="H288" s="77">
        <f t="shared" si="65"/>
        <v>46010</v>
      </c>
      <c r="I288" s="77">
        <f t="shared" si="66"/>
        <v>46017</v>
      </c>
      <c r="J288" s="77">
        <v>46030</v>
      </c>
      <c r="K288" s="78">
        <f t="shared" si="59"/>
        <v>28</v>
      </c>
      <c r="L288" s="84">
        <v>13.24</v>
      </c>
      <c r="M288" s="82">
        <v>10.47</v>
      </c>
      <c r="N288" s="25">
        <f t="shared" si="60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61"/>
        <v>46025</v>
      </c>
      <c r="E289" s="77">
        <f t="shared" si="62"/>
        <v>46009</v>
      </c>
      <c r="F289" s="77">
        <f t="shared" si="63"/>
        <v>46016</v>
      </c>
      <c r="G289" s="77">
        <f t="shared" si="64"/>
        <v>46022</v>
      </c>
      <c r="H289" s="77">
        <f t="shared" si="65"/>
        <v>46010</v>
      </c>
      <c r="I289" s="77">
        <f t="shared" si="66"/>
        <v>46017</v>
      </c>
      <c r="J289" s="77">
        <v>46031</v>
      </c>
      <c r="K289" s="78">
        <f t="shared" si="59"/>
        <v>29</v>
      </c>
      <c r="L289" s="25">
        <v>10.91</v>
      </c>
      <c r="M289" s="25">
        <v>5.69</v>
      </c>
      <c r="N289" s="25">
        <f t="shared" si="60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61"/>
        <v>46025</v>
      </c>
      <c r="E290" s="77">
        <f t="shared" si="62"/>
        <v>46009</v>
      </c>
      <c r="F290" s="77">
        <f t="shared" si="63"/>
        <v>46016</v>
      </c>
      <c r="G290" s="77">
        <f t="shared" si="64"/>
        <v>46022</v>
      </c>
      <c r="H290" s="77">
        <f t="shared" si="65"/>
        <v>46010</v>
      </c>
      <c r="I290" s="77">
        <f t="shared" si="66"/>
        <v>46017</v>
      </c>
      <c r="J290" s="77">
        <v>46031</v>
      </c>
      <c r="K290" s="78">
        <f t="shared" si="59"/>
        <v>29</v>
      </c>
      <c r="L290" s="25">
        <v>11.19</v>
      </c>
      <c r="M290" s="25">
        <v>5.87</v>
      </c>
      <c r="N290" s="25">
        <f t="shared" si="60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61"/>
        <v>46025</v>
      </c>
      <c r="E291" s="77">
        <f t="shared" si="62"/>
        <v>46009</v>
      </c>
      <c r="F291" s="77">
        <f t="shared" si="63"/>
        <v>46016</v>
      </c>
      <c r="G291" s="77">
        <f t="shared" si="64"/>
        <v>46022</v>
      </c>
      <c r="H291" s="77">
        <f t="shared" si="65"/>
        <v>46010</v>
      </c>
      <c r="I291" s="77">
        <f t="shared" si="66"/>
        <v>46017</v>
      </c>
      <c r="J291" s="77">
        <v>46031</v>
      </c>
      <c r="K291" s="78">
        <f t="shared" si="59"/>
        <v>29</v>
      </c>
      <c r="L291" s="25">
        <v>10.24</v>
      </c>
      <c r="M291" s="25">
        <v>4.96</v>
      </c>
      <c r="N291" s="25">
        <f t="shared" si="60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61"/>
        <v>46026</v>
      </c>
      <c r="E292" s="77">
        <f t="shared" si="62"/>
        <v>46010</v>
      </c>
      <c r="F292" s="77">
        <f t="shared" si="63"/>
        <v>46017</v>
      </c>
      <c r="G292" s="77">
        <f t="shared" si="64"/>
        <v>46023</v>
      </c>
      <c r="H292" s="77">
        <f t="shared" si="65"/>
        <v>46011</v>
      </c>
      <c r="I292" s="77">
        <f t="shared" si="66"/>
        <v>46018</v>
      </c>
      <c r="J292" s="77">
        <v>46032</v>
      </c>
      <c r="K292" s="78">
        <f t="shared" si="59"/>
        <v>29</v>
      </c>
      <c r="L292" s="25">
        <v>12.74</v>
      </c>
      <c r="M292" s="25">
        <v>6.18</v>
      </c>
      <c r="N292" s="25">
        <f t="shared" si="60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61"/>
        <v>46026</v>
      </c>
      <c r="E293" s="77">
        <f t="shared" si="62"/>
        <v>46010</v>
      </c>
      <c r="F293" s="77">
        <f t="shared" si="63"/>
        <v>46017</v>
      </c>
      <c r="G293" s="77">
        <f t="shared" si="64"/>
        <v>46023</v>
      </c>
      <c r="H293" s="77">
        <f t="shared" si="65"/>
        <v>46011</v>
      </c>
      <c r="I293" s="77">
        <f t="shared" si="66"/>
        <v>46018</v>
      </c>
      <c r="J293" s="77">
        <v>46031</v>
      </c>
      <c r="K293" s="78">
        <f t="shared" si="59"/>
        <v>28</v>
      </c>
      <c r="L293" s="25">
        <v>15.17</v>
      </c>
      <c r="M293" s="25">
        <v>14.81</v>
      </c>
      <c r="N293" s="25">
        <f t="shared" si="60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61"/>
        <v>46026</v>
      </c>
      <c r="E294" s="77">
        <f t="shared" si="62"/>
        <v>46010</v>
      </c>
      <c r="F294" s="77">
        <f t="shared" si="63"/>
        <v>46017</v>
      </c>
      <c r="G294" s="77">
        <f t="shared" si="64"/>
        <v>46023</v>
      </c>
      <c r="H294" s="77">
        <f t="shared" si="65"/>
        <v>46011</v>
      </c>
      <c r="I294" s="77">
        <f t="shared" si="66"/>
        <v>46018</v>
      </c>
      <c r="J294" s="77">
        <v>46031</v>
      </c>
      <c r="K294" s="78">
        <f t="shared" si="59"/>
        <v>28</v>
      </c>
      <c r="L294" s="25">
        <v>13.98</v>
      </c>
      <c r="M294" s="25">
        <v>12.77</v>
      </c>
      <c r="N294" s="25">
        <f t="shared" si="60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61"/>
        <v>46026</v>
      </c>
      <c r="E295" s="77">
        <f t="shared" si="62"/>
        <v>46010</v>
      </c>
      <c r="F295" s="77">
        <f t="shared" si="63"/>
        <v>46017</v>
      </c>
      <c r="G295" s="77">
        <f t="shared" si="64"/>
        <v>46023</v>
      </c>
      <c r="H295" s="77">
        <f t="shared" si="65"/>
        <v>46011</v>
      </c>
      <c r="I295" s="77">
        <f t="shared" si="66"/>
        <v>46018</v>
      </c>
      <c r="J295" s="77">
        <v>46031</v>
      </c>
      <c r="K295" s="78">
        <f t="shared" si="59"/>
        <v>28</v>
      </c>
      <c r="L295" s="25">
        <v>13.41</v>
      </c>
      <c r="M295" s="25">
        <v>12.1</v>
      </c>
      <c r="N295" s="25">
        <f t="shared" si="60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61"/>
        <v>46026</v>
      </c>
      <c r="E296" s="77">
        <f t="shared" si="62"/>
        <v>46010</v>
      </c>
      <c r="F296" s="77">
        <f t="shared" si="63"/>
        <v>46017</v>
      </c>
      <c r="G296" s="77">
        <f t="shared" si="64"/>
        <v>46023</v>
      </c>
      <c r="H296" s="77">
        <f t="shared" si="65"/>
        <v>46011</v>
      </c>
      <c r="I296" s="77">
        <f t="shared" si="66"/>
        <v>46018</v>
      </c>
      <c r="J296" s="77">
        <v>46031</v>
      </c>
      <c r="K296" s="78">
        <f t="shared" si="59"/>
        <v>28</v>
      </c>
      <c r="L296" s="25">
        <v>12.86</v>
      </c>
      <c r="M296" s="25">
        <v>11.69</v>
      </c>
      <c r="N296" s="25">
        <f t="shared" si="60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61"/>
        <v>46026</v>
      </c>
      <c r="E297" s="77">
        <f t="shared" si="62"/>
        <v>46010</v>
      </c>
      <c r="F297" s="77">
        <f t="shared" si="63"/>
        <v>46017</v>
      </c>
      <c r="G297" s="77">
        <f t="shared" si="64"/>
        <v>46023</v>
      </c>
      <c r="H297" s="77">
        <f t="shared" si="65"/>
        <v>46011</v>
      </c>
      <c r="I297" s="77">
        <f t="shared" si="66"/>
        <v>46018</v>
      </c>
      <c r="J297" s="77">
        <v>46031</v>
      </c>
      <c r="K297" s="78">
        <f t="shared" si="59"/>
        <v>28</v>
      </c>
      <c r="L297" s="25">
        <v>13.47</v>
      </c>
      <c r="M297" s="25">
        <v>7.39</v>
      </c>
      <c r="N297" s="25">
        <f t="shared" si="60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61"/>
        <v>46026</v>
      </c>
      <c r="E298" s="77">
        <f t="shared" si="62"/>
        <v>46010</v>
      </c>
      <c r="F298" s="77">
        <f t="shared" si="63"/>
        <v>46017</v>
      </c>
      <c r="G298" s="77">
        <f t="shared" si="64"/>
        <v>46023</v>
      </c>
      <c r="H298" s="77">
        <f t="shared" si="65"/>
        <v>46011</v>
      </c>
      <c r="I298" s="77">
        <f t="shared" si="66"/>
        <v>46018</v>
      </c>
      <c r="J298" s="77">
        <v>46031</v>
      </c>
      <c r="K298" s="78">
        <f t="shared" si="59"/>
        <v>28</v>
      </c>
      <c r="L298" s="25">
        <v>11.58</v>
      </c>
      <c r="M298" s="25">
        <v>6.73</v>
      </c>
      <c r="N298" s="25">
        <f t="shared" si="60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61"/>
        <v>46027</v>
      </c>
      <c r="E299" s="77">
        <f t="shared" si="62"/>
        <v>46011</v>
      </c>
      <c r="F299" s="77">
        <f t="shared" si="63"/>
        <v>46018</v>
      </c>
      <c r="G299" s="77">
        <f t="shared" si="64"/>
        <v>46024</v>
      </c>
      <c r="H299" s="77">
        <f t="shared" si="65"/>
        <v>46012</v>
      </c>
      <c r="I299" s="77">
        <f t="shared" si="66"/>
        <v>46019</v>
      </c>
      <c r="J299" s="77">
        <v>46032</v>
      </c>
      <c r="K299" s="78">
        <f t="shared" si="59"/>
        <v>28</v>
      </c>
      <c r="L299" s="25">
        <v>12.15</v>
      </c>
      <c r="M299" s="25">
        <v>10.96</v>
      </c>
      <c r="N299" s="25">
        <f t="shared" si="60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61"/>
        <v>46027</v>
      </c>
      <c r="E300" s="77">
        <f t="shared" si="62"/>
        <v>46011</v>
      </c>
      <c r="F300" s="77">
        <f t="shared" si="63"/>
        <v>46018</v>
      </c>
      <c r="G300" s="77">
        <f t="shared" si="64"/>
        <v>46024</v>
      </c>
      <c r="H300" s="77">
        <f t="shared" si="65"/>
        <v>46012</v>
      </c>
      <c r="I300" s="77">
        <f t="shared" si="66"/>
        <v>46019</v>
      </c>
      <c r="J300" s="77">
        <v>46032</v>
      </c>
      <c r="K300" s="78">
        <f t="shared" si="59"/>
        <v>28</v>
      </c>
      <c r="L300" s="25">
        <v>12.91</v>
      </c>
      <c r="M300" s="25">
        <v>11.81</v>
      </c>
      <c r="N300" s="25">
        <f t="shared" si="60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61"/>
        <v>46027</v>
      </c>
      <c r="E301" s="77">
        <f t="shared" si="62"/>
        <v>46011</v>
      </c>
      <c r="F301" s="77">
        <f t="shared" si="63"/>
        <v>46018</v>
      </c>
      <c r="G301" s="77">
        <f t="shared" si="64"/>
        <v>46024</v>
      </c>
      <c r="H301" s="77">
        <f t="shared" si="65"/>
        <v>46012</v>
      </c>
      <c r="I301" s="77">
        <f t="shared" si="66"/>
        <v>46019</v>
      </c>
      <c r="J301" s="77">
        <v>46032</v>
      </c>
      <c r="K301" s="78">
        <f t="shared" si="59"/>
        <v>28</v>
      </c>
      <c r="L301" s="25">
        <v>11.86</v>
      </c>
      <c r="M301" s="25">
        <v>10.54</v>
      </c>
      <c r="N301" s="25">
        <f t="shared" si="60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61"/>
        <v>46027</v>
      </c>
      <c r="E302" s="77">
        <f t="shared" si="62"/>
        <v>46011</v>
      </c>
      <c r="F302" s="77">
        <f t="shared" si="63"/>
        <v>46018</v>
      </c>
      <c r="G302" s="77">
        <f t="shared" si="64"/>
        <v>46024</v>
      </c>
      <c r="H302" s="77">
        <f t="shared" si="65"/>
        <v>46012</v>
      </c>
      <c r="I302" s="77">
        <f t="shared" si="66"/>
        <v>46019</v>
      </c>
      <c r="J302" s="77">
        <v>46032</v>
      </c>
      <c r="K302" s="78">
        <f t="shared" si="59"/>
        <v>28</v>
      </c>
      <c r="L302" s="25">
        <v>11.17</v>
      </c>
      <c r="M302" s="25">
        <v>9.2799999999999994</v>
      </c>
      <c r="N302" s="25">
        <f t="shared" si="60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61"/>
        <v>46027</v>
      </c>
      <c r="E303" s="77">
        <f t="shared" si="62"/>
        <v>46011</v>
      </c>
      <c r="F303" s="77">
        <f t="shared" si="63"/>
        <v>46018</v>
      </c>
      <c r="G303" s="77">
        <f t="shared" si="64"/>
        <v>46024</v>
      </c>
      <c r="H303" s="77">
        <f t="shared" si="65"/>
        <v>46012</v>
      </c>
      <c r="I303" s="77">
        <f t="shared" si="66"/>
        <v>46019</v>
      </c>
      <c r="J303" s="77">
        <v>46032</v>
      </c>
      <c r="K303" s="78">
        <f t="shared" si="59"/>
        <v>28</v>
      </c>
      <c r="L303" s="25">
        <v>10.98</v>
      </c>
      <c r="M303" s="25">
        <v>5.09</v>
      </c>
      <c r="N303" s="25">
        <f t="shared" si="60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61"/>
        <v>46027</v>
      </c>
      <c r="E304" s="77">
        <f t="shared" si="62"/>
        <v>46011</v>
      </c>
      <c r="F304" s="77">
        <f t="shared" si="63"/>
        <v>46018</v>
      </c>
      <c r="G304" s="77">
        <f t="shared" si="64"/>
        <v>46024</v>
      </c>
      <c r="H304" s="77">
        <f t="shared" si="65"/>
        <v>46012</v>
      </c>
      <c r="I304" s="77">
        <f t="shared" si="66"/>
        <v>46019</v>
      </c>
      <c r="J304" s="77">
        <v>46032</v>
      </c>
      <c r="K304" s="78">
        <f t="shared" si="59"/>
        <v>28</v>
      </c>
      <c r="L304" s="25">
        <v>10.31</v>
      </c>
      <c r="M304" s="25">
        <v>4.17</v>
      </c>
      <c r="N304" s="25">
        <f t="shared" si="60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61"/>
        <v>46027</v>
      </c>
      <c r="E305" s="77">
        <f t="shared" si="62"/>
        <v>46011</v>
      </c>
      <c r="F305" s="77">
        <f t="shared" si="63"/>
        <v>46018</v>
      </c>
      <c r="G305" s="77">
        <f t="shared" si="64"/>
        <v>46024</v>
      </c>
      <c r="H305" s="77">
        <f t="shared" si="65"/>
        <v>46012</v>
      </c>
      <c r="I305" s="77">
        <f t="shared" si="66"/>
        <v>46019</v>
      </c>
      <c r="J305" s="77">
        <v>46032</v>
      </c>
      <c r="K305" s="78">
        <f t="shared" si="59"/>
        <v>28</v>
      </c>
      <c r="L305" s="25">
        <v>11.45</v>
      </c>
      <c r="M305" s="25">
        <v>5.26</v>
      </c>
      <c r="N305" s="25">
        <f t="shared" si="60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61"/>
        <v>46028</v>
      </c>
      <c r="E306" s="77">
        <f t="shared" si="62"/>
        <v>46012</v>
      </c>
      <c r="F306" s="77">
        <f t="shared" si="63"/>
        <v>46019</v>
      </c>
      <c r="G306" s="77">
        <f t="shared" si="64"/>
        <v>46025</v>
      </c>
      <c r="H306" s="77">
        <f t="shared" si="65"/>
        <v>46013</v>
      </c>
      <c r="I306" s="77">
        <f t="shared" si="66"/>
        <v>46020</v>
      </c>
      <c r="J306" s="77">
        <v>46033</v>
      </c>
      <c r="K306" s="78">
        <f t="shared" si="59"/>
        <v>28</v>
      </c>
      <c r="L306" s="25">
        <v>12.07</v>
      </c>
      <c r="M306" s="25">
        <v>10.78</v>
      </c>
      <c r="N306" s="25">
        <f t="shared" si="60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61"/>
        <v>46028</v>
      </c>
      <c r="E307" s="77">
        <f t="shared" si="62"/>
        <v>46012</v>
      </c>
      <c r="F307" s="77">
        <f t="shared" si="63"/>
        <v>46019</v>
      </c>
      <c r="G307" s="77">
        <f t="shared" si="64"/>
        <v>46025</v>
      </c>
      <c r="H307" s="77">
        <f t="shared" si="65"/>
        <v>46013</v>
      </c>
      <c r="I307" s="77">
        <f t="shared" si="66"/>
        <v>46020</v>
      </c>
      <c r="J307" s="77">
        <v>46033</v>
      </c>
      <c r="K307" s="78">
        <f t="shared" si="59"/>
        <v>28</v>
      </c>
      <c r="L307" s="25">
        <v>12.51</v>
      </c>
      <c r="M307" s="25">
        <v>11.89</v>
      </c>
      <c r="N307" s="25">
        <f t="shared" si="60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61"/>
        <v>46028</v>
      </c>
      <c r="E308" s="77">
        <f t="shared" si="62"/>
        <v>46012</v>
      </c>
      <c r="F308" s="77">
        <f t="shared" si="63"/>
        <v>46019</v>
      </c>
      <c r="G308" s="77">
        <f t="shared" si="64"/>
        <v>46025</v>
      </c>
      <c r="H308" s="77">
        <f t="shared" si="65"/>
        <v>46013</v>
      </c>
      <c r="I308" s="77">
        <f t="shared" si="66"/>
        <v>46020</v>
      </c>
      <c r="J308" s="77">
        <v>46033</v>
      </c>
      <c r="K308" s="78">
        <f t="shared" si="59"/>
        <v>28</v>
      </c>
      <c r="L308" s="25">
        <v>14.98</v>
      </c>
      <c r="M308" s="25">
        <v>13.51</v>
      </c>
      <c r="N308" s="25">
        <f t="shared" si="60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61"/>
        <v>46028</v>
      </c>
      <c r="E309" s="77">
        <f t="shared" si="62"/>
        <v>46012</v>
      </c>
      <c r="F309" s="77">
        <f t="shared" si="63"/>
        <v>46019</v>
      </c>
      <c r="G309" s="77">
        <f t="shared" si="64"/>
        <v>46025</v>
      </c>
      <c r="H309" s="77">
        <f t="shared" si="65"/>
        <v>46013</v>
      </c>
      <c r="I309" s="77">
        <f t="shared" si="66"/>
        <v>46020</v>
      </c>
      <c r="J309" s="77">
        <v>46033</v>
      </c>
      <c r="K309" s="78">
        <f t="shared" si="59"/>
        <v>28</v>
      </c>
      <c r="L309" s="25">
        <v>14.08</v>
      </c>
      <c r="M309" s="25">
        <v>12.76</v>
      </c>
      <c r="N309" s="25">
        <f t="shared" si="60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61"/>
        <v>46028</v>
      </c>
      <c r="E310" s="77">
        <f t="shared" si="62"/>
        <v>46012</v>
      </c>
      <c r="F310" s="77">
        <f t="shared" si="63"/>
        <v>46019</v>
      </c>
      <c r="G310" s="77">
        <f t="shared" si="64"/>
        <v>46025</v>
      </c>
      <c r="H310" s="77">
        <f t="shared" si="65"/>
        <v>46013</v>
      </c>
      <c r="I310" s="77">
        <f t="shared" si="66"/>
        <v>46020</v>
      </c>
      <c r="J310" s="77">
        <v>46033</v>
      </c>
      <c r="K310" s="78">
        <f t="shared" si="59"/>
        <v>28</v>
      </c>
      <c r="L310" s="25">
        <v>13.28</v>
      </c>
      <c r="M310" s="25">
        <v>6.42</v>
      </c>
      <c r="N310" s="25">
        <f t="shared" si="60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61"/>
        <v>46028</v>
      </c>
      <c r="E311" s="77">
        <f t="shared" si="62"/>
        <v>46012</v>
      </c>
      <c r="F311" s="77">
        <f t="shared" si="63"/>
        <v>46019</v>
      </c>
      <c r="G311" s="77">
        <f t="shared" si="64"/>
        <v>46025</v>
      </c>
      <c r="H311" s="77">
        <f t="shared" si="65"/>
        <v>46013</v>
      </c>
      <c r="I311" s="77">
        <f t="shared" si="66"/>
        <v>46020</v>
      </c>
      <c r="J311" s="77">
        <v>46033</v>
      </c>
      <c r="K311" s="78">
        <f t="shared" si="59"/>
        <v>28</v>
      </c>
      <c r="L311" s="25">
        <v>11.13</v>
      </c>
      <c r="M311" s="25">
        <v>5.87</v>
      </c>
      <c r="N311" s="25">
        <f t="shared" si="60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61"/>
        <v>46028</v>
      </c>
      <c r="E312" s="77">
        <f t="shared" si="62"/>
        <v>46012</v>
      </c>
      <c r="F312" s="77">
        <f t="shared" si="63"/>
        <v>46019</v>
      </c>
      <c r="G312" s="77">
        <f t="shared" si="64"/>
        <v>46025</v>
      </c>
      <c r="H312" s="77">
        <f t="shared" si="65"/>
        <v>46013</v>
      </c>
      <c r="I312" s="77">
        <f t="shared" si="66"/>
        <v>46020</v>
      </c>
      <c r="J312" s="77">
        <v>46033</v>
      </c>
      <c r="K312" s="78">
        <f t="shared" si="59"/>
        <v>28</v>
      </c>
      <c r="L312" s="25">
        <v>13.91</v>
      </c>
      <c r="M312" s="25">
        <v>7.11</v>
      </c>
      <c r="N312" s="25">
        <f t="shared" si="60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61"/>
        <v>46028</v>
      </c>
      <c r="E313" s="77">
        <f t="shared" si="62"/>
        <v>46012</v>
      </c>
      <c r="F313" s="77">
        <f t="shared" si="63"/>
        <v>46019</v>
      </c>
      <c r="G313" s="77">
        <f t="shared" si="64"/>
        <v>46025</v>
      </c>
      <c r="H313" s="77">
        <f t="shared" si="65"/>
        <v>46013</v>
      </c>
      <c r="I313" s="77">
        <f t="shared" si="66"/>
        <v>46020</v>
      </c>
      <c r="J313" s="77">
        <v>46033</v>
      </c>
      <c r="K313" s="78">
        <f t="shared" si="59"/>
        <v>28</v>
      </c>
      <c r="L313" s="25">
        <v>12.84</v>
      </c>
      <c r="M313" s="25">
        <v>6.25</v>
      </c>
      <c r="N313" s="25">
        <f t="shared" si="60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61"/>
        <v>46029</v>
      </c>
      <c r="E314" s="77">
        <f t="shared" si="62"/>
        <v>46013</v>
      </c>
      <c r="F314" s="77">
        <f t="shared" si="63"/>
        <v>46020</v>
      </c>
      <c r="G314" s="77">
        <f t="shared" si="64"/>
        <v>46026</v>
      </c>
      <c r="H314" s="77">
        <f t="shared" si="65"/>
        <v>46014</v>
      </c>
      <c r="I314" s="77">
        <f t="shared" si="66"/>
        <v>46021</v>
      </c>
      <c r="J314" s="77">
        <v>46034</v>
      </c>
      <c r="K314" s="78">
        <f t="shared" si="59"/>
        <v>28</v>
      </c>
      <c r="L314" s="84">
        <v>10.38</v>
      </c>
      <c r="M314" s="82">
        <v>5.17</v>
      </c>
      <c r="N314" s="25">
        <f t="shared" si="60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61"/>
        <v>46029</v>
      </c>
      <c r="E315" s="77">
        <f t="shared" si="62"/>
        <v>46013</v>
      </c>
      <c r="F315" s="77">
        <f t="shared" si="63"/>
        <v>46020</v>
      </c>
      <c r="G315" s="77">
        <f t="shared" si="64"/>
        <v>46026</v>
      </c>
      <c r="H315" s="77">
        <f t="shared" si="65"/>
        <v>46014</v>
      </c>
      <c r="I315" s="77">
        <f t="shared" si="66"/>
        <v>46021</v>
      </c>
      <c r="J315" s="77">
        <v>46034</v>
      </c>
      <c r="K315" s="78">
        <f t="shared" si="59"/>
        <v>28</v>
      </c>
      <c r="L315" s="84">
        <v>11.52</v>
      </c>
      <c r="M315" s="82">
        <v>6.31</v>
      </c>
      <c r="N315" s="25">
        <f t="shared" si="60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61"/>
        <v>46029</v>
      </c>
      <c r="E316" s="77">
        <f t="shared" si="62"/>
        <v>46013</v>
      </c>
      <c r="F316" s="77">
        <f t="shared" si="63"/>
        <v>46020</v>
      </c>
      <c r="G316" s="77">
        <f t="shared" si="64"/>
        <v>46026</v>
      </c>
      <c r="H316" s="77">
        <f t="shared" si="65"/>
        <v>46014</v>
      </c>
      <c r="I316" s="77">
        <f t="shared" si="66"/>
        <v>46021</v>
      </c>
      <c r="J316" s="77">
        <v>46034</v>
      </c>
      <c r="K316" s="78">
        <f t="shared" ref="K316:K341" si="67">J316-A316</f>
        <v>28</v>
      </c>
      <c r="L316" s="84">
        <v>10.29</v>
      </c>
      <c r="M316" s="82">
        <v>5.0999999999999996</v>
      </c>
      <c r="N316" s="25">
        <f t="shared" ref="N316:N366" si="68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61"/>
        <v>46029</v>
      </c>
      <c r="E317" s="77">
        <f t="shared" si="62"/>
        <v>46013</v>
      </c>
      <c r="F317" s="77">
        <f t="shared" si="63"/>
        <v>46020</v>
      </c>
      <c r="G317" s="77">
        <f t="shared" si="64"/>
        <v>46026</v>
      </c>
      <c r="H317" s="77">
        <f t="shared" si="65"/>
        <v>46014</v>
      </c>
      <c r="I317" s="77">
        <f t="shared" si="66"/>
        <v>46021</v>
      </c>
      <c r="J317" s="77">
        <v>46034</v>
      </c>
      <c r="K317" s="78">
        <f t="shared" si="67"/>
        <v>28</v>
      </c>
      <c r="L317" s="84">
        <v>10.07</v>
      </c>
      <c r="M317" s="82">
        <v>4.5199999999999996</v>
      </c>
      <c r="N317" s="25">
        <f t="shared" si="68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61"/>
        <v>46029</v>
      </c>
      <c r="E318" s="77">
        <f t="shared" si="62"/>
        <v>46013</v>
      </c>
      <c r="F318" s="77">
        <f t="shared" si="63"/>
        <v>46020</v>
      </c>
      <c r="G318" s="77">
        <f t="shared" si="64"/>
        <v>46026</v>
      </c>
      <c r="H318" s="77">
        <f t="shared" si="65"/>
        <v>46014</v>
      </c>
      <c r="I318" s="77">
        <f t="shared" si="66"/>
        <v>46021</v>
      </c>
      <c r="J318" s="77">
        <v>46034</v>
      </c>
      <c r="K318" s="78">
        <f t="shared" si="67"/>
        <v>28</v>
      </c>
      <c r="L318" s="84">
        <v>13.24</v>
      </c>
      <c r="M318" s="82">
        <v>11.71</v>
      </c>
      <c r="N318" s="25">
        <f t="shared" si="68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61"/>
        <v>46029</v>
      </c>
      <c r="E319" s="77">
        <f t="shared" si="62"/>
        <v>46013</v>
      </c>
      <c r="F319" s="77">
        <f t="shared" si="63"/>
        <v>46020</v>
      </c>
      <c r="G319" s="77">
        <f t="shared" si="64"/>
        <v>46026</v>
      </c>
      <c r="H319" s="77">
        <f t="shared" si="65"/>
        <v>46014</v>
      </c>
      <c r="I319" s="77">
        <f t="shared" si="66"/>
        <v>46021</v>
      </c>
      <c r="J319" s="77">
        <v>46034</v>
      </c>
      <c r="K319" s="78">
        <f t="shared" si="67"/>
        <v>28</v>
      </c>
      <c r="L319" s="84">
        <v>12.03</v>
      </c>
      <c r="M319" s="82">
        <v>10.86</v>
      </c>
      <c r="N319" s="25">
        <f t="shared" si="68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61"/>
        <v>46029</v>
      </c>
      <c r="E320" s="77">
        <f t="shared" si="62"/>
        <v>46013</v>
      </c>
      <c r="F320" s="77">
        <f t="shared" si="63"/>
        <v>46020</v>
      </c>
      <c r="G320" s="77">
        <f t="shared" si="64"/>
        <v>46026</v>
      </c>
      <c r="H320" s="77">
        <f t="shared" si="65"/>
        <v>46014</v>
      </c>
      <c r="I320" s="77">
        <f t="shared" si="66"/>
        <v>46021</v>
      </c>
      <c r="J320" s="77">
        <v>46034</v>
      </c>
      <c r="K320" s="78">
        <f t="shared" si="67"/>
        <v>28</v>
      </c>
      <c r="L320" s="84">
        <v>13.98</v>
      </c>
      <c r="M320" s="82">
        <v>12.14</v>
      </c>
      <c r="N320" s="25">
        <f t="shared" si="68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61"/>
        <v>46030</v>
      </c>
      <c r="E321" s="77">
        <f t="shared" si="62"/>
        <v>46014</v>
      </c>
      <c r="F321" s="77">
        <f t="shared" si="63"/>
        <v>46021</v>
      </c>
      <c r="G321" s="77">
        <f t="shared" si="64"/>
        <v>46027</v>
      </c>
      <c r="H321" s="77">
        <f t="shared" si="65"/>
        <v>46015</v>
      </c>
      <c r="I321" s="77">
        <f t="shared" si="66"/>
        <v>46022</v>
      </c>
      <c r="J321" s="77">
        <v>46034</v>
      </c>
      <c r="K321" s="78">
        <f t="shared" si="67"/>
        <v>27</v>
      </c>
      <c r="L321" s="84">
        <v>12.55</v>
      </c>
      <c r="M321" s="82">
        <v>11.39</v>
      </c>
      <c r="N321" s="25">
        <f t="shared" si="68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61"/>
        <v>46030</v>
      </c>
      <c r="E322" s="77">
        <f t="shared" si="62"/>
        <v>46014</v>
      </c>
      <c r="F322" s="77">
        <f t="shared" si="63"/>
        <v>46021</v>
      </c>
      <c r="G322" s="77">
        <f t="shared" si="64"/>
        <v>46027</v>
      </c>
      <c r="H322" s="77">
        <f t="shared" si="65"/>
        <v>46015</v>
      </c>
      <c r="I322" s="77">
        <f t="shared" si="66"/>
        <v>46022</v>
      </c>
      <c r="J322" s="77">
        <v>46035</v>
      </c>
      <c r="K322" s="78">
        <f t="shared" si="67"/>
        <v>28</v>
      </c>
      <c r="L322" s="84">
        <v>9.51</v>
      </c>
      <c r="M322" s="82">
        <v>4.12</v>
      </c>
      <c r="N322" s="25">
        <f t="shared" si="68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9">A323+23</f>
        <v>46030</v>
      </c>
      <c r="E323" s="77">
        <f t="shared" ref="E323:E334" si="70">A323+7</f>
        <v>46014</v>
      </c>
      <c r="F323" s="77">
        <f t="shared" ref="F323:F334" si="71">A323+14</f>
        <v>46021</v>
      </c>
      <c r="G323" s="77">
        <f t="shared" ref="G323:G334" si="72">A323+20</f>
        <v>46027</v>
      </c>
      <c r="H323" s="77">
        <f t="shared" ref="H323:H334" si="73">A323+8</f>
        <v>46015</v>
      </c>
      <c r="I323" s="77">
        <f t="shared" ref="I323:I334" si="74">A323+15</f>
        <v>46022</v>
      </c>
      <c r="J323" s="77">
        <v>46035</v>
      </c>
      <c r="K323" s="78">
        <f t="shared" si="67"/>
        <v>28</v>
      </c>
      <c r="L323" s="84">
        <v>10.75</v>
      </c>
      <c r="M323" s="82">
        <v>5.24</v>
      </c>
      <c r="N323" s="25">
        <f t="shared" si="68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9"/>
        <v>46030</v>
      </c>
      <c r="E324" s="77">
        <f t="shared" si="70"/>
        <v>46014</v>
      </c>
      <c r="F324" s="77">
        <f t="shared" si="71"/>
        <v>46021</v>
      </c>
      <c r="G324" s="77">
        <f t="shared" si="72"/>
        <v>46027</v>
      </c>
      <c r="H324" s="77">
        <f t="shared" si="73"/>
        <v>46015</v>
      </c>
      <c r="I324" s="77">
        <f t="shared" si="74"/>
        <v>46022</v>
      </c>
      <c r="J324" s="77">
        <v>46035</v>
      </c>
      <c r="K324" s="78">
        <f t="shared" si="67"/>
        <v>28</v>
      </c>
      <c r="L324" s="84">
        <v>11.18</v>
      </c>
      <c r="M324" s="82">
        <v>5.58</v>
      </c>
      <c r="N324" s="25">
        <f t="shared" si="68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9"/>
        <v>46030</v>
      </c>
      <c r="E325" s="77">
        <f t="shared" si="70"/>
        <v>46014</v>
      </c>
      <c r="F325" s="77">
        <f t="shared" si="71"/>
        <v>46021</v>
      </c>
      <c r="G325" s="77">
        <f t="shared" si="72"/>
        <v>46027</v>
      </c>
      <c r="H325" s="77">
        <f t="shared" si="73"/>
        <v>46015</v>
      </c>
      <c r="I325" s="77">
        <f t="shared" si="74"/>
        <v>46022</v>
      </c>
      <c r="J325" s="77">
        <v>46035</v>
      </c>
      <c r="K325" s="78">
        <f t="shared" si="67"/>
        <v>28</v>
      </c>
      <c r="L325" s="84">
        <v>8.27</v>
      </c>
      <c r="M325" s="82">
        <v>7.17</v>
      </c>
      <c r="N325" s="25">
        <f t="shared" si="68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9"/>
        <v>46030</v>
      </c>
      <c r="E326" s="77">
        <f t="shared" si="70"/>
        <v>46014</v>
      </c>
      <c r="F326" s="77">
        <f t="shared" si="71"/>
        <v>46021</v>
      </c>
      <c r="G326" s="77">
        <f t="shared" si="72"/>
        <v>46027</v>
      </c>
      <c r="H326" s="77">
        <f t="shared" si="73"/>
        <v>46015</v>
      </c>
      <c r="I326" s="77">
        <f t="shared" si="74"/>
        <v>46022</v>
      </c>
      <c r="J326" s="77">
        <v>46036</v>
      </c>
      <c r="K326" s="78">
        <f t="shared" si="67"/>
        <v>29</v>
      </c>
      <c r="L326" s="84">
        <v>9.73</v>
      </c>
      <c r="M326" s="82">
        <v>4.3</v>
      </c>
      <c r="N326" s="25">
        <f t="shared" si="68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9"/>
        <v>46030</v>
      </c>
      <c r="E327" s="77">
        <f t="shared" si="70"/>
        <v>46014</v>
      </c>
      <c r="F327" s="77">
        <f t="shared" si="71"/>
        <v>46021</v>
      </c>
      <c r="G327" s="77">
        <f t="shared" si="72"/>
        <v>46027</v>
      </c>
      <c r="H327" s="77">
        <f t="shared" si="73"/>
        <v>46015</v>
      </c>
      <c r="I327" s="77">
        <f t="shared" si="74"/>
        <v>46022</v>
      </c>
      <c r="J327" s="77">
        <v>46036</v>
      </c>
      <c r="K327" s="78">
        <f t="shared" si="67"/>
        <v>29</v>
      </c>
      <c r="L327" s="84">
        <v>11.28</v>
      </c>
      <c r="M327" s="82">
        <v>5.58</v>
      </c>
      <c r="N327" s="25">
        <f t="shared" si="68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9"/>
        <v>46031</v>
      </c>
      <c r="E328" s="77">
        <f t="shared" si="70"/>
        <v>46015</v>
      </c>
      <c r="F328" s="77">
        <f t="shared" si="71"/>
        <v>46022</v>
      </c>
      <c r="G328" s="77">
        <f t="shared" si="72"/>
        <v>46028</v>
      </c>
      <c r="H328" s="77">
        <f t="shared" si="73"/>
        <v>46016</v>
      </c>
      <c r="I328" s="77">
        <f t="shared" si="74"/>
        <v>46023</v>
      </c>
      <c r="J328" s="77">
        <v>46036</v>
      </c>
      <c r="K328" s="78">
        <f t="shared" si="67"/>
        <v>28</v>
      </c>
      <c r="L328" s="84">
        <v>10.91</v>
      </c>
      <c r="M328" s="82">
        <v>5.13</v>
      </c>
      <c r="N328" s="25">
        <f t="shared" si="68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9"/>
        <v>46031</v>
      </c>
      <c r="E329" s="77">
        <f t="shared" si="70"/>
        <v>46015</v>
      </c>
      <c r="F329" s="77">
        <f t="shared" si="71"/>
        <v>46022</v>
      </c>
      <c r="G329" s="77">
        <f t="shared" si="72"/>
        <v>46028</v>
      </c>
      <c r="H329" s="77">
        <f t="shared" si="73"/>
        <v>46016</v>
      </c>
      <c r="I329" s="77">
        <f t="shared" si="74"/>
        <v>46023</v>
      </c>
      <c r="J329" s="77">
        <v>46036</v>
      </c>
      <c r="K329" s="78">
        <f t="shared" si="67"/>
        <v>28</v>
      </c>
      <c r="L329" s="84">
        <v>10.06</v>
      </c>
      <c r="M329" s="82">
        <v>4.72</v>
      </c>
      <c r="N329" s="25">
        <f t="shared" si="68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9"/>
        <v>46031</v>
      </c>
      <c r="E330" s="77">
        <f t="shared" si="70"/>
        <v>46015</v>
      </c>
      <c r="F330" s="77">
        <f t="shared" si="71"/>
        <v>46022</v>
      </c>
      <c r="G330" s="77">
        <f t="shared" si="72"/>
        <v>46028</v>
      </c>
      <c r="H330" s="77">
        <f t="shared" si="73"/>
        <v>46016</v>
      </c>
      <c r="I330" s="77">
        <f t="shared" si="74"/>
        <v>46023</v>
      </c>
      <c r="J330" s="77">
        <v>46036</v>
      </c>
      <c r="K330" s="78">
        <f t="shared" si="67"/>
        <v>28</v>
      </c>
      <c r="L330" s="84">
        <v>11.81</v>
      </c>
      <c r="M330" s="82">
        <v>10.51</v>
      </c>
      <c r="N330" s="25">
        <f t="shared" si="68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9"/>
        <v>46031</v>
      </c>
      <c r="E331" s="77">
        <f t="shared" si="70"/>
        <v>46015</v>
      </c>
      <c r="F331" s="77">
        <f t="shared" si="71"/>
        <v>46022</v>
      </c>
      <c r="G331" s="77">
        <f t="shared" si="72"/>
        <v>46028</v>
      </c>
      <c r="H331" s="77">
        <f t="shared" si="73"/>
        <v>46016</v>
      </c>
      <c r="I331" s="77">
        <f t="shared" si="74"/>
        <v>46023</v>
      </c>
      <c r="J331" s="77">
        <v>46036</v>
      </c>
      <c r="K331" s="78">
        <f t="shared" si="67"/>
        <v>28</v>
      </c>
      <c r="L331" s="84">
        <v>12.75</v>
      </c>
      <c r="M331" s="82">
        <v>11.27</v>
      </c>
      <c r="N331" s="25">
        <f t="shared" si="68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9"/>
        <v>46031</v>
      </c>
      <c r="E332" s="77">
        <f t="shared" si="70"/>
        <v>46015</v>
      </c>
      <c r="F332" s="77">
        <f t="shared" si="71"/>
        <v>46022</v>
      </c>
      <c r="G332" s="77">
        <f t="shared" si="72"/>
        <v>46028</v>
      </c>
      <c r="H332" s="77">
        <f t="shared" si="73"/>
        <v>46016</v>
      </c>
      <c r="I332" s="77">
        <f t="shared" si="74"/>
        <v>46023</v>
      </c>
      <c r="J332" s="77">
        <v>46036</v>
      </c>
      <c r="K332" s="78">
        <f t="shared" si="67"/>
        <v>28</v>
      </c>
      <c r="L332" s="84">
        <v>12.11</v>
      </c>
      <c r="M332" s="82">
        <v>10.73</v>
      </c>
      <c r="N332" s="25">
        <f t="shared" si="68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9"/>
        <v>46031</v>
      </c>
      <c r="E333" s="77">
        <f t="shared" si="70"/>
        <v>46015</v>
      </c>
      <c r="F333" s="77">
        <f t="shared" si="71"/>
        <v>46022</v>
      </c>
      <c r="G333" s="77">
        <f t="shared" si="72"/>
        <v>46028</v>
      </c>
      <c r="H333" s="77">
        <f t="shared" si="73"/>
        <v>46016</v>
      </c>
      <c r="I333" s="77">
        <f t="shared" si="74"/>
        <v>46023</v>
      </c>
      <c r="J333" s="77">
        <v>46036</v>
      </c>
      <c r="K333" s="78">
        <f t="shared" si="67"/>
        <v>28</v>
      </c>
      <c r="L333" s="84">
        <v>13.59</v>
      </c>
      <c r="M333" s="82">
        <v>12.54</v>
      </c>
      <c r="N333" s="25">
        <f t="shared" si="68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9"/>
        <v>46031</v>
      </c>
      <c r="E334" s="77">
        <f t="shared" si="70"/>
        <v>46015</v>
      </c>
      <c r="F334" s="77">
        <f t="shared" si="71"/>
        <v>46022</v>
      </c>
      <c r="G334" s="77">
        <f t="shared" si="72"/>
        <v>46028</v>
      </c>
      <c r="H334" s="77">
        <f t="shared" si="73"/>
        <v>46016</v>
      </c>
      <c r="I334" s="77">
        <f t="shared" si="74"/>
        <v>46023</v>
      </c>
      <c r="J334" s="77">
        <v>46036</v>
      </c>
      <c r="K334" s="78">
        <f t="shared" si="67"/>
        <v>28</v>
      </c>
      <c r="L334" s="84">
        <v>11.42</v>
      </c>
      <c r="M334" s="82">
        <v>10.25</v>
      </c>
      <c r="N334" s="25">
        <f t="shared" si="68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5">A335+23</f>
        <v>46032</v>
      </c>
      <c r="E335" s="77">
        <f t="shared" ref="E335:E348" si="76">A335+7</f>
        <v>46016</v>
      </c>
      <c r="F335" s="77">
        <f t="shared" ref="F335:F348" si="77">A335+14</f>
        <v>46023</v>
      </c>
      <c r="G335" s="77">
        <f t="shared" ref="G335:G348" si="78">A335+20</f>
        <v>46029</v>
      </c>
      <c r="H335" s="77">
        <f t="shared" ref="H335:H348" si="79">A335+8</f>
        <v>46017</v>
      </c>
      <c r="I335" s="77">
        <f t="shared" ref="I335:I348" si="80">A335+15</f>
        <v>46024</v>
      </c>
      <c r="J335" s="77">
        <v>46036</v>
      </c>
      <c r="K335" s="78">
        <f t="shared" si="67"/>
        <v>27</v>
      </c>
      <c r="L335" s="84">
        <v>14.66</v>
      </c>
      <c r="M335" s="82">
        <v>13.86</v>
      </c>
      <c r="N335" s="25">
        <f t="shared" si="68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5"/>
        <v>46032</v>
      </c>
      <c r="E336" s="77">
        <f t="shared" si="76"/>
        <v>46016</v>
      </c>
      <c r="F336" s="77">
        <f t="shared" si="77"/>
        <v>46023</v>
      </c>
      <c r="G336" s="77">
        <f t="shared" si="78"/>
        <v>46029</v>
      </c>
      <c r="H336" s="77">
        <f t="shared" si="79"/>
        <v>46017</v>
      </c>
      <c r="I336" s="77">
        <f t="shared" si="80"/>
        <v>46024</v>
      </c>
      <c r="J336" s="77">
        <v>46037</v>
      </c>
      <c r="K336" s="78">
        <f t="shared" si="67"/>
        <v>28</v>
      </c>
      <c r="L336" s="84">
        <v>15.24</v>
      </c>
      <c r="M336" s="82">
        <v>7.38</v>
      </c>
      <c r="N336" s="25">
        <f t="shared" si="68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5"/>
        <v>46032</v>
      </c>
      <c r="E337" s="77">
        <f t="shared" si="76"/>
        <v>46016</v>
      </c>
      <c r="F337" s="77">
        <f t="shared" si="77"/>
        <v>46023</v>
      </c>
      <c r="G337" s="77">
        <f t="shared" si="78"/>
        <v>46029</v>
      </c>
      <c r="H337" s="77">
        <f t="shared" si="79"/>
        <v>46017</v>
      </c>
      <c r="I337" s="77">
        <f t="shared" si="80"/>
        <v>46024</v>
      </c>
      <c r="J337" s="77">
        <v>46037</v>
      </c>
      <c r="K337" s="78">
        <f t="shared" si="67"/>
        <v>28</v>
      </c>
      <c r="L337" s="84">
        <v>16.59</v>
      </c>
      <c r="M337" s="82">
        <v>8.86</v>
      </c>
      <c r="N337" s="25">
        <f t="shared" si="68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5"/>
        <v>46032</v>
      </c>
      <c r="E338" s="77">
        <f t="shared" si="76"/>
        <v>46016</v>
      </c>
      <c r="F338" s="77">
        <f t="shared" si="77"/>
        <v>46023</v>
      </c>
      <c r="G338" s="77">
        <f t="shared" si="78"/>
        <v>46029</v>
      </c>
      <c r="H338" s="77">
        <f t="shared" si="79"/>
        <v>46017</v>
      </c>
      <c r="I338" s="77">
        <f t="shared" si="80"/>
        <v>46024</v>
      </c>
      <c r="J338" s="77">
        <v>46037</v>
      </c>
      <c r="K338" s="78">
        <f t="shared" si="67"/>
        <v>28</v>
      </c>
      <c r="L338" s="84">
        <v>15.82</v>
      </c>
      <c r="M338" s="82">
        <v>14.96</v>
      </c>
      <c r="N338" s="25">
        <f t="shared" si="68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5"/>
        <v>46032</v>
      </c>
      <c r="E339" s="77">
        <f t="shared" si="76"/>
        <v>46016</v>
      </c>
      <c r="F339" s="77">
        <f t="shared" si="77"/>
        <v>46023</v>
      </c>
      <c r="G339" s="77">
        <f t="shared" si="78"/>
        <v>46029</v>
      </c>
      <c r="H339" s="77">
        <f t="shared" si="79"/>
        <v>46017</v>
      </c>
      <c r="I339" s="77">
        <f t="shared" si="80"/>
        <v>46024</v>
      </c>
      <c r="J339" s="77">
        <v>46037</v>
      </c>
      <c r="K339" s="78">
        <f t="shared" si="67"/>
        <v>28</v>
      </c>
      <c r="L339" s="84">
        <v>18.16</v>
      </c>
      <c r="M339" s="82">
        <v>16.579999999999998</v>
      </c>
      <c r="N339" s="25">
        <f t="shared" si="68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5"/>
        <v>46032</v>
      </c>
      <c r="E340" s="77">
        <f t="shared" si="76"/>
        <v>46016</v>
      </c>
      <c r="F340" s="77">
        <f t="shared" si="77"/>
        <v>46023</v>
      </c>
      <c r="G340" s="77">
        <f t="shared" si="78"/>
        <v>46029</v>
      </c>
      <c r="H340" s="77">
        <f t="shared" si="79"/>
        <v>46017</v>
      </c>
      <c r="I340" s="77">
        <f t="shared" si="80"/>
        <v>46024</v>
      </c>
      <c r="J340" s="77">
        <v>46037</v>
      </c>
      <c r="K340" s="78">
        <f t="shared" si="67"/>
        <v>28</v>
      </c>
      <c r="L340" s="84">
        <v>16.37</v>
      </c>
      <c r="M340" s="82">
        <v>15.49</v>
      </c>
      <c r="N340" s="25">
        <f t="shared" si="68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5"/>
        <v>46032</v>
      </c>
      <c r="E341" s="77">
        <f t="shared" si="76"/>
        <v>46016</v>
      </c>
      <c r="F341" s="77">
        <f t="shared" si="77"/>
        <v>46023</v>
      </c>
      <c r="G341" s="77">
        <f t="shared" si="78"/>
        <v>46029</v>
      </c>
      <c r="H341" s="77">
        <f t="shared" si="79"/>
        <v>46017</v>
      </c>
      <c r="I341" s="77">
        <f t="shared" si="80"/>
        <v>46024</v>
      </c>
      <c r="J341" s="77">
        <v>46038</v>
      </c>
      <c r="K341" s="78">
        <f t="shared" si="67"/>
        <v>29</v>
      </c>
      <c r="L341" s="84">
        <v>13.71</v>
      </c>
      <c r="M341" s="82">
        <v>6.26</v>
      </c>
      <c r="N341" s="25">
        <f t="shared" si="68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5"/>
        <v>46033</v>
      </c>
      <c r="E342" s="77">
        <f t="shared" si="76"/>
        <v>46017</v>
      </c>
      <c r="F342" s="77">
        <f t="shared" si="77"/>
        <v>46024</v>
      </c>
      <c r="G342" s="77">
        <f t="shared" si="78"/>
        <v>46030</v>
      </c>
      <c r="H342" s="77">
        <f t="shared" si="79"/>
        <v>46018</v>
      </c>
      <c r="I342" s="77">
        <f t="shared" si="80"/>
        <v>46025</v>
      </c>
      <c r="J342" s="77">
        <v>46038</v>
      </c>
      <c r="K342" s="78">
        <f t="shared" ref="K342:K349" si="81">J342-A342</f>
        <v>28</v>
      </c>
      <c r="L342" s="84">
        <v>13.68</v>
      </c>
      <c r="M342" s="82">
        <v>6.21</v>
      </c>
      <c r="N342" s="25">
        <f t="shared" si="68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5"/>
        <v>46033</v>
      </c>
      <c r="E343" s="77">
        <f t="shared" si="76"/>
        <v>46017</v>
      </c>
      <c r="F343" s="77">
        <f t="shared" si="77"/>
        <v>46024</v>
      </c>
      <c r="G343" s="77">
        <f t="shared" si="78"/>
        <v>46030</v>
      </c>
      <c r="H343" s="77">
        <f t="shared" si="79"/>
        <v>46018</v>
      </c>
      <c r="I343" s="77">
        <f t="shared" si="80"/>
        <v>46025</v>
      </c>
      <c r="J343" s="77">
        <v>46038</v>
      </c>
      <c r="K343" s="78">
        <f t="shared" si="81"/>
        <v>28</v>
      </c>
      <c r="L343" s="84">
        <v>15.26</v>
      </c>
      <c r="M343" s="82">
        <v>7.1</v>
      </c>
      <c r="N343" s="25">
        <f t="shared" si="68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5"/>
        <v>46033</v>
      </c>
      <c r="E344" s="77">
        <f t="shared" si="76"/>
        <v>46017</v>
      </c>
      <c r="F344" s="77">
        <f t="shared" si="77"/>
        <v>46024</v>
      </c>
      <c r="G344" s="77">
        <f t="shared" si="78"/>
        <v>46030</v>
      </c>
      <c r="H344" s="77">
        <f t="shared" si="79"/>
        <v>46018</v>
      </c>
      <c r="I344" s="77">
        <f t="shared" si="80"/>
        <v>46025</v>
      </c>
      <c r="J344" s="77">
        <v>46038</v>
      </c>
      <c r="K344" s="78">
        <f t="shared" si="81"/>
        <v>28</v>
      </c>
      <c r="L344" s="84">
        <v>15.34</v>
      </c>
      <c r="M344" s="82">
        <v>7.13</v>
      </c>
      <c r="N344" s="25">
        <f t="shared" si="68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5"/>
        <v>46033</v>
      </c>
      <c r="E345" s="77">
        <f t="shared" si="76"/>
        <v>46017</v>
      </c>
      <c r="F345" s="77">
        <f t="shared" si="77"/>
        <v>46024</v>
      </c>
      <c r="G345" s="77">
        <f t="shared" si="78"/>
        <v>46030</v>
      </c>
      <c r="H345" s="77">
        <f t="shared" si="79"/>
        <v>46018</v>
      </c>
      <c r="I345" s="77">
        <f t="shared" si="80"/>
        <v>46025</v>
      </c>
      <c r="J345" s="77">
        <v>46038</v>
      </c>
      <c r="K345" s="78">
        <f t="shared" si="81"/>
        <v>28</v>
      </c>
      <c r="L345" s="84">
        <v>15.67</v>
      </c>
      <c r="M345" s="82">
        <v>14.32</v>
      </c>
      <c r="N345" s="25">
        <f t="shared" si="68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5"/>
        <v>46033</v>
      </c>
      <c r="E346" s="77">
        <f t="shared" si="76"/>
        <v>46017</v>
      </c>
      <c r="F346" s="77">
        <f t="shared" si="77"/>
        <v>46024</v>
      </c>
      <c r="G346" s="77">
        <f t="shared" si="78"/>
        <v>46030</v>
      </c>
      <c r="H346" s="77">
        <f t="shared" si="79"/>
        <v>46018</v>
      </c>
      <c r="I346" s="77">
        <f t="shared" si="80"/>
        <v>46025</v>
      </c>
      <c r="J346" s="77">
        <v>46038</v>
      </c>
      <c r="K346" s="78">
        <f t="shared" si="81"/>
        <v>28</v>
      </c>
      <c r="L346" s="84">
        <v>16.12</v>
      </c>
      <c r="M346" s="82">
        <v>14.78</v>
      </c>
      <c r="N346" s="25">
        <f t="shared" si="68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5"/>
        <v>46033</v>
      </c>
      <c r="E347" s="77">
        <f t="shared" si="76"/>
        <v>46017</v>
      </c>
      <c r="F347" s="77">
        <f t="shared" si="77"/>
        <v>46024</v>
      </c>
      <c r="G347" s="77">
        <f t="shared" si="78"/>
        <v>46030</v>
      </c>
      <c r="H347" s="77">
        <f t="shared" si="79"/>
        <v>46018</v>
      </c>
      <c r="I347" s="77">
        <f t="shared" si="80"/>
        <v>46025</v>
      </c>
      <c r="J347" s="77">
        <v>46038</v>
      </c>
      <c r="K347" s="78">
        <f t="shared" si="81"/>
        <v>28</v>
      </c>
      <c r="L347" s="84">
        <v>16.18</v>
      </c>
      <c r="M347" s="82">
        <v>15.03</v>
      </c>
      <c r="N347" s="25">
        <f t="shared" si="68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5"/>
        <v>46033</v>
      </c>
      <c r="E348" s="77">
        <f t="shared" si="76"/>
        <v>46017</v>
      </c>
      <c r="F348" s="77">
        <f t="shared" si="77"/>
        <v>46024</v>
      </c>
      <c r="G348" s="77">
        <f t="shared" si="78"/>
        <v>46030</v>
      </c>
      <c r="H348" s="77">
        <f t="shared" si="79"/>
        <v>46018</v>
      </c>
      <c r="I348" s="77">
        <f t="shared" si="80"/>
        <v>46025</v>
      </c>
      <c r="J348" s="77">
        <v>46038</v>
      </c>
      <c r="K348" s="78">
        <f t="shared" si="81"/>
        <v>28</v>
      </c>
      <c r="L348" s="84">
        <v>17.059999999999999</v>
      </c>
      <c r="M348" s="82">
        <v>15.27</v>
      </c>
      <c r="N348" s="25">
        <f t="shared" si="68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82">A349+23</f>
        <v>46034</v>
      </c>
      <c r="E349" s="77">
        <f t="shared" ref="E349:E362" si="83">A349+7</f>
        <v>46018</v>
      </c>
      <c r="F349" s="77">
        <f t="shared" ref="F349:F362" si="84">A349+14</f>
        <v>46025</v>
      </c>
      <c r="G349" s="77">
        <f t="shared" ref="G349:G362" si="85">A349+20</f>
        <v>46031</v>
      </c>
      <c r="H349" s="77">
        <f t="shared" ref="H349:H362" si="86">A349+8</f>
        <v>46019</v>
      </c>
      <c r="I349" s="77">
        <f t="shared" ref="I349:I362" si="87">A349+15</f>
        <v>46026</v>
      </c>
      <c r="J349" s="77">
        <v>46039</v>
      </c>
      <c r="K349" s="78">
        <f t="shared" si="81"/>
        <v>28</v>
      </c>
      <c r="L349" s="84">
        <v>14.3</v>
      </c>
      <c r="M349" s="82">
        <v>7.58</v>
      </c>
      <c r="N349" s="25">
        <f t="shared" si="68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82"/>
        <v>46034</v>
      </c>
      <c r="E350" s="77">
        <f t="shared" si="83"/>
        <v>46018</v>
      </c>
      <c r="F350" s="77">
        <f t="shared" si="84"/>
        <v>46025</v>
      </c>
      <c r="G350" s="77">
        <f t="shared" si="85"/>
        <v>46031</v>
      </c>
      <c r="H350" s="77">
        <f t="shared" si="86"/>
        <v>46019</v>
      </c>
      <c r="I350" s="77">
        <f t="shared" si="87"/>
        <v>46026</v>
      </c>
      <c r="J350" s="77">
        <v>46039</v>
      </c>
      <c r="K350" s="78">
        <f t="shared" ref="K350:K354" si="88">J350-A350</f>
        <v>28</v>
      </c>
      <c r="L350" s="84">
        <v>15.28</v>
      </c>
      <c r="M350" s="82">
        <v>8.69</v>
      </c>
      <c r="N350" s="25">
        <f t="shared" si="68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82"/>
        <v>46034</v>
      </c>
      <c r="E351" s="77">
        <f t="shared" si="83"/>
        <v>46018</v>
      </c>
      <c r="F351" s="77">
        <f t="shared" si="84"/>
        <v>46025</v>
      </c>
      <c r="G351" s="77">
        <f t="shared" si="85"/>
        <v>46031</v>
      </c>
      <c r="H351" s="77">
        <f t="shared" si="86"/>
        <v>46019</v>
      </c>
      <c r="I351" s="77">
        <f t="shared" si="87"/>
        <v>46026</v>
      </c>
      <c r="J351" s="77">
        <v>46039</v>
      </c>
      <c r="K351" s="78">
        <f t="shared" si="88"/>
        <v>28</v>
      </c>
      <c r="L351" s="84">
        <v>15.45</v>
      </c>
      <c r="M351" s="82">
        <v>8.7100000000000009</v>
      </c>
      <c r="N351" s="25">
        <f t="shared" si="68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82"/>
        <v>46034</v>
      </c>
      <c r="E352" s="77">
        <f t="shared" si="83"/>
        <v>46018</v>
      </c>
      <c r="F352" s="77">
        <f t="shared" si="84"/>
        <v>46025</v>
      </c>
      <c r="G352" s="77">
        <f t="shared" si="85"/>
        <v>46031</v>
      </c>
      <c r="H352" s="77">
        <f t="shared" si="86"/>
        <v>46019</v>
      </c>
      <c r="I352" s="77">
        <f t="shared" si="87"/>
        <v>46026</v>
      </c>
      <c r="J352" s="77">
        <v>46039</v>
      </c>
      <c r="K352" s="78">
        <f t="shared" si="88"/>
        <v>28</v>
      </c>
      <c r="L352" s="84">
        <v>16.89</v>
      </c>
      <c r="M352" s="82">
        <v>15.32</v>
      </c>
      <c r="N352" s="25">
        <f t="shared" si="68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82"/>
        <v>46034</v>
      </c>
      <c r="E353" s="77">
        <f t="shared" si="83"/>
        <v>46018</v>
      </c>
      <c r="F353" s="77">
        <f t="shared" si="84"/>
        <v>46025</v>
      </c>
      <c r="G353" s="77">
        <f t="shared" si="85"/>
        <v>46031</v>
      </c>
      <c r="H353" s="77">
        <f t="shared" si="86"/>
        <v>46019</v>
      </c>
      <c r="I353" s="77">
        <f t="shared" si="87"/>
        <v>46026</v>
      </c>
      <c r="J353" s="77">
        <v>46039</v>
      </c>
      <c r="K353" s="78">
        <f t="shared" si="88"/>
        <v>28</v>
      </c>
      <c r="L353" s="84">
        <v>15.63</v>
      </c>
      <c r="M353" s="82">
        <v>14.76</v>
      </c>
      <c r="N353" s="25">
        <f t="shared" si="68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82"/>
        <v>46034</v>
      </c>
      <c r="E354" s="77">
        <f t="shared" si="83"/>
        <v>46018</v>
      </c>
      <c r="F354" s="77">
        <f t="shared" si="84"/>
        <v>46025</v>
      </c>
      <c r="G354" s="77">
        <f t="shared" si="85"/>
        <v>46031</v>
      </c>
      <c r="H354" s="77">
        <f t="shared" si="86"/>
        <v>46019</v>
      </c>
      <c r="I354" s="77">
        <f t="shared" si="87"/>
        <v>46026</v>
      </c>
      <c r="J354" s="77">
        <v>46039</v>
      </c>
      <c r="K354" s="78">
        <f t="shared" si="88"/>
        <v>28</v>
      </c>
      <c r="L354" s="84">
        <v>16.91</v>
      </c>
      <c r="M354" s="82">
        <v>15.89</v>
      </c>
      <c r="N354" s="25">
        <f t="shared" si="68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82"/>
        <v>46034</v>
      </c>
      <c r="E355" s="77">
        <f t="shared" si="83"/>
        <v>46018</v>
      </c>
      <c r="F355" s="77">
        <f t="shared" si="84"/>
        <v>46025</v>
      </c>
      <c r="G355" s="77">
        <f t="shared" si="85"/>
        <v>46031</v>
      </c>
      <c r="H355" s="77">
        <f t="shared" si="86"/>
        <v>46019</v>
      </c>
      <c r="I355" s="77">
        <f t="shared" si="87"/>
        <v>46026</v>
      </c>
      <c r="J355" s="77">
        <v>46040</v>
      </c>
      <c r="K355" s="78">
        <f t="shared" ref="K355:K366" si="89">J355-A355</f>
        <v>29</v>
      </c>
      <c r="L355" s="84">
        <v>16.52</v>
      </c>
      <c r="M355" s="82">
        <v>9.2100000000000009</v>
      </c>
      <c r="N355" s="25">
        <f t="shared" si="68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82"/>
        <v>46035</v>
      </c>
      <c r="E356" s="77">
        <f t="shared" si="83"/>
        <v>46019</v>
      </c>
      <c r="F356" s="77">
        <f t="shared" si="84"/>
        <v>46026</v>
      </c>
      <c r="G356" s="77">
        <f t="shared" si="85"/>
        <v>46032</v>
      </c>
      <c r="H356" s="77">
        <f t="shared" si="86"/>
        <v>46020</v>
      </c>
      <c r="I356" s="77">
        <f t="shared" si="87"/>
        <v>46027</v>
      </c>
      <c r="J356" s="77">
        <v>46040</v>
      </c>
      <c r="K356" s="78">
        <f t="shared" si="89"/>
        <v>28</v>
      </c>
      <c r="L356" s="84">
        <v>17.34</v>
      </c>
      <c r="M356" s="82">
        <v>10.32</v>
      </c>
      <c r="N356" s="25">
        <f t="shared" si="68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82"/>
        <v>46035</v>
      </c>
      <c r="E357" s="77">
        <f t="shared" si="83"/>
        <v>46019</v>
      </c>
      <c r="F357" s="77">
        <f t="shared" si="84"/>
        <v>46026</v>
      </c>
      <c r="G357" s="77">
        <f t="shared" si="85"/>
        <v>46032</v>
      </c>
      <c r="H357" s="77">
        <f t="shared" si="86"/>
        <v>46020</v>
      </c>
      <c r="I357" s="77">
        <f t="shared" si="87"/>
        <v>46027</v>
      </c>
      <c r="J357" s="77">
        <v>46040</v>
      </c>
      <c r="K357" s="78">
        <f t="shared" si="89"/>
        <v>28</v>
      </c>
      <c r="L357" s="84">
        <v>17.850000000000001</v>
      </c>
      <c r="M357" s="82">
        <v>11.7</v>
      </c>
      <c r="N357" s="25">
        <f t="shared" si="68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82"/>
        <v>46035</v>
      </c>
      <c r="E358" s="77">
        <f t="shared" si="83"/>
        <v>46019</v>
      </c>
      <c r="F358" s="77">
        <f t="shared" si="84"/>
        <v>46026</v>
      </c>
      <c r="G358" s="77">
        <f t="shared" si="85"/>
        <v>46032</v>
      </c>
      <c r="H358" s="77">
        <f t="shared" si="86"/>
        <v>46020</v>
      </c>
      <c r="I358" s="77">
        <f t="shared" si="87"/>
        <v>46027</v>
      </c>
      <c r="J358" s="77">
        <v>46040</v>
      </c>
      <c r="K358" s="78">
        <f t="shared" si="89"/>
        <v>28</v>
      </c>
      <c r="L358" s="84">
        <v>18.190000000000001</v>
      </c>
      <c r="M358" s="82">
        <v>10.18</v>
      </c>
      <c r="N358" s="25">
        <f t="shared" si="68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82"/>
        <v>46035</v>
      </c>
      <c r="E359" s="77">
        <f t="shared" si="83"/>
        <v>46019</v>
      </c>
      <c r="F359" s="77">
        <f t="shared" si="84"/>
        <v>46026</v>
      </c>
      <c r="G359" s="77">
        <f t="shared" si="85"/>
        <v>46032</v>
      </c>
      <c r="H359" s="77">
        <f t="shared" si="86"/>
        <v>46020</v>
      </c>
      <c r="I359" s="77">
        <f t="shared" si="87"/>
        <v>46027</v>
      </c>
      <c r="J359" s="77">
        <v>46040</v>
      </c>
      <c r="K359" s="78">
        <f t="shared" si="89"/>
        <v>28</v>
      </c>
      <c r="L359" s="84">
        <v>18.03</v>
      </c>
      <c r="M359" s="82">
        <v>9.99</v>
      </c>
      <c r="N359" s="25">
        <f t="shared" si="68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82"/>
        <v>46035</v>
      </c>
      <c r="E360" s="77">
        <f t="shared" si="83"/>
        <v>46019</v>
      </c>
      <c r="F360" s="77">
        <f t="shared" si="84"/>
        <v>46026</v>
      </c>
      <c r="G360" s="77">
        <f t="shared" si="85"/>
        <v>46032</v>
      </c>
      <c r="H360" s="77">
        <f t="shared" si="86"/>
        <v>46020</v>
      </c>
      <c r="I360" s="77">
        <f t="shared" si="87"/>
        <v>46027</v>
      </c>
      <c r="J360" s="77">
        <v>46040</v>
      </c>
      <c r="K360" s="78">
        <f t="shared" si="89"/>
        <v>28</v>
      </c>
      <c r="L360" s="84">
        <v>17.16</v>
      </c>
      <c r="M360" s="82">
        <v>9.89</v>
      </c>
      <c r="N360" s="25">
        <f t="shared" si="68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82"/>
        <v>46035</v>
      </c>
      <c r="E361" s="77">
        <f t="shared" si="83"/>
        <v>46019</v>
      </c>
      <c r="F361" s="77">
        <f t="shared" si="84"/>
        <v>46026</v>
      </c>
      <c r="G361" s="77">
        <f t="shared" si="85"/>
        <v>46032</v>
      </c>
      <c r="H361" s="77">
        <f t="shared" si="86"/>
        <v>46020</v>
      </c>
      <c r="I361" s="77">
        <f t="shared" si="87"/>
        <v>46027</v>
      </c>
      <c r="J361" s="77">
        <v>46040</v>
      </c>
      <c r="K361" s="78">
        <f t="shared" si="89"/>
        <v>28</v>
      </c>
      <c r="L361" s="84">
        <v>19.82</v>
      </c>
      <c r="M361" s="82">
        <v>18.54</v>
      </c>
      <c r="N361" s="25">
        <f t="shared" si="68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82"/>
        <v>46035</v>
      </c>
      <c r="E362" s="77">
        <f t="shared" si="83"/>
        <v>46019</v>
      </c>
      <c r="F362" s="77">
        <f t="shared" si="84"/>
        <v>46026</v>
      </c>
      <c r="G362" s="77">
        <f t="shared" si="85"/>
        <v>46032</v>
      </c>
      <c r="H362" s="77">
        <f t="shared" si="86"/>
        <v>46020</v>
      </c>
      <c r="I362" s="77">
        <f t="shared" si="87"/>
        <v>46027</v>
      </c>
      <c r="J362" s="77">
        <v>46040</v>
      </c>
      <c r="K362" s="78">
        <f t="shared" si="89"/>
        <v>28</v>
      </c>
      <c r="L362" s="84">
        <v>18.91</v>
      </c>
      <c r="M362" s="82">
        <v>17.32</v>
      </c>
      <c r="N362" s="25">
        <f t="shared" si="68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67" si="90">A363+23</f>
        <v>46036</v>
      </c>
      <c r="E363" s="77">
        <f t="shared" ref="E363:E367" si="91">A363+7</f>
        <v>46020</v>
      </c>
      <c r="F363" s="77">
        <f t="shared" ref="F363:F367" si="92">A363+14</f>
        <v>46027</v>
      </c>
      <c r="G363" s="77">
        <f t="shared" ref="G363:G367" si="93">A363+20</f>
        <v>46033</v>
      </c>
      <c r="H363" s="77">
        <f t="shared" ref="H363:H367" si="94">A363+8</f>
        <v>46021</v>
      </c>
      <c r="I363" s="77">
        <f t="shared" ref="I363:I367" si="95">A363+15</f>
        <v>46028</v>
      </c>
      <c r="J363" s="77">
        <v>46040</v>
      </c>
      <c r="K363" s="78">
        <f t="shared" si="89"/>
        <v>27</v>
      </c>
      <c r="L363" s="84">
        <v>18.670000000000002</v>
      </c>
      <c r="M363" s="82">
        <v>17.18</v>
      </c>
      <c r="N363" s="25">
        <f t="shared" si="68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90"/>
        <v>46036</v>
      </c>
      <c r="E364" s="77">
        <f t="shared" si="91"/>
        <v>46020</v>
      </c>
      <c r="F364" s="77">
        <f t="shared" si="92"/>
        <v>46027</v>
      </c>
      <c r="G364" s="77">
        <f t="shared" si="93"/>
        <v>46033</v>
      </c>
      <c r="H364" s="77">
        <f t="shared" si="94"/>
        <v>46021</v>
      </c>
      <c r="I364" s="77">
        <f t="shared" si="95"/>
        <v>46028</v>
      </c>
      <c r="J364" s="77">
        <v>46040</v>
      </c>
      <c r="K364" s="78">
        <f t="shared" si="89"/>
        <v>27</v>
      </c>
      <c r="L364" s="84">
        <v>19.78</v>
      </c>
      <c r="M364" s="82">
        <v>18.100000000000001</v>
      </c>
      <c r="N364" s="25">
        <f t="shared" si="68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90"/>
        <v>46036</v>
      </c>
      <c r="E365" s="77">
        <f t="shared" si="91"/>
        <v>46020</v>
      </c>
      <c r="F365" s="77">
        <f t="shared" si="92"/>
        <v>46027</v>
      </c>
      <c r="G365" s="77">
        <f t="shared" si="93"/>
        <v>46033</v>
      </c>
      <c r="H365" s="77">
        <f t="shared" si="94"/>
        <v>46021</v>
      </c>
      <c r="I365" s="77">
        <f t="shared" si="95"/>
        <v>46028</v>
      </c>
      <c r="J365" s="77">
        <v>46042</v>
      </c>
      <c r="K365" s="78">
        <f t="shared" si="89"/>
        <v>29</v>
      </c>
      <c r="L365" s="84">
        <v>16.73</v>
      </c>
      <c r="M365" s="82">
        <v>8.5399999999999991</v>
      </c>
      <c r="N365" s="25">
        <f t="shared" si="68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90"/>
        <v>46036</v>
      </c>
      <c r="E366" s="77">
        <f t="shared" si="91"/>
        <v>46020</v>
      </c>
      <c r="F366" s="77">
        <f t="shared" si="92"/>
        <v>46027</v>
      </c>
      <c r="G366" s="77">
        <f t="shared" si="93"/>
        <v>46033</v>
      </c>
      <c r="H366" s="77">
        <f t="shared" si="94"/>
        <v>46021</v>
      </c>
      <c r="I366" s="77">
        <f t="shared" si="95"/>
        <v>46028</v>
      </c>
      <c r="J366" s="77">
        <v>46042</v>
      </c>
      <c r="K366" s="78">
        <f t="shared" si="89"/>
        <v>29</v>
      </c>
      <c r="L366" s="84">
        <v>17.059999999999999</v>
      </c>
      <c r="M366" s="82">
        <v>8.9700000000000006</v>
      </c>
      <c r="N366" s="25">
        <f t="shared" si="68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90"/>
        <v>46036</v>
      </c>
      <c r="E367" s="77">
        <f t="shared" si="91"/>
        <v>46020</v>
      </c>
      <c r="F367" s="77">
        <f t="shared" si="92"/>
        <v>46027</v>
      </c>
      <c r="G367" s="77">
        <f t="shared" si="93"/>
        <v>46033</v>
      </c>
      <c r="H367" s="77">
        <f t="shared" si="94"/>
        <v>46021</v>
      </c>
      <c r="I367" s="77">
        <f t="shared" si="95"/>
        <v>46028</v>
      </c>
      <c r="J367" s="77">
        <v>46041</v>
      </c>
      <c r="K367" s="78">
        <f t="shared" ref="K367:K371" si="96">J367-A367</f>
        <v>28</v>
      </c>
      <c r="L367" s="84">
        <v>18.54</v>
      </c>
      <c r="M367" s="82">
        <v>17.21</v>
      </c>
      <c r="N367" s="25">
        <f t="shared" ref="N367:N369" si="97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>A368+23</f>
        <v>46036</v>
      </c>
      <c r="E368" s="77">
        <f>A368+7</f>
        <v>46020</v>
      </c>
      <c r="F368" s="77">
        <f>A368+14</f>
        <v>46027</v>
      </c>
      <c r="G368" s="77">
        <f>A368+20</f>
        <v>46033</v>
      </c>
      <c r="H368" s="77">
        <f>A368+8</f>
        <v>46021</v>
      </c>
      <c r="I368" s="77">
        <f>A368+15</f>
        <v>46028</v>
      </c>
      <c r="J368" s="77">
        <v>46041</v>
      </c>
      <c r="K368" s="78">
        <f t="shared" si="96"/>
        <v>28</v>
      </c>
      <c r="L368" s="84">
        <v>19.78</v>
      </c>
      <c r="M368" s="82">
        <v>18.829999999999998</v>
      </c>
      <c r="N368" s="25">
        <f t="shared" si="97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>A369+23</f>
        <v>46036</v>
      </c>
      <c r="E369" s="77">
        <f>A369+7</f>
        <v>46020</v>
      </c>
      <c r="F369" s="77">
        <f>A369+14</f>
        <v>46027</v>
      </c>
      <c r="G369" s="77">
        <f>A369+20</f>
        <v>46033</v>
      </c>
      <c r="H369" s="77">
        <f>A369+8</f>
        <v>46021</v>
      </c>
      <c r="I369" s="77">
        <f>A369+15</f>
        <v>46028</v>
      </c>
      <c r="J369" s="77">
        <v>46041</v>
      </c>
      <c r="K369" s="78">
        <f t="shared" si="96"/>
        <v>28</v>
      </c>
      <c r="L369" s="84">
        <v>18.059999999999999</v>
      </c>
      <c r="M369" s="82">
        <v>16.98</v>
      </c>
      <c r="N369" s="25">
        <f t="shared" si="97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ref="D370" si="98">A370+23</f>
        <v>46037</v>
      </c>
      <c r="E370" s="77">
        <f t="shared" ref="E370" si="99">A370+7</f>
        <v>46021</v>
      </c>
      <c r="F370" s="77">
        <f t="shared" ref="F370" si="100">A370+14</f>
        <v>46028</v>
      </c>
      <c r="G370" s="77">
        <f t="shared" ref="G370" si="101">A370+20</f>
        <v>46034</v>
      </c>
      <c r="H370" s="77">
        <f t="shared" ref="H370" si="102">A370+8</f>
        <v>46022</v>
      </c>
      <c r="I370" s="77">
        <f t="shared" ref="I370" si="103">A370+15</f>
        <v>46029</v>
      </c>
      <c r="J370" s="77">
        <v>46042</v>
      </c>
      <c r="K370" s="78">
        <f t="shared" si="96"/>
        <v>28</v>
      </c>
      <c r="L370" s="84">
        <v>16.25</v>
      </c>
      <c r="M370" s="82">
        <v>7.81</v>
      </c>
      <c r="N370" s="25">
        <f t="shared" ref="N370" si="104">L370-M370</f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ref="D371:D372" si="105">A371+23</f>
        <v>46037</v>
      </c>
      <c r="E371" s="77">
        <f t="shared" ref="E371:E372" si="106">A371+7</f>
        <v>46021</v>
      </c>
      <c r="F371" s="77">
        <f t="shared" ref="F371:F372" si="107">A371+14</f>
        <v>46028</v>
      </c>
      <c r="G371" s="77">
        <f t="shared" ref="G371:G372" si="108">A371+20</f>
        <v>46034</v>
      </c>
      <c r="H371" s="77">
        <f t="shared" ref="H371:H372" si="109">A371+8</f>
        <v>46022</v>
      </c>
      <c r="I371" s="77">
        <f t="shared" ref="I371:I372" si="110">A371+15</f>
        <v>46029</v>
      </c>
      <c r="J371" s="77">
        <v>46043</v>
      </c>
      <c r="K371" s="78">
        <f t="shared" si="96"/>
        <v>29</v>
      </c>
      <c r="L371" s="84">
        <v>14.52</v>
      </c>
      <c r="M371" s="82">
        <v>7.81</v>
      </c>
      <c r="N371" s="25">
        <f t="shared" ref="N371" si="111">L371-M371</f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105"/>
        <v>46037</v>
      </c>
      <c r="E372" s="77">
        <f t="shared" si="106"/>
        <v>46021</v>
      </c>
      <c r="F372" s="77">
        <f t="shared" si="107"/>
        <v>46028</v>
      </c>
      <c r="G372" s="77">
        <f t="shared" si="108"/>
        <v>46034</v>
      </c>
      <c r="H372" s="77">
        <f t="shared" si="109"/>
        <v>46022</v>
      </c>
      <c r="I372" s="77">
        <f t="shared" si="110"/>
        <v>46029</v>
      </c>
      <c r="J372" s="77">
        <v>46043</v>
      </c>
      <c r="K372" s="78">
        <f t="shared" ref="K372:K376" si="112">J372-A372</f>
        <v>29</v>
      </c>
      <c r="L372" s="84">
        <v>16.170000000000002</v>
      </c>
      <c r="M372" s="82">
        <v>8.66</v>
      </c>
      <c r="N372" s="25">
        <f t="shared" ref="N372:N376" si="113">L372-M372</f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ref="D373" si="114">A373+23</f>
        <v>46037</v>
      </c>
      <c r="E373" s="77">
        <f t="shared" ref="E373" si="115">A373+7</f>
        <v>46021</v>
      </c>
      <c r="F373" s="77">
        <f t="shared" ref="F373" si="116">A373+14</f>
        <v>46028</v>
      </c>
      <c r="G373" s="77">
        <f t="shared" ref="G373" si="117">A373+20</f>
        <v>46034</v>
      </c>
      <c r="H373" s="77">
        <f t="shared" ref="H373" si="118">A373+8</f>
        <v>46022</v>
      </c>
      <c r="I373" s="77">
        <f t="shared" ref="I373" si="119">A373+15</f>
        <v>46029</v>
      </c>
      <c r="J373" s="77">
        <v>46044</v>
      </c>
      <c r="K373" s="78">
        <f t="shared" si="112"/>
        <v>30</v>
      </c>
      <c r="L373" s="84">
        <v>15.37</v>
      </c>
      <c r="M373" s="82">
        <v>7.59</v>
      </c>
      <c r="N373" s="25">
        <f t="shared" si="113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120">A374+23</f>
        <v>46037</v>
      </c>
      <c r="E374" s="77">
        <f t="shared" ref="E374:E380" si="121">A374+7</f>
        <v>46021</v>
      </c>
      <c r="F374" s="77">
        <f t="shared" ref="F374:F380" si="122">A374+14</f>
        <v>46028</v>
      </c>
      <c r="G374" s="77">
        <f t="shared" ref="G374:G380" si="123">A374+20</f>
        <v>46034</v>
      </c>
      <c r="H374" s="77">
        <f t="shared" ref="H374:H380" si="124">A374+8</f>
        <v>46022</v>
      </c>
      <c r="I374" s="77">
        <f t="shared" ref="I374:I380" si="125">A374+15</f>
        <v>46029</v>
      </c>
      <c r="J374" s="77">
        <v>46044</v>
      </c>
      <c r="K374" s="78">
        <f t="shared" si="112"/>
        <v>30</v>
      </c>
      <c r="L374" s="84">
        <v>16.84</v>
      </c>
      <c r="M374" s="82">
        <v>8.31</v>
      </c>
      <c r="N374" s="25">
        <f t="shared" si="113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120"/>
        <v>46037</v>
      </c>
      <c r="E375" s="77">
        <f t="shared" si="121"/>
        <v>46021</v>
      </c>
      <c r="F375" s="77">
        <f t="shared" si="122"/>
        <v>46028</v>
      </c>
      <c r="G375" s="77">
        <f t="shared" si="123"/>
        <v>46034</v>
      </c>
      <c r="H375" s="77">
        <f t="shared" si="124"/>
        <v>46022</v>
      </c>
      <c r="I375" s="77">
        <f t="shared" si="125"/>
        <v>46029</v>
      </c>
      <c r="J375" s="77">
        <v>46044</v>
      </c>
      <c r="K375" s="78">
        <f t="shared" si="112"/>
        <v>30</v>
      </c>
      <c r="L375" s="84">
        <v>19.11</v>
      </c>
      <c r="M375" s="82">
        <v>17.87</v>
      </c>
      <c r="N375" s="25">
        <f t="shared" si="113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120"/>
        <v>46037</v>
      </c>
      <c r="E376" s="77">
        <f t="shared" si="121"/>
        <v>46021</v>
      </c>
      <c r="F376" s="77">
        <f t="shared" si="122"/>
        <v>46028</v>
      </c>
      <c r="G376" s="77">
        <f t="shared" si="123"/>
        <v>46034</v>
      </c>
      <c r="H376" s="77">
        <f t="shared" si="124"/>
        <v>46022</v>
      </c>
      <c r="I376" s="77">
        <f t="shared" si="125"/>
        <v>46029</v>
      </c>
      <c r="J376" s="77">
        <v>46044</v>
      </c>
      <c r="K376" s="78">
        <f t="shared" si="112"/>
        <v>30</v>
      </c>
      <c r="L376" s="84">
        <v>19.93</v>
      </c>
      <c r="M376" s="82">
        <v>18.059999999999999</v>
      </c>
      <c r="N376" s="25">
        <f t="shared" si="113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120"/>
        <v>46037</v>
      </c>
      <c r="E377" s="77">
        <f t="shared" si="121"/>
        <v>46021</v>
      </c>
      <c r="F377" s="77">
        <f t="shared" si="122"/>
        <v>46028</v>
      </c>
      <c r="G377" s="77">
        <f t="shared" si="123"/>
        <v>46034</v>
      </c>
      <c r="H377" s="77">
        <f t="shared" si="124"/>
        <v>46022</v>
      </c>
      <c r="I377" s="77">
        <f t="shared" si="125"/>
        <v>46029</v>
      </c>
      <c r="J377" s="77">
        <v>46043</v>
      </c>
      <c r="K377" s="78">
        <f t="shared" ref="K377:K381" si="126">J377-A377</f>
        <v>29</v>
      </c>
      <c r="L377" s="84">
        <v>19.86</v>
      </c>
      <c r="M377" s="82">
        <v>18.559999999999999</v>
      </c>
      <c r="N377" s="25">
        <f t="shared" ref="N377:N440" si="127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120"/>
        <v>46037</v>
      </c>
      <c r="E378" s="77">
        <f t="shared" si="121"/>
        <v>46021</v>
      </c>
      <c r="F378" s="77">
        <f t="shared" si="122"/>
        <v>46028</v>
      </c>
      <c r="G378" s="77">
        <f t="shared" si="123"/>
        <v>46034</v>
      </c>
      <c r="H378" s="77">
        <f t="shared" si="124"/>
        <v>46022</v>
      </c>
      <c r="I378" s="77">
        <f t="shared" si="125"/>
        <v>46029</v>
      </c>
      <c r="J378" s="77">
        <v>46043</v>
      </c>
      <c r="K378" s="78">
        <f t="shared" si="126"/>
        <v>29</v>
      </c>
      <c r="L378" s="84">
        <v>18.93</v>
      </c>
      <c r="M378" s="82">
        <v>17.91</v>
      </c>
      <c r="N378" s="25">
        <f t="shared" si="127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120"/>
        <v>46037</v>
      </c>
      <c r="E379" s="77">
        <f t="shared" si="121"/>
        <v>46021</v>
      </c>
      <c r="F379" s="77">
        <f t="shared" si="122"/>
        <v>46028</v>
      </c>
      <c r="G379" s="77">
        <f t="shared" si="123"/>
        <v>46034</v>
      </c>
      <c r="H379" s="77">
        <f t="shared" si="124"/>
        <v>46022</v>
      </c>
      <c r="I379" s="77">
        <f t="shared" si="125"/>
        <v>46029</v>
      </c>
      <c r="J379" s="77">
        <v>46043</v>
      </c>
      <c r="K379" s="78">
        <f t="shared" si="126"/>
        <v>29</v>
      </c>
      <c r="L379" s="84">
        <v>19.75</v>
      </c>
      <c r="M379" s="82">
        <v>18.34</v>
      </c>
      <c r="N379" s="25">
        <f t="shared" si="127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120"/>
        <v>46037</v>
      </c>
      <c r="E380" s="77">
        <f t="shared" si="121"/>
        <v>46021</v>
      </c>
      <c r="F380" s="77">
        <f t="shared" si="122"/>
        <v>46028</v>
      </c>
      <c r="G380" s="77">
        <f t="shared" si="123"/>
        <v>46034</v>
      </c>
      <c r="H380" s="77">
        <f t="shared" si="124"/>
        <v>46022</v>
      </c>
      <c r="I380" s="77">
        <f t="shared" si="125"/>
        <v>46029</v>
      </c>
      <c r="J380" s="77">
        <v>46043</v>
      </c>
      <c r="K380" s="78">
        <f t="shared" si="126"/>
        <v>29</v>
      </c>
      <c r="L380" s="84">
        <v>13.38</v>
      </c>
      <c r="M380" s="82">
        <v>7.3</v>
      </c>
      <c r="N380" s="25">
        <f t="shared" si="127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128">A381+23</f>
        <v>46038</v>
      </c>
      <c r="E381" s="77">
        <f t="shared" ref="E381:E394" si="129">A381+7</f>
        <v>46022</v>
      </c>
      <c r="F381" s="77">
        <f t="shared" ref="F381:F394" si="130">A381+14</f>
        <v>46029</v>
      </c>
      <c r="G381" s="77">
        <f t="shared" ref="G381:G387" si="131">A381+20</f>
        <v>46035</v>
      </c>
      <c r="H381" s="77">
        <f t="shared" ref="H381:H387" si="132">A381+8</f>
        <v>46023</v>
      </c>
      <c r="I381" s="77">
        <f t="shared" ref="I381:I387" si="133">A381+15</f>
        <v>46030</v>
      </c>
      <c r="J381" s="77">
        <v>46045</v>
      </c>
      <c r="K381" s="78">
        <f t="shared" si="126"/>
        <v>30</v>
      </c>
      <c r="L381" s="84">
        <v>12.56</v>
      </c>
      <c r="M381" s="82">
        <v>6.7</v>
      </c>
      <c r="N381" s="25">
        <f t="shared" si="127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128"/>
        <v>46038</v>
      </c>
      <c r="E382" s="77">
        <f t="shared" si="129"/>
        <v>46022</v>
      </c>
      <c r="F382" s="77">
        <f t="shared" si="130"/>
        <v>46029</v>
      </c>
      <c r="G382" s="77">
        <f t="shared" si="131"/>
        <v>46035</v>
      </c>
      <c r="H382" s="77">
        <f t="shared" si="132"/>
        <v>46023</v>
      </c>
      <c r="I382" s="77">
        <f t="shared" si="133"/>
        <v>46030</v>
      </c>
      <c r="J382" s="77">
        <v>46045</v>
      </c>
      <c r="K382" s="78">
        <f t="shared" ref="K382:K416" si="134">J382-A382</f>
        <v>30</v>
      </c>
      <c r="L382" s="84">
        <v>13.18</v>
      </c>
      <c r="M382" s="82">
        <v>7.03</v>
      </c>
      <c r="N382" s="25">
        <f t="shared" si="127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128"/>
        <v>46038</v>
      </c>
      <c r="E383" s="77">
        <f t="shared" si="129"/>
        <v>46022</v>
      </c>
      <c r="F383" s="77">
        <f t="shared" si="130"/>
        <v>46029</v>
      </c>
      <c r="G383" s="77">
        <f t="shared" si="131"/>
        <v>46035</v>
      </c>
      <c r="H383" s="77">
        <f t="shared" si="132"/>
        <v>46023</v>
      </c>
      <c r="I383" s="77">
        <f t="shared" si="133"/>
        <v>46030</v>
      </c>
      <c r="J383" s="77">
        <v>46045</v>
      </c>
      <c r="K383" s="78">
        <f t="shared" si="134"/>
        <v>30</v>
      </c>
      <c r="L383" s="84">
        <v>12.83</v>
      </c>
      <c r="M383" s="82">
        <v>6.21</v>
      </c>
      <c r="N383" s="25">
        <f t="shared" si="127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128"/>
        <v>46038</v>
      </c>
      <c r="E384" s="77">
        <f t="shared" si="129"/>
        <v>46022</v>
      </c>
      <c r="F384" s="77">
        <f t="shared" si="130"/>
        <v>46029</v>
      </c>
      <c r="G384" s="77">
        <f t="shared" si="131"/>
        <v>46035</v>
      </c>
      <c r="H384" s="77">
        <f t="shared" si="132"/>
        <v>46023</v>
      </c>
      <c r="I384" s="77">
        <f t="shared" si="133"/>
        <v>46030</v>
      </c>
      <c r="J384" s="77">
        <v>46045</v>
      </c>
      <c r="K384" s="78">
        <f t="shared" si="134"/>
        <v>30</v>
      </c>
      <c r="L384" s="84">
        <v>13.16</v>
      </c>
      <c r="M384" s="82">
        <v>11.73</v>
      </c>
      <c r="N384" s="25">
        <f t="shared" si="127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128"/>
        <v>46038</v>
      </c>
      <c r="E385" s="77">
        <f t="shared" si="129"/>
        <v>46022</v>
      </c>
      <c r="F385" s="77">
        <f t="shared" si="130"/>
        <v>46029</v>
      </c>
      <c r="G385" s="77">
        <f t="shared" si="131"/>
        <v>46035</v>
      </c>
      <c r="H385" s="77">
        <f t="shared" si="132"/>
        <v>46023</v>
      </c>
      <c r="I385" s="77">
        <f t="shared" si="133"/>
        <v>46030</v>
      </c>
      <c r="J385" s="77">
        <v>46045</v>
      </c>
      <c r="K385" s="78">
        <f t="shared" si="134"/>
        <v>30</v>
      </c>
      <c r="L385" s="84">
        <v>13.95</v>
      </c>
      <c r="M385" s="82">
        <v>12.54</v>
      </c>
      <c r="N385" s="25">
        <f t="shared" si="127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128"/>
        <v>46038</v>
      </c>
      <c r="E386" s="77">
        <f t="shared" si="129"/>
        <v>46022</v>
      </c>
      <c r="F386" s="77">
        <f t="shared" si="130"/>
        <v>46029</v>
      </c>
      <c r="G386" s="77">
        <f t="shared" si="131"/>
        <v>46035</v>
      </c>
      <c r="H386" s="77">
        <f t="shared" si="132"/>
        <v>46023</v>
      </c>
      <c r="I386" s="77">
        <f t="shared" si="133"/>
        <v>46030</v>
      </c>
      <c r="J386" s="77">
        <v>46045</v>
      </c>
      <c r="K386" s="78">
        <f t="shared" si="134"/>
        <v>30</v>
      </c>
      <c r="L386" s="84">
        <v>14.15</v>
      </c>
      <c r="M386" s="82">
        <v>12.61</v>
      </c>
      <c r="N386" s="25">
        <f t="shared" si="127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128"/>
        <v>46038</v>
      </c>
      <c r="E387" s="77">
        <f t="shared" si="129"/>
        <v>46022</v>
      </c>
      <c r="F387" s="77">
        <f t="shared" si="130"/>
        <v>46029</v>
      </c>
      <c r="G387" s="77">
        <f t="shared" si="131"/>
        <v>46035</v>
      </c>
      <c r="H387" s="77">
        <f t="shared" si="132"/>
        <v>46023</v>
      </c>
      <c r="I387" s="77">
        <f t="shared" si="133"/>
        <v>46030</v>
      </c>
      <c r="J387" s="77">
        <v>46045</v>
      </c>
      <c r="K387" s="78">
        <f t="shared" si="134"/>
        <v>30</v>
      </c>
      <c r="L387" s="84">
        <v>14.87</v>
      </c>
      <c r="M387" s="82">
        <v>13.1</v>
      </c>
      <c r="N387" s="25">
        <f t="shared" si="127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128"/>
        <v>46039</v>
      </c>
      <c r="E388" s="77">
        <f t="shared" si="129"/>
        <v>46023</v>
      </c>
      <c r="F388" s="77">
        <f t="shared" si="130"/>
        <v>46030</v>
      </c>
      <c r="G388" s="77">
        <f t="shared" ref="G388:G394" si="135">A388+20</f>
        <v>46036</v>
      </c>
      <c r="H388" s="77">
        <f t="shared" ref="H388:H394" si="136">A388+8</f>
        <v>46024</v>
      </c>
      <c r="I388" s="77">
        <f t="shared" ref="I388:I394" si="137">A388+15</f>
        <v>46031</v>
      </c>
      <c r="J388" s="77">
        <v>46046</v>
      </c>
      <c r="K388" s="78">
        <f t="shared" si="134"/>
        <v>30</v>
      </c>
      <c r="L388" s="84">
        <v>12.69</v>
      </c>
      <c r="M388" s="82">
        <v>6.51</v>
      </c>
      <c r="N388" s="25">
        <f t="shared" si="127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128"/>
        <v>46039</v>
      </c>
      <c r="E389" s="77">
        <f t="shared" si="129"/>
        <v>46023</v>
      </c>
      <c r="F389" s="77">
        <f t="shared" si="130"/>
        <v>46030</v>
      </c>
      <c r="G389" s="77">
        <f t="shared" si="135"/>
        <v>46036</v>
      </c>
      <c r="H389" s="77">
        <f t="shared" si="136"/>
        <v>46024</v>
      </c>
      <c r="I389" s="77">
        <f t="shared" si="137"/>
        <v>46031</v>
      </c>
      <c r="J389" s="77">
        <v>46046</v>
      </c>
      <c r="K389" s="78">
        <f t="shared" si="134"/>
        <v>30</v>
      </c>
      <c r="L389" s="84">
        <v>11.15</v>
      </c>
      <c r="M389" s="82">
        <v>5.74</v>
      </c>
      <c r="N389" s="25">
        <f t="shared" si="127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128"/>
        <v>46039</v>
      </c>
      <c r="E390" s="77">
        <f t="shared" si="129"/>
        <v>46023</v>
      </c>
      <c r="F390" s="77">
        <f t="shared" si="130"/>
        <v>46030</v>
      </c>
      <c r="G390" s="77">
        <f t="shared" si="135"/>
        <v>46036</v>
      </c>
      <c r="H390" s="77">
        <f t="shared" si="136"/>
        <v>46024</v>
      </c>
      <c r="I390" s="77">
        <f t="shared" si="137"/>
        <v>46031</v>
      </c>
      <c r="J390" s="77">
        <v>46046</v>
      </c>
      <c r="K390" s="78">
        <f t="shared" si="134"/>
        <v>30</v>
      </c>
      <c r="L390" s="84">
        <v>10.44</v>
      </c>
      <c r="M390" s="82">
        <v>4.7300000000000004</v>
      </c>
      <c r="N390" s="25">
        <f t="shared" si="127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128"/>
        <v>46039</v>
      </c>
      <c r="E391" s="77">
        <f t="shared" si="129"/>
        <v>46023</v>
      </c>
      <c r="F391" s="77">
        <f t="shared" si="130"/>
        <v>46030</v>
      </c>
      <c r="G391" s="77">
        <f t="shared" si="135"/>
        <v>46036</v>
      </c>
      <c r="H391" s="77">
        <f t="shared" si="136"/>
        <v>46024</v>
      </c>
      <c r="I391" s="77">
        <f t="shared" si="137"/>
        <v>46031</v>
      </c>
      <c r="J391" s="77">
        <v>46046</v>
      </c>
      <c r="K391" s="78">
        <f t="shared" si="134"/>
        <v>30</v>
      </c>
      <c r="L391" s="84">
        <v>10.119999999999999</v>
      </c>
      <c r="M391" s="82">
        <v>4.26</v>
      </c>
      <c r="N391" s="25">
        <f t="shared" si="127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128"/>
        <v>46039</v>
      </c>
      <c r="E392" s="77">
        <f t="shared" si="129"/>
        <v>46023</v>
      </c>
      <c r="F392" s="77">
        <f t="shared" si="130"/>
        <v>46030</v>
      </c>
      <c r="G392" s="77">
        <f t="shared" si="135"/>
        <v>46036</v>
      </c>
      <c r="H392" s="77">
        <f t="shared" si="136"/>
        <v>46024</v>
      </c>
      <c r="I392" s="77">
        <f t="shared" si="137"/>
        <v>46031</v>
      </c>
      <c r="J392" s="77">
        <v>46046</v>
      </c>
      <c r="K392" s="78">
        <f t="shared" si="134"/>
        <v>30</v>
      </c>
      <c r="L392" s="84">
        <v>12.17</v>
      </c>
      <c r="M392" s="82">
        <v>10.23</v>
      </c>
      <c r="N392" s="25">
        <f t="shared" si="127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128"/>
        <v>46039</v>
      </c>
      <c r="E393" s="77">
        <f t="shared" si="129"/>
        <v>46023</v>
      </c>
      <c r="F393" s="77">
        <f t="shared" si="130"/>
        <v>46030</v>
      </c>
      <c r="G393" s="77">
        <f t="shared" si="135"/>
        <v>46036</v>
      </c>
      <c r="H393" s="77">
        <f t="shared" si="136"/>
        <v>46024</v>
      </c>
      <c r="I393" s="77">
        <f t="shared" si="137"/>
        <v>46031</v>
      </c>
      <c r="J393" s="77">
        <v>46046</v>
      </c>
      <c r="K393" s="78">
        <f t="shared" si="134"/>
        <v>30</v>
      </c>
      <c r="L393" s="84">
        <v>13.06</v>
      </c>
      <c r="M393" s="82">
        <v>11.15</v>
      </c>
      <c r="N393" s="25">
        <f t="shared" si="127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128"/>
        <v>46039</v>
      </c>
      <c r="E394" s="77">
        <f t="shared" si="129"/>
        <v>46023</v>
      </c>
      <c r="F394" s="77">
        <f t="shared" si="130"/>
        <v>46030</v>
      </c>
      <c r="G394" s="77">
        <f t="shared" si="135"/>
        <v>46036</v>
      </c>
      <c r="H394" s="77">
        <f t="shared" si="136"/>
        <v>46024</v>
      </c>
      <c r="I394" s="77">
        <f t="shared" si="137"/>
        <v>46031</v>
      </c>
      <c r="J394" s="77">
        <v>46046</v>
      </c>
      <c r="K394" s="78">
        <f t="shared" si="134"/>
        <v>30</v>
      </c>
      <c r="L394" s="84">
        <v>13.89</v>
      </c>
      <c r="M394" s="82">
        <v>12.01</v>
      </c>
      <c r="N394" s="25">
        <f t="shared" si="127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38">A395+23</f>
        <v>46040</v>
      </c>
      <c r="E395" s="77">
        <f t="shared" ref="E395:E401" si="139">A395+7</f>
        <v>46024</v>
      </c>
      <c r="F395" s="77">
        <f t="shared" ref="F395:F401" si="140">A395+14</f>
        <v>46031</v>
      </c>
      <c r="G395" s="77">
        <f t="shared" ref="G395:G401" si="141">A395+20</f>
        <v>46037</v>
      </c>
      <c r="H395" s="77">
        <f t="shared" ref="H395:H401" si="142">A395+8</f>
        <v>46025</v>
      </c>
      <c r="I395" s="77">
        <f t="shared" ref="I395:I401" si="143">A395+15</f>
        <v>46032</v>
      </c>
      <c r="J395" s="77">
        <v>46046</v>
      </c>
      <c r="K395" s="78">
        <f t="shared" si="134"/>
        <v>29</v>
      </c>
      <c r="L395" s="84">
        <v>14.19</v>
      </c>
      <c r="M395" s="82">
        <v>12.19</v>
      </c>
      <c r="N395" s="25">
        <f t="shared" si="127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38"/>
        <v>46040</v>
      </c>
      <c r="E396" s="77">
        <f t="shared" si="139"/>
        <v>46024</v>
      </c>
      <c r="F396" s="77">
        <f t="shared" si="140"/>
        <v>46031</v>
      </c>
      <c r="G396" s="77">
        <f t="shared" si="141"/>
        <v>46037</v>
      </c>
      <c r="H396" s="77">
        <f t="shared" si="142"/>
        <v>46025</v>
      </c>
      <c r="I396" s="77">
        <f t="shared" si="143"/>
        <v>46032</v>
      </c>
      <c r="J396" s="77">
        <v>46046</v>
      </c>
      <c r="K396" s="78">
        <f t="shared" si="134"/>
        <v>29</v>
      </c>
      <c r="L396" s="84">
        <v>11.73</v>
      </c>
      <c r="M396" s="82">
        <v>10.58</v>
      </c>
      <c r="N396" s="25">
        <f t="shared" si="127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38"/>
        <v>46040</v>
      </c>
      <c r="E397" s="77">
        <f t="shared" si="139"/>
        <v>46024</v>
      </c>
      <c r="F397" s="77">
        <f t="shared" si="140"/>
        <v>46031</v>
      </c>
      <c r="G397" s="77">
        <f t="shared" si="141"/>
        <v>46037</v>
      </c>
      <c r="H397" s="77">
        <f t="shared" si="142"/>
        <v>46025</v>
      </c>
      <c r="I397" s="77">
        <f t="shared" si="143"/>
        <v>46032</v>
      </c>
      <c r="J397" s="77">
        <v>46046</v>
      </c>
      <c r="K397" s="78">
        <f t="shared" si="134"/>
        <v>29</v>
      </c>
      <c r="L397" s="84">
        <v>12.58</v>
      </c>
      <c r="M397" s="82">
        <v>11.2</v>
      </c>
      <c r="N397" s="25">
        <f t="shared" si="127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38"/>
        <v>46040</v>
      </c>
      <c r="E398" s="77">
        <f t="shared" si="139"/>
        <v>46024</v>
      </c>
      <c r="F398" s="77">
        <f t="shared" si="140"/>
        <v>46031</v>
      </c>
      <c r="G398" s="77">
        <f t="shared" si="141"/>
        <v>46037</v>
      </c>
      <c r="H398" s="77">
        <f t="shared" si="142"/>
        <v>46025</v>
      </c>
      <c r="I398" s="77">
        <f t="shared" si="143"/>
        <v>46032</v>
      </c>
      <c r="J398" s="77">
        <v>46047</v>
      </c>
      <c r="K398" s="78">
        <f t="shared" si="134"/>
        <v>30</v>
      </c>
      <c r="L398" s="25">
        <v>7.12</v>
      </c>
      <c r="M398" s="25">
        <v>4.9800000000000004</v>
      </c>
      <c r="N398" s="25">
        <f t="shared" si="127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38"/>
        <v>46040</v>
      </c>
      <c r="E399" s="77">
        <f t="shared" si="139"/>
        <v>46024</v>
      </c>
      <c r="F399" s="77">
        <f t="shared" si="140"/>
        <v>46031</v>
      </c>
      <c r="G399" s="77">
        <f t="shared" si="141"/>
        <v>46037</v>
      </c>
      <c r="H399" s="77">
        <f t="shared" si="142"/>
        <v>46025</v>
      </c>
      <c r="I399" s="77">
        <f t="shared" si="143"/>
        <v>46032</v>
      </c>
      <c r="J399" s="77">
        <v>46047</v>
      </c>
      <c r="K399" s="78">
        <f t="shared" si="134"/>
        <v>30</v>
      </c>
      <c r="L399" s="25">
        <v>8.19</v>
      </c>
      <c r="M399" s="25">
        <v>4.72</v>
      </c>
      <c r="N399" s="25">
        <f t="shared" si="127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38"/>
        <v>46040</v>
      </c>
      <c r="E400" s="77">
        <f t="shared" si="139"/>
        <v>46024</v>
      </c>
      <c r="F400" s="77">
        <f t="shared" si="140"/>
        <v>46031</v>
      </c>
      <c r="G400" s="77">
        <f t="shared" si="141"/>
        <v>46037</v>
      </c>
      <c r="H400" s="77">
        <f t="shared" si="142"/>
        <v>46025</v>
      </c>
      <c r="I400" s="77">
        <f t="shared" si="143"/>
        <v>46032</v>
      </c>
      <c r="J400" s="77">
        <v>46047</v>
      </c>
      <c r="K400" s="78">
        <f t="shared" si="134"/>
        <v>30</v>
      </c>
      <c r="L400" s="25">
        <v>8.23</v>
      </c>
      <c r="M400" s="25">
        <v>4.1900000000000004</v>
      </c>
      <c r="N400" s="25">
        <f t="shared" si="127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38"/>
        <v>46040</v>
      </c>
      <c r="E401" s="77">
        <f t="shared" si="139"/>
        <v>46024</v>
      </c>
      <c r="F401" s="77">
        <f t="shared" si="140"/>
        <v>46031</v>
      </c>
      <c r="G401" s="77">
        <f t="shared" si="141"/>
        <v>46037</v>
      </c>
      <c r="H401" s="77">
        <f t="shared" si="142"/>
        <v>46025</v>
      </c>
      <c r="I401" s="77">
        <f t="shared" si="143"/>
        <v>46032</v>
      </c>
      <c r="J401" s="77">
        <v>46047</v>
      </c>
      <c r="K401" s="78">
        <f t="shared" si="134"/>
        <v>30</v>
      </c>
      <c r="L401" s="25">
        <v>6.15</v>
      </c>
      <c r="M401" s="25">
        <v>3.71</v>
      </c>
      <c r="N401" s="25">
        <f t="shared" si="127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44">A402+23</f>
        <v>46041</v>
      </c>
      <c r="E402" s="77">
        <f t="shared" ref="E402:E408" si="145">A402+7</f>
        <v>46025</v>
      </c>
      <c r="F402" s="77">
        <f t="shared" ref="F402:F408" si="146">A402+14</f>
        <v>46032</v>
      </c>
      <c r="G402" s="77">
        <f t="shared" ref="G402:G408" si="147">A402+20</f>
        <v>46038</v>
      </c>
      <c r="H402" s="77">
        <f t="shared" ref="H402:H408" si="148">A402+8</f>
        <v>46026</v>
      </c>
      <c r="I402" s="77">
        <f t="shared" ref="I402:I408" si="149">A402+15</f>
        <v>46033</v>
      </c>
      <c r="J402" s="77">
        <v>46047</v>
      </c>
      <c r="K402" s="78">
        <f t="shared" si="134"/>
        <v>29</v>
      </c>
      <c r="L402" s="25">
        <v>8.19</v>
      </c>
      <c r="M402" s="25">
        <v>4.2699999999999996</v>
      </c>
      <c r="N402" s="25">
        <f t="shared" si="127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44"/>
        <v>46041</v>
      </c>
      <c r="E403" s="77">
        <f t="shared" si="145"/>
        <v>46025</v>
      </c>
      <c r="F403" s="77">
        <f t="shared" si="146"/>
        <v>46032</v>
      </c>
      <c r="G403" s="77">
        <f t="shared" si="147"/>
        <v>46038</v>
      </c>
      <c r="H403" s="77">
        <f t="shared" si="148"/>
        <v>46026</v>
      </c>
      <c r="I403" s="77">
        <f t="shared" si="149"/>
        <v>46033</v>
      </c>
      <c r="J403" s="77">
        <v>46047</v>
      </c>
      <c r="K403" s="78">
        <f t="shared" si="134"/>
        <v>29</v>
      </c>
      <c r="L403" s="25">
        <v>8.23</v>
      </c>
      <c r="M403" s="25">
        <v>4.29</v>
      </c>
      <c r="N403" s="25">
        <f t="shared" si="127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44"/>
        <v>46041</v>
      </c>
      <c r="E404" s="77">
        <f t="shared" si="145"/>
        <v>46025</v>
      </c>
      <c r="F404" s="77">
        <f t="shared" si="146"/>
        <v>46032</v>
      </c>
      <c r="G404" s="77">
        <f t="shared" si="147"/>
        <v>46038</v>
      </c>
      <c r="H404" s="77">
        <f t="shared" si="148"/>
        <v>46026</v>
      </c>
      <c r="I404" s="77">
        <f t="shared" si="149"/>
        <v>46033</v>
      </c>
      <c r="J404" s="77">
        <v>46047</v>
      </c>
      <c r="K404" s="78">
        <f t="shared" si="134"/>
        <v>29</v>
      </c>
      <c r="L404" s="25">
        <v>10.74</v>
      </c>
      <c r="M404" s="25">
        <v>5.63</v>
      </c>
      <c r="N404" s="25">
        <f t="shared" si="127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44"/>
        <v>46041</v>
      </c>
      <c r="E405" s="77">
        <f t="shared" si="145"/>
        <v>46025</v>
      </c>
      <c r="F405" s="77">
        <f t="shared" si="146"/>
        <v>46032</v>
      </c>
      <c r="G405" s="77">
        <f t="shared" si="147"/>
        <v>46038</v>
      </c>
      <c r="H405" s="77">
        <f t="shared" si="148"/>
        <v>46026</v>
      </c>
      <c r="I405" s="77">
        <f t="shared" si="149"/>
        <v>46033</v>
      </c>
      <c r="J405" s="77">
        <v>46047</v>
      </c>
      <c r="K405" s="78">
        <f t="shared" si="134"/>
        <v>29</v>
      </c>
      <c r="L405" s="25">
        <v>11.16</v>
      </c>
      <c r="M405" s="25">
        <v>5.84</v>
      </c>
      <c r="N405" s="25">
        <f t="shared" si="127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44"/>
        <v>46041</v>
      </c>
      <c r="E406" s="77">
        <f t="shared" si="145"/>
        <v>46025</v>
      </c>
      <c r="F406" s="77">
        <f t="shared" si="146"/>
        <v>46032</v>
      </c>
      <c r="G406" s="77">
        <f t="shared" si="147"/>
        <v>46038</v>
      </c>
      <c r="H406" s="77">
        <f t="shared" si="148"/>
        <v>46026</v>
      </c>
      <c r="I406" s="77">
        <f t="shared" si="149"/>
        <v>46033</v>
      </c>
      <c r="J406" s="77">
        <v>46047</v>
      </c>
      <c r="K406" s="78">
        <f t="shared" si="134"/>
        <v>29</v>
      </c>
      <c r="L406" s="25">
        <v>10.08</v>
      </c>
      <c r="M406" s="25">
        <v>8.19</v>
      </c>
      <c r="N406" s="25">
        <f t="shared" si="127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44"/>
        <v>46041</v>
      </c>
      <c r="E407" s="77">
        <f t="shared" si="145"/>
        <v>46025</v>
      </c>
      <c r="F407" s="77">
        <f t="shared" si="146"/>
        <v>46032</v>
      </c>
      <c r="G407" s="77">
        <f t="shared" si="147"/>
        <v>46038</v>
      </c>
      <c r="H407" s="77">
        <f t="shared" si="148"/>
        <v>46026</v>
      </c>
      <c r="I407" s="77">
        <f t="shared" si="149"/>
        <v>46033</v>
      </c>
      <c r="J407" s="77">
        <v>46047</v>
      </c>
      <c r="K407" s="78">
        <f t="shared" si="134"/>
        <v>29</v>
      </c>
      <c r="L407" s="25">
        <v>10.92</v>
      </c>
      <c r="M407" s="25">
        <v>9.43</v>
      </c>
      <c r="N407" s="25">
        <f t="shared" si="127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44"/>
        <v>46041</v>
      </c>
      <c r="E408" s="77">
        <f t="shared" si="145"/>
        <v>46025</v>
      </c>
      <c r="F408" s="77">
        <f t="shared" si="146"/>
        <v>46032</v>
      </c>
      <c r="G408" s="77">
        <f t="shared" si="147"/>
        <v>46038</v>
      </c>
      <c r="H408" s="77">
        <f t="shared" si="148"/>
        <v>46026</v>
      </c>
      <c r="I408" s="77">
        <f t="shared" si="149"/>
        <v>46033</v>
      </c>
      <c r="J408" s="77">
        <v>46047</v>
      </c>
      <c r="K408" s="78">
        <f t="shared" si="134"/>
        <v>29</v>
      </c>
      <c r="L408" s="25">
        <v>10.27</v>
      </c>
      <c r="M408" s="25">
        <v>8.76</v>
      </c>
      <c r="N408" s="25">
        <f t="shared" si="127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50">A409+23</f>
        <v>46042</v>
      </c>
      <c r="E409" s="77">
        <f t="shared" ref="E409:E415" si="151">A409+7</f>
        <v>46026</v>
      </c>
      <c r="F409" s="77">
        <f t="shared" ref="F409:F415" si="152">A409+14</f>
        <v>46033</v>
      </c>
      <c r="G409" s="77">
        <f t="shared" ref="G409:G415" si="153">A409+20</f>
        <v>46039</v>
      </c>
      <c r="H409" s="77">
        <f t="shared" ref="H409:H415" si="154">A409+8</f>
        <v>46027</v>
      </c>
      <c r="I409" s="77">
        <f t="shared" ref="I409:I415" si="155">A409+15</f>
        <v>46034</v>
      </c>
      <c r="J409" s="77">
        <v>46047</v>
      </c>
      <c r="K409" s="78">
        <f t="shared" si="134"/>
        <v>28</v>
      </c>
      <c r="L409" s="25">
        <v>9.76</v>
      </c>
      <c r="M409" s="25">
        <v>7.83</v>
      </c>
      <c r="N409" s="25">
        <f t="shared" si="127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50"/>
        <v>46042</v>
      </c>
      <c r="E410" s="77">
        <f t="shared" si="151"/>
        <v>46026</v>
      </c>
      <c r="F410" s="77">
        <f t="shared" si="152"/>
        <v>46033</v>
      </c>
      <c r="G410" s="77">
        <f t="shared" si="153"/>
        <v>46039</v>
      </c>
      <c r="H410" s="77">
        <f t="shared" si="154"/>
        <v>46027</v>
      </c>
      <c r="I410" s="77">
        <f t="shared" si="155"/>
        <v>46034</v>
      </c>
      <c r="J410" s="77">
        <v>46047</v>
      </c>
      <c r="K410" s="78">
        <f t="shared" si="134"/>
        <v>28</v>
      </c>
      <c r="L410" s="25">
        <v>9.92</v>
      </c>
      <c r="M410" s="25">
        <v>8.1199999999999992</v>
      </c>
      <c r="N410" s="25">
        <f t="shared" si="127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50"/>
        <v>46042</v>
      </c>
      <c r="E411" s="77">
        <f t="shared" si="151"/>
        <v>46026</v>
      </c>
      <c r="F411" s="77">
        <f t="shared" si="152"/>
        <v>46033</v>
      </c>
      <c r="G411" s="77">
        <f t="shared" si="153"/>
        <v>46039</v>
      </c>
      <c r="H411" s="77">
        <f t="shared" si="154"/>
        <v>46027</v>
      </c>
      <c r="I411" s="77">
        <f t="shared" si="155"/>
        <v>46034</v>
      </c>
      <c r="J411" s="77">
        <v>46047</v>
      </c>
      <c r="K411" s="78">
        <f t="shared" si="134"/>
        <v>28</v>
      </c>
      <c r="L411" s="25">
        <v>8.33</v>
      </c>
      <c r="M411" s="25">
        <v>7.24</v>
      </c>
      <c r="N411" s="25">
        <f t="shared" si="127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50"/>
        <v>46042</v>
      </c>
      <c r="E412" s="77">
        <f t="shared" si="151"/>
        <v>46026</v>
      </c>
      <c r="F412" s="77">
        <f t="shared" si="152"/>
        <v>46033</v>
      </c>
      <c r="G412" s="77">
        <f t="shared" si="153"/>
        <v>46039</v>
      </c>
      <c r="H412" s="77">
        <f t="shared" si="154"/>
        <v>46027</v>
      </c>
      <c r="I412" s="77">
        <f t="shared" si="155"/>
        <v>46034</v>
      </c>
      <c r="J412" s="77">
        <v>46047</v>
      </c>
      <c r="K412" s="78">
        <f t="shared" si="134"/>
        <v>28</v>
      </c>
      <c r="L412" s="25">
        <v>7.68</v>
      </c>
      <c r="M412" s="25">
        <v>6.27</v>
      </c>
      <c r="N412" s="25">
        <f t="shared" si="127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50"/>
        <v>46042</v>
      </c>
      <c r="E413" s="77">
        <f t="shared" si="151"/>
        <v>46026</v>
      </c>
      <c r="F413" s="77">
        <f t="shared" si="152"/>
        <v>46033</v>
      </c>
      <c r="G413" s="77">
        <f t="shared" si="153"/>
        <v>46039</v>
      </c>
      <c r="H413" s="77">
        <f t="shared" si="154"/>
        <v>46027</v>
      </c>
      <c r="I413" s="77">
        <f t="shared" si="155"/>
        <v>46034</v>
      </c>
      <c r="J413" s="77">
        <v>46047</v>
      </c>
      <c r="K413" s="78">
        <f t="shared" si="134"/>
        <v>28</v>
      </c>
      <c r="L413" s="25">
        <v>6.19</v>
      </c>
      <c r="M413" s="25">
        <v>4.51</v>
      </c>
      <c r="N413" s="25">
        <f t="shared" si="127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50"/>
        <v>46042</v>
      </c>
      <c r="E414" s="77">
        <f t="shared" si="151"/>
        <v>46026</v>
      </c>
      <c r="F414" s="77">
        <f t="shared" si="152"/>
        <v>46033</v>
      </c>
      <c r="G414" s="77">
        <f t="shared" si="153"/>
        <v>46039</v>
      </c>
      <c r="H414" s="77">
        <f t="shared" si="154"/>
        <v>46027</v>
      </c>
      <c r="I414" s="77">
        <f t="shared" si="155"/>
        <v>46034</v>
      </c>
      <c r="J414" s="77">
        <v>46047</v>
      </c>
      <c r="K414" s="78">
        <f t="shared" si="134"/>
        <v>28</v>
      </c>
      <c r="L414" s="25">
        <v>6.83</v>
      </c>
      <c r="M414" s="25">
        <v>4.8600000000000003</v>
      </c>
      <c r="N414" s="25">
        <f t="shared" si="127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50"/>
        <v>46042</v>
      </c>
      <c r="E415" s="77">
        <f t="shared" si="151"/>
        <v>46026</v>
      </c>
      <c r="F415" s="77">
        <f t="shared" si="152"/>
        <v>46033</v>
      </c>
      <c r="G415" s="77">
        <f t="shared" si="153"/>
        <v>46039</v>
      </c>
      <c r="H415" s="77">
        <f t="shared" si="154"/>
        <v>46027</v>
      </c>
      <c r="I415" s="77">
        <f t="shared" si="155"/>
        <v>46034</v>
      </c>
      <c r="J415" s="77">
        <v>46048</v>
      </c>
      <c r="K415" s="78">
        <f t="shared" si="134"/>
        <v>29</v>
      </c>
      <c r="L415" s="25">
        <v>14.53</v>
      </c>
      <c r="M415" s="25">
        <v>7.64</v>
      </c>
      <c r="N415" s="25">
        <f t="shared" si="127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 t="shared" ref="D416" si="156">A416+23</f>
        <v>46043</v>
      </c>
      <c r="E416" s="77">
        <f t="shared" ref="E416" si="157">A416+7</f>
        <v>46027</v>
      </c>
      <c r="F416" s="77">
        <f t="shared" ref="F416" si="158">A416+14</f>
        <v>46034</v>
      </c>
      <c r="G416" s="77">
        <f t="shared" ref="G416" si="159">A416+20</f>
        <v>46040</v>
      </c>
      <c r="H416" s="77">
        <f t="shared" ref="H416" si="160">A416+8</f>
        <v>46028</v>
      </c>
      <c r="I416" s="77">
        <f t="shared" ref="I416" si="161">A416+15</f>
        <v>46035</v>
      </c>
      <c r="J416" s="77">
        <v>46049</v>
      </c>
      <c r="K416" s="78">
        <f t="shared" si="134"/>
        <v>29</v>
      </c>
      <c r="L416" s="25">
        <v>0</v>
      </c>
      <c r="M416" s="25">
        <v>0</v>
      </c>
      <c r="N416" s="25">
        <f t="shared" si="127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62">A417+23</f>
        <v>46043</v>
      </c>
      <c r="E417" s="77">
        <f t="shared" ref="E417:E422" si="163">A417+7</f>
        <v>46027</v>
      </c>
      <c r="F417" s="77">
        <f t="shared" ref="F417:F422" si="164">A417+14</f>
        <v>46034</v>
      </c>
      <c r="G417" s="77">
        <f t="shared" ref="G417:G422" si="165">A417+20</f>
        <v>46040</v>
      </c>
      <c r="H417" s="77">
        <f t="shared" ref="H417:H422" si="166">A417+8</f>
        <v>46028</v>
      </c>
      <c r="I417" s="77">
        <f t="shared" ref="I417:I422" si="167">A417+15</f>
        <v>46035</v>
      </c>
      <c r="J417" s="77">
        <v>46049</v>
      </c>
      <c r="K417" s="78">
        <f t="shared" ref="K417:K422" si="168">J417-A417</f>
        <v>29</v>
      </c>
      <c r="L417" s="25">
        <v>0</v>
      </c>
      <c r="M417" s="25">
        <v>0</v>
      </c>
      <c r="N417" s="25">
        <f t="shared" ref="N417:N422" si="169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62"/>
        <v>46043</v>
      </c>
      <c r="E418" s="77">
        <f t="shared" si="163"/>
        <v>46027</v>
      </c>
      <c r="F418" s="77">
        <f t="shared" si="164"/>
        <v>46034</v>
      </c>
      <c r="G418" s="77">
        <f t="shared" si="165"/>
        <v>46040</v>
      </c>
      <c r="H418" s="77">
        <f t="shared" si="166"/>
        <v>46028</v>
      </c>
      <c r="I418" s="77">
        <f t="shared" si="167"/>
        <v>46035</v>
      </c>
      <c r="J418" s="77">
        <v>46049</v>
      </c>
      <c r="K418" s="78">
        <f t="shared" si="168"/>
        <v>29</v>
      </c>
      <c r="L418" s="25">
        <v>0</v>
      </c>
      <c r="M418" s="25">
        <v>0</v>
      </c>
      <c r="N418" s="25">
        <f t="shared" si="169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62"/>
        <v>46043</v>
      </c>
      <c r="E419" s="77">
        <f t="shared" si="163"/>
        <v>46027</v>
      </c>
      <c r="F419" s="77">
        <f t="shared" si="164"/>
        <v>46034</v>
      </c>
      <c r="G419" s="77">
        <f t="shared" si="165"/>
        <v>46040</v>
      </c>
      <c r="H419" s="77">
        <f t="shared" si="166"/>
        <v>46028</v>
      </c>
      <c r="I419" s="77">
        <f t="shared" si="167"/>
        <v>46035</v>
      </c>
      <c r="J419" s="77">
        <v>46049</v>
      </c>
      <c r="K419" s="78">
        <f t="shared" si="168"/>
        <v>29</v>
      </c>
      <c r="L419" s="25">
        <v>0</v>
      </c>
      <c r="M419" s="25">
        <v>0</v>
      </c>
      <c r="N419" s="25">
        <f t="shared" si="169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62"/>
        <v>46043</v>
      </c>
      <c r="E420" s="77">
        <f t="shared" si="163"/>
        <v>46027</v>
      </c>
      <c r="F420" s="77">
        <f t="shared" si="164"/>
        <v>46034</v>
      </c>
      <c r="G420" s="77">
        <f t="shared" si="165"/>
        <v>46040</v>
      </c>
      <c r="H420" s="77">
        <f t="shared" si="166"/>
        <v>46028</v>
      </c>
      <c r="I420" s="77">
        <f t="shared" si="167"/>
        <v>46035</v>
      </c>
      <c r="J420" s="77">
        <v>46049</v>
      </c>
      <c r="K420" s="78">
        <f t="shared" si="168"/>
        <v>29</v>
      </c>
      <c r="L420" s="25">
        <v>0</v>
      </c>
      <c r="M420" s="25">
        <v>0</v>
      </c>
      <c r="N420" s="25">
        <f t="shared" si="169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62"/>
        <v>46043</v>
      </c>
      <c r="E421" s="77">
        <f t="shared" si="163"/>
        <v>46027</v>
      </c>
      <c r="F421" s="77">
        <f t="shared" si="164"/>
        <v>46034</v>
      </c>
      <c r="G421" s="77">
        <f t="shared" si="165"/>
        <v>46040</v>
      </c>
      <c r="H421" s="77">
        <f t="shared" si="166"/>
        <v>46028</v>
      </c>
      <c r="I421" s="77">
        <f t="shared" si="167"/>
        <v>46035</v>
      </c>
      <c r="J421" s="77">
        <v>46049</v>
      </c>
      <c r="K421" s="78">
        <f t="shared" si="168"/>
        <v>29</v>
      </c>
      <c r="L421" s="25">
        <v>0</v>
      </c>
      <c r="M421" s="25">
        <v>0</v>
      </c>
      <c r="N421" s="25">
        <f t="shared" si="169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62"/>
        <v>46043</v>
      </c>
      <c r="E422" s="77">
        <f t="shared" si="163"/>
        <v>46027</v>
      </c>
      <c r="F422" s="77">
        <f t="shared" si="164"/>
        <v>46034</v>
      </c>
      <c r="G422" s="77">
        <f t="shared" si="165"/>
        <v>46040</v>
      </c>
      <c r="H422" s="77">
        <f t="shared" si="166"/>
        <v>46028</v>
      </c>
      <c r="I422" s="77">
        <f t="shared" si="167"/>
        <v>46035</v>
      </c>
      <c r="J422" s="77">
        <v>46049</v>
      </c>
      <c r="K422" s="78">
        <f t="shared" si="168"/>
        <v>29</v>
      </c>
      <c r="L422" s="25">
        <v>0</v>
      </c>
      <c r="M422" s="25">
        <v>0</v>
      </c>
      <c r="N422" s="25">
        <f t="shared" si="169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70">A423+23</f>
        <v>46044</v>
      </c>
      <c r="E423" s="77">
        <f t="shared" ref="E423:E429" si="171">A423+7</f>
        <v>46028</v>
      </c>
      <c r="F423" s="77">
        <f t="shared" ref="F423:F429" si="172">A423+14</f>
        <v>46035</v>
      </c>
      <c r="G423" s="77">
        <f t="shared" ref="G423:G429" si="173">A423+20</f>
        <v>46041</v>
      </c>
      <c r="H423" s="77">
        <f t="shared" ref="H423:H429" si="174">A423+8</f>
        <v>46029</v>
      </c>
      <c r="I423" s="77">
        <f t="shared" ref="I423:I429" si="175">A423+15</f>
        <v>46036</v>
      </c>
      <c r="J423" s="77">
        <v>46048</v>
      </c>
      <c r="K423" s="78">
        <f t="shared" ref="K423:K430" si="176">J423-A423</f>
        <v>27</v>
      </c>
      <c r="L423" s="25">
        <v>12.87</v>
      </c>
      <c r="M423" s="25">
        <v>6.17</v>
      </c>
      <c r="N423" s="25">
        <f t="shared" si="127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70"/>
        <v>46044</v>
      </c>
      <c r="E424" s="77">
        <f t="shared" si="171"/>
        <v>46028</v>
      </c>
      <c r="F424" s="77">
        <f t="shared" si="172"/>
        <v>46035</v>
      </c>
      <c r="G424" s="77">
        <f t="shared" si="173"/>
        <v>46041</v>
      </c>
      <c r="H424" s="77">
        <f t="shared" si="174"/>
        <v>46029</v>
      </c>
      <c r="I424" s="77">
        <f t="shared" si="175"/>
        <v>46036</v>
      </c>
      <c r="J424" s="77">
        <v>46048</v>
      </c>
      <c r="K424" s="78">
        <f t="shared" si="176"/>
        <v>27</v>
      </c>
      <c r="L424" s="25">
        <v>13.89</v>
      </c>
      <c r="M424" s="25">
        <v>7.28</v>
      </c>
      <c r="N424" s="25">
        <f t="shared" si="127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70"/>
        <v>46044</v>
      </c>
      <c r="E425" s="77">
        <f t="shared" si="171"/>
        <v>46028</v>
      </c>
      <c r="F425" s="77">
        <f t="shared" si="172"/>
        <v>46035</v>
      </c>
      <c r="G425" s="77">
        <f t="shared" si="173"/>
        <v>46041</v>
      </c>
      <c r="H425" s="77">
        <f t="shared" si="174"/>
        <v>46029</v>
      </c>
      <c r="I425" s="77">
        <f t="shared" si="175"/>
        <v>46036</v>
      </c>
      <c r="J425" s="77">
        <v>46048</v>
      </c>
      <c r="K425" s="78">
        <f t="shared" si="176"/>
        <v>27</v>
      </c>
      <c r="L425" s="25">
        <v>13.74</v>
      </c>
      <c r="M425" s="25">
        <v>12.06</v>
      </c>
      <c r="N425" s="25">
        <f t="shared" si="127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70"/>
        <v>46044</v>
      </c>
      <c r="E426" s="77">
        <f t="shared" si="171"/>
        <v>46028</v>
      </c>
      <c r="F426" s="77">
        <f t="shared" si="172"/>
        <v>46035</v>
      </c>
      <c r="G426" s="77">
        <f t="shared" si="173"/>
        <v>46041</v>
      </c>
      <c r="H426" s="77">
        <f t="shared" si="174"/>
        <v>46029</v>
      </c>
      <c r="I426" s="77">
        <f t="shared" si="175"/>
        <v>46036</v>
      </c>
      <c r="J426" s="77">
        <v>46048</v>
      </c>
      <c r="K426" s="78">
        <f t="shared" si="176"/>
        <v>27</v>
      </c>
      <c r="L426" s="25">
        <v>12.68</v>
      </c>
      <c r="M426" s="25">
        <v>11.54</v>
      </c>
      <c r="N426" s="25">
        <f t="shared" si="127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70"/>
        <v>46044</v>
      </c>
      <c r="E427" s="77">
        <f t="shared" si="171"/>
        <v>46028</v>
      </c>
      <c r="F427" s="77">
        <f t="shared" si="172"/>
        <v>46035</v>
      </c>
      <c r="G427" s="77">
        <f t="shared" si="173"/>
        <v>46041</v>
      </c>
      <c r="H427" s="77">
        <f t="shared" si="174"/>
        <v>46029</v>
      </c>
      <c r="I427" s="77">
        <f t="shared" si="175"/>
        <v>46036</v>
      </c>
      <c r="J427" s="77">
        <v>46048</v>
      </c>
      <c r="K427" s="78">
        <f t="shared" si="176"/>
        <v>27</v>
      </c>
      <c r="L427" s="25">
        <v>12.23</v>
      </c>
      <c r="M427" s="25">
        <v>11.31</v>
      </c>
      <c r="N427" s="25">
        <f t="shared" si="127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70"/>
        <v>46044</v>
      </c>
      <c r="E428" s="77">
        <f t="shared" si="171"/>
        <v>46028</v>
      </c>
      <c r="F428" s="77">
        <f t="shared" si="172"/>
        <v>46035</v>
      </c>
      <c r="G428" s="77">
        <f t="shared" si="173"/>
        <v>46041</v>
      </c>
      <c r="H428" s="77">
        <f t="shared" si="174"/>
        <v>46029</v>
      </c>
      <c r="I428" s="77">
        <f t="shared" si="175"/>
        <v>46036</v>
      </c>
      <c r="J428" s="77">
        <v>46048</v>
      </c>
      <c r="K428" s="78">
        <f t="shared" si="176"/>
        <v>27</v>
      </c>
      <c r="L428" s="25">
        <v>14.19</v>
      </c>
      <c r="M428" s="25">
        <v>12.51</v>
      </c>
      <c r="N428" s="25">
        <f t="shared" si="127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70"/>
        <v>46044</v>
      </c>
      <c r="E429" s="77">
        <f t="shared" si="171"/>
        <v>46028</v>
      </c>
      <c r="F429" s="77">
        <f t="shared" si="172"/>
        <v>46035</v>
      </c>
      <c r="G429" s="77">
        <f t="shared" si="173"/>
        <v>46041</v>
      </c>
      <c r="H429" s="77">
        <f t="shared" si="174"/>
        <v>46029</v>
      </c>
      <c r="I429" s="77">
        <f t="shared" si="175"/>
        <v>46036</v>
      </c>
      <c r="J429" s="77">
        <v>46048</v>
      </c>
      <c r="K429" s="78">
        <f t="shared" si="176"/>
        <v>27</v>
      </c>
      <c r="L429" s="25">
        <v>14.35</v>
      </c>
      <c r="M429" s="25">
        <v>12.73</v>
      </c>
      <c r="N429" s="25">
        <f t="shared" si="127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77">A430+23</f>
        <v>46045</v>
      </c>
      <c r="E430" s="77">
        <f t="shared" ref="E430:E459" si="178">A430+7</f>
        <v>46029</v>
      </c>
      <c r="F430" s="77">
        <f t="shared" ref="F430:F459" si="179">A430+14</f>
        <v>46036</v>
      </c>
      <c r="G430" s="77">
        <f t="shared" ref="G430:G453" si="180">A430+20</f>
        <v>46042</v>
      </c>
      <c r="H430" s="77">
        <f t="shared" ref="H430:H453" si="181">A430+8</f>
        <v>46030</v>
      </c>
      <c r="I430" s="77">
        <f t="shared" ref="I430:I453" si="182">A430+15</f>
        <v>46037</v>
      </c>
      <c r="J430" s="77">
        <v>46049</v>
      </c>
      <c r="K430" s="78">
        <f t="shared" si="176"/>
        <v>27</v>
      </c>
      <c r="L430" s="84">
        <v>14.75</v>
      </c>
      <c r="M430" s="82">
        <v>12.53</v>
      </c>
      <c r="N430" s="25">
        <f t="shared" si="127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77"/>
        <v>46045</v>
      </c>
      <c r="E431" s="77">
        <f t="shared" si="178"/>
        <v>46029</v>
      </c>
      <c r="F431" s="77">
        <f t="shared" si="179"/>
        <v>46036</v>
      </c>
      <c r="G431" s="77">
        <f t="shared" si="180"/>
        <v>46042</v>
      </c>
      <c r="H431" s="77">
        <f t="shared" si="181"/>
        <v>46030</v>
      </c>
      <c r="I431" s="77">
        <f t="shared" si="182"/>
        <v>46037</v>
      </c>
      <c r="J431" s="77">
        <v>46049</v>
      </c>
      <c r="K431" s="78">
        <f t="shared" ref="K431:K434" si="183">J431-A431</f>
        <v>27</v>
      </c>
      <c r="L431" s="84">
        <v>13.06</v>
      </c>
      <c r="M431" s="82">
        <v>6.33</v>
      </c>
      <c r="N431" s="25">
        <f t="shared" si="127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77"/>
        <v>46045</v>
      </c>
      <c r="E432" s="77">
        <f t="shared" si="178"/>
        <v>46029</v>
      </c>
      <c r="F432" s="77">
        <f t="shared" si="179"/>
        <v>46036</v>
      </c>
      <c r="G432" s="77">
        <f t="shared" si="180"/>
        <v>46042</v>
      </c>
      <c r="H432" s="77">
        <f t="shared" si="181"/>
        <v>46030</v>
      </c>
      <c r="I432" s="77">
        <f t="shared" si="182"/>
        <v>46037</v>
      </c>
      <c r="J432" s="77">
        <v>46049</v>
      </c>
      <c r="K432" s="78">
        <f t="shared" si="183"/>
        <v>27</v>
      </c>
      <c r="L432" s="84">
        <v>12.42</v>
      </c>
      <c r="M432" s="82">
        <v>6.1</v>
      </c>
      <c r="N432" s="25">
        <f t="shared" si="127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77"/>
        <v>46045</v>
      </c>
      <c r="E433" s="77">
        <f t="shared" si="178"/>
        <v>46029</v>
      </c>
      <c r="F433" s="77">
        <f t="shared" si="179"/>
        <v>46036</v>
      </c>
      <c r="G433" s="77">
        <f t="shared" si="180"/>
        <v>46042</v>
      </c>
      <c r="H433" s="77">
        <f t="shared" si="181"/>
        <v>46030</v>
      </c>
      <c r="I433" s="77">
        <f t="shared" si="182"/>
        <v>46037</v>
      </c>
      <c r="J433" s="77">
        <v>46049</v>
      </c>
      <c r="K433" s="78">
        <f t="shared" si="183"/>
        <v>27</v>
      </c>
      <c r="L433" s="84">
        <v>13.86</v>
      </c>
      <c r="M433" s="82">
        <v>7.11</v>
      </c>
      <c r="N433" s="25">
        <f t="shared" si="127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77"/>
        <v>46045</v>
      </c>
      <c r="E434" s="77">
        <f t="shared" si="178"/>
        <v>46029</v>
      </c>
      <c r="F434" s="77">
        <f t="shared" si="179"/>
        <v>46036</v>
      </c>
      <c r="G434" s="77">
        <f t="shared" si="180"/>
        <v>46042</v>
      </c>
      <c r="H434" s="77">
        <f t="shared" si="181"/>
        <v>46030</v>
      </c>
      <c r="I434" s="77">
        <f t="shared" si="182"/>
        <v>46037</v>
      </c>
      <c r="J434" s="77">
        <v>46049</v>
      </c>
      <c r="K434" s="78">
        <f t="shared" si="183"/>
        <v>27</v>
      </c>
      <c r="L434" s="84">
        <v>12.51</v>
      </c>
      <c r="M434" s="82">
        <v>6.25</v>
      </c>
      <c r="N434" s="25">
        <f t="shared" si="127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77"/>
        <v>46045</v>
      </c>
      <c r="E435" s="77">
        <f t="shared" si="178"/>
        <v>46029</v>
      </c>
      <c r="F435" s="77">
        <f t="shared" si="179"/>
        <v>46036</v>
      </c>
      <c r="G435" s="77">
        <f t="shared" si="180"/>
        <v>46042</v>
      </c>
      <c r="H435" s="77">
        <f t="shared" si="181"/>
        <v>46030</v>
      </c>
      <c r="I435" s="77">
        <f t="shared" si="182"/>
        <v>46037</v>
      </c>
      <c r="J435" s="77">
        <v>46048</v>
      </c>
      <c r="K435" s="78">
        <f t="shared" ref="K435" si="184">J435-A435</f>
        <v>26</v>
      </c>
      <c r="L435" s="25">
        <v>12.22</v>
      </c>
      <c r="M435" s="25">
        <v>10.48</v>
      </c>
      <c r="N435" s="25">
        <f t="shared" si="127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77"/>
        <v>46045</v>
      </c>
      <c r="E436" s="77">
        <f t="shared" si="178"/>
        <v>46029</v>
      </c>
      <c r="F436" s="77">
        <f t="shared" si="179"/>
        <v>46036</v>
      </c>
      <c r="G436" s="77">
        <f t="shared" si="180"/>
        <v>46042</v>
      </c>
      <c r="H436" s="77">
        <f t="shared" si="181"/>
        <v>46030</v>
      </c>
      <c r="I436" s="77">
        <f t="shared" si="182"/>
        <v>46037</v>
      </c>
      <c r="J436" s="77">
        <v>46048</v>
      </c>
      <c r="K436" s="78">
        <f t="shared" ref="K436:K437" si="185">J436-A436</f>
        <v>26</v>
      </c>
      <c r="L436" s="25">
        <v>12.04</v>
      </c>
      <c r="M436" s="25">
        <v>10.210000000000001</v>
      </c>
      <c r="N436" s="25">
        <f t="shared" si="127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77"/>
        <v>46046</v>
      </c>
      <c r="E437" s="77">
        <f t="shared" si="178"/>
        <v>46030</v>
      </c>
      <c r="F437" s="77">
        <f t="shared" si="179"/>
        <v>46037</v>
      </c>
      <c r="G437" s="77">
        <f t="shared" si="180"/>
        <v>46043</v>
      </c>
      <c r="H437" s="77">
        <f t="shared" si="181"/>
        <v>46031</v>
      </c>
      <c r="I437" s="77">
        <f t="shared" si="182"/>
        <v>46038</v>
      </c>
      <c r="J437" s="77">
        <v>46050</v>
      </c>
      <c r="K437" s="78">
        <f t="shared" si="185"/>
        <v>27</v>
      </c>
      <c r="L437" s="84">
        <v>6.91</v>
      </c>
      <c r="M437" s="82">
        <v>5.24</v>
      </c>
      <c r="N437" s="25">
        <f t="shared" si="127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77"/>
        <v>46046</v>
      </c>
      <c r="E438" s="77">
        <f t="shared" si="178"/>
        <v>46030</v>
      </c>
      <c r="F438" s="77">
        <f t="shared" si="179"/>
        <v>46037</v>
      </c>
      <c r="G438" s="77">
        <f t="shared" si="180"/>
        <v>46043</v>
      </c>
      <c r="H438" s="77">
        <f t="shared" si="181"/>
        <v>46031</v>
      </c>
      <c r="I438" s="77">
        <f t="shared" si="182"/>
        <v>46038</v>
      </c>
      <c r="J438" s="77">
        <v>46050</v>
      </c>
      <c r="K438" s="78">
        <f t="shared" ref="K438:K443" si="186">J438-A438</f>
        <v>27</v>
      </c>
      <c r="L438" s="84">
        <v>7.86</v>
      </c>
      <c r="M438" s="82">
        <v>6.58</v>
      </c>
      <c r="N438" s="25">
        <f t="shared" si="127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77"/>
        <v>46046</v>
      </c>
      <c r="E439" s="77">
        <f t="shared" si="178"/>
        <v>46030</v>
      </c>
      <c r="F439" s="77">
        <f t="shared" si="179"/>
        <v>46037</v>
      </c>
      <c r="G439" s="77">
        <f t="shared" si="180"/>
        <v>46043</v>
      </c>
      <c r="H439" s="77">
        <f t="shared" si="181"/>
        <v>46031</v>
      </c>
      <c r="I439" s="77">
        <f t="shared" si="182"/>
        <v>46038</v>
      </c>
      <c r="J439" s="77">
        <v>46050</v>
      </c>
      <c r="K439" s="78">
        <f t="shared" si="186"/>
        <v>27</v>
      </c>
      <c r="L439" s="84">
        <v>8.94</v>
      </c>
      <c r="M439" s="82">
        <v>7.12</v>
      </c>
      <c r="N439" s="25">
        <f t="shared" si="127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77"/>
        <v>46046</v>
      </c>
      <c r="E440" s="77">
        <f t="shared" si="178"/>
        <v>46030</v>
      </c>
      <c r="F440" s="77">
        <f t="shared" si="179"/>
        <v>46037</v>
      </c>
      <c r="G440" s="77">
        <f t="shared" si="180"/>
        <v>46043</v>
      </c>
      <c r="H440" s="77">
        <f t="shared" si="181"/>
        <v>46031</v>
      </c>
      <c r="I440" s="77">
        <f t="shared" si="182"/>
        <v>46038</v>
      </c>
      <c r="J440" s="77">
        <v>46050</v>
      </c>
      <c r="K440" s="78">
        <f t="shared" si="186"/>
        <v>27</v>
      </c>
      <c r="L440" s="84">
        <v>11.07</v>
      </c>
      <c r="M440" s="82">
        <v>9.6</v>
      </c>
      <c r="N440" s="25">
        <f t="shared" si="127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77"/>
        <v>46046</v>
      </c>
      <c r="E441" s="77">
        <f t="shared" si="178"/>
        <v>46030</v>
      </c>
      <c r="F441" s="77">
        <f t="shared" si="179"/>
        <v>46037</v>
      </c>
      <c r="G441" s="77">
        <f t="shared" si="180"/>
        <v>46043</v>
      </c>
      <c r="H441" s="77">
        <f t="shared" si="181"/>
        <v>46031</v>
      </c>
      <c r="I441" s="77">
        <f t="shared" si="182"/>
        <v>46038</v>
      </c>
      <c r="J441" s="77">
        <v>46050</v>
      </c>
      <c r="K441" s="78">
        <f t="shared" si="186"/>
        <v>27</v>
      </c>
      <c r="L441" s="84">
        <v>11.84</v>
      </c>
      <c r="M441" s="82">
        <v>10.71</v>
      </c>
      <c r="N441" s="25">
        <f t="shared" ref="N441:N493" si="187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77"/>
        <v>46046</v>
      </c>
      <c r="E442" s="77">
        <f t="shared" si="178"/>
        <v>46030</v>
      </c>
      <c r="F442" s="77">
        <f t="shared" si="179"/>
        <v>46037</v>
      </c>
      <c r="G442" s="77">
        <f t="shared" si="180"/>
        <v>46043</v>
      </c>
      <c r="H442" s="77">
        <f t="shared" si="181"/>
        <v>46031</v>
      </c>
      <c r="I442" s="77">
        <f t="shared" si="182"/>
        <v>46038</v>
      </c>
      <c r="J442" s="77">
        <v>46050</v>
      </c>
      <c r="K442" s="78">
        <f t="shared" si="186"/>
        <v>27</v>
      </c>
      <c r="L442" s="84">
        <v>15.71</v>
      </c>
      <c r="M442" s="82">
        <v>11.33</v>
      </c>
      <c r="N442" s="25">
        <f t="shared" si="187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77"/>
        <v>46046</v>
      </c>
      <c r="E443" s="77">
        <f t="shared" si="178"/>
        <v>46030</v>
      </c>
      <c r="F443" s="77">
        <f t="shared" si="179"/>
        <v>46037</v>
      </c>
      <c r="G443" s="77">
        <f t="shared" si="180"/>
        <v>46043</v>
      </c>
      <c r="H443" s="77">
        <f t="shared" si="181"/>
        <v>46031</v>
      </c>
      <c r="I443" s="77">
        <f t="shared" si="182"/>
        <v>46038</v>
      </c>
      <c r="J443" s="77">
        <v>46050</v>
      </c>
      <c r="K443" s="78">
        <f t="shared" si="186"/>
        <v>27</v>
      </c>
      <c r="L443" s="84">
        <v>13.16</v>
      </c>
      <c r="M443" s="82">
        <v>11.27</v>
      </c>
      <c r="N443" s="25">
        <f t="shared" si="187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77"/>
        <v>46047</v>
      </c>
      <c r="E444" s="77">
        <f t="shared" si="178"/>
        <v>46031</v>
      </c>
      <c r="F444" s="77">
        <f t="shared" si="179"/>
        <v>46038</v>
      </c>
      <c r="G444" s="77">
        <f t="shared" si="180"/>
        <v>46044</v>
      </c>
      <c r="H444" s="77">
        <f t="shared" si="181"/>
        <v>46032</v>
      </c>
      <c r="I444" s="77">
        <f t="shared" si="182"/>
        <v>46039</v>
      </c>
      <c r="J444" s="77">
        <v>46051</v>
      </c>
      <c r="K444" s="78">
        <f t="shared" ref="K444" si="188">J444-A444</f>
        <v>27</v>
      </c>
      <c r="L444" s="84">
        <v>11.37</v>
      </c>
      <c r="M444" s="82">
        <v>10.59</v>
      </c>
      <c r="N444" s="25">
        <f t="shared" si="187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77"/>
        <v>46047</v>
      </c>
      <c r="E445" s="77">
        <f t="shared" si="178"/>
        <v>46031</v>
      </c>
      <c r="F445" s="77">
        <f t="shared" si="179"/>
        <v>46038</v>
      </c>
      <c r="G445" s="77">
        <f t="shared" si="180"/>
        <v>46044</v>
      </c>
      <c r="H445" s="77">
        <f t="shared" si="181"/>
        <v>46032</v>
      </c>
      <c r="I445" s="77">
        <f t="shared" si="182"/>
        <v>46039</v>
      </c>
      <c r="J445" s="77">
        <v>46051</v>
      </c>
      <c r="K445" s="78">
        <f t="shared" ref="K445:K449" si="189">J445-A445</f>
        <v>27</v>
      </c>
      <c r="L445" s="84">
        <v>12.74</v>
      </c>
      <c r="M445" s="82">
        <v>11.2</v>
      </c>
      <c r="N445" s="25">
        <f t="shared" si="187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77"/>
        <v>46047</v>
      </c>
      <c r="E446" s="77">
        <f t="shared" si="178"/>
        <v>46031</v>
      </c>
      <c r="F446" s="77">
        <f t="shared" si="179"/>
        <v>46038</v>
      </c>
      <c r="G446" s="77">
        <f t="shared" si="180"/>
        <v>46044</v>
      </c>
      <c r="H446" s="77">
        <f t="shared" si="181"/>
        <v>46032</v>
      </c>
      <c r="I446" s="77">
        <f t="shared" si="182"/>
        <v>46039</v>
      </c>
      <c r="J446" s="77">
        <v>46051</v>
      </c>
      <c r="K446" s="78">
        <f t="shared" si="189"/>
        <v>27</v>
      </c>
      <c r="L446" s="84">
        <v>11.86</v>
      </c>
      <c r="M446" s="82">
        <v>5.61</v>
      </c>
      <c r="N446" s="25">
        <f t="shared" si="187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77"/>
        <v>46047</v>
      </c>
      <c r="E447" s="77">
        <f t="shared" si="178"/>
        <v>46031</v>
      </c>
      <c r="F447" s="77">
        <f t="shared" si="179"/>
        <v>46038</v>
      </c>
      <c r="G447" s="77">
        <f t="shared" si="180"/>
        <v>46044</v>
      </c>
      <c r="H447" s="77">
        <f t="shared" si="181"/>
        <v>46032</v>
      </c>
      <c r="I447" s="77">
        <f t="shared" si="182"/>
        <v>46039</v>
      </c>
      <c r="J447" s="77">
        <v>46051</v>
      </c>
      <c r="K447" s="78">
        <f t="shared" si="189"/>
        <v>27</v>
      </c>
      <c r="L447" s="84">
        <v>10.41</v>
      </c>
      <c r="M447" s="82">
        <v>4.58</v>
      </c>
      <c r="N447" s="25">
        <f t="shared" si="187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77"/>
        <v>46047</v>
      </c>
      <c r="E448" s="77">
        <f t="shared" si="178"/>
        <v>46031</v>
      </c>
      <c r="F448" s="77">
        <f t="shared" si="179"/>
        <v>46038</v>
      </c>
      <c r="G448" s="77">
        <f t="shared" si="180"/>
        <v>46044</v>
      </c>
      <c r="H448" s="77">
        <f t="shared" si="181"/>
        <v>46032</v>
      </c>
      <c r="I448" s="77">
        <f t="shared" si="182"/>
        <v>46039</v>
      </c>
      <c r="J448" s="77">
        <v>46051</v>
      </c>
      <c r="K448" s="78">
        <f t="shared" si="189"/>
        <v>27</v>
      </c>
      <c r="L448" s="84">
        <v>11.17</v>
      </c>
      <c r="M448" s="82">
        <v>5.12</v>
      </c>
      <c r="N448" s="25">
        <f t="shared" si="187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77"/>
        <v>46047</v>
      </c>
      <c r="E449" s="77">
        <f t="shared" si="178"/>
        <v>46031</v>
      </c>
      <c r="F449" s="77">
        <f t="shared" si="179"/>
        <v>46038</v>
      </c>
      <c r="G449" s="77">
        <f t="shared" si="180"/>
        <v>46044</v>
      </c>
      <c r="H449" s="77">
        <f t="shared" si="181"/>
        <v>46032</v>
      </c>
      <c r="I449" s="77">
        <f t="shared" si="182"/>
        <v>46039</v>
      </c>
      <c r="J449" s="77">
        <v>46051</v>
      </c>
      <c r="K449" s="78">
        <f t="shared" si="189"/>
        <v>27</v>
      </c>
      <c r="L449" s="84">
        <v>11.68</v>
      </c>
      <c r="M449" s="82">
        <v>5.73</v>
      </c>
      <c r="N449" s="25">
        <f t="shared" si="187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77"/>
        <v>46047</v>
      </c>
      <c r="E450" s="77">
        <f t="shared" si="178"/>
        <v>46031</v>
      </c>
      <c r="F450" s="77">
        <f t="shared" si="179"/>
        <v>46038</v>
      </c>
      <c r="G450" s="77">
        <f t="shared" si="180"/>
        <v>46044</v>
      </c>
      <c r="H450" s="77">
        <f t="shared" si="181"/>
        <v>46032</v>
      </c>
      <c r="I450" s="77">
        <f t="shared" si="182"/>
        <v>46039</v>
      </c>
      <c r="J450" s="77">
        <v>46050</v>
      </c>
      <c r="K450" s="78">
        <f t="shared" ref="K450:K456" si="190">J450-A450</f>
        <v>26</v>
      </c>
      <c r="L450" s="84">
        <v>10.27</v>
      </c>
      <c r="M450" s="82">
        <v>8.41</v>
      </c>
      <c r="N450" s="25">
        <f t="shared" si="187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77"/>
        <v>46048</v>
      </c>
      <c r="E451" s="77">
        <f t="shared" si="178"/>
        <v>46032</v>
      </c>
      <c r="F451" s="77">
        <f t="shared" si="179"/>
        <v>46039</v>
      </c>
      <c r="G451" s="77">
        <f t="shared" si="180"/>
        <v>46045</v>
      </c>
      <c r="H451" s="77">
        <f t="shared" si="181"/>
        <v>46033</v>
      </c>
      <c r="I451" s="77">
        <f t="shared" si="182"/>
        <v>46040</v>
      </c>
      <c r="J451" s="77">
        <v>46052</v>
      </c>
      <c r="K451" s="78">
        <f t="shared" si="190"/>
        <v>27</v>
      </c>
      <c r="L451" s="84">
        <v>13.02</v>
      </c>
      <c r="M451" s="82">
        <v>11.73</v>
      </c>
      <c r="N451" s="25">
        <f t="shared" si="187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77"/>
        <v>46048</v>
      </c>
      <c r="E452" s="77">
        <f t="shared" si="178"/>
        <v>46032</v>
      </c>
      <c r="F452" s="77">
        <f t="shared" si="179"/>
        <v>46039</v>
      </c>
      <c r="G452" s="77">
        <f t="shared" si="180"/>
        <v>46045</v>
      </c>
      <c r="H452" s="77">
        <f t="shared" si="181"/>
        <v>46033</v>
      </c>
      <c r="I452" s="77">
        <f t="shared" si="182"/>
        <v>46040</v>
      </c>
      <c r="J452" s="77">
        <v>46052</v>
      </c>
      <c r="K452" s="78">
        <f t="shared" si="190"/>
        <v>27</v>
      </c>
      <c r="L452" s="84">
        <v>13.81</v>
      </c>
      <c r="M452" s="82">
        <v>12.54</v>
      </c>
      <c r="N452" s="25">
        <f t="shared" si="187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77"/>
        <v>46048</v>
      </c>
      <c r="E453" s="77">
        <f t="shared" si="178"/>
        <v>46032</v>
      </c>
      <c r="F453" s="77">
        <f t="shared" si="179"/>
        <v>46039</v>
      </c>
      <c r="G453" s="77">
        <f t="shared" si="180"/>
        <v>46045</v>
      </c>
      <c r="H453" s="77">
        <f t="shared" si="181"/>
        <v>46033</v>
      </c>
      <c r="I453" s="77">
        <f t="shared" si="182"/>
        <v>46040</v>
      </c>
      <c r="J453" s="77">
        <v>46052</v>
      </c>
      <c r="K453" s="78">
        <f t="shared" si="190"/>
        <v>27</v>
      </c>
      <c r="L453" s="84">
        <v>12.85</v>
      </c>
      <c r="M453" s="82">
        <v>6.93</v>
      </c>
      <c r="N453" s="25">
        <f t="shared" si="187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77"/>
        <v>46048</v>
      </c>
      <c r="E454" s="77">
        <f t="shared" si="178"/>
        <v>46032</v>
      </c>
      <c r="F454" s="77">
        <f t="shared" si="179"/>
        <v>46039</v>
      </c>
      <c r="G454" s="77">
        <f t="shared" ref="G454:G465" si="191">A454+20</f>
        <v>46045</v>
      </c>
      <c r="H454" s="77">
        <f t="shared" ref="H454:H465" si="192">A454+8</f>
        <v>46033</v>
      </c>
      <c r="I454" s="77">
        <f t="shared" ref="I454:I465" si="193">A454+15</f>
        <v>46040</v>
      </c>
      <c r="J454" s="77">
        <v>46052</v>
      </c>
      <c r="K454" s="78">
        <f t="shared" si="190"/>
        <v>27</v>
      </c>
      <c r="L454" s="84">
        <v>13.36</v>
      </c>
      <c r="M454" s="82">
        <v>7.51</v>
      </c>
      <c r="N454" s="25">
        <f t="shared" si="187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77"/>
        <v>46048</v>
      </c>
      <c r="E455" s="77">
        <f t="shared" si="178"/>
        <v>46032</v>
      </c>
      <c r="F455" s="77">
        <f t="shared" si="179"/>
        <v>46039</v>
      </c>
      <c r="G455" s="77">
        <f t="shared" si="191"/>
        <v>46045</v>
      </c>
      <c r="H455" s="77">
        <f t="shared" si="192"/>
        <v>46033</v>
      </c>
      <c r="I455" s="77">
        <f t="shared" si="193"/>
        <v>46040</v>
      </c>
      <c r="J455" s="77">
        <v>46052</v>
      </c>
      <c r="K455" s="78">
        <f t="shared" si="190"/>
        <v>27</v>
      </c>
      <c r="L455" s="84">
        <v>12.62</v>
      </c>
      <c r="M455" s="82">
        <v>7.78</v>
      </c>
      <c r="N455" s="25">
        <f t="shared" si="187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77"/>
        <v>46048</v>
      </c>
      <c r="E456" s="77">
        <f t="shared" si="178"/>
        <v>46032</v>
      </c>
      <c r="F456" s="77">
        <f t="shared" si="179"/>
        <v>46039</v>
      </c>
      <c r="G456" s="77">
        <f t="shared" si="191"/>
        <v>46045</v>
      </c>
      <c r="H456" s="77">
        <f t="shared" si="192"/>
        <v>46033</v>
      </c>
      <c r="I456" s="77">
        <f t="shared" si="193"/>
        <v>46040</v>
      </c>
      <c r="J456" s="77">
        <v>46051</v>
      </c>
      <c r="K456" s="78">
        <f t="shared" si="190"/>
        <v>26</v>
      </c>
      <c r="L456" s="84">
        <v>13.53</v>
      </c>
      <c r="M456" s="82">
        <v>12.08</v>
      </c>
      <c r="N456" s="25">
        <f t="shared" si="187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77"/>
        <v>46048</v>
      </c>
      <c r="E457" s="77">
        <f t="shared" si="178"/>
        <v>46032</v>
      </c>
      <c r="F457" s="77">
        <f t="shared" si="179"/>
        <v>46039</v>
      </c>
      <c r="G457" s="77">
        <f t="shared" si="191"/>
        <v>46045</v>
      </c>
      <c r="H457" s="77">
        <f t="shared" si="192"/>
        <v>46033</v>
      </c>
      <c r="I457" s="77">
        <f t="shared" si="193"/>
        <v>46040</v>
      </c>
      <c r="J457" s="77">
        <v>46051</v>
      </c>
      <c r="K457" s="78">
        <f t="shared" ref="K457:K461" si="194">J457-A457</f>
        <v>26</v>
      </c>
      <c r="L457" s="84">
        <v>12.05</v>
      </c>
      <c r="M457" s="82">
        <v>10.74</v>
      </c>
      <c r="N457" s="25">
        <f t="shared" si="187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77"/>
        <v>46049</v>
      </c>
      <c r="E458" s="77">
        <f t="shared" si="178"/>
        <v>46033</v>
      </c>
      <c r="F458" s="77">
        <f t="shared" si="179"/>
        <v>46040</v>
      </c>
      <c r="G458" s="77">
        <f t="shared" si="191"/>
        <v>46046</v>
      </c>
      <c r="H458" s="77">
        <f t="shared" si="192"/>
        <v>46034</v>
      </c>
      <c r="I458" s="77">
        <f t="shared" si="193"/>
        <v>46041</v>
      </c>
      <c r="J458" s="77">
        <v>46052</v>
      </c>
      <c r="K458" s="78">
        <f t="shared" si="194"/>
        <v>26</v>
      </c>
      <c r="L458" s="84">
        <v>11.89</v>
      </c>
      <c r="M458" s="82">
        <v>10.119999999999999</v>
      </c>
      <c r="N458" s="25">
        <f t="shared" si="187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77"/>
        <v>46049</v>
      </c>
      <c r="E459" s="77">
        <f t="shared" si="178"/>
        <v>46033</v>
      </c>
      <c r="F459" s="77">
        <f t="shared" si="179"/>
        <v>46040</v>
      </c>
      <c r="G459" s="77">
        <f t="shared" si="191"/>
        <v>46046</v>
      </c>
      <c r="H459" s="77">
        <f t="shared" si="192"/>
        <v>46034</v>
      </c>
      <c r="I459" s="77">
        <f t="shared" si="193"/>
        <v>46041</v>
      </c>
      <c r="J459" s="77">
        <v>46052</v>
      </c>
      <c r="K459" s="78">
        <f t="shared" si="194"/>
        <v>26</v>
      </c>
      <c r="L459" s="84">
        <v>12.17</v>
      </c>
      <c r="M459" s="82">
        <v>10.54</v>
      </c>
      <c r="N459" s="25">
        <f t="shared" si="187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95">A460+23</f>
        <v>46049</v>
      </c>
      <c r="E460" s="77">
        <f t="shared" ref="E460:E465" si="196">A460+7</f>
        <v>46033</v>
      </c>
      <c r="F460" s="77">
        <f t="shared" ref="F460:F465" si="197">A460+14</f>
        <v>46040</v>
      </c>
      <c r="G460" s="77">
        <f t="shared" si="191"/>
        <v>46046</v>
      </c>
      <c r="H460" s="77">
        <f t="shared" si="192"/>
        <v>46034</v>
      </c>
      <c r="I460" s="77">
        <f t="shared" si="193"/>
        <v>46041</v>
      </c>
      <c r="J460" s="77">
        <v>46052</v>
      </c>
      <c r="K460" s="78">
        <f t="shared" si="194"/>
        <v>26</v>
      </c>
      <c r="L460" s="84">
        <v>12.91</v>
      </c>
      <c r="M460" s="82">
        <v>11.06</v>
      </c>
      <c r="N460" s="25">
        <f t="shared" si="187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95"/>
        <v>46049</v>
      </c>
      <c r="E461" s="77">
        <f t="shared" si="196"/>
        <v>46033</v>
      </c>
      <c r="F461" s="77">
        <f t="shared" si="197"/>
        <v>46040</v>
      </c>
      <c r="G461" s="77">
        <f t="shared" si="191"/>
        <v>46046</v>
      </c>
      <c r="H461" s="77">
        <f t="shared" si="192"/>
        <v>46034</v>
      </c>
      <c r="I461" s="77">
        <f t="shared" si="193"/>
        <v>46041</v>
      </c>
      <c r="J461" s="77">
        <v>46052</v>
      </c>
      <c r="K461" s="78">
        <f t="shared" si="194"/>
        <v>26</v>
      </c>
      <c r="L461" s="84">
        <v>11.78</v>
      </c>
      <c r="M461" s="82">
        <v>10.24</v>
      </c>
      <c r="N461" s="25">
        <f t="shared" si="187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95"/>
        <v>46049</v>
      </c>
      <c r="E462" s="77">
        <f t="shared" si="196"/>
        <v>46033</v>
      </c>
      <c r="F462" s="77">
        <f t="shared" si="197"/>
        <v>46040</v>
      </c>
      <c r="G462" s="77">
        <f t="shared" si="191"/>
        <v>46046</v>
      </c>
      <c r="H462" s="77">
        <f t="shared" si="192"/>
        <v>46034</v>
      </c>
      <c r="I462" s="77">
        <f t="shared" si="193"/>
        <v>46041</v>
      </c>
      <c r="J462" s="77">
        <v>46052</v>
      </c>
      <c r="K462" s="78">
        <f t="shared" ref="K462" si="198">J462-A462</f>
        <v>26</v>
      </c>
      <c r="L462" s="84">
        <v>10.66</v>
      </c>
      <c r="M462" s="82">
        <v>9.81</v>
      </c>
      <c r="N462" s="25">
        <f t="shared" si="187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95"/>
        <v>46049</v>
      </c>
      <c r="E463" s="77">
        <f t="shared" si="196"/>
        <v>46033</v>
      </c>
      <c r="F463" s="77">
        <f t="shared" si="197"/>
        <v>46040</v>
      </c>
      <c r="G463" s="77">
        <f t="shared" si="191"/>
        <v>46046</v>
      </c>
      <c r="H463" s="77">
        <f t="shared" si="192"/>
        <v>46034</v>
      </c>
      <c r="I463" s="77">
        <f t="shared" si="193"/>
        <v>46041</v>
      </c>
      <c r="J463" s="77">
        <v>46052</v>
      </c>
      <c r="K463" s="78">
        <f t="shared" ref="K463" si="199">J463-A463</f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95"/>
        <v>46049</v>
      </c>
      <c r="E464" s="77">
        <f t="shared" si="196"/>
        <v>46033</v>
      </c>
      <c r="F464" s="77">
        <f t="shared" si="197"/>
        <v>46040</v>
      </c>
      <c r="G464" s="77">
        <f t="shared" si="191"/>
        <v>46046</v>
      </c>
      <c r="H464" s="77">
        <f t="shared" si="192"/>
        <v>46034</v>
      </c>
      <c r="I464" s="77">
        <f t="shared" si="193"/>
        <v>46041</v>
      </c>
      <c r="J464" s="77">
        <v>46053</v>
      </c>
      <c r="K464" s="78">
        <f t="shared" ref="K464" si="200">J464-A464</f>
        <v>27</v>
      </c>
      <c r="L464" s="84">
        <v>11.54</v>
      </c>
      <c r="M464" s="82">
        <v>6.24</v>
      </c>
      <c r="N464" s="25">
        <f t="shared" si="187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95"/>
        <v>46049</v>
      </c>
      <c r="E465" s="77">
        <f t="shared" si="196"/>
        <v>46033</v>
      </c>
      <c r="F465" s="77">
        <f t="shared" si="197"/>
        <v>46040</v>
      </c>
      <c r="G465" s="77">
        <f t="shared" si="191"/>
        <v>46046</v>
      </c>
      <c r="H465" s="77">
        <f t="shared" si="192"/>
        <v>46034</v>
      </c>
      <c r="I465" s="77">
        <f t="shared" si="193"/>
        <v>46041</v>
      </c>
      <c r="J465" s="77">
        <v>46053</v>
      </c>
      <c r="K465" s="78">
        <f t="shared" ref="K465:K472" si="201">J465-A465</f>
        <v>27</v>
      </c>
      <c r="L465" s="84">
        <v>11.27</v>
      </c>
      <c r="M465" s="82">
        <v>5.68</v>
      </c>
      <c r="N465" s="25">
        <f t="shared" si="187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 t="shared" ref="D466" si="202">A466+23</f>
        <v>46050</v>
      </c>
      <c r="E466" s="77">
        <f t="shared" ref="E466" si="203">A466+7</f>
        <v>46034</v>
      </c>
      <c r="F466" s="77">
        <f t="shared" ref="F466" si="204">A466+14</f>
        <v>46041</v>
      </c>
      <c r="G466" s="77">
        <f t="shared" ref="G466" si="205">A466+20</f>
        <v>46047</v>
      </c>
      <c r="H466" s="77">
        <f t="shared" ref="H466" si="206">A466+8</f>
        <v>46035</v>
      </c>
      <c r="I466" s="77">
        <f t="shared" ref="I466" si="207">A466+15</f>
        <v>46042</v>
      </c>
      <c r="J466" s="77">
        <v>46053</v>
      </c>
      <c r="K466" s="78">
        <f t="shared" si="201"/>
        <v>26</v>
      </c>
      <c r="L466" s="84">
        <v>12.92</v>
      </c>
      <c r="M466" s="82">
        <v>6.73</v>
      </c>
      <c r="N466" s="25">
        <f t="shared" si="187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208">A467+23</f>
        <v>46050</v>
      </c>
      <c r="E467" s="77">
        <f t="shared" ref="E467:E472" si="209">A467+7</f>
        <v>46034</v>
      </c>
      <c r="F467" s="77">
        <f t="shared" ref="F467:F472" si="210">A467+14</f>
        <v>46041</v>
      </c>
      <c r="G467" s="77">
        <f t="shared" ref="G467:G472" si="211">A467+20</f>
        <v>46047</v>
      </c>
      <c r="H467" s="77">
        <f t="shared" ref="H467:H472" si="212">A467+8</f>
        <v>46035</v>
      </c>
      <c r="I467" s="77">
        <f t="shared" ref="I467:I472" si="213">A467+15</f>
        <v>46042</v>
      </c>
      <c r="J467" s="77">
        <v>46053</v>
      </c>
      <c r="K467" s="78">
        <f t="shared" si="201"/>
        <v>26</v>
      </c>
      <c r="L467" s="84">
        <v>12.99</v>
      </c>
      <c r="M467" s="82">
        <v>6.81</v>
      </c>
      <c r="N467" s="25">
        <f t="shared" si="187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208"/>
        <v>46050</v>
      </c>
      <c r="E468" s="77">
        <f t="shared" si="209"/>
        <v>46034</v>
      </c>
      <c r="F468" s="77">
        <f t="shared" si="210"/>
        <v>46041</v>
      </c>
      <c r="G468" s="77">
        <f t="shared" si="211"/>
        <v>46047</v>
      </c>
      <c r="H468" s="77">
        <f t="shared" si="212"/>
        <v>46035</v>
      </c>
      <c r="I468" s="77">
        <f t="shared" si="213"/>
        <v>46042</v>
      </c>
      <c r="J468" s="77">
        <v>46053</v>
      </c>
      <c r="K468" s="78">
        <f t="shared" si="201"/>
        <v>26</v>
      </c>
      <c r="L468" s="84">
        <v>14.15</v>
      </c>
      <c r="M468" s="82">
        <v>7.33</v>
      </c>
      <c r="N468" s="25">
        <f t="shared" si="187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208"/>
        <v>46050</v>
      </c>
      <c r="E469" s="77">
        <f t="shared" si="209"/>
        <v>46034</v>
      </c>
      <c r="F469" s="77">
        <f t="shared" si="210"/>
        <v>46041</v>
      </c>
      <c r="G469" s="77">
        <f t="shared" si="211"/>
        <v>46047</v>
      </c>
      <c r="H469" s="77">
        <f t="shared" si="212"/>
        <v>46035</v>
      </c>
      <c r="I469" s="77">
        <f t="shared" si="213"/>
        <v>46042</v>
      </c>
      <c r="J469" s="77">
        <v>46053</v>
      </c>
      <c r="K469" s="78">
        <f t="shared" si="201"/>
        <v>26</v>
      </c>
      <c r="L469" s="84">
        <v>15.22</v>
      </c>
      <c r="M469" s="82">
        <v>13.95</v>
      </c>
      <c r="N469" s="25">
        <f t="shared" si="187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208"/>
        <v>46050</v>
      </c>
      <c r="E470" s="77">
        <f t="shared" si="209"/>
        <v>46034</v>
      </c>
      <c r="F470" s="77">
        <f t="shared" si="210"/>
        <v>46041</v>
      </c>
      <c r="G470" s="77">
        <f t="shared" si="211"/>
        <v>46047</v>
      </c>
      <c r="H470" s="77">
        <f t="shared" si="212"/>
        <v>46035</v>
      </c>
      <c r="I470" s="77">
        <f t="shared" si="213"/>
        <v>46042</v>
      </c>
      <c r="J470" s="77">
        <v>46053</v>
      </c>
      <c r="K470" s="78">
        <f t="shared" si="201"/>
        <v>26</v>
      </c>
      <c r="L470" s="84">
        <v>15.67</v>
      </c>
      <c r="M470" s="82">
        <v>13.69</v>
      </c>
      <c r="N470" s="25">
        <f t="shared" si="187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208"/>
        <v>46050</v>
      </c>
      <c r="E471" s="77">
        <f t="shared" si="209"/>
        <v>46034</v>
      </c>
      <c r="F471" s="77">
        <f t="shared" si="210"/>
        <v>46041</v>
      </c>
      <c r="G471" s="77">
        <f t="shared" si="211"/>
        <v>46047</v>
      </c>
      <c r="H471" s="77">
        <f t="shared" si="212"/>
        <v>46035</v>
      </c>
      <c r="I471" s="77">
        <f t="shared" si="213"/>
        <v>46042</v>
      </c>
      <c r="J471" s="77">
        <v>46053</v>
      </c>
      <c r="K471" s="78">
        <f t="shared" si="201"/>
        <v>26</v>
      </c>
      <c r="L471" s="84">
        <v>15.9</v>
      </c>
      <c r="M471" s="82">
        <v>14.87</v>
      </c>
      <c r="N471" s="25">
        <f t="shared" si="187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208"/>
        <v>46050</v>
      </c>
      <c r="E472" s="77">
        <f t="shared" si="209"/>
        <v>46034</v>
      </c>
      <c r="F472" s="77">
        <f t="shared" si="210"/>
        <v>46041</v>
      </c>
      <c r="G472" s="77">
        <f t="shared" si="211"/>
        <v>46047</v>
      </c>
      <c r="H472" s="77">
        <f t="shared" si="212"/>
        <v>46035</v>
      </c>
      <c r="I472" s="77">
        <f t="shared" si="213"/>
        <v>46042</v>
      </c>
      <c r="J472" s="77">
        <v>46054</v>
      </c>
      <c r="K472" s="78">
        <f t="shared" si="201"/>
        <v>27</v>
      </c>
      <c r="L472" s="84">
        <v>14.3</v>
      </c>
      <c r="M472" s="82">
        <v>7.51</v>
      </c>
      <c r="N472" s="25">
        <f t="shared" si="187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214">A473+23</f>
        <v>46051</v>
      </c>
      <c r="E473" s="77">
        <f t="shared" ref="E473:E479" si="215">A473+7</f>
        <v>46035</v>
      </c>
      <c r="F473" s="77">
        <f t="shared" ref="F473:F479" si="216">A473+14</f>
        <v>46042</v>
      </c>
      <c r="G473" s="77">
        <f t="shared" ref="G473:G479" si="217">A473+20</f>
        <v>46048</v>
      </c>
      <c r="H473" s="77">
        <f t="shared" ref="H473:H479" si="218">A473+8</f>
        <v>46036</v>
      </c>
      <c r="I473" s="77">
        <f t="shared" ref="I473:I479" si="219">A473+15</f>
        <v>46043</v>
      </c>
      <c r="J473" s="77">
        <v>46054</v>
      </c>
      <c r="K473" s="78">
        <f t="shared" ref="K473:K483" si="220">J473-A473</f>
        <v>26</v>
      </c>
      <c r="L473" s="84">
        <v>13.91</v>
      </c>
      <c r="M473" s="82">
        <v>7.18</v>
      </c>
      <c r="N473" s="25">
        <f t="shared" si="187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214"/>
        <v>46051</v>
      </c>
      <c r="E474" s="77">
        <f t="shared" si="215"/>
        <v>46035</v>
      </c>
      <c r="F474" s="77">
        <f t="shared" si="216"/>
        <v>46042</v>
      </c>
      <c r="G474" s="77">
        <f t="shared" si="217"/>
        <v>46048</v>
      </c>
      <c r="H474" s="77">
        <f t="shared" si="218"/>
        <v>46036</v>
      </c>
      <c r="I474" s="77">
        <f t="shared" si="219"/>
        <v>46043</v>
      </c>
      <c r="J474" s="77">
        <v>46054</v>
      </c>
      <c r="K474" s="78">
        <f t="shared" si="220"/>
        <v>26</v>
      </c>
      <c r="L474" s="84">
        <v>13.07</v>
      </c>
      <c r="M474" s="82">
        <v>6.91</v>
      </c>
      <c r="N474" s="25">
        <f t="shared" si="187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214"/>
        <v>46051</v>
      </c>
      <c r="E475" s="77">
        <f t="shared" si="215"/>
        <v>46035</v>
      </c>
      <c r="F475" s="77">
        <f t="shared" si="216"/>
        <v>46042</v>
      </c>
      <c r="G475" s="77">
        <f t="shared" si="217"/>
        <v>46048</v>
      </c>
      <c r="H475" s="77">
        <f t="shared" si="218"/>
        <v>46036</v>
      </c>
      <c r="I475" s="77">
        <f t="shared" si="219"/>
        <v>46043</v>
      </c>
      <c r="J475" s="77">
        <v>46054</v>
      </c>
      <c r="K475" s="78">
        <f t="shared" si="220"/>
        <v>26</v>
      </c>
      <c r="L475" s="84">
        <v>14.43</v>
      </c>
      <c r="M475" s="82">
        <v>7.55</v>
      </c>
      <c r="N475" s="25">
        <f t="shared" si="187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214"/>
        <v>46051</v>
      </c>
      <c r="E476" s="77">
        <f t="shared" si="215"/>
        <v>46035</v>
      </c>
      <c r="F476" s="77">
        <f t="shared" si="216"/>
        <v>46042</v>
      </c>
      <c r="G476" s="77">
        <f t="shared" si="217"/>
        <v>46048</v>
      </c>
      <c r="H476" s="77">
        <f t="shared" si="218"/>
        <v>46036</v>
      </c>
      <c r="I476" s="77">
        <f t="shared" si="219"/>
        <v>46043</v>
      </c>
      <c r="J476" s="77">
        <v>46054</v>
      </c>
      <c r="K476" s="78">
        <f t="shared" si="220"/>
        <v>26</v>
      </c>
      <c r="L476" s="84">
        <v>14.15</v>
      </c>
      <c r="M476" s="82">
        <v>7.38</v>
      </c>
      <c r="N476" s="25">
        <f t="shared" si="187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214"/>
        <v>46051</v>
      </c>
      <c r="E477" s="77">
        <f t="shared" si="215"/>
        <v>46035</v>
      </c>
      <c r="F477" s="77">
        <f t="shared" si="216"/>
        <v>46042</v>
      </c>
      <c r="G477" s="77">
        <f t="shared" si="217"/>
        <v>46048</v>
      </c>
      <c r="H477" s="77">
        <f t="shared" si="218"/>
        <v>46036</v>
      </c>
      <c r="I477" s="77">
        <f t="shared" si="219"/>
        <v>46043</v>
      </c>
      <c r="J477" s="77">
        <v>46054</v>
      </c>
      <c r="K477" s="78">
        <f t="shared" si="220"/>
        <v>26</v>
      </c>
      <c r="L477" s="84">
        <v>11.86</v>
      </c>
      <c r="M477" s="82">
        <v>10.56</v>
      </c>
      <c r="N477" s="25">
        <f t="shared" si="187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214"/>
        <v>46051</v>
      </c>
      <c r="E478" s="77">
        <f t="shared" si="215"/>
        <v>46035</v>
      </c>
      <c r="F478" s="77">
        <f t="shared" si="216"/>
        <v>46042</v>
      </c>
      <c r="G478" s="77">
        <f t="shared" si="217"/>
        <v>46048</v>
      </c>
      <c r="H478" s="77">
        <f t="shared" si="218"/>
        <v>46036</v>
      </c>
      <c r="I478" s="77">
        <f t="shared" si="219"/>
        <v>46043</v>
      </c>
      <c r="J478" s="77">
        <v>46054</v>
      </c>
      <c r="K478" s="78">
        <f t="shared" si="220"/>
        <v>26</v>
      </c>
      <c r="L478" s="84">
        <v>13.92</v>
      </c>
      <c r="M478" s="82">
        <v>12.74</v>
      </c>
      <c r="N478" s="25">
        <f t="shared" si="187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214"/>
        <v>46051</v>
      </c>
      <c r="E479" s="77">
        <f t="shared" si="215"/>
        <v>46035</v>
      </c>
      <c r="F479" s="77">
        <f t="shared" si="216"/>
        <v>46042</v>
      </c>
      <c r="G479" s="77">
        <f t="shared" si="217"/>
        <v>46048</v>
      </c>
      <c r="H479" s="77">
        <f t="shared" si="218"/>
        <v>46036</v>
      </c>
      <c r="I479" s="77">
        <f t="shared" si="219"/>
        <v>46043</v>
      </c>
      <c r="J479" s="77">
        <v>46054</v>
      </c>
      <c r="K479" s="78">
        <f t="shared" si="220"/>
        <v>26</v>
      </c>
      <c r="L479" s="84">
        <v>14.77</v>
      </c>
      <c r="M479" s="82">
        <v>13.52</v>
      </c>
      <c r="N479" s="25">
        <f t="shared" si="187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221">A480+23</f>
        <v>46052</v>
      </c>
      <c r="E480" s="77">
        <f t="shared" ref="E480:E486" si="222">A480+7</f>
        <v>46036</v>
      </c>
      <c r="F480" s="77">
        <f t="shared" ref="F480:F486" si="223">A480+14</f>
        <v>46043</v>
      </c>
      <c r="G480" s="77">
        <f t="shared" ref="G480:G486" si="224">A480+20</f>
        <v>46049</v>
      </c>
      <c r="H480" s="77">
        <f t="shared" ref="H480:H486" si="225">A480+8</f>
        <v>46037</v>
      </c>
      <c r="I480" s="77">
        <f t="shared" ref="I480:I486" si="226">A480+15</f>
        <v>46044</v>
      </c>
      <c r="J480" s="77">
        <v>46054</v>
      </c>
      <c r="K480" s="78">
        <f t="shared" si="220"/>
        <v>25</v>
      </c>
      <c r="L480" s="84">
        <v>15.09</v>
      </c>
      <c r="M480" s="82">
        <v>13.71</v>
      </c>
      <c r="N480" s="25">
        <f t="shared" si="187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221"/>
        <v>46052</v>
      </c>
      <c r="E481" s="77">
        <f t="shared" si="222"/>
        <v>46036</v>
      </c>
      <c r="F481" s="77">
        <f t="shared" si="223"/>
        <v>46043</v>
      </c>
      <c r="G481" s="77">
        <f t="shared" si="224"/>
        <v>46049</v>
      </c>
      <c r="H481" s="77">
        <f t="shared" si="225"/>
        <v>46037</v>
      </c>
      <c r="I481" s="77">
        <f t="shared" si="226"/>
        <v>46044</v>
      </c>
      <c r="J481" s="77">
        <v>46054</v>
      </c>
      <c r="K481" s="78">
        <f t="shared" si="220"/>
        <v>25</v>
      </c>
      <c r="L481" s="84">
        <v>13.21</v>
      </c>
      <c r="M481" s="82">
        <v>12.1</v>
      </c>
      <c r="N481" s="25">
        <f t="shared" si="187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221"/>
        <v>46052</v>
      </c>
      <c r="E482" s="77">
        <f t="shared" si="222"/>
        <v>46036</v>
      </c>
      <c r="F482" s="77">
        <f t="shared" si="223"/>
        <v>46043</v>
      </c>
      <c r="G482" s="77">
        <f t="shared" si="224"/>
        <v>46049</v>
      </c>
      <c r="H482" s="77">
        <f t="shared" si="225"/>
        <v>46037</v>
      </c>
      <c r="I482" s="77">
        <f t="shared" si="226"/>
        <v>46044</v>
      </c>
      <c r="J482" s="77">
        <v>46054</v>
      </c>
      <c r="K482" s="78">
        <f t="shared" si="220"/>
        <v>25</v>
      </c>
      <c r="L482" s="84">
        <v>13.02</v>
      </c>
      <c r="M482" s="82">
        <v>11.87</v>
      </c>
      <c r="N482" s="25">
        <f t="shared" si="187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221"/>
        <v>46052</v>
      </c>
      <c r="E483" s="77">
        <f t="shared" si="222"/>
        <v>46036</v>
      </c>
      <c r="F483" s="77">
        <f t="shared" si="223"/>
        <v>46043</v>
      </c>
      <c r="G483" s="77">
        <f t="shared" si="224"/>
        <v>46049</v>
      </c>
      <c r="H483" s="77">
        <f t="shared" si="225"/>
        <v>46037</v>
      </c>
      <c r="I483" s="77">
        <f t="shared" si="226"/>
        <v>46044</v>
      </c>
      <c r="J483" s="77">
        <v>46055</v>
      </c>
      <c r="K483" s="78">
        <f t="shared" si="220"/>
        <v>26</v>
      </c>
      <c r="L483" s="84">
        <v>11.58</v>
      </c>
      <c r="M483" s="82">
        <v>5.73</v>
      </c>
      <c r="N483" s="25">
        <f t="shared" si="187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221"/>
        <v>46052</v>
      </c>
      <c r="E484" s="77">
        <f t="shared" si="222"/>
        <v>46036</v>
      </c>
      <c r="F484" s="77">
        <f t="shared" si="223"/>
        <v>46043</v>
      </c>
      <c r="G484" s="77">
        <f t="shared" si="224"/>
        <v>46049</v>
      </c>
      <c r="H484" s="77">
        <f t="shared" si="225"/>
        <v>46037</v>
      </c>
      <c r="I484" s="77">
        <f t="shared" si="226"/>
        <v>46044</v>
      </c>
      <c r="J484" s="77">
        <v>46055</v>
      </c>
      <c r="K484" s="78">
        <f t="shared" ref="K484:K494" si="227">J484-A484</f>
        <v>26</v>
      </c>
      <c r="L484" s="84">
        <v>15.9</v>
      </c>
      <c r="M484" s="82">
        <v>13.21</v>
      </c>
      <c r="N484" s="25">
        <f t="shared" si="187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221"/>
        <v>46052</v>
      </c>
      <c r="E485" s="77">
        <f t="shared" si="222"/>
        <v>46036</v>
      </c>
      <c r="F485" s="77">
        <f t="shared" si="223"/>
        <v>46043</v>
      </c>
      <c r="G485" s="77">
        <f t="shared" si="224"/>
        <v>46049</v>
      </c>
      <c r="H485" s="77">
        <f t="shared" si="225"/>
        <v>46037</v>
      </c>
      <c r="I485" s="77">
        <f t="shared" si="226"/>
        <v>46044</v>
      </c>
      <c r="J485" s="77">
        <v>46055</v>
      </c>
      <c r="K485" s="78">
        <f t="shared" si="227"/>
        <v>26</v>
      </c>
      <c r="L485" s="84">
        <v>14.83</v>
      </c>
      <c r="M485" s="82">
        <v>13.65</v>
      </c>
      <c r="N485" s="25">
        <f t="shared" si="187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221"/>
        <v>46052</v>
      </c>
      <c r="E486" s="77">
        <f t="shared" si="222"/>
        <v>46036</v>
      </c>
      <c r="F486" s="77">
        <f t="shared" si="223"/>
        <v>46043</v>
      </c>
      <c r="G486" s="77">
        <f t="shared" si="224"/>
        <v>46049</v>
      </c>
      <c r="H486" s="77">
        <f t="shared" si="225"/>
        <v>46037</v>
      </c>
      <c r="I486" s="77">
        <f t="shared" si="226"/>
        <v>46044</v>
      </c>
      <c r="J486" s="77">
        <v>46055</v>
      </c>
      <c r="K486" s="78">
        <f t="shared" si="227"/>
        <v>26</v>
      </c>
      <c r="L486" s="84">
        <v>14.52</v>
      </c>
      <c r="M486" s="82">
        <v>13.49</v>
      </c>
      <c r="N486" s="25">
        <f t="shared" si="187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228">A487+23</f>
        <v>46053</v>
      </c>
      <c r="E487" s="77">
        <f t="shared" ref="E487:E502" si="229">A487+7</f>
        <v>46037</v>
      </c>
      <c r="F487" s="77">
        <f t="shared" ref="F487:F502" si="230">A487+14</f>
        <v>46044</v>
      </c>
      <c r="G487" s="77">
        <f t="shared" ref="G487:G502" si="231">A487+20</f>
        <v>46050</v>
      </c>
      <c r="H487" s="77">
        <f t="shared" ref="H487:H502" si="232">A487+8</f>
        <v>46038</v>
      </c>
      <c r="I487" s="77">
        <f t="shared" ref="I487:I502" si="233">A487+15</f>
        <v>46045</v>
      </c>
      <c r="J487" s="77">
        <v>46055</v>
      </c>
      <c r="K487" s="78">
        <f t="shared" si="227"/>
        <v>25</v>
      </c>
      <c r="L487" s="84">
        <v>13.66</v>
      </c>
      <c r="M487" s="82">
        <v>12.21</v>
      </c>
      <c r="N487" s="25">
        <f t="shared" si="187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228"/>
        <v>46053</v>
      </c>
      <c r="E488" s="77">
        <f t="shared" si="229"/>
        <v>46037</v>
      </c>
      <c r="F488" s="77">
        <f t="shared" si="230"/>
        <v>46044</v>
      </c>
      <c r="G488" s="77">
        <f t="shared" si="231"/>
        <v>46050</v>
      </c>
      <c r="H488" s="77">
        <f t="shared" si="232"/>
        <v>46038</v>
      </c>
      <c r="I488" s="77">
        <f t="shared" si="233"/>
        <v>46045</v>
      </c>
      <c r="J488" s="77">
        <v>46055</v>
      </c>
      <c r="K488" s="78">
        <f t="shared" si="227"/>
        <v>25</v>
      </c>
      <c r="L488" s="84">
        <v>12.81</v>
      </c>
      <c r="M488" s="82">
        <v>11.76</v>
      </c>
      <c r="N488" s="25">
        <f t="shared" si="187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228"/>
        <v>46053</v>
      </c>
      <c r="E489" s="77">
        <f t="shared" si="229"/>
        <v>46037</v>
      </c>
      <c r="F489" s="77">
        <f t="shared" si="230"/>
        <v>46044</v>
      </c>
      <c r="G489" s="77">
        <f t="shared" si="231"/>
        <v>46050</v>
      </c>
      <c r="H489" s="77">
        <f t="shared" si="232"/>
        <v>46038</v>
      </c>
      <c r="I489" s="77">
        <f t="shared" si="233"/>
        <v>46045</v>
      </c>
      <c r="J489" s="77">
        <v>46059</v>
      </c>
      <c r="K489" s="78">
        <f t="shared" si="227"/>
        <v>29</v>
      </c>
      <c r="L489" s="25">
        <v>6</v>
      </c>
      <c r="M489" s="25">
        <v>3</v>
      </c>
      <c r="N489" s="25">
        <f t="shared" si="187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228"/>
        <v>46053</v>
      </c>
      <c r="E490" s="77">
        <f t="shared" si="229"/>
        <v>46037</v>
      </c>
      <c r="F490" s="77">
        <f t="shared" si="230"/>
        <v>46044</v>
      </c>
      <c r="G490" s="77">
        <f t="shared" si="231"/>
        <v>46050</v>
      </c>
      <c r="H490" s="77">
        <f t="shared" si="232"/>
        <v>46038</v>
      </c>
      <c r="I490" s="77">
        <f t="shared" si="233"/>
        <v>46045</v>
      </c>
      <c r="J490" s="77">
        <v>46060</v>
      </c>
      <c r="K490" s="78">
        <f t="shared" si="227"/>
        <v>30</v>
      </c>
      <c r="L490" s="25">
        <v>5.2</v>
      </c>
      <c r="M490" s="25">
        <v>5</v>
      </c>
      <c r="N490" s="25">
        <f t="shared" si="187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228"/>
        <v>46053</v>
      </c>
      <c r="E491" s="77">
        <f t="shared" si="229"/>
        <v>46037</v>
      </c>
      <c r="F491" s="77">
        <f t="shared" si="230"/>
        <v>46044</v>
      </c>
      <c r="G491" s="77">
        <f t="shared" si="231"/>
        <v>46050</v>
      </c>
      <c r="H491" s="77">
        <f t="shared" si="232"/>
        <v>46038</v>
      </c>
      <c r="I491" s="77">
        <f t="shared" si="233"/>
        <v>46045</v>
      </c>
      <c r="J491" s="77">
        <v>46060</v>
      </c>
      <c r="K491" s="78">
        <f t="shared" si="227"/>
        <v>30</v>
      </c>
      <c r="L491" s="25">
        <v>4.92</v>
      </c>
      <c r="M491" s="25">
        <v>2.8</v>
      </c>
      <c r="N491" s="25">
        <f t="shared" si="187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228"/>
        <v>46053</v>
      </c>
      <c r="E492" s="77">
        <f t="shared" si="229"/>
        <v>46037</v>
      </c>
      <c r="F492" s="77">
        <f t="shared" si="230"/>
        <v>46044</v>
      </c>
      <c r="G492" s="77">
        <f t="shared" si="231"/>
        <v>46050</v>
      </c>
      <c r="H492" s="77">
        <f t="shared" si="232"/>
        <v>46038</v>
      </c>
      <c r="I492" s="77">
        <f t="shared" si="233"/>
        <v>46045</v>
      </c>
      <c r="J492" s="77">
        <v>46060</v>
      </c>
      <c r="K492" s="78">
        <f t="shared" si="227"/>
        <v>30</v>
      </c>
      <c r="L492" s="25">
        <v>8.99</v>
      </c>
      <c r="M492" s="25">
        <v>4.7</v>
      </c>
      <c r="N492" s="25">
        <f t="shared" si="187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228"/>
        <v>46053</v>
      </c>
      <c r="E493" s="77">
        <f t="shared" si="229"/>
        <v>46037</v>
      </c>
      <c r="F493" s="77">
        <f t="shared" si="230"/>
        <v>46044</v>
      </c>
      <c r="G493" s="77">
        <f t="shared" si="231"/>
        <v>46050</v>
      </c>
      <c r="H493" s="77">
        <f t="shared" si="232"/>
        <v>46038</v>
      </c>
      <c r="I493" s="77">
        <f t="shared" si="233"/>
        <v>46045</v>
      </c>
      <c r="J493" s="77">
        <v>46060</v>
      </c>
      <c r="K493" s="78">
        <f t="shared" si="227"/>
        <v>30</v>
      </c>
      <c r="L493" s="25">
        <v>4.82</v>
      </c>
      <c r="M493" s="25">
        <v>3</v>
      </c>
      <c r="N493" s="25">
        <f t="shared" si="187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228"/>
        <v>46054</v>
      </c>
      <c r="E494" s="77">
        <f t="shared" si="229"/>
        <v>46038</v>
      </c>
      <c r="F494" s="77">
        <f t="shared" si="230"/>
        <v>46045</v>
      </c>
      <c r="G494" s="77">
        <f t="shared" si="231"/>
        <v>46051</v>
      </c>
      <c r="H494" s="77">
        <f t="shared" si="232"/>
        <v>46039</v>
      </c>
      <c r="I494" s="77">
        <f t="shared" si="233"/>
        <v>46046</v>
      </c>
      <c r="J494" s="77">
        <v>46060</v>
      </c>
      <c r="K494" s="78">
        <f t="shared" si="227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228"/>
        <v>46054</v>
      </c>
      <c r="E495" s="77">
        <f t="shared" si="229"/>
        <v>46038</v>
      </c>
      <c r="F495" s="77">
        <f t="shared" si="230"/>
        <v>46045</v>
      </c>
      <c r="G495" s="77">
        <f t="shared" si="231"/>
        <v>46051</v>
      </c>
      <c r="H495" s="77">
        <f t="shared" si="232"/>
        <v>46039</v>
      </c>
      <c r="I495" s="77">
        <f t="shared" si="233"/>
        <v>46046</v>
      </c>
      <c r="J495" s="77">
        <v>46060</v>
      </c>
      <c r="K495" s="78">
        <f t="shared" ref="K495:K504" si="234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228"/>
        <v>46054</v>
      </c>
      <c r="E496" s="77">
        <f t="shared" si="229"/>
        <v>46038</v>
      </c>
      <c r="F496" s="77">
        <f t="shared" si="230"/>
        <v>46045</v>
      </c>
      <c r="G496" s="77">
        <f t="shared" si="231"/>
        <v>46051</v>
      </c>
      <c r="H496" s="77">
        <f t="shared" si="232"/>
        <v>46039</v>
      </c>
      <c r="I496" s="77">
        <f t="shared" si="233"/>
        <v>46046</v>
      </c>
      <c r="J496" s="77">
        <v>46060</v>
      </c>
      <c r="K496" s="78">
        <f t="shared" si="234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228"/>
        <v>46054</v>
      </c>
      <c r="E497" s="77">
        <f t="shared" si="229"/>
        <v>46038</v>
      </c>
      <c r="F497" s="77">
        <f t="shared" si="230"/>
        <v>46045</v>
      </c>
      <c r="G497" s="77">
        <f t="shared" si="231"/>
        <v>46051</v>
      </c>
      <c r="H497" s="77">
        <f t="shared" si="232"/>
        <v>46039</v>
      </c>
      <c r="I497" s="77">
        <f t="shared" si="233"/>
        <v>46046</v>
      </c>
      <c r="J497" s="77">
        <v>46060</v>
      </c>
      <c r="K497" s="78">
        <f t="shared" si="234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228"/>
        <v>46054</v>
      </c>
      <c r="E498" s="77">
        <f t="shared" si="229"/>
        <v>46038</v>
      </c>
      <c r="F498" s="77">
        <f t="shared" si="230"/>
        <v>46045</v>
      </c>
      <c r="G498" s="77">
        <f t="shared" si="231"/>
        <v>46051</v>
      </c>
      <c r="H498" s="77">
        <f t="shared" si="232"/>
        <v>46039</v>
      </c>
      <c r="I498" s="77">
        <f t="shared" si="233"/>
        <v>46046</v>
      </c>
      <c r="J498" s="77">
        <v>46060</v>
      </c>
      <c r="K498" s="78">
        <f t="shared" si="234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228"/>
        <v>46054</v>
      </c>
      <c r="E499" s="77">
        <f t="shared" si="229"/>
        <v>46038</v>
      </c>
      <c r="F499" s="77">
        <f t="shared" si="230"/>
        <v>46045</v>
      </c>
      <c r="G499" s="77">
        <f t="shared" si="231"/>
        <v>46051</v>
      </c>
      <c r="H499" s="77">
        <f t="shared" si="232"/>
        <v>46039</v>
      </c>
      <c r="I499" s="77">
        <f t="shared" si="233"/>
        <v>46046</v>
      </c>
      <c r="J499" s="77">
        <v>46060</v>
      </c>
      <c r="K499" s="78">
        <f t="shared" si="234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228"/>
        <v>46054</v>
      </c>
      <c r="E500" s="77">
        <f t="shared" si="229"/>
        <v>46038</v>
      </c>
      <c r="F500" s="77">
        <f t="shared" si="230"/>
        <v>46045</v>
      </c>
      <c r="G500" s="77">
        <f t="shared" si="231"/>
        <v>46051</v>
      </c>
      <c r="H500" s="77">
        <f t="shared" si="232"/>
        <v>46039</v>
      </c>
      <c r="I500" s="77">
        <f t="shared" si="233"/>
        <v>46046</v>
      </c>
      <c r="J500" s="77">
        <v>46060</v>
      </c>
      <c r="K500" s="78">
        <f t="shared" si="234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228"/>
        <v>46055</v>
      </c>
      <c r="E501" s="77">
        <f t="shared" si="229"/>
        <v>46039</v>
      </c>
      <c r="F501" s="77">
        <f t="shared" si="230"/>
        <v>46046</v>
      </c>
      <c r="G501" s="77">
        <f t="shared" si="231"/>
        <v>46052</v>
      </c>
      <c r="H501" s="77">
        <f t="shared" si="232"/>
        <v>46040</v>
      </c>
      <c r="I501" s="77">
        <f t="shared" si="233"/>
        <v>46047</v>
      </c>
      <c r="J501" s="77">
        <v>46062</v>
      </c>
      <c r="K501" s="78">
        <f t="shared" si="234"/>
        <v>30</v>
      </c>
      <c r="L501" s="25">
        <v>12.9</v>
      </c>
      <c r="M501" s="25">
        <v>11.52</v>
      </c>
      <c r="N501" s="25">
        <f t="shared" ref="N501" si="235"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228"/>
        <v>46055</v>
      </c>
      <c r="E502" s="77">
        <f t="shared" si="229"/>
        <v>46039</v>
      </c>
      <c r="F502" s="77">
        <f t="shared" si="230"/>
        <v>46046</v>
      </c>
      <c r="G502" s="77">
        <f t="shared" si="231"/>
        <v>46052</v>
      </c>
      <c r="H502" s="77">
        <f t="shared" si="232"/>
        <v>46040</v>
      </c>
      <c r="I502" s="77">
        <f t="shared" si="233"/>
        <v>46047</v>
      </c>
      <c r="J502" s="77">
        <v>46062</v>
      </c>
      <c r="K502" s="78">
        <f t="shared" si="234"/>
        <v>30</v>
      </c>
      <c r="L502" s="25">
        <v>11.73</v>
      </c>
      <c r="M502" s="25">
        <v>10.26</v>
      </c>
      <c r="N502" s="25">
        <f t="shared" ref="N502:N504" si="236"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237">A503+23</f>
        <v>46055</v>
      </c>
      <c r="E503" s="77">
        <f t="shared" ref="E503:E514" si="238">A503+7</f>
        <v>46039</v>
      </c>
      <c r="F503" s="77">
        <f t="shared" ref="F503:F514" si="239">A503+14</f>
        <v>46046</v>
      </c>
      <c r="G503" s="77">
        <f t="shared" ref="G503:G514" si="240">A503+20</f>
        <v>46052</v>
      </c>
      <c r="H503" s="77">
        <f t="shared" ref="H503:H514" si="241">A503+8</f>
        <v>46040</v>
      </c>
      <c r="I503" s="77">
        <f t="shared" ref="I503:I514" si="242">A503+15</f>
        <v>46047</v>
      </c>
      <c r="J503" s="77">
        <v>46062</v>
      </c>
      <c r="K503" s="78">
        <f t="shared" si="234"/>
        <v>30</v>
      </c>
      <c r="L503" s="25">
        <v>10.210000000000001</v>
      </c>
      <c r="M503" s="25">
        <v>8.58</v>
      </c>
      <c r="N503" s="25">
        <f t="shared" si="236"/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237"/>
        <v>46055</v>
      </c>
      <c r="E504" s="77">
        <f t="shared" si="238"/>
        <v>46039</v>
      </c>
      <c r="F504" s="77">
        <f t="shared" si="239"/>
        <v>46046</v>
      </c>
      <c r="G504" s="77">
        <f t="shared" si="240"/>
        <v>46052</v>
      </c>
      <c r="H504" s="77">
        <f t="shared" si="241"/>
        <v>46040</v>
      </c>
      <c r="I504" s="77">
        <f t="shared" si="242"/>
        <v>46047</v>
      </c>
      <c r="J504" s="77">
        <v>46062</v>
      </c>
      <c r="K504" s="78">
        <f t="shared" si="234"/>
        <v>30</v>
      </c>
      <c r="L504" s="25">
        <v>9.1</v>
      </c>
      <c r="M504" s="25">
        <v>7.21</v>
      </c>
      <c r="N504" s="25">
        <f t="shared" si="236"/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237"/>
        <v>46055</v>
      </c>
      <c r="E505" s="77">
        <f t="shared" si="238"/>
        <v>46039</v>
      </c>
      <c r="F505" s="77">
        <f t="shared" si="239"/>
        <v>46046</v>
      </c>
      <c r="G505" s="77">
        <f t="shared" si="240"/>
        <v>46052</v>
      </c>
      <c r="H505" s="77">
        <f t="shared" si="241"/>
        <v>46040</v>
      </c>
      <c r="I505" s="77">
        <f t="shared" si="242"/>
        <v>46047</v>
      </c>
      <c r="J505" s="77">
        <v>46061</v>
      </c>
      <c r="K505" s="78">
        <f t="shared" ref="K505:K508" si="243">J505-A505</f>
        <v>29</v>
      </c>
      <c r="L505" s="25">
        <v>6.93</v>
      </c>
      <c r="M505" s="25">
        <v>3.35</v>
      </c>
      <c r="N505" s="25">
        <f t="shared" ref="N505:N511" si="244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237"/>
        <v>46055</v>
      </c>
      <c r="E506" s="77">
        <f t="shared" si="238"/>
        <v>46039</v>
      </c>
      <c r="F506" s="77">
        <f t="shared" si="239"/>
        <v>46046</v>
      </c>
      <c r="G506" s="77">
        <f t="shared" si="240"/>
        <v>46052</v>
      </c>
      <c r="H506" s="77">
        <f t="shared" si="241"/>
        <v>46040</v>
      </c>
      <c r="I506" s="77">
        <f t="shared" si="242"/>
        <v>46047</v>
      </c>
      <c r="J506" s="77">
        <v>46061</v>
      </c>
      <c r="K506" s="78">
        <f t="shared" si="243"/>
        <v>29</v>
      </c>
      <c r="L506" s="25">
        <v>6.99</v>
      </c>
      <c r="M506" s="25">
        <v>3.64</v>
      </c>
      <c r="N506" s="25">
        <f t="shared" si="244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237"/>
        <v>46055</v>
      </c>
      <c r="E507" s="77">
        <f t="shared" si="238"/>
        <v>46039</v>
      </c>
      <c r="F507" s="77">
        <f t="shared" si="239"/>
        <v>46046</v>
      </c>
      <c r="G507" s="77">
        <f t="shared" si="240"/>
        <v>46052</v>
      </c>
      <c r="H507" s="77">
        <f t="shared" si="241"/>
        <v>46040</v>
      </c>
      <c r="I507" s="77">
        <f t="shared" si="242"/>
        <v>46047</v>
      </c>
      <c r="J507" s="77">
        <v>46061</v>
      </c>
      <c r="K507" s="78">
        <f t="shared" si="243"/>
        <v>29</v>
      </c>
      <c r="L507" s="25">
        <v>4.8099999999999996</v>
      </c>
      <c r="M507" s="25">
        <v>2.11</v>
      </c>
      <c r="N507" s="25">
        <f t="shared" si="244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237"/>
        <v>46056</v>
      </c>
      <c r="E508" s="77">
        <f t="shared" si="238"/>
        <v>46040</v>
      </c>
      <c r="F508" s="77">
        <f t="shared" si="239"/>
        <v>46047</v>
      </c>
      <c r="G508" s="77">
        <f t="shared" si="240"/>
        <v>46053</v>
      </c>
      <c r="H508" s="77">
        <f t="shared" si="241"/>
        <v>46041</v>
      </c>
      <c r="I508" s="77">
        <f t="shared" si="242"/>
        <v>46048</v>
      </c>
      <c r="J508" s="77">
        <v>46063</v>
      </c>
      <c r="K508" s="78">
        <f t="shared" si="243"/>
        <v>30</v>
      </c>
      <c r="L508" s="25">
        <v>10.19</v>
      </c>
      <c r="M508" s="25">
        <v>4.2300000000000004</v>
      </c>
      <c r="N508" s="25">
        <f t="shared" si="244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237"/>
        <v>46056</v>
      </c>
      <c r="E509" s="77">
        <f t="shared" si="238"/>
        <v>46040</v>
      </c>
      <c r="F509" s="77">
        <f t="shared" si="239"/>
        <v>46047</v>
      </c>
      <c r="G509" s="77">
        <f t="shared" si="240"/>
        <v>46053</v>
      </c>
      <c r="H509" s="77">
        <f t="shared" si="241"/>
        <v>46041</v>
      </c>
      <c r="I509" s="77">
        <f t="shared" si="242"/>
        <v>46048</v>
      </c>
      <c r="J509" s="77">
        <v>46063</v>
      </c>
      <c r="K509" s="78">
        <f t="shared" ref="K509:K511" si="245">J509-A509</f>
        <v>30</v>
      </c>
      <c r="L509" s="25">
        <v>10.17</v>
      </c>
      <c r="M509" s="25">
        <v>4.82</v>
      </c>
      <c r="N509" s="25">
        <f t="shared" si="244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237"/>
        <v>46056</v>
      </c>
      <c r="E510" s="77">
        <f t="shared" si="238"/>
        <v>46040</v>
      </c>
      <c r="F510" s="77">
        <f t="shared" si="239"/>
        <v>46047</v>
      </c>
      <c r="G510" s="77">
        <f t="shared" si="240"/>
        <v>46053</v>
      </c>
      <c r="H510" s="77">
        <f t="shared" si="241"/>
        <v>46041</v>
      </c>
      <c r="I510" s="77">
        <f t="shared" si="242"/>
        <v>46048</v>
      </c>
      <c r="J510" s="77">
        <v>46063</v>
      </c>
      <c r="K510" s="78">
        <f t="shared" si="245"/>
        <v>30</v>
      </c>
      <c r="L510" s="25">
        <v>9.36</v>
      </c>
      <c r="M510" s="25">
        <v>7.54</v>
      </c>
      <c r="N510" s="25">
        <f t="shared" si="244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237"/>
        <v>46056</v>
      </c>
      <c r="E511" s="77">
        <f t="shared" si="238"/>
        <v>46040</v>
      </c>
      <c r="F511" s="77">
        <f t="shared" si="239"/>
        <v>46047</v>
      </c>
      <c r="G511" s="77">
        <f t="shared" si="240"/>
        <v>46053</v>
      </c>
      <c r="H511" s="77">
        <f t="shared" si="241"/>
        <v>46041</v>
      </c>
      <c r="I511" s="77">
        <f t="shared" si="242"/>
        <v>46048</v>
      </c>
      <c r="J511" s="77">
        <v>46063</v>
      </c>
      <c r="K511" s="78">
        <f t="shared" si="245"/>
        <v>30</v>
      </c>
      <c r="L511" s="25">
        <v>9.02</v>
      </c>
      <c r="M511" s="25">
        <v>7.31</v>
      </c>
      <c r="N511" s="25">
        <f t="shared" si="244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237"/>
        <v>46056</v>
      </c>
      <c r="E512" s="77">
        <f t="shared" si="238"/>
        <v>46040</v>
      </c>
      <c r="F512" s="77">
        <f t="shared" si="239"/>
        <v>46047</v>
      </c>
      <c r="G512" s="77">
        <f t="shared" si="240"/>
        <v>46053</v>
      </c>
      <c r="H512" s="77">
        <f t="shared" si="241"/>
        <v>46041</v>
      </c>
      <c r="I512" s="77">
        <f t="shared" si="242"/>
        <v>46048</v>
      </c>
      <c r="J512" s="77">
        <v>46061</v>
      </c>
      <c r="K512" s="78">
        <f t="shared" ref="K512:K514" si="246">J512-A512</f>
        <v>28</v>
      </c>
      <c r="L512" s="25">
        <v>10.35</v>
      </c>
      <c r="M512" s="25">
        <v>8.6300000000000008</v>
      </c>
      <c r="N512" s="25">
        <f t="shared" ref="N512:N522" si="247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237"/>
        <v>46056</v>
      </c>
      <c r="E513" s="77">
        <f t="shared" si="238"/>
        <v>46040</v>
      </c>
      <c r="F513" s="77">
        <f t="shared" si="239"/>
        <v>46047</v>
      </c>
      <c r="G513" s="77">
        <f t="shared" si="240"/>
        <v>46053</v>
      </c>
      <c r="H513" s="77">
        <f t="shared" si="241"/>
        <v>46041</v>
      </c>
      <c r="I513" s="77">
        <f t="shared" si="242"/>
        <v>46048</v>
      </c>
      <c r="J513" s="77">
        <v>46061</v>
      </c>
      <c r="K513" s="78">
        <f t="shared" si="246"/>
        <v>28</v>
      </c>
      <c r="L513" s="25">
        <v>10.09</v>
      </c>
      <c r="M513" s="25">
        <v>8.4700000000000006</v>
      </c>
      <c r="N513" s="25">
        <f t="shared" si="247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237"/>
        <v>46056</v>
      </c>
      <c r="E514" s="77">
        <f t="shared" si="238"/>
        <v>46040</v>
      </c>
      <c r="F514" s="77">
        <f t="shared" si="239"/>
        <v>46047</v>
      </c>
      <c r="G514" s="77">
        <f t="shared" si="240"/>
        <v>46053</v>
      </c>
      <c r="H514" s="77">
        <f t="shared" si="241"/>
        <v>46041</v>
      </c>
      <c r="I514" s="77">
        <f t="shared" si="242"/>
        <v>46048</v>
      </c>
      <c r="J514" s="77">
        <v>46062</v>
      </c>
      <c r="K514" s="78">
        <f t="shared" si="246"/>
        <v>29</v>
      </c>
      <c r="L514" s="25">
        <v>11.84</v>
      </c>
      <c r="M514" s="25">
        <v>10.3</v>
      </c>
      <c r="N514" s="25">
        <f t="shared" si="247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248">A515+23</f>
        <v>46057</v>
      </c>
      <c r="E515" s="77">
        <f t="shared" ref="E515:E521" si="249">A515+7</f>
        <v>46041</v>
      </c>
      <c r="F515" s="77">
        <f t="shared" ref="F515:F521" si="250">A515+14</f>
        <v>46048</v>
      </c>
      <c r="G515" s="77">
        <f t="shared" ref="G515:G521" si="251">A515+20</f>
        <v>46054</v>
      </c>
      <c r="H515" s="77">
        <f t="shared" ref="H515:H521" si="252">A515+8</f>
        <v>46042</v>
      </c>
      <c r="I515" s="77">
        <f t="shared" ref="I515:I521" si="253">A515+15</f>
        <v>46049</v>
      </c>
      <c r="J515" s="77">
        <v>46064</v>
      </c>
      <c r="K515" s="78">
        <f t="shared" ref="K515" si="254">J515-A515</f>
        <v>30</v>
      </c>
      <c r="L515" s="25">
        <v>12.9</v>
      </c>
      <c r="M515" s="25">
        <v>12.01</v>
      </c>
      <c r="N515" s="25">
        <f t="shared" si="247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248"/>
        <v>46057</v>
      </c>
      <c r="E516" s="77">
        <f t="shared" si="249"/>
        <v>46041</v>
      </c>
      <c r="F516" s="77">
        <f t="shared" si="250"/>
        <v>46048</v>
      </c>
      <c r="G516" s="77">
        <f t="shared" si="251"/>
        <v>46054</v>
      </c>
      <c r="H516" s="77">
        <f t="shared" si="252"/>
        <v>46042</v>
      </c>
      <c r="I516" s="77">
        <f t="shared" si="253"/>
        <v>46049</v>
      </c>
      <c r="J516" s="77">
        <v>46064</v>
      </c>
      <c r="K516" s="78">
        <f t="shared" ref="K516:K523" si="255">J516-A516</f>
        <v>30</v>
      </c>
      <c r="L516" s="25">
        <v>12.06</v>
      </c>
      <c r="M516" s="25">
        <v>10.74</v>
      </c>
      <c r="N516" s="25">
        <f t="shared" si="247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248"/>
        <v>46057</v>
      </c>
      <c r="E517" s="77">
        <f t="shared" si="249"/>
        <v>46041</v>
      </c>
      <c r="F517" s="77">
        <f t="shared" si="250"/>
        <v>46048</v>
      </c>
      <c r="G517" s="77">
        <f t="shared" si="251"/>
        <v>46054</v>
      </c>
      <c r="H517" s="77">
        <f t="shared" si="252"/>
        <v>46042</v>
      </c>
      <c r="I517" s="77">
        <f t="shared" si="253"/>
        <v>46049</v>
      </c>
      <c r="J517" s="77">
        <v>46064</v>
      </c>
      <c r="K517" s="78">
        <f t="shared" si="255"/>
        <v>30</v>
      </c>
      <c r="L517" s="25">
        <v>12.71</v>
      </c>
      <c r="M517" s="25">
        <v>11.15</v>
      </c>
      <c r="N517" s="25">
        <f t="shared" si="247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248"/>
        <v>46057</v>
      </c>
      <c r="E518" s="77">
        <f t="shared" si="249"/>
        <v>46041</v>
      </c>
      <c r="F518" s="77">
        <f t="shared" si="250"/>
        <v>46048</v>
      </c>
      <c r="G518" s="77">
        <f t="shared" si="251"/>
        <v>46054</v>
      </c>
      <c r="H518" s="77">
        <f t="shared" si="252"/>
        <v>46042</v>
      </c>
      <c r="I518" s="77">
        <f t="shared" si="253"/>
        <v>46049</v>
      </c>
      <c r="J518" s="77">
        <v>46064</v>
      </c>
      <c r="K518" s="78">
        <f t="shared" si="255"/>
        <v>30</v>
      </c>
      <c r="L518" s="25">
        <v>13.38</v>
      </c>
      <c r="M518" s="25">
        <v>12.71</v>
      </c>
      <c r="N518" s="25">
        <f t="shared" si="247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248"/>
        <v>46057</v>
      </c>
      <c r="E519" s="77">
        <f t="shared" si="249"/>
        <v>46041</v>
      </c>
      <c r="F519" s="77">
        <f t="shared" si="250"/>
        <v>46048</v>
      </c>
      <c r="G519" s="77">
        <f t="shared" si="251"/>
        <v>46054</v>
      </c>
      <c r="H519" s="77">
        <f t="shared" si="252"/>
        <v>46042</v>
      </c>
      <c r="I519" s="77">
        <f t="shared" si="253"/>
        <v>46049</v>
      </c>
      <c r="J519" s="77">
        <v>46064</v>
      </c>
      <c r="K519" s="78">
        <f t="shared" si="255"/>
        <v>30</v>
      </c>
      <c r="L519" s="25">
        <v>11.96</v>
      </c>
      <c r="M519" s="25">
        <v>10.54</v>
      </c>
      <c r="N519" s="25">
        <f t="shared" si="247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248"/>
        <v>46057</v>
      </c>
      <c r="E520" s="77">
        <f t="shared" si="249"/>
        <v>46041</v>
      </c>
      <c r="F520" s="77">
        <f t="shared" si="250"/>
        <v>46048</v>
      </c>
      <c r="G520" s="77">
        <f t="shared" si="251"/>
        <v>46054</v>
      </c>
      <c r="H520" s="77">
        <f t="shared" si="252"/>
        <v>46042</v>
      </c>
      <c r="I520" s="77">
        <f t="shared" si="253"/>
        <v>46049</v>
      </c>
      <c r="J520" s="77">
        <v>46064</v>
      </c>
      <c r="K520" s="78">
        <f t="shared" si="255"/>
        <v>30</v>
      </c>
      <c r="L520" s="25">
        <v>11.73</v>
      </c>
      <c r="M520" s="25">
        <v>10.119999999999999</v>
      </c>
      <c r="N520" s="25">
        <f t="shared" si="247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248"/>
        <v>46057</v>
      </c>
      <c r="E521" s="77">
        <f t="shared" si="249"/>
        <v>46041</v>
      </c>
      <c r="F521" s="77">
        <f t="shared" si="250"/>
        <v>46048</v>
      </c>
      <c r="G521" s="77">
        <f t="shared" si="251"/>
        <v>46054</v>
      </c>
      <c r="H521" s="77">
        <f t="shared" si="252"/>
        <v>46042</v>
      </c>
      <c r="I521" s="77">
        <f t="shared" si="253"/>
        <v>46049</v>
      </c>
      <c r="J521" s="77">
        <v>46064</v>
      </c>
      <c r="K521" s="78">
        <f t="shared" si="255"/>
        <v>30</v>
      </c>
      <c r="L521" s="25">
        <v>13.45</v>
      </c>
      <c r="M521" s="25">
        <v>12.17</v>
      </c>
      <c r="N521" s="25">
        <f t="shared" si="247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56">A522+23</f>
        <v>46058</v>
      </c>
      <c r="E522" s="77">
        <f t="shared" ref="E522:E529" si="257">A522+7</f>
        <v>46042</v>
      </c>
      <c r="F522" s="77">
        <f t="shared" ref="F522:F529" si="258">A522+14</f>
        <v>46049</v>
      </c>
      <c r="G522" s="77">
        <f t="shared" ref="G522:G529" si="259">A522+20</f>
        <v>46055</v>
      </c>
      <c r="H522" s="77">
        <f t="shared" ref="H522:H529" si="260">A522+8</f>
        <v>46043</v>
      </c>
      <c r="I522" s="77">
        <f t="shared" ref="I522:I529" si="261">A522+15</f>
        <v>46050</v>
      </c>
      <c r="J522" s="77">
        <v>46064</v>
      </c>
      <c r="K522" s="78">
        <f t="shared" si="255"/>
        <v>29</v>
      </c>
      <c r="L522" s="25">
        <v>12.65</v>
      </c>
      <c r="M522" s="25">
        <v>11.38</v>
      </c>
      <c r="N522" s="25">
        <f t="shared" si="247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56"/>
        <v>46058</v>
      </c>
      <c r="E523" s="77">
        <f t="shared" si="257"/>
        <v>46042</v>
      </c>
      <c r="F523" s="77">
        <f t="shared" si="258"/>
        <v>46049</v>
      </c>
      <c r="G523" s="77">
        <f t="shared" si="259"/>
        <v>46055</v>
      </c>
      <c r="H523" s="77">
        <f t="shared" si="260"/>
        <v>46043</v>
      </c>
      <c r="I523" s="77">
        <f t="shared" si="261"/>
        <v>46050</v>
      </c>
      <c r="J523" s="77">
        <v>46065</v>
      </c>
      <c r="K523" s="78">
        <f t="shared" si="255"/>
        <v>30</v>
      </c>
      <c r="L523" s="84">
        <v>13.65</v>
      </c>
      <c r="M523" s="82">
        <v>12.36</v>
      </c>
      <c r="N523" s="25">
        <f t="shared" ref="N523:N529" si="262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56"/>
        <v>46058</v>
      </c>
      <c r="E524" s="77">
        <f t="shared" si="257"/>
        <v>46042</v>
      </c>
      <c r="F524" s="77">
        <f t="shared" si="258"/>
        <v>46049</v>
      </c>
      <c r="G524" s="77">
        <f t="shared" si="259"/>
        <v>46055</v>
      </c>
      <c r="H524" s="77">
        <f t="shared" si="260"/>
        <v>46043</v>
      </c>
      <c r="I524" s="77">
        <f t="shared" si="261"/>
        <v>46050</v>
      </c>
      <c r="J524" s="77">
        <v>46065</v>
      </c>
      <c r="K524" s="78">
        <f t="shared" ref="K524:K530" si="263">J524-A524</f>
        <v>30</v>
      </c>
      <c r="L524" s="84">
        <v>12.74</v>
      </c>
      <c r="M524" s="82">
        <v>11.58</v>
      </c>
      <c r="N524" s="25">
        <f t="shared" si="262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56"/>
        <v>46058</v>
      </c>
      <c r="E525" s="77">
        <f t="shared" si="257"/>
        <v>46042</v>
      </c>
      <c r="F525" s="77">
        <f t="shared" si="258"/>
        <v>46049</v>
      </c>
      <c r="G525" s="77">
        <f t="shared" si="259"/>
        <v>46055</v>
      </c>
      <c r="H525" s="77">
        <f t="shared" si="260"/>
        <v>46043</v>
      </c>
      <c r="I525" s="77">
        <f t="shared" si="261"/>
        <v>46050</v>
      </c>
      <c r="J525" s="77">
        <v>46065</v>
      </c>
      <c r="K525" s="78">
        <f t="shared" si="263"/>
        <v>30</v>
      </c>
      <c r="L525" s="84">
        <v>13.04</v>
      </c>
      <c r="M525" s="82">
        <v>11.82</v>
      </c>
      <c r="N525" s="25">
        <f t="shared" si="262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56"/>
        <v>46058</v>
      </c>
      <c r="E526" s="77">
        <f t="shared" si="257"/>
        <v>46042</v>
      </c>
      <c r="F526" s="77">
        <f t="shared" si="258"/>
        <v>46049</v>
      </c>
      <c r="G526" s="77">
        <f t="shared" si="259"/>
        <v>46055</v>
      </c>
      <c r="H526" s="77">
        <f t="shared" si="260"/>
        <v>46043</v>
      </c>
      <c r="I526" s="77">
        <f t="shared" si="261"/>
        <v>46050</v>
      </c>
      <c r="J526" s="77">
        <v>46065</v>
      </c>
      <c r="K526" s="78">
        <f t="shared" si="263"/>
        <v>30</v>
      </c>
      <c r="L526" s="84">
        <v>13.93</v>
      </c>
      <c r="M526" s="82">
        <v>13.1</v>
      </c>
      <c r="N526" s="25">
        <f t="shared" si="262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56"/>
        <v>46058</v>
      </c>
      <c r="E527" s="77">
        <f t="shared" si="257"/>
        <v>46042</v>
      </c>
      <c r="F527" s="77">
        <f t="shared" si="258"/>
        <v>46049</v>
      </c>
      <c r="G527" s="77">
        <f t="shared" si="259"/>
        <v>46055</v>
      </c>
      <c r="H527" s="77">
        <f t="shared" si="260"/>
        <v>46043</v>
      </c>
      <c r="I527" s="77">
        <f t="shared" si="261"/>
        <v>46050</v>
      </c>
      <c r="J527" s="77">
        <v>46065</v>
      </c>
      <c r="K527" s="78">
        <f t="shared" si="263"/>
        <v>30</v>
      </c>
      <c r="L527" s="84">
        <v>12.87</v>
      </c>
      <c r="M527" s="82">
        <v>12.18</v>
      </c>
      <c r="N527" s="25">
        <f t="shared" si="262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56"/>
        <v>46058</v>
      </c>
      <c r="E528" s="77">
        <f t="shared" si="257"/>
        <v>46042</v>
      </c>
      <c r="F528" s="77">
        <f t="shared" si="258"/>
        <v>46049</v>
      </c>
      <c r="G528" s="77">
        <f t="shared" si="259"/>
        <v>46055</v>
      </c>
      <c r="H528" s="77">
        <f t="shared" si="260"/>
        <v>46043</v>
      </c>
      <c r="I528" s="77">
        <f t="shared" si="261"/>
        <v>46050</v>
      </c>
      <c r="J528" s="77">
        <v>46065</v>
      </c>
      <c r="K528" s="78">
        <f t="shared" si="263"/>
        <v>30</v>
      </c>
      <c r="L528" s="84">
        <v>13.61</v>
      </c>
      <c r="M528" s="82">
        <v>12.67</v>
      </c>
      <c r="N528" s="25">
        <f t="shared" si="262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56"/>
        <v>46058</v>
      </c>
      <c r="E529" s="77">
        <f t="shared" si="257"/>
        <v>46042</v>
      </c>
      <c r="F529" s="77">
        <f t="shared" si="258"/>
        <v>46049</v>
      </c>
      <c r="G529" s="77">
        <f t="shared" si="259"/>
        <v>46055</v>
      </c>
      <c r="H529" s="77">
        <f t="shared" si="260"/>
        <v>46043</v>
      </c>
      <c r="I529" s="77">
        <f t="shared" si="261"/>
        <v>46050</v>
      </c>
      <c r="J529" s="77">
        <v>46065</v>
      </c>
      <c r="K529" s="78">
        <f t="shared" si="263"/>
        <v>30</v>
      </c>
      <c r="L529" s="84">
        <v>14.18</v>
      </c>
      <c r="M529" s="82">
        <v>13.25</v>
      </c>
      <c r="N529" s="25">
        <f t="shared" si="262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 t="shared" ref="D530" si="264">A530+23</f>
        <v>46059</v>
      </c>
      <c r="E530" s="77">
        <f t="shared" ref="E530" si="265">A530+7</f>
        <v>46043</v>
      </c>
      <c r="F530" s="77">
        <f t="shared" ref="F530" si="266">A530+14</f>
        <v>46050</v>
      </c>
      <c r="G530" s="77">
        <f t="shared" ref="G530" si="267">A530+20</f>
        <v>46056</v>
      </c>
      <c r="H530" s="77">
        <f t="shared" ref="H530" si="268">A530+8</f>
        <v>46044</v>
      </c>
      <c r="I530" s="77">
        <f t="shared" ref="I530" si="269">A530+15</f>
        <v>46051</v>
      </c>
      <c r="J530" s="77">
        <v>46066</v>
      </c>
      <c r="K530" s="78">
        <f t="shared" si="263"/>
        <v>30</v>
      </c>
      <c r="L530" s="84">
        <v>12.41</v>
      </c>
      <c r="M530" s="82">
        <v>11.73</v>
      </c>
      <c r="N530" s="25">
        <f t="shared" ref="N530:N538" si="270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71">A531+23</f>
        <v>46059</v>
      </c>
      <c r="E531" s="77">
        <f t="shared" ref="E531:E537" si="272">A531+7</f>
        <v>46043</v>
      </c>
      <c r="F531" s="77">
        <f t="shared" ref="F531:F537" si="273">A531+14</f>
        <v>46050</v>
      </c>
      <c r="G531" s="77">
        <f t="shared" ref="G531:G537" si="274">A531+20</f>
        <v>46056</v>
      </c>
      <c r="H531" s="77">
        <f t="shared" ref="H531:H537" si="275">A531+8</f>
        <v>46044</v>
      </c>
      <c r="I531" s="77">
        <f t="shared" ref="I531:I537" si="276">A531+15</f>
        <v>46051</v>
      </c>
      <c r="J531" s="77">
        <v>46066</v>
      </c>
      <c r="K531" s="78">
        <f t="shared" ref="K531:K539" si="277">J531-A531</f>
        <v>30</v>
      </c>
      <c r="L531" s="84">
        <v>11.75</v>
      </c>
      <c r="M531" s="82">
        <v>10.58</v>
      </c>
      <c r="N531" s="25">
        <f t="shared" si="270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71"/>
        <v>46059</v>
      </c>
      <c r="E532" s="77">
        <f t="shared" si="272"/>
        <v>46043</v>
      </c>
      <c r="F532" s="77">
        <f t="shared" si="273"/>
        <v>46050</v>
      </c>
      <c r="G532" s="77">
        <f t="shared" si="274"/>
        <v>46056</v>
      </c>
      <c r="H532" s="77">
        <f t="shared" si="275"/>
        <v>46044</v>
      </c>
      <c r="I532" s="77">
        <f t="shared" si="276"/>
        <v>46051</v>
      </c>
      <c r="J532" s="77">
        <v>46066</v>
      </c>
      <c r="K532" s="78">
        <f t="shared" si="277"/>
        <v>30</v>
      </c>
      <c r="L532" s="84">
        <v>13.84</v>
      </c>
      <c r="M532" s="82">
        <v>12.24</v>
      </c>
      <c r="N532" s="25">
        <f t="shared" si="270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71"/>
        <v>46059</v>
      </c>
      <c r="E533" s="77">
        <f t="shared" si="272"/>
        <v>46043</v>
      </c>
      <c r="F533" s="77">
        <f t="shared" si="273"/>
        <v>46050</v>
      </c>
      <c r="G533" s="77">
        <f t="shared" si="274"/>
        <v>46056</v>
      </c>
      <c r="H533" s="77">
        <f t="shared" si="275"/>
        <v>46044</v>
      </c>
      <c r="I533" s="77">
        <f t="shared" si="276"/>
        <v>46051</v>
      </c>
      <c r="J533" s="77">
        <v>46066</v>
      </c>
      <c r="K533" s="78">
        <f t="shared" si="277"/>
        <v>30</v>
      </c>
      <c r="L533" s="84">
        <v>13.97</v>
      </c>
      <c r="M533" s="82">
        <v>12.52</v>
      </c>
      <c r="N533" s="25">
        <f t="shared" si="270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71"/>
        <v>46059</v>
      </c>
      <c r="E534" s="77">
        <f t="shared" si="272"/>
        <v>46043</v>
      </c>
      <c r="F534" s="77">
        <f t="shared" si="273"/>
        <v>46050</v>
      </c>
      <c r="G534" s="77">
        <f t="shared" si="274"/>
        <v>46056</v>
      </c>
      <c r="H534" s="77">
        <f t="shared" si="275"/>
        <v>46044</v>
      </c>
      <c r="I534" s="77">
        <f t="shared" si="276"/>
        <v>46051</v>
      </c>
      <c r="J534" s="77">
        <v>46066</v>
      </c>
      <c r="K534" s="78">
        <f t="shared" si="277"/>
        <v>30</v>
      </c>
      <c r="L534" s="84">
        <v>12.33</v>
      </c>
      <c r="M534" s="82">
        <v>11.47</v>
      </c>
      <c r="N534" s="25">
        <f t="shared" si="270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71"/>
        <v>46059</v>
      </c>
      <c r="E535" s="77">
        <f t="shared" si="272"/>
        <v>46043</v>
      </c>
      <c r="F535" s="77">
        <f t="shared" si="273"/>
        <v>46050</v>
      </c>
      <c r="G535" s="77">
        <f t="shared" si="274"/>
        <v>46056</v>
      </c>
      <c r="H535" s="77">
        <f t="shared" si="275"/>
        <v>46044</v>
      </c>
      <c r="I535" s="77">
        <f t="shared" si="276"/>
        <v>46051</v>
      </c>
      <c r="J535" s="77">
        <v>46066</v>
      </c>
      <c r="K535" s="78">
        <f t="shared" si="277"/>
        <v>30</v>
      </c>
      <c r="L535" s="84">
        <v>10.11</v>
      </c>
      <c r="M535" s="82">
        <v>8.6300000000000008</v>
      </c>
      <c r="N535" s="25">
        <f t="shared" si="270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71"/>
        <v>46059</v>
      </c>
      <c r="E536" s="77">
        <f t="shared" si="272"/>
        <v>46043</v>
      </c>
      <c r="F536" s="77">
        <f t="shared" si="273"/>
        <v>46050</v>
      </c>
      <c r="G536" s="77">
        <f t="shared" si="274"/>
        <v>46056</v>
      </c>
      <c r="H536" s="77">
        <f t="shared" si="275"/>
        <v>46044</v>
      </c>
      <c r="I536" s="77">
        <f t="shared" si="276"/>
        <v>46051</v>
      </c>
      <c r="J536" s="77">
        <v>46066</v>
      </c>
      <c r="K536" s="78">
        <f t="shared" si="277"/>
        <v>30</v>
      </c>
      <c r="L536" s="84">
        <v>10.72</v>
      </c>
      <c r="M536" s="82">
        <v>9.35</v>
      </c>
      <c r="N536" s="25">
        <f t="shared" si="270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71"/>
        <v>46060</v>
      </c>
      <c r="E537" s="77">
        <f t="shared" si="272"/>
        <v>46044</v>
      </c>
      <c r="F537" s="77">
        <f t="shared" si="273"/>
        <v>46051</v>
      </c>
      <c r="G537" s="77">
        <f t="shared" si="274"/>
        <v>46057</v>
      </c>
      <c r="H537" s="77">
        <f t="shared" si="275"/>
        <v>46045</v>
      </c>
      <c r="I537" s="77">
        <f t="shared" si="276"/>
        <v>46052</v>
      </c>
      <c r="J537" s="77">
        <v>46066</v>
      </c>
      <c r="K537" s="78">
        <f t="shared" si="277"/>
        <v>29</v>
      </c>
      <c r="L537" s="84">
        <v>10.66</v>
      </c>
      <c r="M537" s="82">
        <v>9.2100000000000009</v>
      </c>
      <c r="N537" s="25">
        <f t="shared" si="270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78">A538+23</f>
        <v>46060</v>
      </c>
      <c r="E538" s="77">
        <f t="shared" ref="E538:E545" si="279">A538+7</f>
        <v>46044</v>
      </c>
      <c r="F538" s="77">
        <f t="shared" ref="F538:F545" si="280">A538+14</f>
        <v>46051</v>
      </c>
      <c r="G538" s="77">
        <f t="shared" ref="G538:G545" si="281">A538+20</f>
        <v>46057</v>
      </c>
      <c r="H538" s="77">
        <f t="shared" ref="H538:H545" si="282">A538+8</f>
        <v>46045</v>
      </c>
      <c r="I538" s="77">
        <f t="shared" ref="I538:I545" si="283">A538+15</f>
        <v>46052</v>
      </c>
      <c r="J538" s="77">
        <v>46066</v>
      </c>
      <c r="K538" s="78">
        <f t="shared" si="277"/>
        <v>29</v>
      </c>
      <c r="L538" s="84">
        <v>13.19</v>
      </c>
      <c r="M538" s="82">
        <v>11.68</v>
      </c>
      <c r="N538" s="25">
        <f t="shared" si="270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78"/>
        <v>46060</v>
      </c>
      <c r="E539" s="77">
        <f t="shared" si="279"/>
        <v>46044</v>
      </c>
      <c r="F539" s="77">
        <f t="shared" si="280"/>
        <v>46051</v>
      </c>
      <c r="G539" s="77">
        <f t="shared" si="281"/>
        <v>46057</v>
      </c>
      <c r="H539" s="77">
        <f t="shared" si="282"/>
        <v>46045</v>
      </c>
      <c r="I539" s="77">
        <f t="shared" si="283"/>
        <v>46052</v>
      </c>
      <c r="J539" s="77">
        <v>46067</v>
      </c>
      <c r="K539" s="78">
        <f t="shared" si="277"/>
        <v>30</v>
      </c>
      <c r="L539" s="84">
        <v>10.18</v>
      </c>
      <c r="M539" s="82">
        <v>8.24</v>
      </c>
      <c r="N539" s="25">
        <f t="shared" ref="N539:N549" si="284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78"/>
        <v>46060</v>
      </c>
      <c r="E540" s="77">
        <f t="shared" si="279"/>
        <v>46044</v>
      </c>
      <c r="F540" s="77">
        <f t="shared" si="280"/>
        <v>46051</v>
      </c>
      <c r="G540" s="77">
        <f t="shared" si="281"/>
        <v>46057</v>
      </c>
      <c r="H540" s="77">
        <f t="shared" si="282"/>
        <v>46045</v>
      </c>
      <c r="I540" s="77">
        <f t="shared" si="283"/>
        <v>46052</v>
      </c>
      <c r="J540" s="77">
        <v>46067</v>
      </c>
      <c r="K540" s="78">
        <f t="shared" ref="K540:K550" si="285">J540-A540</f>
        <v>30</v>
      </c>
      <c r="L540" s="84">
        <v>10.36</v>
      </c>
      <c r="M540" s="82">
        <v>8.73</v>
      </c>
      <c r="N540" s="25">
        <f t="shared" si="284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78"/>
        <v>46060</v>
      </c>
      <c r="E541" s="77">
        <f t="shared" si="279"/>
        <v>46044</v>
      </c>
      <c r="F541" s="77">
        <f t="shared" si="280"/>
        <v>46051</v>
      </c>
      <c r="G541" s="77">
        <f t="shared" si="281"/>
        <v>46057</v>
      </c>
      <c r="H541" s="77">
        <f t="shared" si="282"/>
        <v>46045</v>
      </c>
      <c r="I541" s="77">
        <f t="shared" si="283"/>
        <v>46052</v>
      </c>
      <c r="J541" s="77">
        <v>46067</v>
      </c>
      <c r="K541" s="78">
        <f t="shared" si="285"/>
        <v>30</v>
      </c>
      <c r="L541" s="84">
        <v>11.83</v>
      </c>
      <c r="M541" s="82">
        <v>10.29</v>
      </c>
      <c r="N541" s="25">
        <f t="shared" si="284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78"/>
        <v>46060</v>
      </c>
      <c r="E542" s="77">
        <f t="shared" si="279"/>
        <v>46044</v>
      </c>
      <c r="F542" s="77">
        <f t="shared" si="280"/>
        <v>46051</v>
      </c>
      <c r="G542" s="77">
        <f t="shared" si="281"/>
        <v>46057</v>
      </c>
      <c r="H542" s="77">
        <f t="shared" si="282"/>
        <v>46045</v>
      </c>
      <c r="I542" s="77">
        <f t="shared" si="283"/>
        <v>46052</v>
      </c>
      <c r="J542" s="77">
        <v>46067</v>
      </c>
      <c r="K542" s="78">
        <f t="shared" si="285"/>
        <v>30</v>
      </c>
      <c r="L542" s="84">
        <v>11.57</v>
      </c>
      <c r="M542" s="82">
        <v>10.119999999999999</v>
      </c>
      <c r="N542" s="25">
        <f t="shared" si="284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78"/>
        <v>46060</v>
      </c>
      <c r="E543" s="77">
        <f t="shared" si="279"/>
        <v>46044</v>
      </c>
      <c r="F543" s="77">
        <f t="shared" si="280"/>
        <v>46051</v>
      </c>
      <c r="G543" s="77">
        <f t="shared" si="281"/>
        <v>46057</v>
      </c>
      <c r="H543" s="77">
        <f t="shared" si="282"/>
        <v>46045</v>
      </c>
      <c r="I543" s="77">
        <f t="shared" si="283"/>
        <v>46052</v>
      </c>
      <c r="J543" s="77">
        <v>46067</v>
      </c>
      <c r="K543" s="78">
        <f t="shared" si="285"/>
        <v>30</v>
      </c>
      <c r="L543" s="84">
        <v>10.68</v>
      </c>
      <c r="M543" s="82">
        <v>9.33</v>
      </c>
      <c r="N543" s="25">
        <f t="shared" si="284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78"/>
        <v>46061</v>
      </c>
      <c r="E544" s="77">
        <f t="shared" si="279"/>
        <v>46045</v>
      </c>
      <c r="F544" s="77">
        <f t="shared" si="280"/>
        <v>46052</v>
      </c>
      <c r="G544" s="77">
        <f t="shared" si="281"/>
        <v>46058</v>
      </c>
      <c r="H544" s="77">
        <f t="shared" si="282"/>
        <v>46046</v>
      </c>
      <c r="I544" s="77">
        <f t="shared" si="283"/>
        <v>46053</v>
      </c>
      <c r="J544" s="77">
        <v>46067</v>
      </c>
      <c r="K544" s="78">
        <f t="shared" si="285"/>
        <v>29</v>
      </c>
      <c r="L544" s="84">
        <v>12.02</v>
      </c>
      <c r="M544" s="82">
        <v>10.73</v>
      </c>
      <c r="N544" s="25">
        <f t="shared" si="284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78"/>
        <v>46061</v>
      </c>
      <c r="E545" s="77">
        <f t="shared" si="279"/>
        <v>46045</v>
      </c>
      <c r="F545" s="77">
        <f t="shared" si="280"/>
        <v>46052</v>
      </c>
      <c r="G545" s="77">
        <f t="shared" si="281"/>
        <v>46058</v>
      </c>
      <c r="H545" s="77">
        <f t="shared" si="282"/>
        <v>46046</v>
      </c>
      <c r="I545" s="77">
        <f t="shared" si="283"/>
        <v>46053</v>
      </c>
      <c r="J545" s="77">
        <v>46067</v>
      </c>
      <c r="K545" s="78">
        <f t="shared" si="285"/>
        <v>29</v>
      </c>
      <c r="L545" s="84">
        <v>12.43</v>
      </c>
      <c r="M545" s="82">
        <v>11.15</v>
      </c>
      <c r="N545" s="25">
        <f t="shared" si="284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86">A546+23</f>
        <v>46061</v>
      </c>
      <c r="E546" s="77">
        <f t="shared" ref="E546:E553" si="287">A546+7</f>
        <v>46045</v>
      </c>
      <c r="F546" s="77">
        <f t="shared" ref="F546:F553" si="288">A546+14</f>
        <v>46052</v>
      </c>
      <c r="G546" s="77">
        <f t="shared" ref="G546:G553" si="289">A546+20</f>
        <v>46058</v>
      </c>
      <c r="H546" s="77">
        <f t="shared" ref="H546:H553" si="290">A546+8</f>
        <v>46046</v>
      </c>
      <c r="I546" s="77">
        <f t="shared" ref="I546:I553" si="291">A546+15</f>
        <v>46053</v>
      </c>
      <c r="J546" s="77">
        <v>46067</v>
      </c>
      <c r="K546" s="78">
        <f t="shared" si="285"/>
        <v>29</v>
      </c>
      <c r="L546" s="84">
        <v>12.91</v>
      </c>
      <c r="M546" s="82">
        <v>11.51</v>
      </c>
      <c r="N546" s="25">
        <f t="shared" si="284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86"/>
        <v>46061</v>
      </c>
      <c r="E547" s="77">
        <f t="shared" si="287"/>
        <v>46045</v>
      </c>
      <c r="F547" s="77">
        <f t="shared" si="288"/>
        <v>46052</v>
      </c>
      <c r="G547" s="77">
        <f t="shared" si="289"/>
        <v>46058</v>
      </c>
      <c r="H547" s="77">
        <f t="shared" si="290"/>
        <v>46046</v>
      </c>
      <c r="I547" s="77">
        <f t="shared" si="291"/>
        <v>46053</v>
      </c>
      <c r="J547" s="77">
        <v>46067</v>
      </c>
      <c r="K547" s="78">
        <f t="shared" si="285"/>
        <v>29</v>
      </c>
      <c r="L547" s="84">
        <v>11.85</v>
      </c>
      <c r="M547" s="82">
        <v>10.82</v>
      </c>
      <c r="N547" s="25">
        <f t="shared" si="284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86"/>
        <v>46061</v>
      </c>
      <c r="E548" s="77">
        <f t="shared" si="287"/>
        <v>46045</v>
      </c>
      <c r="F548" s="77">
        <f t="shared" si="288"/>
        <v>46052</v>
      </c>
      <c r="G548" s="77">
        <f t="shared" si="289"/>
        <v>46058</v>
      </c>
      <c r="H548" s="77">
        <f t="shared" si="290"/>
        <v>46046</v>
      </c>
      <c r="I548" s="77">
        <f t="shared" si="291"/>
        <v>46053</v>
      </c>
      <c r="J548" s="77">
        <v>46067</v>
      </c>
      <c r="K548" s="78">
        <f t="shared" si="285"/>
        <v>29</v>
      </c>
      <c r="L548" s="84">
        <v>11.57</v>
      </c>
      <c r="M548" s="82">
        <v>10.34</v>
      </c>
      <c r="N548" s="25">
        <f t="shared" si="284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86"/>
        <v>46061</v>
      </c>
      <c r="E549" s="77">
        <f t="shared" si="287"/>
        <v>46045</v>
      </c>
      <c r="F549" s="77">
        <f t="shared" si="288"/>
        <v>46052</v>
      </c>
      <c r="G549" s="77">
        <f t="shared" si="289"/>
        <v>46058</v>
      </c>
      <c r="H549" s="77">
        <f t="shared" si="290"/>
        <v>46046</v>
      </c>
      <c r="I549" s="77">
        <f t="shared" si="291"/>
        <v>46053</v>
      </c>
      <c r="J549" s="77">
        <v>46067</v>
      </c>
      <c r="K549" s="78">
        <f t="shared" si="285"/>
        <v>29</v>
      </c>
      <c r="L549" s="84">
        <v>12.49</v>
      </c>
      <c r="M549" s="82">
        <v>11.22</v>
      </c>
      <c r="N549" s="25">
        <f t="shared" si="284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86"/>
        <v>46061</v>
      </c>
      <c r="E550" s="77">
        <f t="shared" si="287"/>
        <v>46045</v>
      </c>
      <c r="F550" s="77">
        <f t="shared" si="288"/>
        <v>46052</v>
      </c>
      <c r="G550" s="77">
        <f t="shared" si="289"/>
        <v>46058</v>
      </c>
      <c r="H550" s="77">
        <f t="shared" si="290"/>
        <v>46046</v>
      </c>
      <c r="I550" s="77">
        <f t="shared" si="291"/>
        <v>46053</v>
      </c>
      <c r="J550" s="77">
        <v>46068</v>
      </c>
      <c r="K550" s="78">
        <f t="shared" si="285"/>
        <v>30</v>
      </c>
      <c r="L550" s="84">
        <v>15.87</v>
      </c>
      <c r="M550" s="82">
        <v>14.43</v>
      </c>
      <c r="N550" s="25">
        <f t="shared" ref="N550:N557" si="292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86"/>
        <v>46062</v>
      </c>
      <c r="E551" s="77">
        <f t="shared" si="287"/>
        <v>46046</v>
      </c>
      <c r="F551" s="77">
        <f t="shared" si="288"/>
        <v>46053</v>
      </c>
      <c r="G551" s="77">
        <f t="shared" si="289"/>
        <v>46059</v>
      </c>
      <c r="H551" s="77">
        <f t="shared" si="290"/>
        <v>46047</v>
      </c>
      <c r="I551" s="77">
        <f t="shared" si="291"/>
        <v>46054</v>
      </c>
      <c r="J551" s="77">
        <v>46068</v>
      </c>
      <c r="K551" s="78">
        <f t="shared" ref="K551:K558" si="293">J551-A551</f>
        <v>29</v>
      </c>
      <c r="L551" s="84">
        <v>15.49</v>
      </c>
      <c r="M551" s="82">
        <v>14.92</v>
      </c>
      <c r="N551" s="25">
        <f t="shared" si="292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86"/>
        <v>46062</v>
      </c>
      <c r="E552" s="77">
        <f t="shared" si="287"/>
        <v>46046</v>
      </c>
      <c r="F552" s="77">
        <f t="shared" si="288"/>
        <v>46053</v>
      </c>
      <c r="G552" s="77">
        <f t="shared" si="289"/>
        <v>46059</v>
      </c>
      <c r="H552" s="77">
        <f t="shared" si="290"/>
        <v>46047</v>
      </c>
      <c r="I552" s="77">
        <f t="shared" si="291"/>
        <v>46054</v>
      </c>
      <c r="J552" s="77">
        <v>46068</v>
      </c>
      <c r="K552" s="78">
        <f t="shared" si="293"/>
        <v>29</v>
      </c>
      <c r="L552" s="84">
        <v>16.36</v>
      </c>
      <c r="M552" s="82">
        <v>15.23</v>
      </c>
      <c r="N552" s="25">
        <f t="shared" si="292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86"/>
        <v>46062</v>
      </c>
      <c r="E553" s="77">
        <f t="shared" si="287"/>
        <v>46046</v>
      </c>
      <c r="F553" s="77">
        <f t="shared" si="288"/>
        <v>46053</v>
      </c>
      <c r="G553" s="77">
        <f t="shared" si="289"/>
        <v>46059</v>
      </c>
      <c r="H553" s="77">
        <f t="shared" si="290"/>
        <v>46047</v>
      </c>
      <c r="I553" s="77">
        <f t="shared" si="291"/>
        <v>46054</v>
      </c>
      <c r="J553" s="77">
        <v>46068</v>
      </c>
      <c r="K553" s="78">
        <f t="shared" si="293"/>
        <v>29</v>
      </c>
      <c r="L553" s="84">
        <v>15.31</v>
      </c>
      <c r="M553" s="82">
        <v>14.73</v>
      </c>
      <c r="N553" s="25">
        <f t="shared" si="292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 t="shared" ref="D554:D558" si="294">A554+23</f>
        <v>46062</v>
      </c>
      <c r="E554" s="77">
        <f t="shared" ref="E554:E558" si="295">A554+7</f>
        <v>46046</v>
      </c>
      <c r="F554" s="77">
        <f t="shared" ref="F554:F558" si="296">A554+14</f>
        <v>46053</v>
      </c>
      <c r="G554" s="77">
        <f t="shared" ref="G554:G558" si="297">A554+20</f>
        <v>46059</v>
      </c>
      <c r="H554" s="77">
        <f t="shared" ref="H554:H558" si="298">A554+8</f>
        <v>46047</v>
      </c>
      <c r="I554" s="77">
        <f t="shared" ref="I554:I558" si="299">A554+15</f>
        <v>46054</v>
      </c>
      <c r="J554" s="77">
        <v>46068</v>
      </c>
      <c r="K554" s="78">
        <f t="shared" si="293"/>
        <v>29</v>
      </c>
      <c r="L554" s="84">
        <v>15.1</v>
      </c>
      <c r="M554" s="82">
        <v>14.1</v>
      </c>
      <c r="N554" s="25">
        <f t="shared" si="292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 t="shared" si="294"/>
        <v>46062</v>
      </c>
      <c r="E555" s="77">
        <f t="shared" si="295"/>
        <v>46046</v>
      </c>
      <c r="F555" s="77">
        <f t="shared" si="296"/>
        <v>46053</v>
      </c>
      <c r="G555" s="77">
        <f t="shared" si="297"/>
        <v>46059</v>
      </c>
      <c r="H555" s="77">
        <f t="shared" si="298"/>
        <v>46047</v>
      </c>
      <c r="I555" s="77">
        <f t="shared" si="299"/>
        <v>46054</v>
      </c>
      <c r="J555" s="77">
        <v>46068</v>
      </c>
      <c r="K555" s="78">
        <f t="shared" si="293"/>
        <v>29</v>
      </c>
      <c r="L555" s="84">
        <v>16.87</v>
      </c>
      <c r="M555" s="82">
        <v>15.74</v>
      </c>
      <c r="N555" s="25">
        <f t="shared" si="292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 t="shared" si="294"/>
        <v>46062</v>
      </c>
      <c r="E556" s="77">
        <f t="shared" si="295"/>
        <v>46046</v>
      </c>
      <c r="F556" s="77">
        <f t="shared" si="296"/>
        <v>46053</v>
      </c>
      <c r="G556" s="77">
        <f t="shared" si="297"/>
        <v>46059</v>
      </c>
      <c r="H556" s="77">
        <f t="shared" si="298"/>
        <v>46047</v>
      </c>
      <c r="I556" s="77">
        <f t="shared" si="299"/>
        <v>46054</v>
      </c>
      <c r="J556" s="77">
        <v>46068</v>
      </c>
      <c r="K556" s="78">
        <f t="shared" si="293"/>
        <v>29</v>
      </c>
      <c r="L556" s="84">
        <v>15.35</v>
      </c>
      <c r="M556" s="82">
        <v>14.81</v>
      </c>
      <c r="N556" s="25">
        <f t="shared" si="292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 t="shared" si="294"/>
        <v>46062</v>
      </c>
      <c r="E557" s="77">
        <f t="shared" si="295"/>
        <v>46046</v>
      </c>
      <c r="F557" s="77">
        <f t="shared" si="296"/>
        <v>46053</v>
      </c>
      <c r="G557" s="77">
        <f t="shared" si="297"/>
        <v>46059</v>
      </c>
      <c r="H557" s="77">
        <f t="shared" si="298"/>
        <v>46047</v>
      </c>
      <c r="I557" s="77">
        <f t="shared" si="299"/>
        <v>46054</v>
      </c>
      <c r="J557" s="77">
        <v>46068</v>
      </c>
      <c r="K557" s="78">
        <f t="shared" si="293"/>
        <v>29</v>
      </c>
      <c r="L557" s="84">
        <v>16.98</v>
      </c>
      <c r="M557" s="82">
        <v>15.93</v>
      </c>
      <c r="N557" s="25">
        <f t="shared" si="292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 t="shared" si="294"/>
        <v>46063</v>
      </c>
      <c r="E558" s="77">
        <f t="shared" si="295"/>
        <v>46047</v>
      </c>
      <c r="F558" s="77">
        <f t="shared" si="296"/>
        <v>46054</v>
      </c>
      <c r="G558" s="77">
        <f t="shared" si="297"/>
        <v>46060</v>
      </c>
      <c r="H558" s="77">
        <f t="shared" si="298"/>
        <v>46048</v>
      </c>
      <c r="I558" s="77">
        <f t="shared" si="299"/>
        <v>46055</v>
      </c>
      <c r="J558" s="77">
        <v>46069</v>
      </c>
      <c r="K558" s="78">
        <f t="shared" si="293"/>
        <v>29</v>
      </c>
      <c r="L558" s="84">
        <v>11.84</v>
      </c>
      <c r="M558" s="82">
        <v>10.73</v>
      </c>
      <c r="N558" s="25">
        <f t="shared" ref="N558:N571" si="300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301">A559+23</f>
        <v>46063</v>
      </c>
      <c r="E559" s="77">
        <f t="shared" ref="E559:E566" si="302">A559+7</f>
        <v>46047</v>
      </c>
      <c r="F559" s="77">
        <f t="shared" ref="F559:F566" si="303">A559+14</f>
        <v>46054</v>
      </c>
      <c r="G559" s="77">
        <f t="shared" ref="G559:G566" si="304">A559+20</f>
        <v>46060</v>
      </c>
      <c r="H559" s="77">
        <f t="shared" ref="H559:H566" si="305">A559+8</f>
        <v>46048</v>
      </c>
      <c r="I559" s="77">
        <f t="shared" ref="I559:I566" si="306">A559+15</f>
        <v>46055</v>
      </c>
      <c r="J559" s="77">
        <v>46069</v>
      </c>
      <c r="K559" s="78">
        <f t="shared" ref="K559:K616" si="307">J559-A559</f>
        <v>29</v>
      </c>
      <c r="L559" s="84">
        <v>12.51</v>
      </c>
      <c r="M559" s="82">
        <v>11.28</v>
      </c>
      <c r="N559" s="25">
        <f t="shared" si="300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301"/>
        <v>46063</v>
      </c>
      <c r="E560" s="77">
        <f t="shared" si="302"/>
        <v>46047</v>
      </c>
      <c r="F560" s="77">
        <f t="shared" si="303"/>
        <v>46054</v>
      </c>
      <c r="G560" s="77">
        <f t="shared" si="304"/>
        <v>46060</v>
      </c>
      <c r="H560" s="77">
        <f t="shared" si="305"/>
        <v>46048</v>
      </c>
      <c r="I560" s="77">
        <f t="shared" si="306"/>
        <v>46055</v>
      </c>
      <c r="J560" s="77">
        <v>46069</v>
      </c>
      <c r="K560" s="78">
        <f t="shared" si="307"/>
        <v>29</v>
      </c>
      <c r="L560" s="84">
        <v>12.73</v>
      </c>
      <c r="M560" s="82">
        <v>11.54</v>
      </c>
      <c r="N560" s="25">
        <f t="shared" si="300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301"/>
        <v>46063</v>
      </c>
      <c r="E561" s="77">
        <f t="shared" si="302"/>
        <v>46047</v>
      </c>
      <c r="F561" s="77">
        <f t="shared" si="303"/>
        <v>46054</v>
      </c>
      <c r="G561" s="77">
        <f t="shared" si="304"/>
        <v>46060</v>
      </c>
      <c r="H561" s="77">
        <f t="shared" si="305"/>
        <v>46048</v>
      </c>
      <c r="I561" s="77">
        <f t="shared" si="306"/>
        <v>46055</v>
      </c>
      <c r="J561" s="77">
        <v>46069</v>
      </c>
      <c r="K561" s="78">
        <f t="shared" si="307"/>
        <v>29</v>
      </c>
      <c r="L561" s="84">
        <v>11.68</v>
      </c>
      <c r="M561" s="82">
        <v>10.7</v>
      </c>
      <c r="N561" s="25">
        <f t="shared" si="300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301"/>
        <v>46063</v>
      </c>
      <c r="E562" s="77">
        <f t="shared" si="302"/>
        <v>46047</v>
      </c>
      <c r="F562" s="77">
        <f t="shared" si="303"/>
        <v>46054</v>
      </c>
      <c r="G562" s="77">
        <f t="shared" si="304"/>
        <v>46060</v>
      </c>
      <c r="H562" s="77">
        <f t="shared" si="305"/>
        <v>46048</v>
      </c>
      <c r="I562" s="77">
        <f t="shared" si="306"/>
        <v>46055</v>
      </c>
      <c r="J562" s="77">
        <v>46069</v>
      </c>
      <c r="K562" s="78">
        <f t="shared" si="307"/>
        <v>29</v>
      </c>
      <c r="L562" s="84">
        <v>13.39</v>
      </c>
      <c r="M562" s="82">
        <v>12.1</v>
      </c>
      <c r="N562" s="25">
        <f t="shared" si="300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301"/>
        <v>46063</v>
      </c>
      <c r="E563" s="77">
        <f t="shared" si="302"/>
        <v>46047</v>
      </c>
      <c r="F563" s="77">
        <f t="shared" si="303"/>
        <v>46054</v>
      </c>
      <c r="G563" s="77">
        <f t="shared" si="304"/>
        <v>46060</v>
      </c>
      <c r="H563" s="77">
        <f t="shared" si="305"/>
        <v>46048</v>
      </c>
      <c r="I563" s="77">
        <f t="shared" si="306"/>
        <v>46055</v>
      </c>
      <c r="J563" s="77">
        <v>46069</v>
      </c>
      <c r="K563" s="78">
        <f t="shared" si="307"/>
        <v>29</v>
      </c>
      <c r="L563" s="84">
        <v>13.46</v>
      </c>
      <c r="M563" s="82">
        <v>12.15</v>
      </c>
      <c r="N563" s="25">
        <f t="shared" si="300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301"/>
        <v>46063</v>
      </c>
      <c r="E564" s="77">
        <f t="shared" si="302"/>
        <v>46047</v>
      </c>
      <c r="F564" s="77">
        <f t="shared" si="303"/>
        <v>46054</v>
      </c>
      <c r="G564" s="77">
        <f t="shared" si="304"/>
        <v>46060</v>
      </c>
      <c r="H564" s="77">
        <f t="shared" si="305"/>
        <v>46048</v>
      </c>
      <c r="I564" s="77">
        <f t="shared" si="306"/>
        <v>46055</v>
      </c>
      <c r="J564" s="77">
        <v>46069</v>
      </c>
      <c r="K564" s="78">
        <f t="shared" si="307"/>
        <v>29</v>
      </c>
      <c r="L564" s="84">
        <v>11.53</v>
      </c>
      <c r="M564" s="82">
        <v>10.84</v>
      </c>
      <c r="N564" s="25">
        <f t="shared" si="300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301"/>
        <v>46064</v>
      </c>
      <c r="E565" s="77">
        <f t="shared" si="302"/>
        <v>46048</v>
      </c>
      <c r="F565" s="77">
        <f t="shared" si="303"/>
        <v>46055</v>
      </c>
      <c r="G565" s="77">
        <f t="shared" si="304"/>
        <v>46061</v>
      </c>
      <c r="H565" s="77">
        <f t="shared" si="305"/>
        <v>46049</v>
      </c>
      <c r="I565" s="77">
        <f t="shared" si="306"/>
        <v>46056</v>
      </c>
      <c r="J565" s="77">
        <v>46070</v>
      </c>
      <c r="K565" s="78">
        <f t="shared" si="307"/>
        <v>29</v>
      </c>
      <c r="L565" s="84">
        <v>15.87</v>
      </c>
      <c r="M565" s="82">
        <v>14.56</v>
      </c>
      <c r="N565" s="25">
        <f t="shared" si="300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301"/>
        <v>46064</v>
      </c>
      <c r="E566" s="77">
        <f t="shared" si="302"/>
        <v>46048</v>
      </c>
      <c r="F566" s="77">
        <f t="shared" si="303"/>
        <v>46055</v>
      </c>
      <c r="G566" s="77">
        <f t="shared" si="304"/>
        <v>46061</v>
      </c>
      <c r="H566" s="77">
        <f t="shared" si="305"/>
        <v>46049</v>
      </c>
      <c r="I566" s="77">
        <f t="shared" si="306"/>
        <v>46056</v>
      </c>
      <c r="J566" s="77">
        <v>46070</v>
      </c>
      <c r="K566" s="78">
        <f t="shared" si="307"/>
        <v>29</v>
      </c>
      <c r="L566" s="84">
        <v>14.31</v>
      </c>
      <c r="M566" s="82">
        <v>13.28</v>
      </c>
      <c r="N566" s="25">
        <f t="shared" si="300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308">A567+23</f>
        <v>46064</v>
      </c>
      <c r="E567" s="77">
        <f t="shared" ref="E567:E574" si="309">A567+7</f>
        <v>46048</v>
      </c>
      <c r="F567" s="77">
        <f t="shared" ref="F567:F574" si="310">A567+14</f>
        <v>46055</v>
      </c>
      <c r="G567" s="77">
        <f t="shared" ref="G567:G574" si="311">A567+20</f>
        <v>46061</v>
      </c>
      <c r="H567" s="77">
        <f t="shared" ref="H567:H574" si="312">A567+8</f>
        <v>46049</v>
      </c>
      <c r="I567" s="77">
        <f t="shared" ref="I567:I574" si="313">A567+15</f>
        <v>46056</v>
      </c>
      <c r="J567" s="77">
        <v>46070</v>
      </c>
      <c r="K567" s="78">
        <f t="shared" si="307"/>
        <v>29</v>
      </c>
      <c r="L567" s="84">
        <v>15.29</v>
      </c>
      <c r="M567" s="82">
        <v>14.1</v>
      </c>
      <c r="N567" s="25">
        <f t="shared" si="300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308"/>
        <v>46064</v>
      </c>
      <c r="E568" s="77">
        <f t="shared" si="309"/>
        <v>46048</v>
      </c>
      <c r="F568" s="77">
        <f t="shared" si="310"/>
        <v>46055</v>
      </c>
      <c r="G568" s="77">
        <f t="shared" si="311"/>
        <v>46061</v>
      </c>
      <c r="H568" s="77">
        <f t="shared" si="312"/>
        <v>46049</v>
      </c>
      <c r="I568" s="77">
        <f t="shared" si="313"/>
        <v>46056</v>
      </c>
      <c r="J568" s="77">
        <v>46070</v>
      </c>
      <c r="K568" s="78">
        <f t="shared" si="307"/>
        <v>29</v>
      </c>
      <c r="L568" s="84">
        <v>14.73</v>
      </c>
      <c r="M568" s="82">
        <v>13.66</v>
      </c>
      <c r="N568" s="25">
        <f t="shared" si="300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308"/>
        <v>46064</v>
      </c>
      <c r="E569" s="77">
        <f t="shared" si="309"/>
        <v>46048</v>
      </c>
      <c r="F569" s="77">
        <f t="shared" si="310"/>
        <v>46055</v>
      </c>
      <c r="G569" s="77">
        <f t="shared" si="311"/>
        <v>46061</v>
      </c>
      <c r="H569" s="77">
        <f t="shared" si="312"/>
        <v>46049</v>
      </c>
      <c r="I569" s="77">
        <f t="shared" si="313"/>
        <v>46056</v>
      </c>
      <c r="J569" s="77">
        <v>46070</v>
      </c>
      <c r="K569" s="78">
        <f t="shared" si="307"/>
        <v>29</v>
      </c>
      <c r="L569" s="84">
        <v>14.95</v>
      </c>
      <c r="M569" s="82">
        <v>13.78</v>
      </c>
      <c r="N569" s="25">
        <f t="shared" si="300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308"/>
        <v>46064</v>
      </c>
      <c r="E570" s="77">
        <f t="shared" si="309"/>
        <v>46048</v>
      </c>
      <c r="F570" s="77">
        <f t="shared" si="310"/>
        <v>46055</v>
      </c>
      <c r="G570" s="77">
        <f t="shared" si="311"/>
        <v>46061</v>
      </c>
      <c r="H570" s="77">
        <f t="shared" si="312"/>
        <v>46049</v>
      </c>
      <c r="I570" s="77">
        <f t="shared" si="313"/>
        <v>46056</v>
      </c>
      <c r="J570" s="77">
        <v>46070</v>
      </c>
      <c r="K570" s="78">
        <f t="shared" si="307"/>
        <v>29</v>
      </c>
      <c r="L570" s="84">
        <v>16.559999999999999</v>
      </c>
      <c r="M570" s="82">
        <v>15.22</v>
      </c>
      <c r="N570" s="25">
        <f t="shared" si="300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308"/>
        <v>46064</v>
      </c>
      <c r="E571" s="77">
        <f t="shared" si="309"/>
        <v>46048</v>
      </c>
      <c r="F571" s="77">
        <f t="shared" si="310"/>
        <v>46055</v>
      </c>
      <c r="G571" s="77">
        <f t="shared" si="311"/>
        <v>46061</v>
      </c>
      <c r="H571" s="77">
        <f t="shared" si="312"/>
        <v>46049</v>
      </c>
      <c r="I571" s="77">
        <f t="shared" si="313"/>
        <v>46056</v>
      </c>
      <c r="J571" s="77">
        <v>46069</v>
      </c>
      <c r="K571" s="78">
        <f t="shared" si="307"/>
        <v>28</v>
      </c>
      <c r="L571" s="84">
        <v>13.77</v>
      </c>
      <c r="M571" s="82">
        <v>12.37</v>
      </c>
      <c r="N571" s="25">
        <f t="shared" si="300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308"/>
        <v>46065</v>
      </c>
      <c r="E572" s="77">
        <f t="shared" si="309"/>
        <v>46049</v>
      </c>
      <c r="F572" s="77">
        <f t="shared" si="310"/>
        <v>46056</v>
      </c>
      <c r="G572" s="77">
        <f t="shared" si="311"/>
        <v>46062</v>
      </c>
      <c r="H572" s="77">
        <f t="shared" si="312"/>
        <v>46050</v>
      </c>
      <c r="I572" s="77">
        <f t="shared" si="313"/>
        <v>46057</v>
      </c>
      <c r="J572" s="77">
        <v>46071</v>
      </c>
      <c r="K572" s="78">
        <f t="shared" si="307"/>
        <v>29</v>
      </c>
      <c r="L572" s="84">
        <v>16.28</v>
      </c>
      <c r="M572" s="82">
        <v>14.81</v>
      </c>
      <c r="N572" s="25">
        <f t="shared" ref="N572:N616" si="314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308"/>
        <v>46065</v>
      </c>
      <c r="E573" s="77">
        <f t="shared" si="309"/>
        <v>46049</v>
      </c>
      <c r="F573" s="77">
        <f t="shared" si="310"/>
        <v>46056</v>
      </c>
      <c r="G573" s="77">
        <f t="shared" si="311"/>
        <v>46062</v>
      </c>
      <c r="H573" s="77">
        <f t="shared" si="312"/>
        <v>46050</v>
      </c>
      <c r="I573" s="77">
        <f t="shared" si="313"/>
        <v>46057</v>
      </c>
      <c r="J573" s="77">
        <v>46071</v>
      </c>
      <c r="K573" s="78">
        <f t="shared" si="307"/>
        <v>29</v>
      </c>
      <c r="L573" s="84">
        <v>16.100000000000001</v>
      </c>
      <c r="M573" s="82">
        <v>15.24</v>
      </c>
      <c r="N573" s="25">
        <f t="shared" si="314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308"/>
        <v>46065</v>
      </c>
      <c r="E574" s="77">
        <f t="shared" si="309"/>
        <v>46049</v>
      </c>
      <c r="F574" s="77">
        <f t="shared" si="310"/>
        <v>46056</v>
      </c>
      <c r="G574" s="77">
        <f t="shared" si="311"/>
        <v>46062</v>
      </c>
      <c r="H574" s="77">
        <f t="shared" si="312"/>
        <v>46050</v>
      </c>
      <c r="I574" s="77">
        <f t="shared" si="313"/>
        <v>46057</v>
      </c>
      <c r="J574" s="77">
        <v>46071</v>
      </c>
      <c r="K574" s="78">
        <f t="shared" si="307"/>
        <v>29</v>
      </c>
      <c r="L574" s="84">
        <v>17.25</v>
      </c>
      <c r="M574" s="82">
        <v>15.63</v>
      </c>
      <c r="N574" s="25">
        <f t="shared" si="314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38" si="315">A575+23</f>
        <v>46065</v>
      </c>
      <c r="E575" s="77">
        <f t="shared" ref="E575:E638" si="316">A575+7</f>
        <v>46049</v>
      </c>
      <c r="F575" s="77">
        <f t="shared" ref="F575:F638" si="317">A575+14</f>
        <v>46056</v>
      </c>
      <c r="G575" s="77">
        <f t="shared" ref="G575:G638" si="318">A575+20</f>
        <v>46062</v>
      </c>
      <c r="H575" s="77">
        <f t="shared" ref="H575:H638" si="319">A575+8</f>
        <v>46050</v>
      </c>
      <c r="I575" s="77">
        <f t="shared" ref="I575:I638" si="320">A575+15</f>
        <v>46057</v>
      </c>
      <c r="J575" s="77">
        <v>46071</v>
      </c>
      <c r="K575" s="78">
        <f t="shared" si="307"/>
        <v>29</v>
      </c>
      <c r="L575" s="84">
        <v>15.93</v>
      </c>
      <c r="M575" s="82">
        <v>14.28</v>
      </c>
      <c r="N575" s="25">
        <f t="shared" si="314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315"/>
        <v>46065</v>
      </c>
      <c r="E576" s="77">
        <f t="shared" si="316"/>
        <v>46049</v>
      </c>
      <c r="F576" s="77">
        <f t="shared" si="317"/>
        <v>46056</v>
      </c>
      <c r="G576" s="77">
        <f t="shared" si="318"/>
        <v>46062</v>
      </c>
      <c r="H576" s="77">
        <f t="shared" si="319"/>
        <v>46050</v>
      </c>
      <c r="I576" s="77">
        <f t="shared" si="320"/>
        <v>46057</v>
      </c>
      <c r="J576" s="77">
        <v>46071</v>
      </c>
      <c r="K576" s="78">
        <f t="shared" si="307"/>
        <v>29</v>
      </c>
      <c r="L576" s="84">
        <v>16.079999999999998</v>
      </c>
      <c r="M576" s="82">
        <v>14.71</v>
      </c>
      <c r="N576" s="25">
        <f t="shared" si="314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315"/>
        <v>46065</v>
      </c>
      <c r="E577" s="77">
        <f t="shared" si="316"/>
        <v>46049</v>
      </c>
      <c r="F577" s="77">
        <f t="shared" si="317"/>
        <v>46056</v>
      </c>
      <c r="G577" s="77">
        <f t="shared" si="318"/>
        <v>46062</v>
      </c>
      <c r="H577" s="77">
        <f t="shared" si="319"/>
        <v>46050</v>
      </c>
      <c r="I577" s="77">
        <f t="shared" si="320"/>
        <v>46057</v>
      </c>
      <c r="J577" s="77">
        <v>46071</v>
      </c>
      <c r="K577" s="78">
        <f t="shared" si="307"/>
        <v>29</v>
      </c>
      <c r="L577" s="84">
        <v>16.32</v>
      </c>
      <c r="M577" s="82">
        <v>15.12</v>
      </c>
      <c r="N577" s="25">
        <f t="shared" si="314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315"/>
        <v>46065</v>
      </c>
      <c r="E578" s="77">
        <f t="shared" si="316"/>
        <v>46049</v>
      </c>
      <c r="F578" s="77">
        <f t="shared" si="317"/>
        <v>46056</v>
      </c>
      <c r="G578" s="77">
        <f t="shared" si="318"/>
        <v>46062</v>
      </c>
      <c r="H578" s="77">
        <f t="shared" si="319"/>
        <v>46050</v>
      </c>
      <c r="I578" s="77">
        <f t="shared" si="320"/>
        <v>46057</v>
      </c>
      <c r="J578" s="77">
        <v>46071</v>
      </c>
      <c r="K578" s="78">
        <f t="shared" si="307"/>
        <v>29</v>
      </c>
      <c r="L578" s="84">
        <v>16.57</v>
      </c>
      <c r="M578" s="82">
        <v>15.22</v>
      </c>
      <c r="N578" s="25">
        <f t="shared" si="314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 t="str">
        <f>VLOOKUP(B579,'[1]Migrasi Bed'!$B$4:$E$521,4,0)</f>
        <v>SV.G017</v>
      </c>
      <c r="D579" s="77">
        <f t="shared" si="315"/>
        <v>46066</v>
      </c>
      <c r="E579" s="77">
        <f t="shared" si="316"/>
        <v>46050</v>
      </c>
      <c r="F579" s="77">
        <f t="shared" si="317"/>
        <v>46057</v>
      </c>
      <c r="G579" s="77">
        <f t="shared" si="318"/>
        <v>46063</v>
      </c>
      <c r="H579" s="77">
        <f t="shared" si="319"/>
        <v>46051</v>
      </c>
      <c r="I579" s="77">
        <f t="shared" si="320"/>
        <v>46058</v>
      </c>
      <c r="J579" s="77">
        <v>46072</v>
      </c>
      <c r="K579" s="83">
        <f t="shared" si="307"/>
        <v>29</v>
      </c>
      <c r="L579" s="81">
        <v>14.51</v>
      </c>
      <c r="M579" s="82">
        <v>13.07</v>
      </c>
      <c r="N579" s="25">
        <f t="shared" si="314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 t="str">
        <f>VLOOKUP(B580,'[1]Migrasi Bed'!$B$4:$E$521,4,0)</f>
        <v>SV.G018</v>
      </c>
      <c r="D580" s="77">
        <f t="shared" si="315"/>
        <v>46066</v>
      </c>
      <c r="E580" s="77">
        <f t="shared" si="316"/>
        <v>46050</v>
      </c>
      <c r="F580" s="77">
        <f t="shared" si="317"/>
        <v>46057</v>
      </c>
      <c r="G580" s="77">
        <f t="shared" si="318"/>
        <v>46063</v>
      </c>
      <c r="H580" s="77">
        <f t="shared" si="319"/>
        <v>46051</v>
      </c>
      <c r="I580" s="77">
        <f t="shared" si="320"/>
        <v>46058</v>
      </c>
      <c r="J580" s="77">
        <v>46072</v>
      </c>
      <c r="K580" s="83">
        <f t="shared" si="307"/>
        <v>29</v>
      </c>
      <c r="L580" s="81">
        <v>13.3</v>
      </c>
      <c r="M580" s="82">
        <v>12.1</v>
      </c>
      <c r="N580" s="25">
        <f t="shared" si="314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 t="str">
        <f>VLOOKUP(B581,'[1]Migrasi Bed'!$B$4:$E$521,4,0)</f>
        <v>SV.G019</v>
      </c>
      <c r="D581" s="77">
        <f t="shared" si="315"/>
        <v>46066</v>
      </c>
      <c r="E581" s="77">
        <f t="shared" si="316"/>
        <v>46050</v>
      </c>
      <c r="F581" s="77">
        <f t="shared" si="317"/>
        <v>46057</v>
      </c>
      <c r="G581" s="77">
        <f t="shared" si="318"/>
        <v>46063</v>
      </c>
      <c r="H581" s="77">
        <f t="shared" si="319"/>
        <v>46051</v>
      </c>
      <c r="I581" s="77">
        <f t="shared" si="320"/>
        <v>46058</v>
      </c>
      <c r="J581" s="77">
        <v>46072</v>
      </c>
      <c r="K581" s="83">
        <f t="shared" si="307"/>
        <v>29</v>
      </c>
      <c r="L581" s="81">
        <v>13.54</v>
      </c>
      <c r="M581" s="82">
        <v>12.35</v>
      </c>
      <c r="N581" s="25">
        <f t="shared" si="314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 t="str">
        <f>VLOOKUP(B582,'[1]Migrasi Bed'!$B$4:$E$521,4,0)</f>
        <v>SV.H017</v>
      </c>
      <c r="D582" s="77">
        <f t="shared" si="315"/>
        <v>46066</v>
      </c>
      <c r="E582" s="77">
        <f t="shared" si="316"/>
        <v>46050</v>
      </c>
      <c r="F582" s="77">
        <f t="shared" si="317"/>
        <v>46057</v>
      </c>
      <c r="G582" s="77">
        <f t="shared" si="318"/>
        <v>46063</v>
      </c>
      <c r="H582" s="77">
        <f t="shared" si="319"/>
        <v>46051</v>
      </c>
      <c r="I582" s="77">
        <f t="shared" si="320"/>
        <v>46058</v>
      </c>
      <c r="J582" s="77">
        <v>46073</v>
      </c>
      <c r="K582" s="83">
        <f t="shared" si="307"/>
        <v>30</v>
      </c>
      <c r="L582" s="25">
        <v>15.11</v>
      </c>
      <c r="M582" s="25">
        <v>14.15</v>
      </c>
      <c r="N582" s="25">
        <f t="shared" si="314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 t="str">
        <f>VLOOKUP(B583,'[1]Migrasi Bed'!$B$4:$E$521,4,0)</f>
        <v>SV.H018</v>
      </c>
      <c r="D583" s="77">
        <f t="shared" si="315"/>
        <v>46066</v>
      </c>
      <c r="E583" s="77">
        <f t="shared" si="316"/>
        <v>46050</v>
      </c>
      <c r="F583" s="77">
        <f t="shared" si="317"/>
        <v>46057</v>
      </c>
      <c r="G583" s="77">
        <f t="shared" si="318"/>
        <v>46063</v>
      </c>
      <c r="H583" s="77">
        <f t="shared" si="319"/>
        <v>46051</v>
      </c>
      <c r="I583" s="77">
        <f t="shared" si="320"/>
        <v>46058</v>
      </c>
      <c r="J583" s="77">
        <v>46073</v>
      </c>
      <c r="K583" s="83">
        <f t="shared" si="307"/>
        <v>30</v>
      </c>
      <c r="L583" s="25">
        <v>14.35</v>
      </c>
      <c r="M583" s="25">
        <v>13.87</v>
      </c>
      <c r="N583" s="25">
        <f t="shared" si="314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 t="str">
        <f>VLOOKUP(B584,'[1]Migrasi Bed'!$B$4:$E$521,4,0)</f>
        <v>SV.H019</v>
      </c>
      <c r="D584" s="77">
        <f t="shared" si="315"/>
        <v>46066</v>
      </c>
      <c r="E584" s="77">
        <f t="shared" si="316"/>
        <v>46050</v>
      </c>
      <c r="F584" s="77">
        <f t="shared" si="317"/>
        <v>46057</v>
      </c>
      <c r="G584" s="77">
        <f t="shared" si="318"/>
        <v>46063</v>
      </c>
      <c r="H584" s="77">
        <f t="shared" si="319"/>
        <v>46051</v>
      </c>
      <c r="I584" s="77">
        <f t="shared" si="320"/>
        <v>46058</v>
      </c>
      <c r="J584" s="77">
        <v>46073</v>
      </c>
      <c r="K584" s="83">
        <f t="shared" si="307"/>
        <v>30</v>
      </c>
      <c r="L584" s="25">
        <v>15.64</v>
      </c>
      <c r="M584" s="25">
        <v>14.51</v>
      </c>
      <c r="N584" s="25">
        <f t="shared" si="314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 t="str">
        <f>VLOOKUP(B585,'[1]Migrasi Bed'!$B$4:$E$521,4,0)</f>
        <v>SV.H010</v>
      </c>
      <c r="D585" s="77">
        <f t="shared" si="315"/>
        <v>46067</v>
      </c>
      <c r="E585" s="77">
        <f t="shared" si="316"/>
        <v>46051</v>
      </c>
      <c r="F585" s="77">
        <f t="shared" si="317"/>
        <v>46058</v>
      </c>
      <c r="G585" s="77">
        <f t="shared" si="318"/>
        <v>46064</v>
      </c>
      <c r="H585" s="77">
        <f t="shared" si="319"/>
        <v>46052</v>
      </c>
      <c r="I585" s="77">
        <f t="shared" si="320"/>
        <v>46059</v>
      </c>
      <c r="J585" s="77">
        <v>46074</v>
      </c>
      <c r="K585" s="83">
        <f t="shared" si="307"/>
        <v>30</v>
      </c>
      <c r="L585" s="81">
        <v>14.58</v>
      </c>
      <c r="M585" s="82">
        <v>13.12</v>
      </c>
      <c r="N585" s="25">
        <f t="shared" si="314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 t="str">
        <f>VLOOKUP(B586,'[1]Migrasi Bed'!$B$4:$E$521,4,0)</f>
        <v>SV.H011</v>
      </c>
      <c r="D586" s="77">
        <f t="shared" si="315"/>
        <v>46067</v>
      </c>
      <c r="E586" s="77">
        <f t="shared" si="316"/>
        <v>46051</v>
      </c>
      <c r="F586" s="77">
        <f t="shared" si="317"/>
        <v>46058</v>
      </c>
      <c r="G586" s="77">
        <f t="shared" si="318"/>
        <v>46064</v>
      </c>
      <c r="H586" s="77">
        <f t="shared" si="319"/>
        <v>46052</v>
      </c>
      <c r="I586" s="77">
        <f t="shared" si="320"/>
        <v>46059</v>
      </c>
      <c r="J586" s="77">
        <v>46074</v>
      </c>
      <c r="K586" s="83">
        <f t="shared" si="307"/>
        <v>30</v>
      </c>
      <c r="L586" s="81">
        <v>13.41</v>
      </c>
      <c r="M586" s="82">
        <v>12.1</v>
      </c>
      <c r="N586" s="25">
        <f t="shared" si="314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 t="str">
        <f>VLOOKUP(B587,'[1]Migrasi Bed'!$B$4:$E$521,4,0)</f>
        <v>SV.H012</v>
      </c>
      <c r="D587" s="77">
        <f t="shared" si="315"/>
        <v>46067</v>
      </c>
      <c r="E587" s="77">
        <f t="shared" si="316"/>
        <v>46051</v>
      </c>
      <c r="F587" s="77">
        <f t="shared" si="317"/>
        <v>46058</v>
      </c>
      <c r="G587" s="77">
        <f t="shared" si="318"/>
        <v>46064</v>
      </c>
      <c r="H587" s="77">
        <f t="shared" si="319"/>
        <v>46052</v>
      </c>
      <c r="I587" s="77">
        <f t="shared" si="320"/>
        <v>46059</v>
      </c>
      <c r="J587" s="77">
        <v>46074</v>
      </c>
      <c r="K587" s="83">
        <f t="shared" si="307"/>
        <v>30</v>
      </c>
      <c r="L587" s="81">
        <v>12.95</v>
      </c>
      <c r="M587" s="82">
        <v>11.54</v>
      </c>
      <c r="N587" s="25">
        <f t="shared" si="314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 t="str">
        <f>VLOOKUP(B588,'[1]Migrasi Bed'!$B$4:$E$521,4,0)</f>
        <v>SV.H013</v>
      </c>
      <c r="D588" s="77">
        <f t="shared" si="315"/>
        <v>46067</v>
      </c>
      <c r="E588" s="77">
        <f t="shared" si="316"/>
        <v>46051</v>
      </c>
      <c r="F588" s="77">
        <f t="shared" si="317"/>
        <v>46058</v>
      </c>
      <c r="G588" s="77">
        <f t="shared" si="318"/>
        <v>46064</v>
      </c>
      <c r="H588" s="77">
        <f t="shared" si="319"/>
        <v>46052</v>
      </c>
      <c r="I588" s="77">
        <f t="shared" si="320"/>
        <v>46059</v>
      </c>
      <c r="J588" s="77">
        <v>46073</v>
      </c>
      <c r="K588" s="83">
        <f t="shared" si="307"/>
        <v>29</v>
      </c>
      <c r="L588" s="81">
        <v>13.63</v>
      </c>
      <c r="M588" s="82">
        <v>12.52</v>
      </c>
      <c r="N588" s="25">
        <f t="shared" si="314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 t="str">
        <f>VLOOKUP(B589,'[1]Migrasi Bed'!$B$4:$E$521,4,0)</f>
        <v>SV.H014</v>
      </c>
      <c r="D589" s="77">
        <f t="shared" si="315"/>
        <v>46067</v>
      </c>
      <c r="E589" s="77">
        <f t="shared" si="316"/>
        <v>46051</v>
      </c>
      <c r="F589" s="77">
        <f t="shared" si="317"/>
        <v>46058</v>
      </c>
      <c r="G589" s="77">
        <f t="shared" si="318"/>
        <v>46064</v>
      </c>
      <c r="H589" s="77">
        <f t="shared" si="319"/>
        <v>46052</v>
      </c>
      <c r="I589" s="77">
        <f t="shared" si="320"/>
        <v>46059</v>
      </c>
      <c r="J589" s="77">
        <v>46073</v>
      </c>
      <c r="K589" s="83">
        <f t="shared" si="307"/>
        <v>29</v>
      </c>
      <c r="L589" s="81">
        <v>14.21</v>
      </c>
      <c r="M589" s="82">
        <v>13.16</v>
      </c>
      <c r="N589" s="25">
        <f t="shared" si="314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 t="str">
        <f>VLOOKUP(B590,'[1]Migrasi Bed'!$B$4:$E$521,4,0)</f>
        <v>SV.H015</v>
      </c>
      <c r="D590" s="77">
        <f t="shared" si="315"/>
        <v>46067</v>
      </c>
      <c r="E590" s="77">
        <f t="shared" si="316"/>
        <v>46051</v>
      </c>
      <c r="F590" s="77">
        <f t="shared" si="317"/>
        <v>46058</v>
      </c>
      <c r="G590" s="77">
        <f t="shared" si="318"/>
        <v>46064</v>
      </c>
      <c r="H590" s="77">
        <f t="shared" si="319"/>
        <v>46052</v>
      </c>
      <c r="I590" s="77">
        <f t="shared" si="320"/>
        <v>46059</v>
      </c>
      <c r="J590" s="77">
        <v>46073</v>
      </c>
      <c r="K590" s="83">
        <f t="shared" si="307"/>
        <v>29</v>
      </c>
      <c r="L590" s="81">
        <v>15.08</v>
      </c>
      <c r="M590" s="82">
        <v>14.12</v>
      </c>
      <c r="N590" s="25">
        <f t="shared" si="314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 t="str">
        <f>VLOOKUP(B591,'[1]Migrasi Bed'!$B$4:$E$521,4,0)</f>
        <v>SV.H016</v>
      </c>
      <c r="D591" s="77">
        <f t="shared" si="315"/>
        <v>46067</v>
      </c>
      <c r="E591" s="77">
        <f t="shared" si="316"/>
        <v>46051</v>
      </c>
      <c r="F591" s="77">
        <f t="shared" si="317"/>
        <v>46058</v>
      </c>
      <c r="G591" s="77">
        <f t="shared" si="318"/>
        <v>46064</v>
      </c>
      <c r="H591" s="77">
        <f t="shared" si="319"/>
        <v>46052</v>
      </c>
      <c r="I591" s="77">
        <f t="shared" si="320"/>
        <v>46059</v>
      </c>
      <c r="J591" s="77">
        <v>46073</v>
      </c>
      <c r="K591" s="83">
        <f t="shared" si="307"/>
        <v>29</v>
      </c>
      <c r="L591" s="81">
        <v>14.58</v>
      </c>
      <c r="M591" s="82">
        <v>13.22</v>
      </c>
      <c r="N591" s="25">
        <f t="shared" si="314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 t="str">
        <f>VLOOKUP(B592,'[1]Migrasi Bed'!$B$4:$E$521,4,0)</f>
        <v>SV.H017</v>
      </c>
      <c r="D592" s="77">
        <f t="shared" si="315"/>
        <v>46067</v>
      </c>
      <c r="E592" s="77">
        <f t="shared" si="316"/>
        <v>46051</v>
      </c>
      <c r="F592" s="77">
        <f t="shared" si="317"/>
        <v>46058</v>
      </c>
      <c r="G592" s="77">
        <f t="shared" si="318"/>
        <v>46064</v>
      </c>
      <c r="H592" s="77">
        <f t="shared" si="319"/>
        <v>46052</v>
      </c>
      <c r="I592" s="77">
        <f t="shared" si="320"/>
        <v>46059</v>
      </c>
      <c r="J592" s="77">
        <v>46073</v>
      </c>
      <c r="K592" s="83">
        <f t="shared" si="307"/>
        <v>29</v>
      </c>
      <c r="L592" s="81">
        <v>15.11</v>
      </c>
      <c r="M592" s="82">
        <v>14.15</v>
      </c>
      <c r="N592" s="25">
        <f t="shared" si="314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 t="str">
        <f>VLOOKUP(B593,'[1]Migrasi Bed'!$B$4:$E$521,4,0)</f>
        <v>SV.H018</v>
      </c>
      <c r="D593" s="77">
        <f t="shared" si="315"/>
        <v>46067</v>
      </c>
      <c r="E593" s="77">
        <f t="shared" si="316"/>
        <v>46051</v>
      </c>
      <c r="F593" s="77">
        <f t="shared" si="317"/>
        <v>46058</v>
      </c>
      <c r="G593" s="77">
        <f t="shared" si="318"/>
        <v>46064</v>
      </c>
      <c r="H593" s="77">
        <f t="shared" si="319"/>
        <v>46052</v>
      </c>
      <c r="I593" s="77">
        <f t="shared" si="320"/>
        <v>46059</v>
      </c>
      <c r="J593" s="77">
        <v>46073</v>
      </c>
      <c r="K593" s="83">
        <f t="shared" si="307"/>
        <v>29</v>
      </c>
      <c r="L593" s="81">
        <v>14.35</v>
      </c>
      <c r="M593" s="82">
        <v>13.87</v>
      </c>
      <c r="N593" s="25">
        <f t="shared" si="314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 t="str">
        <f>VLOOKUP(B594,'[1]Migrasi Bed'!$B$4:$E$521,4,0)</f>
        <v>SV.H019</v>
      </c>
      <c r="D594" s="77">
        <f t="shared" si="315"/>
        <v>46067</v>
      </c>
      <c r="E594" s="77">
        <f t="shared" si="316"/>
        <v>46051</v>
      </c>
      <c r="F594" s="77">
        <f t="shared" si="317"/>
        <v>46058</v>
      </c>
      <c r="G594" s="77">
        <f t="shared" si="318"/>
        <v>46064</v>
      </c>
      <c r="H594" s="77">
        <f t="shared" si="319"/>
        <v>46052</v>
      </c>
      <c r="I594" s="77">
        <f t="shared" si="320"/>
        <v>46059</v>
      </c>
      <c r="J594" s="77">
        <v>46073</v>
      </c>
      <c r="K594" s="83">
        <f t="shared" si="307"/>
        <v>29</v>
      </c>
      <c r="L594" s="81">
        <v>15.64</v>
      </c>
      <c r="M594" s="82">
        <v>14.51</v>
      </c>
      <c r="N594" s="25">
        <f t="shared" si="314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 t="str">
        <f>VLOOKUP(B595,'[1]Migrasi Bed'!$B$4:$E$521,4,0)</f>
        <v>SV.H020</v>
      </c>
      <c r="D595" s="77">
        <f t="shared" si="315"/>
        <v>46067</v>
      </c>
      <c r="E595" s="77">
        <f t="shared" si="316"/>
        <v>46051</v>
      </c>
      <c r="F595" s="77">
        <f t="shared" si="317"/>
        <v>46058</v>
      </c>
      <c r="G595" s="77">
        <f t="shared" si="318"/>
        <v>46064</v>
      </c>
      <c r="H595" s="77">
        <f t="shared" si="319"/>
        <v>46052</v>
      </c>
      <c r="I595" s="77">
        <f t="shared" si="320"/>
        <v>46059</v>
      </c>
      <c r="J595" s="77">
        <v>46073</v>
      </c>
      <c r="K595" s="83">
        <f t="shared" si="307"/>
        <v>29</v>
      </c>
      <c r="L595" s="81">
        <v>15.81</v>
      </c>
      <c r="M595" s="82">
        <v>14.73</v>
      </c>
      <c r="N595" s="25">
        <f t="shared" si="314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 t="str">
        <f>VLOOKUP(B596,'[1]Migrasi Bed'!$B$4:$E$521,4,0)</f>
        <v>SV.A024</v>
      </c>
      <c r="D596" s="77">
        <f t="shared" si="315"/>
        <v>46068</v>
      </c>
      <c r="E596" s="77">
        <f t="shared" si="316"/>
        <v>46052</v>
      </c>
      <c r="F596" s="77">
        <f t="shared" si="317"/>
        <v>46059</v>
      </c>
      <c r="G596" s="77">
        <f t="shared" si="318"/>
        <v>46065</v>
      </c>
      <c r="H596" s="77">
        <f t="shared" si="319"/>
        <v>46053</v>
      </c>
      <c r="I596" s="77">
        <f t="shared" si="320"/>
        <v>46060</v>
      </c>
      <c r="J596" s="77">
        <v>46075</v>
      </c>
      <c r="K596" s="83">
        <f t="shared" si="307"/>
        <v>30</v>
      </c>
      <c r="L596" s="81">
        <v>14.05</v>
      </c>
      <c r="M596" s="82">
        <v>12.74</v>
      </c>
      <c r="N596" s="25">
        <f t="shared" si="314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 t="str">
        <f>VLOOKUP(B597,'[1]Migrasi Bed'!$B$4:$E$521,4,0)</f>
        <v>SV.A025</v>
      </c>
      <c r="D597" s="77">
        <f t="shared" si="315"/>
        <v>46068</v>
      </c>
      <c r="E597" s="77">
        <f t="shared" si="316"/>
        <v>46052</v>
      </c>
      <c r="F597" s="77">
        <f t="shared" si="317"/>
        <v>46059</v>
      </c>
      <c r="G597" s="77">
        <f t="shared" si="318"/>
        <v>46065</v>
      </c>
      <c r="H597" s="77">
        <f t="shared" si="319"/>
        <v>46053</v>
      </c>
      <c r="I597" s="77">
        <f t="shared" si="320"/>
        <v>46060</v>
      </c>
      <c r="J597" s="77">
        <v>46075</v>
      </c>
      <c r="K597" s="83">
        <f t="shared" si="307"/>
        <v>30</v>
      </c>
      <c r="L597" s="81">
        <v>14.73</v>
      </c>
      <c r="M597" s="82">
        <v>13.51</v>
      </c>
      <c r="N597" s="25">
        <f t="shared" si="314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 t="str">
        <f>VLOOKUP(B598,'[1]Migrasi Bed'!$B$4:$E$521,4,0)</f>
        <v>SV.A026</v>
      </c>
      <c r="D598" s="77">
        <f t="shared" si="315"/>
        <v>46068</v>
      </c>
      <c r="E598" s="77">
        <f t="shared" si="316"/>
        <v>46052</v>
      </c>
      <c r="F598" s="77">
        <f t="shared" si="317"/>
        <v>46059</v>
      </c>
      <c r="G598" s="77">
        <f t="shared" si="318"/>
        <v>46065</v>
      </c>
      <c r="H598" s="77">
        <f t="shared" si="319"/>
        <v>46053</v>
      </c>
      <c r="I598" s="77">
        <f t="shared" si="320"/>
        <v>46060</v>
      </c>
      <c r="J598" s="77">
        <v>46075</v>
      </c>
      <c r="K598" s="83">
        <f t="shared" si="307"/>
        <v>30</v>
      </c>
      <c r="L598" s="81">
        <v>15.81</v>
      </c>
      <c r="M598" s="82">
        <v>14.32</v>
      </c>
      <c r="N598" s="25">
        <f t="shared" si="314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 t="str">
        <f>VLOOKUP(B599,'[1]Migrasi Bed'!$B$4:$E$521,4,0)</f>
        <v>SV.A027</v>
      </c>
      <c r="D599" s="77">
        <f t="shared" si="315"/>
        <v>46068</v>
      </c>
      <c r="E599" s="77">
        <f t="shared" si="316"/>
        <v>46052</v>
      </c>
      <c r="F599" s="77">
        <f t="shared" si="317"/>
        <v>46059</v>
      </c>
      <c r="G599" s="77">
        <f t="shared" si="318"/>
        <v>46065</v>
      </c>
      <c r="H599" s="77">
        <f t="shared" si="319"/>
        <v>46053</v>
      </c>
      <c r="I599" s="77">
        <f t="shared" si="320"/>
        <v>46060</v>
      </c>
      <c r="J599" s="77">
        <v>46074</v>
      </c>
      <c r="K599" s="83">
        <f t="shared" si="307"/>
        <v>29</v>
      </c>
      <c r="L599" s="81">
        <v>12.19</v>
      </c>
      <c r="M599" s="82">
        <v>11.53</v>
      </c>
      <c r="N599" s="25">
        <f t="shared" si="314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 t="str">
        <f>VLOOKUP(B600,'[1]Migrasi Bed'!$B$4:$E$521,4,0)</f>
        <v>SV.A028</v>
      </c>
      <c r="D600" s="77">
        <f t="shared" si="315"/>
        <v>46068</v>
      </c>
      <c r="E600" s="77">
        <f t="shared" si="316"/>
        <v>46052</v>
      </c>
      <c r="F600" s="77">
        <f t="shared" si="317"/>
        <v>46059</v>
      </c>
      <c r="G600" s="77">
        <f t="shared" si="318"/>
        <v>46065</v>
      </c>
      <c r="H600" s="77">
        <f t="shared" si="319"/>
        <v>46053</v>
      </c>
      <c r="I600" s="77">
        <f t="shared" si="320"/>
        <v>46060</v>
      </c>
      <c r="J600" s="77">
        <v>46074</v>
      </c>
      <c r="K600" s="83">
        <f t="shared" si="307"/>
        <v>29</v>
      </c>
      <c r="L600" s="81">
        <v>13.87</v>
      </c>
      <c r="M600" s="82">
        <v>12.74</v>
      </c>
      <c r="N600" s="25">
        <f t="shared" si="314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 t="str">
        <f>VLOOKUP(B601,'[1]Migrasi Bed'!$B$4:$E$521,4,0)</f>
        <v>SV.A029</v>
      </c>
      <c r="D601" s="77">
        <f t="shared" si="315"/>
        <v>46068</v>
      </c>
      <c r="E601" s="77">
        <f t="shared" si="316"/>
        <v>46052</v>
      </c>
      <c r="F601" s="77">
        <f t="shared" si="317"/>
        <v>46059</v>
      </c>
      <c r="G601" s="77">
        <f t="shared" si="318"/>
        <v>46065</v>
      </c>
      <c r="H601" s="77">
        <f t="shared" si="319"/>
        <v>46053</v>
      </c>
      <c r="I601" s="77">
        <f t="shared" si="320"/>
        <v>46060</v>
      </c>
      <c r="J601" s="77">
        <v>46074</v>
      </c>
      <c r="K601" s="83">
        <f t="shared" si="307"/>
        <v>29</v>
      </c>
      <c r="L601" s="81">
        <v>13.52</v>
      </c>
      <c r="M601" s="82">
        <v>12.35</v>
      </c>
      <c r="N601" s="25">
        <f t="shared" si="314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 t="str">
        <f>VLOOKUP(B602,'[1]Migrasi Bed'!$B$4:$E$521,4,0)</f>
        <v>SV.A030</v>
      </c>
      <c r="D602" s="77">
        <f t="shared" si="315"/>
        <v>46068</v>
      </c>
      <c r="E602" s="77">
        <f t="shared" si="316"/>
        <v>46052</v>
      </c>
      <c r="F602" s="77">
        <f t="shared" si="317"/>
        <v>46059</v>
      </c>
      <c r="G602" s="77">
        <f t="shared" si="318"/>
        <v>46065</v>
      </c>
      <c r="H602" s="77">
        <f t="shared" si="319"/>
        <v>46053</v>
      </c>
      <c r="I602" s="77">
        <f t="shared" si="320"/>
        <v>46060</v>
      </c>
      <c r="J602" s="77">
        <v>46073</v>
      </c>
      <c r="K602" s="83">
        <f t="shared" si="307"/>
        <v>28</v>
      </c>
      <c r="L602" s="88">
        <v>12.7</v>
      </c>
      <c r="M602" s="87">
        <v>11.42</v>
      </c>
      <c r="N602" s="25">
        <f t="shared" si="314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 t="str">
        <f>VLOOKUP(B603,'[1]Migrasi Bed'!$B$4:$E$521,4,0)</f>
        <v>SV.A017</v>
      </c>
      <c r="D603" s="77">
        <f t="shared" si="315"/>
        <v>46069</v>
      </c>
      <c r="E603" s="77">
        <f t="shared" si="316"/>
        <v>46053</v>
      </c>
      <c r="F603" s="77">
        <f t="shared" si="317"/>
        <v>46060</v>
      </c>
      <c r="G603" s="77">
        <f t="shared" si="318"/>
        <v>46066</v>
      </c>
      <c r="H603" s="77">
        <f t="shared" si="319"/>
        <v>46054</v>
      </c>
      <c r="I603" s="77">
        <f t="shared" si="320"/>
        <v>46061</v>
      </c>
      <c r="J603" s="77">
        <v>46076</v>
      </c>
      <c r="K603" s="83">
        <f t="shared" si="307"/>
        <v>30</v>
      </c>
      <c r="L603" s="81">
        <v>13.92</v>
      </c>
      <c r="M603" s="81">
        <v>12.78</v>
      </c>
      <c r="N603" s="25">
        <f t="shared" si="314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 t="str">
        <f>VLOOKUP(B604,'[1]Migrasi Bed'!$B$4:$E$521,4,0)</f>
        <v>SV.A018</v>
      </c>
      <c r="D604" s="77">
        <f t="shared" si="315"/>
        <v>46069</v>
      </c>
      <c r="E604" s="77">
        <f t="shared" si="316"/>
        <v>46053</v>
      </c>
      <c r="F604" s="77">
        <f t="shared" si="317"/>
        <v>46060</v>
      </c>
      <c r="G604" s="77">
        <f t="shared" si="318"/>
        <v>46066</v>
      </c>
      <c r="H604" s="77">
        <f t="shared" si="319"/>
        <v>46054</v>
      </c>
      <c r="I604" s="77">
        <f t="shared" si="320"/>
        <v>46061</v>
      </c>
      <c r="J604" s="77">
        <v>46076</v>
      </c>
      <c r="K604" s="83">
        <f t="shared" si="307"/>
        <v>30</v>
      </c>
      <c r="L604" s="81">
        <v>13.41</v>
      </c>
      <c r="M604" s="81">
        <v>12.54</v>
      </c>
      <c r="N604" s="25">
        <f t="shared" si="314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 t="str">
        <f>VLOOKUP(B605,'[1]Migrasi Bed'!$B$4:$E$521,4,0)</f>
        <v>SV.A019</v>
      </c>
      <c r="D605" s="77">
        <f t="shared" si="315"/>
        <v>46069</v>
      </c>
      <c r="E605" s="77">
        <f t="shared" si="316"/>
        <v>46053</v>
      </c>
      <c r="F605" s="77">
        <f t="shared" si="317"/>
        <v>46060</v>
      </c>
      <c r="G605" s="77">
        <f t="shared" si="318"/>
        <v>46066</v>
      </c>
      <c r="H605" s="77">
        <f t="shared" si="319"/>
        <v>46054</v>
      </c>
      <c r="I605" s="77">
        <f t="shared" si="320"/>
        <v>46061</v>
      </c>
      <c r="J605" s="77">
        <v>46076</v>
      </c>
      <c r="K605" s="83">
        <f t="shared" si="307"/>
        <v>30</v>
      </c>
      <c r="L605" s="81">
        <v>13.05</v>
      </c>
      <c r="M605" s="81">
        <v>11.73</v>
      </c>
      <c r="N605" s="25">
        <f t="shared" si="314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 t="str">
        <f>VLOOKUP(B606,'[1]Migrasi Bed'!$B$4:$E$521,4,0)</f>
        <v>SV.A020</v>
      </c>
      <c r="D606" s="77">
        <f t="shared" si="315"/>
        <v>46069</v>
      </c>
      <c r="E606" s="77">
        <f t="shared" si="316"/>
        <v>46053</v>
      </c>
      <c r="F606" s="77">
        <f t="shared" si="317"/>
        <v>46060</v>
      </c>
      <c r="G606" s="77">
        <f t="shared" si="318"/>
        <v>46066</v>
      </c>
      <c r="H606" s="77">
        <f t="shared" si="319"/>
        <v>46054</v>
      </c>
      <c r="I606" s="77">
        <f t="shared" si="320"/>
        <v>46061</v>
      </c>
      <c r="J606" s="77">
        <v>46076</v>
      </c>
      <c r="K606" s="83">
        <f t="shared" si="307"/>
        <v>30</v>
      </c>
      <c r="L606" s="81">
        <v>12.36</v>
      </c>
      <c r="M606" s="81">
        <v>11.54</v>
      </c>
      <c r="N606" s="25">
        <f t="shared" si="314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 t="str">
        <f>VLOOKUP(B607,'[1]Migrasi Bed'!$B$4:$E$521,4,0)</f>
        <v>SV.A021</v>
      </c>
      <c r="D607" s="77">
        <f t="shared" si="315"/>
        <v>46069</v>
      </c>
      <c r="E607" s="77">
        <f t="shared" si="316"/>
        <v>46053</v>
      </c>
      <c r="F607" s="77">
        <f t="shared" si="317"/>
        <v>46060</v>
      </c>
      <c r="G607" s="77">
        <f t="shared" si="318"/>
        <v>46066</v>
      </c>
      <c r="H607" s="77">
        <f t="shared" si="319"/>
        <v>46054</v>
      </c>
      <c r="I607" s="77">
        <f t="shared" si="320"/>
        <v>46061</v>
      </c>
      <c r="J607" s="77">
        <v>46075</v>
      </c>
      <c r="K607" s="83">
        <f t="shared" si="307"/>
        <v>29</v>
      </c>
      <c r="L607" s="81">
        <v>14.39</v>
      </c>
      <c r="M607" s="81">
        <v>13.24</v>
      </c>
      <c r="N607" s="25">
        <f t="shared" si="314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 t="str">
        <f>VLOOKUP(B608,'[1]Migrasi Bed'!$B$4:$E$521,4,0)</f>
        <v>SV.A022</v>
      </c>
      <c r="D608" s="77">
        <f t="shared" si="315"/>
        <v>46069</v>
      </c>
      <c r="E608" s="77">
        <f t="shared" si="316"/>
        <v>46053</v>
      </c>
      <c r="F608" s="77">
        <f t="shared" si="317"/>
        <v>46060</v>
      </c>
      <c r="G608" s="77">
        <f t="shared" si="318"/>
        <v>46066</v>
      </c>
      <c r="H608" s="77">
        <f t="shared" si="319"/>
        <v>46054</v>
      </c>
      <c r="I608" s="77">
        <f t="shared" si="320"/>
        <v>46061</v>
      </c>
      <c r="J608" s="77">
        <v>46075</v>
      </c>
      <c r="K608" s="83">
        <f t="shared" si="307"/>
        <v>29</v>
      </c>
      <c r="L608" s="81">
        <v>14.28</v>
      </c>
      <c r="M608" s="81">
        <v>13.97</v>
      </c>
      <c r="N608" s="25">
        <f t="shared" si="314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 t="str">
        <f>VLOOKUP(B609,'[1]Migrasi Bed'!$B$4:$E$521,4,0)</f>
        <v>SV.A023</v>
      </c>
      <c r="D609" s="77">
        <f t="shared" si="315"/>
        <v>46069</v>
      </c>
      <c r="E609" s="77">
        <f t="shared" si="316"/>
        <v>46053</v>
      </c>
      <c r="F609" s="77">
        <f t="shared" si="317"/>
        <v>46060</v>
      </c>
      <c r="G609" s="77">
        <f t="shared" si="318"/>
        <v>46066</v>
      </c>
      <c r="H609" s="77">
        <f t="shared" si="319"/>
        <v>46054</v>
      </c>
      <c r="I609" s="77">
        <f t="shared" si="320"/>
        <v>46061</v>
      </c>
      <c r="J609" s="77">
        <v>46075</v>
      </c>
      <c r="K609" s="83">
        <f t="shared" si="307"/>
        <v>29</v>
      </c>
      <c r="L609" s="81">
        <v>13.9</v>
      </c>
      <c r="M609" s="81">
        <v>12.38</v>
      </c>
      <c r="N609" s="25">
        <f t="shared" si="314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 t="str">
        <f>VLOOKUP(B610,'[1]Migrasi Bed'!$B$4:$E$521,4,0)</f>
        <v>SV.B024</v>
      </c>
      <c r="D610" s="77">
        <f t="shared" si="315"/>
        <v>46070</v>
      </c>
      <c r="E610" s="77">
        <f t="shared" si="316"/>
        <v>46054</v>
      </c>
      <c r="F610" s="77">
        <f t="shared" si="317"/>
        <v>46061</v>
      </c>
      <c r="G610" s="77">
        <f t="shared" si="318"/>
        <v>46067</v>
      </c>
      <c r="H610" s="77">
        <f t="shared" si="319"/>
        <v>46055</v>
      </c>
      <c r="I610" s="77">
        <f t="shared" si="320"/>
        <v>46062</v>
      </c>
      <c r="J610" s="77">
        <v>46078</v>
      </c>
      <c r="K610" s="83">
        <f t="shared" si="307"/>
        <v>31</v>
      </c>
      <c r="L610" s="81">
        <v>12.59</v>
      </c>
      <c r="M610" s="81">
        <v>11.36</v>
      </c>
      <c r="N610" s="25">
        <f t="shared" si="314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 t="str">
        <f>VLOOKUP(B611,'[1]Migrasi Bed'!$B$4:$E$521,4,0)</f>
        <v>SV.B025</v>
      </c>
      <c r="D611" s="77">
        <f t="shared" si="315"/>
        <v>46070</v>
      </c>
      <c r="E611" s="77">
        <f t="shared" si="316"/>
        <v>46054</v>
      </c>
      <c r="F611" s="77">
        <f t="shared" si="317"/>
        <v>46061</v>
      </c>
      <c r="G611" s="77">
        <f t="shared" si="318"/>
        <v>46067</v>
      </c>
      <c r="H611" s="77">
        <f t="shared" si="319"/>
        <v>46055</v>
      </c>
      <c r="I611" s="77">
        <f t="shared" si="320"/>
        <v>46062</v>
      </c>
      <c r="J611" s="77">
        <v>46078</v>
      </c>
      <c r="K611" s="83">
        <f t="shared" si="307"/>
        <v>31</v>
      </c>
      <c r="L611" s="81">
        <v>11.78</v>
      </c>
      <c r="M611" s="81">
        <v>10.65</v>
      </c>
      <c r="N611" s="25">
        <f t="shared" si="314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 t="str">
        <f>VLOOKUP(B612,'[1]Migrasi Bed'!$B$4:$E$521,4,0)</f>
        <v>SV.B026</v>
      </c>
      <c r="D612" s="77">
        <f t="shared" si="315"/>
        <v>46070</v>
      </c>
      <c r="E612" s="77">
        <f t="shared" si="316"/>
        <v>46054</v>
      </c>
      <c r="F612" s="77">
        <f t="shared" si="317"/>
        <v>46061</v>
      </c>
      <c r="G612" s="77">
        <f t="shared" si="318"/>
        <v>46067</v>
      </c>
      <c r="H612" s="77">
        <f t="shared" si="319"/>
        <v>46055</v>
      </c>
      <c r="I612" s="77">
        <f t="shared" si="320"/>
        <v>46062</v>
      </c>
      <c r="J612" s="77">
        <v>46078</v>
      </c>
      <c r="K612" s="83">
        <f t="shared" si="307"/>
        <v>31</v>
      </c>
      <c r="L612" s="81">
        <v>12.63</v>
      </c>
      <c r="M612" s="81">
        <v>11.48</v>
      </c>
      <c r="N612" s="25">
        <f t="shared" si="314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 t="str">
        <f>VLOOKUP(B613,'[1]Migrasi Bed'!$B$4:$E$521,4,0)</f>
        <v>SV.B027</v>
      </c>
      <c r="D613" s="77">
        <f t="shared" si="315"/>
        <v>46070</v>
      </c>
      <c r="E613" s="77">
        <f t="shared" si="316"/>
        <v>46054</v>
      </c>
      <c r="F613" s="77">
        <f t="shared" si="317"/>
        <v>46061</v>
      </c>
      <c r="G613" s="77">
        <f t="shared" si="318"/>
        <v>46067</v>
      </c>
      <c r="H613" s="77">
        <f t="shared" si="319"/>
        <v>46055</v>
      </c>
      <c r="I613" s="77">
        <f t="shared" si="320"/>
        <v>46062</v>
      </c>
      <c r="J613" s="77">
        <v>46078</v>
      </c>
      <c r="K613" s="83">
        <f t="shared" si="307"/>
        <v>31</v>
      </c>
      <c r="L613" s="81">
        <v>11.48</v>
      </c>
      <c r="M613" s="81">
        <v>10.81</v>
      </c>
      <c r="N613" s="25">
        <f t="shared" si="314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 t="str">
        <f>VLOOKUP(B614,'[2]Migrasi Bed'!$B$4:$E$521,4,0)</f>
        <v>SV.B028</v>
      </c>
      <c r="D614" s="77">
        <f t="shared" si="315"/>
        <v>46070</v>
      </c>
      <c r="E614" s="77">
        <f t="shared" si="316"/>
        <v>46054</v>
      </c>
      <c r="F614" s="77">
        <f t="shared" si="317"/>
        <v>46061</v>
      </c>
      <c r="G614" s="77">
        <f t="shared" si="318"/>
        <v>46067</v>
      </c>
      <c r="H614" s="77">
        <f t="shared" si="319"/>
        <v>46055</v>
      </c>
      <c r="I614" s="77">
        <f t="shared" si="320"/>
        <v>46062</v>
      </c>
      <c r="J614" s="77">
        <v>46079</v>
      </c>
      <c r="K614" s="83">
        <f t="shared" si="307"/>
        <v>32</v>
      </c>
      <c r="L614" s="110">
        <v>11.73</v>
      </c>
      <c r="M614" s="110">
        <v>10.58</v>
      </c>
      <c r="N614" s="111">
        <f t="shared" si="314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 t="str">
        <f>VLOOKUP(B615,'[2]Migrasi Bed'!$B$4:$E$521,4,0)</f>
        <v>SV.B029</v>
      </c>
      <c r="D615" s="77">
        <f t="shared" si="315"/>
        <v>46070</v>
      </c>
      <c r="E615" s="77">
        <f t="shared" si="316"/>
        <v>46054</v>
      </c>
      <c r="F615" s="77">
        <f t="shared" si="317"/>
        <v>46061</v>
      </c>
      <c r="G615" s="77">
        <f t="shared" si="318"/>
        <v>46067</v>
      </c>
      <c r="H615" s="77">
        <f t="shared" si="319"/>
        <v>46055</v>
      </c>
      <c r="I615" s="77">
        <f t="shared" si="320"/>
        <v>46062</v>
      </c>
      <c r="J615" s="77">
        <v>46079</v>
      </c>
      <c r="K615" s="83">
        <f t="shared" si="307"/>
        <v>32</v>
      </c>
      <c r="L615" s="110">
        <v>12.38</v>
      </c>
      <c r="M615" s="110">
        <v>11.21</v>
      </c>
      <c r="N615" s="111">
        <f t="shared" si="314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 t="str">
        <f>VLOOKUP(B616,'[2]Migrasi Bed'!$B$4:$E$521,4,0)</f>
        <v>SV.B030</v>
      </c>
      <c r="D616" s="77">
        <f t="shared" si="315"/>
        <v>46070</v>
      </c>
      <c r="E616" s="77">
        <f t="shared" si="316"/>
        <v>46054</v>
      </c>
      <c r="F616" s="77">
        <f t="shared" si="317"/>
        <v>46061</v>
      </c>
      <c r="G616" s="77">
        <f t="shared" si="318"/>
        <v>46067</v>
      </c>
      <c r="H616" s="77">
        <f t="shared" si="319"/>
        <v>46055</v>
      </c>
      <c r="I616" s="77">
        <f t="shared" si="320"/>
        <v>46062</v>
      </c>
      <c r="J616" s="77">
        <v>46079</v>
      </c>
      <c r="K616" s="83">
        <f t="shared" si="307"/>
        <v>32</v>
      </c>
      <c r="L616" s="110">
        <v>11.84</v>
      </c>
      <c r="M616" s="110">
        <v>10.63</v>
      </c>
      <c r="N616" s="111">
        <f t="shared" si="314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 t="str">
        <f>VLOOKUP(B617,'[2]Migrasi Bed'!$B$4:$E$521,4,0)</f>
        <v>BJ.I001</v>
      </c>
      <c r="D617" s="77">
        <f t="shared" si="315"/>
        <v>46071</v>
      </c>
      <c r="E617" s="77">
        <f t="shared" si="316"/>
        <v>46055</v>
      </c>
      <c r="F617" s="77">
        <f t="shared" si="317"/>
        <v>46062</v>
      </c>
      <c r="G617" s="77">
        <f t="shared" si="318"/>
        <v>46068</v>
      </c>
      <c r="H617" s="77">
        <f t="shared" si="319"/>
        <v>46056</v>
      </c>
      <c r="I617" s="77">
        <f t="shared" si="320"/>
        <v>46063</v>
      </c>
      <c r="J617" s="77">
        <v>46079</v>
      </c>
      <c r="K617" s="83">
        <f>J617-A617</f>
        <v>31</v>
      </c>
      <c r="L617" s="110">
        <v>13.51</v>
      </c>
      <c r="M617" s="110">
        <v>12.36</v>
      </c>
      <c r="N617" s="111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 t="str">
        <f>VLOOKUP(B618,'[2]Migrasi Bed'!$B$4:$E$521,4,0)</f>
        <v>BJ.I002</v>
      </c>
      <c r="D618" s="77">
        <f t="shared" si="315"/>
        <v>46071</v>
      </c>
      <c r="E618" s="77">
        <f t="shared" si="316"/>
        <v>46055</v>
      </c>
      <c r="F618" s="77">
        <f t="shared" si="317"/>
        <v>46062</v>
      </c>
      <c r="G618" s="77">
        <f t="shared" si="318"/>
        <v>46068</v>
      </c>
      <c r="H618" s="77">
        <f t="shared" si="319"/>
        <v>46056</v>
      </c>
      <c r="I618" s="77">
        <f t="shared" si="320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 t="str">
        <f>VLOOKUP(B619,'[2]Migrasi Bed'!$B$4:$E$521,4,0)</f>
        <v>BJ.I003</v>
      </c>
      <c r="D619" s="77">
        <f t="shared" si="315"/>
        <v>46071</v>
      </c>
      <c r="E619" s="77">
        <f t="shared" si="316"/>
        <v>46055</v>
      </c>
      <c r="F619" s="77">
        <f t="shared" si="317"/>
        <v>46062</v>
      </c>
      <c r="G619" s="77">
        <f t="shared" si="318"/>
        <v>46068</v>
      </c>
      <c r="H619" s="77">
        <f t="shared" si="319"/>
        <v>46056</v>
      </c>
      <c r="I619" s="77">
        <f t="shared" si="320"/>
        <v>46063</v>
      </c>
      <c r="J619" s="77">
        <v>46080</v>
      </c>
      <c r="K619" s="83">
        <f t="shared" ref="K619:K628" si="321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 t="str">
        <f>VLOOKUP(B620,'[2]Migrasi Bed'!$B$4:$E$521,4,0)</f>
        <v>BJ.I004</v>
      </c>
      <c r="D620" s="77">
        <f t="shared" si="315"/>
        <v>46071</v>
      </c>
      <c r="E620" s="77">
        <f t="shared" si="316"/>
        <v>46055</v>
      </c>
      <c r="F620" s="77">
        <f t="shared" si="317"/>
        <v>46062</v>
      </c>
      <c r="G620" s="77">
        <f t="shared" si="318"/>
        <v>46068</v>
      </c>
      <c r="H620" s="77">
        <f t="shared" si="319"/>
        <v>46056</v>
      </c>
      <c r="I620" s="77">
        <f t="shared" si="320"/>
        <v>46063</v>
      </c>
      <c r="J620" s="77">
        <v>46080</v>
      </c>
      <c r="K620" s="83">
        <f t="shared" si="321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 t="str">
        <f>VLOOKUP(B621,'[2]Migrasi Bed'!$B$4:$E$521,4,0)</f>
        <v>BJ.I005</v>
      </c>
      <c r="D621" s="77">
        <f t="shared" si="315"/>
        <v>46071</v>
      </c>
      <c r="E621" s="77">
        <f t="shared" si="316"/>
        <v>46055</v>
      </c>
      <c r="F621" s="77">
        <f t="shared" si="317"/>
        <v>46062</v>
      </c>
      <c r="G621" s="77">
        <f t="shared" si="318"/>
        <v>46068</v>
      </c>
      <c r="H621" s="77">
        <f t="shared" si="319"/>
        <v>46056</v>
      </c>
      <c r="I621" s="77">
        <f t="shared" si="320"/>
        <v>46063</v>
      </c>
      <c r="J621" s="77">
        <v>46080</v>
      </c>
      <c r="K621" s="83">
        <f t="shared" si="321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 t="str">
        <f>VLOOKUP(B622,'[2]Migrasi Bed'!$B$4:$E$521,4,0)</f>
        <v>BJ.I006</v>
      </c>
      <c r="D622" s="77">
        <f t="shared" si="315"/>
        <v>46071</v>
      </c>
      <c r="E622" s="77">
        <f t="shared" si="316"/>
        <v>46055</v>
      </c>
      <c r="F622" s="77">
        <f t="shared" si="317"/>
        <v>46062</v>
      </c>
      <c r="G622" s="77">
        <f t="shared" si="318"/>
        <v>46068</v>
      </c>
      <c r="H622" s="77">
        <f t="shared" si="319"/>
        <v>46056</v>
      </c>
      <c r="I622" s="77">
        <f t="shared" si="320"/>
        <v>46063</v>
      </c>
      <c r="J622" s="77">
        <v>46080</v>
      </c>
      <c r="K622" s="83">
        <f t="shared" si="321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 t="str">
        <f>VLOOKUP(B623,'[2]Migrasi Bed'!$B$4:$E$521,4,0)</f>
        <v>BJ.I007</v>
      </c>
      <c r="D623" s="77">
        <f t="shared" si="315"/>
        <v>46071</v>
      </c>
      <c r="E623" s="77">
        <f t="shared" si="316"/>
        <v>46055</v>
      </c>
      <c r="F623" s="77">
        <f t="shared" si="317"/>
        <v>46062</v>
      </c>
      <c r="G623" s="77">
        <f t="shared" si="318"/>
        <v>46068</v>
      </c>
      <c r="H623" s="77">
        <f t="shared" si="319"/>
        <v>46056</v>
      </c>
      <c r="I623" s="77">
        <f t="shared" si="320"/>
        <v>46063</v>
      </c>
      <c r="J623" s="77">
        <v>46080</v>
      </c>
      <c r="K623" s="83">
        <f t="shared" si="321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 t="str">
        <f>VLOOKUP(B624,'[2]Migrasi Bed'!$B$4:$E$521,4,0)</f>
        <v>BJ.I008</v>
      </c>
      <c r="D624" s="77">
        <f t="shared" si="315"/>
        <v>46072</v>
      </c>
      <c r="E624" s="77">
        <f t="shared" si="316"/>
        <v>46056</v>
      </c>
      <c r="F624" s="77">
        <f t="shared" si="317"/>
        <v>46063</v>
      </c>
      <c r="G624" s="77">
        <f t="shared" si="318"/>
        <v>46069</v>
      </c>
      <c r="H624" s="77">
        <f t="shared" si="319"/>
        <v>46057</v>
      </c>
      <c r="I624" s="77">
        <f t="shared" si="320"/>
        <v>46064</v>
      </c>
      <c r="J624" s="77">
        <v>46080</v>
      </c>
      <c r="K624" s="83">
        <f t="shared" si="321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 t="str">
        <f>VLOOKUP(B625,'[2]Migrasi Bed'!$B$4:$E$521,4,0)</f>
        <v>BJ.I009</v>
      </c>
      <c r="D625" s="77">
        <f t="shared" si="315"/>
        <v>46072</v>
      </c>
      <c r="E625" s="77">
        <f t="shared" si="316"/>
        <v>46056</v>
      </c>
      <c r="F625" s="77">
        <f t="shared" si="317"/>
        <v>46063</v>
      </c>
      <c r="G625" s="77">
        <f t="shared" si="318"/>
        <v>46069</v>
      </c>
      <c r="H625" s="77">
        <f t="shared" si="319"/>
        <v>46057</v>
      </c>
      <c r="I625" s="77">
        <f t="shared" si="320"/>
        <v>46064</v>
      </c>
      <c r="J625" s="77">
        <v>46080</v>
      </c>
      <c r="K625" s="83">
        <f t="shared" si="321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 t="str">
        <f>VLOOKUP(B626,'[2]Migrasi Bed'!$B$4:$E$521,4,0)</f>
        <v>BJ.I010</v>
      </c>
      <c r="D626" s="77">
        <f t="shared" si="315"/>
        <v>46072</v>
      </c>
      <c r="E626" s="77">
        <f t="shared" si="316"/>
        <v>46056</v>
      </c>
      <c r="F626" s="77">
        <f t="shared" si="317"/>
        <v>46063</v>
      </c>
      <c r="G626" s="77">
        <f t="shared" si="318"/>
        <v>46069</v>
      </c>
      <c r="H626" s="77">
        <f t="shared" si="319"/>
        <v>46057</v>
      </c>
      <c r="I626" s="77">
        <f t="shared" si="320"/>
        <v>46064</v>
      </c>
      <c r="J626" s="77">
        <v>46080</v>
      </c>
      <c r="K626" s="83">
        <f t="shared" si="321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 t="str">
        <f>VLOOKUP(B627,'[2]Migrasi Bed'!$B$4:$E$521,4,0)</f>
        <v>BJ.I011</v>
      </c>
      <c r="D627" s="77">
        <f t="shared" si="315"/>
        <v>46072</v>
      </c>
      <c r="E627" s="77">
        <f t="shared" si="316"/>
        <v>46056</v>
      </c>
      <c r="F627" s="77">
        <f t="shared" si="317"/>
        <v>46063</v>
      </c>
      <c r="G627" s="77">
        <f t="shared" si="318"/>
        <v>46069</v>
      </c>
      <c r="H627" s="77">
        <f t="shared" si="319"/>
        <v>46057</v>
      </c>
      <c r="I627" s="77">
        <f t="shared" si="320"/>
        <v>46064</v>
      </c>
      <c r="J627" s="77">
        <v>46080</v>
      </c>
      <c r="K627" s="83">
        <f t="shared" si="321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tr">
        <f>VLOOKUP(B628,'[2]Migrasi Bed'!$B$4:$E$521,4,0)</f>
        <v>BJ.I012</v>
      </c>
      <c r="D628" s="77">
        <f t="shared" si="315"/>
        <v>46072</v>
      </c>
      <c r="E628" s="77">
        <f t="shared" si="316"/>
        <v>46056</v>
      </c>
      <c r="F628" s="77">
        <f t="shared" si="317"/>
        <v>46063</v>
      </c>
      <c r="G628" s="77">
        <f t="shared" si="318"/>
        <v>46069</v>
      </c>
      <c r="H628" s="77">
        <f t="shared" si="319"/>
        <v>46057</v>
      </c>
      <c r="I628" s="77">
        <f t="shared" si="320"/>
        <v>46064</v>
      </c>
      <c r="J628" s="77">
        <v>46080</v>
      </c>
      <c r="K628" s="83">
        <f t="shared" si="321"/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tr">
        <f>VLOOKUP(B629,'[2]Migrasi Bed'!$B$4:$E$521,4,0)</f>
        <v>BJ.I013</v>
      </c>
      <c r="D629" s="77">
        <f t="shared" si="315"/>
        <v>46072</v>
      </c>
      <c r="E629" s="77">
        <f t="shared" si="316"/>
        <v>46056</v>
      </c>
      <c r="F629" s="77">
        <f t="shared" si="317"/>
        <v>46063</v>
      </c>
      <c r="G629" s="77">
        <f t="shared" si="318"/>
        <v>46069</v>
      </c>
      <c r="H629" s="77">
        <f t="shared" si="319"/>
        <v>46057</v>
      </c>
      <c r="I629" s="77">
        <f t="shared" si="320"/>
        <v>46064</v>
      </c>
      <c r="J629" s="77"/>
      <c r="K629" s="25"/>
      <c r="L629" s="81"/>
      <c r="M629" s="81"/>
      <c r="N629" s="25"/>
      <c r="O629" s="25"/>
    </row>
    <row r="630" spans="1:15" x14ac:dyDescent="0.25">
      <c r="A630" s="77">
        <v>46049</v>
      </c>
      <c r="B630" s="25" t="s">
        <v>572</v>
      </c>
      <c r="C630" s="25" t="str">
        <f>VLOOKUP(B630,'[2]Migrasi Bed'!$B$4:$E$521,4,0)</f>
        <v>BJ.I014</v>
      </c>
      <c r="D630" s="77">
        <f t="shared" si="315"/>
        <v>46072</v>
      </c>
      <c r="E630" s="77">
        <f t="shared" si="316"/>
        <v>46056</v>
      </c>
      <c r="F630" s="77">
        <f t="shared" si="317"/>
        <v>46063</v>
      </c>
      <c r="G630" s="77">
        <f t="shared" si="318"/>
        <v>46069</v>
      </c>
      <c r="H630" s="77">
        <f t="shared" si="319"/>
        <v>46057</v>
      </c>
      <c r="I630" s="77">
        <f t="shared" si="320"/>
        <v>46064</v>
      </c>
      <c r="J630" s="77"/>
      <c r="K630" s="25"/>
      <c r="L630" s="81"/>
      <c r="M630" s="81"/>
      <c r="N630" s="25"/>
      <c r="O630" s="25"/>
    </row>
    <row r="631" spans="1:15" x14ac:dyDescent="0.25">
      <c r="A631" s="77">
        <v>46050</v>
      </c>
      <c r="B631" s="25" t="s">
        <v>573</v>
      </c>
      <c r="C631" s="25" t="str">
        <f>VLOOKUP(B631,'[2]Migrasi Bed'!$B$4:$E$521,4,0)</f>
        <v>BJ.I015</v>
      </c>
      <c r="D631" s="77">
        <f t="shared" si="315"/>
        <v>46073</v>
      </c>
      <c r="E631" s="77">
        <f t="shared" si="316"/>
        <v>46057</v>
      </c>
      <c r="F631" s="77">
        <f t="shared" si="317"/>
        <v>46064</v>
      </c>
      <c r="G631" s="77">
        <f t="shared" si="318"/>
        <v>46070</v>
      </c>
      <c r="H631" s="77">
        <f t="shared" si="319"/>
        <v>46058</v>
      </c>
      <c r="I631" s="77">
        <f t="shared" si="320"/>
        <v>46065</v>
      </c>
      <c r="J631" s="77"/>
      <c r="K631" s="25"/>
      <c r="L631" s="81"/>
      <c r="M631" s="81"/>
      <c r="N631" s="25"/>
      <c r="O631" s="25"/>
    </row>
    <row r="632" spans="1:15" x14ac:dyDescent="0.25">
      <c r="A632" s="77">
        <v>46050</v>
      </c>
      <c r="B632" s="25" t="s">
        <v>574</v>
      </c>
      <c r="C632" s="25" t="str">
        <f>VLOOKUP(B632,'[2]Migrasi Bed'!$B$4:$E$521,4,0)</f>
        <v>BJ.I016</v>
      </c>
      <c r="D632" s="77">
        <f t="shared" si="315"/>
        <v>46073</v>
      </c>
      <c r="E632" s="77">
        <f t="shared" si="316"/>
        <v>46057</v>
      </c>
      <c r="F632" s="77">
        <f t="shared" si="317"/>
        <v>46064</v>
      </c>
      <c r="G632" s="77">
        <f t="shared" si="318"/>
        <v>46070</v>
      </c>
      <c r="H632" s="77">
        <f t="shared" si="319"/>
        <v>46058</v>
      </c>
      <c r="I632" s="77">
        <f t="shared" si="320"/>
        <v>46065</v>
      </c>
      <c r="J632" s="77"/>
      <c r="K632" s="25"/>
      <c r="L632" s="81"/>
      <c r="M632" s="81"/>
      <c r="N632" s="25"/>
      <c r="O632" s="25"/>
    </row>
    <row r="633" spans="1:15" x14ac:dyDescent="0.25">
      <c r="A633" s="77">
        <v>46050</v>
      </c>
      <c r="B633" s="25" t="s">
        <v>575</v>
      </c>
      <c r="C633" s="25" t="str">
        <f>VLOOKUP(B633,'[2]Migrasi Bed'!$B$4:$E$521,4,0)</f>
        <v>BJ.I017</v>
      </c>
      <c r="D633" s="77">
        <f t="shared" si="315"/>
        <v>46073</v>
      </c>
      <c r="E633" s="77">
        <f t="shared" si="316"/>
        <v>46057</v>
      </c>
      <c r="F633" s="77">
        <f t="shared" si="317"/>
        <v>46064</v>
      </c>
      <c r="G633" s="77">
        <f t="shared" si="318"/>
        <v>46070</v>
      </c>
      <c r="H633" s="77">
        <f t="shared" si="319"/>
        <v>46058</v>
      </c>
      <c r="I633" s="77">
        <f t="shared" si="320"/>
        <v>46065</v>
      </c>
      <c r="J633" s="77"/>
      <c r="K633" s="25"/>
      <c r="L633" s="81"/>
      <c r="M633" s="81"/>
      <c r="N633" s="25"/>
      <c r="O633" s="25"/>
    </row>
    <row r="634" spans="1:15" x14ac:dyDescent="0.25">
      <c r="A634" s="77">
        <v>46050</v>
      </c>
      <c r="B634" s="25" t="s">
        <v>576</v>
      </c>
      <c r="C634" s="25" t="str">
        <f>VLOOKUP(B634,'[2]Migrasi Bed'!$B$4:$E$521,4,0)</f>
        <v>BJ.I018</v>
      </c>
      <c r="D634" s="77">
        <f t="shared" si="315"/>
        <v>46073</v>
      </c>
      <c r="E634" s="77">
        <f t="shared" si="316"/>
        <v>46057</v>
      </c>
      <c r="F634" s="77">
        <f t="shared" si="317"/>
        <v>46064</v>
      </c>
      <c r="G634" s="77">
        <f t="shared" si="318"/>
        <v>46070</v>
      </c>
      <c r="H634" s="77">
        <f t="shared" si="319"/>
        <v>46058</v>
      </c>
      <c r="I634" s="77">
        <f t="shared" si="320"/>
        <v>46065</v>
      </c>
      <c r="J634" s="77"/>
      <c r="K634" s="25"/>
      <c r="L634" s="81"/>
      <c r="M634" s="81"/>
      <c r="N634" s="25"/>
      <c r="O634" s="25"/>
    </row>
    <row r="635" spans="1:15" x14ac:dyDescent="0.25">
      <c r="A635" s="77">
        <v>46050</v>
      </c>
      <c r="B635" s="25" t="s">
        <v>577</v>
      </c>
      <c r="C635" s="25" t="str">
        <f>VLOOKUP(B635,'[2]Migrasi Bed'!$B$4:$E$521,4,0)</f>
        <v>BJ.I019</v>
      </c>
      <c r="D635" s="77">
        <f t="shared" si="315"/>
        <v>46073</v>
      </c>
      <c r="E635" s="77">
        <f t="shared" si="316"/>
        <v>46057</v>
      </c>
      <c r="F635" s="77">
        <f t="shared" si="317"/>
        <v>46064</v>
      </c>
      <c r="G635" s="77">
        <f t="shared" si="318"/>
        <v>46070</v>
      </c>
      <c r="H635" s="77">
        <f t="shared" si="319"/>
        <v>46058</v>
      </c>
      <c r="I635" s="77">
        <f t="shared" si="320"/>
        <v>46065</v>
      </c>
      <c r="J635" s="77"/>
      <c r="K635" s="25"/>
      <c r="L635" s="81"/>
      <c r="M635" s="81"/>
      <c r="N635" s="25"/>
      <c r="O635" s="25"/>
    </row>
    <row r="636" spans="1:15" x14ac:dyDescent="0.25">
      <c r="A636" s="77">
        <v>46050</v>
      </c>
      <c r="B636" s="25" t="s">
        <v>578</v>
      </c>
      <c r="C636" s="25" t="str">
        <f>VLOOKUP(B636,'[2]Migrasi Bed'!$B$4:$E$521,4,0)</f>
        <v>BJ.I020</v>
      </c>
      <c r="D636" s="77">
        <f t="shared" si="315"/>
        <v>46073</v>
      </c>
      <c r="E636" s="77">
        <f t="shared" si="316"/>
        <v>46057</v>
      </c>
      <c r="F636" s="77">
        <f t="shared" si="317"/>
        <v>46064</v>
      </c>
      <c r="G636" s="77">
        <f t="shared" si="318"/>
        <v>46070</v>
      </c>
      <c r="H636" s="77">
        <f t="shared" si="319"/>
        <v>46058</v>
      </c>
      <c r="I636" s="77">
        <f t="shared" si="320"/>
        <v>46065</v>
      </c>
      <c r="J636" s="77"/>
      <c r="K636" s="83"/>
      <c r="L636" s="110"/>
      <c r="M636" s="110"/>
      <c r="N636" s="111"/>
      <c r="O636" s="82"/>
    </row>
    <row r="637" spans="1:15" x14ac:dyDescent="0.25">
      <c r="A637" s="77">
        <v>46050</v>
      </c>
      <c r="B637" s="25" t="s">
        <v>1144</v>
      </c>
      <c r="C637" s="25" t="str">
        <f>VLOOKUP(B637,'[2]Migrasi Bed'!$B$4:$E$521,4,0)</f>
        <v>BJ.J001</v>
      </c>
      <c r="D637" s="77">
        <f t="shared" si="315"/>
        <v>46073</v>
      </c>
      <c r="E637" s="77">
        <f t="shared" si="316"/>
        <v>46057</v>
      </c>
      <c r="F637" s="77">
        <f t="shared" si="317"/>
        <v>46064</v>
      </c>
      <c r="G637" s="77">
        <f t="shared" si="318"/>
        <v>46070</v>
      </c>
      <c r="H637" s="77">
        <f t="shared" si="319"/>
        <v>46058</v>
      </c>
      <c r="I637" s="77">
        <f t="shared" si="320"/>
        <v>46065</v>
      </c>
      <c r="J637" s="77">
        <v>46079</v>
      </c>
      <c r="K637" s="83">
        <f t="shared" ref="K637:K644" si="322">J637-A637</f>
        <v>29</v>
      </c>
      <c r="L637" s="110">
        <v>12.39</v>
      </c>
      <c r="M637" s="110">
        <v>11.1</v>
      </c>
      <c r="N637" s="111">
        <f t="shared" ref="N637:N644" si="323">L637-M637</f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tr">
        <f>VLOOKUP(B638,'[2]Migrasi Bed'!$B$4:$E$521,4,0)</f>
        <v>SV.B017</v>
      </c>
      <c r="D638" s="77">
        <f t="shared" si="315"/>
        <v>46074</v>
      </c>
      <c r="E638" s="77">
        <f t="shared" si="316"/>
        <v>46058</v>
      </c>
      <c r="F638" s="77">
        <f t="shared" si="317"/>
        <v>46065</v>
      </c>
      <c r="G638" s="77">
        <f t="shared" si="318"/>
        <v>46071</v>
      </c>
      <c r="H638" s="77">
        <f t="shared" si="319"/>
        <v>46059</v>
      </c>
      <c r="I638" s="77">
        <f t="shared" si="320"/>
        <v>46066</v>
      </c>
      <c r="J638" s="77">
        <v>46076</v>
      </c>
      <c r="K638" s="83">
        <f t="shared" si="322"/>
        <v>25</v>
      </c>
      <c r="L638" s="81">
        <v>14.27</v>
      </c>
      <c r="M638" s="81">
        <v>13.11</v>
      </c>
      <c r="N638" s="25">
        <f t="shared" si="323"/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tr">
        <f>VLOOKUP(B639,'[2]Migrasi Bed'!$B$4:$E$521,4,0)</f>
        <v>SV.B018</v>
      </c>
      <c r="D639" s="77">
        <f t="shared" ref="D639:D702" si="324">A639+23</f>
        <v>46074</v>
      </c>
      <c r="E639" s="77">
        <f t="shared" ref="E639:E702" si="325">A639+7</f>
        <v>46058</v>
      </c>
      <c r="F639" s="77">
        <f t="shared" ref="F639:F702" si="326">A639+14</f>
        <v>46065</v>
      </c>
      <c r="G639" s="77">
        <f t="shared" ref="G639:G702" si="327">A639+20</f>
        <v>46071</v>
      </c>
      <c r="H639" s="77">
        <f t="shared" ref="H639:H702" si="328">A639+8</f>
        <v>46059</v>
      </c>
      <c r="I639" s="77">
        <f t="shared" ref="I639:I702" si="329">A639+15</f>
        <v>46066</v>
      </c>
      <c r="J639" s="77">
        <v>46076</v>
      </c>
      <c r="K639" s="83">
        <f t="shared" si="322"/>
        <v>25</v>
      </c>
      <c r="L639" s="81">
        <v>15.31</v>
      </c>
      <c r="M639" s="81">
        <v>14.19</v>
      </c>
      <c r="N639" s="25">
        <f t="shared" si="323"/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tr">
        <f>VLOOKUP(B640,'[2]Migrasi Bed'!$B$4:$E$521,4,0)</f>
        <v>SV.B019</v>
      </c>
      <c r="D640" s="77">
        <f t="shared" si="324"/>
        <v>46074</v>
      </c>
      <c r="E640" s="77">
        <f t="shared" si="325"/>
        <v>46058</v>
      </c>
      <c r="F640" s="77">
        <f t="shared" si="326"/>
        <v>46065</v>
      </c>
      <c r="G640" s="77">
        <f t="shared" si="327"/>
        <v>46071</v>
      </c>
      <c r="H640" s="77">
        <f t="shared" si="328"/>
        <v>46059</v>
      </c>
      <c r="I640" s="77">
        <f t="shared" si="329"/>
        <v>46066</v>
      </c>
      <c r="J640" s="77">
        <v>46077</v>
      </c>
      <c r="K640" s="83">
        <f t="shared" si="322"/>
        <v>26</v>
      </c>
      <c r="L640" s="81">
        <v>14.51</v>
      </c>
      <c r="M640" s="81">
        <v>13.54</v>
      </c>
      <c r="N640" s="25">
        <f t="shared" si="323"/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tr">
        <f>VLOOKUP(B641,'[2]Migrasi Bed'!$B$4:$E$521,4,0)</f>
        <v>SV.B020</v>
      </c>
      <c r="D641" s="77">
        <f t="shared" si="324"/>
        <v>46074</v>
      </c>
      <c r="E641" s="77">
        <f t="shared" si="325"/>
        <v>46058</v>
      </c>
      <c r="F641" s="77">
        <f t="shared" si="326"/>
        <v>46065</v>
      </c>
      <c r="G641" s="77">
        <f t="shared" si="327"/>
        <v>46071</v>
      </c>
      <c r="H641" s="77">
        <f t="shared" si="328"/>
        <v>46059</v>
      </c>
      <c r="I641" s="77">
        <f t="shared" si="329"/>
        <v>46066</v>
      </c>
      <c r="J641" s="77">
        <v>46077</v>
      </c>
      <c r="K641" s="83">
        <f t="shared" si="322"/>
        <v>26</v>
      </c>
      <c r="L641" s="81">
        <v>13.64</v>
      </c>
      <c r="M641" s="81">
        <v>12.72</v>
      </c>
      <c r="N641" s="25">
        <f t="shared" si="323"/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tr">
        <f>VLOOKUP(B642,'[2]Migrasi Bed'!$B$4:$E$521,4,0)</f>
        <v>SV.B021</v>
      </c>
      <c r="D642" s="77">
        <f t="shared" si="324"/>
        <v>46074</v>
      </c>
      <c r="E642" s="77">
        <f t="shared" si="325"/>
        <v>46058</v>
      </c>
      <c r="F642" s="77">
        <f t="shared" si="326"/>
        <v>46065</v>
      </c>
      <c r="G642" s="77">
        <f t="shared" si="327"/>
        <v>46071</v>
      </c>
      <c r="H642" s="77">
        <f t="shared" si="328"/>
        <v>46059</v>
      </c>
      <c r="I642" s="77">
        <f t="shared" si="329"/>
        <v>46066</v>
      </c>
      <c r="J642" s="77">
        <v>46077</v>
      </c>
      <c r="K642" s="83">
        <f t="shared" si="322"/>
        <v>26</v>
      </c>
      <c r="L642" s="81">
        <v>15.37</v>
      </c>
      <c r="M642" s="81">
        <v>14.26</v>
      </c>
      <c r="N642" s="25">
        <f t="shared" si="323"/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tr">
        <f>VLOOKUP(B643,'[2]Migrasi Bed'!$B$4:$E$521,4,0)</f>
        <v>SV.B022</v>
      </c>
      <c r="D643" s="77">
        <f t="shared" si="324"/>
        <v>46074</v>
      </c>
      <c r="E643" s="77">
        <f t="shared" si="325"/>
        <v>46058</v>
      </c>
      <c r="F643" s="77">
        <f t="shared" si="326"/>
        <v>46065</v>
      </c>
      <c r="G643" s="77">
        <f t="shared" si="327"/>
        <v>46071</v>
      </c>
      <c r="H643" s="77">
        <f t="shared" si="328"/>
        <v>46059</v>
      </c>
      <c r="I643" s="77">
        <f t="shared" si="329"/>
        <v>46066</v>
      </c>
      <c r="J643" s="77">
        <v>46078</v>
      </c>
      <c r="K643" s="25">
        <f t="shared" si="322"/>
        <v>27</v>
      </c>
      <c r="L643" s="81">
        <v>13.48</v>
      </c>
      <c r="M643" s="81">
        <v>12.73</v>
      </c>
      <c r="N643" s="25">
        <f t="shared" si="323"/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tr">
        <f>VLOOKUP(B644,'[2]Migrasi Bed'!$B$4:$E$521,4,0)</f>
        <v>SV.B023</v>
      </c>
      <c r="D644" s="77">
        <f t="shared" si="324"/>
        <v>46074</v>
      </c>
      <c r="E644" s="77">
        <f t="shared" si="325"/>
        <v>46058</v>
      </c>
      <c r="F644" s="77">
        <f t="shared" si="326"/>
        <v>46065</v>
      </c>
      <c r="G644" s="77">
        <f t="shared" si="327"/>
        <v>46071</v>
      </c>
      <c r="H644" s="77">
        <f t="shared" si="328"/>
        <v>46059</v>
      </c>
      <c r="I644" s="77">
        <f t="shared" si="329"/>
        <v>46066</v>
      </c>
      <c r="J644" s="77">
        <v>46078</v>
      </c>
      <c r="K644" s="25">
        <f t="shared" si="322"/>
        <v>27</v>
      </c>
      <c r="L644" s="81">
        <v>13.16</v>
      </c>
      <c r="M644" s="81">
        <v>12.26</v>
      </c>
      <c r="N644" s="25">
        <f t="shared" si="323"/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tr">
        <f>VLOOKUP(B645,'[2]Migrasi Bed'!$B$4:$E$521,4,0)</f>
        <v>SV.A010</v>
      </c>
      <c r="D645" s="77">
        <f t="shared" si="324"/>
        <v>46075</v>
      </c>
      <c r="E645" s="77">
        <f t="shared" si="325"/>
        <v>46059</v>
      </c>
      <c r="F645" s="77">
        <f t="shared" si="326"/>
        <v>46066</v>
      </c>
      <c r="G645" s="77">
        <f t="shared" si="327"/>
        <v>46072</v>
      </c>
      <c r="H645" s="77">
        <f t="shared" si="328"/>
        <v>46060</v>
      </c>
      <c r="I645" s="77">
        <f t="shared" si="329"/>
        <v>46067</v>
      </c>
      <c r="J645" s="77"/>
      <c r="K645" s="25"/>
      <c r="L645" s="81"/>
      <c r="M645" s="81"/>
      <c r="N645" s="25"/>
      <c r="O645" s="25"/>
    </row>
    <row r="646" spans="1:15" x14ac:dyDescent="0.25">
      <c r="A646" s="77">
        <v>46052</v>
      </c>
      <c r="B646" s="25" t="s">
        <v>422</v>
      </c>
      <c r="C646" s="25" t="str">
        <f>VLOOKUP(B646,'[2]Migrasi Bed'!$B$4:$E$521,4,0)</f>
        <v>SV.A011</v>
      </c>
      <c r="D646" s="77">
        <f t="shared" si="324"/>
        <v>46075</v>
      </c>
      <c r="E646" s="77">
        <f t="shared" si="325"/>
        <v>46059</v>
      </c>
      <c r="F646" s="77">
        <f t="shared" si="326"/>
        <v>46066</v>
      </c>
      <c r="G646" s="77">
        <f t="shared" si="327"/>
        <v>46072</v>
      </c>
      <c r="H646" s="77">
        <f t="shared" si="328"/>
        <v>46060</v>
      </c>
      <c r="I646" s="77">
        <f t="shared" si="329"/>
        <v>46067</v>
      </c>
      <c r="J646" s="77"/>
      <c r="K646" s="25"/>
      <c r="L646" s="81"/>
      <c r="M646" s="81"/>
      <c r="N646" s="25"/>
      <c r="O646" s="25"/>
    </row>
    <row r="647" spans="1:15" x14ac:dyDescent="0.25">
      <c r="A647" s="77">
        <v>46052</v>
      </c>
      <c r="B647" s="25" t="s">
        <v>423</v>
      </c>
      <c r="C647" s="25" t="str">
        <f>VLOOKUP(B647,'[2]Migrasi Bed'!$B$4:$E$521,4,0)</f>
        <v>SV.A012</v>
      </c>
      <c r="D647" s="77">
        <f t="shared" si="324"/>
        <v>46075</v>
      </c>
      <c r="E647" s="77">
        <f t="shared" si="325"/>
        <v>46059</v>
      </c>
      <c r="F647" s="77">
        <f t="shared" si="326"/>
        <v>46066</v>
      </c>
      <c r="G647" s="77">
        <f t="shared" si="327"/>
        <v>46072</v>
      </c>
      <c r="H647" s="77">
        <f t="shared" si="328"/>
        <v>46060</v>
      </c>
      <c r="I647" s="77">
        <f t="shared" si="329"/>
        <v>46067</v>
      </c>
      <c r="J647" s="77"/>
      <c r="K647" s="25"/>
      <c r="L647" s="81"/>
      <c r="M647" s="81"/>
      <c r="N647" s="25"/>
      <c r="O647" s="25"/>
    </row>
    <row r="648" spans="1:15" x14ac:dyDescent="0.25">
      <c r="A648" s="77">
        <v>46052</v>
      </c>
      <c r="B648" s="25" t="s">
        <v>424</v>
      </c>
      <c r="C648" s="25" t="str">
        <f>VLOOKUP(B648,'[2]Migrasi Bed'!$B$4:$E$521,4,0)</f>
        <v>SV.A013</v>
      </c>
      <c r="D648" s="77">
        <f t="shared" si="324"/>
        <v>46075</v>
      </c>
      <c r="E648" s="77">
        <f t="shared" si="325"/>
        <v>46059</v>
      </c>
      <c r="F648" s="77">
        <f t="shared" si="326"/>
        <v>46066</v>
      </c>
      <c r="G648" s="77">
        <f t="shared" si="327"/>
        <v>46072</v>
      </c>
      <c r="H648" s="77">
        <f t="shared" si="328"/>
        <v>46060</v>
      </c>
      <c r="I648" s="77">
        <f t="shared" si="329"/>
        <v>46067</v>
      </c>
      <c r="J648" s="77"/>
      <c r="K648" s="25"/>
      <c r="L648" s="81"/>
      <c r="M648" s="81"/>
      <c r="N648" s="25"/>
      <c r="O648" s="25"/>
    </row>
    <row r="649" spans="1:15" x14ac:dyDescent="0.25">
      <c r="A649" s="77">
        <v>46052</v>
      </c>
      <c r="B649" s="25" t="s">
        <v>425</v>
      </c>
      <c r="C649" s="25" t="str">
        <f>VLOOKUP(B649,'[2]Migrasi Bed'!$B$4:$E$521,4,0)</f>
        <v>SV.A014</v>
      </c>
      <c r="D649" s="77">
        <f t="shared" si="324"/>
        <v>46075</v>
      </c>
      <c r="E649" s="77">
        <f t="shared" si="325"/>
        <v>46059</v>
      </c>
      <c r="F649" s="77">
        <f t="shared" si="326"/>
        <v>46066</v>
      </c>
      <c r="G649" s="77">
        <f t="shared" si="327"/>
        <v>46072</v>
      </c>
      <c r="H649" s="77">
        <f t="shared" si="328"/>
        <v>46060</v>
      </c>
      <c r="I649" s="77">
        <f t="shared" si="329"/>
        <v>46067</v>
      </c>
      <c r="J649" s="77"/>
      <c r="K649" s="25"/>
      <c r="L649" s="81"/>
      <c r="M649" s="81"/>
      <c r="N649" s="25"/>
      <c r="O649" s="25"/>
    </row>
    <row r="650" spans="1:15" x14ac:dyDescent="0.25">
      <c r="A650" s="77">
        <v>46052</v>
      </c>
      <c r="B650" s="25" t="s">
        <v>426</v>
      </c>
      <c r="C650" s="25" t="str">
        <f>VLOOKUP(B650,'[2]Migrasi Bed'!$B$4:$E$521,4,0)</f>
        <v>SV.A015</v>
      </c>
      <c r="D650" s="77">
        <f t="shared" si="324"/>
        <v>46075</v>
      </c>
      <c r="E650" s="77">
        <f t="shared" si="325"/>
        <v>46059</v>
      </c>
      <c r="F650" s="77">
        <f t="shared" si="326"/>
        <v>46066</v>
      </c>
      <c r="G650" s="77">
        <f t="shared" si="327"/>
        <v>46072</v>
      </c>
      <c r="H650" s="77">
        <f t="shared" si="328"/>
        <v>46060</v>
      </c>
      <c r="I650" s="77">
        <f t="shared" si="329"/>
        <v>46067</v>
      </c>
      <c r="J650" s="77"/>
      <c r="K650" s="25"/>
      <c r="L650" s="81"/>
      <c r="M650" s="81"/>
      <c r="N650" s="25"/>
      <c r="O650" s="25"/>
    </row>
    <row r="651" spans="1:15" x14ac:dyDescent="0.25">
      <c r="A651" s="77">
        <v>46052</v>
      </c>
      <c r="B651" s="25" t="s">
        <v>427</v>
      </c>
      <c r="C651" s="25" t="str">
        <f>VLOOKUP(B651,'[2]Migrasi Bed'!$B$4:$E$521,4,0)</f>
        <v>SV.A016</v>
      </c>
      <c r="D651" s="77">
        <f t="shared" si="324"/>
        <v>46075</v>
      </c>
      <c r="E651" s="77">
        <f t="shared" si="325"/>
        <v>46059</v>
      </c>
      <c r="F651" s="77">
        <f t="shared" si="326"/>
        <v>46066</v>
      </c>
      <c r="G651" s="77">
        <f t="shared" si="327"/>
        <v>46072</v>
      </c>
      <c r="H651" s="77">
        <f t="shared" si="328"/>
        <v>46060</v>
      </c>
      <c r="I651" s="77">
        <f t="shared" si="329"/>
        <v>46067</v>
      </c>
      <c r="J651" s="77"/>
      <c r="K651" s="25"/>
      <c r="L651" s="81"/>
      <c r="M651" s="81"/>
      <c r="N651" s="25"/>
      <c r="O651" s="25"/>
    </row>
    <row r="652" spans="1:15" x14ac:dyDescent="0.25">
      <c r="A652" s="77">
        <v>46053</v>
      </c>
      <c r="B652" s="25" t="s">
        <v>451</v>
      </c>
      <c r="C652" s="25" t="str">
        <f>VLOOKUP(B652,'[2]Migrasi Bed'!$B$4:$E$521,4,0)</f>
        <v>SV.B010</v>
      </c>
      <c r="D652" s="77">
        <f t="shared" si="324"/>
        <v>46076</v>
      </c>
      <c r="E652" s="77">
        <f t="shared" si="325"/>
        <v>46060</v>
      </c>
      <c r="F652" s="77">
        <f t="shared" si="326"/>
        <v>46067</v>
      </c>
      <c r="G652" s="77">
        <f t="shared" si="327"/>
        <v>46073</v>
      </c>
      <c r="H652" s="77">
        <f t="shared" si="328"/>
        <v>46061</v>
      </c>
      <c r="I652" s="77">
        <f t="shared" si="329"/>
        <v>46068</v>
      </c>
      <c r="J652" s="77"/>
      <c r="K652" s="25"/>
      <c r="L652" s="81"/>
      <c r="M652" s="81"/>
      <c r="N652" s="25"/>
      <c r="O652" s="25"/>
    </row>
    <row r="653" spans="1:15" x14ac:dyDescent="0.25">
      <c r="A653" s="77">
        <v>46053</v>
      </c>
      <c r="B653" s="25" t="s">
        <v>452</v>
      </c>
      <c r="C653" s="25" t="str">
        <f>VLOOKUP(B653,'[2]Migrasi Bed'!$B$4:$E$521,4,0)</f>
        <v>SV.B011</v>
      </c>
      <c r="D653" s="77">
        <f t="shared" si="324"/>
        <v>46076</v>
      </c>
      <c r="E653" s="77">
        <f t="shared" si="325"/>
        <v>46060</v>
      </c>
      <c r="F653" s="77">
        <f t="shared" si="326"/>
        <v>46067</v>
      </c>
      <c r="G653" s="77">
        <f t="shared" si="327"/>
        <v>46073</v>
      </c>
      <c r="H653" s="77">
        <f t="shared" si="328"/>
        <v>46061</v>
      </c>
      <c r="I653" s="77">
        <f t="shared" si="329"/>
        <v>46068</v>
      </c>
      <c r="J653" s="77"/>
      <c r="K653" s="25"/>
      <c r="L653" s="81"/>
      <c r="M653" s="81"/>
      <c r="N653" s="25"/>
      <c r="O653" s="25"/>
    </row>
    <row r="654" spans="1:15" x14ac:dyDescent="0.25">
      <c r="A654" s="77">
        <v>46053</v>
      </c>
      <c r="B654" s="25" t="s">
        <v>453</v>
      </c>
      <c r="C654" s="25" t="str">
        <f>VLOOKUP(B654,'[2]Migrasi Bed'!$B$4:$E$521,4,0)</f>
        <v>SV.B012</v>
      </c>
      <c r="D654" s="77">
        <f t="shared" si="324"/>
        <v>46076</v>
      </c>
      <c r="E654" s="77">
        <f t="shared" si="325"/>
        <v>46060</v>
      </c>
      <c r="F654" s="77">
        <f t="shared" si="326"/>
        <v>46067</v>
      </c>
      <c r="G654" s="77">
        <f t="shared" si="327"/>
        <v>46073</v>
      </c>
      <c r="H654" s="77">
        <f t="shared" si="328"/>
        <v>46061</v>
      </c>
      <c r="I654" s="77">
        <f t="shared" si="329"/>
        <v>46068</v>
      </c>
      <c r="J654" s="77"/>
      <c r="K654" s="25"/>
      <c r="L654" s="81"/>
      <c r="M654" s="81"/>
      <c r="N654" s="25"/>
      <c r="O654" s="25"/>
    </row>
    <row r="655" spans="1:15" x14ac:dyDescent="0.25">
      <c r="A655" s="77">
        <v>46053</v>
      </c>
      <c r="B655" s="25" t="s">
        <v>454</v>
      </c>
      <c r="C655" s="25" t="str">
        <f>VLOOKUP(B655,'[2]Migrasi Bed'!$B$4:$E$521,4,0)</f>
        <v>SV.B013</v>
      </c>
      <c r="D655" s="77">
        <f t="shared" si="324"/>
        <v>46076</v>
      </c>
      <c r="E655" s="77">
        <f t="shared" si="325"/>
        <v>46060</v>
      </c>
      <c r="F655" s="77">
        <f t="shared" si="326"/>
        <v>46067</v>
      </c>
      <c r="G655" s="77">
        <f t="shared" si="327"/>
        <v>46073</v>
      </c>
      <c r="H655" s="77">
        <f t="shared" si="328"/>
        <v>46061</v>
      </c>
      <c r="I655" s="77">
        <f t="shared" si="329"/>
        <v>46068</v>
      </c>
      <c r="J655" s="77"/>
      <c r="K655" s="25"/>
      <c r="L655" s="81"/>
      <c r="M655" s="81"/>
      <c r="N655" s="25"/>
      <c r="O655" s="25"/>
    </row>
    <row r="656" spans="1:15" x14ac:dyDescent="0.25">
      <c r="A656" s="77">
        <v>46053</v>
      </c>
      <c r="B656" s="25" t="s">
        <v>455</v>
      </c>
      <c r="C656" s="25" t="str">
        <f>VLOOKUP(B656,'[2]Migrasi Bed'!$B$4:$E$521,4,0)</f>
        <v>SV.B014</v>
      </c>
      <c r="D656" s="77">
        <f t="shared" si="324"/>
        <v>46076</v>
      </c>
      <c r="E656" s="77">
        <f t="shared" si="325"/>
        <v>46060</v>
      </c>
      <c r="F656" s="77">
        <f t="shared" si="326"/>
        <v>46067</v>
      </c>
      <c r="G656" s="77">
        <f t="shared" si="327"/>
        <v>46073</v>
      </c>
      <c r="H656" s="77">
        <f t="shared" si="328"/>
        <v>46061</v>
      </c>
      <c r="I656" s="77">
        <f t="shared" si="329"/>
        <v>46068</v>
      </c>
      <c r="J656" s="77"/>
      <c r="K656" s="25"/>
      <c r="L656" s="81"/>
      <c r="M656" s="81"/>
      <c r="N656" s="25"/>
      <c r="O656" s="25"/>
    </row>
    <row r="657" spans="1:15" x14ac:dyDescent="0.25">
      <c r="A657" s="77">
        <v>46053</v>
      </c>
      <c r="B657" s="25" t="s">
        <v>456</v>
      </c>
      <c r="C657" s="25" t="str">
        <f>VLOOKUP(B657,'[2]Migrasi Bed'!$B$4:$E$521,4,0)</f>
        <v>SV.B015</v>
      </c>
      <c r="D657" s="77">
        <f t="shared" si="324"/>
        <v>46076</v>
      </c>
      <c r="E657" s="77">
        <f t="shared" si="325"/>
        <v>46060</v>
      </c>
      <c r="F657" s="77">
        <f t="shared" si="326"/>
        <v>46067</v>
      </c>
      <c r="G657" s="77">
        <f t="shared" si="327"/>
        <v>46073</v>
      </c>
      <c r="H657" s="77">
        <f t="shared" si="328"/>
        <v>46061</v>
      </c>
      <c r="I657" s="77">
        <f t="shared" si="329"/>
        <v>46068</v>
      </c>
      <c r="J657" s="77"/>
      <c r="K657" s="25"/>
      <c r="L657" s="81"/>
      <c r="M657" s="81"/>
      <c r="N657" s="25"/>
      <c r="O657" s="25"/>
    </row>
    <row r="658" spans="1:15" x14ac:dyDescent="0.25">
      <c r="A658" s="77">
        <v>46053</v>
      </c>
      <c r="B658" s="25" t="s">
        <v>457</v>
      </c>
      <c r="C658" s="25" t="str">
        <f>VLOOKUP(B658,'[2]Migrasi Bed'!$B$4:$E$521,4,0)</f>
        <v>SV.B016</v>
      </c>
      <c r="D658" s="77">
        <f t="shared" si="324"/>
        <v>46076</v>
      </c>
      <c r="E658" s="77">
        <f t="shared" si="325"/>
        <v>46060</v>
      </c>
      <c r="F658" s="77">
        <f t="shared" si="326"/>
        <v>46067</v>
      </c>
      <c r="G658" s="77">
        <f t="shared" si="327"/>
        <v>46073</v>
      </c>
      <c r="H658" s="77">
        <f t="shared" si="328"/>
        <v>46061</v>
      </c>
      <c r="I658" s="77">
        <f t="shared" si="329"/>
        <v>46068</v>
      </c>
      <c r="J658" s="77"/>
      <c r="K658" s="25"/>
      <c r="L658" s="81"/>
      <c r="M658" s="81"/>
      <c r="N658" s="25"/>
      <c r="O658" s="25"/>
    </row>
    <row r="659" spans="1:15" x14ac:dyDescent="0.25">
      <c r="A659" s="77">
        <v>46054</v>
      </c>
      <c r="B659" s="25" t="s">
        <v>414</v>
      </c>
      <c r="C659" s="25" t="str">
        <f>VLOOKUP(B659,'[2]Migrasi Bed'!$B$4:$E$521,4,0)</f>
        <v>SV.A003</v>
      </c>
      <c r="D659" s="77">
        <f t="shared" si="324"/>
        <v>46077</v>
      </c>
      <c r="E659" s="77">
        <f t="shared" si="325"/>
        <v>46061</v>
      </c>
      <c r="F659" s="77">
        <f t="shared" si="326"/>
        <v>46068</v>
      </c>
      <c r="G659" s="77">
        <f t="shared" si="327"/>
        <v>46074</v>
      </c>
      <c r="H659" s="77">
        <f t="shared" si="328"/>
        <v>46062</v>
      </c>
      <c r="I659" s="77">
        <f t="shared" si="329"/>
        <v>46069</v>
      </c>
      <c r="J659" s="77"/>
      <c r="K659" s="25"/>
      <c r="L659" s="81"/>
      <c r="M659" s="81"/>
      <c r="N659" s="25"/>
      <c r="O659" s="25"/>
    </row>
    <row r="660" spans="1:15" x14ac:dyDescent="0.25">
      <c r="A660" s="77">
        <v>46054</v>
      </c>
      <c r="B660" s="25" t="s">
        <v>415</v>
      </c>
      <c r="C660" s="25" t="str">
        <f>VLOOKUP(B660,'[2]Migrasi Bed'!$B$4:$E$521,4,0)</f>
        <v>SV.A004</v>
      </c>
      <c r="D660" s="77">
        <f t="shared" si="324"/>
        <v>46077</v>
      </c>
      <c r="E660" s="77">
        <f t="shared" si="325"/>
        <v>46061</v>
      </c>
      <c r="F660" s="77">
        <f t="shared" si="326"/>
        <v>46068</v>
      </c>
      <c r="G660" s="77">
        <f t="shared" si="327"/>
        <v>46074</v>
      </c>
      <c r="H660" s="77">
        <f t="shared" si="328"/>
        <v>46062</v>
      </c>
      <c r="I660" s="77">
        <f t="shared" si="329"/>
        <v>46069</v>
      </c>
      <c r="J660" s="77"/>
      <c r="K660" s="25"/>
      <c r="L660" s="81"/>
      <c r="M660" s="81"/>
      <c r="N660" s="25"/>
      <c r="O660" s="25"/>
    </row>
    <row r="661" spans="1:15" x14ac:dyDescent="0.25">
      <c r="A661" s="77">
        <v>46054</v>
      </c>
      <c r="B661" s="25" t="s">
        <v>416</v>
      </c>
      <c r="C661" s="25" t="str">
        <f>VLOOKUP(B661,'[2]Migrasi Bed'!$B$4:$E$521,4,0)</f>
        <v>SV.A005</v>
      </c>
      <c r="D661" s="77">
        <f t="shared" si="324"/>
        <v>46077</v>
      </c>
      <c r="E661" s="77">
        <f t="shared" si="325"/>
        <v>46061</v>
      </c>
      <c r="F661" s="77">
        <f t="shared" si="326"/>
        <v>46068</v>
      </c>
      <c r="G661" s="77">
        <f t="shared" si="327"/>
        <v>46074</v>
      </c>
      <c r="H661" s="77">
        <f t="shared" si="328"/>
        <v>46062</v>
      </c>
      <c r="I661" s="77">
        <f t="shared" si="329"/>
        <v>46069</v>
      </c>
      <c r="J661" s="77"/>
      <c r="K661" s="25"/>
      <c r="L661" s="81"/>
      <c r="M661" s="81"/>
      <c r="N661" s="25"/>
      <c r="O661" s="25"/>
    </row>
    <row r="662" spans="1:15" x14ac:dyDescent="0.25">
      <c r="A662" s="77">
        <v>46054</v>
      </c>
      <c r="B662" s="25" t="s">
        <v>417</v>
      </c>
      <c r="C662" s="25" t="str">
        <f>VLOOKUP(B662,'[2]Migrasi Bed'!$B$4:$E$521,4,0)</f>
        <v>SV.A006</v>
      </c>
      <c r="D662" s="77">
        <f t="shared" si="324"/>
        <v>46077</v>
      </c>
      <c r="E662" s="77">
        <f t="shared" si="325"/>
        <v>46061</v>
      </c>
      <c r="F662" s="77">
        <f t="shared" si="326"/>
        <v>46068</v>
      </c>
      <c r="G662" s="77">
        <f t="shared" si="327"/>
        <v>46074</v>
      </c>
      <c r="H662" s="77">
        <f t="shared" si="328"/>
        <v>46062</v>
      </c>
      <c r="I662" s="77">
        <f t="shared" si="329"/>
        <v>46069</v>
      </c>
      <c r="J662" s="77"/>
      <c r="K662" s="25"/>
      <c r="L662" s="81"/>
      <c r="M662" s="81"/>
      <c r="N662" s="25"/>
      <c r="O662" s="25"/>
    </row>
    <row r="663" spans="1:15" x14ac:dyDescent="0.25">
      <c r="A663" s="77">
        <v>46054</v>
      </c>
      <c r="B663" s="25" t="s">
        <v>418</v>
      </c>
      <c r="C663" s="25" t="str">
        <f>VLOOKUP(B663,'[2]Migrasi Bed'!$B$4:$E$521,4,0)</f>
        <v>SV.A007</v>
      </c>
      <c r="D663" s="77">
        <f t="shared" si="324"/>
        <v>46077</v>
      </c>
      <c r="E663" s="77">
        <f t="shared" si="325"/>
        <v>46061</v>
      </c>
      <c r="F663" s="77">
        <f t="shared" si="326"/>
        <v>46068</v>
      </c>
      <c r="G663" s="77">
        <f t="shared" si="327"/>
        <v>46074</v>
      </c>
      <c r="H663" s="77">
        <f t="shared" si="328"/>
        <v>46062</v>
      </c>
      <c r="I663" s="77">
        <f t="shared" si="329"/>
        <v>46069</v>
      </c>
      <c r="J663" s="77"/>
      <c r="K663" s="25"/>
      <c r="L663" s="81"/>
      <c r="M663" s="81"/>
      <c r="N663" s="25"/>
      <c r="O663" s="25"/>
    </row>
    <row r="664" spans="1:15" x14ac:dyDescent="0.25">
      <c r="A664" s="77">
        <v>46054</v>
      </c>
      <c r="B664" s="25" t="s">
        <v>419</v>
      </c>
      <c r="C664" s="25" t="str">
        <f>VLOOKUP(B664,'[2]Migrasi Bed'!$B$4:$E$521,4,0)</f>
        <v>SV.A008</v>
      </c>
      <c r="D664" s="77">
        <f t="shared" si="324"/>
        <v>46077</v>
      </c>
      <c r="E664" s="77">
        <f t="shared" si="325"/>
        <v>46061</v>
      </c>
      <c r="F664" s="77">
        <f t="shared" si="326"/>
        <v>46068</v>
      </c>
      <c r="G664" s="77">
        <f t="shared" si="327"/>
        <v>46074</v>
      </c>
      <c r="H664" s="77">
        <f t="shared" si="328"/>
        <v>46062</v>
      </c>
      <c r="I664" s="77">
        <f t="shared" si="329"/>
        <v>46069</v>
      </c>
      <c r="J664" s="77"/>
      <c r="K664" s="25"/>
      <c r="L664" s="81"/>
      <c r="M664" s="81"/>
      <c r="N664" s="25"/>
      <c r="O664" s="25"/>
    </row>
    <row r="665" spans="1:15" x14ac:dyDescent="0.25">
      <c r="A665" s="77">
        <v>46054</v>
      </c>
      <c r="B665" s="25" t="s">
        <v>420</v>
      </c>
      <c r="C665" s="25" t="str">
        <f>VLOOKUP(B665,'[2]Migrasi Bed'!$B$4:$E$521,4,0)</f>
        <v>SV.A009</v>
      </c>
      <c r="D665" s="77">
        <f t="shared" si="324"/>
        <v>46077</v>
      </c>
      <c r="E665" s="77">
        <f t="shared" si="325"/>
        <v>46061</v>
      </c>
      <c r="F665" s="77">
        <f t="shared" si="326"/>
        <v>46068</v>
      </c>
      <c r="G665" s="77">
        <f t="shared" si="327"/>
        <v>46074</v>
      </c>
      <c r="H665" s="77">
        <f t="shared" si="328"/>
        <v>46062</v>
      </c>
      <c r="I665" s="77">
        <f t="shared" si="329"/>
        <v>46069</v>
      </c>
      <c r="J665" s="77"/>
      <c r="K665" s="25"/>
      <c r="L665" s="81"/>
      <c r="M665" s="81"/>
      <c r="N665" s="25"/>
      <c r="O665" s="25"/>
    </row>
    <row r="666" spans="1:15" x14ac:dyDescent="0.25">
      <c r="A666" s="77">
        <v>46055</v>
      </c>
      <c r="B666" s="25" t="s">
        <v>444</v>
      </c>
      <c r="C666" s="25" t="str">
        <f>VLOOKUP(B666,'[2]Migrasi Bed'!$B$4:$E$521,4,0)</f>
        <v>SV.B003</v>
      </c>
      <c r="D666" s="77">
        <f t="shared" si="324"/>
        <v>46078</v>
      </c>
      <c r="E666" s="77">
        <f t="shared" si="325"/>
        <v>46062</v>
      </c>
      <c r="F666" s="77">
        <f t="shared" si="326"/>
        <v>46069</v>
      </c>
      <c r="G666" s="77">
        <f t="shared" si="327"/>
        <v>46075</v>
      </c>
      <c r="H666" s="77">
        <f t="shared" si="328"/>
        <v>46063</v>
      </c>
      <c r="I666" s="77">
        <f t="shared" si="329"/>
        <v>46070</v>
      </c>
      <c r="J666" s="77"/>
      <c r="K666" s="25"/>
      <c r="L666" s="81"/>
      <c r="M666" s="81"/>
      <c r="N666" s="25"/>
      <c r="O666" s="25"/>
    </row>
    <row r="667" spans="1:15" x14ac:dyDescent="0.25">
      <c r="A667" s="77">
        <v>46055</v>
      </c>
      <c r="B667" s="25" t="s">
        <v>445</v>
      </c>
      <c r="C667" s="25" t="str">
        <f>VLOOKUP(B667,'[2]Migrasi Bed'!$B$4:$E$521,4,0)</f>
        <v>SV.B004</v>
      </c>
      <c r="D667" s="77">
        <f t="shared" si="324"/>
        <v>46078</v>
      </c>
      <c r="E667" s="77">
        <f t="shared" si="325"/>
        <v>46062</v>
      </c>
      <c r="F667" s="77">
        <f t="shared" si="326"/>
        <v>46069</v>
      </c>
      <c r="G667" s="77">
        <f t="shared" si="327"/>
        <v>46075</v>
      </c>
      <c r="H667" s="77">
        <f t="shared" si="328"/>
        <v>46063</v>
      </c>
      <c r="I667" s="77">
        <f t="shared" si="329"/>
        <v>46070</v>
      </c>
      <c r="J667" s="77"/>
      <c r="K667" s="25"/>
      <c r="L667" s="81"/>
      <c r="M667" s="81"/>
      <c r="N667" s="25"/>
      <c r="O667" s="25"/>
    </row>
    <row r="668" spans="1:15" x14ac:dyDescent="0.25">
      <c r="A668" s="77">
        <v>46055</v>
      </c>
      <c r="B668" s="25" t="s">
        <v>446</v>
      </c>
      <c r="C668" s="25" t="str">
        <f>VLOOKUP(B668,'[2]Migrasi Bed'!$B$4:$E$521,4,0)</f>
        <v>SV.B005</v>
      </c>
      <c r="D668" s="77">
        <f t="shared" si="324"/>
        <v>46078</v>
      </c>
      <c r="E668" s="77">
        <f t="shared" si="325"/>
        <v>46062</v>
      </c>
      <c r="F668" s="77">
        <f t="shared" si="326"/>
        <v>46069</v>
      </c>
      <c r="G668" s="77">
        <f t="shared" si="327"/>
        <v>46075</v>
      </c>
      <c r="H668" s="77">
        <f t="shared" si="328"/>
        <v>46063</v>
      </c>
      <c r="I668" s="77">
        <f t="shared" si="329"/>
        <v>46070</v>
      </c>
      <c r="J668" s="77"/>
      <c r="K668" s="25"/>
      <c r="L668" s="81"/>
      <c r="M668" s="81"/>
      <c r="N668" s="25"/>
      <c r="O668" s="25"/>
    </row>
    <row r="669" spans="1:15" x14ac:dyDescent="0.25">
      <c r="A669" s="77">
        <v>46055</v>
      </c>
      <c r="B669" s="25" t="s">
        <v>447</v>
      </c>
      <c r="C669" s="25" t="str">
        <f>VLOOKUP(B669,'[2]Migrasi Bed'!$B$4:$E$521,4,0)</f>
        <v>SV.B006</v>
      </c>
      <c r="D669" s="77">
        <f t="shared" si="324"/>
        <v>46078</v>
      </c>
      <c r="E669" s="77">
        <f t="shared" si="325"/>
        <v>46062</v>
      </c>
      <c r="F669" s="77">
        <f t="shared" si="326"/>
        <v>46069</v>
      </c>
      <c r="G669" s="77">
        <f t="shared" si="327"/>
        <v>46075</v>
      </c>
      <c r="H669" s="77">
        <f t="shared" si="328"/>
        <v>46063</v>
      </c>
      <c r="I669" s="77">
        <f t="shared" si="329"/>
        <v>46070</v>
      </c>
      <c r="J669" s="77"/>
      <c r="K669" s="25"/>
      <c r="L669" s="81"/>
      <c r="M669" s="81"/>
      <c r="N669" s="25"/>
      <c r="O669" s="25"/>
    </row>
    <row r="670" spans="1:15" x14ac:dyDescent="0.25">
      <c r="A670" s="77">
        <v>46055</v>
      </c>
      <c r="B670" s="25" t="s">
        <v>448</v>
      </c>
      <c r="C670" s="25" t="str">
        <f>VLOOKUP(B670,'[2]Migrasi Bed'!$B$4:$E$521,4,0)</f>
        <v>SV.B007</v>
      </c>
      <c r="D670" s="77">
        <f t="shared" si="324"/>
        <v>46078</v>
      </c>
      <c r="E670" s="77">
        <f t="shared" si="325"/>
        <v>46062</v>
      </c>
      <c r="F670" s="77">
        <f t="shared" si="326"/>
        <v>46069</v>
      </c>
      <c r="G670" s="77">
        <f t="shared" si="327"/>
        <v>46075</v>
      </c>
      <c r="H670" s="77">
        <f t="shared" si="328"/>
        <v>46063</v>
      </c>
      <c r="I670" s="77">
        <f t="shared" si="329"/>
        <v>46070</v>
      </c>
      <c r="J670" s="77"/>
      <c r="K670" s="25"/>
      <c r="L670" s="81"/>
      <c r="M670" s="81"/>
      <c r="N670" s="25"/>
      <c r="O670" s="25"/>
    </row>
    <row r="671" spans="1:15" x14ac:dyDescent="0.25">
      <c r="A671" s="77">
        <v>46055</v>
      </c>
      <c r="B671" s="25" t="s">
        <v>449</v>
      </c>
      <c r="C671" s="25" t="str">
        <f>VLOOKUP(B671,'[2]Migrasi Bed'!$B$4:$E$521,4,0)</f>
        <v>SV.B008</v>
      </c>
      <c r="D671" s="77">
        <f t="shared" si="324"/>
        <v>46078</v>
      </c>
      <c r="E671" s="77">
        <f t="shared" si="325"/>
        <v>46062</v>
      </c>
      <c r="F671" s="77">
        <f t="shared" si="326"/>
        <v>46069</v>
      </c>
      <c r="G671" s="77">
        <f t="shared" si="327"/>
        <v>46075</v>
      </c>
      <c r="H671" s="77">
        <f t="shared" si="328"/>
        <v>46063</v>
      </c>
      <c r="I671" s="77">
        <f t="shared" si="329"/>
        <v>46070</v>
      </c>
      <c r="J671" s="77"/>
      <c r="K671" s="25"/>
      <c r="L671" s="81"/>
      <c r="M671" s="81"/>
      <c r="N671" s="25"/>
      <c r="O671" s="25"/>
    </row>
    <row r="672" spans="1:15" x14ac:dyDescent="0.25">
      <c r="A672" s="77">
        <v>46055</v>
      </c>
      <c r="B672" s="25" t="s">
        <v>450</v>
      </c>
      <c r="C672" s="25" t="str">
        <f>VLOOKUP(B672,'[2]Migrasi Bed'!$B$4:$E$521,4,0)</f>
        <v>SV.B009</v>
      </c>
      <c r="D672" s="77">
        <f t="shared" si="324"/>
        <v>46078</v>
      </c>
      <c r="E672" s="77">
        <f t="shared" si="325"/>
        <v>46062</v>
      </c>
      <c r="F672" s="77">
        <f t="shared" si="326"/>
        <v>46069</v>
      </c>
      <c r="G672" s="77">
        <f t="shared" si="327"/>
        <v>46075</v>
      </c>
      <c r="H672" s="77">
        <f t="shared" si="328"/>
        <v>46063</v>
      </c>
      <c r="I672" s="77">
        <f t="shared" si="329"/>
        <v>46070</v>
      </c>
      <c r="J672" s="77"/>
      <c r="K672" s="25"/>
      <c r="L672" s="81"/>
      <c r="M672" s="81"/>
      <c r="N672" s="25"/>
      <c r="O672" s="25"/>
    </row>
    <row r="673" spans="1:15" x14ac:dyDescent="0.25">
      <c r="A673" s="77">
        <v>46056</v>
      </c>
      <c r="B673" s="25" t="s">
        <v>412</v>
      </c>
      <c r="C673" s="25" t="str">
        <f>VLOOKUP(B673,'[2]Migrasi Bed'!$B$4:$E$521,4,0)</f>
        <v>SV.A001</v>
      </c>
      <c r="D673" s="77">
        <f t="shared" si="324"/>
        <v>46079</v>
      </c>
      <c r="E673" s="77">
        <f t="shared" si="325"/>
        <v>46063</v>
      </c>
      <c r="F673" s="77">
        <f t="shared" si="326"/>
        <v>46070</v>
      </c>
      <c r="G673" s="77">
        <f t="shared" si="327"/>
        <v>46076</v>
      </c>
      <c r="H673" s="77">
        <f t="shared" si="328"/>
        <v>46064</v>
      </c>
      <c r="I673" s="77">
        <f t="shared" si="329"/>
        <v>46071</v>
      </c>
      <c r="J673" s="77"/>
      <c r="K673" s="25"/>
      <c r="L673" s="81"/>
      <c r="M673" s="81"/>
      <c r="N673" s="25"/>
      <c r="O673" s="25"/>
    </row>
    <row r="674" spans="1:15" x14ac:dyDescent="0.25">
      <c r="A674" s="77">
        <v>46056</v>
      </c>
      <c r="B674" s="25" t="s">
        <v>413</v>
      </c>
      <c r="C674" s="25" t="str">
        <f>VLOOKUP(B674,'[2]Migrasi Bed'!$B$4:$E$521,4,0)</f>
        <v>SV.A002</v>
      </c>
      <c r="D674" s="77">
        <f t="shared" si="324"/>
        <v>46079</v>
      </c>
      <c r="E674" s="77">
        <f t="shared" si="325"/>
        <v>46063</v>
      </c>
      <c r="F674" s="77">
        <f t="shared" si="326"/>
        <v>46070</v>
      </c>
      <c r="G674" s="77">
        <f t="shared" si="327"/>
        <v>46076</v>
      </c>
      <c r="H674" s="77">
        <f t="shared" si="328"/>
        <v>46064</v>
      </c>
      <c r="I674" s="77">
        <f t="shared" si="329"/>
        <v>46071</v>
      </c>
      <c r="J674" s="77"/>
      <c r="K674" s="25"/>
      <c r="L674" s="81"/>
      <c r="M674" s="81"/>
      <c r="N674" s="25"/>
      <c r="O674" s="25"/>
    </row>
    <row r="675" spans="1:15" x14ac:dyDescent="0.25">
      <c r="A675" s="77">
        <v>46056</v>
      </c>
      <c r="B675" s="25" t="s">
        <v>442</v>
      </c>
      <c r="C675" s="25" t="str">
        <f>VLOOKUP(B675,'[2]Migrasi Bed'!$B$4:$E$521,4,0)</f>
        <v>SV.B001</v>
      </c>
      <c r="D675" s="77">
        <f t="shared" si="324"/>
        <v>46079</v>
      </c>
      <c r="E675" s="77">
        <f t="shared" si="325"/>
        <v>46063</v>
      </c>
      <c r="F675" s="77">
        <f t="shared" si="326"/>
        <v>46070</v>
      </c>
      <c r="G675" s="77">
        <f t="shared" si="327"/>
        <v>46076</v>
      </c>
      <c r="H675" s="77">
        <f t="shared" si="328"/>
        <v>46064</v>
      </c>
      <c r="I675" s="77">
        <f t="shared" si="329"/>
        <v>46071</v>
      </c>
      <c r="J675" s="77"/>
      <c r="K675" s="25"/>
      <c r="L675" s="81"/>
      <c r="M675" s="81"/>
      <c r="N675" s="25"/>
      <c r="O675" s="25"/>
    </row>
    <row r="676" spans="1:15" x14ac:dyDescent="0.25">
      <c r="A676" s="77">
        <v>46056</v>
      </c>
      <c r="B676" s="25" t="s">
        <v>443</v>
      </c>
      <c r="C676" s="25" t="str">
        <f>VLOOKUP(B676,'[2]Migrasi Bed'!$B$4:$E$521,4,0)</f>
        <v>SV.B002</v>
      </c>
      <c r="D676" s="77">
        <f t="shared" si="324"/>
        <v>46079</v>
      </c>
      <c r="E676" s="77">
        <f t="shared" si="325"/>
        <v>46063</v>
      </c>
      <c r="F676" s="77">
        <f t="shared" si="326"/>
        <v>46070</v>
      </c>
      <c r="G676" s="77">
        <f t="shared" si="327"/>
        <v>46076</v>
      </c>
      <c r="H676" s="77">
        <f t="shared" si="328"/>
        <v>46064</v>
      </c>
      <c r="I676" s="77">
        <f t="shared" si="329"/>
        <v>46071</v>
      </c>
      <c r="J676" s="77"/>
      <c r="K676" s="25"/>
      <c r="L676" s="81"/>
      <c r="M676" s="81"/>
      <c r="N676" s="25"/>
      <c r="O676" s="25"/>
    </row>
    <row r="677" spans="1:15" x14ac:dyDescent="0.25">
      <c r="A677" s="77">
        <v>46056</v>
      </c>
      <c r="B677" s="25" t="s">
        <v>1145</v>
      </c>
      <c r="C677" s="25" t="str">
        <f>VLOOKUP(B677,'[2]Migrasi Bed'!$B$4:$E$521,4,0)</f>
        <v>SV.C003</v>
      </c>
      <c r="D677" s="77">
        <f t="shared" si="324"/>
        <v>46079</v>
      </c>
      <c r="E677" s="77">
        <f t="shared" si="325"/>
        <v>46063</v>
      </c>
      <c r="F677" s="77">
        <f t="shared" si="326"/>
        <v>46070</v>
      </c>
      <c r="G677" s="77">
        <f t="shared" si="327"/>
        <v>46076</v>
      </c>
      <c r="H677" s="77">
        <f t="shared" si="328"/>
        <v>46064</v>
      </c>
      <c r="I677" s="77">
        <f t="shared" si="329"/>
        <v>46071</v>
      </c>
      <c r="J677" s="77"/>
      <c r="K677" s="25"/>
      <c r="L677" s="81"/>
      <c r="M677" s="81"/>
      <c r="N677" s="25"/>
      <c r="O677" s="25"/>
    </row>
    <row r="678" spans="1:15" x14ac:dyDescent="0.25">
      <c r="A678" s="77">
        <v>46056</v>
      </c>
      <c r="B678" s="25" t="s">
        <v>1146</v>
      </c>
      <c r="C678" s="25" t="str">
        <f>VLOOKUP(B678,'[2]Migrasi Bed'!$B$4:$E$521,4,0)</f>
        <v>SV.C004</v>
      </c>
      <c r="D678" s="77">
        <f t="shared" si="324"/>
        <v>46079</v>
      </c>
      <c r="E678" s="77">
        <f t="shared" si="325"/>
        <v>46063</v>
      </c>
      <c r="F678" s="77">
        <f t="shared" si="326"/>
        <v>46070</v>
      </c>
      <c r="G678" s="77">
        <f t="shared" si="327"/>
        <v>46076</v>
      </c>
      <c r="H678" s="77">
        <f t="shared" si="328"/>
        <v>46064</v>
      </c>
      <c r="I678" s="77">
        <f t="shared" si="329"/>
        <v>46071</v>
      </c>
      <c r="J678" s="77"/>
      <c r="K678" s="25"/>
      <c r="L678" s="81"/>
      <c r="M678" s="81"/>
      <c r="N678" s="25"/>
      <c r="O678" s="25"/>
    </row>
    <row r="679" spans="1:15" x14ac:dyDescent="0.25">
      <c r="A679" s="77">
        <v>46056</v>
      </c>
      <c r="B679" s="25" t="s">
        <v>474</v>
      </c>
      <c r="C679" s="25" t="str">
        <f>VLOOKUP(B679,'[2]Migrasi Bed'!$B$4:$E$521,4,0)</f>
        <v>SV.C006</v>
      </c>
      <c r="D679" s="77">
        <f t="shared" si="324"/>
        <v>46079</v>
      </c>
      <c r="E679" s="77">
        <f t="shared" si="325"/>
        <v>46063</v>
      </c>
      <c r="F679" s="77">
        <f t="shared" si="326"/>
        <v>46070</v>
      </c>
      <c r="G679" s="77">
        <f t="shared" si="327"/>
        <v>46076</v>
      </c>
      <c r="H679" s="77">
        <f t="shared" si="328"/>
        <v>46064</v>
      </c>
      <c r="I679" s="77">
        <f t="shared" si="329"/>
        <v>46071</v>
      </c>
      <c r="J679" s="77"/>
      <c r="K679" s="25"/>
      <c r="L679" s="81"/>
      <c r="M679" s="81"/>
      <c r="N679" s="25"/>
      <c r="O679" s="25"/>
    </row>
    <row r="680" spans="1:15" x14ac:dyDescent="0.25">
      <c r="A680" s="77">
        <v>46056</v>
      </c>
      <c r="B680" s="25" t="s">
        <v>475</v>
      </c>
      <c r="C680" s="25" t="str">
        <f>VLOOKUP(B680,'[2]Migrasi Bed'!$B$4:$E$521,4,0)</f>
        <v>SV.C007</v>
      </c>
      <c r="D680" s="77">
        <f t="shared" si="324"/>
        <v>46079</v>
      </c>
      <c r="E680" s="77">
        <f t="shared" si="325"/>
        <v>46063</v>
      </c>
      <c r="F680" s="77">
        <f t="shared" si="326"/>
        <v>46070</v>
      </c>
      <c r="G680" s="77">
        <f t="shared" si="327"/>
        <v>46076</v>
      </c>
      <c r="H680" s="77">
        <f t="shared" si="328"/>
        <v>46064</v>
      </c>
      <c r="I680" s="77">
        <f t="shared" si="329"/>
        <v>46071</v>
      </c>
      <c r="J680" s="77"/>
      <c r="K680" s="25"/>
      <c r="L680" s="81"/>
      <c r="M680" s="81"/>
      <c r="N680" s="25"/>
      <c r="O680" s="25"/>
    </row>
    <row r="681" spans="1:15" x14ac:dyDescent="0.25">
      <c r="A681" s="77">
        <v>46057</v>
      </c>
      <c r="B681" s="25" t="s">
        <v>476</v>
      </c>
      <c r="C681" s="25" t="str">
        <f>VLOOKUP(B681,'[2]Migrasi Bed'!$B$4:$E$521,4,0)</f>
        <v>ST.F001</v>
      </c>
      <c r="D681" s="77">
        <f t="shared" si="324"/>
        <v>46080</v>
      </c>
      <c r="E681" s="77">
        <f t="shared" si="325"/>
        <v>46064</v>
      </c>
      <c r="F681" s="77">
        <f t="shared" si="326"/>
        <v>46071</v>
      </c>
      <c r="G681" s="77">
        <f t="shared" si="327"/>
        <v>46077</v>
      </c>
      <c r="H681" s="77">
        <f t="shared" si="328"/>
        <v>46065</v>
      </c>
      <c r="I681" s="77">
        <f t="shared" si="329"/>
        <v>46072</v>
      </c>
      <c r="J681" s="77"/>
      <c r="K681" s="25"/>
      <c r="L681" s="81"/>
      <c r="M681" s="81"/>
      <c r="N681" s="25"/>
      <c r="O681" s="25"/>
    </row>
    <row r="682" spans="1:15" x14ac:dyDescent="0.25">
      <c r="A682" s="77">
        <v>46057</v>
      </c>
      <c r="B682" s="25" t="s">
        <v>477</v>
      </c>
      <c r="C682" s="25" t="str">
        <f>VLOOKUP(B682,'[2]Migrasi Bed'!$B$4:$E$521,4,0)</f>
        <v>ST.F002</v>
      </c>
      <c r="D682" s="77">
        <f t="shared" si="324"/>
        <v>46080</v>
      </c>
      <c r="E682" s="77">
        <f t="shared" si="325"/>
        <v>46064</v>
      </c>
      <c r="F682" s="77">
        <f t="shared" si="326"/>
        <v>46071</v>
      </c>
      <c r="G682" s="77">
        <f t="shared" si="327"/>
        <v>46077</v>
      </c>
      <c r="H682" s="77">
        <f t="shared" si="328"/>
        <v>46065</v>
      </c>
      <c r="I682" s="77">
        <f t="shared" si="329"/>
        <v>46072</v>
      </c>
      <c r="J682" s="77"/>
      <c r="K682" s="25"/>
      <c r="L682" s="81"/>
      <c r="M682" s="81"/>
      <c r="N682" s="25"/>
      <c r="O682" s="25"/>
    </row>
    <row r="683" spans="1:15" x14ac:dyDescent="0.25">
      <c r="A683" s="77">
        <v>46057</v>
      </c>
      <c r="B683" s="25" t="s">
        <v>478</v>
      </c>
      <c r="C683" s="25" t="str">
        <f>VLOOKUP(B683,'[2]Migrasi Bed'!$B$4:$E$521,4,0)</f>
        <v>ST.F003</v>
      </c>
      <c r="D683" s="77">
        <f t="shared" si="324"/>
        <v>46080</v>
      </c>
      <c r="E683" s="77">
        <f t="shared" si="325"/>
        <v>46064</v>
      </c>
      <c r="F683" s="77">
        <f t="shared" si="326"/>
        <v>46071</v>
      </c>
      <c r="G683" s="77">
        <f t="shared" si="327"/>
        <v>46077</v>
      </c>
      <c r="H683" s="77">
        <f t="shared" si="328"/>
        <v>46065</v>
      </c>
      <c r="I683" s="77">
        <f t="shared" si="329"/>
        <v>46072</v>
      </c>
      <c r="J683" s="77"/>
      <c r="K683" s="25"/>
      <c r="L683" s="81"/>
      <c r="M683" s="81"/>
      <c r="N683" s="25"/>
      <c r="O683" s="25"/>
    </row>
    <row r="684" spans="1:15" x14ac:dyDescent="0.25">
      <c r="A684" s="77">
        <v>46057</v>
      </c>
      <c r="B684" s="25" t="s">
        <v>479</v>
      </c>
      <c r="C684" s="25" t="str">
        <f>VLOOKUP(B684,'[2]Migrasi Bed'!$B$4:$E$521,4,0)</f>
        <v>ST.F004</v>
      </c>
      <c r="D684" s="77">
        <f t="shared" si="324"/>
        <v>46080</v>
      </c>
      <c r="E684" s="77">
        <f t="shared" si="325"/>
        <v>46064</v>
      </c>
      <c r="F684" s="77">
        <f t="shared" si="326"/>
        <v>46071</v>
      </c>
      <c r="G684" s="77">
        <f t="shared" si="327"/>
        <v>46077</v>
      </c>
      <c r="H684" s="77">
        <f t="shared" si="328"/>
        <v>46065</v>
      </c>
      <c r="I684" s="77">
        <f t="shared" si="329"/>
        <v>46072</v>
      </c>
      <c r="J684" s="77"/>
      <c r="K684" s="25"/>
      <c r="L684" s="81"/>
      <c r="M684" s="81"/>
      <c r="N684" s="25"/>
      <c r="O684" s="25"/>
    </row>
    <row r="685" spans="1:15" x14ac:dyDescent="0.25">
      <c r="A685" s="77">
        <v>46057</v>
      </c>
      <c r="B685" s="25" t="s">
        <v>480</v>
      </c>
      <c r="C685" s="25" t="str">
        <f>VLOOKUP(B685,'[2]Migrasi Bed'!$B$4:$E$521,4,0)</f>
        <v>ST.F005</v>
      </c>
      <c r="D685" s="77">
        <f t="shared" si="324"/>
        <v>46080</v>
      </c>
      <c r="E685" s="77">
        <f t="shared" si="325"/>
        <v>46064</v>
      </c>
      <c r="F685" s="77">
        <f t="shared" si="326"/>
        <v>46071</v>
      </c>
      <c r="G685" s="77">
        <f t="shared" si="327"/>
        <v>46077</v>
      </c>
      <c r="H685" s="77">
        <f t="shared" si="328"/>
        <v>46065</v>
      </c>
      <c r="I685" s="77">
        <f t="shared" si="329"/>
        <v>46072</v>
      </c>
      <c r="J685" s="77"/>
      <c r="K685" s="25"/>
      <c r="L685" s="81"/>
      <c r="M685" s="81"/>
      <c r="N685" s="25"/>
      <c r="O685" s="25"/>
    </row>
    <row r="686" spans="1:15" x14ac:dyDescent="0.25">
      <c r="A686" s="77">
        <v>46057</v>
      </c>
      <c r="B686" s="25" t="s">
        <v>481</v>
      </c>
      <c r="C686" s="25" t="str">
        <f>VLOOKUP(B686,'[2]Migrasi Bed'!$B$4:$E$521,4,0)</f>
        <v>ST.F006</v>
      </c>
      <c r="D686" s="77">
        <f t="shared" si="324"/>
        <v>46080</v>
      </c>
      <c r="E686" s="77">
        <f t="shared" si="325"/>
        <v>46064</v>
      </c>
      <c r="F686" s="77">
        <f t="shared" si="326"/>
        <v>46071</v>
      </c>
      <c r="G686" s="77">
        <f t="shared" si="327"/>
        <v>46077</v>
      </c>
      <c r="H686" s="77">
        <f t="shared" si="328"/>
        <v>46065</v>
      </c>
      <c r="I686" s="77">
        <f t="shared" si="329"/>
        <v>46072</v>
      </c>
      <c r="J686" s="77"/>
      <c r="K686" s="25"/>
      <c r="L686" s="81"/>
      <c r="M686" s="81"/>
      <c r="N686" s="25"/>
      <c r="O686" s="25"/>
    </row>
    <row r="687" spans="1:15" x14ac:dyDescent="0.25">
      <c r="A687" s="77">
        <v>46057</v>
      </c>
      <c r="B687" s="25" t="s">
        <v>482</v>
      </c>
      <c r="C687" s="25" t="str">
        <f>VLOOKUP(B687,'[2]Migrasi Bed'!$B$4:$E$521,4,0)</f>
        <v>ST.F007</v>
      </c>
      <c r="D687" s="77">
        <f t="shared" si="324"/>
        <v>46080</v>
      </c>
      <c r="E687" s="77">
        <f t="shared" si="325"/>
        <v>46064</v>
      </c>
      <c r="F687" s="77">
        <f t="shared" si="326"/>
        <v>46071</v>
      </c>
      <c r="G687" s="77">
        <f t="shared" si="327"/>
        <v>46077</v>
      </c>
      <c r="H687" s="77">
        <f t="shared" si="328"/>
        <v>46065</v>
      </c>
      <c r="I687" s="77">
        <f t="shared" si="329"/>
        <v>46072</v>
      </c>
      <c r="J687" s="77"/>
      <c r="K687" s="25"/>
      <c r="L687" s="81"/>
      <c r="M687" s="81"/>
      <c r="N687" s="25"/>
      <c r="O687" s="25"/>
    </row>
    <row r="688" spans="1:15" x14ac:dyDescent="0.25">
      <c r="A688" s="77">
        <v>46058</v>
      </c>
      <c r="B688" s="25" t="s">
        <v>483</v>
      </c>
      <c r="C688" s="25" t="str">
        <f>VLOOKUP(B688,'[2]Migrasi Bed'!$B$4:$E$521,4,0)</f>
        <v>ST.F008</v>
      </c>
      <c r="D688" s="77">
        <f t="shared" si="324"/>
        <v>46081</v>
      </c>
      <c r="E688" s="77">
        <f t="shared" si="325"/>
        <v>46065</v>
      </c>
      <c r="F688" s="77">
        <f t="shared" si="326"/>
        <v>46072</v>
      </c>
      <c r="G688" s="77">
        <f t="shared" si="327"/>
        <v>46078</v>
      </c>
      <c r="H688" s="77">
        <f t="shared" si="328"/>
        <v>46066</v>
      </c>
      <c r="I688" s="77">
        <f t="shared" si="329"/>
        <v>46073</v>
      </c>
      <c r="J688" s="77"/>
      <c r="K688" s="25"/>
      <c r="L688" s="81"/>
      <c r="M688" s="81"/>
      <c r="N688" s="25"/>
      <c r="O688" s="25"/>
    </row>
    <row r="689" spans="1:15" x14ac:dyDescent="0.25">
      <c r="A689" s="77">
        <v>46058</v>
      </c>
      <c r="B689" s="25" t="s">
        <v>484</v>
      </c>
      <c r="C689" s="25" t="str">
        <f>VLOOKUP(B689,'[2]Migrasi Bed'!$B$4:$E$521,4,0)</f>
        <v>ST.F009</v>
      </c>
      <c r="D689" s="77">
        <f t="shared" si="324"/>
        <v>46081</v>
      </c>
      <c r="E689" s="77">
        <f t="shared" si="325"/>
        <v>46065</v>
      </c>
      <c r="F689" s="77">
        <f t="shared" si="326"/>
        <v>46072</v>
      </c>
      <c r="G689" s="77">
        <f t="shared" si="327"/>
        <v>46078</v>
      </c>
      <c r="H689" s="77">
        <f t="shared" si="328"/>
        <v>46066</v>
      </c>
      <c r="I689" s="77">
        <f t="shared" si="329"/>
        <v>46073</v>
      </c>
      <c r="J689" s="77"/>
      <c r="K689" s="25"/>
      <c r="L689" s="81"/>
      <c r="M689" s="81"/>
      <c r="N689" s="25"/>
      <c r="O689" s="25"/>
    </row>
    <row r="690" spans="1:15" x14ac:dyDescent="0.25">
      <c r="A690" s="77">
        <v>46058</v>
      </c>
      <c r="B690" s="25" t="s">
        <v>485</v>
      </c>
      <c r="C690" s="25" t="str">
        <f>VLOOKUP(B690,'[2]Migrasi Bed'!$B$4:$E$521,4,0)</f>
        <v>ST.F010</v>
      </c>
      <c r="D690" s="77">
        <f t="shared" si="324"/>
        <v>46081</v>
      </c>
      <c r="E690" s="77">
        <f t="shared" si="325"/>
        <v>46065</v>
      </c>
      <c r="F690" s="77">
        <f t="shared" si="326"/>
        <v>46072</v>
      </c>
      <c r="G690" s="77">
        <f t="shared" si="327"/>
        <v>46078</v>
      </c>
      <c r="H690" s="77">
        <f t="shared" si="328"/>
        <v>46066</v>
      </c>
      <c r="I690" s="77">
        <f t="shared" si="329"/>
        <v>46073</v>
      </c>
      <c r="J690" s="77"/>
      <c r="K690" s="25"/>
      <c r="L690" s="81"/>
      <c r="M690" s="81"/>
      <c r="N690" s="25"/>
      <c r="O690" s="25"/>
    </row>
    <row r="691" spans="1:15" x14ac:dyDescent="0.25">
      <c r="A691" s="77">
        <v>46058</v>
      </c>
      <c r="B691" s="25" t="s">
        <v>486</v>
      </c>
      <c r="C691" s="25" t="str">
        <f>VLOOKUP(B691,'[2]Migrasi Bed'!$B$4:$E$521,4,0)</f>
        <v>ST.F011</v>
      </c>
      <c r="D691" s="77">
        <f t="shared" si="324"/>
        <v>46081</v>
      </c>
      <c r="E691" s="77">
        <f t="shared" si="325"/>
        <v>46065</v>
      </c>
      <c r="F691" s="77">
        <f t="shared" si="326"/>
        <v>46072</v>
      </c>
      <c r="G691" s="77">
        <f t="shared" si="327"/>
        <v>46078</v>
      </c>
      <c r="H691" s="77">
        <f t="shared" si="328"/>
        <v>46066</v>
      </c>
      <c r="I691" s="77">
        <f t="shared" si="329"/>
        <v>46073</v>
      </c>
      <c r="J691" s="77"/>
      <c r="K691" s="25"/>
      <c r="L691" s="81"/>
      <c r="M691" s="81"/>
      <c r="N691" s="25"/>
      <c r="O691" s="25"/>
    </row>
    <row r="692" spans="1:15" x14ac:dyDescent="0.25">
      <c r="A692" s="77">
        <v>46058</v>
      </c>
      <c r="B692" s="25" t="s">
        <v>487</v>
      </c>
      <c r="C692" s="25" t="str">
        <f>VLOOKUP(B692,'[2]Migrasi Bed'!$B$4:$E$521,4,0)</f>
        <v>ST.F012</v>
      </c>
      <c r="D692" s="77">
        <f t="shared" si="324"/>
        <v>46081</v>
      </c>
      <c r="E692" s="77">
        <f t="shared" si="325"/>
        <v>46065</v>
      </c>
      <c r="F692" s="77">
        <f t="shared" si="326"/>
        <v>46072</v>
      </c>
      <c r="G692" s="77">
        <f t="shared" si="327"/>
        <v>46078</v>
      </c>
      <c r="H692" s="77">
        <f t="shared" si="328"/>
        <v>46066</v>
      </c>
      <c r="I692" s="77">
        <f t="shared" si="329"/>
        <v>46073</v>
      </c>
      <c r="J692" s="77"/>
      <c r="K692" s="25"/>
      <c r="L692" s="81"/>
      <c r="M692" s="81"/>
      <c r="N692" s="25"/>
      <c r="O692" s="25"/>
    </row>
    <row r="693" spans="1:15" x14ac:dyDescent="0.25">
      <c r="A693" s="77">
        <v>46058</v>
      </c>
      <c r="B693" s="25" t="s">
        <v>488</v>
      </c>
      <c r="C693" s="25" t="str">
        <f>VLOOKUP(B693,'[2]Migrasi Bed'!$B$4:$E$521,4,0)</f>
        <v>ST.G001</v>
      </c>
      <c r="D693" s="77">
        <f t="shared" si="324"/>
        <v>46081</v>
      </c>
      <c r="E693" s="77">
        <f t="shared" si="325"/>
        <v>46065</v>
      </c>
      <c r="F693" s="77">
        <f t="shared" si="326"/>
        <v>46072</v>
      </c>
      <c r="G693" s="77">
        <f t="shared" si="327"/>
        <v>46078</v>
      </c>
      <c r="H693" s="77">
        <f t="shared" si="328"/>
        <v>46066</v>
      </c>
      <c r="I693" s="77">
        <f t="shared" si="329"/>
        <v>46073</v>
      </c>
      <c r="J693" s="77"/>
      <c r="K693" s="25"/>
      <c r="L693" s="81"/>
      <c r="M693" s="81"/>
      <c r="N693" s="25"/>
      <c r="O693" s="25"/>
    </row>
    <row r="694" spans="1:15" x14ac:dyDescent="0.25">
      <c r="A694" s="77">
        <v>46058</v>
      </c>
      <c r="B694" s="25" t="s">
        <v>489</v>
      </c>
      <c r="C694" s="25" t="str">
        <f>VLOOKUP(B694,'[2]Migrasi Bed'!$B$4:$E$521,4,0)</f>
        <v>ST.G002</v>
      </c>
      <c r="D694" s="77">
        <f t="shared" si="324"/>
        <v>46081</v>
      </c>
      <c r="E694" s="77">
        <f t="shared" si="325"/>
        <v>46065</v>
      </c>
      <c r="F694" s="77">
        <f t="shared" si="326"/>
        <v>46072</v>
      </c>
      <c r="G694" s="77">
        <f t="shared" si="327"/>
        <v>46078</v>
      </c>
      <c r="H694" s="77">
        <f t="shared" si="328"/>
        <v>46066</v>
      </c>
      <c r="I694" s="77">
        <f t="shared" si="329"/>
        <v>46073</v>
      </c>
      <c r="J694" s="77"/>
      <c r="K694" s="25"/>
      <c r="L694" s="81"/>
      <c r="M694" s="81"/>
      <c r="N694" s="25"/>
      <c r="O694" s="25"/>
    </row>
    <row r="695" spans="1:15" x14ac:dyDescent="0.25">
      <c r="A695" s="77">
        <v>46059</v>
      </c>
      <c r="B695" s="25" t="s">
        <v>777</v>
      </c>
      <c r="C695" s="25" t="str">
        <f>VLOOKUP(B695,'[2]Migrasi Bed'!$B$4:$E$521,4,0)</f>
        <v>BJ.H021</v>
      </c>
      <c r="D695" s="77">
        <f t="shared" si="324"/>
        <v>46082</v>
      </c>
      <c r="E695" s="77">
        <f t="shared" si="325"/>
        <v>46066</v>
      </c>
      <c r="F695" s="77">
        <f t="shared" si="326"/>
        <v>46073</v>
      </c>
      <c r="G695" s="77">
        <f t="shared" si="327"/>
        <v>46079</v>
      </c>
      <c r="H695" s="77">
        <f t="shared" si="328"/>
        <v>46067</v>
      </c>
      <c r="I695" s="77">
        <f t="shared" si="329"/>
        <v>46074</v>
      </c>
      <c r="J695" s="77"/>
      <c r="K695" s="25"/>
      <c r="L695" s="81"/>
      <c r="M695" s="81"/>
      <c r="N695" s="25"/>
      <c r="O695" s="25"/>
    </row>
    <row r="696" spans="1:15" x14ac:dyDescent="0.25">
      <c r="A696" s="77">
        <v>46059</v>
      </c>
      <c r="B696" s="25" t="s">
        <v>778</v>
      </c>
      <c r="C696" s="25" t="str">
        <f>VLOOKUP(B696,'[2]Migrasi Bed'!$B$4:$E$521,4,0)</f>
        <v>BJ.H022</v>
      </c>
      <c r="D696" s="77">
        <f t="shared" si="324"/>
        <v>46082</v>
      </c>
      <c r="E696" s="77">
        <f t="shared" si="325"/>
        <v>46066</v>
      </c>
      <c r="F696" s="77">
        <f t="shared" si="326"/>
        <v>46073</v>
      </c>
      <c r="G696" s="77">
        <f t="shared" si="327"/>
        <v>46079</v>
      </c>
      <c r="H696" s="77">
        <f t="shared" si="328"/>
        <v>46067</v>
      </c>
      <c r="I696" s="77">
        <f t="shared" si="329"/>
        <v>46074</v>
      </c>
      <c r="J696" s="77"/>
      <c r="K696" s="25"/>
      <c r="L696" s="81"/>
      <c r="M696" s="81"/>
      <c r="N696" s="25"/>
      <c r="O696" s="25"/>
    </row>
    <row r="697" spans="1:15" x14ac:dyDescent="0.25">
      <c r="A697" s="77">
        <v>46059</v>
      </c>
      <c r="B697" s="25" t="s">
        <v>779</v>
      </c>
      <c r="C697" s="25" t="str">
        <f>VLOOKUP(B697,'[2]Migrasi Bed'!$B$4:$E$521,4,0)</f>
        <v>BJ.H023</v>
      </c>
      <c r="D697" s="77">
        <f t="shared" si="324"/>
        <v>46082</v>
      </c>
      <c r="E697" s="77">
        <f t="shared" si="325"/>
        <v>46066</v>
      </c>
      <c r="F697" s="77">
        <f t="shared" si="326"/>
        <v>46073</v>
      </c>
      <c r="G697" s="77">
        <f t="shared" si="327"/>
        <v>46079</v>
      </c>
      <c r="H697" s="77">
        <f t="shared" si="328"/>
        <v>46067</v>
      </c>
      <c r="I697" s="77">
        <f t="shared" si="329"/>
        <v>46074</v>
      </c>
      <c r="J697" s="77"/>
      <c r="K697" s="25"/>
      <c r="L697" s="81"/>
      <c r="M697" s="81"/>
      <c r="N697" s="25"/>
      <c r="O697" s="25"/>
    </row>
    <row r="698" spans="1:15" x14ac:dyDescent="0.25">
      <c r="A698" s="77">
        <v>46059</v>
      </c>
      <c r="B698" s="25" t="s">
        <v>780</v>
      </c>
      <c r="C698" s="25" t="str">
        <f>VLOOKUP(B698,'[2]Migrasi Bed'!$B$4:$E$521,4,0)</f>
        <v>BJ.H024</v>
      </c>
      <c r="D698" s="77">
        <f t="shared" si="324"/>
        <v>46082</v>
      </c>
      <c r="E698" s="77">
        <f t="shared" si="325"/>
        <v>46066</v>
      </c>
      <c r="F698" s="77">
        <f t="shared" si="326"/>
        <v>46073</v>
      </c>
      <c r="G698" s="77">
        <f t="shared" si="327"/>
        <v>46079</v>
      </c>
      <c r="H698" s="77">
        <f t="shared" si="328"/>
        <v>46067</v>
      </c>
      <c r="I698" s="77">
        <f t="shared" si="329"/>
        <v>46074</v>
      </c>
      <c r="J698" s="77"/>
      <c r="K698" s="25"/>
      <c r="L698" s="81"/>
      <c r="M698" s="81"/>
      <c r="N698" s="25"/>
      <c r="O698" s="25"/>
    </row>
    <row r="699" spans="1:15" x14ac:dyDescent="0.25">
      <c r="A699" s="77">
        <v>46059</v>
      </c>
      <c r="B699" s="25" t="s">
        <v>781</v>
      </c>
      <c r="C699" s="25" t="str">
        <f>VLOOKUP(B699,'[2]Migrasi Bed'!$B$4:$E$521,4,0)</f>
        <v>BJ.H025</v>
      </c>
      <c r="D699" s="77">
        <f t="shared" si="324"/>
        <v>46082</v>
      </c>
      <c r="E699" s="77">
        <f t="shared" si="325"/>
        <v>46066</v>
      </c>
      <c r="F699" s="77">
        <f t="shared" si="326"/>
        <v>46073</v>
      </c>
      <c r="G699" s="77">
        <f t="shared" si="327"/>
        <v>46079</v>
      </c>
      <c r="H699" s="77">
        <f t="shared" si="328"/>
        <v>46067</v>
      </c>
      <c r="I699" s="77">
        <f t="shared" si="329"/>
        <v>46074</v>
      </c>
      <c r="J699" s="77"/>
      <c r="K699" s="25"/>
      <c r="L699" s="81"/>
      <c r="M699" s="81"/>
      <c r="N699" s="25"/>
      <c r="O699" s="25"/>
    </row>
    <row r="700" spans="1:15" x14ac:dyDescent="0.25">
      <c r="A700" s="77">
        <v>46059</v>
      </c>
      <c r="B700" s="25" t="s">
        <v>782</v>
      </c>
      <c r="C700" s="25" t="str">
        <f>VLOOKUP(B700,'[2]Migrasi Bed'!$B$4:$E$521,4,0)</f>
        <v>BJ.H026</v>
      </c>
      <c r="D700" s="77">
        <f t="shared" si="324"/>
        <v>46082</v>
      </c>
      <c r="E700" s="77">
        <f t="shared" si="325"/>
        <v>46066</v>
      </c>
      <c r="F700" s="77">
        <f t="shared" si="326"/>
        <v>46073</v>
      </c>
      <c r="G700" s="77">
        <f t="shared" si="327"/>
        <v>46079</v>
      </c>
      <c r="H700" s="77">
        <f t="shared" si="328"/>
        <v>46067</v>
      </c>
      <c r="I700" s="77">
        <f t="shared" si="329"/>
        <v>46074</v>
      </c>
      <c r="J700" s="77"/>
      <c r="K700" s="25"/>
      <c r="L700" s="81"/>
      <c r="M700" s="81"/>
      <c r="N700" s="25"/>
      <c r="O700" s="25"/>
    </row>
    <row r="701" spans="1:15" x14ac:dyDescent="0.25">
      <c r="A701" s="77">
        <v>46059</v>
      </c>
      <c r="B701" s="25" t="s">
        <v>783</v>
      </c>
      <c r="C701" s="25" t="str">
        <f>VLOOKUP(B701,'[2]Migrasi Bed'!$B$4:$E$521,4,0)</f>
        <v>BJ.H027</v>
      </c>
      <c r="D701" s="77">
        <f t="shared" si="324"/>
        <v>46082</v>
      </c>
      <c r="E701" s="77">
        <f t="shared" si="325"/>
        <v>46066</v>
      </c>
      <c r="F701" s="77">
        <f t="shared" si="326"/>
        <v>46073</v>
      </c>
      <c r="G701" s="77">
        <f t="shared" si="327"/>
        <v>46079</v>
      </c>
      <c r="H701" s="77">
        <f t="shared" si="328"/>
        <v>46067</v>
      </c>
      <c r="I701" s="77">
        <f t="shared" si="329"/>
        <v>46074</v>
      </c>
      <c r="J701" s="77"/>
      <c r="K701" s="25"/>
      <c r="L701" s="81"/>
      <c r="M701" s="81"/>
      <c r="N701" s="25"/>
      <c r="O701" s="25"/>
    </row>
    <row r="702" spans="1:15" x14ac:dyDescent="0.25">
      <c r="A702" s="77">
        <v>46060</v>
      </c>
      <c r="B702" s="25" t="s">
        <v>784</v>
      </c>
      <c r="C702" s="25" t="str">
        <f>VLOOKUP(B702,'[2]Migrasi Bed'!$B$4:$E$521,4,0)</f>
        <v>BJ.H028</v>
      </c>
      <c r="D702" s="77">
        <f t="shared" si="324"/>
        <v>46083</v>
      </c>
      <c r="E702" s="77">
        <f t="shared" si="325"/>
        <v>46067</v>
      </c>
      <c r="F702" s="77">
        <f t="shared" si="326"/>
        <v>46074</v>
      </c>
      <c r="G702" s="77">
        <f t="shared" si="327"/>
        <v>46080</v>
      </c>
      <c r="H702" s="77">
        <f t="shared" si="328"/>
        <v>46068</v>
      </c>
      <c r="I702" s="77">
        <f t="shared" si="329"/>
        <v>46075</v>
      </c>
      <c r="J702" s="77"/>
      <c r="K702" s="25"/>
      <c r="L702" s="81"/>
      <c r="M702" s="81"/>
      <c r="N702" s="25"/>
      <c r="O702" s="25"/>
    </row>
    <row r="703" spans="1:15" x14ac:dyDescent="0.25">
      <c r="A703" s="77">
        <v>46060</v>
      </c>
      <c r="B703" s="25" t="s">
        <v>785</v>
      </c>
      <c r="C703" s="25" t="str">
        <f>VLOOKUP(B703,'[2]Migrasi Bed'!$B$4:$E$521,4,0)</f>
        <v>BJ.H029</v>
      </c>
      <c r="D703" s="77">
        <f t="shared" ref="D703:D766" si="330">A703+23</f>
        <v>46083</v>
      </c>
      <c r="E703" s="77">
        <f t="shared" ref="E703:E766" si="331">A703+7</f>
        <v>46067</v>
      </c>
      <c r="F703" s="77">
        <f t="shared" ref="F703:F766" si="332">A703+14</f>
        <v>46074</v>
      </c>
      <c r="G703" s="77">
        <f t="shared" ref="G703:G766" si="333">A703+20</f>
        <v>46080</v>
      </c>
      <c r="H703" s="77">
        <f t="shared" ref="H703:H766" si="334">A703+8</f>
        <v>46068</v>
      </c>
      <c r="I703" s="77">
        <f t="shared" ref="I703:I766" si="335">A703+15</f>
        <v>46075</v>
      </c>
      <c r="J703" s="77"/>
      <c r="K703" s="25"/>
      <c r="L703" s="81"/>
      <c r="M703" s="81"/>
      <c r="N703" s="25"/>
      <c r="O703" s="25"/>
    </row>
    <row r="704" spans="1:15" x14ac:dyDescent="0.25">
      <c r="A704" s="77">
        <v>46060</v>
      </c>
      <c r="B704" s="25" t="s">
        <v>786</v>
      </c>
      <c r="C704" s="25" t="str">
        <f>VLOOKUP(B704,'[2]Migrasi Bed'!$B$4:$E$521,4,0)</f>
        <v>BJ.H030</v>
      </c>
      <c r="D704" s="77">
        <f t="shared" si="330"/>
        <v>46083</v>
      </c>
      <c r="E704" s="77">
        <f t="shared" si="331"/>
        <v>46067</v>
      </c>
      <c r="F704" s="77">
        <f t="shared" si="332"/>
        <v>46074</v>
      </c>
      <c r="G704" s="77">
        <f t="shared" si="333"/>
        <v>46080</v>
      </c>
      <c r="H704" s="77">
        <f t="shared" si="334"/>
        <v>46068</v>
      </c>
      <c r="I704" s="77">
        <f t="shared" si="335"/>
        <v>46075</v>
      </c>
      <c r="J704" s="77"/>
      <c r="K704" s="25"/>
      <c r="L704" s="81"/>
      <c r="M704" s="81"/>
      <c r="N704" s="25"/>
      <c r="O704" s="25"/>
    </row>
    <row r="705" spans="1:15" x14ac:dyDescent="0.25">
      <c r="A705" s="77">
        <v>46060</v>
      </c>
      <c r="B705" s="25" t="s">
        <v>1147</v>
      </c>
      <c r="C705" s="25" t="str">
        <f>VLOOKUP(B705,'[2]Migrasi Bed'!$B$4:$E$521,4,0)</f>
        <v>BJ.L001</v>
      </c>
      <c r="D705" s="77">
        <f t="shared" si="330"/>
        <v>46083</v>
      </c>
      <c r="E705" s="77">
        <f t="shared" si="331"/>
        <v>46067</v>
      </c>
      <c r="F705" s="77">
        <f t="shared" si="332"/>
        <v>46074</v>
      </c>
      <c r="G705" s="77">
        <f t="shared" si="333"/>
        <v>46080</v>
      </c>
      <c r="H705" s="77">
        <f t="shared" si="334"/>
        <v>46068</v>
      </c>
      <c r="I705" s="77">
        <f t="shared" si="335"/>
        <v>46075</v>
      </c>
      <c r="J705" s="77"/>
      <c r="K705" s="25"/>
      <c r="L705" s="81"/>
      <c r="M705" s="81"/>
      <c r="N705" s="25"/>
      <c r="O705" s="25"/>
    </row>
    <row r="706" spans="1:15" x14ac:dyDescent="0.25">
      <c r="A706" s="77">
        <v>46060</v>
      </c>
      <c r="B706" s="25" t="s">
        <v>1148</v>
      </c>
      <c r="C706" s="25" t="str">
        <f>VLOOKUP(B706,'[2]Migrasi Bed'!$B$4:$E$521,4,0)</f>
        <v>BJ.L002</v>
      </c>
      <c r="D706" s="77">
        <f t="shared" si="330"/>
        <v>46083</v>
      </c>
      <c r="E706" s="77">
        <f t="shared" si="331"/>
        <v>46067</v>
      </c>
      <c r="F706" s="77">
        <f t="shared" si="332"/>
        <v>46074</v>
      </c>
      <c r="G706" s="77">
        <f t="shared" si="333"/>
        <v>46080</v>
      </c>
      <c r="H706" s="77">
        <f t="shared" si="334"/>
        <v>46068</v>
      </c>
      <c r="I706" s="77">
        <f t="shared" si="335"/>
        <v>46075</v>
      </c>
      <c r="J706" s="77"/>
      <c r="K706" s="25"/>
      <c r="L706" s="81"/>
      <c r="M706" s="81"/>
      <c r="N706" s="25"/>
      <c r="O706" s="25"/>
    </row>
    <row r="707" spans="1:15" x14ac:dyDescent="0.25">
      <c r="A707" s="77">
        <v>46060</v>
      </c>
      <c r="B707" s="25" t="s">
        <v>1149</v>
      </c>
      <c r="C707" s="25" t="str">
        <f>VLOOKUP(B707,'[2]Migrasi Bed'!$B$4:$E$521,4,0)</f>
        <v>BJ.L003</v>
      </c>
      <c r="D707" s="77">
        <f t="shared" si="330"/>
        <v>46083</v>
      </c>
      <c r="E707" s="77">
        <f t="shared" si="331"/>
        <v>46067</v>
      </c>
      <c r="F707" s="77">
        <f t="shared" si="332"/>
        <v>46074</v>
      </c>
      <c r="G707" s="77">
        <f t="shared" si="333"/>
        <v>46080</v>
      </c>
      <c r="H707" s="77">
        <f t="shared" si="334"/>
        <v>46068</v>
      </c>
      <c r="I707" s="77">
        <f t="shared" si="335"/>
        <v>46075</v>
      </c>
      <c r="J707" s="77"/>
      <c r="K707" s="25"/>
      <c r="L707" s="81"/>
      <c r="M707" s="81"/>
      <c r="N707" s="25"/>
      <c r="O707" s="25"/>
    </row>
    <row r="708" spans="1:15" x14ac:dyDescent="0.25">
      <c r="A708" s="77">
        <v>46060</v>
      </c>
      <c r="B708" s="25" t="s">
        <v>1150</v>
      </c>
      <c r="C708" s="25" t="str">
        <f>VLOOKUP(B708,'[2]Migrasi Bed'!$B$4:$E$521,4,0)</f>
        <v>BJ.L004</v>
      </c>
      <c r="D708" s="77">
        <f t="shared" si="330"/>
        <v>46083</v>
      </c>
      <c r="E708" s="77">
        <f t="shared" si="331"/>
        <v>46067</v>
      </c>
      <c r="F708" s="77">
        <f t="shared" si="332"/>
        <v>46074</v>
      </c>
      <c r="G708" s="77">
        <f t="shared" si="333"/>
        <v>46080</v>
      </c>
      <c r="H708" s="77">
        <f t="shared" si="334"/>
        <v>46068</v>
      </c>
      <c r="I708" s="77">
        <f t="shared" si="335"/>
        <v>46075</v>
      </c>
      <c r="J708" s="77"/>
      <c r="K708" s="25"/>
      <c r="L708" s="81"/>
      <c r="M708" s="81"/>
      <c r="N708" s="25"/>
      <c r="O708" s="25"/>
    </row>
    <row r="709" spans="1:15" x14ac:dyDescent="0.25">
      <c r="A709" s="77">
        <v>46061</v>
      </c>
      <c r="B709" s="25" t="s">
        <v>1151</v>
      </c>
      <c r="C709" s="25" t="str">
        <f>VLOOKUP(B709,'[2]Migrasi Bed'!$B$4:$E$521,4,0)</f>
        <v>BJ.L005</v>
      </c>
      <c r="D709" s="77">
        <f t="shared" si="330"/>
        <v>46084</v>
      </c>
      <c r="E709" s="77">
        <f t="shared" si="331"/>
        <v>46068</v>
      </c>
      <c r="F709" s="77">
        <f t="shared" si="332"/>
        <v>46075</v>
      </c>
      <c r="G709" s="77">
        <f t="shared" si="333"/>
        <v>46081</v>
      </c>
      <c r="H709" s="77">
        <f t="shared" si="334"/>
        <v>46069</v>
      </c>
      <c r="I709" s="77">
        <f t="shared" si="335"/>
        <v>46076</v>
      </c>
      <c r="J709" s="77"/>
      <c r="K709" s="25"/>
      <c r="L709" s="81"/>
      <c r="M709" s="81"/>
      <c r="N709" s="25"/>
      <c r="O709" s="25"/>
    </row>
    <row r="710" spans="1:15" x14ac:dyDescent="0.25">
      <c r="A710" s="77">
        <v>46061</v>
      </c>
      <c r="B710" s="25" t="s">
        <v>1152</v>
      </c>
      <c r="C710" s="25" t="str">
        <f>VLOOKUP(B710,'[2]Migrasi Bed'!$B$4:$E$521,4,0)</f>
        <v>BJ.L006</v>
      </c>
      <c r="D710" s="77">
        <f t="shared" si="330"/>
        <v>46084</v>
      </c>
      <c r="E710" s="77">
        <f t="shared" si="331"/>
        <v>46068</v>
      </c>
      <c r="F710" s="77">
        <f t="shared" si="332"/>
        <v>46075</v>
      </c>
      <c r="G710" s="77">
        <f t="shared" si="333"/>
        <v>46081</v>
      </c>
      <c r="H710" s="77">
        <f t="shared" si="334"/>
        <v>46069</v>
      </c>
      <c r="I710" s="77">
        <f t="shared" si="335"/>
        <v>46076</v>
      </c>
      <c r="J710" s="77"/>
      <c r="K710" s="25"/>
      <c r="L710" s="81"/>
      <c r="M710" s="81"/>
      <c r="N710" s="25"/>
      <c r="O710" s="25"/>
    </row>
    <row r="711" spans="1:15" x14ac:dyDescent="0.25">
      <c r="A711" s="77">
        <v>46061</v>
      </c>
      <c r="B711" s="25" t="s">
        <v>490</v>
      </c>
      <c r="C711" s="25" t="str">
        <f>VLOOKUP(B711,'[2]Migrasi Bed'!$B$4:$E$521,4,0)</f>
        <v>ST.G003</v>
      </c>
      <c r="D711" s="77">
        <f t="shared" si="330"/>
        <v>46084</v>
      </c>
      <c r="E711" s="77">
        <f t="shared" si="331"/>
        <v>46068</v>
      </c>
      <c r="F711" s="77">
        <f t="shared" si="332"/>
        <v>46075</v>
      </c>
      <c r="G711" s="77">
        <f t="shared" si="333"/>
        <v>46081</v>
      </c>
      <c r="H711" s="77">
        <f t="shared" si="334"/>
        <v>46069</v>
      </c>
      <c r="I711" s="77">
        <f t="shared" si="335"/>
        <v>46076</v>
      </c>
      <c r="J711" s="77"/>
      <c r="K711" s="25"/>
      <c r="L711" s="81"/>
      <c r="M711" s="81"/>
      <c r="N711" s="25"/>
      <c r="O711" s="25"/>
    </row>
    <row r="712" spans="1:15" x14ac:dyDescent="0.25">
      <c r="A712" s="77">
        <v>46061</v>
      </c>
      <c r="B712" s="25" t="s">
        <v>491</v>
      </c>
      <c r="C712" s="25" t="str">
        <f>VLOOKUP(B712,'[2]Migrasi Bed'!$B$4:$E$521,4,0)</f>
        <v>ST.G004</v>
      </c>
      <c r="D712" s="77">
        <f t="shared" si="330"/>
        <v>46084</v>
      </c>
      <c r="E712" s="77">
        <f t="shared" si="331"/>
        <v>46068</v>
      </c>
      <c r="F712" s="77">
        <f t="shared" si="332"/>
        <v>46075</v>
      </c>
      <c r="G712" s="77">
        <f t="shared" si="333"/>
        <v>46081</v>
      </c>
      <c r="H712" s="77">
        <f t="shared" si="334"/>
        <v>46069</v>
      </c>
      <c r="I712" s="77">
        <f t="shared" si="335"/>
        <v>46076</v>
      </c>
      <c r="J712" s="77"/>
      <c r="K712" s="25"/>
      <c r="L712" s="81"/>
      <c r="M712" s="81"/>
      <c r="N712" s="25"/>
      <c r="O712" s="25"/>
    </row>
    <row r="713" spans="1:15" x14ac:dyDescent="0.25">
      <c r="A713" s="77">
        <v>46061</v>
      </c>
      <c r="B713" s="25" t="s">
        <v>492</v>
      </c>
      <c r="C713" s="25" t="str">
        <f>VLOOKUP(B713,'[2]Migrasi Bed'!$B$4:$E$521,4,0)</f>
        <v>ST.G005</v>
      </c>
      <c r="D713" s="77">
        <f t="shared" si="330"/>
        <v>46084</v>
      </c>
      <c r="E713" s="77">
        <f t="shared" si="331"/>
        <v>46068</v>
      </c>
      <c r="F713" s="77">
        <f t="shared" si="332"/>
        <v>46075</v>
      </c>
      <c r="G713" s="77">
        <f t="shared" si="333"/>
        <v>46081</v>
      </c>
      <c r="H713" s="77">
        <f t="shared" si="334"/>
        <v>46069</v>
      </c>
      <c r="I713" s="77">
        <f t="shared" si="335"/>
        <v>46076</v>
      </c>
      <c r="J713" s="77"/>
      <c r="K713" s="25"/>
      <c r="L713" s="81"/>
      <c r="M713" s="81"/>
      <c r="N713" s="25"/>
      <c r="O713" s="25"/>
    </row>
    <row r="714" spans="1:15" x14ac:dyDescent="0.25">
      <c r="A714" s="77">
        <v>46061</v>
      </c>
      <c r="B714" s="25" t="s">
        <v>493</v>
      </c>
      <c r="C714" s="25" t="str">
        <f>VLOOKUP(B714,'[2]Migrasi Bed'!$B$4:$E$521,4,0)</f>
        <v>ST.G006</v>
      </c>
      <c r="D714" s="77">
        <f t="shared" si="330"/>
        <v>46084</v>
      </c>
      <c r="E714" s="77">
        <f t="shared" si="331"/>
        <v>46068</v>
      </c>
      <c r="F714" s="77">
        <f t="shared" si="332"/>
        <v>46075</v>
      </c>
      <c r="G714" s="77">
        <f t="shared" si="333"/>
        <v>46081</v>
      </c>
      <c r="H714" s="77">
        <f t="shared" si="334"/>
        <v>46069</v>
      </c>
      <c r="I714" s="77">
        <f t="shared" si="335"/>
        <v>46076</v>
      </c>
      <c r="J714" s="77"/>
      <c r="K714" s="25"/>
      <c r="L714" s="81"/>
      <c r="M714" s="81"/>
      <c r="N714" s="25"/>
      <c r="O714" s="25"/>
    </row>
    <row r="715" spans="1:15" x14ac:dyDescent="0.25">
      <c r="A715" s="77">
        <v>46061</v>
      </c>
      <c r="B715" s="25" t="s">
        <v>494</v>
      </c>
      <c r="C715" s="25" t="str">
        <f>VLOOKUP(B715,'[2]Migrasi Bed'!$B$4:$E$521,4,0)</f>
        <v>ST.G007</v>
      </c>
      <c r="D715" s="77">
        <f t="shared" si="330"/>
        <v>46084</v>
      </c>
      <c r="E715" s="77">
        <f t="shared" si="331"/>
        <v>46068</v>
      </c>
      <c r="F715" s="77">
        <f t="shared" si="332"/>
        <v>46075</v>
      </c>
      <c r="G715" s="77">
        <f t="shared" si="333"/>
        <v>46081</v>
      </c>
      <c r="H715" s="77">
        <f t="shared" si="334"/>
        <v>46069</v>
      </c>
      <c r="I715" s="77">
        <f t="shared" si="335"/>
        <v>46076</v>
      </c>
      <c r="J715" s="77"/>
      <c r="K715" s="25"/>
      <c r="L715" s="81"/>
      <c r="M715" s="81"/>
      <c r="N715" s="25"/>
      <c r="O715" s="25"/>
    </row>
    <row r="716" spans="1:15" x14ac:dyDescent="0.25">
      <c r="A716" s="77">
        <v>46062</v>
      </c>
      <c r="B716" s="25" t="s">
        <v>552</v>
      </c>
      <c r="C716" s="25" t="str">
        <f>VLOOKUP(B716,'[2]Migrasi Bed'!$B$4:$E$521,4,0)</f>
        <v>ST.B017</v>
      </c>
      <c r="D716" s="77">
        <f t="shared" si="330"/>
        <v>46085</v>
      </c>
      <c r="E716" s="77">
        <f t="shared" si="331"/>
        <v>46069</v>
      </c>
      <c r="F716" s="77">
        <f t="shared" si="332"/>
        <v>46076</v>
      </c>
      <c r="G716" s="77">
        <f t="shared" si="333"/>
        <v>46082</v>
      </c>
      <c r="H716" s="77">
        <f t="shared" si="334"/>
        <v>46070</v>
      </c>
      <c r="I716" s="77">
        <f t="shared" si="335"/>
        <v>46077</v>
      </c>
      <c r="J716" s="77"/>
      <c r="K716" s="25"/>
      <c r="L716" s="81"/>
      <c r="M716" s="81"/>
      <c r="N716" s="25"/>
      <c r="O716" s="25"/>
    </row>
    <row r="717" spans="1:15" x14ac:dyDescent="0.25">
      <c r="A717" s="77">
        <v>46062</v>
      </c>
      <c r="B717" s="25" t="s">
        <v>553</v>
      </c>
      <c r="C717" s="25" t="str">
        <f>VLOOKUP(B717,'[2]Migrasi Bed'!$B$4:$E$521,4,0)</f>
        <v>ST.B018</v>
      </c>
      <c r="D717" s="77">
        <f t="shared" si="330"/>
        <v>46085</v>
      </c>
      <c r="E717" s="77">
        <f t="shared" si="331"/>
        <v>46069</v>
      </c>
      <c r="F717" s="77">
        <f t="shared" si="332"/>
        <v>46076</v>
      </c>
      <c r="G717" s="77">
        <f t="shared" si="333"/>
        <v>46082</v>
      </c>
      <c r="H717" s="77">
        <f t="shared" si="334"/>
        <v>46070</v>
      </c>
      <c r="I717" s="77">
        <f t="shared" si="335"/>
        <v>46077</v>
      </c>
      <c r="J717" s="25"/>
      <c r="K717" s="25"/>
      <c r="L717" s="81"/>
      <c r="M717" s="81"/>
      <c r="N717" s="25"/>
      <c r="O717" s="25"/>
    </row>
    <row r="718" spans="1:15" x14ac:dyDescent="0.25">
      <c r="A718" s="77">
        <v>46062</v>
      </c>
      <c r="B718" s="25" t="s">
        <v>554</v>
      </c>
      <c r="C718" s="25" t="str">
        <f>VLOOKUP(B718,'[2]Migrasi Bed'!$B$4:$E$521,4,0)</f>
        <v>ST.B019</v>
      </c>
      <c r="D718" s="77">
        <f t="shared" si="330"/>
        <v>46085</v>
      </c>
      <c r="E718" s="77">
        <f t="shared" si="331"/>
        <v>46069</v>
      </c>
      <c r="F718" s="77">
        <f t="shared" si="332"/>
        <v>46076</v>
      </c>
      <c r="G718" s="77">
        <f t="shared" si="333"/>
        <v>46082</v>
      </c>
      <c r="H718" s="77">
        <f t="shared" si="334"/>
        <v>46070</v>
      </c>
      <c r="I718" s="77">
        <f t="shared" si="335"/>
        <v>46077</v>
      </c>
      <c r="J718" s="25"/>
      <c r="K718" s="25"/>
      <c r="L718" s="81"/>
      <c r="M718" s="81"/>
      <c r="N718" s="25"/>
      <c r="O718" s="25"/>
    </row>
    <row r="719" spans="1:15" x14ac:dyDescent="0.25">
      <c r="A719" s="77">
        <v>46062</v>
      </c>
      <c r="B719" s="25" t="s">
        <v>555</v>
      </c>
      <c r="C719" s="25" t="str">
        <f>VLOOKUP(B719,'[2]Migrasi Bed'!$B$4:$E$521,4,0)</f>
        <v>ST.B020</v>
      </c>
      <c r="D719" s="77">
        <f t="shared" si="330"/>
        <v>46085</v>
      </c>
      <c r="E719" s="77">
        <f t="shared" si="331"/>
        <v>46069</v>
      </c>
      <c r="F719" s="77">
        <f t="shared" si="332"/>
        <v>46076</v>
      </c>
      <c r="G719" s="77">
        <f t="shared" si="333"/>
        <v>46082</v>
      </c>
      <c r="H719" s="77">
        <f t="shared" si="334"/>
        <v>46070</v>
      </c>
      <c r="I719" s="77">
        <f t="shared" si="335"/>
        <v>46077</v>
      </c>
      <c r="J719" s="25"/>
      <c r="K719" s="25"/>
      <c r="L719" s="81"/>
      <c r="M719" s="81"/>
      <c r="N719" s="25"/>
      <c r="O719" s="25"/>
    </row>
    <row r="720" spans="1:15" x14ac:dyDescent="0.25">
      <c r="A720" s="77">
        <v>46062</v>
      </c>
      <c r="B720" s="25" t="s">
        <v>556</v>
      </c>
      <c r="C720" s="25" t="str">
        <f>VLOOKUP(B720,'[2]Migrasi Bed'!$B$4:$E$521,4,0)</f>
        <v>ST.B021</v>
      </c>
      <c r="D720" s="77">
        <f t="shared" si="330"/>
        <v>46085</v>
      </c>
      <c r="E720" s="77">
        <f t="shared" si="331"/>
        <v>46069</v>
      </c>
      <c r="F720" s="77">
        <f t="shared" si="332"/>
        <v>46076</v>
      </c>
      <c r="G720" s="77">
        <f t="shared" si="333"/>
        <v>46082</v>
      </c>
      <c r="H720" s="77">
        <f t="shared" si="334"/>
        <v>46070</v>
      </c>
      <c r="I720" s="77">
        <f t="shared" si="335"/>
        <v>46077</v>
      </c>
      <c r="J720" s="25"/>
      <c r="K720" s="25"/>
      <c r="L720" s="81"/>
      <c r="M720" s="81"/>
      <c r="N720" s="25"/>
      <c r="O720" s="25"/>
    </row>
    <row r="721" spans="1:15" x14ac:dyDescent="0.25">
      <c r="A721" s="77">
        <v>46062</v>
      </c>
      <c r="B721" s="25" t="s">
        <v>557</v>
      </c>
      <c r="C721" s="25" t="str">
        <f>VLOOKUP(B721,'[2]Migrasi Bed'!$B$4:$E$521,4,0)</f>
        <v>ST.B022</v>
      </c>
      <c r="D721" s="77">
        <f t="shared" si="330"/>
        <v>46085</v>
      </c>
      <c r="E721" s="77">
        <f t="shared" si="331"/>
        <v>46069</v>
      </c>
      <c r="F721" s="77">
        <f t="shared" si="332"/>
        <v>46076</v>
      </c>
      <c r="G721" s="77">
        <f t="shared" si="333"/>
        <v>46082</v>
      </c>
      <c r="H721" s="77">
        <f t="shared" si="334"/>
        <v>46070</v>
      </c>
      <c r="I721" s="77">
        <f t="shared" si="335"/>
        <v>46077</v>
      </c>
      <c r="J721" s="25"/>
      <c r="K721" s="25"/>
      <c r="L721" s="81"/>
      <c r="M721" s="81"/>
      <c r="N721" s="25"/>
      <c r="O721" s="25"/>
    </row>
    <row r="722" spans="1:15" x14ac:dyDescent="0.25">
      <c r="A722" s="77">
        <v>46062</v>
      </c>
      <c r="B722" s="25" t="s">
        <v>558</v>
      </c>
      <c r="C722" s="25" t="str">
        <f>VLOOKUP(B722,'[2]Migrasi Bed'!$B$4:$E$521,4,0)</f>
        <v>ST.B023</v>
      </c>
      <c r="D722" s="77">
        <f t="shared" si="330"/>
        <v>46085</v>
      </c>
      <c r="E722" s="77">
        <f t="shared" si="331"/>
        <v>46069</v>
      </c>
      <c r="F722" s="77">
        <f t="shared" si="332"/>
        <v>46076</v>
      </c>
      <c r="G722" s="77">
        <f t="shared" si="333"/>
        <v>46082</v>
      </c>
      <c r="H722" s="77">
        <f t="shared" si="334"/>
        <v>46070</v>
      </c>
      <c r="I722" s="77">
        <f t="shared" si="335"/>
        <v>46077</v>
      </c>
      <c r="J722" s="25"/>
      <c r="K722" s="25"/>
      <c r="L722" s="81"/>
      <c r="M722" s="81"/>
      <c r="N722" s="25"/>
      <c r="O722" s="25"/>
    </row>
    <row r="723" spans="1:15" x14ac:dyDescent="0.25">
      <c r="A723" s="77">
        <v>46063</v>
      </c>
      <c r="B723" s="25" t="s">
        <v>545</v>
      </c>
      <c r="C723" s="25" t="str">
        <f>VLOOKUP(B723,'[2]Migrasi Bed'!$B$4:$E$521,4,0)</f>
        <v>ST.B010</v>
      </c>
      <c r="D723" s="77">
        <f t="shared" si="330"/>
        <v>46086</v>
      </c>
      <c r="E723" s="77">
        <f t="shared" si="331"/>
        <v>46070</v>
      </c>
      <c r="F723" s="77">
        <f t="shared" si="332"/>
        <v>46077</v>
      </c>
      <c r="G723" s="77">
        <f t="shared" si="333"/>
        <v>46083</v>
      </c>
      <c r="H723" s="77">
        <f t="shared" si="334"/>
        <v>46071</v>
      </c>
      <c r="I723" s="77">
        <f t="shared" si="335"/>
        <v>46078</v>
      </c>
      <c r="J723" s="25"/>
      <c r="K723" s="25"/>
      <c r="L723" s="81"/>
      <c r="M723" s="81"/>
      <c r="N723" s="25"/>
      <c r="O723" s="25"/>
    </row>
    <row r="724" spans="1:15" x14ac:dyDescent="0.25">
      <c r="A724" s="77">
        <v>46063</v>
      </c>
      <c r="B724" s="25" t="s">
        <v>546</v>
      </c>
      <c r="C724" s="25" t="str">
        <f>VLOOKUP(B724,'[2]Migrasi Bed'!$B$4:$E$521,4,0)</f>
        <v>ST.B011</v>
      </c>
      <c r="D724" s="77">
        <f t="shared" si="330"/>
        <v>46086</v>
      </c>
      <c r="E724" s="77">
        <f t="shared" si="331"/>
        <v>46070</v>
      </c>
      <c r="F724" s="77">
        <f t="shared" si="332"/>
        <v>46077</v>
      </c>
      <c r="G724" s="77">
        <f t="shared" si="333"/>
        <v>46083</v>
      </c>
      <c r="H724" s="77">
        <f t="shared" si="334"/>
        <v>46071</v>
      </c>
      <c r="I724" s="77">
        <f t="shared" si="335"/>
        <v>46078</v>
      </c>
      <c r="J724" s="25"/>
      <c r="K724" s="25"/>
      <c r="L724" s="81"/>
      <c r="M724" s="81"/>
      <c r="N724" s="25"/>
      <c r="O724" s="25"/>
    </row>
    <row r="725" spans="1:15" x14ac:dyDescent="0.25">
      <c r="A725" s="77">
        <v>46063</v>
      </c>
      <c r="B725" s="25" t="s">
        <v>547</v>
      </c>
      <c r="C725" s="25" t="str">
        <f>VLOOKUP(B725,'[2]Migrasi Bed'!$B$4:$E$521,4,0)</f>
        <v>ST.B012</v>
      </c>
      <c r="D725" s="77">
        <f t="shared" si="330"/>
        <v>46086</v>
      </c>
      <c r="E725" s="77">
        <f t="shared" si="331"/>
        <v>46070</v>
      </c>
      <c r="F725" s="77">
        <f t="shared" si="332"/>
        <v>46077</v>
      </c>
      <c r="G725" s="77">
        <f t="shared" si="333"/>
        <v>46083</v>
      </c>
      <c r="H725" s="77">
        <f t="shared" si="334"/>
        <v>46071</v>
      </c>
      <c r="I725" s="77">
        <f t="shared" si="335"/>
        <v>46078</v>
      </c>
      <c r="J725" s="25"/>
      <c r="K725" s="25"/>
      <c r="L725" s="81"/>
      <c r="M725" s="81"/>
      <c r="N725" s="25"/>
      <c r="O725" s="25"/>
    </row>
    <row r="726" spans="1:15" x14ac:dyDescent="0.25">
      <c r="A726" s="77">
        <v>46063</v>
      </c>
      <c r="B726" s="25" t="s">
        <v>548</v>
      </c>
      <c r="C726" s="25" t="str">
        <f>VLOOKUP(B726,'[2]Migrasi Bed'!$B$4:$E$521,4,0)</f>
        <v>ST.B013</v>
      </c>
      <c r="D726" s="77">
        <f t="shared" si="330"/>
        <v>46086</v>
      </c>
      <c r="E726" s="77">
        <f t="shared" si="331"/>
        <v>46070</v>
      </c>
      <c r="F726" s="77">
        <f t="shared" si="332"/>
        <v>46077</v>
      </c>
      <c r="G726" s="77">
        <f t="shared" si="333"/>
        <v>46083</v>
      </c>
      <c r="H726" s="77">
        <f t="shared" si="334"/>
        <v>46071</v>
      </c>
      <c r="I726" s="77">
        <f t="shared" si="335"/>
        <v>46078</v>
      </c>
      <c r="J726" s="25"/>
      <c r="K726" s="25"/>
      <c r="L726" s="81"/>
      <c r="M726" s="81"/>
      <c r="N726" s="25"/>
      <c r="O726" s="25"/>
    </row>
    <row r="727" spans="1:15" x14ac:dyDescent="0.25">
      <c r="A727" s="77">
        <v>46063</v>
      </c>
      <c r="B727" s="25" t="s">
        <v>549</v>
      </c>
      <c r="C727" s="25" t="str">
        <f>VLOOKUP(B727,'[2]Migrasi Bed'!$B$4:$E$521,4,0)</f>
        <v>ST.B014</v>
      </c>
      <c r="D727" s="77">
        <f t="shared" si="330"/>
        <v>46086</v>
      </c>
      <c r="E727" s="77">
        <f t="shared" si="331"/>
        <v>46070</v>
      </c>
      <c r="F727" s="77">
        <f t="shared" si="332"/>
        <v>46077</v>
      </c>
      <c r="G727" s="77">
        <f t="shared" si="333"/>
        <v>46083</v>
      </c>
      <c r="H727" s="77">
        <f t="shared" si="334"/>
        <v>46071</v>
      </c>
      <c r="I727" s="77">
        <f t="shared" si="335"/>
        <v>46078</v>
      </c>
      <c r="J727" s="25"/>
      <c r="K727" s="25"/>
      <c r="L727" s="81"/>
      <c r="M727" s="81"/>
      <c r="N727" s="25"/>
      <c r="O727" s="25"/>
    </row>
    <row r="728" spans="1:15" x14ac:dyDescent="0.25">
      <c r="A728" s="77">
        <v>46063</v>
      </c>
      <c r="B728" s="25" t="s">
        <v>550</v>
      </c>
      <c r="C728" s="25" t="str">
        <f>VLOOKUP(B728,'[2]Migrasi Bed'!$B$4:$E$521,4,0)</f>
        <v>ST.B015</v>
      </c>
      <c r="D728" s="77">
        <f t="shared" si="330"/>
        <v>46086</v>
      </c>
      <c r="E728" s="77">
        <f t="shared" si="331"/>
        <v>46070</v>
      </c>
      <c r="F728" s="77">
        <f t="shared" si="332"/>
        <v>46077</v>
      </c>
      <c r="G728" s="77">
        <f t="shared" si="333"/>
        <v>46083</v>
      </c>
      <c r="H728" s="77">
        <f t="shared" si="334"/>
        <v>46071</v>
      </c>
      <c r="I728" s="77">
        <f t="shared" si="335"/>
        <v>46078</v>
      </c>
      <c r="J728" s="25"/>
      <c r="K728" s="25"/>
      <c r="L728" s="81"/>
      <c r="M728" s="81"/>
      <c r="N728" s="25"/>
      <c r="O728" s="25"/>
    </row>
    <row r="729" spans="1:15" x14ac:dyDescent="0.25">
      <c r="A729" s="77">
        <v>46063</v>
      </c>
      <c r="B729" s="25" t="s">
        <v>551</v>
      </c>
      <c r="C729" s="25" t="str">
        <f>VLOOKUP(B729,'[2]Migrasi Bed'!$B$4:$E$521,4,0)</f>
        <v>ST.B016</v>
      </c>
      <c r="D729" s="77">
        <f t="shared" si="330"/>
        <v>46086</v>
      </c>
      <c r="E729" s="77">
        <f t="shared" si="331"/>
        <v>46070</v>
      </c>
      <c r="F729" s="77">
        <f t="shared" si="332"/>
        <v>46077</v>
      </c>
      <c r="G729" s="77">
        <f t="shared" si="333"/>
        <v>46083</v>
      </c>
      <c r="H729" s="77">
        <f t="shared" si="334"/>
        <v>46071</v>
      </c>
      <c r="I729" s="77">
        <f t="shared" si="335"/>
        <v>46078</v>
      </c>
      <c r="J729" s="25"/>
      <c r="K729" s="25"/>
      <c r="L729" s="81"/>
      <c r="M729" s="81"/>
      <c r="N729" s="25"/>
      <c r="O729" s="25"/>
    </row>
    <row r="730" spans="1:15" x14ac:dyDescent="0.25">
      <c r="A730" s="77">
        <v>46064</v>
      </c>
      <c r="B730" s="25" t="s">
        <v>537</v>
      </c>
      <c r="C730" s="25" t="str">
        <f>VLOOKUP(B730,'[2]Migrasi Bed'!$B$4:$E$521,4,0)</f>
        <v>ST.B002</v>
      </c>
      <c r="D730" s="77">
        <f t="shared" si="330"/>
        <v>46087</v>
      </c>
      <c r="E730" s="77">
        <f t="shared" si="331"/>
        <v>46071</v>
      </c>
      <c r="F730" s="77">
        <f t="shared" si="332"/>
        <v>46078</v>
      </c>
      <c r="G730" s="77">
        <f t="shared" si="333"/>
        <v>46084</v>
      </c>
      <c r="H730" s="77">
        <f t="shared" si="334"/>
        <v>46072</v>
      </c>
      <c r="I730" s="77">
        <f t="shared" si="335"/>
        <v>46079</v>
      </c>
      <c r="J730" s="25"/>
      <c r="K730" s="25"/>
      <c r="L730" s="81"/>
      <c r="M730" s="81"/>
      <c r="N730" s="25"/>
      <c r="O730" s="25"/>
    </row>
    <row r="731" spans="1:15" x14ac:dyDescent="0.25">
      <c r="A731" s="77">
        <v>46064</v>
      </c>
      <c r="B731" s="25" t="s">
        <v>538</v>
      </c>
      <c r="C731" s="25" t="str">
        <f>VLOOKUP(B731,'[2]Migrasi Bed'!$B$4:$E$521,4,0)</f>
        <v>ST.B003</v>
      </c>
      <c r="D731" s="77">
        <f t="shared" si="330"/>
        <v>46087</v>
      </c>
      <c r="E731" s="77">
        <f t="shared" si="331"/>
        <v>46071</v>
      </c>
      <c r="F731" s="77">
        <f t="shared" si="332"/>
        <v>46078</v>
      </c>
      <c r="G731" s="77">
        <f t="shared" si="333"/>
        <v>46084</v>
      </c>
      <c r="H731" s="77">
        <f t="shared" si="334"/>
        <v>46072</v>
      </c>
      <c r="I731" s="77">
        <f t="shared" si="335"/>
        <v>46079</v>
      </c>
      <c r="J731" s="25"/>
      <c r="K731" s="25"/>
      <c r="L731" s="81"/>
      <c r="M731" s="81"/>
      <c r="N731" s="25"/>
      <c r="O731" s="25"/>
    </row>
    <row r="732" spans="1:15" x14ac:dyDescent="0.25">
      <c r="A732" s="77">
        <v>46064</v>
      </c>
      <c r="B732" s="25" t="s">
        <v>539</v>
      </c>
      <c r="C732" s="25" t="str">
        <f>VLOOKUP(B732,'[2]Migrasi Bed'!$B$4:$E$521,4,0)</f>
        <v>ST.B004</v>
      </c>
      <c r="D732" s="77">
        <f t="shared" si="330"/>
        <v>46087</v>
      </c>
      <c r="E732" s="77">
        <f t="shared" si="331"/>
        <v>46071</v>
      </c>
      <c r="F732" s="77">
        <f t="shared" si="332"/>
        <v>46078</v>
      </c>
      <c r="G732" s="77">
        <f t="shared" si="333"/>
        <v>46084</v>
      </c>
      <c r="H732" s="77">
        <f t="shared" si="334"/>
        <v>46072</v>
      </c>
      <c r="I732" s="77">
        <f t="shared" si="335"/>
        <v>46079</v>
      </c>
      <c r="J732" s="25"/>
      <c r="K732" s="25"/>
      <c r="L732" s="81"/>
      <c r="M732" s="81"/>
      <c r="N732" s="25"/>
      <c r="O732" s="25"/>
    </row>
    <row r="733" spans="1:15" x14ac:dyDescent="0.25">
      <c r="A733" s="77">
        <v>46064</v>
      </c>
      <c r="B733" s="25" t="s">
        <v>540</v>
      </c>
      <c r="C733" s="25" t="str">
        <f>VLOOKUP(B733,'[2]Migrasi Bed'!$B$4:$E$521,4,0)</f>
        <v>ST.B005</v>
      </c>
      <c r="D733" s="77">
        <f t="shared" si="330"/>
        <v>46087</v>
      </c>
      <c r="E733" s="77">
        <f t="shared" si="331"/>
        <v>46071</v>
      </c>
      <c r="F733" s="77">
        <f t="shared" si="332"/>
        <v>46078</v>
      </c>
      <c r="G733" s="77">
        <f t="shared" si="333"/>
        <v>46084</v>
      </c>
      <c r="H733" s="77">
        <f t="shared" si="334"/>
        <v>46072</v>
      </c>
      <c r="I733" s="77">
        <f t="shared" si="335"/>
        <v>46079</v>
      </c>
      <c r="J733" s="25"/>
      <c r="K733" s="25"/>
      <c r="L733" s="25"/>
      <c r="M733" s="25"/>
      <c r="N733" s="25"/>
      <c r="O733" s="25"/>
    </row>
    <row r="734" spans="1:15" x14ac:dyDescent="0.25">
      <c r="A734" s="77">
        <v>46064</v>
      </c>
      <c r="B734" s="25" t="s">
        <v>541</v>
      </c>
      <c r="C734" s="25" t="str">
        <f>VLOOKUP(B734,'[2]Migrasi Bed'!$B$4:$E$521,4,0)</f>
        <v>ST.B006</v>
      </c>
      <c r="D734" s="77">
        <f t="shared" si="330"/>
        <v>46087</v>
      </c>
      <c r="E734" s="77">
        <f t="shared" si="331"/>
        <v>46071</v>
      </c>
      <c r="F734" s="77">
        <f t="shared" si="332"/>
        <v>46078</v>
      </c>
      <c r="G734" s="77">
        <f t="shared" si="333"/>
        <v>46084</v>
      </c>
      <c r="H734" s="77">
        <f t="shared" si="334"/>
        <v>46072</v>
      </c>
      <c r="I734" s="77">
        <f t="shared" si="335"/>
        <v>46079</v>
      </c>
      <c r="J734" s="25"/>
      <c r="K734" s="25"/>
      <c r="L734" s="25"/>
      <c r="M734" s="25"/>
      <c r="N734" s="25"/>
      <c r="O734" s="25"/>
    </row>
    <row r="735" spans="1:15" x14ac:dyDescent="0.25">
      <c r="A735" s="77">
        <v>46064</v>
      </c>
      <c r="B735" s="25" t="s">
        <v>542</v>
      </c>
      <c r="C735" s="25" t="str">
        <f>VLOOKUP(B735,'[2]Migrasi Bed'!$B$4:$E$521,4,0)</f>
        <v>ST.B007</v>
      </c>
      <c r="D735" s="77">
        <f t="shared" si="330"/>
        <v>46087</v>
      </c>
      <c r="E735" s="77">
        <f t="shared" si="331"/>
        <v>46071</v>
      </c>
      <c r="F735" s="77">
        <f t="shared" si="332"/>
        <v>46078</v>
      </c>
      <c r="G735" s="77">
        <f t="shared" si="333"/>
        <v>46084</v>
      </c>
      <c r="H735" s="77">
        <f t="shared" si="334"/>
        <v>46072</v>
      </c>
      <c r="I735" s="77">
        <f t="shared" si="335"/>
        <v>46079</v>
      </c>
      <c r="J735" s="25"/>
      <c r="K735" s="25"/>
      <c r="L735" s="25"/>
      <c r="M735" s="25"/>
      <c r="N735" s="25"/>
      <c r="O735" s="25"/>
    </row>
    <row r="736" spans="1:15" x14ac:dyDescent="0.25">
      <c r="A736" s="77">
        <v>46064</v>
      </c>
      <c r="B736" s="25" t="s">
        <v>543</v>
      </c>
      <c r="C736" s="25" t="str">
        <f>VLOOKUP(B736,'[2]Migrasi Bed'!$B$4:$E$521,4,0)</f>
        <v>ST.B008</v>
      </c>
      <c r="D736" s="77">
        <f t="shared" si="330"/>
        <v>46087</v>
      </c>
      <c r="E736" s="77">
        <f t="shared" si="331"/>
        <v>46071</v>
      </c>
      <c r="F736" s="77">
        <f t="shared" si="332"/>
        <v>46078</v>
      </c>
      <c r="G736" s="77">
        <f t="shared" si="333"/>
        <v>46084</v>
      </c>
      <c r="H736" s="77">
        <f t="shared" si="334"/>
        <v>46072</v>
      </c>
      <c r="I736" s="77">
        <f t="shared" si="335"/>
        <v>46079</v>
      </c>
      <c r="J736" s="25"/>
      <c r="K736" s="25"/>
      <c r="L736" s="25"/>
      <c r="M736" s="25"/>
      <c r="N736" s="25"/>
      <c r="O736" s="25"/>
    </row>
    <row r="737" spans="1:15" x14ac:dyDescent="0.25">
      <c r="A737" s="77">
        <v>46064</v>
      </c>
      <c r="B737" s="25" t="s">
        <v>544</v>
      </c>
      <c r="C737" s="25" t="str">
        <f>VLOOKUP(B737,'[2]Migrasi Bed'!$B$4:$E$521,4,0)</f>
        <v>ST.B009</v>
      </c>
      <c r="D737" s="77">
        <f t="shared" si="330"/>
        <v>46087</v>
      </c>
      <c r="E737" s="77">
        <f t="shared" si="331"/>
        <v>46071</v>
      </c>
      <c r="F737" s="77">
        <f t="shared" si="332"/>
        <v>46078</v>
      </c>
      <c r="G737" s="77">
        <f t="shared" si="333"/>
        <v>46084</v>
      </c>
      <c r="H737" s="77">
        <f t="shared" si="334"/>
        <v>46072</v>
      </c>
      <c r="I737" s="77">
        <f t="shared" si="335"/>
        <v>46079</v>
      </c>
      <c r="J737" s="25"/>
      <c r="K737" s="25"/>
      <c r="L737" s="25"/>
      <c r="M737" s="25"/>
      <c r="N737" s="25"/>
      <c r="O737" s="25"/>
    </row>
    <row r="738" spans="1:15" x14ac:dyDescent="0.25">
      <c r="A738" s="77">
        <v>46065</v>
      </c>
      <c r="B738" s="25" t="s">
        <v>513</v>
      </c>
      <c r="C738" s="25" t="str">
        <f>VLOOKUP(B738,'[2]Migrasi Bed'!$B$4:$E$521,4,0)</f>
        <v>ST.A001</v>
      </c>
      <c r="D738" s="77">
        <f t="shared" si="330"/>
        <v>46088</v>
      </c>
      <c r="E738" s="77">
        <f t="shared" si="331"/>
        <v>46072</v>
      </c>
      <c r="F738" s="77">
        <f t="shared" si="332"/>
        <v>46079</v>
      </c>
      <c r="G738" s="77">
        <f t="shared" si="333"/>
        <v>46085</v>
      </c>
      <c r="H738" s="77">
        <f t="shared" si="334"/>
        <v>46073</v>
      </c>
      <c r="I738" s="77">
        <f t="shared" si="335"/>
        <v>46080</v>
      </c>
      <c r="J738" s="25"/>
      <c r="K738" s="25"/>
      <c r="L738" s="25"/>
      <c r="M738" s="25"/>
      <c r="N738" s="25"/>
      <c r="O738" s="25"/>
    </row>
    <row r="739" spans="1:15" x14ac:dyDescent="0.25">
      <c r="A739" s="77">
        <v>46065</v>
      </c>
      <c r="B739" s="25" t="s">
        <v>514</v>
      </c>
      <c r="C739" s="25" t="str">
        <f>VLOOKUP(B739,'[2]Migrasi Bed'!$B$4:$E$521,4,0)</f>
        <v>ST.A002</v>
      </c>
      <c r="D739" s="77">
        <f t="shared" si="330"/>
        <v>46088</v>
      </c>
      <c r="E739" s="77">
        <f t="shared" si="331"/>
        <v>46072</v>
      </c>
      <c r="F739" s="77">
        <f t="shared" si="332"/>
        <v>46079</v>
      </c>
      <c r="G739" s="77">
        <f t="shared" si="333"/>
        <v>46085</v>
      </c>
      <c r="H739" s="77">
        <f t="shared" si="334"/>
        <v>46073</v>
      </c>
      <c r="I739" s="77">
        <f t="shared" si="335"/>
        <v>46080</v>
      </c>
      <c r="J739" s="25"/>
      <c r="K739" s="25"/>
      <c r="L739" s="25"/>
      <c r="M739" s="25"/>
      <c r="N739" s="25"/>
      <c r="O739" s="25"/>
    </row>
    <row r="740" spans="1:15" x14ac:dyDescent="0.25">
      <c r="A740" s="77">
        <v>46065</v>
      </c>
      <c r="B740" s="25" t="s">
        <v>515</v>
      </c>
      <c r="C740" s="25" t="str">
        <f>VLOOKUP(B740,'[2]Migrasi Bed'!$B$4:$E$521,4,0)</f>
        <v>ST.A003</v>
      </c>
      <c r="D740" s="77">
        <f t="shared" si="330"/>
        <v>46088</v>
      </c>
      <c r="E740" s="77">
        <f t="shared" si="331"/>
        <v>46072</v>
      </c>
      <c r="F740" s="77">
        <f t="shared" si="332"/>
        <v>46079</v>
      </c>
      <c r="G740" s="77">
        <f t="shared" si="333"/>
        <v>46085</v>
      </c>
      <c r="H740" s="77">
        <f t="shared" si="334"/>
        <v>46073</v>
      </c>
      <c r="I740" s="77">
        <f t="shared" si="335"/>
        <v>46080</v>
      </c>
      <c r="J740" s="25"/>
      <c r="K740" s="25"/>
      <c r="L740" s="25"/>
      <c r="M740" s="25"/>
      <c r="N740" s="25"/>
      <c r="O740" s="25"/>
    </row>
    <row r="741" spans="1:15" x14ac:dyDescent="0.25">
      <c r="A741" s="77">
        <v>46065</v>
      </c>
      <c r="B741" s="25" t="s">
        <v>516</v>
      </c>
      <c r="C741" s="25" t="str">
        <f>VLOOKUP(B741,'[2]Migrasi Bed'!$B$4:$E$521,4,0)</f>
        <v>ST.A004</v>
      </c>
      <c r="D741" s="77">
        <f t="shared" si="330"/>
        <v>46088</v>
      </c>
      <c r="E741" s="77">
        <f t="shared" si="331"/>
        <v>46072</v>
      </c>
      <c r="F741" s="77">
        <f t="shared" si="332"/>
        <v>46079</v>
      </c>
      <c r="G741" s="77">
        <f t="shared" si="333"/>
        <v>46085</v>
      </c>
      <c r="H741" s="77">
        <f t="shared" si="334"/>
        <v>46073</v>
      </c>
      <c r="I741" s="77">
        <f t="shared" si="335"/>
        <v>46080</v>
      </c>
      <c r="J741" s="25"/>
      <c r="K741" s="25"/>
      <c r="L741" s="25"/>
      <c r="M741" s="25"/>
      <c r="N741" s="25"/>
      <c r="O741" s="25"/>
    </row>
    <row r="742" spans="1:15" x14ac:dyDescent="0.25">
      <c r="A742" s="77">
        <v>46065</v>
      </c>
      <c r="B742" s="25" t="s">
        <v>517</v>
      </c>
      <c r="C742" s="25" t="str">
        <f>VLOOKUP(B742,'[2]Migrasi Bed'!$B$4:$E$521,4,0)</f>
        <v>ST.A005</v>
      </c>
      <c r="D742" s="77">
        <f t="shared" si="330"/>
        <v>46088</v>
      </c>
      <c r="E742" s="77">
        <f t="shared" si="331"/>
        <v>46072</v>
      </c>
      <c r="F742" s="77">
        <f t="shared" si="332"/>
        <v>46079</v>
      </c>
      <c r="G742" s="77">
        <f t="shared" si="333"/>
        <v>46085</v>
      </c>
      <c r="H742" s="77">
        <f t="shared" si="334"/>
        <v>46073</v>
      </c>
      <c r="I742" s="77">
        <f t="shared" si="335"/>
        <v>46080</v>
      </c>
      <c r="J742" s="25"/>
      <c r="K742" s="25"/>
      <c r="L742" s="25"/>
      <c r="M742" s="25"/>
      <c r="N742" s="25"/>
      <c r="O742" s="25"/>
    </row>
    <row r="743" spans="1:15" x14ac:dyDescent="0.25">
      <c r="A743" s="77">
        <v>46065</v>
      </c>
      <c r="B743" s="25" t="s">
        <v>518</v>
      </c>
      <c r="C743" s="25" t="str">
        <f>VLOOKUP(B743,'[2]Migrasi Bed'!$B$4:$E$521,4,0)</f>
        <v>ST.A006</v>
      </c>
      <c r="D743" s="77">
        <f t="shared" si="330"/>
        <v>46088</v>
      </c>
      <c r="E743" s="77">
        <f t="shared" si="331"/>
        <v>46072</v>
      </c>
      <c r="F743" s="77">
        <f t="shared" si="332"/>
        <v>46079</v>
      </c>
      <c r="G743" s="77">
        <f t="shared" si="333"/>
        <v>46085</v>
      </c>
      <c r="H743" s="77">
        <f t="shared" si="334"/>
        <v>46073</v>
      </c>
      <c r="I743" s="77">
        <f t="shared" si="335"/>
        <v>46080</v>
      </c>
      <c r="J743" s="25"/>
      <c r="K743" s="25"/>
      <c r="L743" s="25"/>
      <c r="M743" s="25"/>
      <c r="N743" s="25"/>
      <c r="O743" s="25"/>
    </row>
    <row r="744" spans="1:15" x14ac:dyDescent="0.25">
      <c r="A744" s="77">
        <v>46065</v>
      </c>
      <c r="B744" s="25" t="s">
        <v>519</v>
      </c>
      <c r="C744" s="25" t="str">
        <f>VLOOKUP(B744,'[2]Migrasi Bed'!$B$4:$E$521,4,0)</f>
        <v>ST.A007</v>
      </c>
      <c r="D744" s="77">
        <f t="shared" si="330"/>
        <v>46088</v>
      </c>
      <c r="E744" s="77">
        <f t="shared" si="331"/>
        <v>46072</v>
      </c>
      <c r="F744" s="77">
        <f t="shared" si="332"/>
        <v>46079</v>
      </c>
      <c r="G744" s="77">
        <f t="shared" si="333"/>
        <v>46085</v>
      </c>
      <c r="H744" s="77">
        <f t="shared" si="334"/>
        <v>46073</v>
      </c>
      <c r="I744" s="77">
        <f t="shared" si="335"/>
        <v>46080</v>
      </c>
      <c r="J744" s="25"/>
      <c r="K744" s="25"/>
      <c r="L744" s="25"/>
      <c r="M744" s="25"/>
      <c r="N744" s="25"/>
      <c r="O744" s="25"/>
    </row>
    <row r="745" spans="1:15" x14ac:dyDescent="0.25">
      <c r="A745" s="77">
        <v>46066</v>
      </c>
      <c r="B745" s="25" t="s">
        <v>520</v>
      </c>
      <c r="C745" s="25" t="str">
        <f>VLOOKUP(B745,'[2]Migrasi Bed'!$B$4:$E$521,4,0)</f>
        <v>ST.A008</v>
      </c>
      <c r="D745" s="77">
        <f t="shared" si="330"/>
        <v>46089</v>
      </c>
      <c r="E745" s="77">
        <f t="shared" si="331"/>
        <v>46073</v>
      </c>
      <c r="F745" s="77">
        <f t="shared" si="332"/>
        <v>46080</v>
      </c>
      <c r="G745" s="77">
        <f t="shared" si="333"/>
        <v>46086</v>
      </c>
      <c r="H745" s="77">
        <f t="shared" si="334"/>
        <v>46074</v>
      </c>
      <c r="I745" s="77">
        <f t="shared" si="335"/>
        <v>46081</v>
      </c>
      <c r="J745" s="25"/>
      <c r="K745" s="25"/>
      <c r="L745" s="25"/>
      <c r="M745" s="25"/>
      <c r="N745" s="25"/>
      <c r="O745" s="25"/>
    </row>
    <row r="746" spans="1:15" x14ac:dyDescent="0.25">
      <c r="A746" s="77">
        <v>46066</v>
      </c>
      <c r="B746" s="25" t="s">
        <v>521</v>
      </c>
      <c r="C746" s="25" t="str">
        <f>VLOOKUP(B746,'[2]Migrasi Bed'!$B$4:$E$521,4,0)</f>
        <v>ST.A009</v>
      </c>
      <c r="D746" s="77">
        <f t="shared" si="330"/>
        <v>46089</v>
      </c>
      <c r="E746" s="77">
        <f t="shared" si="331"/>
        <v>46073</v>
      </c>
      <c r="F746" s="77">
        <f t="shared" si="332"/>
        <v>46080</v>
      </c>
      <c r="G746" s="77">
        <f t="shared" si="333"/>
        <v>46086</v>
      </c>
      <c r="H746" s="77">
        <f t="shared" si="334"/>
        <v>46074</v>
      </c>
      <c r="I746" s="77">
        <f t="shared" si="335"/>
        <v>46081</v>
      </c>
      <c r="J746" s="25"/>
      <c r="K746" s="25"/>
      <c r="L746" s="25"/>
      <c r="M746" s="25"/>
      <c r="N746" s="25"/>
      <c r="O746" s="25"/>
    </row>
    <row r="747" spans="1:15" x14ac:dyDescent="0.25">
      <c r="A747" s="77">
        <v>46066</v>
      </c>
      <c r="B747" s="25" t="s">
        <v>522</v>
      </c>
      <c r="C747" s="25" t="str">
        <f>VLOOKUP(B747,'[2]Migrasi Bed'!$B$4:$E$521,4,0)</f>
        <v>ST.A010</v>
      </c>
      <c r="D747" s="77">
        <f t="shared" si="330"/>
        <v>46089</v>
      </c>
      <c r="E747" s="77">
        <f t="shared" si="331"/>
        <v>46073</v>
      </c>
      <c r="F747" s="77">
        <f t="shared" si="332"/>
        <v>46080</v>
      </c>
      <c r="G747" s="77">
        <f t="shared" si="333"/>
        <v>46086</v>
      </c>
      <c r="H747" s="77">
        <f t="shared" si="334"/>
        <v>46074</v>
      </c>
      <c r="I747" s="77">
        <f t="shared" si="335"/>
        <v>46081</v>
      </c>
      <c r="J747" s="25"/>
      <c r="K747" s="25"/>
      <c r="L747" s="25"/>
      <c r="M747" s="25"/>
      <c r="N747" s="25"/>
      <c r="O747" s="25"/>
    </row>
    <row r="748" spans="1:15" x14ac:dyDescent="0.25">
      <c r="A748" s="77">
        <v>46066</v>
      </c>
      <c r="B748" s="25" t="s">
        <v>523</v>
      </c>
      <c r="C748" s="25" t="str">
        <f>VLOOKUP(B748,'[2]Migrasi Bed'!$B$4:$E$521,4,0)</f>
        <v>ST.A011</v>
      </c>
      <c r="D748" s="77">
        <f t="shared" si="330"/>
        <v>46089</v>
      </c>
      <c r="E748" s="77">
        <f t="shared" si="331"/>
        <v>46073</v>
      </c>
      <c r="F748" s="77">
        <f t="shared" si="332"/>
        <v>46080</v>
      </c>
      <c r="G748" s="77">
        <f t="shared" si="333"/>
        <v>46086</v>
      </c>
      <c r="H748" s="77">
        <f t="shared" si="334"/>
        <v>46074</v>
      </c>
      <c r="I748" s="77">
        <f t="shared" si="335"/>
        <v>46081</v>
      </c>
      <c r="J748" s="25"/>
      <c r="K748" s="25"/>
      <c r="L748" s="25"/>
      <c r="M748" s="25"/>
      <c r="N748" s="25"/>
      <c r="O748" s="25"/>
    </row>
    <row r="749" spans="1:15" x14ac:dyDescent="0.25">
      <c r="A749" s="77">
        <v>46066</v>
      </c>
      <c r="B749" s="25" t="s">
        <v>524</v>
      </c>
      <c r="C749" s="25" t="str">
        <f>VLOOKUP(B749,'[2]Migrasi Bed'!$B$4:$E$521,4,0)</f>
        <v>ST.A012</v>
      </c>
      <c r="D749" s="77">
        <f t="shared" si="330"/>
        <v>46089</v>
      </c>
      <c r="E749" s="77">
        <f t="shared" si="331"/>
        <v>46073</v>
      </c>
      <c r="F749" s="77">
        <f t="shared" si="332"/>
        <v>46080</v>
      </c>
      <c r="G749" s="77">
        <f t="shared" si="333"/>
        <v>46086</v>
      </c>
      <c r="H749" s="77">
        <f t="shared" si="334"/>
        <v>46074</v>
      </c>
      <c r="I749" s="77">
        <f t="shared" si="335"/>
        <v>46081</v>
      </c>
      <c r="J749" s="25"/>
      <c r="K749" s="25"/>
      <c r="L749" s="25"/>
      <c r="M749" s="25"/>
      <c r="N749" s="25"/>
      <c r="O749" s="25"/>
    </row>
    <row r="750" spans="1:15" x14ac:dyDescent="0.25">
      <c r="A750" s="77">
        <v>46066</v>
      </c>
      <c r="B750" s="25" t="s">
        <v>525</v>
      </c>
      <c r="C750" s="25" t="str">
        <f>VLOOKUP(B750,'[2]Migrasi Bed'!$B$4:$E$521,4,0)</f>
        <v>ST.A013</v>
      </c>
      <c r="D750" s="77">
        <f t="shared" si="330"/>
        <v>46089</v>
      </c>
      <c r="E750" s="77">
        <f t="shared" si="331"/>
        <v>46073</v>
      </c>
      <c r="F750" s="77">
        <f t="shared" si="332"/>
        <v>46080</v>
      </c>
      <c r="G750" s="77">
        <f t="shared" si="333"/>
        <v>46086</v>
      </c>
      <c r="H750" s="77">
        <f t="shared" si="334"/>
        <v>46074</v>
      </c>
      <c r="I750" s="77">
        <f t="shared" si="335"/>
        <v>46081</v>
      </c>
      <c r="J750" s="25"/>
      <c r="K750" s="25"/>
      <c r="L750" s="25"/>
      <c r="M750" s="25"/>
      <c r="N750" s="25"/>
      <c r="O750" s="25"/>
    </row>
    <row r="751" spans="1:15" x14ac:dyDescent="0.25">
      <c r="A751" s="77">
        <v>46066</v>
      </c>
      <c r="B751" s="25" t="s">
        <v>526</v>
      </c>
      <c r="C751" s="25" t="str">
        <f>VLOOKUP(B751,'[2]Migrasi Bed'!$B$4:$E$521,4,0)</f>
        <v>ST.A014</v>
      </c>
      <c r="D751" s="77">
        <f t="shared" si="330"/>
        <v>46089</v>
      </c>
      <c r="E751" s="77">
        <f t="shared" si="331"/>
        <v>46073</v>
      </c>
      <c r="F751" s="77">
        <f t="shared" si="332"/>
        <v>46080</v>
      </c>
      <c r="G751" s="77">
        <f t="shared" si="333"/>
        <v>46086</v>
      </c>
      <c r="H751" s="77">
        <f t="shared" si="334"/>
        <v>46074</v>
      </c>
      <c r="I751" s="77">
        <f t="shared" si="335"/>
        <v>46081</v>
      </c>
      <c r="J751" s="25"/>
      <c r="K751" s="25"/>
      <c r="L751" s="25"/>
      <c r="M751" s="25"/>
      <c r="N751" s="25"/>
      <c r="O751" s="25"/>
    </row>
    <row r="752" spans="1:15" x14ac:dyDescent="0.25">
      <c r="A752" s="77">
        <v>46067</v>
      </c>
      <c r="B752" s="25" t="s">
        <v>527</v>
      </c>
      <c r="C752" s="25" t="str">
        <f>VLOOKUP(B752,'[2]Migrasi Bed'!$B$4:$E$521,4,0)</f>
        <v>ST.A015</v>
      </c>
      <c r="D752" s="77">
        <f t="shared" si="330"/>
        <v>46090</v>
      </c>
      <c r="E752" s="77">
        <f t="shared" si="331"/>
        <v>46074</v>
      </c>
      <c r="F752" s="77">
        <f t="shared" si="332"/>
        <v>46081</v>
      </c>
      <c r="G752" s="77">
        <f t="shared" si="333"/>
        <v>46087</v>
      </c>
      <c r="H752" s="77">
        <f t="shared" si="334"/>
        <v>46075</v>
      </c>
      <c r="I752" s="77">
        <f t="shared" si="335"/>
        <v>46082</v>
      </c>
      <c r="J752" s="25"/>
      <c r="K752" s="25"/>
      <c r="L752" s="25"/>
      <c r="M752" s="25"/>
      <c r="N752" s="25"/>
      <c r="O752" s="25"/>
    </row>
    <row r="753" spans="1:15" x14ac:dyDescent="0.25">
      <c r="A753" s="77">
        <v>46067</v>
      </c>
      <c r="B753" s="25" t="s">
        <v>528</v>
      </c>
      <c r="C753" s="25" t="str">
        <f>VLOOKUP(B753,'[2]Migrasi Bed'!$B$4:$E$521,4,0)</f>
        <v>ST.A016</v>
      </c>
      <c r="D753" s="77">
        <f t="shared" si="330"/>
        <v>46090</v>
      </c>
      <c r="E753" s="77">
        <f t="shared" si="331"/>
        <v>46074</v>
      </c>
      <c r="F753" s="77">
        <f t="shared" si="332"/>
        <v>46081</v>
      </c>
      <c r="G753" s="77">
        <f t="shared" si="333"/>
        <v>46087</v>
      </c>
      <c r="H753" s="77">
        <f t="shared" si="334"/>
        <v>46075</v>
      </c>
      <c r="I753" s="77">
        <f t="shared" si="335"/>
        <v>46082</v>
      </c>
      <c r="J753" s="25"/>
      <c r="K753" s="25"/>
      <c r="L753" s="25"/>
      <c r="M753" s="25"/>
      <c r="N753" s="25"/>
      <c r="O753" s="25"/>
    </row>
    <row r="754" spans="1:15" x14ac:dyDescent="0.25">
      <c r="A754" s="77">
        <v>46067</v>
      </c>
      <c r="B754" s="25" t="s">
        <v>529</v>
      </c>
      <c r="C754" s="25" t="str">
        <f>VLOOKUP(B754,'[2]Migrasi Bed'!$B$4:$E$521,4,0)</f>
        <v>ST.A017</v>
      </c>
      <c r="D754" s="77">
        <f t="shared" si="330"/>
        <v>46090</v>
      </c>
      <c r="E754" s="77">
        <f t="shared" si="331"/>
        <v>46074</v>
      </c>
      <c r="F754" s="77">
        <f t="shared" si="332"/>
        <v>46081</v>
      </c>
      <c r="G754" s="77">
        <f t="shared" si="333"/>
        <v>46087</v>
      </c>
      <c r="H754" s="77">
        <f t="shared" si="334"/>
        <v>46075</v>
      </c>
      <c r="I754" s="77">
        <f t="shared" si="335"/>
        <v>46082</v>
      </c>
      <c r="J754" s="25"/>
      <c r="K754" s="25"/>
      <c r="L754" s="25"/>
      <c r="M754" s="25"/>
      <c r="N754" s="25"/>
      <c r="O754" s="25"/>
    </row>
    <row r="755" spans="1:15" x14ac:dyDescent="0.25">
      <c r="A755" s="77">
        <v>46067</v>
      </c>
      <c r="B755" s="25" t="s">
        <v>530</v>
      </c>
      <c r="C755" s="25" t="str">
        <f>VLOOKUP(B755,'[2]Migrasi Bed'!$B$4:$E$521,4,0)</f>
        <v>ST.A018</v>
      </c>
      <c r="D755" s="77">
        <f t="shared" si="330"/>
        <v>46090</v>
      </c>
      <c r="E755" s="77">
        <f t="shared" si="331"/>
        <v>46074</v>
      </c>
      <c r="F755" s="77">
        <f t="shared" si="332"/>
        <v>46081</v>
      </c>
      <c r="G755" s="77">
        <f t="shared" si="333"/>
        <v>46087</v>
      </c>
      <c r="H755" s="77">
        <f t="shared" si="334"/>
        <v>46075</v>
      </c>
      <c r="I755" s="77">
        <f t="shared" si="335"/>
        <v>46082</v>
      </c>
      <c r="J755" s="25"/>
      <c r="K755" s="25"/>
      <c r="L755" s="25"/>
      <c r="M755" s="25"/>
      <c r="N755" s="25"/>
      <c r="O755" s="25"/>
    </row>
    <row r="756" spans="1:15" x14ac:dyDescent="0.25">
      <c r="A756" s="77">
        <v>46067</v>
      </c>
      <c r="B756" s="25" t="s">
        <v>531</v>
      </c>
      <c r="C756" s="25" t="str">
        <f>VLOOKUP(B756,'[2]Migrasi Bed'!$B$4:$E$521,4,0)</f>
        <v>ST.A019</v>
      </c>
      <c r="D756" s="77">
        <f t="shared" si="330"/>
        <v>46090</v>
      </c>
      <c r="E756" s="77">
        <f t="shared" si="331"/>
        <v>46074</v>
      </c>
      <c r="F756" s="77">
        <f t="shared" si="332"/>
        <v>46081</v>
      </c>
      <c r="G756" s="77">
        <f t="shared" si="333"/>
        <v>46087</v>
      </c>
      <c r="H756" s="77">
        <f t="shared" si="334"/>
        <v>46075</v>
      </c>
      <c r="I756" s="77">
        <f t="shared" si="335"/>
        <v>46082</v>
      </c>
      <c r="J756" s="25"/>
      <c r="K756" s="25"/>
      <c r="L756" s="25"/>
      <c r="M756" s="25"/>
      <c r="N756" s="25"/>
      <c r="O756" s="25"/>
    </row>
    <row r="757" spans="1:15" x14ac:dyDescent="0.25">
      <c r="A757" s="77">
        <v>46067</v>
      </c>
      <c r="B757" s="25" t="s">
        <v>532</v>
      </c>
      <c r="C757" s="25" t="str">
        <f>VLOOKUP(B757,'[2]Migrasi Bed'!$B$4:$E$521,4,0)</f>
        <v>ST.A020</v>
      </c>
      <c r="D757" s="77">
        <f t="shared" si="330"/>
        <v>46090</v>
      </c>
      <c r="E757" s="77">
        <f t="shared" si="331"/>
        <v>46074</v>
      </c>
      <c r="F757" s="77">
        <f t="shared" si="332"/>
        <v>46081</v>
      </c>
      <c r="G757" s="77">
        <f t="shared" si="333"/>
        <v>46087</v>
      </c>
      <c r="H757" s="77">
        <f t="shared" si="334"/>
        <v>46075</v>
      </c>
      <c r="I757" s="77">
        <f t="shared" si="335"/>
        <v>46082</v>
      </c>
      <c r="J757" s="25"/>
      <c r="K757" s="25"/>
      <c r="L757" s="25"/>
      <c r="M757" s="25"/>
      <c r="N757" s="25"/>
      <c r="O757" s="25"/>
    </row>
    <row r="758" spans="1:15" x14ac:dyDescent="0.25">
      <c r="A758" s="77">
        <v>46067</v>
      </c>
      <c r="B758" s="25" t="s">
        <v>533</v>
      </c>
      <c r="C758" s="25" t="str">
        <f>VLOOKUP(B758,'[2]Migrasi Bed'!$B$4:$E$521,4,0)</f>
        <v>ST.A021</v>
      </c>
      <c r="D758" s="77">
        <f t="shared" si="330"/>
        <v>46090</v>
      </c>
      <c r="E758" s="77">
        <f t="shared" si="331"/>
        <v>46074</v>
      </c>
      <c r="F758" s="77">
        <f t="shared" si="332"/>
        <v>46081</v>
      </c>
      <c r="G758" s="77">
        <f t="shared" si="333"/>
        <v>46087</v>
      </c>
      <c r="H758" s="77">
        <f t="shared" si="334"/>
        <v>46075</v>
      </c>
      <c r="I758" s="77">
        <f t="shared" si="335"/>
        <v>46082</v>
      </c>
      <c r="J758" s="25"/>
      <c r="K758" s="25"/>
      <c r="L758" s="25"/>
      <c r="M758" s="25"/>
      <c r="N758" s="25"/>
      <c r="O758" s="25"/>
    </row>
    <row r="759" spans="1:15" x14ac:dyDescent="0.25">
      <c r="A759" s="77">
        <v>46068</v>
      </c>
      <c r="B759" s="25" t="s">
        <v>359</v>
      </c>
      <c r="C759" s="25" t="str">
        <f>VLOOKUP(B759,'[2]Migrasi Bed'!$B$4:$E$521,4,0)</f>
        <v>SV.F001</v>
      </c>
      <c r="D759" s="77">
        <f t="shared" si="330"/>
        <v>46091</v>
      </c>
      <c r="E759" s="77">
        <f t="shared" si="331"/>
        <v>46075</v>
      </c>
      <c r="F759" s="77">
        <f t="shared" si="332"/>
        <v>46082</v>
      </c>
      <c r="G759" s="77">
        <f t="shared" si="333"/>
        <v>46088</v>
      </c>
      <c r="H759" s="77">
        <f t="shared" si="334"/>
        <v>46076</v>
      </c>
      <c r="I759" s="77">
        <f t="shared" si="335"/>
        <v>46083</v>
      </c>
      <c r="J759" s="25"/>
      <c r="K759" s="25"/>
      <c r="L759" s="25"/>
      <c r="M759" s="25"/>
      <c r="N759" s="25"/>
      <c r="O759" s="25"/>
    </row>
    <row r="760" spans="1:15" x14ac:dyDescent="0.25">
      <c r="A760" s="77">
        <v>46068</v>
      </c>
      <c r="B760" s="25" t="s">
        <v>360</v>
      </c>
      <c r="C760" s="25" t="str">
        <f>VLOOKUP(B760,'[2]Migrasi Bed'!$B$4:$E$521,4,0)</f>
        <v>SV.F002</v>
      </c>
      <c r="D760" s="77">
        <f t="shared" si="330"/>
        <v>46091</v>
      </c>
      <c r="E760" s="77">
        <f t="shared" si="331"/>
        <v>46075</v>
      </c>
      <c r="F760" s="77">
        <f t="shared" si="332"/>
        <v>46082</v>
      </c>
      <c r="G760" s="77">
        <f t="shared" si="333"/>
        <v>46088</v>
      </c>
      <c r="H760" s="77">
        <f t="shared" si="334"/>
        <v>46076</v>
      </c>
      <c r="I760" s="77">
        <f t="shared" si="335"/>
        <v>46083</v>
      </c>
      <c r="J760" s="25"/>
      <c r="K760" s="25"/>
      <c r="L760" s="25"/>
      <c r="M760" s="25"/>
      <c r="N760" s="25"/>
      <c r="O760" s="25"/>
    </row>
    <row r="761" spans="1:15" x14ac:dyDescent="0.25">
      <c r="A761" s="77">
        <v>46068</v>
      </c>
      <c r="B761" s="25" t="s">
        <v>361</v>
      </c>
      <c r="C761" s="25" t="str">
        <f>VLOOKUP(B761,'[2]Migrasi Bed'!$B$4:$E$521,4,0)</f>
        <v>SV.F003</v>
      </c>
      <c r="D761" s="77">
        <f t="shared" si="330"/>
        <v>46091</v>
      </c>
      <c r="E761" s="77">
        <f t="shared" si="331"/>
        <v>46075</v>
      </c>
      <c r="F761" s="77">
        <f t="shared" si="332"/>
        <v>46082</v>
      </c>
      <c r="G761" s="77">
        <f t="shared" si="333"/>
        <v>46088</v>
      </c>
      <c r="H761" s="77">
        <f t="shared" si="334"/>
        <v>46076</v>
      </c>
      <c r="I761" s="77">
        <f t="shared" si="335"/>
        <v>46083</v>
      </c>
      <c r="J761" s="25"/>
      <c r="K761" s="25"/>
      <c r="L761" s="25"/>
      <c r="M761" s="25"/>
      <c r="N761" s="25"/>
      <c r="O761" s="25"/>
    </row>
    <row r="762" spans="1:15" x14ac:dyDescent="0.25">
      <c r="A762" s="77">
        <v>46068</v>
      </c>
      <c r="B762" s="25" t="s">
        <v>362</v>
      </c>
      <c r="C762" s="25" t="str">
        <f>VLOOKUP(B762,'[2]Migrasi Bed'!$B$4:$E$521,4,0)</f>
        <v>SV.F004</v>
      </c>
      <c r="D762" s="77">
        <f t="shared" si="330"/>
        <v>46091</v>
      </c>
      <c r="E762" s="77">
        <f t="shared" si="331"/>
        <v>46075</v>
      </c>
      <c r="F762" s="77">
        <f t="shared" si="332"/>
        <v>46082</v>
      </c>
      <c r="G762" s="77">
        <f t="shared" si="333"/>
        <v>46088</v>
      </c>
      <c r="H762" s="77">
        <f t="shared" si="334"/>
        <v>46076</v>
      </c>
      <c r="I762" s="77">
        <f t="shared" si="335"/>
        <v>46083</v>
      </c>
      <c r="J762" s="25"/>
      <c r="K762" s="25"/>
      <c r="L762" s="25"/>
      <c r="M762" s="25"/>
      <c r="N762" s="25"/>
      <c r="O762" s="25"/>
    </row>
    <row r="763" spans="1:15" x14ac:dyDescent="0.25">
      <c r="A763" s="77">
        <v>46068</v>
      </c>
      <c r="B763" s="25" t="s">
        <v>363</v>
      </c>
      <c r="C763" s="25" t="str">
        <f>VLOOKUP(B763,'[2]Migrasi Bed'!$B$4:$E$521,4,0)</f>
        <v>SV.F005</v>
      </c>
      <c r="D763" s="77">
        <f t="shared" si="330"/>
        <v>46091</v>
      </c>
      <c r="E763" s="77">
        <f t="shared" si="331"/>
        <v>46075</v>
      </c>
      <c r="F763" s="77">
        <f t="shared" si="332"/>
        <v>46082</v>
      </c>
      <c r="G763" s="77">
        <f t="shared" si="333"/>
        <v>46088</v>
      </c>
      <c r="H763" s="77">
        <f t="shared" si="334"/>
        <v>46076</v>
      </c>
      <c r="I763" s="77">
        <f t="shared" si="335"/>
        <v>46083</v>
      </c>
      <c r="J763" s="25"/>
      <c r="K763" s="25"/>
      <c r="L763" s="25"/>
      <c r="M763" s="25"/>
      <c r="N763" s="25"/>
      <c r="O763" s="25"/>
    </row>
    <row r="764" spans="1:15" x14ac:dyDescent="0.25">
      <c r="A764" s="77">
        <v>46068</v>
      </c>
      <c r="B764" s="25" t="s">
        <v>364</v>
      </c>
      <c r="C764" s="25" t="str">
        <f>VLOOKUP(B764,'[2]Migrasi Bed'!$B$4:$E$521,4,0)</f>
        <v>SV.F006</v>
      </c>
      <c r="D764" s="77">
        <f t="shared" si="330"/>
        <v>46091</v>
      </c>
      <c r="E764" s="77">
        <f t="shared" si="331"/>
        <v>46075</v>
      </c>
      <c r="F764" s="77">
        <f t="shared" si="332"/>
        <v>46082</v>
      </c>
      <c r="G764" s="77">
        <f t="shared" si="333"/>
        <v>46088</v>
      </c>
      <c r="H764" s="77">
        <f t="shared" si="334"/>
        <v>46076</v>
      </c>
      <c r="I764" s="77">
        <f t="shared" si="335"/>
        <v>46083</v>
      </c>
      <c r="J764" s="25"/>
      <c r="K764" s="25"/>
      <c r="L764" s="25"/>
      <c r="M764" s="25"/>
      <c r="N764" s="25"/>
      <c r="O764" s="25"/>
    </row>
    <row r="765" spans="1:15" x14ac:dyDescent="0.25">
      <c r="A765" s="77">
        <v>46068</v>
      </c>
      <c r="B765" s="25" t="s">
        <v>365</v>
      </c>
      <c r="C765" s="25" t="str">
        <f>VLOOKUP(B765,'[2]Migrasi Bed'!$B$4:$E$521,4,0)</f>
        <v>SV.F007</v>
      </c>
      <c r="D765" s="77">
        <f t="shared" si="330"/>
        <v>46091</v>
      </c>
      <c r="E765" s="77">
        <f t="shared" si="331"/>
        <v>46075</v>
      </c>
      <c r="F765" s="77">
        <f t="shared" si="332"/>
        <v>46082</v>
      </c>
      <c r="G765" s="77">
        <f t="shared" si="333"/>
        <v>46088</v>
      </c>
      <c r="H765" s="77">
        <f t="shared" si="334"/>
        <v>46076</v>
      </c>
      <c r="I765" s="77">
        <f t="shared" si="335"/>
        <v>46083</v>
      </c>
      <c r="J765" s="25"/>
      <c r="K765" s="25"/>
      <c r="L765" s="25"/>
      <c r="M765" s="25"/>
      <c r="N765" s="25"/>
      <c r="O765" s="25"/>
    </row>
    <row r="766" spans="1:15" x14ac:dyDescent="0.25">
      <c r="A766" s="77">
        <v>46069</v>
      </c>
      <c r="B766" s="25" t="s">
        <v>379</v>
      </c>
      <c r="C766" s="25" t="str">
        <f>VLOOKUP(B766,'[2]Migrasi Bed'!$B$4:$E$521,4,0)</f>
        <v>SV.G001</v>
      </c>
      <c r="D766" s="77">
        <f t="shared" si="330"/>
        <v>46092</v>
      </c>
      <c r="E766" s="77">
        <f t="shared" si="331"/>
        <v>46076</v>
      </c>
      <c r="F766" s="77">
        <f t="shared" si="332"/>
        <v>46083</v>
      </c>
      <c r="G766" s="77">
        <f t="shared" si="333"/>
        <v>46089</v>
      </c>
      <c r="H766" s="77">
        <f t="shared" si="334"/>
        <v>46077</v>
      </c>
      <c r="I766" s="77">
        <f t="shared" si="335"/>
        <v>46084</v>
      </c>
      <c r="J766" s="25"/>
      <c r="K766" s="25"/>
      <c r="L766" s="25"/>
      <c r="M766" s="25"/>
      <c r="N766" s="25"/>
      <c r="O766" s="25"/>
    </row>
    <row r="767" spans="1:15" x14ac:dyDescent="0.25">
      <c r="A767" s="77">
        <v>46069</v>
      </c>
      <c r="B767" s="25" t="s">
        <v>380</v>
      </c>
      <c r="C767" s="25" t="str">
        <f>VLOOKUP(B767,'[2]Migrasi Bed'!$B$4:$E$521,4,0)</f>
        <v>SV.G002</v>
      </c>
      <c r="D767" s="77">
        <f t="shared" ref="D767:D830" si="336">A767+23</f>
        <v>46092</v>
      </c>
      <c r="E767" s="77">
        <f t="shared" ref="E767:E830" si="337">A767+7</f>
        <v>46076</v>
      </c>
      <c r="F767" s="77">
        <f t="shared" ref="F767:F830" si="338">A767+14</f>
        <v>46083</v>
      </c>
      <c r="G767" s="77">
        <f t="shared" ref="G767:G830" si="339">A767+20</f>
        <v>46089</v>
      </c>
      <c r="H767" s="77">
        <f t="shared" ref="H767:H830" si="340">A767+8</f>
        <v>46077</v>
      </c>
      <c r="I767" s="77">
        <f t="shared" ref="I767:I830" si="341">A767+15</f>
        <v>46084</v>
      </c>
      <c r="J767" s="25"/>
      <c r="K767" s="25"/>
      <c r="L767" s="25"/>
      <c r="M767" s="25"/>
      <c r="N767" s="25"/>
      <c r="O767" s="25"/>
    </row>
    <row r="768" spans="1:15" x14ac:dyDescent="0.25">
      <c r="A768" s="77">
        <v>46069</v>
      </c>
      <c r="B768" s="25" t="s">
        <v>381</v>
      </c>
      <c r="C768" s="25" t="str">
        <f>VLOOKUP(B768,'[2]Migrasi Bed'!$B$4:$E$521,4,0)</f>
        <v>SV.G003</v>
      </c>
      <c r="D768" s="77">
        <f t="shared" si="336"/>
        <v>46092</v>
      </c>
      <c r="E768" s="77">
        <f t="shared" si="337"/>
        <v>46076</v>
      </c>
      <c r="F768" s="77">
        <f t="shared" si="338"/>
        <v>46083</v>
      </c>
      <c r="G768" s="77">
        <f t="shared" si="339"/>
        <v>46089</v>
      </c>
      <c r="H768" s="77">
        <f t="shared" si="340"/>
        <v>46077</v>
      </c>
      <c r="I768" s="77">
        <f t="shared" si="341"/>
        <v>46084</v>
      </c>
      <c r="J768" s="25"/>
      <c r="K768" s="25"/>
      <c r="L768" s="25"/>
      <c r="M768" s="25"/>
      <c r="N768" s="25"/>
      <c r="O768" s="25"/>
    </row>
    <row r="769" spans="1:15" x14ac:dyDescent="0.25">
      <c r="A769" s="77">
        <v>46069</v>
      </c>
      <c r="B769" s="25" t="s">
        <v>382</v>
      </c>
      <c r="C769" s="25" t="str">
        <f>VLOOKUP(B769,'[2]Migrasi Bed'!$B$4:$E$521,4,0)</f>
        <v>SV.G004</v>
      </c>
      <c r="D769" s="77">
        <f t="shared" si="336"/>
        <v>46092</v>
      </c>
      <c r="E769" s="77">
        <f t="shared" si="337"/>
        <v>46076</v>
      </c>
      <c r="F769" s="77">
        <f t="shared" si="338"/>
        <v>46083</v>
      </c>
      <c r="G769" s="77">
        <f t="shared" si="339"/>
        <v>46089</v>
      </c>
      <c r="H769" s="77">
        <f t="shared" si="340"/>
        <v>46077</v>
      </c>
      <c r="I769" s="77">
        <f t="shared" si="341"/>
        <v>46084</v>
      </c>
      <c r="J769" s="25"/>
      <c r="K769" s="25"/>
      <c r="L769" s="25"/>
      <c r="M769" s="25"/>
      <c r="N769" s="25"/>
      <c r="O769" s="25"/>
    </row>
    <row r="770" spans="1:15" x14ac:dyDescent="0.25">
      <c r="A770" s="77">
        <v>46069</v>
      </c>
      <c r="B770" s="25" t="s">
        <v>383</v>
      </c>
      <c r="C770" s="25" t="str">
        <f>VLOOKUP(B770,'[2]Migrasi Bed'!$B$4:$E$521,4,0)</f>
        <v>SV.G005</v>
      </c>
      <c r="D770" s="77">
        <f t="shared" si="336"/>
        <v>46092</v>
      </c>
      <c r="E770" s="77">
        <f t="shared" si="337"/>
        <v>46076</v>
      </c>
      <c r="F770" s="77">
        <f t="shared" si="338"/>
        <v>46083</v>
      </c>
      <c r="G770" s="77">
        <f t="shared" si="339"/>
        <v>46089</v>
      </c>
      <c r="H770" s="77">
        <f t="shared" si="340"/>
        <v>46077</v>
      </c>
      <c r="I770" s="77">
        <f t="shared" si="341"/>
        <v>46084</v>
      </c>
      <c r="J770" s="25"/>
      <c r="K770" s="25"/>
      <c r="L770" s="25"/>
      <c r="M770" s="25"/>
      <c r="N770" s="25"/>
      <c r="O770" s="25"/>
    </row>
    <row r="771" spans="1:15" x14ac:dyDescent="0.25">
      <c r="A771" s="77">
        <v>46069</v>
      </c>
      <c r="B771" s="25" t="s">
        <v>384</v>
      </c>
      <c r="C771" s="25" t="str">
        <f>VLOOKUP(B771,'[2]Migrasi Bed'!$B$4:$E$521,4,0)</f>
        <v>SV.G006</v>
      </c>
      <c r="D771" s="77">
        <f t="shared" si="336"/>
        <v>46092</v>
      </c>
      <c r="E771" s="77">
        <f t="shared" si="337"/>
        <v>46076</v>
      </c>
      <c r="F771" s="77">
        <f t="shared" si="338"/>
        <v>46083</v>
      </c>
      <c r="G771" s="77">
        <f t="shared" si="339"/>
        <v>46089</v>
      </c>
      <c r="H771" s="77">
        <f t="shared" si="340"/>
        <v>46077</v>
      </c>
      <c r="I771" s="77">
        <f t="shared" si="341"/>
        <v>46084</v>
      </c>
      <c r="J771" s="25"/>
      <c r="K771" s="25"/>
      <c r="L771" s="25"/>
      <c r="M771" s="25"/>
      <c r="N771" s="25"/>
      <c r="O771" s="25"/>
    </row>
    <row r="772" spans="1:15" x14ac:dyDescent="0.25">
      <c r="A772" s="77">
        <v>46069</v>
      </c>
      <c r="B772" s="25" t="s">
        <v>385</v>
      </c>
      <c r="C772" s="25" t="str">
        <f>VLOOKUP(B772,'[2]Migrasi Bed'!$B$4:$E$521,4,0)</f>
        <v>SV.G007</v>
      </c>
      <c r="D772" s="77">
        <f t="shared" si="336"/>
        <v>46092</v>
      </c>
      <c r="E772" s="77">
        <f t="shared" si="337"/>
        <v>46076</v>
      </c>
      <c r="F772" s="77">
        <f t="shared" si="338"/>
        <v>46083</v>
      </c>
      <c r="G772" s="77">
        <f t="shared" si="339"/>
        <v>46089</v>
      </c>
      <c r="H772" s="77">
        <f t="shared" si="340"/>
        <v>46077</v>
      </c>
      <c r="I772" s="77">
        <f t="shared" si="341"/>
        <v>46084</v>
      </c>
      <c r="J772" s="25"/>
      <c r="K772" s="25"/>
      <c r="L772" s="25"/>
      <c r="M772" s="25"/>
      <c r="N772" s="25"/>
      <c r="O772" s="25"/>
    </row>
    <row r="773" spans="1:15" x14ac:dyDescent="0.25">
      <c r="A773" s="77">
        <v>46070</v>
      </c>
      <c r="B773" s="25" t="s">
        <v>366</v>
      </c>
      <c r="C773" s="25" t="str">
        <f>VLOOKUP(B773,'[2]Migrasi Bed'!$B$4:$E$521,4,0)</f>
        <v>SV.F008</v>
      </c>
      <c r="D773" s="77">
        <f t="shared" si="336"/>
        <v>46093</v>
      </c>
      <c r="E773" s="77">
        <f t="shared" si="337"/>
        <v>46077</v>
      </c>
      <c r="F773" s="77">
        <f t="shared" si="338"/>
        <v>46084</v>
      </c>
      <c r="G773" s="77">
        <f t="shared" si="339"/>
        <v>46090</v>
      </c>
      <c r="H773" s="77">
        <f t="shared" si="340"/>
        <v>46078</v>
      </c>
      <c r="I773" s="77">
        <f t="shared" si="341"/>
        <v>46085</v>
      </c>
      <c r="J773" s="25"/>
      <c r="K773" s="25"/>
      <c r="L773" s="25"/>
      <c r="M773" s="25"/>
      <c r="N773" s="25"/>
      <c r="O773" s="25"/>
    </row>
    <row r="774" spans="1:15" x14ac:dyDescent="0.25">
      <c r="A774" s="77">
        <v>46070</v>
      </c>
      <c r="B774" s="25" t="s">
        <v>367</v>
      </c>
      <c r="C774" s="25" t="str">
        <f>VLOOKUP(B774,'[2]Migrasi Bed'!$B$4:$E$521,4,0)</f>
        <v>SV.F009</v>
      </c>
      <c r="D774" s="77">
        <f t="shared" si="336"/>
        <v>46093</v>
      </c>
      <c r="E774" s="77">
        <f t="shared" si="337"/>
        <v>46077</v>
      </c>
      <c r="F774" s="77">
        <f t="shared" si="338"/>
        <v>46084</v>
      </c>
      <c r="G774" s="77">
        <f t="shared" si="339"/>
        <v>46090</v>
      </c>
      <c r="H774" s="77">
        <f t="shared" si="340"/>
        <v>46078</v>
      </c>
      <c r="I774" s="77">
        <f t="shared" si="341"/>
        <v>46085</v>
      </c>
      <c r="J774" s="25"/>
      <c r="K774" s="25"/>
      <c r="L774" s="25"/>
      <c r="M774" s="25"/>
      <c r="N774" s="25"/>
      <c r="O774" s="25"/>
    </row>
    <row r="775" spans="1:15" x14ac:dyDescent="0.25">
      <c r="A775" s="77">
        <v>46070</v>
      </c>
      <c r="B775" s="25" t="s">
        <v>368</v>
      </c>
      <c r="C775" s="25" t="str">
        <f>VLOOKUP(B775,'[2]Migrasi Bed'!$B$4:$E$521,4,0)</f>
        <v>SV.F010</v>
      </c>
      <c r="D775" s="77">
        <f t="shared" si="336"/>
        <v>46093</v>
      </c>
      <c r="E775" s="77">
        <f t="shared" si="337"/>
        <v>46077</v>
      </c>
      <c r="F775" s="77">
        <f t="shared" si="338"/>
        <v>46084</v>
      </c>
      <c r="G775" s="77">
        <f t="shared" si="339"/>
        <v>46090</v>
      </c>
      <c r="H775" s="77">
        <f t="shared" si="340"/>
        <v>46078</v>
      </c>
      <c r="I775" s="77">
        <f t="shared" si="341"/>
        <v>46085</v>
      </c>
      <c r="J775" s="25"/>
      <c r="K775" s="25"/>
      <c r="L775" s="25"/>
      <c r="M775" s="25"/>
      <c r="N775" s="25"/>
      <c r="O775" s="25"/>
    </row>
    <row r="776" spans="1:15" x14ac:dyDescent="0.25">
      <c r="A776" s="77">
        <v>46070</v>
      </c>
      <c r="B776" s="25" t="s">
        <v>369</v>
      </c>
      <c r="C776" s="25" t="str">
        <f>VLOOKUP(B776,'[2]Migrasi Bed'!$B$4:$E$521,4,0)</f>
        <v>SV.F011</v>
      </c>
      <c r="D776" s="77">
        <f t="shared" si="336"/>
        <v>46093</v>
      </c>
      <c r="E776" s="77">
        <f t="shared" si="337"/>
        <v>46077</v>
      </c>
      <c r="F776" s="77">
        <f t="shared" si="338"/>
        <v>46084</v>
      </c>
      <c r="G776" s="77">
        <f t="shared" si="339"/>
        <v>46090</v>
      </c>
      <c r="H776" s="77">
        <f t="shared" si="340"/>
        <v>46078</v>
      </c>
      <c r="I776" s="77">
        <f t="shared" si="341"/>
        <v>46085</v>
      </c>
      <c r="J776" s="25"/>
      <c r="K776" s="25"/>
      <c r="L776" s="25"/>
      <c r="M776" s="25"/>
      <c r="N776" s="25"/>
      <c r="O776" s="25"/>
    </row>
    <row r="777" spans="1:15" x14ac:dyDescent="0.25">
      <c r="A777" s="77">
        <v>46070</v>
      </c>
      <c r="B777" s="25" t="s">
        <v>370</v>
      </c>
      <c r="C777" s="25" t="str">
        <f>VLOOKUP(B777,'[2]Migrasi Bed'!$B$4:$E$521,4,0)</f>
        <v>SV.F012</v>
      </c>
      <c r="D777" s="77">
        <f t="shared" si="336"/>
        <v>46093</v>
      </c>
      <c r="E777" s="77">
        <f t="shared" si="337"/>
        <v>46077</v>
      </c>
      <c r="F777" s="77">
        <f t="shared" si="338"/>
        <v>46084</v>
      </c>
      <c r="G777" s="77">
        <f t="shared" si="339"/>
        <v>46090</v>
      </c>
      <c r="H777" s="77">
        <f t="shared" si="340"/>
        <v>46078</v>
      </c>
      <c r="I777" s="77">
        <f t="shared" si="341"/>
        <v>46085</v>
      </c>
      <c r="J777" s="25"/>
      <c r="K777" s="25"/>
      <c r="L777" s="25"/>
      <c r="M777" s="25"/>
      <c r="N777" s="25"/>
      <c r="O777" s="25"/>
    </row>
    <row r="778" spans="1:15" x14ac:dyDescent="0.25">
      <c r="A778" s="77">
        <v>46070</v>
      </c>
      <c r="B778" s="25" t="s">
        <v>371</v>
      </c>
      <c r="C778" s="25" t="str">
        <f>VLOOKUP(B778,'[2]Migrasi Bed'!$B$4:$E$521,4,0)</f>
        <v>SV.F013</v>
      </c>
      <c r="D778" s="77">
        <f t="shared" si="336"/>
        <v>46093</v>
      </c>
      <c r="E778" s="77">
        <f t="shared" si="337"/>
        <v>46077</v>
      </c>
      <c r="F778" s="77">
        <f t="shared" si="338"/>
        <v>46084</v>
      </c>
      <c r="G778" s="77">
        <f t="shared" si="339"/>
        <v>46090</v>
      </c>
      <c r="H778" s="77">
        <f t="shared" si="340"/>
        <v>46078</v>
      </c>
      <c r="I778" s="77">
        <f t="shared" si="341"/>
        <v>46085</v>
      </c>
      <c r="J778" s="25"/>
      <c r="K778" s="25"/>
      <c r="L778" s="25"/>
      <c r="M778" s="25"/>
      <c r="N778" s="25"/>
      <c r="O778" s="25"/>
    </row>
    <row r="779" spans="1:15" x14ac:dyDescent="0.25">
      <c r="A779" s="77">
        <v>46070</v>
      </c>
      <c r="B779" s="25" t="s">
        <v>372</v>
      </c>
      <c r="C779" s="25" t="str">
        <f>VLOOKUP(B779,'[2]Migrasi Bed'!$B$4:$E$521,4,0)</f>
        <v>SV.F014</v>
      </c>
      <c r="D779" s="77">
        <f t="shared" si="336"/>
        <v>46093</v>
      </c>
      <c r="E779" s="77">
        <f t="shared" si="337"/>
        <v>46077</v>
      </c>
      <c r="F779" s="77">
        <f t="shared" si="338"/>
        <v>46084</v>
      </c>
      <c r="G779" s="77">
        <f t="shared" si="339"/>
        <v>46090</v>
      </c>
      <c r="H779" s="77">
        <f t="shared" si="340"/>
        <v>46078</v>
      </c>
      <c r="I779" s="77">
        <f t="shared" si="341"/>
        <v>46085</v>
      </c>
      <c r="J779" s="25"/>
      <c r="K779" s="25"/>
      <c r="L779" s="25"/>
      <c r="M779" s="25"/>
      <c r="N779" s="25"/>
      <c r="O779" s="25"/>
    </row>
    <row r="780" spans="1:15" x14ac:dyDescent="0.25">
      <c r="A780" s="77">
        <v>46071</v>
      </c>
      <c r="B780" s="25" t="s">
        <v>386</v>
      </c>
      <c r="C780" s="25" t="str">
        <f>VLOOKUP(B780,'[2]Migrasi Bed'!$B$4:$E$521,4,0)</f>
        <v>SV.G008</v>
      </c>
      <c r="D780" s="77">
        <f t="shared" si="336"/>
        <v>46094</v>
      </c>
      <c r="E780" s="77">
        <f t="shared" si="337"/>
        <v>46078</v>
      </c>
      <c r="F780" s="77">
        <f t="shared" si="338"/>
        <v>46085</v>
      </c>
      <c r="G780" s="77">
        <f t="shared" si="339"/>
        <v>46091</v>
      </c>
      <c r="H780" s="77">
        <f t="shared" si="340"/>
        <v>46079</v>
      </c>
      <c r="I780" s="77">
        <f t="shared" si="341"/>
        <v>46086</v>
      </c>
      <c r="J780" s="25"/>
      <c r="K780" s="25"/>
      <c r="L780" s="25"/>
      <c r="M780" s="25"/>
      <c r="N780" s="25"/>
      <c r="O780" s="25"/>
    </row>
    <row r="781" spans="1:15" x14ac:dyDescent="0.25">
      <c r="A781" s="77">
        <v>46071</v>
      </c>
      <c r="B781" s="25" t="s">
        <v>387</v>
      </c>
      <c r="C781" s="25" t="str">
        <f>VLOOKUP(B781,'[2]Migrasi Bed'!$B$4:$E$521,4,0)</f>
        <v>SV.G009</v>
      </c>
      <c r="D781" s="77">
        <f t="shared" si="336"/>
        <v>46094</v>
      </c>
      <c r="E781" s="77">
        <f t="shared" si="337"/>
        <v>46078</v>
      </c>
      <c r="F781" s="77">
        <f t="shared" si="338"/>
        <v>46085</v>
      </c>
      <c r="G781" s="77">
        <f t="shared" si="339"/>
        <v>46091</v>
      </c>
      <c r="H781" s="77">
        <f t="shared" si="340"/>
        <v>46079</v>
      </c>
      <c r="I781" s="77">
        <f t="shared" si="341"/>
        <v>46086</v>
      </c>
      <c r="J781" s="25"/>
      <c r="K781" s="25"/>
      <c r="L781" s="25"/>
      <c r="M781" s="25"/>
      <c r="N781" s="25"/>
      <c r="O781" s="25"/>
    </row>
    <row r="782" spans="1:15" x14ac:dyDescent="0.25">
      <c r="A782" s="77">
        <v>46071</v>
      </c>
      <c r="B782" s="25" t="s">
        <v>388</v>
      </c>
      <c r="C782" s="25" t="str">
        <f>VLOOKUP(B782,'[2]Migrasi Bed'!$B$4:$E$521,4,0)</f>
        <v>SV.G010</v>
      </c>
      <c r="D782" s="77">
        <f t="shared" si="336"/>
        <v>46094</v>
      </c>
      <c r="E782" s="77">
        <f t="shared" si="337"/>
        <v>46078</v>
      </c>
      <c r="F782" s="77">
        <f t="shared" si="338"/>
        <v>46085</v>
      </c>
      <c r="G782" s="77">
        <f t="shared" si="339"/>
        <v>46091</v>
      </c>
      <c r="H782" s="77">
        <f t="shared" si="340"/>
        <v>46079</v>
      </c>
      <c r="I782" s="77">
        <f t="shared" si="341"/>
        <v>46086</v>
      </c>
      <c r="J782" s="25"/>
      <c r="K782" s="25"/>
      <c r="L782" s="25"/>
      <c r="M782" s="25"/>
      <c r="N782" s="25"/>
      <c r="O782" s="25"/>
    </row>
    <row r="783" spans="1:15" x14ac:dyDescent="0.25">
      <c r="A783" s="77">
        <v>46071</v>
      </c>
      <c r="B783" s="25" t="s">
        <v>389</v>
      </c>
      <c r="C783" s="25" t="str">
        <f>VLOOKUP(B783,'[2]Migrasi Bed'!$B$4:$E$521,4,0)</f>
        <v>SV.G011</v>
      </c>
      <c r="D783" s="77">
        <f t="shared" si="336"/>
        <v>46094</v>
      </c>
      <c r="E783" s="77">
        <f t="shared" si="337"/>
        <v>46078</v>
      </c>
      <c r="F783" s="77">
        <f t="shared" si="338"/>
        <v>46085</v>
      </c>
      <c r="G783" s="77">
        <f t="shared" si="339"/>
        <v>46091</v>
      </c>
      <c r="H783" s="77">
        <f t="shared" si="340"/>
        <v>46079</v>
      </c>
      <c r="I783" s="77">
        <f t="shared" si="341"/>
        <v>46086</v>
      </c>
      <c r="J783" s="25"/>
      <c r="K783" s="25"/>
      <c r="L783" s="25"/>
      <c r="M783" s="25"/>
      <c r="N783" s="25"/>
      <c r="O783" s="25"/>
    </row>
    <row r="784" spans="1:15" x14ac:dyDescent="0.25">
      <c r="A784" s="77">
        <v>46071</v>
      </c>
      <c r="B784" s="25" t="s">
        <v>390</v>
      </c>
      <c r="C784" s="25" t="str">
        <f>VLOOKUP(B784,'[2]Migrasi Bed'!$B$4:$E$521,4,0)</f>
        <v>SV.G012</v>
      </c>
      <c r="D784" s="77">
        <f t="shared" si="336"/>
        <v>46094</v>
      </c>
      <c r="E784" s="77">
        <f t="shared" si="337"/>
        <v>46078</v>
      </c>
      <c r="F784" s="77">
        <f t="shared" si="338"/>
        <v>46085</v>
      </c>
      <c r="G784" s="77">
        <f t="shared" si="339"/>
        <v>46091</v>
      </c>
      <c r="H784" s="77">
        <f t="shared" si="340"/>
        <v>46079</v>
      </c>
      <c r="I784" s="77">
        <f t="shared" si="341"/>
        <v>46086</v>
      </c>
      <c r="J784" s="25"/>
      <c r="K784" s="25"/>
      <c r="L784" s="25"/>
      <c r="M784" s="25"/>
      <c r="N784" s="25"/>
      <c r="O784" s="25"/>
    </row>
    <row r="785" spans="1:15" x14ac:dyDescent="0.25">
      <c r="A785" s="77">
        <v>46071</v>
      </c>
      <c r="B785" s="25" t="s">
        <v>391</v>
      </c>
      <c r="C785" s="25" t="str">
        <f>VLOOKUP(B785,'[2]Migrasi Bed'!$B$4:$E$521,4,0)</f>
        <v>SV.G013</v>
      </c>
      <c r="D785" s="77">
        <f t="shared" si="336"/>
        <v>46094</v>
      </c>
      <c r="E785" s="77">
        <f t="shared" si="337"/>
        <v>46078</v>
      </c>
      <c r="F785" s="77">
        <f t="shared" si="338"/>
        <v>46085</v>
      </c>
      <c r="G785" s="77">
        <f t="shared" si="339"/>
        <v>46091</v>
      </c>
      <c r="H785" s="77">
        <f t="shared" si="340"/>
        <v>46079</v>
      </c>
      <c r="I785" s="77">
        <f t="shared" si="341"/>
        <v>46086</v>
      </c>
      <c r="J785" s="25"/>
      <c r="K785" s="25"/>
      <c r="L785" s="25"/>
      <c r="M785" s="25"/>
      <c r="N785" s="25"/>
      <c r="O785" s="25"/>
    </row>
    <row r="786" spans="1:15" x14ac:dyDescent="0.25">
      <c r="A786" s="77">
        <v>46071</v>
      </c>
      <c r="B786" s="25" t="s">
        <v>392</v>
      </c>
      <c r="C786" s="25" t="str">
        <f>VLOOKUP(B786,'[2]Migrasi Bed'!$B$4:$E$521,4,0)</f>
        <v>SV.G014</v>
      </c>
      <c r="D786" s="77">
        <f t="shared" si="336"/>
        <v>46094</v>
      </c>
      <c r="E786" s="77">
        <f t="shared" si="337"/>
        <v>46078</v>
      </c>
      <c r="F786" s="77">
        <f t="shared" si="338"/>
        <v>46085</v>
      </c>
      <c r="G786" s="77">
        <f t="shared" si="339"/>
        <v>46091</v>
      </c>
      <c r="H786" s="77">
        <f t="shared" si="340"/>
        <v>46079</v>
      </c>
      <c r="I786" s="77">
        <f t="shared" si="341"/>
        <v>46086</v>
      </c>
      <c r="J786" s="25"/>
      <c r="K786" s="25"/>
      <c r="L786" s="25"/>
      <c r="M786" s="25"/>
      <c r="N786" s="25"/>
      <c r="O786" s="25"/>
    </row>
    <row r="787" spans="1:15" x14ac:dyDescent="0.25">
      <c r="A787" s="77">
        <v>46072</v>
      </c>
      <c r="B787" s="25" t="s">
        <v>373</v>
      </c>
      <c r="C787" s="25" t="str">
        <f>VLOOKUP(B787,'[2]Migrasi Bed'!$B$4:$E$521,4,0)</f>
        <v>SV.F015</v>
      </c>
      <c r="D787" s="77">
        <f t="shared" si="336"/>
        <v>46095</v>
      </c>
      <c r="E787" s="77">
        <f t="shared" si="337"/>
        <v>46079</v>
      </c>
      <c r="F787" s="77">
        <f t="shared" si="338"/>
        <v>46086</v>
      </c>
      <c r="G787" s="77">
        <f t="shared" si="339"/>
        <v>46092</v>
      </c>
      <c r="H787" s="77">
        <f t="shared" si="340"/>
        <v>46080</v>
      </c>
      <c r="I787" s="77">
        <f t="shared" si="341"/>
        <v>46087</v>
      </c>
      <c r="J787" s="25"/>
      <c r="K787" s="25"/>
      <c r="L787" s="25"/>
      <c r="M787" s="25"/>
      <c r="N787" s="25"/>
      <c r="O787" s="25"/>
    </row>
    <row r="788" spans="1:15" x14ac:dyDescent="0.25">
      <c r="A788" s="77">
        <v>46072</v>
      </c>
      <c r="B788" s="25" t="s">
        <v>374</v>
      </c>
      <c r="C788" s="25" t="str">
        <f>VLOOKUP(B788,'[2]Migrasi Bed'!$B$4:$E$521,4,0)</f>
        <v>SV.F016</v>
      </c>
      <c r="D788" s="77">
        <f t="shared" si="336"/>
        <v>46095</v>
      </c>
      <c r="E788" s="77">
        <f t="shared" si="337"/>
        <v>46079</v>
      </c>
      <c r="F788" s="77">
        <f t="shared" si="338"/>
        <v>46086</v>
      </c>
      <c r="G788" s="77">
        <f t="shared" si="339"/>
        <v>46092</v>
      </c>
      <c r="H788" s="77">
        <f t="shared" si="340"/>
        <v>46080</v>
      </c>
      <c r="I788" s="77">
        <f t="shared" si="341"/>
        <v>46087</v>
      </c>
      <c r="J788" s="25"/>
      <c r="K788" s="25"/>
      <c r="L788" s="25"/>
      <c r="M788" s="25"/>
      <c r="N788" s="25"/>
      <c r="O788" s="25"/>
    </row>
    <row r="789" spans="1:15" x14ac:dyDescent="0.25">
      <c r="A789" s="77">
        <v>46072</v>
      </c>
      <c r="B789" s="25" t="s">
        <v>375</v>
      </c>
      <c r="C789" s="25" t="str">
        <f>VLOOKUP(B789,'[2]Migrasi Bed'!$B$4:$E$521,4,0)</f>
        <v>SV.F017</v>
      </c>
      <c r="D789" s="77">
        <f t="shared" si="336"/>
        <v>46095</v>
      </c>
      <c r="E789" s="77">
        <f t="shared" si="337"/>
        <v>46079</v>
      </c>
      <c r="F789" s="77">
        <f t="shared" si="338"/>
        <v>46086</v>
      </c>
      <c r="G789" s="77">
        <f t="shared" si="339"/>
        <v>46092</v>
      </c>
      <c r="H789" s="77">
        <f t="shared" si="340"/>
        <v>46080</v>
      </c>
      <c r="I789" s="77">
        <f t="shared" si="341"/>
        <v>46087</v>
      </c>
      <c r="J789" s="25"/>
      <c r="K789" s="25"/>
      <c r="L789" s="25"/>
      <c r="M789" s="25"/>
      <c r="N789" s="25"/>
      <c r="O789" s="25"/>
    </row>
    <row r="790" spans="1:15" x14ac:dyDescent="0.25">
      <c r="A790" s="77">
        <v>46072</v>
      </c>
      <c r="B790" s="25" t="s">
        <v>376</v>
      </c>
      <c r="C790" s="25" t="str">
        <f>VLOOKUP(B790,'[2]Migrasi Bed'!$B$4:$E$521,4,0)</f>
        <v>SV.F018</v>
      </c>
      <c r="D790" s="77">
        <f t="shared" si="336"/>
        <v>46095</v>
      </c>
      <c r="E790" s="77">
        <f t="shared" si="337"/>
        <v>46079</v>
      </c>
      <c r="F790" s="77">
        <f t="shared" si="338"/>
        <v>46086</v>
      </c>
      <c r="G790" s="77">
        <f t="shared" si="339"/>
        <v>46092</v>
      </c>
      <c r="H790" s="77">
        <f t="shared" si="340"/>
        <v>46080</v>
      </c>
      <c r="I790" s="77">
        <f t="shared" si="341"/>
        <v>46087</v>
      </c>
      <c r="J790" s="25"/>
      <c r="K790" s="25"/>
      <c r="L790" s="25"/>
      <c r="M790" s="25"/>
      <c r="N790" s="25"/>
      <c r="O790" s="25"/>
    </row>
    <row r="791" spans="1:15" x14ac:dyDescent="0.25">
      <c r="A791" s="77">
        <v>46072</v>
      </c>
      <c r="B791" s="25" t="s">
        <v>377</v>
      </c>
      <c r="C791" s="25" t="str">
        <f>VLOOKUP(B791,'[2]Migrasi Bed'!$B$4:$E$521,4,0)</f>
        <v>SV.F019</v>
      </c>
      <c r="D791" s="77">
        <f t="shared" si="336"/>
        <v>46095</v>
      </c>
      <c r="E791" s="77">
        <f t="shared" si="337"/>
        <v>46079</v>
      </c>
      <c r="F791" s="77">
        <f t="shared" si="338"/>
        <v>46086</v>
      </c>
      <c r="G791" s="77">
        <f t="shared" si="339"/>
        <v>46092</v>
      </c>
      <c r="H791" s="77">
        <f t="shared" si="340"/>
        <v>46080</v>
      </c>
      <c r="I791" s="77">
        <f t="shared" si="341"/>
        <v>46087</v>
      </c>
      <c r="J791" s="25"/>
      <c r="K791" s="25"/>
      <c r="L791" s="25"/>
      <c r="M791" s="25"/>
      <c r="N791" s="25"/>
      <c r="O791" s="25"/>
    </row>
    <row r="792" spans="1:15" x14ac:dyDescent="0.25">
      <c r="A792" s="77">
        <v>46072</v>
      </c>
      <c r="B792" s="25" t="s">
        <v>393</v>
      </c>
      <c r="C792" s="25" t="str">
        <f>VLOOKUP(B792,'[2]Migrasi Bed'!$B$4:$E$521,4,0)</f>
        <v>SV.G015</v>
      </c>
      <c r="D792" s="77">
        <f t="shared" si="336"/>
        <v>46095</v>
      </c>
      <c r="E792" s="77">
        <f t="shared" si="337"/>
        <v>46079</v>
      </c>
      <c r="F792" s="77">
        <f t="shared" si="338"/>
        <v>46086</v>
      </c>
      <c r="G792" s="77">
        <f t="shared" si="339"/>
        <v>46092</v>
      </c>
      <c r="H792" s="77">
        <f t="shared" si="340"/>
        <v>46080</v>
      </c>
      <c r="I792" s="77">
        <f t="shared" si="341"/>
        <v>46087</v>
      </c>
      <c r="J792" s="25"/>
      <c r="K792" s="25"/>
      <c r="L792" s="25"/>
      <c r="M792" s="25"/>
      <c r="N792" s="25"/>
      <c r="O792" s="25"/>
    </row>
    <row r="793" spans="1:15" x14ac:dyDescent="0.25">
      <c r="A793" s="77">
        <v>46072</v>
      </c>
      <c r="B793" s="25" t="s">
        <v>394</v>
      </c>
      <c r="C793" s="25" t="str">
        <f>VLOOKUP(B793,'[2]Migrasi Bed'!$B$4:$E$521,4,0)</f>
        <v>SV.G016</v>
      </c>
      <c r="D793" s="77">
        <f t="shared" si="336"/>
        <v>46095</v>
      </c>
      <c r="E793" s="77">
        <f t="shared" si="337"/>
        <v>46079</v>
      </c>
      <c r="F793" s="77">
        <f t="shared" si="338"/>
        <v>46086</v>
      </c>
      <c r="G793" s="77">
        <f t="shared" si="339"/>
        <v>46092</v>
      </c>
      <c r="H793" s="77">
        <f t="shared" si="340"/>
        <v>46080</v>
      </c>
      <c r="I793" s="77">
        <f t="shared" si="341"/>
        <v>46087</v>
      </c>
      <c r="J793" s="25"/>
      <c r="K793" s="25"/>
      <c r="L793" s="25"/>
      <c r="M793" s="25"/>
      <c r="N793" s="25"/>
      <c r="O793" s="25"/>
    </row>
    <row r="794" spans="1:15" x14ac:dyDescent="0.25">
      <c r="A794" s="77">
        <v>46073</v>
      </c>
      <c r="B794" s="25" t="s">
        <v>404</v>
      </c>
      <c r="C794" s="25" t="str">
        <f>VLOOKUP(B794,'[2]Migrasi Bed'!$B$4:$E$521,4,0)</f>
        <v>SV.H013</v>
      </c>
      <c r="D794" s="77">
        <f t="shared" si="336"/>
        <v>46096</v>
      </c>
      <c r="E794" s="77">
        <f t="shared" si="337"/>
        <v>46080</v>
      </c>
      <c r="F794" s="77">
        <f t="shared" si="338"/>
        <v>46087</v>
      </c>
      <c r="G794" s="77">
        <f t="shared" si="339"/>
        <v>46093</v>
      </c>
      <c r="H794" s="77">
        <f t="shared" si="340"/>
        <v>46081</v>
      </c>
      <c r="I794" s="77">
        <f t="shared" si="341"/>
        <v>46088</v>
      </c>
      <c r="J794" s="25"/>
      <c r="K794" s="25"/>
      <c r="L794" s="25"/>
      <c r="M794" s="25"/>
      <c r="N794" s="25"/>
      <c r="O794" s="25"/>
    </row>
    <row r="795" spans="1:15" x14ac:dyDescent="0.25">
      <c r="A795" s="77">
        <v>46073</v>
      </c>
      <c r="B795" s="25" t="s">
        <v>405</v>
      </c>
      <c r="C795" s="25" t="str">
        <f>VLOOKUP(B795,'[2]Migrasi Bed'!$B$4:$E$521,4,0)</f>
        <v>SV.H014</v>
      </c>
      <c r="D795" s="77">
        <f t="shared" si="336"/>
        <v>46096</v>
      </c>
      <c r="E795" s="77">
        <f t="shared" si="337"/>
        <v>46080</v>
      </c>
      <c r="F795" s="77">
        <f t="shared" si="338"/>
        <v>46087</v>
      </c>
      <c r="G795" s="77">
        <f t="shared" si="339"/>
        <v>46093</v>
      </c>
      <c r="H795" s="77">
        <f t="shared" si="340"/>
        <v>46081</v>
      </c>
      <c r="I795" s="77">
        <f t="shared" si="341"/>
        <v>46088</v>
      </c>
      <c r="J795" s="25"/>
      <c r="K795" s="25"/>
      <c r="L795" s="25"/>
      <c r="M795" s="25"/>
      <c r="N795" s="25"/>
      <c r="O795" s="25"/>
    </row>
    <row r="796" spans="1:15" x14ac:dyDescent="0.25">
      <c r="A796" s="77">
        <v>46073</v>
      </c>
      <c r="B796" s="25" t="s">
        <v>406</v>
      </c>
      <c r="C796" s="25" t="str">
        <f>VLOOKUP(B796,'[2]Migrasi Bed'!$B$4:$E$521,4,0)</f>
        <v>SV.H015</v>
      </c>
      <c r="D796" s="77">
        <f t="shared" si="336"/>
        <v>46096</v>
      </c>
      <c r="E796" s="77">
        <f t="shared" si="337"/>
        <v>46080</v>
      </c>
      <c r="F796" s="77">
        <f t="shared" si="338"/>
        <v>46087</v>
      </c>
      <c r="G796" s="77">
        <f t="shared" si="339"/>
        <v>46093</v>
      </c>
      <c r="H796" s="77">
        <f t="shared" si="340"/>
        <v>46081</v>
      </c>
      <c r="I796" s="77">
        <f t="shared" si="341"/>
        <v>46088</v>
      </c>
      <c r="J796" s="25"/>
      <c r="K796" s="25"/>
      <c r="L796" s="25"/>
      <c r="M796" s="25"/>
      <c r="N796" s="25"/>
      <c r="O796" s="25"/>
    </row>
    <row r="797" spans="1:15" x14ac:dyDescent="0.25">
      <c r="A797" s="77">
        <v>46073</v>
      </c>
      <c r="B797" s="25" t="s">
        <v>407</v>
      </c>
      <c r="C797" s="25" t="str">
        <f>VLOOKUP(B797,'[2]Migrasi Bed'!$B$4:$E$521,4,0)</f>
        <v>SV.H016</v>
      </c>
      <c r="D797" s="77">
        <f t="shared" si="336"/>
        <v>46096</v>
      </c>
      <c r="E797" s="77">
        <f t="shared" si="337"/>
        <v>46080</v>
      </c>
      <c r="F797" s="77">
        <f t="shared" si="338"/>
        <v>46087</v>
      </c>
      <c r="G797" s="77">
        <f t="shared" si="339"/>
        <v>46093</v>
      </c>
      <c r="H797" s="77">
        <f t="shared" si="340"/>
        <v>46081</v>
      </c>
      <c r="I797" s="77">
        <f t="shared" si="341"/>
        <v>46088</v>
      </c>
      <c r="J797" s="25"/>
      <c r="K797" s="25"/>
      <c r="L797" s="25"/>
      <c r="M797" s="25"/>
      <c r="N797" s="25"/>
      <c r="O797" s="25"/>
    </row>
    <row r="798" spans="1:15" x14ac:dyDescent="0.25">
      <c r="A798" s="77">
        <v>46073</v>
      </c>
      <c r="B798" s="25" t="s">
        <v>408</v>
      </c>
      <c r="C798" s="25" t="str">
        <f>VLOOKUP(B798,'[2]Migrasi Bed'!$B$4:$E$521,4,0)</f>
        <v>SV.H017</v>
      </c>
      <c r="D798" s="77">
        <f t="shared" si="336"/>
        <v>46096</v>
      </c>
      <c r="E798" s="77">
        <f t="shared" si="337"/>
        <v>46080</v>
      </c>
      <c r="F798" s="77">
        <f t="shared" si="338"/>
        <v>46087</v>
      </c>
      <c r="G798" s="77">
        <f t="shared" si="339"/>
        <v>46093</v>
      </c>
      <c r="H798" s="77">
        <f t="shared" si="340"/>
        <v>46081</v>
      </c>
      <c r="I798" s="77">
        <f t="shared" si="341"/>
        <v>46088</v>
      </c>
      <c r="J798" s="25"/>
      <c r="K798" s="25"/>
      <c r="L798" s="25"/>
      <c r="M798" s="25"/>
      <c r="N798" s="25"/>
      <c r="O798" s="25"/>
    </row>
    <row r="799" spans="1:15" x14ac:dyDescent="0.25">
      <c r="A799" s="77">
        <v>46073</v>
      </c>
      <c r="B799" s="25" t="s">
        <v>409</v>
      </c>
      <c r="C799" s="25" t="str">
        <f>VLOOKUP(B799,'[2]Migrasi Bed'!$B$4:$E$521,4,0)</f>
        <v>SV.H018</v>
      </c>
      <c r="D799" s="77">
        <f t="shared" si="336"/>
        <v>46096</v>
      </c>
      <c r="E799" s="77">
        <f t="shared" si="337"/>
        <v>46080</v>
      </c>
      <c r="F799" s="77">
        <f t="shared" si="338"/>
        <v>46087</v>
      </c>
      <c r="G799" s="77">
        <f t="shared" si="339"/>
        <v>46093</v>
      </c>
      <c r="H799" s="77">
        <f t="shared" si="340"/>
        <v>46081</v>
      </c>
      <c r="I799" s="77">
        <f t="shared" si="341"/>
        <v>46088</v>
      </c>
      <c r="J799" s="25"/>
      <c r="K799" s="25"/>
      <c r="L799" s="25"/>
      <c r="M799" s="25"/>
      <c r="N799" s="25"/>
      <c r="O799" s="25"/>
    </row>
    <row r="800" spans="1:15" x14ac:dyDescent="0.25">
      <c r="A800" s="77">
        <v>46073</v>
      </c>
      <c r="B800" s="25" t="s">
        <v>410</v>
      </c>
      <c r="C800" s="25" t="str">
        <f>VLOOKUP(B800,'[2]Migrasi Bed'!$B$4:$E$521,4,0)</f>
        <v>SV.H019</v>
      </c>
      <c r="D800" s="77">
        <f t="shared" si="336"/>
        <v>46096</v>
      </c>
      <c r="E800" s="77">
        <f t="shared" si="337"/>
        <v>46080</v>
      </c>
      <c r="F800" s="77">
        <f t="shared" si="338"/>
        <v>46087</v>
      </c>
      <c r="G800" s="77">
        <f t="shared" si="339"/>
        <v>46093</v>
      </c>
      <c r="H800" s="77">
        <f t="shared" si="340"/>
        <v>46081</v>
      </c>
      <c r="I800" s="77">
        <f t="shared" si="341"/>
        <v>46088</v>
      </c>
      <c r="J800" s="25"/>
      <c r="K800" s="25"/>
      <c r="L800" s="25"/>
      <c r="M800" s="25"/>
      <c r="N800" s="25"/>
      <c r="O800" s="25"/>
    </row>
    <row r="801" spans="1:15" x14ac:dyDescent="0.25">
      <c r="A801" s="77">
        <v>46073</v>
      </c>
      <c r="B801" s="25" t="s">
        <v>411</v>
      </c>
      <c r="C801" s="25" t="str">
        <f>VLOOKUP(B801,'[2]Migrasi Bed'!$B$4:$E$521,4,0)</f>
        <v>SV.H020</v>
      </c>
      <c r="D801" s="77">
        <f t="shared" si="336"/>
        <v>46096</v>
      </c>
      <c r="E801" s="77">
        <f t="shared" si="337"/>
        <v>46080</v>
      </c>
      <c r="F801" s="77">
        <f t="shared" si="338"/>
        <v>46087</v>
      </c>
      <c r="G801" s="77">
        <f t="shared" si="339"/>
        <v>46093</v>
      </c>
      <c r="H801" s="77">
        <f t="shared" si="340"/>
        <v>46081</v>
      </c>
      <c r="I801" s="77">
        <f t="shared" si="341"/>
        <v>46088</v>
      </c>
      <c r="J801" s="25"/>
      <c r="K801" s="25"/>
      <c r="L801" s="25"/>
      <c r="M801" s="25"/>
      <c r="N801" s="25"/>
      <c r="O801" s="25"/>
    </row>
    <row r="802" spans="1:15" x14ac:dyDescent="0.25">
      <c r="A802" s="77">
        <v>46074</v>
      </c>
      <c r="B802" s="25" t="s">
        <v>395</v>
      </c>
      <c r="C802" s="25" t="str">
        <f>VLOOKUP(B802,'[2]Migrasi Bed'!$B$4:$E$521,4,0)</f>
        <v>SV.G017</v>
      </c>
      <c r="D802" s="77">
        <f t="shared" si="336"/>
        <v>46097</v>
      </c>
      <c r="E802" s="77">
        <f t="shared" si="337"/>
        <v>46081</v>
      </c>
      <c r="F802" s="77">
        <f t="shared" si="338"/>
        <v>46088</v>
      </c>
      <c r="G802" s="77">
        <f t="shared" si="339"/>
        <v>46094</v>
      </c>
      <c r="H802" s="77">
        <f t="shared" si="340"/>
        <v>46082</v>
      </c>
      <c r="I802" s="77">
        <f t="shared" si="341"/>
        <v>46089</v>
      </c>
      <c r="J802" s="25"/>
      <c r="K802" s="25"/>
      <c r="L802" s="25"/>
      <c r="M802" s="25"/>
      <c r="N802" s="25"/>
      <c r="O802" s="25"/>
    </row>
    <row r="803" spans="1:15" x14ac:dyDescent="0.25">
      <c r="A803" s="77">
        <v>46074</v>
      </c>
      <c r="B803" s="25" t="s">
        <v>396</v>
      </c>
      <c r="C803" s="25" t="str">
        <f>VLOOKUP(B803,'[2]Migrasi Bed'!$B$4:$E$521,4,0)</f>
        <v>SV.G018</v>
      </c>
      <c r="D803" s="77">
        <f t="shared" si="336"/>
        <v>46097</v>
      </c>
      <c r="E803" s="77">
        <f t="shared" si="337"/>
        <v>46081</v>
      </c>
      <c r="F803" s="77">
        <f t="shared" si="338"/>
        <v>46088</v>
      </c>
      <c r="G803" s="77">
        <f t="shared" si="339"/>
        <v>46094</v>
      </c>
      <c r="H803" s="77">
        <f t="shared" si="340"/>
        <v>46082</v>
      </c>
      <c r="I803" s="77">
        <f t="shared" si="341"/>
        <v>46089</v>
      </c>
      <c r="J803" s="25"/>
      <c r="K803" s="25"/>
      <c r="L803" s="25"/>
      <c r="M803" s="25"/>
      <c r="N803" s="25"/>
      <c r="O803" s="25"/>
    </row>
    <row r="804" spans="1:15" x14ac:dyDescent="0.25">
      <c r="A804" s="77">
        <v>46074</v>
      </c>
      <c r="B804" s="25" t="s">
        <v>397</v>
      </c>
      <c r="C804" s="25" t="str">
        <f>VLOOKUP(B804,'[2]Migrasi Bed'!$B$4:$E$521,4,0)</f>
        <v>SV.G019</v>
      </c>
      <c r="D804" s="77">
        <f t="shared" si="336"/>
        <v>46097</v>
      </c>
      <c r="E804" s="77">
        <f t="shared" si="337"/>
        <v>46081</v>
      </c>
      <c r="F804" s="77">
        <f t="shared" si="338"/>
        <v>46088</v>
      </c>
      <c r="G804" s="77">
        <f t="shared" si="339"/>
        <v>46094</v>
      </c>
      <c r="H804" s="77">
        <f t="shared" si="340"/>
        <v>46082</v>
      </c>
      <c r="I804" s="77">
        <f t="shared" si="341"/>
        <v>46089</v>
      </c>
      <c r="J804" s="25"/>
      <c r="K804" s="25"/>
      <c r="L804" s="25"/>
      <c r="M804" s="25"/>
      <c r="N804" s="25"/>
      <c r="O804" s="25"/>
    </row>
    <row r="805" spans="1:15" x14ac:dyDescent="0.25">
      <c r="A805" s="77">
        <v>46074</v>
      </c>
      <c r="B805" s="25" t="s">
        <v>401</v>
      </c>
      <c r="C805" s="25" t="str">
        <f>VLOOKUP(B805,'[2]Migrasi Bed'!$B$4:$E$521,4,0)</f>
        <v>SV.H010</v>
      </c>
      <c r="D805" s="77">
        <f t="shared" si="336"/>
        <v>46097</v>
      </c>
      <c r="E805" s="77">
        <f t="shared" si="337"/>
        <v>46081</v>
      </c>
      <c r="F805" s="77">
        <f t="shared" si="338"/>
        <v>46088</v>
      </c>
      <c r="G805" s="77">
        <f t="shared" si="339"/>
        <v>46094</v>
      </c>
      <c r="H805" s="77">
        <f t="shared" si="340"/>
        <v>46082</v>
      </c>
      <c r="I805" s="77">
        <f t="shared" si="341"/>
        <v>46089</v>
      </c>
      <c r="J805" s="25"/>
      <c r="K805" s="25"/>
      <c r="L805" s="25"/>
      <c r="M805" s="25"/>
      <c r="N805" s="25"/>
      <c r="O805" s="25"/>
    </row>
    <row r="806" spans="1:15" x14ac:dyDescent="0.25">
      <c r="A806" s="77">
        <v>46074</v>
      </c>
      <c r="B806" s="25" t="s">
        <v>402</v>
      </c>
      <c r="C806" s="25" t="str">
        <f>VLOOKUP(B806,'[2]Migrasi Bed'!$B$4:$E$521,4,0)</f>
        <v>SV.H011</v>
      </c>
      <c r="D806" s="77">
        <f t="shared" si="336"/>
        <v>46097</v>
      </c>
      <c r="E806" s="77">
        <f t="shared" si="337"/>
        <v>46081</v>
      </c>
      <c r="F806" s="77">
        <f t="shared" si="338"/>
        <v>46088</v>
      </c>
      <c r="G806" s="77">
        <f t="shared" si="339"/>
        <v>46094</v>
      </c>
      <c r="H806" s="77">
        <f t="shared" si="340"/>
        <v>46082</v>
      </c>
      <c r="I806" s="77">
        <f t="shared" si="341"/>
        <v>46089</v>
      </c>
      <c r="J806" s="25"/>
      <c r="K806" s="25"/>
      <c r="L806" s="25"/>
      <c r="M806" s="25"/>
      <c r="N806" s="25"/>
      <c r="O806" s="25"/>
    </row>
    <row r="807" spans="1:15" x14ac:dyDescent="0.25">
      <c r="A807" s="77">
        <v>46074</v>
      </c>
      <c r="B807" s="25" t="s">
        <v>403</v>
      </c>
      <c r="C807" s="25" t="str">
        <f>VLOOKUP(B807,'[2]Migrasi Bed'!$B$4:$E$521,4,0)</f>
        <v>SV.H012</v>
      </c>
      <c r="D807" s="77">
        <f t="shared" si="336"/>
        <v>46097</v>
      </c>
      <c r="E807" s="77">
        <f t="shared" si="337"/>
        <v>46081</v>
      </c>
      <c r="F807" s="77">
        <f t="shared" si="338"/>
        <v>46088</v>
      </c>
      <c r="G807" s="77">
        <f t="shared" si="339"/>
        <v>46094</v>
      </c>
      <c r="H807" s="77">
        <f t="shared" si="340"/>
        <v>46082</v>
      </c>
      <c r="I807" s="77">
        <f t="shared" si="341"/>
        <v>46089</v>
      </c>
      <c r="J807" s="25"/>
      <c r="K807" s="25"/>
      <c r="L807" s="25"/>
      <c r="M807" s="25"/>
      <c r="N807" s="25"/>
      <c r="O807" s="25"/>
    </row>
    <row r="808" spans="1:15" x14ac:dyDescent="0.25">
      <c r="A808" s="77">
        <v>46075</v>
      </c>
      <c r="B808" s="25" t="s">
        <v>435</v>
      </c>
      <c r="C808" s="25" t="str">
        <f>VLOOKUP(B808,'[2]Migrasi Bed'!$B$4:$E$521,4,0)</f>
        <v>SV.A024</v>
      </c>
      <c r="D808" s="77">
        <f t="shared" si="336"/>
        <v>46098</v>
      </c>
      <c r="E808" s="77">
        <f t="shared" si="337"/>
        <v>46082</v>
      </c>
      <c r="F808" s="77">
        <f t="shared" si="338"/>
        <v>46089</v>
      </c>
      <c r="G808" s="77">
        <f t="shared" si="339"/>
        <v>46095</v>
      </c>
      <c r="H808" s="77">
        <f t="shared" si="340"/>
        <v>46083</v>
      </c>
      <c r="I808" s="77">
        <f t="shared" si="341"/>
        <v>46090</v>
      </c>
      <c r="J808" s="25"/>
      <c r="K808" s="25"/>
      <c r="L808" s="25"/>
      <c r="M808" s="25"/>
      <c r="N808" s="25"/>
      <c r="O808" s="25"/>
    </row>
    <row r="809" spans="1:15" x14ac:dyDescent="0.25">
      <c r="A809" s="77">
        <v>46075</v>
      </c>
      <c r="B809" s="25" t="s">
        <v>436</v>
      </c>
      <c r="C809" s="25" t="str">
        <f>VLOOKUP(B809,'[2]Migrasi Bed'!$B$4:$E$521,4,0)</f>
        <v>SV.A025</v>
      </c>
      <c r="D809" s="77">
        <f t="shared" si="336"/>
        <v>46098</v>
      </c>
      <c r="E809" s="77">
        <f t="shared" si="337"/>
        <v>46082</v>
      </c>
      <c r="F809" s="77">
        <f t="shared" si="338"/>
        <v>46089</v>
      </c>
      <c r="G809" s="77">
        <f t="shared" si="339"/>
        <v>46095</v>
      </c>
      <c r="H809" s="77">
        <f t="shared" si="340"/>
        <v>46083</v>
      </c>
      <c r="I809" s="77">
        <f t="shared" si="341"/>
        <v>46090</v>
      </c>
      <c r="J809" s="25"/>
      <c r="K809" s="25"/>
      <c r="L809" s="25"/>
      <c r="M809" s="25"/>
      <c r="N809" s="25"/>
      <c r="O809" s="25"/>
    </row>
    <row r="810" spans="1:15" x14ac:dyDescent="0.25">
      <c r="A810" s="77">
        <v>46075</v>
      </c>
      <c r="B810" s="25" t="s">
        <v>437</v>
      </c>
      <c r="C810" s="25" t="str">
        <f>VLOOKUP(B810,'[2]Migrasi Bed'!$B$4:$E$521,4,0)</f>
        <v>SV.A026</v>
      </c>
      <c r="D810" s="77">
        <f t="shared" si="336"/>
        <v>46098</v>
      </c>
      <c r="E810" s="77">
        <f t="shared" si="337"/>
        <v>46082</v>
      </c>
      <c r="F810" s="77">
        <f t="shared" si="338"/>
        <v>46089</v>
      </c>
      <c r="G810" s="77">
        <f t="shared" si="339"/>
        <v>46095</v>
      </c>
      <c r="H810" s="77">
        <f t="shared" si="340"/>
        <v>46083</v>
      </c>
      <c r="I810" s="77">
        <f t="shared" si="341"/>
        <v>46090</v>
      </c>
      <c r="J810" s="25"/>
      <c r="K810" s="25"/>
      <c r="L810" s="25"/>
      <c r="M810" s="25"/>
      <c r="N810" s="25"/>
      <c r="O810" s="25"/>
    </row>
    <row r="811" spans="1:15" x14ac:dyDescent="0.25">
      <c r="A811" s="77">
        <v>46075</v>
      </c>
      <c r="B811" s="25" t="s">
        <v>438</v>
      </c>
      <c r="C811" s="25" t="str">
        <f>VLOOKUP(B811,'[2]Migrasi Bed'!$B$4:$E$521,4,0)</f>
        <v>SV.A027</v>
      </c>
      <c r="D811" s="77">
        <f t="shared" si="336"/>
        <v>46098</v>
      </c>
      <c r="E811" s="77">
        <f t="shared" si="337"/>
        <v>46082</v>
      </c>
      <c r="F811" s="77">
        <f t="shared" si="338"/>
        <v>46089</v>
      </c>
      <c r="G811" s="77">
        <f t="shared" si="339"/>
        <v>46095</v>
      </c>
      <c r="H811" s="77">
        <f t="shared" si="340"/>
        <v>46083</v>
      </c>
      <c r="I811" s="77">
        <f t="shared" si="341"/>
        <v>46090</v>
      </c>
      <c r="J811" s="25"/>
      <c r="K811" s="25"/>
      <c r="L811" s="25"/>
      <c r="M811" s="25"/>
      <c r="N811" s="25"/>
      <c r="O811" s="25"/>
    </row>
    <row r="812" spans="1:15" x14ac:dyDescent="0.25">
      <c r="A812" s="77">
        <v>46075</v>
      </c>
      <c r="B812" s="25" t="s">
        <v>439</v>
      </c>
      <c r="C812" s="25" t="str">
        <f>VLOOKUP(B812,'[2]Migrasi Bed'!$B$4:$E$521,4,0)</f>
        <v>SV.A028</v>
      </c>
      <c r="D812" s="77">
        <f t="shared" si="336"/>
        <v>46098</v>
      </c>
      <c r="E812" s="77">
        <f t="shared" si="337"/>
        <v>46082</v>
      </c>
      <c r="F812" s="77">
        <f t="shared" si="338"/>
        <v>46089</v>
      </c>
      <c r="G812" s="77">
        <f t="shared" si="339"/>
        <v>46095</v>
      </c>
      <c r="H812" s="77">
        <f t="shared" si="340"/>
        <v>46083</v>
      </c>
      <c r="I812" s="77">
        <f t="shared" si="341"/>
        <v>46090</v>
      </c>
      <c r="J812" s="25"/>
      <c r="K812" s="25"/>
      <c r="L812" s="25"/>
      <c r="M812" s="25"/>
      <c r="N812" s="25"/>
      <c r="O812" s="25"/>
    </row>
    <row r="813" spans="1:15" x14ac:dyDescent="0.25">
      <c r="A813" s="77">
        <v>46075</v>
      </c>
      <c r="B813" s="25" t="s">
        <v>440</v>
      </c>
      <c r="C813" s="25" t="str">
        <f>VLOOKUP(B813,'[2]Migrasi Bed'!$B$4:$E$521,4,0)</f>
        <v>SV.A029</v>
      </c>
      <c r="D813" s="77">
        <f t="shared" si="336"/>
        <v>46098</v>
      </c>
      <c r="E813" s="77">
        <f t="shared" si="337"/>
        <v>46082</v>
      </c>
      <c r="F813" s="77">
        <f t="shared" si="338"/>
        <v>46089</v>
      </c>
      <c r="G813" s="77">
        <f t="shared" si="339"/>
        <v>46095</v>
      </c>
      <c r="H813" s="77">
        <f t="shared" si="340"/>
        <v>46083</v>
      </c>
      <c r="I813" s="77">
        <f t="shared" si="341"/>
        <v>46090</v>
      </c>
      <c r="J813" s="25"/>
      <c r="K813" s="25"/>
      <c r="L813" s="25"/>
      <c r="M813" s="25"/>
      <c r="N813" s="25"/>
      <c r="O813" s="25"/>
    </row>
    <row r="814" spans="1:15" x14ac:dyDescent="0.25">
      <c r="A814" s="77">
        <v>46075</v>
      </c>
      <c r="B814" s="25" t="s">
        <v>441</v>
      </c>
      <c r="C814" s="25" t="str">
        <f>VLOOKUP(B814,'[2]Migrasi Bed'!$B$4:$E$521,4,0)</f>
        <v>SV.A030</v>
      </c>
      <c r="D814" s="77">
        <f t="shared" si="336"/>
        <v>46098</v>
      </c>
      <c r="E814" s="77">
        <f t="shared" si="337"/>
        <v>46082</v>
      </c>
      <c r="F814" s="77">
        <f t="shared" si="338"/>
        <v>46089</v>
      </c>
      <c r="G814" s="77">
        <f t="shared" si="339"/>
        <v>46095</v>
      </c>
      <c r="H814" s="77">
        <f t="shared" si="340"/>
        <v>46083</v>
      </c>
      <c r="I814" s="77">
        <f t="shared" si="341"/>
        <v>46090</v>
      </c>
      <c r="J814" s="25"/>
      <c r="K814" s="25"/>
      <c r="L814" s="25"/>
      <c r="M814" s="25"/>
      <c r="N814" s="25"/>
      <c r="O814" s="25"/>
    </row>
    <row r="815" spans="1:15" x14ac:dyDescent="0.25">
      <c r="A815" s="77">
        <v>46076</v>
      </c>
      <c r="B815" s="25" t="s">
        <v>428</v>
      </c>
      <c r="C815" s="25" t="str">
        <f>VLOOKUP(B815,'[2]Migrasi Bed'!$B$4:$E$521,4,0)</f>
        <v>SV.A017</v>
      </c>
      <c r="D815" s="77">
        <f t="shared" si="336"/>
        <v>46099</v>
      </c>
      <c r="E815" s="77">
        <f t="shared" si="337"/>
        <v>46083</v>
      </c>
      <c r="F815" s="77">
        <f t="shared" si="338"/>
        <v>46090</v>
      </c>
      <c r="G815" s="77">
        <f t="shared" si="339"/>
        <v>46096</v>
      </c>
      <c r="H815" s="77">
        <f t="shared" si="340"/>
        <v>46084</v>
      </c>
      <c r="I815" s="77">
        <f t="shared" si="341"/>
        <v>46091</v>
      </c>
      <c r="J815" s="25"/>
      <c r="K815" s="25"/>
      <c r="L815" s="25"/>
      <c r="M815" s="25"/>
      <c r="N815" s="25"/>
      <c r="O815" s="25"/>
    </row>
    <row r="816" spans="1:15" x14ac:dyDescent="0.25">
      <c r="A816" s="77">
        <v>46076</v>
      </c>
      <c r="B816" s="25" t="s">
        <v>429</v>
      </c>
      <c r="C816" s="25" t="str">
        <f>VLOOKUP(B816,'[2]Migrasi Bed'!$B$4:$E$521,4,0)</f>
        <v>SV.A018</v>
      </c>
      <c r="D816" s="77">
        <f t="shared" si="336"/>
        <v>46099</v>
      </c>
      <c r="E816" s="77">
        <f t="shared" si="337"/>
        <v>46083</v>
      </c>
      <c r="F816" s="77">
        <f t="shared" si="338"/>
        <v>46090</v>
      </c>
      <c r="G816" s="77">
        <f t="shared" si="339"/>
        <v>46096</v>
      </c>
      <c r="H816" s="77">
        <f t="shared" si="340"/>
        <v>46084</v>
      </c>
      <c r="I816" s="77">
        <f t="shared" si="341"/>
        <v>46091</v>
      </c>
      <c r="J816" s="25"/>
      <c r="K816" s="25"/>
      <c r="L816" s="25"/>
      <c r="M816" s="25"/>
      <c r="N816" s="25"/>
      <c r="O816" s="25"/>
    </row>
    <row r="817" spans="1:15" x14ac:dyDescent="0.25">
      <c r="A817" s="77">
        <v>46076</v>
      </c>
      <c r="B817" s="25" t="s">
        <v>430</v>
      </c>
      <c r="C817" s="25" t="str">
        <f>VLOOKUP(B817,'[2]Migrasi Bed'!$B$4:$E$521,4,0)</f>
        <v>SV.A019</v>
      </c>
      <c r="D817" s="77">
        <f t="shared" si="336"/>
        <v>46099</v>
      </c>
      <c r="E817" s="77">
        <f t="shared" si="337"/>
        <v>46083</v>
      </c>
      <c r="F817" s="77">
        <f t="shared" si="338"/>
        <v>46090</v>
      </c>
      <c r="G817" s="77">
        <f t="shared" si="339"/>
        <v>46096</v>
      </c>
      <c r="H817" s="77">
        <f t="shared" si="340"/>
        <v>46084</v>
      </c>
      <c r="I817" s="77">
        <f t="shared" si="341"/>
        <v>46091</v>
      </c>
      <c r="J817" s="25"/>
      <c r="K817" s="25"/>
      <c r="L817" s="25"/>
      <c r="M817" s="25"/>
      <c r="N817" s="25"/>
      <c r="O817" s="25"/>
    </row>
    <row r="818" spans="1:15" x14ac:dyDescent="0.25">
      <c r="A818" s="77">
        <v>46076</v>
      </c>
      <c r="B818" s="25" t="s">
        <v>431</v>
      </c>
      <c r="C818" s="25" t="str">
        <f>VLOOKUP(B818,'[2]Migrasi Bed'!$B$4:$E$521,4,0)</f>
        <v>SV.A020</v>
      </c>
      <c r="D818" s="77">
        <f t="shared" si="336"/>
        <v>46099</v>
      </c>
      <c r="E818" s="77">
        <f t="shared" si="337"/>
        <v>46083</v>
      </c>
      <c r="F818" s="77">
        <f t="shared" si="338"/>
        <v>46090</v>
      </c>
      <c r="G818" s="77">
        <f t="shared" si="339"/>
        <v>46096</v>
      </c>
      <c r="H818" s="77">
        <f t="shared" si="340"/>
        <v>46084</v>
      </c>
      <c r="I818" s="77">
        <f t="shared" si="341"/>
        <v>46091</v>
      </c>
      <c r="J818" s="25"/>
      <c r="K818" s="25"/>
      <c r="L818" s="25"/>
      <c r="M818" s="25"/>
      <c r="N818" s="25"/>
      <c r="O818" s="25"/>
    </row>
    <row r="819" spans="1:15" x14ac:dyDescent="0.25">
      <c r="A819" s="77">
        <v>46076</v>
      </c>
      <c r="B819" s="25" t="s">
        <v>432</v>
      </c>
      <c r="C819" s="25" t="str">
        <f>VLOOKUP(B819,'[2]Migrasi Bed'!$B$4:$E$521,4,0)</f>
        <v>SV.A021</v>
      </c>
      <c r="D819" s="77">
        <f t="shared" si="336"/>
        <v>46099</v>
      </c>
      <c r="E819" s="77">
        <f t="shared" si="337"/>
        <v>46083</v>
      </c>
      <c r="F819" s="77">
        <f t="shared" si="338"/>
        <v>46090</v>
      </c>
      <c r="G819" s="77">
        <f t="shared" si="339"/>
        <v>46096</v>
      </c>
      <c r="H819" s="77">
        <f t="shared" si="340"/>
        <v>46084</v>
      </c>
      <c r="I819" s="77">
        <f t="shared" si="341"/>
        <v>46091</v>
      </c>
      <c r="J819" s="25"/>
      <c r="K819" s="25"/>
      <c r="L819" s="25"/>
      <c r="M819" s="25"/>
      <c r="N819" s="25"/>
      <c r="O819" s="25"/>
    </row>
    <row r="820" spans="1:15" x14ac:dyDescent="0.25">
      <c r="A820" s="77">
        <v>46076</v>
      </c>
      <c r="B820" s="25" t="s">
        <v>433</v>
      </c>
      <c r="C820" s="25" t="str">
        <f>VLOOKUP(B820,'[2]Migrasi Bed'!$B$4:$E$521,4,0)</f>
        <v>SV.A022</v>
      </c>
      <c r="D820" s="77">
        <f t="shared" si="336"/>
        <v>46099</v>
      </c>
      <c r="E820" s="77">
        <f t="shared" si="337"/>
        <v>46083</v>
      </c>
      <c r="F820" s="77">
        <f t="shared" si="338"/>
        <v>46090</v>
      </c>
      <c r="G820" s="77">
        <f t="shared" si="339"/>
        <v>46096</v>
      </c>
      <c r="H820" s="77">
        <f t="shared" si="340"/>
        <v>46084</v>
      </c>
      <c r="I820" s="77">
        <f t="shared" si="341"/>
        <v>46091</v>
      </c>
      <c r="J820" s="25"/>
      <c r="K820" s="25"/>
      <c r="L820" s="25"/>
      <c r="M820" s="25"/>
      <c r="N820" s="25"/>
      <c r="O820" s="25"/>
    </row>
    <row r="821" spans="1:15" x14ac:dyDescent="0.25">
      <c r="A821" s="77">
        <v>46076</v>
      </c>
      <c r="B821" s="25" t="s">
        <v>434</v>
      </c>
      <c r="C821" s="25" t="str">
        <f>VLOOKUP(B821,'[2]Migrasi Bed'!$B$4:$E$521,4,0)</f>
        <v>SV.A023</v>
      </c>
      <c r="D821" s="77">
        <f t="shared" si="336"/>
        <v>46099</v>
      </c>
      <c r="E821" s="77">
        <f t="shared" si="337"/>
        <v>46083</v>
      </c>
      <c r="F821" s="77">
        <f t="shared" si="338"/>
        <v>46090</v>
      </c>
      <c r="G821" s="77">
        <f t="shared" si="339"/>
        <v>46096</v>
      </c>
      <c r="H821" s="77">
        <f t="shared" si="340"/>
        <v>46084</v>
      </c>
      <c r="I821" s="77">
        <f t="shared" si="341"/>
        <v>46091</v>
      </c>
      <c r="J821" s="25"/>
      <c r="K821" s="25"/>
      <c r="L821" s="25"/>
      <c r="M821" s="25"/>
      <c r="N821" s="25"/>
      <c r="O821" s="25"/>
    </row>
    <row r="822" spans="1:15" x14ac:dyDescent="0.25">
      <c r="A822" s="77">
        <v>46077</v>
      </c>
      <c r="B822" s="25" t="s">
        <v>495</v>
      </c>
      <c r="C822" s="25" t="str">
        <f>VLOOKUP(B822,'[2]Migrasi Bed'!$B$4:$E$521,4,0)</f>
        <v>ST.G008</v>
      </c>
      <c r="D822" s="77">
        <f t="shared" si="336"/>
        <v>46100</v>
      </c>
      <c r="E822" s="77">
        <f t="shared" si="337"/>
        <v>46084</v>
      </c>
      <c r="F822" s="77">
        <f t="shared" si="338"/>
        <v>46091</v>
      </c>
      <c r="G822" s="77">
        <f t="shared" si="339"/>
        <v>46097</v>
      </c>
      <c r="H822" s="77">
        <f t="shared" si="340"/>
        <v>46085</v>
      </c>
      <c r="I822" s="77">
        <f t="shared" si="341"/>
        <v>46092</v>
      </c>
      <c r="J822" s="25"/>
      <c r="K822" s="25"/>
      <c r="L822" s="25"/>
      <c r="M822" s="25"/>
      <c r="N822" s="25"/>
      <c r="O822" s="25"/>
    </row>
    <row r="823" spans="1:15" x14ac:dyDescent="0.25">
      <c r="A823" s="77">
        <v>46077</v>
      </c>
      <c r="B823" s="25" t="s">
        <v>496</v>
      </c>
      <c r="C823" s="25" t="str">
        <f>VLOOKUP(B823,'[2]Migrasi Bed'!$B$4:$E$521,4,0)</f>
        <v>ST.G009</v>
      </c>
      <c r="D823" s="77">
        <f t="shared" si="336"/>
        <v>46100</v>
      </c>
      <c r="E823" s="77">
        <f t="shared" si="337"/>
        <v>46084</v>
      </c>
      <c r="F823" s="77">
        <f t="shared" si="338"/>
        <v>46091</v>
      </c>
      <c r="G823" s="77">
        <f t="shared" si="339"/>
        <v>46097</v>
      </c>
      <c r="H823" s="77">
        <f t="shared" si="340"/>
        <v>46085</v>
      </c>
      <c r="I823" s="77">
        <f t="shared" si="341"/>
        <v>46092</v>
      </c>
      <c r="J823" s="25"/>
      <c r="K823" s="25"/>
      <c r="L823" s="25"/>
      <c r="M823" s="25"/>
      <c r="N823" s="25"/>
      <c r="O823" s="25"/>
    </row>
    <row r="824" spans="1:15" x14ac:dyDescent="0.25">
      <c r="A824" s="77">
        <v>46077</v>
      </c>
      <c r="B824" s="25" t="s">
        <v>497</v>
      </c>
      <c r="C824" s="25" t="str">
        <f>VLOOKUP(B824,'[2]Migrasi Bed'!$B$4:$E$521,4,0)</f>
        <v>ST.G010</v>
      </c>
      <c r="D824" s="77">
        <f t="shared" si="336"/>
        <v>46100</v>
      </c>
      <c r="E824" s="77">
        <f t="shared" si="337"/>
        <v>46084</v>
      </c>
      <c r="F824" s="77">
        <f t="shared" si="338"/>
        <v>46091</v>
      </c>
      <c r="G824" s="77">
        <f t="shared" si="339"/>
        <v>46097</v>
      </c>
      <c r="H824" s="77">
        <f t="shared" si="340"/>
        <v>46085</v>
      </c>
      <c r="I824" s="77">
        <f t="shared" si="341"/>
        <v>46092</v>
      </c>
      <c r="J824" s="25"/>
      <c r="K824" s="25"/>
      <c r="L824" s="25"/>
      <c r="M824" s="25"/>
      <c r="N824" s="25"/>
      <c r="O824" s="25"/>
    </row>
    <row r="825" spans="1:15" x14ac:dyDescent="0.25">
      <c r="A825" s="77">
        <v>46077</v>
      </c>
      <c r="B825" s="25" t="s">
        <v>498</v>
      </c>
      <c r="C825" s="25" t="str">
        <f>VLOOKUP(B825,'[2]Migrasi Bed'!$B$4:$E$521,4,0)</f>
        <v>ST.G011</v>
      </c>
      <c r="D825" s="77">
        <f t="shared" si="336"/>
        <v>46100</v>
      </c>
      <c r="E825" s="77">
        <f t="shared" si="337"/>
        <v>46084</v>
      </c>
      <c r="F825" s="77">
        <f t="shared" si="338"/>
        <v>46091</v>
      </c>
      <c r="G825" s="77">
        <f t="shared" si="339"/>
        <v>46097</v>
      </c>
      <c r="H825" s="77">
        <f t="shared" si="340"/>
        <v>46085</v>
      </c>
      <c r="I825" s="77">
        <f t="shared" si="341"/>
        <v>46092</v>
      </c>
      <c r="J825" s="25"/>
      <c r="K825" s="25"/>
      <c r="L825" s="25"/>
      <c r="M825" s="25"/>
      <c r="N825" s="25"/>
      <c r="O825" s="25"/>
    </row>
    <row r="826" spans="1:15" x14ac:dyDescent="0.25">
      <c r="A826" s="77">
        <v>46077</v>
      </c>
      <c r="B826" s="25" t="s">
        <v>499</v>
      </c>
      <c r="C826" s="25" t="str">
        <f>VLOOKUP(B826,'[2]Migrasi Bed'!$B$4:$E$521,4,0)</f>
        <v>ST.G012</v>
      </c>
      <c r="D826" s="77">
        <f t="shared" si="336"/>
        <v>46100</v>
      </c>
      <c r="E826" s="77">
        <f t="shared" si="337"/>
        <v>46084</v>
      </c>
      <c r="F826" s="77">
        <f t="shared" si="338"/>
        <v>46091</v>
      </c>
      <c r="G826" s="77">
        <f t="shared" si="339"/>
        <v>46097</v>
      </c>
      <c r="H826" s="77">
        <f t="shared" si="340"/>
        <v>46085</v>
      </c>
      <c r="I826" s="77">
        <f t="shared" si="341"/>
        <v>46092</v>
      </c>
      <c r="J826" s="25"/>
      <c r="K826" s="25"/>
      <c r="L826" s="25"/>
      <c r="M826" s="25"/>
      <c r="N826" s="25"/>
      <c r="O826" s="25"/>
    </row>
    <row r="827" spans="1:15" x14ac:dyDescent="0.25">
      <c r="A827" s="77">
        <v>46077</v>
      </c>
      <c r="B827" s="25" t="s">
        <v>500</v>
      </c>
      <c r="C827" s="25" t="str">
        <f>VLOOKUP(B827,'[2]Migrasi Bed'!$B$4:$E$521,4,0)</f>
        <v>ST.H001</v>
      </c>
      <c r="D827" s="77">
        <f t="shared" si="336"/>
        <v>46100</v>
      </c>
      <c r="E827" s="77">
        <f t="shared" si="337"/>
        <v>46084</v>
      </c>
      <c r="F827" s="77">
        <f t="shared" si="338"/>
        <v>46091</v>
      </c>
      <c r="G827" s="77">
        <f t="shared" si="339"/>
        <v>46097</v>
      </c>
      <c r="H827" s="77">
        <f t="shared" si="340"/>
        <v>46085</v>
      </c>
      <c r="I827" s="77">
        <f t="shared" si="341"/>
        <v>46092</v>
      </c>
      <c r="J827" s="25"/>
      <c r="K827" s="25"/>
      <c r="L827" s="25"/>
      <c r="M827" s="25"/>
      <c r="N827" s="25"/>
      <c r="O827" s="25"/>
    </row>
    <row r="828" spans="1:15" x14ac:dyDescent="0.25">
      <c r="A828" s="77">
        <v>46077</v>
      </c>
      <c r="B828" s="25" t="s">
        <v>501</v>
      </c>
      <c r="C828" s="25" t="str">
        <f>VLOOKUP(B828,'[2]Migrasi Bed'!$B$4:$E$521,4,0)</f>
        <v>ST.H002</v>
      </c>
      <c r="D828" s="77">
        <f t="shared" si="336"/>
        <v>46100</v>
      </c>
      <c r="E828" s="77">
        <f t="shared" si="337"/>
        <v>46084</v>
      </c>
      <c r="F828" s="77">
        <f t="shared" si="338"/>
        <v>46091</v>
      </c>
      <c r="G828" s="77">
        <f t="shared" si="339"/>
        <v>46097</v>
      </c>
      <c r="H828" s="77">
        <f t="shared" si="340"/>
        <v>46085</v>
      </c>
      <c r="I828" s="77">
        <f t="shared" si="341"/>
        <v>46092</v>
      </c>
      <c r="J828" s="25"/>
      <c r="K828" s="25"/>
      <c r="L828" s="25"/>
      <c r="M828" s="25"/>
      <c r="N828" s="25"/>
      <c r="O828" s="25"/>
    </row>
    <row r="829" spans="1:15" x14ac:dyDescent="0.25">
      <c r="A829" s="77">
        <v>46078</v>
      </c>
      <c r="B829" s="25" t="s">
        <v>458</v>
      </c>
      <c r="C829" s="25" t="str">
        <f>VLOOKUP(B829,'[2]Migrasi Bed'!$B$4:$E$521,4,0)</f>
        <v>SV.B017</v>
      </c>
      <c r="D829" s="77">
        <f t="shared" si="336"/>
        <v>46101</v>
      </c>
      <c r="E829" s="77">
        <f t="shared" si="337"/>
        <v>46085</v>
      </c>
      <c r="F829" s="77">
        <f t="shared" si="338"/>
        <v>46092</v>
      </c>
      <c r="G829" s="77">
        <f t="shared" si="339"/>
        <v>46098</v>
      </c>
      <c r="H829" s="77">
        <f t="shared" si="340"/>
        <v>46086</v>
      </c>
      <c r="I829" s="77">
        <f t="shared" si="341"/>
        <v>46093</v>
      </c>
      <c r="J829" s="25"/>
      <c r="K829" s="25"/>
      <c r="L829" s="25"/>
      <c r="M829" s="25"/>
      <c r="N829" s="25"/>
      <c r="O829" s="25"/>
    </row>
    <row r="830" spans="1:15" x14ac:dyDescent="0.25">
      <c r="A830" s="77">
        <v>46078</v>
      </c>
      <c r="B830" s="25" t="s">
        <v>459</v>
      </c>
      <c r="C830" s="25" t="str">
        <f>VLOOKUP(B830,'[2]Migrasi Bed'!$B$4:$E$521,4,0)</f>
        <v>SV.B018</v>
      </c>
      <c r="D830" s="77">
        <f t="shared" si="336"/>
        <v>46101</v>
      </c>
      <c r="E830" s="77">
        <f t="shared" si="337"/>
        <v>46085</v>
      </c>
      <c r="F830" s="77">
        <f t="shared" si="338"/>
        <v>46092</v>
      </c>
      <c r="G830" s="77">
        <f t="shared" si="339"/>
        <v>46098</v>
      </c>
      <c r="H830" s="77">
        <f t="shared" si="340"/>
        <v>46086</v>
      </c>
      <c r="I830" s="77">
        <f t="shared" si="341"/>
        <v>46093</v>
      </c>
      <c r="J830" s="25"/>
      <c r="K830" s="25"/>
      <c r="L830" s="25"/>
      <c r="M830" s="25"/>
      <c r="N830" s="25"/>
      <c r="O830" s="25"/>
    </row>
    <row r="831" spans="1:15" x14ac:dyDescent="0.25">
      <c r="A831" s="77">
        <v>46078</v>
      </c>
      <c r="B831" s="25" t="s">
        <v>460</v>
      </c>
      <c r="C831" s="25" t="str">
        <f>VLOOKUP(B831,'[2]Migrasi Bed'!$B$4:$E$521,4,0)</f>
        <v>SV.B019</v>
      </c>
      <c r="D831" s="77">
        <f t="shared" ref="D831:D849" si="342">A831+23</f>
        <v>46101</v>
      </c>
      <c r="E831" s="77">
        <f t="shared" ref="E831:E849" si="343">A831+7</f>
        <v>46085</v>
      </c>
      <c r="F831" s="77">
        <f t="shared" ref="F831:F849" si="344">A831+14</f>
        <v>46092</v>
      </c>
      <c r="G831" s="77">
        <f t="shared" ref="G831:G849" si="345">A831+20</f>
        <v>46098</v>
      </c>
      <c r="H831" s="77">
        <f t="shared" ref="H831:H849" si="346">A831+8</f>
        <v>46086</v>
      </c>
      <c r="I831" s="77">
        <f t="shared" ref="I831:I849" si="347">A831+15</f>
        <v>46093</v>
      </c>
      <c r="J831" s="25"/>
      <c r="K831" s="25"/>
      <c r="L831" s="25"/>
      <c r="M831" s="25"/>
      <c r="N831" s="25"/>
      <c r="O831" s="25"/>
    </row>
    <row r="832" spans="1:15" x14ac:dyDescent="0.25">
      <c r="A832" s="77">
        <v>46078</v>
      </c>
      <c r="B832" s="25" t="s">
        <v>461</v>
      </c>
      <c r="C832" s="25" t="str">
        <f>VLOOKUP(B832,'[2]Migrasi Bed'!$B$4:$E$521,4,0)</f>
        <v>SV.B020</v>
      </c>
      <c r="D832" s="77">
        <f t="shared" si="342"/>
        <v>46101</v>
      </c>
      <c r="E832" s="77">
        <f t="shared" si="343"/>
        <v>46085</v>
      </c>
      <c r="F832" s="77">
        <f t="shared" si="344"/>
        <v>46092</v>
      </c>
      <c r="G832" s="77">
        <f t="shared" si="345"/>
        <v>46098</v>
      </c>
      <c r="H832" s="77">
        <f t="shared" si="346"/>
        <v>46086</v>
      </c>
      <c r="I832" s="77">
        <f t="shared" si="347"/>
        <v>46093</v>
      </c>
      <c r="J832" s="25"/>
      <c r="K832" s="25"/>
      <c r="L832" s="25"/>
      <c r="M832" s="25"/>
      <c r="N832" s="25"/>
      <c r="O832" s="25"/>
    </row>
    <row r="833" spans="1:15" x14ac:dyDescent="0.25">
      <c r="A833" s="77">
        <v>46078</v>
      </c>
      <c r="B833" s="25" t="s">
        <v>462</v>
      </c>
      <c r="C833" s="25" t="str">
        <f>VLOOKUP(B833,'[2]Migrasi Bed'!$B$4:$E$521,4,0)</f>
        <v>SV.B021</v>
      </c>
      <c r="D833" s="77">
        <f t="shared" si="342"/>
        <v>46101</v>
      </c>
      <c r="E833" s="77">
        <f t="shared" si="343"/>
        <v>46085</v>
      </c>
      <c r="F833" s="77">
        <f t="shared" si="344"/>
        <v>46092</v>
      </c>
      <c r="G833" s="77">
        <f t="shared" si="345"/>
        <v>46098</v>
      </c>
      <c r="H833" s="77">
        <f t="shared" si="346"/>
        <v>46086</v>
      </c>
      <c r="I833" s="77">
        <f t="shared" si="347"/>
        <v>46093</v>
      </c>
      <c r="J833" s="25"/>
      <c r="K833" s="25"/>
      <c r="L833" s="25"/>
      <c r="M833" s="25"/>
      <c r="N833" s="25"/>
      <c r="O833" s="25"/>
    </row>
    <row r="834" spans="1:15" x14ac:dyDescent="0.25">
      <c r="A834" s="77">
        <v>46078</v>
      </c>
      <c r="B834" s="25" t="s">
        <v>463</v>
      </c>
      <c r="C834" s="25" t="str">
        <f>VLOOKUP(B834,'[2]Migrasi Bed'!$B$4:$E$521,4,0)</f>
        <v>SV.B022</v>
      </c>
      <c r="D834" s="77">
        <f t="shared" si="342"/>
        <v>46101</v>
      </c>
      <c r="E834" s="77">
        <f t="shared" si="343"/>
        <v>46085</v>
      </c>
      <c r="F834" s="77">
        <f t="shared" si="344"/>
        <v>46092</v>
      </c>
      <c r="G834" s="77">
        <f t="shared" si="345"/>
        <v>46098</v>
      </c>
      <c r="H834" s="77">
        <f t="shared" si="346"/>
        <v>46086</v>
      </c>
      <c r="I834" s="77">
        <f t="shared" si="347"/>
        <v>46093</v>
      </c>
      <c r="J834" s="25"/>
      <c r="K834" s="25"/>
      <c r="L834" s="25"/>
      <c r="M834" s="25"/>
      <c r="N834" s="25"/>
      <c r="O834" s="25"/>
    </row>
    <row r="835" spans="1:15" x14ac:dyDescent="0.25">
      <c r="A835" s="77">
        <v>46078</v>
      </c>
      <c r="B835" s="25" t="s">
        <v>464</v>
      </c>
      <c r="C835" s="25" t="str">
        <f>VLOOKUP(B835,'[2]Migrasi Bed'!$B$4:$E$521,4,0)</f>
        <v>SV.B023</v>
      </c>
      <c r="D835" s="77">
        <f t="shared" si="342"/>
        <v>46101</v>
      </c>
      <c r="E835" s="77">
        <f t="shared" si="343"/>
        <v>46085</v>
      </c>
      <c r="F835" s="77">
        <f t="shared" si="344"/>
        <v>46092</v>
      </c>
      <c r="G835" s="77">
        <f t="shared" si="345"/>
        <v>46098</v>
      </c>
      <c r="H835" s="77">
        <f t="shared" si="346"/>
        <v>46086</v>
      </c>
      <c r="I835" s="77">
        <f t="shared" si="347"/>
        <v>46093</v>
      </c>
      <c r="J835" s="25"/>
      <c r="K835" s="25"/>
      <c r="L835" s="25"/>
      <c r="M835" s="25"/>
      <c r="N835" s="25"/>
      <c r="O835" s="25"/>
    </row>
    <row r="836" spans="1:15" x14ac:dyDescent="0.25">
      <c r="A836" s="77">
        <v>46079</v>
      </c>
      <c r="B836" s="25" t="s">
        <v>502</v>
      </c>
      <c r="C836" s="25" t="str">
        <f>VLOOKUP(B836,'[2]Migrasi Bed'!$B$4:$E$521,4,0)</f>
        <v>ST.H003</v>
      </c>
      <c r="D836" s="77">
        <f t="shared" si="342"/>
        <v>46102</v>
      </c>
      <c r="E836" s="77">
        <f t="shared" si="343"/>
        <v>46086</v>
      </c>
      <c r="F836" s="77">
        <f t="shared" si="344"/>
        <v>46093</v>
      </c>
      <c r="G836" s="77">
        <f t="shared" si="345"/>
        <v>46099</v>
      </c>
      <c r="H836" s="77">
        <f t="shared" si="346"/>
        <v>46087</v>
      </c>
      <c r="I836" s="77">
        <f t="shared" si="347"/>
        <v>46094</v>
      </c>
      <c r="J836" s="25"/>
      <c r="K836" s="25"/>
      <c r="L836" s="25"/>
      <c r="M836" s="25"/>
      <c r="N836" s="25"/>
      <c r="O836" s="25"/>
    </row>
    <row r="837" spans="1:15" x14ac:dyDescent="0.25">
      <c r="A837" s="77">
        <v>46079</v>
      </c>
      <c r="B837" s="25" t="s">
        <v>503</v>
      </c>
      <c r="C837" s="25" t="str">
        <f>VLOOKUP(B837,'[2]Migrasi Bed'!$B$4:$E$521,4,0)</f>
        <v>ST.H004</v>
      </c>
      <c r="D837" s="77">
        <f t="shared" si="342"/>
        <v>46102</v>
      </c>
      <c r="E837" s="77">
        <f t="shared" si="343"/>
        <v>46086</v>
      </c>
      <c r="F837" s="77">
        <f t="shared" si="344"/>
        <v>46093</v>
      </c>
      <c r="G837" s="77">
        <f t="shared" si="345"/>
        <v>46099</v>
      </c>
      <c r="H837" s="77">
        <f t="shared" si="346"/>
        <v>46087</v>
      </c>
      <c r="I837" s="77">
        <f t="shared" si="347"/>
        <v>46094</v>
      </c>
      <c r="J837" s="25"/>
      <c r="K837" s="25"/>
      <c r="L837" s="25"/>
      <c r="M837" s="25"/>
      <c r="N837" s="25"/>
      <c r="O837" s="25"/>
    </row>
    <row r="838" spans="1:15" x14ac:dyDescent="0.25">
      <c r="A838" s="77">
        <v>46079</v>
      </c>
      <c r="B838" s="25" t="s">
        <v>504</v>
      </c>
      <c r="C838" s="25" t="str">
        <f>VLOOKUP(B838,'[2]Migrasi Bed'!$B$4:$E$521,4,0)</f>
        <v>ST.H005</v>
      </c>
      <c r="D838" s="77">
        <f t="shared" si="342"/>
        <v>46102</v>
      </c>
      <c r="E838" s="77">
        <f t="shared" si="343"/>
        <v>46086</v>
      </c>
      <c r="F838" s="77">
        <f t="shared" si="344"/>
        <v>46093</v>
      </c>
      <c r="G838" s="77">
        <f t="shared" si="345"/>
        <v>46099</v>
      </c>
      <c r="H838" s="77">
        <f t="shared" si="346"/>
        <v>46087</v>
      </c>
      <c r="I838" s="77">
        <f t="shared" si="347"/>
        <v>46094</v>
      </c>
      <c r="J838" s="25"/>
      <c r="K838" s="25"/>
      <c r="L838" s="25"/>
      <c r="M838" s="25"/>
      <c r="N838" s="25"/>
      <c r="O838" s="25"/>
    </row>
    <row r="839" spans="1:15" x14ac:dyDescent="0.25">
      <c r="A839" s="77">
        <v>46079</v>
      </c>
      <c r="B839" s="25" t="s">
        <v>505</v>
      </c>
      <c r="C839" s="25" t="str">
        <f>VLOOKUP(B839,'[2]Migrasi Bed'!$B$4:$E$521,4,0)</f>
        <v>ST.H006</v>
      </c>
      <c r="D839" s="77">
        <f t="shared" si="342"/>
        <v>46102</v>
      </c>
      <c r="E839" s="77">
        <f t="shared" si="343"/>
        <v>46086</v>
      </c>
      <c r="F839" s="77">
        <f t="shared" si="344"/>
        <v>46093</v>
      </c>
      <c r="G839" s="77">
        <f t="shared" si="345"/>
        <v>46099</v>
      </c>
      <c r="H839" s="77">
        <f t="shared" si="346"/>
        <v>46087</v>
      </c>
      <c r="I839" s="77">
        <f t="shared" si="347"/>
        <v>46094</v>
      </c>
      <c r="J839" s="25"/>
      <c r="K839" s="25"/>
      <c r="L839" s="25"/>
      <c r="M839" s="25"/>
      <c r="N839" s="25"/>
      <c r="O839" s="25"/>
    </row>
    <row r="840" spans="1:15" x14ac:dyDescent="0.25">
      <c r="A840" s="77">
        <v>46079</v>
      </c>
      <c r="B840" s="25" t="s">
        <v>506</v>
      </c>
      <c r="C840" s="25" t="str">
        <f>VLOOKUP(B840,'[2]Migrasi Bed'!$B$4:$E$521,4,0)</f>
        <v>ST.H007</v>
      </c>
      <c r="D840" s="77">
        <f t="shared" si="342"/>
        <v>46102</v>
      </c>
      <c r="E840" s="77">
        <f t="shared" si="343"/>
        <v>46086</v>
      </c>
      <c r="F840" s="77">
        <f t="shared" si="344"/>
        <v>46093</v>
      </c>
      <c r="G840" s="77">
        <f t="shared" si="345"/>
        <v>46099</v>
      </c>
      <c r="H840" s="77">
        <f t="shared" si="346"/>
        <v>46087</v>
      </c>
      <c r="I840" s="77">
        <f t="shared" si="347"/>
        <v>46094</v>
      </c>
      <c r="J840" s="25"/>
      <c r="K840" s="25"/>
      <c r="L840" s="25"/>
      <c r="M840" s="25"/>
      <c r="N840" s="25"/>
      <c r="O840" s="25"/>
    </row>
    <row r="841" spans="1:15" x14ac:dyDescent="0.25">
      <c r="A841" s="77">
        <v>46079</v>
      </c>
      <c r="B841" s="25" t="s">
        <v>507</v>
      </c>
      <c r="C841" s="25" t="str">
        <f>VLOOKUP(B841,'[2]Migrasi Bed'!$B$4:$E$521,4,0)</f>
        <v>ST.H008</v>
      </c>
      <c r="D841" s="77">
        <f t="shared" si="342"/>
        <v>46102</v>
      </c>
      <c r="E841" s="77">
        <f t="shared" si="343"/>
        <v>46086</v>
      </c>
      <c r="F841" s="77">
        <f t="shared" si="344"/>
        <v>46093</v>
      </c>
      <c r="G841" s="77">
        <f t="shared" si="345"/>
        <v>46099</v>
      </c>
      <c r="H841" s="77">
        <f t="shared" si="346"/>
        <v>46087</v>
      </c>
      <c r="I841" s="77">
        <f t="shared" si="347"/>
        <v>46094</v>
      </c>
      <c r="J841" s="25"/>
      <c r="K841" s="25"/>
      <c r="L841" s="25"/>
      <c r="M841" s="25"/>
      <c r="N841" s="25"/>
      <c r="O841" s="25"/>
    </row>
    <row r="842" spans="1:15" x14ac:dyDescent="0.25">
      <c r="A842" s="77">
        <v>46079</v>
      </c>
      <c r="B842" s="25" t="s">
        <v>508</v>
      </c>
      <c r="C842" s="25" t="str">
        <f>VLOOKUP(B842,'[2]Migrasi Bed'!$B$4:$E$521,4,0)</f>
        <v>ST.H009</v>
      </c>
      <c r="D842" s="77">
        <f t="shared" si="342"/>
        <v>46102</v>
      </c>
      <c r="E842" s="77">
        <f t="shared" si="343"/>
        <v>46086</v>
      </c>
      <c r="F842" s="77">
        <f t="shared" si="344"/>
        <v>46093</v>
      </c>
      <c r="G842" s="77">
        <f t="shared" si="345"/>
        <v>46099</v>
      </c>
      <c r="H842" s="77">
        <f t="shared" si="346"/>
        <v>46087</v>
      </c>
      <c r="I842" s="77">
        <f t="shared" si="347"/>
        <v>46094</v>
      </c>
      <c r="J842" s="25"/>
      <c r="K842" s="25"/>
      <c r="L842" s="25"/>
      <c r="M842" s="25"/>
      <c r="N842" s="25"/>
      <c r="O842" s="25"/>
    </row>
    <row r="843" spans="1:15" x14ac:dyDescent="0.25">
      <c r="A843" s="77">
        <v>46080</v>
      </c>
      <c r="B843" s="25" t="s">
        <v>465</v>
      </c>
      <c r="C843" s="25" t="str">
        <f>VLOOKUP(B843,'[2]Migrasi Bed'!$B$4:$E$521,4,0)</f>
        <v>SV.B024</v>
      </c>
      <c r="D843" s="77">
        <f t="shared" si="342"/>
        <v>46103</v>
      </c>
      <c r="E843" s="77">
        <f t="shared" si="343"/>
        <v>46087</v>
      </c>
      <c r="F843" s="77">
        <f t="shared" si="344"/>
        <v>46094</v>
      </c>
      <c r="G843" s="77">
        <f t="shared" si="345"/>
        <v>46100</v>
      </c>
      <c r="H843" s="77">
        <f t="shared" si="346"/>
        <v>46088</v>
      </c>
      <c r="I843" s="77">
        <f t="shared" si="347"/>
        <v>46095</v>
      </c>
      <c r="J843" s="25"/>
      <c r="K843" s="25"/>
      <c r="L843" s="25"/>
      <c r="M843" s="25"/>
      <c r="N843" s="25"/>
      <c r="O843" s="25"/>
    </row>
    <row r="844" spans="1:15" x14ac:dyDescent="0.25">
      <c r="A844" s="77">
        <v>46080</v>
      </c>
      <c r="B844" s="25" t="s">
        <v>466</v>
      </c>
      <c r="C844" s="25" t="str">
        <f>VLOOKUP(B844,'[2]Migrasi Bed'!$B$4:$E$521,4,0)</f>
        <v>SV.B025</v>
      </c>
      <c r="D844" s="77">
        <f t="shared" si="342"/>
        <v>46103</v>
      </c>
      <c r="E844" s="77">
        <f t="shared" si="343"/>
        <v>46087</v>
      </c>
      <c r="F844" s="77">
        <f t="shared" si="344"/>
        <v>46094</v>
      </c>
      <c r="G844" s="77">
        <f t="shared" si="345"/>
        <v>46100</v>
      </c>
      <c r="H844" s="77">
        <f t="shared" si="346"/>
        <v>46088</v>
      </c>
      <c r="I844" s="77">
        <f t="shared" si="347"/>
        <v>46095</v>
      </c>
      <c r="J844" s="25"/>
      <c r="K844" s="25"/>
      <c r="L844" s="25"/>
      <c r="M844" s="25"/>
      <c r="N844" s="25"/>
      <c r="O844" s="25"/>
    </row>
    <row r="845" spans="1:15" x14ac:dyDescent="0.25">
      <c r="A845" s="77">
        <v>46080</v>
      </c>
      <c r="B845" s="25" t="s">
        <v>467</v>
      </c>
      <c r="C845" s="25" t="str">
        <f>VLOOKUP(B845,'[2]Migrasi Bed'!$B$4:$E$521,4,0)</f>
        <v>SV.B026</v>
      </c>
      <c r="D845" s="77">
        <f t="shared" si="342"/>
        <v>46103</v>
      </c>
      <c r="E845" s="77">
        <f t="shared" si="343"/>
        <v>46087</v>
      </c>
      <c r="F845" s="77">
        <f t="shared" si="344"/>
        <v>46094</v>
      </c>
      <c r="G845" s="77">
        <f t="shared" si="345"/>
        <v>46100</v>
      </c>
      <c r="H845" s="77">
        <f t="shared" si="346"/>
        <v>46088</v>
      </c>
      <c r="I845" s="77">
        <f t="shared" si="347"/>
        <v>46095</v>
      </c>
      <c r="J845" s="25"/>
      <c r="K845" s="25"/>
      <c r="L845" s="25"/>
      <c r="M845" s="25"/>
      <c r="N845" s="25"/>
      <c r="O845" s="25"/>
    </row>
    <row r="846" spans="1:15" x14ac:dyDescent="0.25">
      <c r="A846" s="77">
        <v>46080</v>
      </c>
      <c r="B846" s="25" t="s">
        <v>468</v>
      </c>
      <c r="C846" s="25" t="str">
        <f>VLOOKUP(B846,'[2]Migrasi Bed'!$B$4:$E$521,4,0)</f>
        <v>SV.B027</v>
      </c>
      <c r="D846" s="77">
        <f t="shared" si="342"/>
        <v>46103</v>
      </c>
      <c r="E846" s="77">
        <f t="shared" si="343"/>
        <v>46087</v>
      </c>
      <c r="F846" s="77">
        <f t="shared" si="344"/>
        <v>46094</v>
      </c>
      <c r="G846" s="77">
        <f t="shared" si="345"/>
        <v>46100</v>
      </c>
      <c r="H846" s="77">
        <f t="shared" si="346"/>
        <v>46088</v>
      </c>
      <c r="I846" s="77">
        <f t="shared" si="347"/>
        <v>46095</v>
      </c>
      <c r="J846" s="25"/>
      <c r="K846" s="25"/>
      <c r="L846" s="25"/>
      <c r="M846" s="25"/>
      <c r="N846" s="25"/>
      <c r="O846" s="25"/>
    </row>
    <row r="847" spans="1:15" x14ac:dyDescent="0.25">
      <c r="A847" s="77">
        <v>46080</v>
      </c>
      <c r="B847" s="25" t="s">
        <v>469</v>
      </c>
      <c r="C847" s="25" t="str">
        <f>VLOOKUP(B847,'[2]Migrasi Bed'!$B$4:$E$521,4,0)</f>
        <v>SV.B028</v>
      </c>
      <c r="D847" s="77">
        <f t="shared" si="342"/>
        <v>46103</v>
      </c>
      <c r="E847" s="77">
        <f t="shared" si="343"/>
        <v>46087</v>
      </c>
      <c r="F847" s="77">
        <f t="shared" si="344"/>
        <v>46094</v>
      </c>
      <c r="G847" s="77">
        <f t="shared" si="345"/>
        <v>46100</v>
      </c>
      <c r="H847" s="77">
        <f t="shared" si="346"/>
        <v>46088</v>
      </c>
      <c r="I847" s="77">
        <f t="shared" si="347"/>
        <v>46095</v>
      </c>
      <c r="J847" s="25"/>
      <c r="K847" s="25"/>
      <c r="L847" s="25"/>
      <c r="M847" s="25"/>
      <c r="N847" s="25"/>
      <c r="O847" s="25"/>
    </row>
    <row r="848" spans="1:15" x14ac:dyDescent="0.25">
      <c r="A848" s="77">
        <v>46080</v>
      </c>
      <c r="B848" s="25" t="s">
        <v>470</v>
      </c>
      <c r="C848" s="25" t="str">
        <f>VLOOKUP(B848,'[2]Migrasi Bed'!$B$4:$E$521,4,0)</f>
        <v>SV.B029</v>
      </c>
      <c r="D848" s="77">
        <f t="shared" si="342"/>
        <v>46103</v>
      </c>
      <c r="E848" s="77">
        <f t="shared" si="343"/>
        <v>46087</v>
      </c>
      <c r="F848" s="77">
        <f t="shared" si="344"/>
        <v>46094</v>
      </c>
      <c r="G848" s="77">
        <f t="shared" si="345"/>
        <v>46100</v>
      </c>
      <c r="H848" s="77">
        <f t="shared" si="346"/>
        <v>46088</v>
      </c>
      <c r="I848" s="77">
        <f t="shared" si="347"/>
        <v>46095</v>
      </c>
      <c r="J848" s="25"/>
      <c r="K848" s="25"/>
      <c r="L848" s="25"/>
      <c r="M848" s="25"/>
      <c r="N848" s="25"/>
      <c r="O848" s="25"/>
    </row>
    <row r="849" spans="1:15" x14ac:dyDescent="0.25">
      <c r="A849" s="77">
        <v>46080</v>
      </c>
      <c r="B849" s="25" t="s">
        <v>471</v>
      </c>
      <c r="C849" s="25" t="str">
        <f>VLOOKUP(B849,'[2]Migrasi Bed'!$B$4:$E$521,4,0)</f>
        <v>SV.B030</v>
      </c>
      <c r="D849" s="77">
        <f t="shared" si="342"/>
        <v>46103</v>
      </c>
      <c r="E849" s="77">
        <f t="shared" si="343"/>
        <v>46087</v>
      </c>
      <c r="F849" s="77">
        <f t="shared" si="344"/>
        <v>46094</v>
      </c>
      <c r="G849" s="77">
        <f t="shared" si="345"/>
        <v>46100</v>
      </c>
      <c r="H849" s="77">
        <f t="shared" si="346"/>
        <v>46088</v>
      </c>
      <c r="I849" s="77">
        <f t="shared" si="347"/>
        <v>46095</v>
      </c>
      <c r="J849" s="25"/>
      <c r="K849" s="25"/>
      <c r="L849" s="25"/>
      <c r="M849" s="25"/>
      <c r="N849" s="25"/>
      <c r="O849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1:C169 D349:I369 D370:J370 D373:K373 A373:C376 D374:I376 K374:K376 A381:K414 A416:I422 A463:I463 D483:I483 A483:C578 A850:C1048576">
    <cfRule type="expression" dxfId="32" priority="50">
      <formula>$L1&gt;0</formula>
    </cfRule>
  </conditionalFormatting>
  <conditionalFormatting sqref="A189:C370">
    <cfRule type="expression" dxfId="31" priority="38">
      <formula>$L189&gt;0</formula>
    </cfRule>
  </conditionalFormatting>
  <conditionalFormatting sqref="A415:I415 A423:I429 B430:I430 A430:A434 A431:K434 A435:I437 A438:K462 A464:K482">
    <cfRule type="expression" dxfId="30" priority="8873">
      <formula>#REF!&gt;0</formula>
    </cfRule>
  </conditionalFormatting>
  <conditionalFormatting sqref="A371:K372 K372:K376 A377:K380">
    <cfRule type="expression" dxfId="29" priority="8871">
      <formula>#REF!&gt;0</formula>
    </cfRule>
  </conditionalFormatting>
  <conditionalFormatting sqref="C579:I613">
    <cfRule type="expression" dxfId="27" priority="10">
      <formula>$K579&gt;0</formula>
    </cfRule>
  </conditionalFormatting>
  <conditionalFormatting sqref="D1:I169 A170:J188 D189:I348 D363:I578 D850:I1048576">
    <cfRule type="expression" dxfId="26" priority="53">
      <formula>$K1&gt;0</formula>
    </cfRule>
  </conditionalFormatting>
  <conditionalFormatting sqref="D484:K609 A579:B613">
    <cfRule type="expression" dxfId="25" priority="12">
      <formula>$L484&gt;0</formula>
    </cfRule>
  </conditionalFormatting>
  <conditionalFormatting sqref="J1:J247">
    <cfRule type="expression" dxfId="24" priority="42">
      <formula>$L1&gt;0</formula>
    </cfRule>
  </conditionalFormatting>
  <conditionalFormatting sqref="J248:J249">
    <cfRule type="expression" dxfId="23" priority="8836">
      <formula>$L247&gt;0</formula>
    </cfRule>
  </conditionalFormatting>
  <conditionalFormatting sqref="J250:J380">
    <cfRule type="expression" dxfId="22" priority="37">
      <formula>$L250&gt;0</formula>
    </cfRule>
  </conditionalFormatting>
  <conditionalFormatting sqref="J450:J578">
    <cfRule type="expression" dxfId="21" priority="13">
      <formula>$L450&gt;0</formula>
    </cfRule>
  </conditionalFormatting>
  <conditionalFormatting sqref="J610:J613 J850:J1048576">
    <cfRule type="expression" dxfId="20" priority="7">
      <formula>$L610&gt;0</formula>
    </cfRule>
  </conditionalFormatting>
  <conditionalFormatting sqref="J415:K450">
    <cfRule type="expression" dxfId="19" priority="30">
      <formula>$L415&gt;0</formula>
    </cfRule>
  </conditionalFormatting>
  <conditionalFormatting sqref="J456:K457">
    <cfRule type="expression" dxfId="18" priority="29">
      <formula>$L456&gt;0</formula>
    </cfRule>
  </conditionalFormatting>
  <conditionalFormatting sqref="J463:K463">
    <cfRule type="expression" dxfId="17" priority="18">
      <formula>#REF!&gt;0</formula>
    </cfRule>
  </conditionalFormatting>
  <conditionalFormatting sqref="J483:K489">
    <cfRule type="expression" dxfId="16" priority="17">
      <formula>#REF!&gt;0</formula>
    </cfRule>
  </conditionalFormatting>
  <conditionalFormatting sqref="J501:K501 J501:J504">
    <cfRule type="expression" dxfId="15" priority="16">
      <formula>#REF!&gt;0</formula>
    </cfRule>
  </conditionalFormatting>
  <conditionalFormatting sqref="K450:K456">
    <cfRule type="expression" dxfId="14" priority="32">
      <formula>$L450&gt;0</formula>
    </cfRule>
  </conditionalFormatting>
  <conditionalFormatting sqref="K458:K489">
    <cfRule type="expression" dxfId="13" priority="22">
      <formula>$L458&gt;0</formula>
    </cfRule>
  </conditionalFormatting>
  <conditionalFormatting sqref="K501">
    <cfRule type="expression" dxfId="12" priority="15">
      <formula>$L501&gt;0</formula>
    </cfRule>
  </conditionalFormatting>
  <conditionalFormatting sqref="K609:K613">
    <cfRule type="expression" dxfId="11" priority="9">
      <formula>$L609&gt;0</formula>
    </cfRule>
  </conditionalFormatting>
  <conditionalFormatting sqref="A614:B801 A802:A849">
    <cfRule type="expression" dxfId="5" priority="6">
      <formula>$L614&gt;0</formula>
    </cfRule>
  </conditionalFormatting>
  <conditionalFormatting sqref="B802:J802">
    <cfRule type="expression" dxfId="4" priority="5">
      <formula>$K802&gt;0</formula>
    </cfRule>
  </conditionalFormatting>
  <conditionalFormatting sqref="C614:I849 A803:B849 J803:J849">
    <cfRule type="expression" dxfId="3" priority="4">
      <formula>$K614&gt;0</formula>
    </cfRule>
  </conditionalFormatting>
  <conditionalFormatting sqref="J614:J849">
    <cfRule type="expression" dxfId="2" priority="3">
      <formula>$L614&gt;0</formula>
    </cfRule>
  </conditionalFormatting>
  <conditionalFormatting sqref="K614:K628">
    <cfRule type="expression" dxfId="1" priority="1">
      <formula>$L614&gt;0</formula>
    </cfRule>
  </conditionalFormatting>
  <conditionalFormatting sqref="K636:K642">
    <cfRule type="expression" dxfId="0" priority="2">
      <formula>$L636&gt;0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9" priority="10">
      <formula>$K2&gt;0</formula>
    </cfRule>
  </conditionalFormatting>
  <conditionalFormatting sqref="C2:C111">
    <cfRule type="expression" dxfId="8" priority="4">
      <formula>$K2&gt;0</formula>
    </cfRule>
  </conditionalFormatting>
  <conditionalFormatting sqref="C115:C119">
    <cfRule type="expression" dxfId="7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6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2026-02-28T04:17:44Z</dcterms:modified>
</cp:coreProperties>
</file>